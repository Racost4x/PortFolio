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bostonscientific-my.sharepoint.com/personal/randall_acostanavarro_bsci_com/Documents/Desktop/"/>
    </mc:Choice>
  </mc:AlternateContent>
  <xr:revisionPtr revIDLastSave="12826" documentId="8_{D2D99A2E-3C21-44F9-8B35-14B6661EB484}" xr6:coauthVersionLast="47" xr6:coauthVersionMax="47" xr10:uidLastSave="{694A294B-2DE7-42A2-9751-A51F777F2C6E}"/>
  <bookViews>
    <workbookView xWindow="-120" yWindow="-120" windowWidth="29040" windowHeight="15840" activeTab="2" xr2:uid="{5EEC37A3-F992-451E-ACF8-78B5D9643E31}"/>
  </bookViews>
  <sheets>
    <sheet name="Open WIP" sheetId="1" r:id="rId1"/>
    <sheet name="Device Status" sheetId="10" r:id="rId2"/>
    <sheet name="Device Codes" sheetId="12" r:id="rId3"/>
    <sheet name="Device Codes Data" sheetId="2" r:id="rId4"/>
    <sheet name="Monday" sheetId="3" r:id="rId5"/>
    <sheet name="Tuesday" sheetId="4" r:id="rId6"/>
    <sheet name="Wednesday" sheetId="5" r:id="rId7"/>
    <sheet name="Thursday" sheetId="6" r:id="rId8"/>
    <sheet name="Friday" sheetId="7" r:id="rId9"/>
    <sheet name="Metrics Tables" sheetId="8" r:id="rId10"/>
    <sheet name="Pivots" sheetId="9" r:id="rId11"/>
  </sheets>
  <definedNames>
    <definedName name="_xlnm._FilterDatabase" localSheetId="3" hidden="1">'Device Codes Data'!$A$1:$H$2214</definedName>
    <definedName name="_xlnm._FilterDatabase" localSheetId="8" hidden="1">Friday!$A$1:$O$345</definedName>
    <definedName name="_xlnm._FilterDatabase" localSheetId="9" hidden="1">'Metrics Tables'!$AA$3:$AD$3</definedName>
    <definedName name="_xlnm._FilterDatabase" localSheetId="4" hidden="1">Monday!$A$1:$O$473</definedName>
    <definedName name="_xlnm._FilterDatabase" localSheetId="7" hidden="1">Thursday!$A$1:$O$391</definedName>
    <definedName name="_xlnm._FilterDatabase" localSheetId="5" hidden="1">Tuesday!$A$1:$O$371</definedName>
    <definedName name="_xlnm._FilterDatabase" localSheetId="6" hidden="1">Wednesday!$A$1:$O$356</definedName>
    <definedName name="_xlchart.v1.0" hidden="1">'Device Codes'!$AH$3:$AH$12</definedName>
    <definedName name="_xlchart.v1.1" hidden="1">'Device Codes'!$AI$2</definedName>
    <definedName name="_xlchart.v1.10" hidden="1">'Device Codes'!$AH$3:$AH$12</definedName>
    <definedName name="_xlchart.v1.11" hidden="1">'Device Codes'!$AI$2</definedName>
    <definedName name="_xlchart.v1.12" hidden="1">'Device Codes'!$AI$3:$AI$12</definedName>
    <definedName name="_xlchart.v1.2" hidden="1">'Device Codes'!$AI$3:$AI$12</definedName>
    <definedName name="_xlchart.v1.3" hidden="1">'Device Codes'!$AH$3:$AH$11</definedName>
    <definedName name="_xlchart.v1.4" hidden="1">'Device Codes'!$AH$3:$AI$12</definedName>
    <definedName name="_xlchart.v1.5" hidden="1">'Device Codes'!$AI$2</definedName>
    <definedName name="_xlchart.v1.6" hidden="1">'Device Codes'!$AI$3:$AI$11</definedName>
    <definedName name="_xlchart.v1.7" hidden="1">'Device Codes'!$AH$3:$AH$12</definedName>
    <definedName name="_xlchart.v1.8" hidden="1">'Device Codes'!$AI$2</definedName>
    <definedName name="_xlchart.v1.9" hidden="1">'Device Codes'!$AI$3:$AI$12</definedName>
    <definedName name="Slicer_Device">#N/A</definedName>
    <definedName name="Slicer_Week">#N/A</definedName>
    <definedName name="Slicer_Week1">#N/A</definedName>
    <definedName name="Slicer_Week2">#N/A</definedName>
    <definedName name="Slicer_Week3">#N/A</definedName>
  </definedNames>
  <calcPr calcId="191029"/>
  <pivotCaches>
    <pivotCache cacheId="0" r:id="rId12"/>
    <pivotCache cacheId="1" r:id="rId13"/>
    <pivotCache cacheId="9" r:id="rId14"/>
    <pivotCache cacheId="14" r:id="rId15"/>
  </pivotCaches>
  <extLst>
    <ext xmlns:x14="http://schemas.microsoft.com/office/spreadsheetml/2009/9/main" uri="{876F7934-8845-4945-9796-88D515C7AA90}">
      <x14:pivotCaches>
        <pivotCache cacheId="4" r:id="rId16"/>
        <pivotCache cacheId="5" r:id="rId17"/>
      </x14:pivotCaches>
    </ext>
    <ext xmlns:x14="http://schemas.microsoft.com/office/spreadsheetml/2009/9/main" uri="{BBE1A952-AA13-448e-AADC-164F8A28A991}">
      <x14:slicerCaches>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10" i="12" l="1"/>
  <c r="AI12" i="12"/>
  <c r="AI11" i="12"/>
  <c r="AI9" i="12"/>
  <c r="AI8" i="12"/>
  <c r="AI7" i="12"/>
  <c r="AI6" i="12"/>
  <c r="AI5" i="12"/>
  <c r="AI4" i="12"/>
  <c r="AI3" i="12"/>
  <c r="K1" i="7" a="1"/>
  <c r="K1" i="7" s="1"/>
  <c r="K1" i="6" a="1"/>
  <c r="K1" i="6" s="1"/>
  <c r="K1" i="5" a="1"/>
  <c r="K1" i="5" s="1"/>
  <c r="K1" i="4" a="1"/>
  <c r="K1" i="4" s="1"/>
  <c r="K1" i="3" a="1"/>
  <c r="K1" i="3" s="1"/>
  <c r="B2187" i="2"/>
  <c r="B2" i="2"/>
  <c r="B2214" i="2"/>
  <c r="B2213" i="2"/>
  <c r="B2212" i="2"/>
  <c r="D2212" i="2" s="1"/>
  <c r="B2211" i="2"/>
  <c r="B2210" i="2"/>
  <c r="B2209" i="2"/>
  <c r="D2209" i="2" s="1"/>
  <c r="B2208" i="2"/>
  <c r="B2207" i="2"/>
  <c r="B2206" i="2"/>
  <c r="B2205" i="2"/>
  <c r="B2204" i="2"/>
  <c r="B2203" i="2"/>
  <c r="D2203" i="2" s="1"/>
  <c r="B2202" i="2"/>
  <c r="B2201" i="2"/>
  <c r="B2200" i="2"/>
  <c r="B2199" i="2"/>
  <c r="B2198" i="2"/>
  <c r="B2197" i="2"/>
  <c r="D2197" i="2" s="1"/>
  <c r="B2196" i="2"/>
  <c r="E2196" i="2" s="1"/>
  <c r="B2195" i="2"/>
  <c r="C2195" i="2" s="1"/>
  <c r="B2194" i="2"/>
  <c r="D2194" i="2" s="1"/>
  <c r="B2193" i="2"/>
  <c r="B2192" i="2"/>
  <c r="B2191" i="2"/>
  <c r="D2191" i="2" s="1"/>
  <c r="B2190" i="2"/>
  <c r="B2189" i="2"/>
  <c r="C2189" i="2" s="1"/>
  <c r="B2188" i="2"/>
  <c r="B2186" i="2"/>
  <c r="B2185" i="2"/>
  <c r="D2185" i="2" s="1"/>
  <c r="B2184" i="2"/>
  <c r="C2184" i="2" s="1"/>
  <c r="B2183" i="2"/>
  <c r="B2182" i="2"/>
  <c r="B2181" i="2"/>
  <c r="B2180" i="2"/>
  <c r="B2179" i="2"/>
  <c r="D2179" i="2" s="1"/>
  <c r="B2178" i="2"/>
  <c r="E2178" i="2" s="1"/>
  <c r="B2177" i="2"/>
  <c r="B2176" i="2"/>
  <c r="D2176" i="2" s="1"/>
  <c r="B2175" i="2"/>
  <c r="B2174" i="2"/>
  <c r="B2173" i="2"/>
  <c r="D2173" i="2" s="1"/>
  <c r="B2172" i="2"/>
  <c r="B2171" i="2"/>
  <c r="B2170" i="2"/>
  <c r="B2169" i="2"/>
  <c r="B2168" i="2"/>
  <c r="B2167" i="2"/>
  <c r="D2167" i="2" s="1"/>
  <c r="B2166" i="2"/>
  <c r="B2165" i="2"/>
  <c r="B2164" i="2"/>
  <c r="B2163" i="2"/>
  <c r="B2162" i="2"/>
  <c r="B2161" i="2"/>
  <c r="D2161" i="2" s="1"/>
  <c r="B2160" i="2"/>
  <c r="B2159" i="2"/>
  <c r="B2158" i="2"/>
  <c r="D2158" i="2" s="1"/>
  <c r="B2157" i="2"/>
  <c r="B2156" i="2"/>
  <c r="B2155" i="2"/>
  <c r="D2155" i="2" s="1"/>
  <c r="B2154" i="2"/>
  <c r="B2153" i="2"/>
  <c r="B2152" i="2"/>
  <c r="B2151" i="2"/>
  <c r="B2150" i="2"/>
  <c r="D2150" i="2" s="1"/>
  <c r="B2149" i="2"/>
  <c r="D2149" i="2" s="1"/>
  <c r="B2148" i="2"/>
  <c r="B2147" i="2"/>
  <c r="B2146" i="2"/>
  <c r="D2146" i="2" s="1"/>
  <c r="B2145" i="2"/>
  <c r="B2144" i="2"/>
  <c r="B2143" i="2"/>
  <c r="D2143" i="2" s="1"/>
  <c r="B2142" i="2"/>
  <c r="E2142" i="2" s="1"/>
  <c r="B2141" i="2"/>
  <c r="B2140" i="2"/>
  <c r="B2139" i="2"/>
  <c r="B2138" i="2"/>
  <c r="B2137" i="2"/>
  <c r="B2136" i="2"/>
  <c r="B2135" i="2"/>
  <c r="B2134" i="2"/>
  <c r="D2134" i="2" s="1"/>
  <c r="B2133" i="2"/>
  <c r="B2132" i="2"/>
  <c r="B2131" i="2"/>
  <c r="B2130" i="2"/>
  <c r="B2129" i="2"/>
  <c r="B2128" i="2"/>
  <c r="B2127" i="2"/>
  <c r="B2126" i="2"/>
  <c r="D2126" i="2" s="1"/>
  <c r="B2125" i="2"/>
  <c r="B2124" i="2"/>
  <c r="E2124" i="2" s="1"/>
  <c r="B2123" i="2"/>
  <c r="B2122" i="2"/>
  <c r="D2122" i="2" s="1"/>
  <c r="B2121" i="2"/>
  <c r="B2120" i="2"/>
  <c r="B2119" i="2"/>
  <c r="B2118" i="2"/>
  <c r="B2117" i="2"/>
  <c r="B2116" i="2"/>
  <c r="B2115" i="2"/>
  <c r="B2114" i="2"/>
  <c r="D2114" i="2" s="1"/>
  <c r="B2113" i="2"/>
  <c r="B2112" i="2"/>
  <c r="B2111" i="2"/>
  <c r="B2110" i="2"/>
  <c r="D2110" i="2" s="1"/>
  <c r="B2109" i="2"/>
  <c r="B2108" i="2"/>
  <c r="B2107" i="2"/>
  <c r="B2106" i="2"/>
  <c r="B2105" i="2"/>
  <c r="B2104" i="2"/>
  <c r="B2103" i="2"/>
  <c r="B2102" i="2"/>
  <c r="B2101" i="2"/>
  <c r="B2100" i="2"/>
  <c r="B2099" i="2"/>
  <c r="B2098" i="2"/>
  <c r="D2098" i="2" s="1"/>
  <c r="B2097" i="2"/>
  <c r="B2096" i="2"/>
  <c r="B2095" i="2"/>
  <c r="B2094" i="2"/>
  <c r="B2093" i="2"/>
  <c r="B2092" i="2"/>
  <c r="B2091" i="2"/>
  <c r="B2090" i="2"/>
  <c r="D2090" i="2" s="1"/>
  <c r="B2089" i="2"/>
  <c r="B2088" i="2"/>
  <c r="E2088" i="2" s="1"/>
  <c r="B2087" i="2"/>
  <c r="B2086" i="2"/>
  <c r="D2086" i="2" s="1"/>
  <c r="B2085" i="2"/>
  <c r="B2084" i="2"/>
  <c r="B2083" i="2"/>
  <c r="B2082" i="2"/>
  <c r="B2081" i="2"/>
  <c r="B2080" i="2"/>
  <c r="B2079" i="2"/>
  <c r="B2078" i="2"/>
  <c r="D2078" i="2" s="1"/>
  <c r="B2077" i="2"/>
  <c r="B2076" i="2"/>
  <c r="B2075" i="2"/>
  <c r="B2074" i="2"/>
  <c r="D2074" i="2" s="1"/>
  <c r="B2073" i="2"/>
  <c r="B2072" i="2"/>
  <c r="B2071" i="2"/>
  <c r="B2070" i="2"/>
  <c r="E2070" i="2" s="1"/>
  <c r="B2069" i="2"/>
  <c r="B2068" i="2"/>
  <c r="B2067" i="2"/>
  <c r="B2066" i="2"/>
  <c r="B2065" i="2"/>
  <c r="B2064" i="2"/>
  <c r="B2063" i="2"/>
  <c r="B2062" i="2"/>
  <c r="D2062" i="2" s="1"/>
  <c r="B2061" i="2"/>
  <c r="B2060" i="2"/>
  <c r="B2059" i="2"/>
  <c r="B2058" i="2"/>
  <c r="B2057" i="2"/>
  <c r="B2056" i="2"/>
  <c r="B2055" i="2"/>
  <c r="B2054" i="2"/>
  <c r="D2054" i="2" s="1"/>
  <c r="B2053" i="2"/>
  <c r="B2052" i="2"/>
  <c r="B2051" i="2"/>
  <c r="B2050" i="2"/>
  <c r="D2050" i="2" s="1"/>
  <c r="B2049" i="2"/>
  <c r="B2048" i="2"/>
  <c r="B2047" i="2"/>
  <c r="B2046" i="2"/>
  <c r="B2045" i="2"/>
  <c r="B2044" i="2"/>
  <c r="B2043" i="2"/>
  <c r="B2042" i="2"/>
  <c r="D2042" i="2" s="1"/>
  <c r="B2041" i="2"/>
  <c r="B2040" i="2"/>
  <c r="B2039" i="2"/>
  <c r="B2038" i="2"/>
  <c r="D2038" i="2" s="1"/>
  <c r="B2037" i="2"/>
  <c r="B2036" i="2"/>
  <c r="B2035" i="2"/>
  <c r="B2034" i="2"/>
  <c r="E2034" i="2" s="1"/>
  <c r="B2033" i="2"/>
  <c r="B2032" i="2"/>
  <c r="B2031" i="2"/>
  <c r="B2030" i="2"/>
  <c r="B2029" i="2"/>
  <c r="B2028" i="2"/>
  <c r="B2027" i="2"/>
  <c r="B2026" i="2"/>
  <c r="D2026" i="2" s="1"/>
  <c r="B2025" i="2"/>
  <c r="B2024" i="2"/>
  <c r="B2023" i="2"/>
  <c r="B2022" i="2"/>
  <c r="B2021" i="2"/>
  <c r="B2020" i="2"/>
  <c r="B2019" i="2"/>
  <c r="B2018" i="2"/>
  <c r="D2018" i="2" s="1"/>
  <c r="B2017" i="2"/>
  <c r="B2016" i="2"/>
  <c r="E2016" i="2" s="1"/>
  <c r="B2015" i="2"/>
  <c r="B2014" i="2"/>
  <c r="D2014" i="2" s="1"/>
  <c r="B2013" i="2"/>
  <c r="B2012" i="2"/>
  <c r="B2011" i="2"/>
  <c r="B2010" i="2"/>
  <c r="B2009" i="2"/>
  <c r="B2008" i="2"/>
  <c r="B2007" i="2"/>
  <c r="B2006" i="2"/>
  <c r="D2006" i="2" s="1"/>
  <c r="B2005" i="2"/>
  <c r="B2004" i="2"/>
  <c r="B2003" i="2"/>
  <c r="B2002" i="2"/>
  <c r="D2002" i="2" s="1"/>
  <c r="B2001" i="2"/>
  <c r="B2000" i="2"/>
  <c r="B1999" i="2"/>
  <c r="B1998" i="2"/>
  <c r="B1997" i="2"/>
  <c r="B1996" i="2"/>
  <c r="B1995" i="2"/>
  <c r="B1994" i="2"/>
  <c r="B1993" i="2"/>
  <c r="B1992" i="2"/>
  <c r="B1991" i="2"/>
  <c r="B1990" i="2"/>
  <c r="D1990" i="2" s="1"/>
  <c r="B1989" i="2"/>
  <c r="B1988" i="2"/>
  <c r="B1987" i="2"/>
  <c r="B1986" i="2"/>
  <c r="B1985" i="2"/>
  <c r="B1984" i="2"/>
  <c r="B1983" i="2"/>
  <c r="B1982" i="2"/>
  <c r="D1982" i="2" s="1"/>
  <c r="B1981" i="2"/>
  <c r="B1980" i="2"/>
  <c r="E1980" i="2" s="1"/>
  <c r="B1979" i="2"/>
  <c r="B1978" i="2"/>
  <c r="D1978" i="2" s="1"/>
  <c r="B1977" i="2"/>
  <c r="B1976" i="2"/>
  <c r="B1975" i="2"/>
  <c r="B1974" i="2"/>
  <c r="B1973" i="2"/>
  <c r="B1972" i="2"/>
  <c r="B1971" i="2"/>
  <c r="B1970" i="2"/>
  <c r="D1970" i="2" s="1"/>
  <c r="B1969" i="2"/>
  <c r="B1968" i="2"/>
  <c r="B1967" i="2"/>
  <c r="B1966" i="2"/>
  <c r="D1966" i="2" s="1"/>
  <c r="B1965" i="2"/>
  <c r="B1964" i="2"/>
  <c r="B1963" i="2"/>
  <c r="B1962" i="2"/>
  <c r="E1962" i="2" s="1"/>
  <c r="B1961" i="2"/>
  <c r="B1960" i="2"/>
  <c r="B1959" i="2"/>
  <c r="B1958" i="2"/>
  <c r="B1957" i="2"/>
  <c r="B1956" i="2"/>
  <c r="B1955" i="2"/>
  <c r="B1954" i="2"/>
  <c r="D1954" i="2" s="1"/>
  <c r="B1953" i="2"/>
  <c r="B1952" i="2"/>
  <c r="B1951" i="2"/>
  <c r="B1950" i="2"/>
  <c r="B1949" i="2"/>
  <c r="B1948" i="2"/>
  <c r="B1947" i="2"/>
  <c r="B1946" i="2"/>
  <c r="D1946" i="2" s="1"/>
  <c r="B1945" i="2"/>
  <c r="B1944" i="2"/>
  <c r="B1943" i="2"/>
  <c r="B1942" i="2"/>
  <c r="D1942" i="2" s="1"/>
  <c r="B1941" i="2"/>
  <c r="B1940" i="2"/>
  <c r="B1939" i="2"/>
  <c r="B1938" i="2"/>
  <c r="B1937" i="2"/>
  <c r="B1936" i="2"/>
  <c r="B1935" i="2"/>
  <c r="B1934" i="2"/>
  <c r="D1934" i="2" s="1"/>
  <c r="B1933" i="2"/>
  <c r="B1932" i="2"/>
  <c r="B1931" i="2"/>
  <c r="B1930" i="2"/>
  <c r="D1930" i="2" s="1"/>
  <c r="B1929" i="2"/>
  <c r="B1928" i="2"/>
  <c r="B1927" i="2"/>
  <c r="B1926" i="2"/>
  <c r="E1926" i="2" s="1"/>
  <c r="B1925" i="2"/>
  <c r="B1924" i="2"/>
  <c r="B1923" i="2"/>
  <c r="B1922" i="2"/>
  <c r="B1921" i="2"/>
  <c r="B1920" i="2"/>
  <c r="B1919" i="2"/>
  <c r="B1918" i="2"/>
  <c r="D1918" i="2" s="1"/>
  <c r="B1917" i="2"/>
  <c r="B1916" i="2"/>
  <c r="B1915" i="2"/>
  <c r="B1914" i="2"/>
  <c r="B1913" i="2"/>
  <c r="B1912" i="2"/>
  <c r="B1911" i="2"/>
  <c r="B1910" i="2"/>
  <c r="D1910" i="2" s="1"/>
  <c r="B34" i="2"/>
  <c r="B22" i="2"/>
  <c r="E22" i="2" s="1"/>
  <c r="B1908" i="2"/>
  <c r="B1907" i="2"/>
  <c r="D1907" i="2" s="1"/>
  <c r="B1906" i="2"/>
  <c r="B1909" i="2"/>
  <c r="B45" i="2"/>
  <c r="B68" i="2"/>
  <c r="B67" i="2"/>
  <c r="B56" i="2"/>
  <c r="B1904" i="2"/>
  <c r="B1903" i="2"/>
  <c r="D1903" i="2" s="1"/>
  <c r="B1902" i="2"/>
  <c r="B1901" i="2"/>
  <c r="B1900" i="2"/>
  <c r="B1899" i="2"/>
  <c r="D1899" i="2" s="1"/>
  <c r="B1898" i="2"/>
  <c r="B1897" i="2"/>
  <c r="B1896" i="2"/>
  <c r="B1895" i="2"/>
  <c r="B1894" i="2"/>
  <c r="B1893" i="2"/>
  <c r="B1892" i="2"/>
  <c r="B1891" i="2"/>
  <c r="B1890" i="2"/>
  <c r="B1889" i="2"/>
  <c r="B1888" i="2"/>
  <c r="B1887" i="2"/>
  <c r="D1887" i="2" s="1"/>
  <c r="B1886" i="2"/>
  <c r="B1885" i="2"/>
  <c r="B1884" i="2"/>
  <c r="B1883" i="2"/>
  <c r="B1882" i="2"/>
  <c r="B1881" i="2"/>
  <c r="B1880" i="2"/>
  <c r="B1879" i="2"/>
  <c r="D1879" i="2" s="1"/>
  <c r="B1878" i="2"/>
  <c r="B1877" i="2"/>
  <c r="E1877" i="2" s="1"/>
  <c r="B1876" i="2"/>
  <c r="B1875" i="2"/>
  <c r="D1875" i="2" s="1"/>
  <c r="B1874" i="2"/>
  <c r="B1873" i="2"/>
  <c r="B1872" i="2"/>
  <c r="B1871" i="2"/>
  <c r="B1870" i="2"/>
  <c r="B1869" i="2"/>
  <c r="B1868" i="2"/>
  <c r="B1867" i="2"/>
  <c r="D1867" i="2" s="1"/>
  <c r="B1866" i="2"/>
  <c r="B1865" i="2"/>
  <c r="B1864" i="2"/>
  <c r="B1863" i="2"/>
  <c r="D1863" i="2" s="1"/>
  <c r="B1862" i="2"/>
  <c r="B1861" i="2"/>
  <c r="B1860" i="2"/>
  <c r="B1859" i="2"/>
  <c r="E1859" i="2" s="1"/>
  <c r="B1858" i="2"/>
  <c r="B1857" i="2"/>
  <c r="B1856" i="2"/>
  <c r="B1855" i="2"/>
  <c r="B1854" i="2"/>
  <c r="B1853" i="2"/>
  <c r="B1852" i="2"/>
  <c r="B1851" i="2"/>
  <c r="D1851" i="2" s="1"/>
  <c r="B1850" i="2"/>
  <c r="B1849" i="2"/>
  <c r="B1848" i="2"/>
  <c r="B1847" i="2"/>
  <c r="B1846" i="2"/>
  <c r="B1845" i="2"/>
  <c r="B1844" i="2"/>
  <c r="B1843" i="2"/>
  <c r="B1842" i="2"/>
  <c r="B1841" i="2"/>
  <c r="B1840" i="2"/>
  <c r="B1839" i="2"/>
  <c r="B1838" i="2"/>
  <c r="D1838" i="2" s="1"/>
  <c r="B1837" i="2"/>
  <c r="D1837" i="2" s="1"/>
  <c r="B1836" i="2"/>
  <c r="B1835" i="2"/>
  <c r="B1834" i="2"/>
  <c r="B1833" i="2"/>
  <c r="B1832" i="2"/>
  <c r="B1831" i="2"/>
  <c r="B1830" i="2"/>
  <c r="B1829" i="2"/>
  <c r="B1828" i="2"/>
  <c r="B1827" i="2"/>
  <c r="B1826" i="2"/>
  <c r="B1825" i="2"/>
  <c r="B1824" i="2"/>
  <c r="B1823" i="2"/>
  <c r="E1823" i="2" s="1"/>
  <c r="B1822" i="2"/>
  <c r="B1821" i="2"/>
  <c r="B1820" i="2"/>
  <c r="B1819" i="2"/>
  <c r="D1819" i="2" s="1"/>
  <c r="B1818" i="2"/>
  <c r="B1817" i="2"/>
  <c r="B1816" i="2"/>
  <c r="B1815" i="2"/>
  <c r="B1814" i="2"/>
  <c r="B1813" i="2"/>
  <c r="B1812" i="2"/>
  <c r="B1811" i="2"/>
  <c r="B1810" i="2"/>
  <c r="B1809" i="2"/>
  <c r="B1808" i="2"/>
  <c r="B1807" i="2"/>
  <c r="B1806" i="2"/>
  <c r="B1805" i="2"/>
  <c r="B1804" i="2"/>
  <c r="B1803" i="2"/>
  <c r="B1802" i="2"/>
  <c r="B1801" i="2"/>
  <c r="B1800" i="2"/>
  <c r="B1799" i="2"/>
  <c r="B1798" i="2"/>
  <c r="B1797" i="2"/>
  <c r="B1796" i="2"/>
  <c r="B1795" i="2"/>
  <c r="B1794" i="2"/>
  <c r="B1793" i="2"/>
  <c r="B1792" i="2"/>
  <c r="B1791" i="2"/>
  <c r="B1790" i="2"/>
  <c r="B1789" i="2"/>
  <c r="B1788" i="2"/>
  <c r="B1787" i="2"/>
  <c r="B1786" i="2"/>
  <c r="B1785" i="2"/>
  <c r="B1784" i="2"/>
  <c r="B1783" i="2"/>
  <c r="B1782" i="2"/>
  <c r="B1781" i="2"/>
  <c r="B1780" i="2"/>
  <c r="B1779" i="2"/>
  <c r="B1778" i="2"/>
  <c r="B1777" i="2"/>
  <c r="B1776" i="2"/>
  <c r="B1775" i="2"/>
  <c r="B1774" i="2"/>
  <c r="B1773" i="2"/>
  <c r="B1772" i="2"/>
  <c r="B1771" i="2"/>
  <c r="B1770" i="2"/>
  <c r="B1769" i="2"/>
  <c r="E1769" i="2" s="1"/>
  <c r="B1768" i="2"/>
  <c r="B1767" i="2"/>
  <c r="B1766" i="2"/>
  <c r="D1766" i="2" s="1"/>
  <c r="B1765" i="2"/>
  <c r="B1764" i="2"/>
  <c r="B1763" i="2"/>
  <c r="B1762" i="2"/>
  <c r="B1761" i="2"/>
  <c r="B1760" i="2"/>
  <c r="B1759" i="2"/>
  <c r="B1758" i="2"/>
  <c r="B1757" i="2"/>
  <c r="B1756" i="2"/>
  <c r="B1755" i="2"/>
  <c r="B1754" i="2"/>
  <c r="B1753" i="2"/>
  <c r="B1752" i="2"/>
  <c r="B1751" i="2"/>
  <c r="B1750" i="2"/>
  <c r="B1749" i="2"/>
  <c r="B1748" i="2"/>
  <c r="B1747" i="2"/>
  <c r="B1746" i="2"/>
  <c r="B1745" i="2"/>
  <c r="B1744" i="2"/>
  <c r="B1743" i="2"/>
  <c r="B1742" i="2"/>
  <c r="B1741" i="2"/>
  <c r="B1740" i="2"/>
  <c r="B1739"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E1715" i="2" s="1"/>
  <c r="B1714" i="2"/>
  <c r="B1713" i="2"/>
  <c r="B1712" i="2"/>
  <c r="B1711" i="2"/>
  <c r="B1710" i="2"/>
  <c r="B70" i="2"/>
  <c r="B1709" i="2"/>
  <c r="B1708" i="2"/>
  <c r="B1707" i="2"/>
  <c r="B1706" i="2"/>
  <c r="B1705" i="2"/>
  <c r="B1704" i="2"/>
  <c r="B1703" i="2"/>
  <c r="B1702" i="2"/>
  <c r="B1701" i="2"/>
  <c r="B1700" i="2"/>
  <c r="B1699" i="2"/>
  <c r="B1698" i="2"/>
  <c r="B1697" i="2"/>
  <c r="B1696" i="2"/>
  <c r="B1695" i="2"/>
  <c r="B1694" i="2"/>
  <c r="B1693" i="2"/>
  <c r="B1692" i="2"/>
  <c r="B1691" i="2"/>
  <c r="B1690" i="2"/>
  <c r="B1689"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D1659" i="2" s="1"/>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E1608" i="2" s="1"/>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48" i="2"/>
  <c r="E1548" i="2" s="1"/>
  <c r="B1547" i="2"/>
  <c r="B1546" i="2"/>
  <c r="B1545" i="2"/>
  <c r="B1544" i="2"/>
  <c r="B1543" i="2"/>
  <c r="B1542" i="2"/>
  <c r="B1541" i="2"/>
  <c r="B1540" i="2"/>
  <c r="B1539" i="2"/>
  <c r="B1538" i="2"/>
  <c r="B1537" i="2"/>
  <c r="B1536" i="2"/>
  <c r="B1535" i="2"/>
  <c r="B1534" i="2"/>
  <c r="B1533" i="2"/>
  <c r="B1532" i="2"/>
  <c r="B1531" i="2"/>
  <c r="B1530" i="2"/>
  <c r="B1529" i="2"/>
  <c r="B1528" i="2"/>
  <c r="B1527" i="2"/>
  <c r="B1526" i="2"/>
  <c r="B1525" i="2"/>
  <c r="B1524" i="2"/>
  <c r="B1523" i="2"/>
  <c r="B1522" i="2"/>
  <c r="B1521" i="2"/>
  <c r="B1520" i="2"/>
  <c r="B1519" i="2"/>
  <c r="B1518" i="2"/>
  <c r="B1517" i="2"/>
  <c r="B1516" i="2"/>
  <c r="B1515" i="2"/>
  <c r="B1514" i="2"/>
  <c r="B1513" i="2"/>
  <c r="B1512" i="2"/>
  <c r="B1511" i="2"/>
  <c r="B1510" i="2"/>
  <c r="B1509" i="2"/>
  <c r="B1508" i="2"/>
  <c r="B1507" i="2"/>
  <c r="B1506" i="2"/>
  <c r="B1505" i="2"/>
  <c r="B1504" i="2"/>
  <c r="B1503" i="2"/>
  <c r="B1502" i="2"/>
  <c r="B1501" i="2"/>
  <c r="B1500" i="2"/>
  <c r="B1499" i="2"/>
  <c r="B1498" i="2"/>
  <c r="B1497" i="2"/>
  <c r="B1496" i="2"/>
  <c r="B1495" i="2"/>
  <c r="B1494" i="2"/>
  <c r="B1493" i="2"/>
  <c r="B1492" i="2"/>
  <c r="B1491" i="2"/>
  <c r="B1490" i="2"/>
  <c r="B1489" i="2"/>
  <c r="B1488" i="2"/>
  <c r="B1487" i="2"/>
  <c r="B1486" i="2"/>
  <c r="B1485" i="2"/>
  <c r="B1484" i="2"/>
  <c r="B1483" i="2"/>
  <c r="B1482" i="2"/>
  <c r="B1481" i="2"/>
  <c r="B1480" i="2"/>
  <c r="B1479" i="2"/>
  <c r="B1478" i="2"/>
  <c r="B1477" i="2"/>
  <c r="B1476" i="2"/>
  <c r="E1476" i="2" s="1"/>
  <c r="B1475" i="2"/>
  <c r="B1474" i="2"/>
  <c r="B1473" i="2"/>
  <c r="B1472" i="2"/>
  <c r="B1471" i="2"/>
  <c r="B1470" i="2"/>
  <c r="B1469" i="2"/>
  <c r="B1468" i="2"/>
  <c r="B1467" i="2"/>
  <c r="B1466" i="2"/>
  <c r="B1465" i="2"/>
  <c r="B1464" i="2"/>
  <c r="B1463" i="2"/>
  <c r="B1462" i="2"/>
  <c r="B1461" i="2"/>
  <c r="B1460" i="2"/>
  <c r="B1459" i="2"/>
  <c r="B1458" i="2"/>
  <c r="B1457" i="2"/>
  <c r="B1456" i="2"/>
  <c r="B1455" i="2"/>
  <c r="B1454" i="2"/>
  <c r="B1453" i="2"/>
  <c r="B1452" i="2"/>
  <c r="B1451" i="2"/>
  <c r="B1450" i="2"/>
  <c r="B1449" i="2"/>
  <c r="B1448" i="2"/>
  <c r="B1447" i="2"/>
  <c r="B1446" i="2"/>
  <c r="B1445" i="2"/>
  <c r="B1444" i="2"/>
  <c r="B1443" i="2"/>
  <c r="D1443" i="2" s="1"/>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E1404" i="2" s="1"/>
  <c r="B1403" i="2"/>
  <c r="B1402" i="2"/>
  <c r="B1401" i="2"/>
  <c r="B1400" i="2"/>
  <c r="B1399" i="2"/>
  <c r="B1398" i="2"/>
  <c r="B1397" i="2"/>
  <c r="B1396" i="2"/>
  <c r="B1395" i="2"/>
  <c r="B1394" i="2"/>
  <c r="B1393" i="2"/>
  <c r="B1392" i="2"/>
  <c r="B1391" i="2"/>
  <c r="B1390" i="2"/>
  <c r="B1389" i="2"/>
  <c r="B1388" i="2"/>
  <c r="B1387" i="2"/>
  <c r="B1386" i="2"/>
  <c r="B1385" i="2"/>
  <c r="B1384" i="2"/>
  <c r="B1383" i="2"/>
  <c r="B1382" i="2"/>
  <c r="B1381" i="2"/>
  <c r="B1380" i="2"/>
  <c r="B1379" i="2"/>
  <c r="B1378" i="2"/>
  <c r="B1377" i="2"/>
  <c r="B1376" i="2"/>
  <c r="B1375" i="2"/>
  <c r="B1374" i="2"/>
  <c r="B1373" i="2"/>
  <c r="B1372" i="2"/>
  <c r="B1371" i="2"/>
  <c r="B1370" i="2"/>
  <c r="B1369" i="2"/>
  <c r="B1368" i="2"/>
  <c r="B1367" i="2"/>
  <c r="B1366" i="2"/>
  <c r="B1365" i="2"/>
  <c r="B1364" i="2"/>
  <c r="B1363" i="2"/>
  <c r="B1362" i="2"/>
  <c r="B1361" i="2"/>
  <c r="B1360" i="2"/>
  <c r="B1359" i="2"/>
  <c r="B1358" i="2"/>
  <c r="B1357" i="2"/>
  <c r="B1356" i="2"/>
  <c r="B1355" i="2"/>
  <c r="B1354" i="2"/>
  <c r="B1353" i="2"/>
  <c r="B1352" i="2"/>
  <c r="B1351" i="2"/>
  <c r="B1350" i="2"/>
  <c r="B1349" i="2"/>
  <c r="B1348" i="2"/>
  <c r="B1347" i="2"/>
  <c r="B1346" i="2"/>
  <c r="B1345" i="2"/>
  <c r="B1344" i="2"/>
  <c r="B1343" i="2"/>
  <c r="B1342" i="2"/>
  <c r="B1341" i="2"/>
  <c r="B1340" i="2"/>
  <c r="B1339" i="2"/>
  <c r="B1338" i="2"/>
  <c r="B1337" i="2"/>
  <c r="B1336" i="2"/>
  <c r="B1335" i="2"/>
  <c r="D1335" i="2" s="1"/>
  <c r="B1334" i="2"/>
  <c r="B1333" i="2"/>
  <c r="B1332" i="2"/>
  <c r="B1331" i="2"/>
  <c r="B1330" i="2"/>
  <c r="B1329" i="2"/>
  <c r="B1328" i="2"/>
  <c r="B1327" i="2"/>
  <c r="B1326" i="2"/>
  <c r="B1325" i="2"/>
  <c r="B1324" i="2"/>
  <c r="B1323" i="2"/>
  <c r="B1322" i="2"/>
  <c r="B1321" i="2"/>
  <c r="B1320" i="2"/>
  <c r="B1319" i="2"/>
  <c r="B1318" i="2"/>
  <c r="B1317" i="2"/>
  <c r="B1316" i="2"/>
  <c r="B1315" i="2"/>
  <c r="B1314" i="2"/>
  <c r="B1313" i="2"/>
  <c r="B1312" i="2"/>
  <c r="B1311" i="2"/>
  <c r="B1310" i="2"/>
  <c r="B1309" i="2"/>
  <c r="B1308" i="2"/>
  <c r="B1307" i="2"/>
  <c r="B1306" i="2"/>
  <c r="B1305" i="2"/>
  <c r="B1304" i="2"/>
  <c r="B1303" i="2"/>
  <c r="B1302" i="2"/>
  <c r="B1301" i="2"/>
  <c r="B1300" i="2"/>
  <c r="B1299" i="2"/>
  <c r="B1298" i="2"/>
  <c r="B1297" i="2"/>
  <c r="B1296" i="2"/>
  <c r="B1295" i="2"/>
  <c r="B1294" i="2"/>
  <c r="B1293" i="2"/>
  <c r="B1292" i="2"/>
  <c r="B1291" i="2"/>
  <c r="B1290" i="2"/>
  <c r="B1289" i="2"/>
  <c r="B1288" i="2"/>
  <c r="B1287" i="2"/>
  <c r="B1286" i="2"/>
  <c r="B1285" i="2"/>
  <c r="B1284" i="2"/>
  <c r="B1283" i="2"/>
  <c r="B1282" i="2"/>
  <c r="B1281" i="2"/>
  <c r="B1280" i="2"/>
  <c r="B1279" i="2"/>
  <c r="B1278" i="2"/>
  <c r="B1277" i="2"/>
  <c r="B1276" i="2"/>
  <c r="B1275" i="2"/>
  <c r="B1274" i="2"/>
  <c r="B1273" i="2"/>
  <c r="B1272" i="2"/>
  <c r="B1271" i="2"/>
  <c r="B1270" i="2"/>
  <c r="B1269" i="2"/>
  <c r="B1268" i="2"/>
  <c r="B1267" i="2"/>
  <c r="B1266" i="2"/>
  <c r="B1265" i="2"/>
  <c r="B1264" i="2"/>
  <c r="B1263" i="2"/>
  <c r="B1262" i="2"/>
  <c r="B1261" i="2"/>
  <c r="B1260" i="2"/>
  <c r="B1259" i="2"/>
  <c r="B1258" i="2"/>
  <c r="B1257" i="2"/>
  <c r="B1256" i="2"/>
  <c r="B1255" i="2"/>
  <c r="B1254" i="2"/>
  <c r="B1253" i="2"/>
  <c r="B1252" i="2"/>
  <c r="B1251" i="2"/>
  <c r="B1250" i="2"/>
  <c r="B1249" i="2"/>
  <c r="B1248" i="2"/>
  <c r="B1247" i="2"/>
  <c r="B1246" i="2"/>
  <c r="B1245" i="2"/>
  <c r="B1244" i="2"/>
  <c r="B1243" i="2"/>
  <c r="B1242" i="2"/>
  <c r="B1241" i="2"/>
  <c r="B1240" i="2"/>
  <c r="B1239" i="2"/>
  <c r="B1238" i="2"/>
  <c r="B1237" i="2"/>
  <c r="B1236" i="2"/>
  <c r="B1235" i="2"/>
  <c r="B1234" i="2"/>
  <c r="B1233" i="2"/>
  <c r="B1232" i="2"/>
  <c r="B1231" i="2"/>
  <c r="B1230" i="2"/>
  <c r="B1229" i="2"/>
  <c r="B1228" i="2"/>
  <c r="B1227" i="2"/>
  <c r="B1226" i="2"/>
  <c r="D1226" i="2" s="1"/>
  <c r="B1225" i="2"/>
  <c r="D1225" i="2" s="1"/>
  <c r="B1224" i="2"/>
  <c r="B1223" i="2"/>
  <c r="B1222" i="2"/>
  <c r="B1221" i="2"/>
  <c r="B1220" i="2"/>
  <c r="B1219" i="2"/>
  <c r="D1219" i="2" s="1"/>
  <c r="B1218" i="2"/>
  <c r="B1217" i="2"/>
  <c r="B1216" i="2"/>
  <c r="B1215" i="2"/>
  <c r="B1214" i="2"/>
  <c r="B1213" i="2"/>
  <c r="B1212" i="2"/>
  <c r="B1211" i="2"/>
  <c r="B1210" i="2"/>
  <c r="B1209" i="2"/>
  <c r="B1208" i="2"/>
  <c r="B1207" i="2"/>
  <c r="B1206" i="2"/>
  <c r="B1205" i="2"/>
  <c r="B1204" i="2"/>
  <c r="D1204" i="2" s="1"/>
  <c r="B1203" i="2"/>
  <c r="B1202" i="2"/>
  <c r="B1201" i="2"/>
  <c r="B1200" i="2"/>
  <c r="B1199" i="2"/>
  <c r="B1198" i="2"/>
  <c r="B1197" i="2"/>
  <c r="B1196" i="2"/>
  <c r="B1195" i="2"/>
  <c r="B1194" i="2"/>
  <c r="B1193" i="2"/>
  <c r="B1192" i="2"/>
  <c r="B1191" i="2"/>
  <c r="B1190" i="2"/>
  <c r="B1189" i="2"/>
  <c r="B1188" i="2"/>
  <c r="B1187" i="2"/>
  <c r="B1186" i="2"/>
  <c r="B1185" i="2"/>
  <c r="B1184" i="2"/>
  <c r="B1183" i="2"/>
  <c r="D1183" i="2" s="1"/>
  <c r="B1182" i="2"/>
  <c r="B1181" i="2"/>
  <c r="D1181" i="2" s="1"/>
  <c r="B1180" i="2"/>
  <c r="B1179" i="2"/>
  <c r="B1178" i="2"/>
  <c r="B1177" i="2"/>
  <c r="B1176" i="2"/>
  <c r="B1175" i="2"/>
  <c r="D1175" i="2" s="1"/>
  <c r="B1174" i="2"/>
  <c r="B1173" i="2"/>
  <c r="B1172" i="2"/>
  <c r="B1171" i="2"/>
  <c r="B1170" i="2"/>
  <c r="B19" i="2"/>
  <c r="B1169" i="2"/>
  <c r="B1168" i="2"/>
  <c r="B1167" i="2"/>
  <c r="B1166" i="2"/>
  <c r="B1165" i="2"/>
  <c r="B1164" i="2"/>
  <c r="B1163" i="2"/>
  <c r="B1162" i="2"/>
  <c r="B1161" i="2"/>
  <c r="B1160" i="2"/>
  <c r="B1159" i="2"/>
  <c r="B1158" i="2"/>
  <c r="B1157" i="2"/>
  <c r="B1156" i="2"/>
  <c r="B1155" i="2"/>
  <c r="B1154" i="2"/>
  <c r="D1154" i="2" s="1"/>
  <c r="B1153" i="2"/>
  <c r="B1152" i="2"/>
  <c r="B1151" i="2"/>
  <c r="B1150" i="2"/>
  <c r="B1149" i="2"/>
  <c r="B1148" i="2"/>
  <c r="D1148" i="2" s="1"/>
  <c r="B1147" i="2"/>
  <c r="B1146" i="2"/>
  <c r="B1145" i="2"/>
  <c r="B1144" i="2"/>
  <c r="B1143" i="2"/>
  <c r="B1142" i="2"/>
  <c r="B1141" i="2"/>
  <c r="B1140" i="2"/>
  <c r="D1140" i="2" s="1"/>
  <c r="B1139" i="2"/>
  <c r="D1139" i="2" s="1"/>
  <c r="B1138" i="2"/>
  <c r="B1137" i="2"/>
  <c r="B1136" i="2"/>
  <c r="B1135" i="2"/>
  <c r="B1134" i="2"/>
  <c r="B1133" i="2"/>
  <c r="D1133" i="2" s="1"/>
  <c r="B1132" i="2"/>
  <c r="B1131" i="2"/>
  <c r="B1130" i="2"/>
  <c r="B1129" i="2"/>
  <c r="B1128" i="2"/>
  <c r="B1127" i="2"/>
  <c r="B1126" i="2"/>
  <c r="B1125" i="2"/>
  <c r="B1124" i="2"/>
  <c r="B1123" i="2"/>
  <c r="B1122" i="2"/>
  <c r="B1121" i="2"/>
  <c r="B1120" i="2"/>
  <c r="B1119" i="2"/>
  <c r="D1119" i="2" s="1"/>
  <c r="B1118" i="2"/>
  <c r="D1118" i="2" s="1"/>
  <c r="B1117" i="2"/>
  <c r="B1116" i="2"/>
  <c r="B1115" i="2"/>
  <c r="B1114" i="2"/>
  <c r="B1113" i="2"/>
  <c r="B1112" i="2"/>
  <c r="D1112" i="2" s="1"/>
  <c r="B1111" i="2"/>
  <c r="B1110" i="2"/>
  <c r="B1109" i="2"/>
  <c r="B1108" i="2"/>
  <c r="B1107" i="2"/>
  <c r="B1106" i="2"/>
  <c r="B1105" i="2"/>
  <c r="B1104" i="2"/>
  <c r="B1103" i="2"/>
  <c r="B1102" i="2"/>
  <c r="B1101" i="2"/>
  <c r="B1100" i="2"/>
  <c r="B1099" i="2"/>
  <c r="B1098" i="2"/>
  <c r="B1097" i="2"/>
  <c r="D1097" i="2" s="1"/>
  <c r="B1096" i="2"/>
  <c r="B1095" i="2"/>
  <c r="B1094" i="2"/>
  <c r="B1093" i="2"/>
  <c r="B1092" i="2"/>
  <c r="B1091" i="2"/>
  <c r="B1090" i="2"/>
  <c r="B1089" i="2"/>
  <c r="B1088" i="2"/>
  <c r="B1087" i="2"/>
  <c r="B1086" i="2"/>
  <c r="B1085" i="2"/>
  <c r="B1084" i="2"/>
  <c r="B1083" i="2"/>
  <c r="B1082" i="2"/>
  <c r="B1081" i="2"/>
  <c r="B1080" i="2"/>
  <c r="B1079" i="2"/>
  <c r="B1078" i="2"/>
  <c r="B1077" i="2"/>
  <c r="B1076" i="2"/>
  <c r="D1076" i="2" s="1"/>
  <c r="B1075" i="2"/>
  <c r="B55" i="2"/>
  <c r="D55" i="2" s="1"/>
  <c r="B1074" i="2"/>
  <c r="B1073" i="2"/>
  <c r="B1072" i="2"/>
  <c r="B1071" i="2"/>
  <c r="B1070" i="2"/>
  <c r="B1069" i="2"/>
  <c r="D1069" i="2" s="1"/>
  <c r="B1068" i="2"/>
  <c r="B1067" i="2"/>
  <c r="B1066" i="2"/>
  <c r="B1065" i="2"/>
  <c r="B1064" i="2"/>
  <c r="B1063" i="2"/>
  <c r="B1062" i="2"/>
  <c r="B1061" i="2"/>
  <c r="B1060" i="2"/>
  <c r="B1059" i="2"/>
  <c r="B1058" i="2"/>
  <c r="B1057" i="2"/>
  <c r="B1056" i="2"/>
  <c r="B1055" i="2"/>
  <c r="B1054" i="2"/>
  <c r="B1053" i="2"/>
  <c r="B1052" i="2"/>
  <c r="B1051" i="2"/>
  <c r="B1050" i="2"/>
  <c r="B1049" i="2"/>
  <c r="B1048" i="2"/>
  <c r="B1047" i="2"/>
  <c r="D1047" i="2" s="1"/>
  <c r="B1046" i="2"/>
  <c r="B1045" i="2"/>
  <c r="B1044" i="2"/>
  <c r="B1043" i="2"/>
  <c r="B1042" i="2"/>
  <c r="B1041" i="2"/>
  <c r="D1041" i="2" s="1"/>
  <c r="B1040" i="2"/>
  <c r="B1039" i="2"/>
  <c r="B1038" i="2"/>
  <c r="B1037" i="2"/>
  <c r="B1036" i="2"/>
  <c r="B1035" i="2"/>
  <c r="B1034" i="2"/>
  <c r="B1033" i="2"/>
  <c r="D1033" i="2" s="1"/>
  <c r="B1032" i="2"/>
  <c r="D1032" i="2" s="1"/>
  <c r="B1031" i="2"/>
  <c r="B1030" i="2"/>
  <c r="B1029" i="2"/>
  <c r="B1028" i="2"/>
  <c r="B1027" i="2"/>
  <c r="B1026" i="2"/>
  <c r="D1026" i="2" s="1"/>
  <c r="B1025" i="2"/>
  <c r="B1024" i="2"/>
  <c r="B1023" i="2"/>
  <c r="B1022" i="2"/>
  <c r="B1021" i="2"/>
  <c r="B1020" i="2"/>
  <c r="B1019" i="2"/>
  <c r="B1018" i="2"/>
  <c r="B1017" i="2"/>
  <c r="B1016" i="2"/>
  <c r="B1015" i="2"/>
  <c r="B1014" i="2"/>
  <c r="B1013" i="2"/>
  <c r="B1012" i="2"/>
  <c r="B1011" i="2"/>
  <c r="D1011" i="2" s="1"/>
  <c r="B1010" i="2"/>
  <c r="B1009" i="2"/>
  <c r="B1008" i="2"/>
  <c r="B1007" i="2"/>
  <c r="B1006" i="2"/>
  <c r="B1005" i="2"/>
  <c r="D1005" i="2" s="1"/>
  <c r="B1004" i="2"/>
  <c r="B1003" i="2"/>
  <c r="B1002" i="2"/>
  <c r="B1001" i="2"/>
  <c r="B1000" i="2"/>
  <c r="B999" i="2"/>
  <c r="B998" i="2"/>
  <c r="B997" i="2"/>
  <c r="B996" i="2"/>
  <c r="B995" i="2"/>
  <c r="B994" i="2"/>
  <c r="B993" i="2"/>
  <c r="B992" i="2"/>
  <c r="B991" i="2"/>
  <c r="B990" i="2"/>
  <c r="D990" i="2" s="1"/>
  <c r="B989" i="2"/>
  <c r="B988" i="2"/>
  <c r="B987" i="2"/>
  <c r="B986" i="2"/>
  <c r="B985" i="2"/>
  <c r="B984" i="2"/>
  <c r="B983" i="2"/>
  <c r="B982" i="2"/>
  <c r="B981" i="2"/>
  <c r="B980" i="2"/>
  <c r="B979" i="2"/>
  <c r="B978" i="2"/>
  <c r="B977" i="2"/>
  <c r="B976" i="2"/>
  <c r="B975" i="2"/>
  <c r="B974" i="2"/>
  <c r="B973" i="2"/>
  <c r="B972" i="2"/>
  <c r="B971" i="2"/>
  <c r="B970" i="2"/>
  <c r="B969" i="2"/>
  <c r="D969" i="2" s="1"/>
  <c r="B968" i="2"/>
  <c r="B967" i="2"/>
  <c r="D967" i="2" s="1"/>
  <c r="B966" i="2"/>
  <c r="B965" i="2"/>
  <c r="B964" i="2"/>
  <c r="B963" i="2"/>
  <c r="B962" i="2"/>
  <c r="B961" i="2"/>
  <c r="D961" i="2" s="1"/>
  <c r="B960" i="2"/>
  <c r="B959" i="2"/>
  <c r="B958" i="2"/>
  <c r="B957" i="2"/>
  <c r="B956" i="2"/>
  <c r="B955" i="2"/>
  <c r="B954" i="2"/>
  <c r="B953" i="2"/>
  <c r="B952" i="2"/>
  <c r="B951" i="2"/>
  <c r="B950" i="2"/>
  <c r="B949" i="2"/>
  <c r="B948" i="2"/>
  <c r="B947" i="2"/>
  <c r="B946" i="2"/>
  <c r="B945" i="2"/>
  <c r="B944" i="2"/>
  <c r="B943" i="2"/>
  <c r="B942" i="2"/>
  <c r="B941" i="2"/>
  <c r="B940" i="2"/>
  <c r="B939" i="2"/>
  <c r="D939" i="2" s="1"/>
  <c r="B938" i="2"/>
  <c r="B937" i="2"/>
  <c r="B936" i="2"/>
  <c r="B935" i="2"/>
  <c r="B934" i="2"/>
  <c r="B933" i="2"/>
  <c r="D933" i="2" s="1"/>
  <c r="B932" i="2"/>
  <c r="B931" i="2"/>
  <c r="B930" i="2"/>
  <c r="B929" i="2"/>
  <c r="B928" i="2"/>
  <c r="B927" i="2"/>
  <c r="B926" i="2"/>
  <c r="B925" i="2"/>
  <c r="D925" i="2" s="1"/>
  <c r="B924" i="2"/>
  <c r="D924" i="2" s="1"/>
  <c r="B923" i="2"/>
  <c r="B922" i="2"/>
  <c r="B921" i="2"/>
  <c r="B920" i="2"/>
  <c r="B919" i="2"/>
  <c r="B918" i="2"/>
  <c r="D918" i="2" s="1"/>
  <c r="B917" i="2"/>
  <c r="B916" i="2"/>
  <c r="B915" i="2"/>
  <c r="B914" i="2"/>
  <c r="B913" i="2"/>
  <c r="B912" i="2"/>
  <c r="B911" i="2"/>
  <c r="B910" i="2"/>
  <c r="B909" i="2"/>
  <c r="B908" i="2"/>
  <c r="B907" i="2"/>
  <c r="B906" i="2"/>
  <c r="B905" i="2"/>
  <c r="B904" i="2"/>
  <c r="D904" i="2" s="1"/>
  <c r="B903" i="2"/>
  <c r="D903" i="2" s="1"/>
  <c r="B902" i="2"/>
  <c r="B901" i="2"/>
  <c r="B900" i="2"/>
  <c r="B899" i="2"/>
  <c r="B898" i="2"/>
  <c r="B897" i="2"/>
  <c r="D897" i="2" s="1"/>
  <c r="B896" i="2"/>
  <c r="B895" i="2"/>
  <c r="B894" i="2"/>
  <c r="B893" i="2"/>
  <c r="B892" i="2"/>
  <c r="B891" i="2"/>
  <c r="B890" i="2"/>
  <c r="B889" i="2"/>
  <c r="B888" i="2"/>
  <c r="B887" i="2"/>
  <c r="B886" i="2"/>
  <c r="B885" i="2"/>
  <c r="B884" i="2"/>
  <c r="B883" i="2"/>
  <c r="B882" i="2"/>
  <c r="D882" i="2" s="1"/>
  <c r="B881" i="2"/>
  <c r="B880" i="2"/>
  <c r="B879" i="2"/>
  <c r="B878" i="2"/>
  <c r="B877" i="2"/>
  <c r="B876" i="2"/>
  <c r="B875" i="2"/>
  <c r="B874" i="2"/>
  <c r="B873" i="2"/>
  <c r="B872" i="2"/>
  <c r="B871" i="2"/>
  <c r="B870" i="2"/>
  <c r="B869" i="2"/>
  <c r="B868" i="2"/>
  <c r="B867" i="2"/>
  <c r="B866" i="2"/>
  <c r="B865" i="2"/>
  <c r="B864" i="2"/>
  <c r="B863" i="2"/>
  <c r="B862" i="2"/>
  <c r="B861" i="2"/>
  <c r="D861" i="2" s="1"/>
  <c r="B860" i="2"/>
  <c r="B859" i="2"/>
  <c r="D859" i="2" s="1"/>
  <c r="B858" i="2"/>
  <c r="B857" i="2"/>
  <c r="B856" i="2"/>
  <c r="B855" i="2"/>
  <c r="B854" i="2"/>
  <c r="B853" i="2"/>
  <c r="D853" i="2" s="1"/>
  <c r="B852" i="2"/>
  <c r="B851" i="2"/>
  <c r="B850" i="2"/>
  <c r="B849" i="2"/>
  <c r="B848" i="2"/>
  <c r="B847" i="2"/>
  <c r="B846" i="2"/>
  <c r="B845" i="2"/>
  <c r="B844" i="2"/>
  <c r="B843" i="2"/>
  <c r="B842" i="2"/>
  <c r="B841" i="2"/>
  <c r="B840" i="2"/>
  <c r="B839" i="2"/>
  <c r="B838" i="2"/>
  <c r="B837" i="2"/>
  <c r="B836" i="2"/>
  <c r="B835" i="2"/>
  <c r="B834" i="2"/>
  <c r="B833" i="2"/>
  <c r="B832" i="2"/>
  <c r="B831" i="2"/>
  <c r="D831" i="2" s="1"/>
  <c r="B830" i="2"/>
  <c r="B829" i="2"/>
  <c r="B828" i="2"/>
  <c r="B827" i="2"/>
  <c r="B826" i="2"/>
  <c r="B825" i="2"/>
  <c r="D825" i="2" s="1"/>
  <c r="B824" i="2"/>
  <c r="B823" i="2"/>
  <c r="B822" i="2"/>
  <c r="B821" i="2"/>
  <c r="B820" i="2"/>
  <c r="B819" i="2"/>
  <c r="B818" i="2"/>
  <c r="B817" i="2"/>
  <c r="D817" i="2" s="1"/>
  <c r="B816" i="2"/>
  <c r="D816" i="2" s="1"/>
  <c r="B815" i="2"/>
  <c r="B814" i="2"/>
  <c r="B813" i="2"/>
  <c r="B812" i="2"/>
  <c r="B811" i="2"/>
  <c r="B810" i="2"/>
  <c r="D810" i="2" s="1"/>
  <c r="B809" i="2"/>
  <c r="B808" i="2"/>
  <c r="B807" i="2"/>
  <c r="B806" i="2"/>
  <c r="B805" i="2"/>
  <c r="B804" i="2"/>
  <c r="B803" i="2"/>
  <c r="B802" i="2"/>
  <c r="B801" i="2"/>
  <c r="B800" i="2"/>
  <c r="B799" i="2"/>
  <c r="B798" i="2"/>
  <c r="B797" i="2"/>
  <c r="B796" i="2"/>
  <c r="D796" i="2" s="1"/>
  <c r="B795" i="2"/>
  <c r="D795" i="2" s="1"/>
  <c r="B794" i="2"/>
  <c r="B793" i="2"/>
  <c r="B792" i="2"/>
  <c r="B791" i="2"/>
  <c r="B790" i="2"/>
  <c r="B789" i="2"/>
  <c r="D789" i="2" s="1"/>
  <c r="B64" i="2"/>
  <c r="B788" i="2"/>
  <c r="B787" i="2"/>
  <c r="B786" i="2"/>
  <c r="B785" i="2"/>
  <c r="B784" i="2"/>
  <c r="B783" i="2"/>
  <c r="B782" i="2"/>
  <c r="E782" i="2" s="1"/>
  <c r="B781" i="2"/>
  <c r="B780" i="2"/>
  <c r="B779" i="2"/>
  <c r="B778" i="2"/>
  <c r="B777" i="2"/>
  <c r="B776" i="2"/>
  <c r="B775" i="2"/>
  <c r="D775" i="2" s="1"/>
  <c r="B774" i="2"/>
  <c r="B773" i="2"/>
  <c r="B772" i="2"/>
  <c r="B771" i="2"/>
  <c r="B770" i="2"/>
  <c r="B769" i="2"/>
  <c r="B768" i="2"/>
  <c r="B767" i="2"/>
  <c r="B766" i="2"/>
  <c r="B765" i="2"/>
  <c r="B764" i="2"/>
  <c r="B763" i="2"/>
  <c r="B762" i="2"/>
  <c r="B761" i="2"/>
  <c r="B760" i="2"/>
  <c r="B759" i="2"/>
  <c r="B758" i="2"/>
  <c r="B757" i="2"/>
  <c r="B756" i="2"/>
  <c r="B755" i="2"/>
  <c r="B754" i="2"/>
  <c r="D754" i="2" s="1"/>
  <c r="B753" i="2"/>
  <c r="B752" i="2"/>
  <c r="D752" i="2" s="1"/>
  <c r="B751" i="2"/>
  <c r="B750" i="2"/>
  <c r="B749" i="2"/>
  <c r="B748" i="2"/>
  <c r="B747" i="2"/>
  <c r="B746" i="2"/>
  <c r="D746" i="2" s="1"/>
  <c r="B745" i="2"/>
  <c r="B744" i="2"/>
  <c r="B743" i="2"/>
  <c r="B742" i="2"/>
  <c r="B741" i="2"/>
  <c r="B740" i="2"/>
  <c r="B739" i="2"/>
  <c r="B738" i="2"/>
  <c r="B737" i="2"/>
  <c r="B736" i="2"/>
  <c r="B735" i="2"/>
  <c r="B734" i="2"/>
  <c r="B733" i="2"/>
  <c r="B732" i="2"/>
  <c r="B731" i="2"/>
  <c r="B730" i="2"/>
  <c r="B729" i="2"/>
  <c r="B728" i="2"/>
  <c r="B727" i="2"/>
  <c r="B726" i="2"/>
  <c r="B725" i="2"/>
  <c r="B724" i="2"/>
  <c r="D724" i="2" s="1"/>
  <c r="B723" i="2"/>
  <c r="B722" i="2"/>
  <c r="B721" i="2"/>
  <c r="B720" i="2"/>
  <c r="B719" i="2"/>
  <c r="B718" i="2"/>
  <c r="D718" i="2" s="1"/>
  <c r="B717" i="2"/>
  <c r="B716" i="2"/>
  <c r="B715" i="2"/>
  <c r="B714" i="2"/>
  <c r="B713" i="2"/>
  <c r="B712" i="2"/>
  <c r="B711" i="2"/>
  <c r="B710" i="2"/>
  <c r="D710" i="2" s="1"/>
  <c r="B709" i="2"/>
  <c r="D709" i="2" s="1"/>
  <c r="B708" i="2"/>
  <c r="B707" i="2"/>
  <c r="B706" i="2"/>
  <c r="B705" i="2"/>
  <c r="B704" i="2"/>
  <c r="B703" i="2"/>
  <c r="D703" i="2" s="1"/>
  <c r="B702" i="2"/>
  <c r="B701" i="2"/>
  <c r="B700" i="2"/>
  <c r="B699" i="2"/>
  <c r="B698" i="2"/>
  <c r="B697" i="2"/>
  <c r="B696" i="2"/>
  <c r="B695" i="2"/>
  <c r="B694" i="2"/>
  <c r="B693" i="2"/>
  <c r="B692" i="2"/>
  <c r="B691" i="2"/>
  <c r="B690" i="2"/>
  <c r="B689" i="2"/>
  <c r="B688" i="2"/>
  <c r="D688" i="2" s="1"/>
  <c r="B687" i="2"/>
  <c r="B686" i="2"/>
  <c r="B685" i="2"/>
  <c r="B684" i="2"/>
  <c r="B683" i="2"/>
  <c r="B682" i="2"/>
  <c r="D682" i="2" s="1"/>
  <c r="B681" i="2"/>
  <c r="B680" i="2"/>
  <c r="B679" i="2"/>
  <c r="B678" i="2"/>
  <c r="B677" i="2"/>
  <c r="B676" i="2"/>
  <c r="B675" i="2"/>
  <c r="B674" i="2"/>
  <c r="B673" i="2"/>
  <c r="B672" i="2"/>
  <c r="B671" i="2"/>
  <c r="B670" i="2"/>
  <c r="B669" i="2"/>
  <c r="B668" i="2"/>
  <c r="B667" i="2"/>
  <c r="D667" i="2" s="1"/>
  <c r="B666" i="2"/>
  <c r="B665" i="2"/>
  <c r="B664" i="2"/>
  <c r="B663" i="2"/>
  <c r="B662" i="2"/>
  <c r="B661" i="2"/>
  <c r="B660" i="2"/>
  <c r="B659" i="2"/>
  <c r="B658" i="2"/>
  <c r="B657" i="2"/>
  <c r="B656" i="2"/>
  <c r="B655" i="2"/>
  <c r="B654" i="2"/>
  <c r="B653" i="2"/>
  <c r="B652" i="2"/>
  <c r="B651" i="2"/>
  <c r="B650" i="2"/>
  <c r="B649" i="2"/>
  <c r="B648" i="2"/>
  <c r="B647" i="2"/>
  <c r="B646" i="2"/>
  <c r="D646" i="2" s="1"/>
  <c r="B645" i="2"/>
  <c r="B644" i="2"/>
  <c r="B643" i="2"/>
  <c r="B642" i="2"/>
  <c r="B641" i="2"/>
  <c r="B640" i="2"/>
  <c r="B639" i="2"/>
  <c r="B638" i="2"/>
  <c r="D638" i="2" s="1"/>
  <c r="B637" i="2"/>
  <c r="B636" i="2"/>
  <c r="B635" i="2"/>
  <c r="B634" i="2"/>
  <c r="B633" i="2"/>
  <c r="B632" i="2"/>
  <c r="B631" i="2"/>
  <c r="D631" i="2" s="1"/>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D602" i="2" s="1"/>
  <c r="B601" i="2"/>
  <c r="B600" i="2"/>
  <c r="B599" i="2"/>
  <c r="B598" i="2"/>
  <c r="B597" i="2"/>
  <c r="B596" i="2"/>
  <c r="B595" i="2"/>
  <c r="D595" i="2" s="1"/>
  <c r="B594" i="2"/>
  <c r="B593" i="2"/>
  <c r="B592" i="2"/>
  <c r="B591" i="2"/>
  <c r="B590" i="2"/>
  <c r="B589" i="2"/>
  <c r="B588" i="2"/>
  <c r="B587" i="2"/>
  <c r="B586" i="2"/>
  <c r="B585" i="2"/>
  <c r="B584" i="2"/>
  <c r="B583" i="2"/>
  <c r="B582" i="2"/>
  <c r="B581" i="2"/>
  <c r="B580" i="2"/>
  <c r="B579" i="2"/>
  <c r="B578" i="2"/>
  <c r="B577" i="2"/>
  <c r="B576" i="2"/>
  <c r="B575" i="2"/>
  <c r="B574" i="2"/>
  <c r="D574" i="2" s="1"/>
  <c r="B573" i="2"/>
  <c r="B572" i="2"/>
  <c r="B571" i="2"/>
  <c r="B570" i="2"/>
  <c r="B569" i="2"/>
  <c r="B568" i="2"/>
  <c r="B567" i="2"/>
  <c r="B566" i="2"/>
  <c r="B565" i="2"/>
  <c r="B564" i="2"/>
  <c r="B563" i="2"/>
  <c r="B562" i="2"/>
  <c r="B561" i="2"/>
  <c r="B560" i="2"/>
  <c r="B559" i="2"/>
  <c r="D559" i="2" s="1"/>
  <c r="B558" i="2"/>
  <c r="B557" i="2"/>
  <c r="B556" i="2"/>
  <c r="B555" i="2"/>
  <c r="B554" i="2"/>
  <c r="B553" i="2"/>
  <c r="B552" i="2"/>
  <c r="B551" i="2"/>
  <c r="B550" i="2"/>
  <c r="B549" i="2"/>
  <c r="B548" i="2"/>
  <c r="B547" i="2"/>
  <c r="B546" i="2"/>
  <c r="B545" i="2"/>
  <c r="B544" i="2"/>
  <c r="B543" i="2"/>
  <c r="B542" i="2"/>
  <c r="B541" i="2"/>
  <c r="B540" i="2"/>
  <c r="B539" i="2"/>
  <c r="B538" i="2"/>
  <c r="D538" i="2" s="1"/>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D502" i="2" s="1"/>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D473" i="2" s="1"/>
  <c r="B472" i="2"/>
  <c r="B471" i="2"/>
  <c r="B470" i="2"/>
  <c r="B469" i="2"/>
  <c r="B468" i="2"/>
  <c r="B467" i="2"/>
  <c r="B466" i="2"/>
  <c r="B465" i="2"/>
  <c r="B464" i="2"/>
  <c r="D464" i="2" s="1"/>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D419" i="2" s="1"/>
  <c r="B418" i="2"/>
  <c r="B417" i="2"/>
  <c r="B416" i="2"/>
  <c r="B415" i="2"/>
  <c r="B414" i="2"/>
  <c r="B413" i="2"/>
  <c r="B412" i="2"/>
  <c r="B411" i="2"/>
  <c r="B410" i="2"/>
  <c r="D410" i="2" s="1"/>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D346" i="2" s="1"/>
  <c r="B345" i="2"/>
  <c r="B344" i="2"/>
  <c r="B343" i="2"/>
  <c r="B342" i="2"/>
  <c r="B341" i="2"/>
  <c r="B340" i="2"/>
  <c r="B339" i="2"/>
  <c r="B338" i="2"/>
  <c r="B337" i="2"/>
  <c r="B336" i="2"/>
  <c r="B335" i="2"/>
  <c r="B334" i="2"/>
  <c r="B333" i="2"/>
  <c r="B332" i="2"/>
  <c r="B331" i="2"/>
  <c r="B330" i="2"/>
  <c r="B329" i="2"/>
  <c r="B328" i="2"/>
  <c r="D328" i="2" s="1"/>
  <c r="B327" i="2"/>
  <c r="B326" i="2"/>
  <c r="B325" i="2"/>
  <c r="B324" i="2"/>
  <c r="B323" i="2"/>
  <c r="B322" i="2"/>
  <c r="B321" i="2"/>
  <c r="B320" i="2"/>
  <c r="B319" i="2"/>
  <c r="B318" i="2"/>
  <c r="B317" i="2"/>
  <c r="B316" i="2"/>
  <c r="B315" i="2"/>
  <c r="B314" i="2"/>
  <c r="B313" i="2"/>
  <c r="B312" i="2"/>
  <c r="B311" i="2"/>
  <c r="B310" i="2"/>
  <c r="D310" i="2" s="1"/>
  <c r="B309" i="2"/>
  <c r="B308" i="2"/>
  <c r="B307" i="2"/>
  <c r="B306" i="2"/>
  <c r="B305" i="2"/>
  <c r="B304" i="2"/>
  <c r="B303" i="2"/>
  <c r="B302" i="2"/>
  <c r="B301" i="2"/>
  <c r="B300" i="2"/>
  <c r="B299" i="2"/>
  <c r="B298" i="2"/>
  <c r="B297" i="2"/>
  <c r="B296" i="2"/>
  <c r="B295" i="2"/>
  <c r="B294" i="2"/>
  <c r="B293" i="2"/>
  <c r="B292" i="2"/>
  <c r="D292" i="2" s="1"/>
  <c r="B291" i="2"/>
  <c r="B290" i="2"/>
  <c r="B289" i="2"/>
  <c r="B288" i="2"/>
  <c r="B287" i="2"/>
  <c r="B286" i="2"/>
  <c r="B285" i="2"/>
  <c r="B284" i="2"/>
  <c r="B283" i="2"/>
  <c r="B282" i="2"/>
  <c r="B66" i="2"/>
  <c r="B281" i="2"/>
  <c r="B280" i="2"/>
  <c r="B279" i="2"/>
  <c r="B278" i="2"/>
  <c r="B277" i="2"/>
  <c r="B276" i="2"/>
  <c r="B275" i="2"/>
  <c r="D275" i="2" s="1"/>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D239" i="2" s="1"/>
  <c r="B238" i="2"/>
  <c r="B237" i="2"/>
  <c r="B236" i="2"/>
  <c r="B235" i="2"/>
  <c r="B234" i="2"/>
  <c r="B233" i="2"/>
  <c r="B232" i="2"/>
  <c r="B231" i="2"/>
  <c r="B230" i="2"/>
  <c r="B229" i="2"/>
  <c r="B228" i="2"/>
  <c r="B227" i="2"/>
  <c r="B226" i="2"/>
  <c r="B225" i="2"/>
  <c r="B224" i="2"/>
  <c r="B223" i="2"/>
  <c r="B222" i="2"/>
  <c r="B221" i="2"/>
  <c r="D221" i="2" s="1"/>
  <c r="B220" i="2"/>
  <c r="B219" i="2"/>
  <c r="B218" i="2"/>
  <c r="B217" i="2"/>
  <c r="B216" i="2"/>
  <c r="B215" i="2"/>
  <c r="B214" i="2"/>
  <c r="B213" i="2"/>
  <c r="B212" i="2"/>
  <c r="B211" i="2"/>
  <c r="B210" i="2"/>
  <c r="B209" i="2"/>
  <c r="B208" i="2"/>
  <c r="B207" i="2"/>
  <c r="B206" i="2"/>
  <c r="B205" i="2"/>
  <c r="B204" i="2"/>
  <c r="B203" i="2"/>
  <c r="B202" i="2"/>
  <c r="B201" i="2"/>
  <c r="B200" i="2"/>
  <c r="B199" i="2"/>
  <c r="B198" i="2"/>
  <c r="B197" i="2"/>
  <c r="D197" i="2" s="1"/>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D161" i="2" s="1"/>
  <c r="B160" i="2"/>
  <c r="B159" i="2"/>
  <c r="B158" i="2"/>
  <c r="B157" i="2"/>
  <c r="B156" i="2"/>
  <c r="B155" i="2"/>
  <c r="B154" i="2"/>
  <c r="B153" i="2"/>
  <c r="B152" i="2"/>
  <c r="B151" i="2"/>
  <c r="B150" i="2"/>
  <c r="B149" i="2"/>
  <c r="B148" i="2"/>
  <c r="B147" i="2"/>
  <c r="B17" i="2"/>
  <c r="B145" i="2"/>
  <c r="B144" i="2"/>
  <c r="B143" i="2"/>
  <c r="B142" i="2"/>
  <c r="B141" i="2"/>
  <c r="B140" i="2"/>
  <c r="B139" i="2"/>
  <c r="B138" i="2"/>
  <c r="B137" i="2"/>
  <c r="B136" i="2"/>
  <c r="B135" i="2"/>
  <c r="B40" i="2"/>
  <c r="B52" i="2"/>
  <c r="B42" i="2"/>
  <c r="B133" i="2"/>
  <c r="B132" i="2"/>
  <c r="B48" i="2"/>
  <c r="B131" i="2"/>
  <c r="B130" i="2"/>
  <c r="B129" i="2"/>
  <c r="B128" i="2"/>
  <c r="D128" i="2" s="1"/>
  <c r="B26" i="2"/>
  <c r="B127" i="2"/>
  <c r="B126" i="2"/>
  <c r="B125" i="2"/>
  <c r="B124" i="2"/>
  <c r="B38" i="2"/>
  <c r="B1905" i="2"/>
  <c r="B123" i="2"/>
  <c r="B122" i="2"/>
  <c r="B121" i="2"/>
  <c r="B60" i="2"/>
  <c r="B120" i="2"/>
  <c r="B30" i="2"/>
  <c r="B119" i="2"/>
  <c r="B118" i="2"/>
  <c r="B117" i="2"/>
  <c r="B20" i="2"/>
  <c r="B116" i="2"/>
  <c r="B32" i="2"/>
  <c r="B69" i="2"/>
  <c r="B115" i="2"/>
  <c r="B114" i="2"/>
  <c r="B12" i="2"/>
  <c r="B113" i="2"/>
  <c r="B112" i="2"/>
  <c r="B111" i="2"/>
  <c r="B110" i="2"/>
  <c r="B109" i="2"/>
  <c r="B53" i="2"/>
  <c r="B47" i="2"/>
  <c r="B107" i="2"/>
  <c r="B106" i="2"/>
  <c r="B105" i="2"/>
  <c r="B104" i="2"/>
  <c r="B51" i="2"/>
  <c r="B103" i="2"/>
  <c r="B61" i="2"/>
  <c r="B65" i="2"/>
  <c r="B27" i="2"/>
  <c r="B46" i="2"/>
  <c r="B102" i="2"/>
  <c r="B101" i="2"/>
  <c r="B100" i="2"/>
  <c r="B99" i="2"/>
  <c r="B98" i="2"/>
  <c r="B97" i="2"/>
  <c r="B36" i="2"/>
  <c r="B96" i="2"/>
  <c r="B63" i="2"/>
  <c r="B108" i="2"/>
  <c r="B95" i="2"/>
  <c r="B14" i="2"/>
  <c r="B41" i="2"/>
  <c r="B94" i="2"/>
  <c r="B49" i="2"/>
  <c r="B39" i="2"/>
  <c r="B29" i="2"/>
  <c r="B35" i="2"/>
  <c r="B93" i="2"/>
  <c r="B92" i="2"/>
  <c r="B25" i="2"/>
  <c r="B91" i="2"/>
  <c r="B54" i="2"/>
  <c r="B90" i="2"/>
  <c r="B89" i="2"/>
  <c r="B88" i="2"/>
  <c r="B59" i="2"/>
  <c r="B87" i="2"/>
  <c r="B86" i="2"/>
  <c r="B9" i="2"/>
  <c r="B37" i="2"/>
  <c r="B44" i="2"/>
  <c r="B85" i="2"/>
  <c r="B43" i="2"/>
  <c r="B84" i="2"/>
  <c r="B83" i="2"/>
  <c r="B82" i="2"/>
  <c r="D82" i="2" s="1"/>
  <c r="B33" i="2"/>
  <c r="B81" i="2"/>
  <c r="B80" i="2"/>
  <c r="B13" i="2"/>
  <c r="B134" i="2"/>
  <c r="B28" i="2"/>
  <c r="B79" i="2"/>
  <c r="B78" i="2"/>
  <c r="B21" i="2"/>
  <c r="B62" i="2"/>
  <c r="B77" i="2"/>
  <c r="B16" i="2"/>
  <c r="B76" i="2"/>
  <c r="B75" i="2"/>
  <c r="B74" i="2"/>
  <c r="B71" i="2"/>
  <c r="B73" i="2"/>
  <c r="B15" i="2"/>
  <c r="B58" i="2"/>
  <c r="B23" i="2"/>
  <c r="B31" i="2"/>
  <c r="B146" i="2"/>
  <c r="B18" i="2"/>
  <c r="B24" i="2"/>
  <c r="B10" i="2"/>
  <c r="B11" i="2"/>
  <c r="B50" i="2"/>
  <c r="B72" i="2"/>
  <c r="B57" i="2"/>
  <c r="B7" i="2"/>
  <c r="C7" i="2" s="1"/>
  <c r="B5" i="2"/>
  <c r="B6" i="2"/>
  <c r="B8" i="2"/>
  <c r="B4" i="2"/>
  <c r="B3" i="2"/>
  <c r="G3" i="2" s="1"/>
  <c r="I717" i="8"/>
  <c r="I716" i="8"/>
  <c r="I715" i="8"/>
  <c r="I714" i="8"/>
  <c r="I713" i="8"/>
  <c r="I712" i="8"/>
  <c r="C122" i="8"/>
  <c r="I711" i="8"/>
  <c r="I710" i="8"/>
  <c r="I709" i="8"/>
  <c r="I708" i="8"/>
  <c r="I707" i="8"/>
  <c r="I706" i="8"/>
  <c r="C121" i="8"/>
  <c r="I705" i="8"/>
  <c r="I704" i="8"/>
  <c r="I703" i="8"/>
  <c r="I702" i="8"/>
  <c r="I701" i="8"/>
  <c r="I700" i="8"/>
  <c r="C120" i="8"/>
  <c r="I699" i="8"/>
  <c r="I698" i="8"/>
  <c r="I697" i="8"/>
  <c r="I696" i="8"/>
  <c r="I695" i="8"/>
  <c r="I694" i="8"/>
  <c r="C119" i="8"/>
  <c r="I693" i="8"/>
  <c r="I692" i="8"/>
  <c r="I691" i="8"/>
  <c r="I690" i="8"/>
  <c r="I689" i="8"/>
  <c r="I688" i="8"/>
  <c r="C118" i="8"/>
  <c r="I657" i="8"/>
  <c r="I619" i="8"/>
  <c r="I26" i="8"/>
  <c r="I448" i="8"/>
  <c r="I623" i="8"/>
  <c r="I445" i="8"/>
  <c r="I14" i="8"/>
  <c r="I430" i="8"/>
  <c r="I460" i="8"/>
  <c r="I117" i="8"/>
  <c r="I88" i="8"/>
  <c r="I463" i="8"/>
  <c r="I246" i="8"/>
  <c r="I115" i="8"/>
  <c r="I556" i="8"/>
  <c r="I472" i="8"/>
  <c r="I395" i="8"/>
  <c r="C60" i="8"/>
  <c r="I420" i="8"/>
  <c r="I518" i="8"/>
  <c r="I383" i="8"/>
  <c r="I663" i="8"/>
  <c r="I614" i="8"/>
  <c r="I560" i="8"/>
  <c r="I77" i="8"/>
  <c r="I132" i="8"/>
  <c r="I232" i="8"/>
  <c r="I366" i="8"/>
  <c r="I369" i="8"/>
  <c r="I279" i="8"/>
  <c r="I575" i="8"/>
  <c r="AB9" i="8"/>
  <c r="I276" i="8"/>
  <c r="I299" i="8"/>
  <c r="I64" i="8"/>
  <c r="I426" i="8"/>
  <c r="I625" i="8"/>
  <c r="I83" i="8"/>
  <c r="C19" i="8"/>
  <c r="I392" i="8"/>
  <c r="I634" i="8"/>
  <c r="I311" i="8"/>
  <c r="I655" i="8"/>
  <c r="I573" i="8"/>
  <c r="I206" i="8"/>
  <c r="I284" i="8"/>
  <c r="I378" i="8"/>
  <c r="I258" i="8"/>
  <c r="I133" i="8"/>
  <c r="I205" i="8"/>
  <c r="I39" i="8"/>
  <c r="I341" i="8"/>
  <c r="C93" i="8"/>
  <c r="I600" i="8"/>
  <c r="I270" i="8"/>
  <c r="I368" i="8"/>
  <c r="I325" i="8"/>
  <c r="I139" i="8"/>
  <c r="I465" i="8"/>
  <c r="I20" i="8"/>
  <c r="I333" i="8"/>
  <c r="R7" i="8"/>
  <c r="I673" i="8"/>
  <c r="I635" i="8"/>
  <c r="I537" i="8"/>
  <c r="C97" i="8"/>
  <c r="I572" i="8"/>
  <c r="I317" i="8"/>
  <c r="I147" i="8"/>
  <c r="I492" i="8"/>
  <c r="C41" i="8"/>
  <c r="I281" i="8"/>
  <c r="I252" i="8"/>
  <c r="I208" i="8"/>
  <c r="I328" i="8"/>
  <c r="I187" i="8"/>
  <c r="I177" i="8"/>
  <c r="I166" i="8"/>
  <c r="I456" i="8"/>
  <c r="I303" i="8"/>
  <c r="C59" i="8"/>
  <c r="I640" i="8"/>
  <c r="I603" i="8"/>
  <c r="I658" i="8"/>
  <c r="I593" i="8"/>
  <c r="I294" i="8"/>
  <c r="I359" i="8"/>
  <c r="I15" i="8"/>
  <c r="I554" i="8"/>
  <c r="I222" i="8"/>
  <c r="C87" i="8"/>
  <c r="I337" i="8"/>
  <c r="I312" i="8"/>
  <c r="C12" i="8"/>
  <c r="I225" i="8"/>
  <c r="C14" i="8"/>
  <c r="I497" i="8"/>
  <c r="I494" i="8"/>
  <c r="I437" i="8"/>
  <c r="I479" i="8"/>
  <c r="I6" i="8"/>
  <c r="I201" i="8"/>
  <c r="C113" i="8"/>
  <c r="I583" i="8"/>
  <c r="I158" i="8"/>
  <c r="I458" i="8"/>
  <c r="I151" i="8"/>
  <c r="I267" i="8"/>
  <c r="C48" i="8"/>
  <c r="I407" i="8"/>
  <c r="I478" i="8"/>
  <c r="I355" i="8"/>
  <c r="I200" i="8"/>
  <c r="I213" i="8"/>
  <c r="I394" i="8"/>
  <c r="I11" i="8"/>
  <c r="C67" i="8"/>
  <c r="I234" i="8"/>
  <c r="I266" i="8"/>
  <c r="I282" i="8"/>
  <c r="I362" i="8"/>
  <c r="C51" i="8"/>
  <c r="C39" i="8"/>
  <c r="I271" i="8"/>
  <c r="I135" i="8"/>
  <c r="I60" i="8"/>
  <c r="I295" i="8"/>
  <c r="I682" i="8"/>
  <c r="I646" i="8"/>
  <c r="I24" i="8"/>
  <c r="I155" i="8"/>
  <c r="I526" i="8"/>
  <c r="C89" i="8"/>
  <c r="I122" i="8"/>
  <c r="I186" i="8"/>
  <c r="I32" i="8"/>
  <c r="I25" i="8"/>
  <c r="I352" i="8"/>
  <c r="I87" i="8"/>
  <c r="C64" i="8"/>
  <c r="C4" i="8"/>
  <c r="C16" i="8"/>
  <c r="I62" i="8"/>
  <c r="I461" i="8"/>
  <c r="I531" i="8"/>
  <c r="I675" i="8"/>
  <c r="I632" i="8"/>
  <c r="I80" i="8"/>
  <c r="I202" i="8"/>
  <c r="I382" i="8"/>
  <c r="C21" i="8"/>
  <c r="I505" i="8"/>
  <c r="I172" i="8"/>
  <c r="I347" i="8"/>
  <c r="I29" i="8"/>
  <c r="I160" i="8"/>
  <c r="I381" i="8"/>
  <c r="I425" i="8"/>
  <c r="I380" i="8"/>
  <c r="I626" i="8"/>
  <c r="C61" i="8"/>
  <c r="I647" i="8"/>
  <c r="I686" i="8"/>
  <c r="I643" i="8"/>
  <c r="I438" i="8"/>
  <c r="I235" i="8"/>
  <c r="C79" i="8"/>
  <c r="I111" i="8"/>
  <c r="I602" i="8"/>
  <c r="I471" i="8"/>
  <c r="I606" i="8"/>
  <c r="I550" i="8"/>
  <c r="I41" i="8"/>
  <c r="C47" i="8"/>
  <c r="I342" i="8"/>
  <c r="I338" i="8"/>
  <c r="I473" i="8"/>
  <c r="I244" i="8"/>
  <c r="I653" i="8"/>
  <c r="I58" i="8"/>
  <c r="I648" i="8"/>
  <c r="C69" i="8"/>
  <c r="I315" i="8"/>
  <c r="I86" i="8"/>
  <c r="I103" i="8"/>
  <c r="I412" i="8"/>
  <c r="I421" i="8"/>
  <c r="I601" i="8"/>
  <c r="I336" i="8"/>
  <c r="I585" i="8"/>
  <c r="C74" i="8"/>
  <c r="I251" i="8"/>
  <c r="C24" i="8"/>
  <c r="I558" i="8"/>
  <c r="I551" i="8"/>
  <c r="I678" i="8"/>
  <c r="I466" i="8"/>
  <c r="I652" i="8"/>
  <c r="I45" i="8"/>
  <c r="I239" i="8"/>
  <c r="I272" i="8"/>
  <c r="I446" i="8"/>
  <c r="I436" i="8"/>
  <c r="I559" i="8"/>
  <c r="I59" i="8"/>
  <c r="I360" i="8"/>
  <c r="I419" i="8"/>
  <c r="I143" i="8"/>
  <c r="I9" i="8"/>
  <c r="I441" i="8"/>
  <c r="C20" i="8"/>
  <c r="I123" i="8"/>
  <c r="AB4" i="8"/>
  <c r="I645" i="8"/>
  <c r="C86" i="8"/>
  <c r="C22" i="8"/>
  <c r="I351" i="8"/>
  <c r="I47" i="8"/>
  <c r="I563" i="8"/>
  <c r="I390" i="8"/>
  <c r="I450" i="8"/>
  <c r="I178" i="8"/>
  <c r="C85" i="8"/>
  <c r="I576" i="8"/>
  <c r="I453" i="8"/>
  <c r="I91" i="8"/>
  <c r="I514" i="8"/>
  <c r="I217" i="8"/>
  <c r="C46" i="8"/>
  <c r="AB5" i="8"/>
  <c r="AB8" i="8"/>
  <c r="I548" i="8"/>
  <c r="I57" i="8"/>
  <c r="I76" i="8"/>
  <c r="I30" i="8"/>
  <c r="I410" i="8"/>
  <c r="I464" i="8"/>
  <c r="I477" i="8"/>
  <c r="I389" i="8"/>
  <c r="I321" i="8"/>
  <c r="I226" i="8"/>
  <c r="I345" i="8"/>
  <c r="I636" i="8"/>
  <c r="C17" i="8"/>
  <c r="C15" i="8"/>
  <c r="I289" i="8"/>
  <c r="C33" i="8"/>
  <c r="I320" i="8"/>
  <c r="I348" i="8"/>
  <c r="C44" i="8"/>
  <c r="I188" i="8"/>
  <c r="I656" i="8"/>
  <c r="I43" i="8"/>
  <c r="I114" i="8"/>
  <c r="I677" i="8"/>
  <c r="I641" i="8"/>
  <c r="I107" i="8"/>
  <c r="I387" i="8"/>
  <c r="I592" i="8"/>
  <c r="C6" i="8"/>
  <c r="I331" i="8"/>
  <c r="I597" i="8"/>
  <c r="I167" i="8"/>
  <c r="I79" i="8"/>
  <c r="I403" i="8"/>
  <c r="I264" i="8"/>
  <c r="I78" i="8"/>
  <c r="I27" i="8"/>
  <c r="I339" i="8"/>
  <c r="I431" i="8"/>
  <c r="I483" i="8"/>
  <c r="I595" i="8"/>
  <c r="I669" i="8"/>
  <c r="I578" i="8"/>
  <c r="I388" i="8"/>
  <c r="I618" i="8"/>
  <c r="I370" i="8"/>
  <c r="I308" i="8"/>
  <c r="I411" i="8"/>
  <c r="I504" i="8"/>
  <c r="I231" i="8"/>
  <c r="C35" i="8"/>
  <c r="I555" i="8"/>
  <c r="I508" i="8"/>
  <c r="I125" i="8"/>
  <c r="C91" i="8"/>
  <c r="I35" i="8"/>
  <c r="I621" i="8"/>
  <c r="I329" i="8"/>
  <c r="I680" i="8"/>
  <c r="I637" i="8"/>
  <c r="I165" i="8"/>
  <c r="I480" i="8"/>
  <c r="I55" i="8"/>
  <c r="I567" i="8"/>
  <c r="C76" i="8"/>
  <c r="I230" i="8"/>
  <c r="I570" i="8"/>
  <c r="I513" i="8"/>
  <c r="C23" i="8"/>
  <c r="I307" i="8"/>
  <c r="I599" i="8"/>
  <c r="I286" i="8"/>
  <c r="I176" i="8"/>
  <c r="I127" i="8"/>
  <c r="I628" i="8"/>
  <c r="I685" i="8"/>
  <c r="I642" i="8"/>
  <c r="I253" i="8"/>
  <c r="C27" i="8"/>
  <c r="C34" i="8"/>
  <c r="I495" i="8"/>
  <c r="C102" i="8"/>
  <c r="I105" i="8"/>
  <c r="C65" i="8"/>
  <c r="C32" i="8"/>
  <c r="I501" i="8"/>
  <c r="I408" i="8"/>
  <c r="I584" i="8"/>
  <c r="I373" i="8"/>
  <c r="I196" i="8"/>
  <c r="C90" i="8"/>
  <c r="I659" i="8"/>
  <c r="I82" i="8"/>
  <c r="C111" i="8"/>
  <c r="I260" i="8"/>
  <c r="I108" i="8"/>
  <c r="C11" i="8"/>
  <c r="I159" i="8"/>
  <c r="I617" i="8"/>
  <c r="I219" i="8"/>
  <c r="C107" i="8"/>
  <c r="I112" i="8"/>
  <c r="I520" i="8"/>
  <c r="I243" i="8"/>
  <c r="I499" i="8"/>
  <c r="I28" i="8"/>
  <c r="C99" i="8"/>
  <c r="C9" i="8"/>
  <c r="C117" i="8"/>
  <c r="I639" i="8"/>
  <c r="I17" i="8"/>
  <c r="I98" i="8"/>
  <c r="I204" i="8"/>
  <c r="I173" i="8"/>
  <c r="I277" i="8"/>
  <c r="I429" i="8"/>
  <c r="I265" i="8"/>
  <c r="I393" i="8"/>
  <c r="C81" i="8"/>
  <c r="I435" i="8"/>
  <c r="C13" i="8"/>
  <c r="I297" i="8"/>
  <c r="I591" i="8"/>
  <c r="I481" i="8"/>
  <c r="I300" i="8"/>
  <c r="C54" i="8"/>
  <c r="I152" i="8"/>
  <c r="I99" i="8"/>
  <c r="I612" i="8"/>
  <c r="I34" i="8"/>
  <c r="I229" i="8"/>
  <c r="I401" i="8"/>
  <c r="I484" i="8"/>
  <c r="I565" i="8"/>
  <c r="I285" i="8"/>
  <c r="I375" i="8"/>
  <c r="I268" i="8"/>
  <c r="I672" i="8"/>
  <c r="I224" i="8"/>
  <c r="I71" i="8"/>
  <c r="I154" i="8"/>
  <c r="I627" i="8"/>
  <c r="I301" i="8"/>
  <c r="I221" i="8"/>
  <c r="I48" i="8"/>
  <c r="I332" i="8"/>
  <c r="I398" i="8"/>
  <c r="I582" i="8"/>
  <c r="I553" i="8"/>
  <c r="I223" i="8"/>
  <c r="C112" i="8"/>
  <c r="I242" i="8"/>
  <c r="C42" i="8"/>
  <c r="I22" i="8"/>
  <c r="I291" i="8"/>
  <c r="C63" i="8"/>
  <c r="I354" i="8"/>
  <c r="I207" i="8"/>
  <c r="I90" i="8"/>
  <c r="I638" i="8"/>
  <c r="I343" i="8"/>
  <c r="C55" i="8"/>
  <c r="I250" i="8"/>
  <c r="I397" i="8"/>
  <c r="I36" i="8"/>
  <c r="I280" i="8"/>
  <c r="I150" i="8"/>
  <c r="I273" i="8"/>
  <c r="I665" i="8"/>
  <c r="I668" i="8"/>
  <c r="I462" i="8"/>
  <c r="I613" i="8"/>
  <c r="C96" i="8"/>
  <c r="AB13" i="8"/>
  <c r="I451" i="8"/>
  <c r="I521" i="8"/>
  <c r="I594" i="8"/>
  <c r="C83" i="8"/>
  <c r="I109" i="8"/>
  <c r="I170" i="8"/>
  <c r="I134" i="8"/>
  <c r="C104" i="8"/>
  <c r="I70" i="8"/>
  <c r="I106" i="8"/>
  <c r="I240" i="8"/>
  <c r="I249" i="8"/>
  <c r="I346" i="8"/>
  <c r="I528" i="8"/>
  <c r="C88" i="8"/>
  <c r="I503" i="8"/>
  <c r="I488" i="8"/>
  <c r="I344" i="8"/>
  <c r="I664" i="8"/>
  <c r="I4" i="8"/>
  <c r="C103" i="8"/>
  <c r="I116" i="8"/>
  <c r="AB12" i="8"/>
  <c r="I33" i="8"/>
  <c r="I180" i="8"/>
  <c r="I459" i="8"/>
  <c r="I409" i="8"/>
  <c r="I402" i="8"/>
  <c r="I562" i="8"/>
  <c r="I624" i="8"/>
  <c r="I92" i="8"/>
  <c r="I287" i="8"/>
  <c r="I385" i="8"/>
  <c r="C18" i="8"/>
  <c r="I604" i="8"/>
  <c r="I44" i="8"/>
  <c r="I40" i="8"/>
  <c r="I622" i="8"/>
  <c r="I376" i="8"/>
  <c r="I522" i="8"/>
  <c r="I498" i="8"/>
  <c r="I148" i="8"/>
  <c r="I580" i="8"/>
  <c r="I427" i="8"/>
  <c r="I257" i="8"/>
  <c r="I491" i="8"/>
  <c r="I16" i="8"/>
  <c r="I490" i="8"/>
  <c r="I169" i="8"/>
  <c r="I184" i="8"/>
  <c r="I318" i="8"/>
  <c r="I120" i="8"/>
  <c r="I211" i="8"/>
  <c r="C45" i="8"/>
  <c r="I54" i="8"/>
  <c r="I544" i="8"/>
  <c r="I182" i="8"/>
  <c r="I357" i="8"/>
  <c r="I475" i="8"/>
  <c r="I189" i="8"/>
  <c r="C106" i="8"/>
  <c r="I432" i="8"/>
  <c r="I609" i="8"/>
  <c r="I144" i="8"/>
  <c r="I215" i="8"/>
  <c r="I353" i="8"/>
  <c r="C75" i="8"/>
  <c r="I306" i="8"/>
  <c r="I12" i="8"/>
  <c r="I84" i="8"/>
  <c r="I676" i="8"/>
  <c r="I51" i="8"/>
  <c r="I220" i="8"/>
  <c r="I384" i="8"/>
  <c r="I198" i="8"/>
  <c r="I586" i="8"/>
  <c r="I68" i="8"/>
  <c r="I190" i="8"/>
  <c r="I73" i="8"/>
  <c r="I261" i="8"/>
  <c r="I662" i="8"/>
  <c r="I67" i="8"/>
  <c r="I119" i="8"/>
  <c r="I324" i="8"/>
  <c r="I371" i="8"/>
  <c r="I416" i="8"/>
  <c r="I674" i="8"/>
  <c r="I467" i="8"/>
  <c r="I512" i="8"/>
  <c r="C52" i="8"/>
  <c r="I629" i="8"/>
  <c r="I310" i="8"/>
  <c r="C36" i="8"/>
  <c r="C50" i="8"/>
  <c r="I118" i="8"/>
  <c r="I493" i="8"/>
  <c r="C101" i="8"/>
  <c r="C30" i="8"/>
  <c r="I633" i="8"/>
  <c r="I616" i="8"/>
  <c r="I423" i="8"/>
  <c r="I485" i="8"/>
  <c r="I227" i="8"/>
  <c r="I157" i="8"/>
  <c r="C73" i="8"/>
  <c r="I631" i="8"/>
  <c r="I330" i="8"/>
  <c r="I358" i="8"/>
  <c r="C68" i="8"/>
  <c r="I596" i="8"/>
  <c r="R4" i="8"/>
  <c r="I574" i="8"/>
  <c r="I447" i="8"/>
  <c r="C26" i="8"/>
  <c r="I46" i="8"/>
  <c r="I515" i="8"/>
  <c r="I168" i="8"/>
  <c r="I237" i="8"/>
  <c r="C56" i="8"/>
  <c r="I298" i="8"/>
  <c r="I564" i="8"/>
  <c r="I457" i="8"/>
  <c r="C78" i="8"/>
  <c r="I7" i="8"/>
  <c r="I661" i="8"/>
  <c r="I391" i="8"/>
  <c r="I577" i="8"/>
  <c r="AB11" i="8"/>
  <c r="I443" i="8"/>
  <c r="I292" i="8"/>
  <c r="I547" i="8"/>
  <c r="I541" i="8"/>
  <c r="I75" i="8"/>
  <c r="I610" i="8"/>
  <c r="C58" i="8"/>
  <c r="I679" i="8"/>
  <c r="C98" i="8"/>
  <c r="I254" i="8"/>
  <c r="I335" i="8"/>
  <c r="I110" i="8"/>
  <c r="I546" i="8"/>
  <c r="I517" i="8"/>
  <c r="I455" i="8"/>
  <c r="C8" i="8"/>
  <c r="I590" i="8"/>
  <c r="I95" i="8"/>
  <c r="I413" i="8"/>
  <c r="C110" i="8"/>
  <c r="I275" i="8"/>
  <c r="I191" i="8"/>
  <c r="I130" i="8"/>
  <c r="I535" i="8"/>
  <c r="I506" i="8"/>
  <c r="I171" i="8"/>
  <c r="I19" i="8"/>
  <c r="I61" i="8"/>
  <c r="I396" i="8"/>
  <c r="C116" i="8"/>
  <c r="I228" i="8"/>
  <c r="I259" i="8"/>
  <c r="I442" i="8"/>
  <c r="I545" i="8"/>
  <c r="I561" i="8"/>
  <c r="I349" i="8"/>
  <c r="I511" i="8"/>
  <c r="I85" i="8"/>
  <c r="I131" i="8"/>
  <c r="I536" i="8"/>
  <c r="I534" i="8"/>
  <c r="I533" i="8"/>
  <c r="I361" i="8"/>
  <c r="I146" i="8"/>
  <c r="I568" i="8"/>
  <c r="I650" i="8"/>
  <c r="I334" i="8"/>
  <c r="I433" i="8"/>
  <c r="I469" i="8"/>
  <c r="I142" i="8"/>
  <c r="I50" i="8"/>
  <c r="I316" i="8"/>
  <c r="I654" i="8"/>
  <c r="I532" i="8"/>
  <c r="I23" i="8"/>
  <c r="C100" i="8"/>
  <c r="I496" i="8"/>
  <c r="AB10" i="8"/>
  <c r="I418" i="8"/>
  <c r="I651" i="8"/>
  <c r="C5" i="8"/>
  <c r="I589" i="8"/>
  <c r="I102" i="8"/>
  <c r="I476" i="8"/>
  <c r="C95" i="8"/>
  <c r="I121" i="8"/>
  <c r="R5" i="8"/>
  <c r="I149" i="8"/>
  <c r="I340" i="8"/>
  <c r="I552" i="8"/>
  <c r="I104" i="8"/>
  <c r="I507" i="8"/>
  <c r="I500" i="8"/>
  <c r="I474" i="8"/>
  <c r="C71" i="8"/>
  <c r="I49" i="8"/>
  <c r="I247" i="8"/>
  <c r="I129" i="8"/>
  <c r="I350" i="8"/>
  <c r="I598" i="8"/>
  <c r="I81" i="8"/>
  <c r="I288" i="8"/>
  <c r="I509" i="8"/>
  <c r="I140" i="8"/>
  <c r="I468" i="8"/>
  <c r="I124" i="8"/>
  <c r="I542" i="8"/>
  <c r="I128" i="8"/>
  <c r="I414" i="8"/>
  <c r="I588" i="8"/>
  <c r="C53" i="8"/>
  <c r="I440" i="8"/>
  <c r="I212" i="8"/>
  <c r="I538" i="8"/>
  <c r="I218" i="8"/>
  <c r="C28" i="8"/>
  <c r="I579" i="8"/>
  <c r="I687" i="8"/>
  <c r="C80" i="8"/>
  <c r="I194" i="8"/>
  <c r="I607" i="8"/>
  <c r="I452" i="8"/>
  <c r="I543" i="8"/>
  <c r="C105" i="8"/>
  <c r="I615" i="8"/>
  <c r="I256" i="8"/>
  <c r="I52" i="8"/>
  <c r="I210" i="8"/>
  <c r="I649" i="8"/>
  <c r="I203" i="8"/>
  <c r="I566" i="8"/>
  <c r="I386" i="8"/>
  <c r="I415" i="8"/>
  <c r="I444" i="8"/>
  <c r="I502" i="8"/>
  <c r="I263" i="8"/>
  <c r="I38" i="8"/>
  <c r="C25" i="8"/>
  <c r="I671" i="8"/>
  <c r="I666" i="8"/>
  <c r="I138" i="8"/>
  <c r="I101" i="8"/>
  <c r="I161" i="8"/>
  <c r="I326" i="8"/>
  <c r="I293" i="8"/>
  <c r="C77" i="8"/>
  <c r="I516" i="8"/>
  <c r="C66" i="8"/>
  <c r="I470" i="8"/>
  <c r="I175" i="8"/>
  <c r="I216" i="8"/>
  <c r="C109" i="8"/>
  <c r="I185" i="8"/>
  <c r="I406" i="8"/>
  <c r="I53" i="8"/>
  <c r="I209" i="8"/>
  <c r="I422" i="8"/>
  <c r="I377" i="8"/>
  <c r="I620" i="8"/>
  <c r="I274" i="8"/>
  <c r="I417" i="8"/>
  <c r="C115" i="8"/>
  <c r="I428" i="8"/>
  <c r="C72" i="8"/>
  <c r="I248" i="8"/>
  <c r="I454" i="8"/>
  <c r="I97" i="8"/>
  <c r="C84" i="8"/>
  <c r="I519" i="8"/>
  <c r="I262" i="8"/>
  <c r="I66" i="8"/>
  <c r="I8" i="8"/>
  <c r="I65" i="8"/>
  <c r="I487" i="8"/>
  <c r="I163" i="8"/>
  <c r="I96" i="8"/>
  <c r="I405" i="8"/>
  <c r="I364" i="8"/>
  <c r="I42" i="8"/>
  <c r="C94" i="8"/>
  <c r="I197" i="8"/>
  <c r="AB6" i="8"/>
  <c r="I192" i="8"/>
  <c r="I126" i="8"/>
  <c r="I69" i="8"/>
  <c r="I63" i="8"/>
  <c r="I94" i="8"/>
  <c r="I681" i="8"/>
  <c r="C82" i="8"/>
  <c r="I72" i="8"/>
  <c r="I571" i="8"/>
  <c r="I611" i="8"/>
  <c r="I241" i="8"/>
  <c r="I527" i="8"/>
  <c r="I113" i="8"/>
  <c r="I278" i="8"/>
  <c r="I539" i="8"/>
  <c r="I164" i="8"/>
  <c r="I630" i="8"/>
  <c r="I269" i="8"/>
  <c r="I374" i="8"/>
  <c r="I199" i="8"/>
  <c r="I238" i="8"/>
  <c r="I323" i="8"/>
  <c r="I302" i="8"/>
  <c r="C37" i="8"/>
  <c r="I424" i="8"/>
  <c r="I399" i="8"/>
  <c r="I549" i="8"/>
  <c r="I660" i="8"/>
  <c r="I489" i="8"/>
  <c r="I608" i="8"/>
  <c r="I356" i="8"/>
  <c r="I141" i="8"/>
  <c r="I18" i="8"/>
  <c r="I404" i="8"/>
  <c r="I93" i="8"/>
  <c r="I183" i="8"/>
  <c r="I367" i="8"/>
  <c r="I305" i="8"/>
  <c r="I683" i="8"/>
  <c r="C108" i="8"/>
  <c r="I10" i="8"/>
  <c r="I255" i="8"/>
  <c r="I581" i="8"/>
  <c r="I363" i="8"/>
  <c r="I529" i="8"/>
  <c r="I439" i="8"/>
  <c r="C70" i="8"/>
  <c r="I245" i="8"/>
  <c r="C92" i="8"/>
  <c r="C114" i="8"/>
  <c r="I319" i="8"/>
  <c r="I304" i="8"/>
  <c r="I5" i="8"/>
  <c r="I482" i="8"/>
  <c r="I605" i="8"/>
  <c r="C57" i="8"/>
  <c r="C62" i="8"/>
  <c r="I540" i="8"/>
  <c r="I214" i="8"/>
  <c r="C10" i="8"/>
  <c r="I100" i="8"/>
  <c r="I21" i="8"/>
  <c r="I13" i="8"/>
  <c r="C38" i="8"/>
  <c r="I372" i="8"/>
  <c r="I236" i="8"/>
  <c r="I379" i="8"/>
  <c r="I365" i="8"/>
  <c r="I667" i="8"/>
  <c r="I181" i="8"/>
  <c r="I400" i="8"/>
  <c r="C40" i="8"/>
  <c r="I530" i="8"/>
  <c r="I510" i="8"/>
  <c r="I179" i="8"/>
  <c r="C31" i="8"/>
  <c r="I74" i="8"/>
  <c r="I233" i="8"/>
  <c r="I153" i="8"/>
  <c r="I136" i="8"/>
  <c r="I162" i="8"/>
  <c r="I313" i="8"/>
  <c r="I557" i="8"/>
  <c r="AB7" i="8"/>
  <c r="I322" i="8"/>
  <c r="I290" i="8"/>
  <c r="I283" i="8"/>
  <c r="I434" i="8"/>
  <c r="R6" i="8"/>
  <c r="I587" i="8"/>
  <c r="I524" i="8"/>
  <c r="I137" i="8"/>
  <c r="I569" i="8"/>
  <c r="I193" i="8"/>
  <c r="I327" i="8"/>
  <c r="I195" i="8"/>
  <c r="I644" i="8"/>
  <c r="I314" i="8"/>
  <c r="I145" i="8"/>
  <c r="I684" i="8"/>
  <c r="C43" i="8"/>
  <c r="C49" i="8"/>
  <c r="I31" i="8"/>
  <c r="I89" i="8"/>
  <c r="C7" i="8"/>
  <c r="I486" i="8"/>
  <c r="I309" i="8"/>
  <c r="I670" i="8"/>
  <c r="C29" i="8"/>
  <c r="I449" i="8"/>
  <c r="I174" i="8"/>
  <c r="I56" i="8"/>
  <c r="I525" i="8"/>
  <c r="I37" i="8"/>
  <c r="I296" i="8"/>
  <c r="I523" i="8"/>
  <c r="I156" i="8"/>
  <c r="C2178" i="2" l="1"/>
  <c r="E1041" i="2"/>
  <c r="C57" i="2"/>
  <c r="G57" i="2"/>
  <c r="F57" i="2"/>
  <c r="E57" i="2"/>
  <c r="D57" i="2"/>
  <c r="C18" i="2"/>
  <c r="G18" i="2"/>
  <c r="F18" i="2"/>
  <c r="E18" i="2"/>
  <c r="D18" i="2"/>
  <c r="C77" i="2"/>
  <c r="G77" i="2"/>
  <c r="F77" i="2"/>
  <c r="E77" i="2"/>
  <c r="D77" i="2"/>
  <c r="C83" i="2"/>
  <c r="G83" i="2"/>
  <c r="F83" i="2"/>
  <c r="D83" i="2"/>
  <c r="E83" i="2"/>
  <c r="C90" i="2"/>
  <c r="G90" i="2"/>
  <c r="F90" i="2"/>
  <c r="E90" i="2"/>
  <c r="D90" i="2"/>
  <c r="C14" i="2"/>
  <c r="G14" i="2"/>
  <c r="F14" i="2"/>
  <c r="E14" i="2"/>
  <c r="D14" i="2"/>
  <c r="C46" i="2"/>
  <c r="G46" i="2"/>
  <c r="F46" i="2"/>
  <c r="E46" i="2"/>
  <c r="D46" i="2"/>
  <c r="C109" i="2"/>
  <c r="G109" i="2"/>
  <c r="F109" i="2"/>
  <c r="E109" i="2"/>
  <c r="D109" i="2"/>
  <c r="C117" i="2"/>
  <c r="G117" i="2"/>
  <c r="F117" i="2"/>
  <c r="E117" i="2"/>
  <c r="D117" i="2"/>
  <c r="C125" i="2"/>
  <c r="G125" i="2"/>
  <c r="F125" i="2"/>
  <c r="D125" i="2"/>
  <c r="E125" i="2"/>
  <c r="C52" i="2"/>
  <c r="G52" i="2"/>
  <c r="E52" i="2"/>
  <c r="F52" i="2"/>
  <c r="D52" i="2"/>
  <c r="C151" i="2"/>
  <c r="G151" i="2"/>
  <c r="F151" i="2"/>
  <c r="E151" i="2"/>
  <c r="D151" i="2"/>
  <c r="C163" i="2"/>
  <c r="G163" i="2"/>
  <c r="F163" i="2"/>
  <c r="E163" i="2"/>
  <c r="D163" i="2"/>
  <c r="C175" i="2"/>
  <c r="G175" i="2"/>
  <c r="F175" i="2"/>
  <c r="E175" i="2"/>
  <c r="D175" i="2"/>
  <c r="C181" i="2"/>
  <c r="G181" i="2"/>
  <c r="F181" i="2"/>
  <c r="E181" i="2"/>
  <c r="D181" i="2"/>
  <c r="C193" i="2"/>
  <c r="G193" i="2"/>
  <c r="F193" i="2"/>
  <c r="E193" i="2"/>
  <c r="D193" i="2"/>
  <c r="C205" i="2"/>
  <c r="G205" i="2"/>
  <c r="F205" i="2"/>
  <c r="E205" i="2"/>
  <c r="D205" i="2"/>
  <c r="C217" i="2"/>
  <c r="G217" i="2"/>
  <c r="F217" i="2"/>
  <c r="E217" i="2"/>
  <c r="D217" i="2"/>
  <c r="C229" i="2"/>
  <c r="G229" i="2"/>
  <c r="F229" i="2"/>
  <c r="E229" i="2"/>
  <c r="D229" i="2"/>
  <c r="C241" i="2"/>
  <c r="G241" i="2"/>
  <c r="F241" i="2"/>
  <c r="E241" i="2"/>
  <c r="D241" i="2"/>
  <c r="C253" i="2"/>
  <c r="G253" i="2"/>
  <c r="F253" i="2"/>
  <c r="E253" i="2"/>
  <c r="D253" i="2"/>
  <c r="C265" i="2"/>
  <c r="G265" i="2"/>
  <c r="F265" i="2"/>
  <c r="E265" i="2"/>
  <c r="D265" i="2"/>
  <c r="C277" i="2"/>
  <c r="G277" i="2"/>
  <c r="F277" i="2"/>
  <c r="E277" i="2"/>
  <c r="D277" i="2"/>
  <c r="C288" i="2"/>
  <c r="G288" i="2"/>
  <c r="F288" i="2"/>
  <c r="E288" i="2"/>
  <c r="D288" i="2"/>
  <c r="C294" i="2"/>
  <c r="G294" i="2"/>
  <c r="F294" i="2"/>
  <c r="E294" i="2"/>
  <c r="D294" i="2"/>
  <c r="C300" i="2"/>
  <c r="G300" i="2"/>
  <c r="F300" i="2"/>
  <c r="E300" i="2"/>
  <c r="D300" i="2"/>
  <c r="C312" i="2"/>
  <c r="G312" i="2"/>
  <c r="F312" i="2"/>
  <c r="E312" i="2"/>
  <c r="D312" i="2"/>
  <c r="C324" i="2"/>
  <c r="G324" i="2"/>
  <c r="F324" i="2"/>
  <c r="E324" i="2"/>
  <c r="D324" i="2"/>
  <c r="C342" i="2"/>
  <c r="G342" i="2"/>
  <c r="F342" i="2"/>
  <c r="E342" i="2"/>
  <c r="D342" i="2"/>
  <c r="C360" i="2"/>
  <c r="G360" i="2"/>
  <c r="F360" i="2"/>
  <c r="E360" i="2"/>
  <c r="D360" i="2"/>
  <c r="C372" i="2"/>
  <c r="G372" i="2"/>
  <c r="F372" i="2"/>
  <c r="E372" i="2"/>
  <c r="D372" i="2"/>
  <c r="C378" i="2"/>
  <c r="G378" i="2"/>
  <c r="F378" i="2"/>
  <c r="E378" i="2"/>
  <c r="D378" i="2"/>
  <c r="C390" i="2"/>
  <c r="G390" i="2"/>
  <c r="F390" i="2"/>
  <c r="E390" i="2"/>
  <c r="D390" i="2"/>
  <c r="C402" i="2"/>
  <c r="G402" i="2"/>
  <c r="F402" i="2"/>
  <c r="E402" i="2"/>
  <c r="D402" i="2"/>
  <c r="C408" i="2"/>
  <c r="G408" i="2"/>
  <c r="F408" i="2"/>
  <c r="E408" i="2"/>
  <c r="D408" i="2"/>
  <c r="C420" i="2"/>
  <c r="G420" i="2"/>
  <c r="F420" i="2"/>
  <c r="E420" i="2"/>
  <c r="D420" i="2"/>
  <c r="C432" i="2"/>
  <c r="G432" i="2"/>
  <c r="F432" i="2"/>
  <c r="E432" i="2"/>
  <c r="D432" i="2"/>
  <c r="C444" i="2"/>
  <c r="G444" i="2"/>
  <c r="F444" i="2"/>
  <c r="E444" i="2"/>
  <c r="D444" i="2"/>
  <c r="C456" i="2"/>
  <c r="G456" i="2"/>
  <c r="F456" i="2"/>
  <c r="E456" i="2"/>
  <c r="D456" i="2"/>
  <c r="C468" i="2"/>
  <c r="G468" i="2"/>
  <c r="F468" i="2"/>
  <c r="E468" i="2"/>
  <c r="D468" i="2"/>
  <c r="C480" i="2"/>
  <c r="G480" i="2"/>
  <c r="F480" i="2"/>
  <c r="E480" i="2"/>
  <c r="D480" i="2"/>
  <c r="C492" i="2"/>
  <c r="G492" i="2"/>
  <c r="F492" i="2"/>
  <c r="E492" i="2"/>
  <c r="D492" i="2"/>
  <c r="C504" i="2"/>
  <c r="G504" i="2"/>
  <c r="F504" i="2"/>
  <c r="E504" i="2"/>
  <c r="D504" i="2"/>
  <c r="C516" i="2"/>
  <c r="G516" i="2"/>
  <c r="F516" i="2"/>
  <c r="E516" i="2"/>
  <c r="C534" i="2"/>
  <c r="G534" i="2"/>
  <c r="F534" i="2"/>
  <c r="E534" i="2"/>
  <c r="D534" i="2"/>
  <c r="C546" i="2"/>
  <c r="G546" i="2"/>
  <c r="F546" i="2"/>
  <c r="E546" i="2"/>
  <c r="D546" i="2"/>
  <c r="C558" i="2"/>
  <c r="G558" i="2"/>
  <c r="F558" i="2"/>
  <c r="E558" i="2"/>
  <c r="D558" i="2"/>
  <c r="C576" i="2"/>
  <c r="G576" i="2"/>
  <c r="F576" i="2"/>
  <c r="E576" i="2"/>
  <c r="D576" i="2"/>
  <c r="C588" i="2"/>
  <c r="G588" i="2"/>
  <c r="F588" i="2"/>
  <c r="E588" i="2"/>
  <c r="D588" i="2"/>
  <c r="C600" i="2"/>
  <c r="G600" i="2"/>
  <c r="F600" i="2"/>
  <c r="E600" i="2"/>
  <c r="D600" i="2"/>
  <c r="C612" i="2"/>
  <c r="G612" i="2"/>
  <c r="F612" i="2"/>
  <c r="E612" i="2"/>
  <c r="D612" i="2"/>
  <c r="C624" i="2"/>
  <c r="G624" i="2"/>
  <c r="F624" i="2"/>
  <c r="E624" i="2"/>
  <c r="D624" i="2"/>
  <c r="C630" i="2"/>
  <c r="G630" i="2"/>
  <c r="F630" i="2"/>
  <c r="E630" i="2"/>
  <c r="D630" i="2"/>
  <c r="C648" i="2"/>
  <c r="G648" i="2"/>
  <c r="F648" i="2"/>
  <c r="E648" i="2"/>
  <c r="D648" i="2"/>
  <c r="C660" i="2"/>
  <c r="G660" i="2"/>
  <c r="F660" i="2"/>
  <c r="E660" i="2"/>
  <c r="D660" i="2"/>
  <c r="C666" i="2"/>
  <c r="G666" i="2"/>
  <c r="F666" i="2"/>
  <c r="E666" i="2"/>
  <c r="D666" i="2"/>
  <c r="C684" i="2"/>
  <c r="G684" i="2"/>
  <c r="F684" i="2"/>
  <c r="E684" i="2"/>
  <c r="D684" i="2"/>
  <c r="C696" i="2"/>
  <c r="G696" i="2"/>
  <c r="F696" i="2"/>
  <c r="E696" i="2"/>
  <c r="D696" i="2"/>
  <c r="C702" i="2"/>
  <c r="G702" i="2"/>
  <c r="F702" i="2"/>
  <c r="E702" i="2"/>
  <c r="D702" i="2"/>
  <c r="C714" i="2"/>
  <c r="G714" i="2"/>
  <c r="F714" i="2"/>
  <c r="E714" i="2"/>
  <c r="D714" i="2"/>
  <c r="C726" i="2"/>
  <c r="G726" i="2"/>
  <c r="F726" i="2"/>
  <c r="E726" i="2"/>
  <c r="D726" i="2"/>
  <c r="C738" i="2"/>
  <c r="G738" i="2"/>
  <c r="F738" i="2"/>
  <c r="E738" i="2"/>
  <c r="D738" i="2"/>
  <c r="C750" i="2"/>
  <c r="G750" i="2"/>
  <c r="F750" i="2"/>
  <c r="E750" i="2"/>
  <c r="D750" i="2"/>
  <c r="C762" i="2"/>
  <c r="G762" i="2"/>
  <c r="F762" i="2"/>
  <c r="E762" i="2"/>
  <c r="D762" i="2"/>
  <c r="C774" i="2"/>
  <c r="G774" i="2"/>
  <c r="F774" i="2"/>
  <c r="E774" i="2"/>
  <c r="D774" i="2"/>
  <c r="C786" i="2"/>
  <c r="G786" i="2"/>
  <c r="E786" i="2"/>
  <c r="F786" i="2"/>
  <c r="D786" i="2"/>
  <c r="C791" i="2"/>
  <c r="G791" i="2"/>
  <c r="F791" i="2"/>
  <c r="E791" i="2"/>
  <c r="D791" i="2"/>
  <c r="C803" i="2"/>
  <c r="G803" i="2"/>
  <c r="F803" i="2"/>
  <c r="E803" i="2"/>
  <c r="D803" i="2"/>
  <c r="C821" i="2"/>
  <c r="G821" i="2"/>
  <c r="F821" i="2"/>
  <c r="E821" i="2"/>
  <c r="D821" i="2"/>
  <c r="C833" i="2"/>
  <c r="G833" i="2"/>
  <c r="F833" i="2"/>
  <c r="E833" i="2"/>
  <c r="D833" i="2"/>
  <c r="C845" i="2"/>
  <c r="G845" i="2"/>
  <c r="F845" i="2"/>
  <c r="E845" i="2"/>
  <c r="D845" i="2"/>
  <c r="C857" i="2"/>
  <c r="G857" i="2"/>
  <c r="F857" i="2"/>
  <c r="E857" i="2"/>
  <c r="D857" i="2"/>
  <c r="C869" i="2"/>
  <c r="G869" i="2"/>
  <c r="F869" i="2"/>
  <c r="E869" i="2"/>
  <c r="D869" i="2"/>
  <c r="C881" i="2"/>
  <c r="G881" i="2"/>
  <c r="F881" i="2"/>
  <c r="E881" i="2"/>
  <c r="D881" i="2"/>
  <c r="C893" i="2"/>
  <c r="G893" i="2"/>
  <c r="F893" i="2"/>
  <c r="E893" i="2"/>
  <c r="D893" i="2"/>
  <c r="C911" i="2"/>
  <c r="G911" i="2"/>
  <c r="F911" i="2"/>
  <c r="D911" i="2"/>
  <c r="E911" i="2"/>
  <c r="C923" i="2"/>
  <c r="G923" i="2"/>
  <c r="F923" i="2"/>
  <c r="E923" i="2"/>
  <c r="D923" i="2"/>
  <c r="C929" i="2"/>
  <c r="G929" i="2"/>
  <c r="F929" i="2"/>
  <c r="E929" i="2"/>
  <c r="D929" i="2"/>
  <c r="C941" i="2"/>
  <c r="G941" i="2"/>
  <c r="F941" i="2"/>
  <c r="E941" i="2"/>
  <c r="D941" i="2"/>
  <c r="C953" i="2"/>
  <c r="G953" i="2"/>
  <c r="F953" i="2"/>
  <c r="E953" i="2"/>
  <c r="D953" i="2"/>
  <c r="C965" i="2"/>
  <c r="G965" i="2"/>
  <c r="F965" i="2"/>
  <c r="E965" i="2"/>
  <c r="D965" i="2"/>
  <c r="C977" i="2"/>
  <c r="G977" i="2"/>
  <c r="F977" i="2"/>
  <c r="E977" i="2"/>
  <c r="D977" i="2"/>
  <c r="C989" i="2"/>
  <c r="G989" i="2"/>
  <c r="F989" i="2"/>
  <c r="E989" i="2"/>
  <c r="D989" i="2"/>
  <c r="C1001" i="2"/>
  <c r="G1001" i="2"/>
  <c r="F1001" i="2"/>
  <c r="E1001" i="2"/>
  <c r="D1001" i="2"/>
  <c r="C1013" i="2"/>
  <c r="G1013" i="2"/>
  <c r="F1013" i="2"/>
  <c r="E1013" i="2"/>
  <c r="D1013" i="2"/>
  <c r="C1025" i="2"/>
  <c r="G1025" i="2"/>
  <c r="F1025" i="2"/>
  <c r="E1025" i="2"/>
  <c r="D1025" i="2"/>
  <c r="C1037" i="2"/>
  <c r="G1037" i="2"/>
  <c r="F1037" i="2"/>
  <c r="E1037" i="2"/>
  <c r="D1037" i="2"/>
  <c r="C1049" i="2"/>
  <c r="G1049" i="2"/>
  <c r="F1049" i="2"/>
  <c r="E1049" i="2"/>
  <c r="D1049" i="2"/>
  <c r="C1061" i="2"/>
  <c r="G1061" i="2"/>
  <c r="F1061" i="2"/>
  <c r="E1061" i="2"/>
  <c r="D1061" i="2"/>
  <c r="C1073" i="2"/>
  <c r="G1073" i="2"/>
  <c r="F1073" i="2"/>
  <c r="E1073" i="2"/>
  <c r="D1073" i="2"/>
  <c r="C1084" i="2"/>
  <c r="G1084" i="2"/>
  <c r="F1084" i="2"/>
  <c r="E1084" i="2"/>
  <c r="D1084" i="2"/>
  <c r="C1096" i="2"/>
  <c r="G1096" i="2"/>
  <c r="F1096" i="2"/>
  <c r="E1096" i="2"/>
  <c r="D1096" i="2"/>
  <c r="C1102" i="2"/>
  <c r="G1102" i="2"/>
  <c r="F1102" i="2"/>
  <c r="E1102" i="2"/>
  <c r="D1102" i="2"/>
  <c r="C1114" i="2"/>
  <c r="G1114" i="2"/>
  <c r="F1114" i="2"/>
  <c r="E1114" i="2"/>
  <c r="D1114" i="2"/>
  <c r="C1126" i="2"/>
  <c r="G1126" i="2"/>
  <c r="F1126" i="2"/>
  <c r="E1126" i="2"/>
  <c r="D1126" i="2"/>
  <c r="C1138" i="2"/>
  <c r="G1138" i="2"/>
  <c r="F1138" i="2"/>
  <c r="E1138" i="2"/>
  <c r="D1138" i="2"/>
  <c r="C1150" i="2"/>
  <c r="G1150" i="2"/>
  <c r="F1150" i="2"/>
  <c r="E1150" i="2"/>
  <c r="D1150" i="2"/>
  <c r="C1156" i="2"/>
  <c r="G1156" i="2"/>
  <c r="F1156" i="2"/>
  <c r="E1156" i="2"/>
  <c r="D1156" i="2"/>
  <c r="C1173" i="2"/>
  <c r="G1173" i="2"/>
  <c r="F1173" i="2"/>
  <c r="E1173" i="2"/>
  <c r="D1173" i="2"/>
  <c r="C1185" i="2"/>
  <c r="G1185" i="2"/>
  <c r="F1185" i="2"/>
  <c r="E1185" i="2"/>
  <c r="D1185" i="2"/>
  <c r="C1197" i="2"/>
  <c r="G1197" i="2"/>
  <c r="F1197" i="2"/>
  <c r="E1197" i="2"/>
  <c r="D1197" i="2"/>
  <c r="C1209" i="2"/>
  <c r="G1209" i="2"/>
  <c r="F1209" i="2"/>
  <c r="E1209" i="2"/>
  <c r="D1209" i="2"/>
  <c r="C1221" i="2"/>
  <c r="G1221" i="2"/>
  <c r="F1221" i="2"/>
  <c r="E1221" i="2"/>
  <c r="D1221" i="2"/>
  <c r="C1233" i="2"/>
  <c r="G1233" i="2"/>
  <c r="F1233" i="2"/>
  <c r="E1233" i="2"/>
  <c r="D1233" i="2"/>
  <c r="C1245" i="2"/>
  <c r="G1245" i="2"/>
  <c r="F1245" i="2"/>
  <c r="E1245" i="2"/>
  <c r="C1263" i="2"/>
  <c r="G1263" i="2"/>
  <c r="F1263" i="2"/>
  <c r="E1263" i="2"/>
  <c r="C1275" i="2"/>
  <c r="G1275" i="2"/>
  <c r="F1275" i="2"/>
  <c r="E1275" i="2"/>
  <c r="D1275" i="2"/>
  <c r="C1287" i="2"/>
  <c r="G1287" i="2"/>
  <c r="F1287" i="2"/>
  <c r="E1287" i="2"/>
  <c r="D1287" i="2"/>
  <c r="C1293" i="2"/>
  <c r="G1293" i="2"/>
  <c r="F1293" i="2"/>
  <c r="E1293" i="2"/>
  <c r="D1293" i="2"/>
  <c r="C1305" i="2"/>
  <c r="G1305" i="2"/>
  <c r="F1305" i="2"/>
  <c r="E1305" i="2"/>
  <c r="D1305" i="2"/>
  <c r="C1323" i="2"/>
  <c r="G1323" i="2"/>
  <c r="F1323" i="2"/>
  <c r="E1323" i="2"/>
  <c r="D1323" i="2"/>
  <c r="C1329" i="2"/>
  <c r="G1329" i="2"/>
  <c r="F1329" i="2"/>
  <c r="E1329" i="2"/>
  <c r="D1329" i="2"/>
  <c r="C1347" i="2"/>
  <c r="G1347" i="2"/>
  <c r="E1347" i="2"/>
  <c r="F1347" i="2"/>
  <c r="D1347" i="2"/>
  <c r="C1359" i="2"/>
  <c r="G1359" i="2"/>
  <c r="F1359" i="2"/>
  <c r="E1359" i="2"/>
  <c r="D1359" i="2"/>
  <c r="C1371" i="2"/>
  <c r="G1371" i="2"/>
  <c r="F1371" i="2"/>
  <c r="E1371" i="2"/>
  <c r="C1383" i="2"/>
  <c r="G1383" i="2"/>
  <c r="F1383" i="2"/>
  <c r="E1383" i="2"/>
  <c r="D1383" i="2"/>
  <c r="C1395" i="2"/>
  <c r="G1395" i="2"/>
  <c r="F1395" i="2"/>
  <c r="E1395" i="2"/>
  <c r="D1395" i="2"/>
  <c r="C1407" i="2"/>
  <c r="G1407" i="2"/>
  <c r="F1407" i="2"/>
  <c r="E1407" i="2"/>
  <c r="C1419" i="2"/>
  <c r="G1419" i="2"/>
  <c r="F1419" i="2"/>
  <c r="E1419" i="2"/>
  <c r="D1419" i="2"/>
  <c r="C1431" i="2"/>
  <c r="G1431" i="2"/>
  <c r="F1431" i="2"/>
  <c r="E1431" i="2"/>
  <c r="D1431" i="2"/>
  <c r="C1437" i="2"/>
  <c r="G1437" i="2"/>
  <c r="F1437" i="2"/>
  <c r="E1437" i="2"/>
  <c r="D1437" i="2"/>
  <c r="C1449" i="2"/>
  <c r="G1449" i="2"/>
  <c r="F1449" i="2"/>
  <c r="E1449" i="2"/>
  <c r="D1449" i="2"/>
  <c r="C1461" i="2"/>
  <c r="G1461" i="2"/>
  <c r="F1461" i="2"/>
  <c r="E1461" i="2"/>
  <c r="C1479" i="2"/>
  <c r="G1479" i="2"/>
  <c r="F1479" i="2"/>
  <c r="E1479" i="2"/>
  <c r="C1491" i="2"/>
  <c r="G1491" i="2"/>
  <c r="F1491" i="2"/>
  <c r="E1491" i="2"/>
  <c r="D1491" i="2"/>
  <c r="C1509" i="2"/>
  <c r="G1509" i="2"/>
  <c r="F1509" i="2"/>
  <c r="E1509" i="2"/>
  <c r="D1509" i="2"/>
  <c r="C1521" i="2"/>
  <c r="G1521" i="2"/>
  <c r="F1521" i="2"/>
  <c r="E1521" i="2"/>
  <c r="D1521" i="2"/>
  <c r="C1533" i="2"/>
  <c r="G1533" i="2"/>
  <c r="F1533" i="2"/>
  <c r="E1533" i="2"/>
  <c r="C1551" i="2"/>
  <c r="G1551" i="2"/>
  <c r="F1551" i="2"/>
  <c r="E1551" i="2"/>
  <c r="C1563" i="2"/>
  <c r="G1563" i="2"/>
  <c r="F1563" i="2"/>
  <c r="E1563" i="2"/>
  <c r="D1563" i="2"/>
  <c r="C1575" i="2"/>
  <c r="G1575" i="2"/>
  <c r="F1575" i="2"/>
  <c r="E1575" i="2"/>
  <c r="D1575" i="2"/>
  <c r="C1593" i="2"/>
  <c r="G1593" i="2"/>
  <c r="F1593" i="2"/>
  <c r="E1593" i="2"/>
  <c r="D1593" i="2"/>
  <c r="C1605" i="2"/>
  <c r="G1605" i="2"/>
  <c r="F1605" i="2"/>
  <c r="E1605" i="2"/>
  <c r="C1629" i="2"/>
  <c r="F1629" i="2"/>
  <c r="G1629" i="2"/>
  <c r="E1629" i="2"/>
  <c r="D1629" i="2"/>
  <c r="C1641" i="2"/>
  <c r="G1641" i="2"/>
  <c r="F1641" i="2"/>
  <c r="E1641" i="2"/>
  <c r="C1695" i="2"/>
  <c r="G1695" i="2"/>
  <c r="F1695" i="2"/>
  <c r="E1695" i="2"/>
  <c r="D1551" i="2"/>
  <c r="D516" i="2"/>
  <c r="C2" i="2"/>
  <c r="G2" i="2"/>
  <c r="F2" i="2"/>
  <c r="D2" i="2"/>
  <c r="E2" i="2"/>
  <c r="C73" i="2"/>
  <c r="G73" i="2"/>
  <c r="F73" i="2"/>
  <c r="E73" i="2"/>
  <c r="D73" i="2"/>
  <c r="C134" i="2"/>
  <c r="G134" i="2"/>
  <c r="F134" i="2"/>
  <c r="D134" i="2"/>
  <c r="E134" i="2"/>
  <c r="C9" i="2"/>
  <c r="G9" i="2"/>
  <c r="F9" i="2"/>
  <c r="E9" i="2"/>
  <c r="D9" i="2"/>
  <c r="C35" i="2"/>
  <c r="G35" i="2"/>
  <c r="F35" i="2"/>
  <c r="E35" i="2"/>
  <c r="D35" i="2"/>
  <c r="C97" i="2"/>
  <c r="G97" i="2"/>
  <c r="F97" i="2"/>
  <c r="E97" i="2"/>
  <c r="D97" i="2"/>
  <c r="C104" i="2"/>
  <c r="G104" i="2"/>
  <c r="F104" i="2"/>
  <c r="E104" i="2"/>
  <c r="D104" i="2"/>
  <c r="C114" i="2"/>
  <c r="G114" i="2"/>
  <c r="F114" i="2"/>
  <c r="E114" i="2"/>
  <c r="D114" i="2"/>
  <c r="C121" i="2"/>
  <c r="G121" i="2"/>
  <c r="F121" i="2"/>
  <c r="E121" i="2"/>
  <c r="D121" i="2"/>
  <c r="C130" i="2"/>
  <c r="G130" i="2"/>
  <c r="F130" i="2"/>
  <c r="E130" i="2"/>
  <c r="D130" i="2"/>
  <c r="C139" i="2"/>
  <c r="G139" i="2"/>
  <c r="F139" i="2"/>
  <c r="E139" i="2"/>
  <c r="D139" i="2"/>
  <c r="C145" i="2"/>
  <c r="G145" i="2"/>
  <c r="F145" i="2"/>
  <c r="E145" i="2"/>
  <c r="D145" i="2"/>
  <c r="C157" i="2"/>
  <c r="G157" i="2"/>
  <c r="F157" i="2"/>
  <c r="E157" i="2"/>
  <c r="D157" i="2"/>
  <c r="C169" i="2"/>
  <c r="G169" i="2"/>
  <c r="F169" i="2"/>
  <c r="E169" i="2"/>
  <c r="D169" i="2"/>
  <c r="C187" i="2"/>
  <c r="G187" i="2"/>
  <c r="F187" i="2"/>
  <c r="E187" i="2"/>
  <c r="D187" i="2"/>
  <c r="C199" i="2"/>
  <c r="G199" i="2"/>
  <c r="F199" i="2"/>
  <c r="E199" i="2"/>
  <c r="D199" i="2"/>
  <c r="C211" i="2"/>
  <c r="G211" i="2"/>
  <c r="F211" i="2"/>
  <c r="E211" i="2"/>
  <c r="D211" i="2"/>
  <c r="C223" i="2"/>
  <c r="G223" i="2"/>
  <c r="F223" i="2"/>
  <c r="D223" i="2"/>
  <c r="E223" i="2"/>
  <c r="C235" i="2"/>
  <c r="G235" i="2"/>
  <c r="F235" i="2"/>
  <c r="E235" i="2"/>
  <c r="D235" i="2"/>
  <c r="C247" i="2"/>
  <c r="G247" i="2"/>
  <c r="F247" i="2"/>
  <c r="E247" i="2"/>
  <c r="D247" i="2"/>
  <c r="C259" i="2"/>
  <c r="G259" i="2"/>
  <c r="F259" i="2"/>
  <c r="E259" i="2"/>
  <c r="D259" i="2"/>
  <c r="C271" i="2"/>
  <c r="G271" i="2"/>
  <c r="F271" i="2"/>
  <c r="E271" i="2"/>
  <c r="D271" i="2"/>
  <c r="C282" i="2"/>
  <c r="G282" i="2"/>
  <c r="F282" i="2"/>
  <c r="E282" i="2"/>
  <c r="D282" i="2"/>
  <c r="C306" i="2"/>
  <c r="G306" i="2"/>
  <c r="F306" i="2"/>
  <c r="E306" i="2"/>
  <c r="D306" i="2"/>
  <c r="C318" i="2"/>
  <c r="G318" i="2"/>
  <c r="F318" i="2"/>
  <c r="E318" i="2"/>
  <c r="D318" i="2"/>
  <c r="C330" i="2"/>
  <c r="G330" i="2"/>
  <c r="F330" i="2"/>
  <c r="D330" i="2"/>
  <c r="E330" i="2"/>
  <c r="C336" i="2"/>
  <c r="G336" i="2"/>
  <c r="F336" i="2"/>
  <c r="D336" i="2"/>
  <c r="E336" i="2"/>
  <c r="C348" i="2"/>
  <c r="G348" i="2"/>
  <c r="F348" i="2"/>
  <c r="E348" i="2"/>
  <c r="D348" i="2"/>
  <c r="C354" i="2"/>
  <c r="G354" i="2"/>
  <c r="F354" i="2"/>
  <c r="E354" i="2"/>
  <c r="D354" i="2"/>
  <c r="C366" i="2"/>
  <c r="G366" i="2"/>
  <c r="F366" i="2"/>
  <c r="E366" i="2"/>
  <c r="D366" i="2"/>
  <c r="C384" i="2"/>
  <c r="G384" i="2"/>
  <c r="F384" i="2"/>
  <c r="E384" i="2"/>
  <c r="D384" i="2"/>
  <c r="C396" i="2"/>
  <c r="G396" i="2"/>
  <c r="F396" i="2"/>
  <c r="E396" i="2"/>
  <c r="D396" i="2"/>
  <c r="C414" i="2"/>
  <c r="G414" i="2"/>
  <c r="F414" i="2"/>
  <c r="E414" i="2"/>
  <c r="D414" i="2"/>
  <c r="C426" i="2"/>
  <c r="G426" i="2"/>
  <c r="F426" i="2"/>
  <c r="E426" i="2"/>
  <c r="D426" i="2"/>
  <c r="C438" i="2"/>
  <c r="G438" i="2"/>
  <c r="F438" i="2"/>
  <c r="E438" i="2"/>
  <c r="D438" i="2"/>
  <c r="C450" i="2"/>
  <c r="G450" i="2"/>
  <c r="F450" i="2"/>
  <c r="E450" i="2"/>
  <c r="D450" i="2"/>
  <c r="C462" i="2"/>
  <c r="G462" i="2"/>
  <c r="F462" i="2"/>
  <c r="E462" i="2"/>
  <c r="D462" i="2"/>
  <c r="C474" i="2"/>
  <c r="G474" i="2"/>
  <c r="F474" i="2"/>
  <c r="E474" i="2"/>
  <c r="D474" i="2"/>
  <c r="C486" i="2"/>
  <c r="G486" i="2"/>
  <c r="F486" i="2"/>
  <c r="E486" i="2"/>
  <c r="D486" i="2"/>
  <c r="C498" i="2"/>
  <c r="G498" i="2"/>
  <c r="F498" i="2"/>
  <c r="E498" i="2"/>
  <c r="D498" i="2"/>
  <c r="C510" i="2"/>
  <c r="G510" i="2"/>
  <c r="F510" i="2"/>
  <c r="E510" i="2"/>
  <c r="D510" i="2"/>
  <c r="C522" i="2"/>
  <c r="G522" i="2"/>
  <c r="F522" i="2"/>
  <c r="E522" i="2"/>
  <c r="D522" i="2"/>
  <c r="C528" i="2"/>
  <c r="G528" i="2"/>
  <c r="F528" i="2"/>
  <c r="E528" i="2"/>
  <c r="D528" i="2"/>
  <c r="C540" i="2"/>
  <c r="G540" i="2"/>
  <c r="F540" i="2"/>
  <c r="E540" i="2"/>
  <c r="D540" i="2"/>
  <c r="C552" i="2"/>
  <c r="G552" i="2"/>
  <c r="F552" i="2"/>
  <c r="E552" i="2"/>
  <c r="D552" i="2"/>
  <c r="C564" i="2"/>
  <c r="G564" i="2"/>
  <c r="F564" i="2"/>
  <c r="E564" i="2"/>
  <c r="D564" i="2"/>
  <c r="C570" i="2"/>
  <c r="G570" i="2"/>
  <c r="F570" i="2"/>
  <c r="E570" i="2"/>
  <c r="D570" i="2"/>
  <c r="C582" i="2"/>
  <c r="G582" i="2"/>
  <c r="F582" i="2"/>
  <c r="E582" i="2"/>
  <c r="D582" i="2"/>
  <c r="C594" i="2"/>
  <c r="G594" i="2"/>
  <c r="F594" i="2"/>
  <c r="E594" i="2"/>
  <c r="D594" i="2"/>
  <c r="C606" i="2"/>
  <c r="G606" i="2"/>
  <c r="F606" i="2"/>
  <c r="E606" i="2"/>
  <c r="D606" i="2"/>
  <c r="C618" i="2"/>
  <c r="G618" i="2"/>
  <c r="F618" i="2"/>
  <c r="E618" i="2"/>
  <c r="D618" i="2"/>
  <c r="C636" i="2"/>
  <c r="G636" i="2"/>
  <c r="F636" i="2"/>
  <c r="E636" i="2"/>
  <c r="D636" i="2"/>
  <c r="C642" i="2"/>
  <c r="G642" i="2"/>
  <c r="F642" i="2"/>
  <c r="E642" i="2"/>
  <c r="D642" i="2"/>
  <c r="C654" i="2"/>
  <c r="G654" i="2"/>
  <c r="F654" i="2"/>
  <c r="E654" i="2"/>
  <c r="D654" i="2"/>
  <c r="C672" i="2"/>
  <c r="G672" i="2"/>
  <c r="F672" i="2"/>
  <c r="E672" i="2"/>
  <c r="D672" i="2"/>
  <c r="C678" i="2"/>
  <c r="G678" i="2"/>
  <c r="F678" i="2"/>
  <c r="E678" i="2"/>
  <c r="D678" i="2"/>
  <c r="C690" i="2"/>
  <c r="G690" i="2"/>
  <c r="F690" i="2"/>
  <c r="E690" i="2"/>
  <c r="D690" i="2"/>
  <c r="C708" i="2"/>
  <c r="G708" i="2"/>
  <c r="F708" i="2"/>
  <c r="E708" i="2"/>
  <c r="D708" i="2"/>
  <c r="C720" i="2"/>
  <c r="G720" i="2"/>
  <c r="F720" i="2"/>
  <c r="E720" i="2"/>
  <c r="D720" i="2"/>
  <c r="C732" i="2"/>
  <c r="G732" i="2"/>
  <c r="F732" i="2"/>
  <c r="E732" i="2"/>
  <c r="C744" i="2"/>
  <c r="G744" i="2"/>
  <c r="F744" i="2"/>
  <c r="E744" i="2"/>
  <c r="D744" i="2"/>
  <c r="C756" i="2"/>
  <c r="G756" i="2"/>
  <c r="F756" i="2"/>
  <c r="E756" i="2"/>
  <c r="D756" i="2"/>
  <c r="C768" i="2"/>
  <c r="G768" i="2"/>
  <c r="F768" i="2"/>
  <c r="E768" i="2"/>
  <c r="D768" i="2"/>
  <c r="C780" i="2"/>
  <c r="G780" i="2"/>
  <c r="F780" i="2"/>
  <c r="E780" i="2"/>
  <c r="D780" i="2"/>
  <c r="C797" i="2"/>
  <c r="G797" i="2"/>
  <c r="F797" i="2"/>
  <c r="E797" i="2"/>
  <c r="D797" i="2"/>
  <c r="C809" i="2"/>
  <c r="G809" i="2"/>
  <c r="F809" i="2"/>
  <c r="E809" i="2"/>
  <c r="D809" i="2"/>
  <c r="C815" i="2"/>
  <c r="G815" i="2"/>
  <c r="F815" i="2"/>
  <c r="E815" i="2"/>
  <c r="D815" i="2"/>
  <c r="C827" i="2"/>
  <c r="G827" i="2"/>
  <c r="F827" i="2"/>
  <c r="E827" i="2"/>
  <c r="D827" i="2"/>
  <c r="C839" i="2"/>
  <c r="G839" i="2"/>
  <c r="F839" i="2"/>
  <c r="E839" i="2"/>
  <c r="C851" i="2"/>
  <c r="G851" i="2"/>
  <c r="F851" i="2"/>
  <c r="E851" i="2"/>
  <c r="D851" i="2"/>
  <c r="C863" i="2"/>
  <c r="G863" i="2"/>
  <c r="F863" i="2"/>
  <c r="E863" i="2"/>
  <c r="D863" i="2"/>
  <c r="C875" i="2"/>
  <c r="G875" i="2"/>
  <c r="F875" i="2"/>
  <c r="E875" i="2"/>
  <c r="D875" i="2"/>
  <c r="C887" i="2"/>
  <c r="G887" i="2"/>
  <c r="F887" i="2"/>
  <c r="E887" i="2"/>
  <c r="D887" i="2"/>
  <c r="C899" i="2"/>
  <c r="G899" i="2"/>
  <c r="F899" i="2"/>
  <c r="E899" i="2"/>
  <c r="D899" i="2"/>
  <c r="C905" i="2"/>
  <c r="G905" i="2"/>
  <c r="F905" i="2"/>
  <c r="E905" i="2"/>
  <c r="D905" i="2"/>
  <c r="C917" i="2"/>
  <c r="G917" i="2"/>
  <c r="F917" i="2"/>
  <c r="E917" i="2"/>
  <c r="D917" i="2"/>
  <c r="C935" i="2"/>
  <c r="G935" i="2"/>
  <c r="F935" i="2"/>
  <c r="E935" i="2"/>
  <c r="D935" i="2"/>
  <c r="C947" i="2"/>
  <c r="G947" i="2"/>
  <c r="F947" i="2"/>
  <c r="E947" i="2"/>
  <c r="C959" i="2"/>
  <c r="G959" i="2"/>
  <c r="F959" i="2"/>
  <c r="E959" i="2"/>
  <c r="D959" i="2"/>
  <c r="C971" i="2"/>
  <c r="G971" i="2"/>
  <c r="F971" i="2"/>
  <c r="E971" i="2"/>
  <c r="D971" i="2"/>
  <c r="C983" i="2"/>
  <c r="G983" i="2"/>
  <c r="F983" i="2"/>
  <c r="E983" i="2"/>
  <c r="D983" i="2"/>
  <c r="C995" i="2"/>
  <c r="G995" i="2"/>
  <c r="F995" i="2"/>
  <c r="E995" i="2"/>
  <c r="D995" i="2"/>
  <c r="C1007" i="2"/>
  <c r="G1007" i="2"/>
  <c r="F1007" i="2"/>
  <c r="E1007" i="2"/>
  <c r="D1007" i="2"/>
  <c r="C1019" i="2"/>
  <c r="G1019" i="2"/>
  <c r="F1019" i="2"/>
  <c r="E1019" i="2"/>
  <c r="D1019" i="2"/>
  <c r="C1031" i="2"/>
  <c r="G1031" i="2"/>
  <c r="F1031" i="2"/>
  <c r="E1031" i="2"/>
  <c r="D1031" i="2"/>
  <c r="C1043" i="2"/>
  <c r="G1043" i="2"/>
  <c r="F1043" i="2"/>
  <c r="E1043" i="2"/>
  <c r="D1043" i="2"/>
  <c r="C1055" i="2"/>
  <c r="G1055" i="2"/>
  <c r="F1055" i="2"/>
  <c r="E1055" i="2"/>
  <c r="C1067" i="2"/>
  <c r="G1067" i="2"/>
  <c r="F1067" i="2"/>
  <c r="E1067" i="2"/>
  <c r="D1067" i="2"/>
  <c r="C1078" i="2"/>
  <c r="G1078" i="2"/>
  <c r="F1078" i="2"/>
  <c r="E1078" i="2"/>
  <c r="D1078" i="2"/>
  <c r="C1090" i="2"/>
  <c r="G1090" i="2"/>
  <c r="F1090" i="2"/>
  <c r="E1090" i="2"/>
  <c r="D1090" i="2"/>
  <c r="C1108" i="2"/>
  <c r="G1108" i="2"/>
  <c r="F1108" i="2"/>
  <c r="E1108" i="2"/>
  <c r="D1108" i="2"/>
  <c r="C1120" i="2"/>
  <c r="G1120" i="2"/>
  <c r="F1120" i="2"/>
  <c r="E1120" i="2"/>
  <c r="D1120" i="2"/>
  <c r="C1132" i="2"/>
  <c r="G1132" i="2"/>
  <c r="F1132" i="2"/>
  <c r="E1132" i="2"/>
  <c r="D1132" i="2"/>
  <c r="C1144" i="2"/>
  <c r="G1144" i="2"/>
  <c r="F1144" i="2"/>
  <c r="E1144" i="2"/>
  <c r="D1144" i="2"/>
  <c r="C1162" i="2"/>
  <c r="G1162" i="2"/>
  <c r="F1162" i="2"/>
  <c r="E1162" i="2"/>
  <c r="C1168" i="2"/>
  <c r="G1168" i="2"/>
  <c r="F1168" i="2"/>
  <c r="E1168" i="2"/>
  <c r="D1168" i="2"/>
  <c r="C1179" i="2"/>
  <c r="G1179" i="2"/>
  <c r="E1179" i="2"/>
  <c r="F1179" i="2"/>
  <c r="D1179" i="2"/>
  <c r="C1191" i="2"/>
  <c r="G1191" i="2"/>
  <c r="F1191" i="2"/>
  <c r="E1191" i="2"/>
  <c r="D1191" i="2"/>
  <c r="C1203" i="2"/>
  <c r="G1203" i="2"/>
  <c r="F1203" i="2"/>
  <c r="E1203" i="2"/>
  <c r="D1203" i="2"/>
  <c r="C1215" i="2"/>
  <c r="G1215" i="2"/>
  <c r="F1215" i="2"/>
  <c r="E1215" i="2"/>
  <c r="D1215" i="2"/>
  <c r="C1227" i="2"/>
  <c r="G1227" i="2"/>
  <c r="F1227" i="2"/>
  <c r="E1227" i="2"/>
  <c r="D1227" i="2"/>
  <c r="C1239" i="2"/>
  <c r="G1239" i="2"/>
  <c r="F1239" i="2"/>
  <c r="E1239" i="2"/>
  <c r="D1239" i="2"/>
  <c r="C1251" i="2"/>
  <c r="G1251" i="2"/>
  <c r="F1251" i="2"/>
  <c r="E1251" i="2"/>
  <c r="D1251" i="2"/>
  <c r="C1257" i="2"/>
  <c r="G1257" i="2"/>
  <c r="F1257" i="2"/>
  <c r="E1257" i="2"/>
  <c r="D1257" i="2"/>
  <c r="C1269" i="2"/>
  <c r="G1269" i="2"/>
  <c r="F1269" i="2"/>
  <c r="E1269" i="2"/>
  <c r="D1269" i="2"/>
  <c r="C1281" i="2"/>
  <c r="G1281" i="2"/>
  <c r="E1281" i="2"/>
  <c r="F1281" i="2"/>
  <c r="C1299" i="2"/>
  <c r="G1299" i="2"/>
  <c r="F1299" i="2"/>
  <c r="E1299" i="2"/>
  <c r="C1311" i="2"/>
  <c r="G1311" i="2"/>
  <c r="F1311" i="2"/>
  <c r="E1311" i="2"/>
  <c r="D1311" i="2"/>
  <c r="C1317" i="2"/>
  <c r="G1317" i="2"/>
  <c r="F1317" i="2"/>
  <c r="E1317" i="2"/>
  <c r="C1335" i="2"/>
  <c r="G1335" i="2"/>
  <c r="F1335" i="2"/>
  <c r="E1335" i="2"/>
  <c r="C1341" i="2"/>
  <c r="G1341" i="2"/>
  <c r="F1341" i="2"/>
  <c r="E1341" i="2"/>
  <c r="D1341" i="2"/>
  <c r="C1353" i="2"/>
  <c r="G1353" i="2"/>
  <c r="F1353" i="2"/>
  <c r="E1353" i="2"/>
  <c r="C1365" i="2"/>
  <c r="F1365" i="2"/>
  <c r="G1365" i="2"/>
  <c r="E1365" i="2"/>
  <c r="D1365" i="2"/>
  <c r="C1377" i="2"/>
  <c r="G1377" i="2"/>
  <c r="F1377" i="2"/>
  <c r="E1377" i="2"/>
  <c r="D1377" i="2"/>
  <c r="C1389" i="2"/>
  <c r="G1389" i="2"/>
  <c r="F1389" i="2"/>
  <c r="E1389" i="2"/>
  <c r="C1401" i="2"/>
  <c r="G1401" i="2"/>
  <c r="F1401" i="2"/>
  <c r="E1401" i="2"/>
  <c r="D1401" i="2"/>
  <c r="C1413" i="2"/>
  <c r="G1413" i="2"/>
  <c r="F1413" i="2"/>
  <c r="E1413" i="2"/>
  <c r="D1413" i="2"/>
  <c r="C1425" i="2"/>
  <c r="G1425" i="2"/>
  <c r="F1425" i="2"/>
  <c r="E1425" i="2"/>
  <c r="C1443" i="2"/>
  <c r="G1443" i="2"/>
  <c r="F1443" i="2"/>
  <c r="E1443" i="2"/>
  <c r="C1455" i="2"/>
  <c r="G1455" i="2"/>
  <c r="F1455" i="2"/>
  <c r="E1455" i="2"/>
  <c r="D1455" i="2"/>
  <c r="C1467" i="2"/>
  <c r="G1467" i="2"/>
  <c r="F1467" i="2"/>
  <c r="E1467" i="2"/>
  <c r="D1467" i="2"/>
  <c r="C1473" i="2"/>
  <c r="G1473" i="2"/>
  <c r="F1473" i="2"/>
  <c r="E1473" i="2"/>
  <c r="D1473" i="2"/>
  <c r="C1485" i="2"/>
  <c r="G1485" i="2"/>
  <c r="F1485" i="2"/>
  <c r="E1485" i="2"/>
  <c r="D1485" i="2"/>
  <c r="C1497" i="2"/>
  <c r="G1497" i="2"/>
  <c r="E1497" i="2"/>
  <c r="F1497" i="2"/>
  <c r="C1503" i="2"/>
  <c r="G1503" i="2"/>
  <c r="F1503" i="2"/>
  <c r="E1503" i="2"/>
  <c r="D1503" i="2"/>
  <c r="C1515" i="2"/>
  <c r="G1515" i="2"/>
  <c r="F1515" i="2"/>
  <c r="E1515" i="2"/>
  <c r="C1527" i="2"/>
  <c r="G1527" i="2"/>
  <c r="F1527" i="2"/>
  <c r="E1527" i="2"/>
  <c r="D1527" i="2"/>
  <c r="C1539" i="2"/>
  <c r="G1539" i="2"/>
  <c r="F1539" i="2"/>
  <c r="E1539" i="2"/>
  <c r="D1539" i="2"/>
  <c r="C1545" i="2"/>
  <c r="G1545" i="2"/>
  <c r="F1545" i="2"/>
  <c r="E1545" i="2"/>
  <c r="D1545" i="2"/>
  <c r="C1557" i="2"/>
  <c r="G1557" i="2"/>
  <c r="F1557" i="2"/>
  <c r="E1557" i="2"/>
  <c r="D1557" i="2"/>
  <c r="C1569" i="2"/>
  <c r="G1569" i="2"/>
  <c r="F1569" i="2"/>
  <c r="E1569" i="2"/>
  <c r="C1581" i="2"/>
  <c r="G1581" i="2"/>
  <c r="F1581" i="2"/>
  <c r="E1581" i="2"/>
  <c r="D1581" i="2"/>
  <c r="C1587" i="2"/>
  <c r="G1587" i="2"/>
  <c r="F1587" i="2"/>
  <c r="E1587" i="2"/>
  <c r="C1599" i="2"/>
  <c r="G1599" i="2"/>
  <c r="F1599" i="2"/>
  <c r="E1599" i="2"/>
  <c r="D1599" i="2"/>
  <c r="C1611" i="2"/>
  <c r="G1611" i="2"/>
  <c r="F1611" i="2"/>
  <c r="E1611" i="2"/>
  <c r="D1611" i="2"/>
  <c r="C1617" i="2"/>
  <c r="G1617" i="2"/>
  <c r="F1617" i="2"/>
  <c r="E1617" i="2"/>
  <c r="D1617" i="2"/>
  <c r="C1623" i="2"/>
  <c r="G1623" i="2"/>
  <c r="F1623" i="2"/>
  <c r="E1623" i="2"/>
  <c r="C1635" i="2"/>
  <c r="G1635" i="2"/>
  <c r="F1635" i="2"/>
  <c r="E1635" i="2"/>
  <c r="D1635" i="2"/>
  <c r="C1647" i="2"/>
  <c r="G1647" i="2"/>
  <c r="F1647" i="2"/>
  <c r="E1647" i="2"/>
  <c r="D1647" i="2"/>
  <c r="C1653" i="2"/>
  <c r="G1653" i="2"/>
  <c r="F1653" i="2"/>
  <c r="E1653" i="2"/>
  <c r="D1653" i="2"/>
  <c r="C1659" i="2"/>
  <c r="G1659" i="2"/>
  <c r="F1659" i="2"/>
  <c r="E1659" i="2"/>
  <c r="C1665" i="2"/>
  <c r="G1665" i="2"/>
  <c r="F1665" i="2"/>
  <c r="E1665" i="2"/>
  <c r="D1665" i="2"/>
  <c r="C1671" i="2"/>
  <c r="G1671" i="2"/>
  <c r="F1671" i="2"/>
  <c r="E1671" i="2"/>
  <c r="D1671" i="2"/>
  <c r="C1677" i="2"/>
  <c r="G1677" i="2"/>
  <c r="F1677" i="2"/>
  <c r="E1677" i="2"/>
  <c r="C1683" i="2"/>
  <c r="G1683" i="2"/>
  <c r="F1683" i="2"/>
  <c r="E1683" i="2"/>
  <c r="D1683" i="2"/>
  <c r="C1689" i="2"/>
  <c r="G1689" i="2"/>
  <c r="F1689" i="2"/>
  <c r="E1689" i="2"/>
  <c r="D1689" i="2"/>
  <c r="C1701" i="2"/>
  <c r="G1701" i="2"/>
  <c r="F1701" i="2"/>
  <c r="E1701" i="2"/>
  <c r="D1701" i="2"/>
  <c r="C1707" i="2"/>
  <c r="G1707" i="2"/>
  <c r="F1707" i="2"/>
  <c r="E1707" i="2"/>
  <c r="D1707" i="2"/>
  <c r="C1712" i="2"/>
  <c r="G1712" i="2"/>
  <c r="F1712" i="2"/>
  <c r="E1712" i="2"/>
  <c r="C1718" i="2"/>
  <c r="G1718" i="2"/>
  <c r="F1718" i="2"/>
  <c r="E1718" i="2"/>
  <c r="D1718" i="2"/>
  <c r="C1724" i="2"/>
  <c r="G1724" i="2"/>
  <c r="F1724" i="2"/>
  <c r="E1724" i="2"/>
  <c r="D1724" i="2"/>
  <c r="C1730" i="2"/>
  <c r="G1730" i="2"/>
  <c r="F1730" i="2"/>
  <c r="E1730" i="2"/>
  <c r="C1736" i="2"/>
  <c r="G1736" i="2"/>
  <c r="F1736" i="2"/>
  <c r="E1736" i="2"/>
  <c r="D1736" i="2"/>
  <c r="C1742" i="2"/>
  <c r="G1742" i="2"/>
  <c r="F1742" i="2"/>
  <c r="E1742" i="2"/>
  <c r="D1742" i="2"/>
  <c r="C1748" i="2"/>
  <c r="G1748" i="2"/>
  <c r="F1748" i="2"/>
  <c r="E1748" i="2"/>
  <c r="C1754" i="2"/>
  <c r="G1754" i="2"/>
  <c r="F1754" i="2"/>
  <c r="E1754" i="2"/>
  <c r="D1754" i="2"/>
  <c r="C1760" i="2"/>
  <c r="F1760" i="2"/>
  <c r="G1760" i="2"/>
  <c r="E1760" i="2"/>
  <c r="D1760" i="2"/>
  <c r="C1766" i="2"/>
  <c r="G1766" i="2"/>
  <c r="F1766" i="2"/>
  <c r="E1766" i="2"/>
  <c r="C1772" i="2"/>
  <c r="G1772" i="2"/>
  <c r="F1772" i="2"/>
  <c r="E1772" i="2"/>
  <c r="D1772" i="2"/>
  <c r="C1778" i="2"/>
  <c r="G1778" i="2"/>
  <c r="F1778" i="2"/>
  <c r="E1778" i="2"/>
  <c r="D1778" i="2"/>
  <c r="C1784" i="2"/>
  <c r="G1784" i="2"/>
  <c r="F1784" i="2"/>
  <c r="E1784" i="2"/>
  <c r="C1790" i="2"/>
  <c r="G1790" i="2"/>
  <c r="F1790" i="2"/>
  <c r="E1790" i="2"/>
  <c r="D1790" i="2"/>
  <c r="C1796" i="2"/>
  <c r="G1796" i="2"/>
  <c r="F1796" i="2"/>
  <c r="E1796" i="2"/>
  <c r="D1796" i="2"/>
  <c r="C1802" i="2"/>
  <c r="G1802" i="2"/>
  <c r="F1802" i="2"/>
  <c r="E1802" i="2"/>
  <c r="C1808" i="2"/>
  <c r="G1808" i="2"/>
  <c r="F1808" i="2"/>
  <c r="E1808" i="2"/>
  <c r="D1808" i="2"/>
  <c r="C1814" i="2"/>
  <c r="G1814" i="2"/>
  <c r="F1814" i="2"/>
  <c r="E1814" i="2"/>
  <c r="D1814" i="2"/>
  <c r="C1820" i="2"/>
  <c r="G1820" i="2"/>
  <c r="F1820" i="2"/>
  <c r="E1820" i="2"/>
  <c r="C1826" i="2"/>
  <c r="G1826" i="2"/>
  <c r="F1826" i="2"/>
  <c r="E1826" i="2"/>
  <c r="D1826" i="2"/>
  <c r="C1832" i="2"/>
  <c r="G1832" i="2"/>
  <c r="F1832" i="2"/>
  <c r="E1832" i="2"/>
  <c r="D1832" i="2"/>
  <c r="C1838" i="2"/>
  <c r="G1838" i="2"/>
  <c r="F1838" i="2"/>
  <c r="E1838" i="2"/>
  <c r="C1844" i="2"/>
  <c r="G1844" i="2"/>
  <c r="F1844" i="2"/>
  <c r="E1844" i="2"/>
  <c r="D1844" i="2"/>
  <c r="C1850" i="2"/>
  <c r="G1850" i="2"/>
  <c r="F1850" i="2"/>
  <c r="E1850" i="2"/>
  <c r="D1850" i="2"/>
  <c r="C1856" i="2"/>
  <c r="G1856" i="2"/>
  <c r="F1856" i="2"/>
  <c r="E1856" i="2"/>
  <c r="D1856" i="2"/>
  <c r="C1862" i="2"/>
  <c r="G1862" i="2"/>
  <c r="F1862" i="2"/>
  <c r="E1862" i="2"/>
  <c r="D1862" i="2"/>
  <c r="C1868" i="2"/>
  <c r="G1868" i="2"/>
  <c r="F1868" i="2"/>
  <c r="E1868" i="2"/>
  <c r="D1868" i="2"/>
  <c r="C1874" i="2"/>
  <c r="G1874" i="2"/>
  <c r="F1874" i="2"/>
  <c r="E1874" i="2"/>
  <c r="D1874" i="2"/>
  <c r="C1880" i="2"/>
  <c r="G1880" i="2"/>
  <c r="F1880" i="2"/>
  <c r="E1880" i="2"/>
  <c r="D1880" i="2"/>
  <c r="C1886" i="2"/>
  <c r="G1886" i="2"/>
  <c r="F1886" i="2"/>
  <c r="E1886" i="2"/>
  <c r="D1886" i="2"/>
  <c r="C1892" i="2"/>
  <c r="G1892" i="2"/>
  <c r="F1892" i="2"/>
  <c r="E1892" i="2"/>
  <c r="D1892" i="2"/>
  <c r="C1898" i="2"/>
  <c r="G1898" i="2"/>
  <c r="F1898" i="2"/>
  <c r="E1898" i="2"/>
  <c r="D1898" i="2"/>
  <c r="C1904" i="2"/>
  <c r="G1904" i="2"/>
  <c r="F1904" i="2"/>
  <c r="E1904" i="2"/>
  <c r="D1904" i="2"/>
  <c r="C1906" i="2"/>
  <c r="G1906" i="2"/>
  <c r="F1906" i="2"/>
  <c r="E1906" i="2"/>
  <c r="D1906" i="2"/>
  <c r="C1911" i="2"/>
  <c r="G1911" i="2"/>
  <c r="F1911" i="2"/>
  <c r="E1911" i="2"/>
  <c r="D1911" i="2"/>
  <c r="C1917" i="2"/>
  <c r="G1917" i="2"/>
  <c r="F1917" i="2"/>
  <c r="E1917" i="2"/>
  <c r="D1917" i="2"/>
  <c r="C1923" i="2"/>
  <c r="G1923" i="2"/>
  <c r="F1923" i="2"/>
  <c r="E1923" i="2"/>
  <c r="D1923" i="2"/>
  <c r="C1929" i="2"/>
  <c r="G1929" i="2"/>
  <c r="F1929" i="2"/>
  <c r="E1929" i="2"/>
  <c r="D1929" i="2"/>
  <c r="C1935" i="2"/>
  <c r="G1935" i="2"/>
  <c r="F1935" i="2"/>
  <c r="E1935" i="2"/>
  <c r="D1935" i="2"/>
  <c r="C1941" i="2"/>
  <c r="G1941" i="2"/>
  <c r="F1941" i="2"/>
  <c r="E1941" i="2"/>
  <c r="D1941" i="2"/>
  <c r="C1947" i="2"/>
  <c r="G1947" i="2"/>
  <c r="F1947" i="2"/>
  <c r="E1947" i="2"/>
  <c r="D1947" i="2"/>
  <c r="C1953" i="2"/>
  <c r="G1953" i="2"/>
  <c r="F1953" i="2"/>
  <c r="E1953" i="2"/>
  <c r="D1953" i="2"/>
  <c r="C1959" i="2"/>
  <c r="G1959" i="2"/>
  <c r="F1959" i="2"/>
  <c r="E1959" i="2"/>
  <c r="D1959" i="2"/>
  <c r="C1965" i="2"/>
  <c r="G1965" i="2"/>
  <c r="F1965" i="2"/>
  <c r="E1965" i="2"/>
  <c r="D1965" i="2"/>
  <c r="C1971" i="2"/>
  <c r="G1971" i="2"/>
  <c r="F1971" i="2"/>
  <c r="E1971" i="2"/>
  <c r="D1971" i="2"/>
  <c r="C1977" i="2"/>
  <c r="G1977" i="2"/>
  <c r="E1977" i="2"/>
  <c r="F1977" i="2"/>
  <c r="D1977" i="2"/>
  <c r="C1983" i="2"/>
  <c r="G1983" i="2"/>
  <c r="F1983" i="2"/>
  <c r="E1983" i="2"/>
  <c r="D1983" i="2"/>
  <c r="C1989" i="2"/>
  <c r="G1989" i="2"/>
  <c r="F1989" i="2"/>
  <c r="E1989" i="2"/>
  <c r="D1989" i="2"/>
  <c r="C1995" i="2"/>
  <c r="G1995" i="2"/>
  <c r="F1995" i="2"/>
  <c r="E1995" i="2"/>
  <c r="D1995" i="2"/>
  <c r="C2001" i="2"/>
  <c r="G2001" i="2"/>
  <c r="F2001" i="2"/>
  <c r="E2001" i="2"/>
  <c r="D2001" i="2"/>
  <c r="C2007" i="2"/>
  <c r="G2007" i="2"/>
  <c r="F2007" i="2"/>
  <c r="E2007" i="2"/>
  <c r="D2007" i="2"/>
  <c r="C2013" i="2"/>
  <c r="G2013" i="2"/>
  <c r="F2013" i="2"/>
  <c r="E2013" i="2"/>
  <c r="D2013" i="2"/>
  <c r="C2019" i="2"/>
  <c r="G2019" i="2"/>
  <c r="F2019" i="2"/>
  <c r="E2019" i="2"/>
  <c r="D2019" i="2"/>
  <c r="C2025" i="2"/>
  <c r="G2025" i="2"/>
  <c r="F2025" i="2"/>
  <c r="E2025" i="2"/>
  <c r="D2025" i="2"/>
  <c r="C2031" i="2"/>
  <c r="G2031" i="2"/>
  <c r="F2031" i="2"/>
  <c r="E2031" i="2"/>
  <c r="D2031" i="2"/>
  <c r="C2037" i="2"/>
  <c r="G2037" i="2"/>
  <c r="F2037" i="2"/>
  <c r="E2037" i="2"/>
  <c r="D2037" i="2"/>
  <c r="C2043" i="2"/>
  <c r="G2043" i="2"/>
  <c r="F2043" i="2"/>
  <c r="E2043" i="2"/>
  <c r="D2043" i="2"/>
  <c r="C2049" i="2"/>
  <c r="G2049" i="2"/>
  <c r="F2049" i="2"/>
  <c r="E2049" i="2"/>
  <c r="D2049" i="2"/>
  <c r="C2055" i="2"/>
  <c r="G2055" i="2"/>
  <c r="F2055" i="2"/>
  <c r="E2055" i="2"/>
  <c r="D2055" i="2"/>
  <c r="C2061" i="2"/>
  <c r="G2061" i="2"/>
  <c r="F2061" i="2"/>
  <c r="E2061" i="2"/>
  <c r="D2061" i="2"/>
  <c r="C2067" i="2"/>
  <c r="G2067" i="2"/>
  <c r="F2067" i="2"/>
  <c r="E2067" i="2"/>
  <c r="D2067" i="2"/>
  <c r="C2073" i="2"/>
  <c r="G2073" i="2"/>
  <c r="F2073" i="2"/>
  <c r="E2073" i="2"/>
  <c r="D2073" i="2"/>
  <c r="C2079" i="2"/>
  <c r="G2079" i="2"/>
  <c r="F2079" i="2"/>
  <c r="E2079" i="2"/>
  <c r="D2079" i="2"/>
  <c r="C2085" i="2"/>
  <c r="G2085" i="2"/>
  <c r="E2085" i="2"/>
  <c r="F2085" i="2"/>
  <c r="D2085" i="2"/>
  <c r="C2091" i="2"/>
  <c r="G2091" i="2"/>
  <c r="F2091" i="2"/>
  <c r="E2091" i="2"/>
  <c r="D2091" i="2"/>
  <c r="C2097" i="2"/>
  <c r="G2097" i="2"/>
  <c r="F2097" i="2"/>
  <c r="E2097" i="2"/>
  <c r="D2097" i="2"/>
  <c r="C2103" i="2"/>
  <c r="G2103" i="2"/>
  <c r="F2103" i="2"/>
  <c r="E2103" i="2"/>
  <c r="D2103" i="2"/>
  <c r="C2109" i="2"/>
  <c r="G2109" i="2"/>
  <c r="F2109" i="2"/>
  <c r="E2109" i="2"/>
  <c r="D2109" i="2"/>
  <c r="C2115" i="2"/>
  <c r="G2115" i="2"/>
  <c r="F2115" i="2"/>
  <c r="E2115" i="2"/>
  <c r="D2115" i="2"/>
  <c r="C2121" i="2"/>
  <c r="G2121" i="2"/>
  <c r="F2121" i="2"/>
  <c r="E2121" i="2"/>
  <c r="D2121" i="2"/>
  <c r="C2127" i="2"/>
  <c r="G2127" i="2"/>
  <c r="F2127" i="2"/>
  <c r="E2127" i="2"/>
  <c r="D2127" i="2"/>
  <c r="C2133" i="2"/>
  <c r="G2133" i="2"/>
  <c r="F2133" i="2"/>
  <c r="E2133" i="2"/>
  <c r="D2133" i="2"/>
  <c r="C2139" i="2"/>
  <c r="G2139" i="2"/>
  <c r="F2139" i="2"/>
  <c r="E2139" i="2"/>
  <c r="D2139" i="2"/>
  <c r="C2145" i="2"/>
  <c r="G2145" i="2"/>
  <c r="F2145" i="2"/>
  <c r="E2145" i="2"/>
  <c r="D2145" i="2"/>
  <c r="C2151" i="2"/>
  <c r="G2151" i="2"/>
  <c r="F2151" i="2"/>
  <c r="E2151" i="2"/>
  <c r="D2151" i="2"/>
  <c r="C2157" i="2"/>
  <c r="G2157" i="2"/>
  <c r="F2157" i="2"/>
  <c r="E2157" i="2"/>
  <c r="D2157" i="2"/>
  <c r="C2163" i="2"/>
  <c r="G2163" i="2"/>
  <c r="F2163" i="2"/>
  <c r="E2163" i="2"/>
  <c r="D2163" i="2"/>
  <c r="C2169" i="2"/>
  <c r="G2169" i="2"/>
  <c r="F2169" i="2"/>
  <c r="E2169" i="2"/>
  <c r="C2175" i="2"/>
  <c r="G2175" i="2"/>
  <c r="F2175" i="2"/>
  <c r="E2175" i="2"/>
  <c r="D2175" i="2"/>
  <c r="C2181" i="2"/>
  <c r="G2181" i="2"/>
  <c r="F2181" i="2"/>
  <c r="E2181" i="2"/>
  <c r="D2181" i="2"/>
  <c r="C2187" i="2"/>
  <c r="G2187" i="2"/>
  <c r="F2187" i="2"/>
  <c r="E2187" i="2"/>
  <c r="C2193" i="2"/>
  <c r="G2193" i="2"/>
  <c r="F2193" i="2"/>
  <c r="E2193" i="2"/>
  <c r="D2193" i="2"/>
  <c r="C2199" i="2"/>
  <c r="G2199" i="2"/>
  <c r="F2199" i="2"/>
  <c r="E2199" i="2"/>
  <c r="D2199" i="2"/>
  <c r="C2205" i="2"/>
  <c r="F2205" i="2"/>
  <c r="G2205" i="2"/>
  <c r="E2205" i="2"/>
  <c r="C2211" i="2"/>
  <c r="G2211" i="2"/>
  <c r="F2211" i="2"/>
  <c r="E2211" i="2"/>
  <c r="D2211" i="2"/>
  <c r="D1784" i="2"/>
  <c r="D1677" i="2"/>
  <c r="D1569" i="2"/>
  <c r="D1461" i="2"/>
  <c r="D1353" i="2"/>
  <c r="D1245" i="2"/>
  <c r="D1162" i="2"/>
  <c r="D1748" i="2"/>
  <c r="D1641" i="2"/>
  <c r="D1533" i="2"/>
  <c r="D1425" i="2"/>
  <c r="D1317" i="2"/>
  <c r="D1055" i="2"/>
  <c r="D732" i="2"/>
  <c r="D839" i="2"/>
  <c r="D1820" i="2"/>
  <c r="D1730" i="2"/>
  <c r="D1623" i="2"/>
  <c r="D1515" i="2"/>
  <c r="D1407" i="2"/>
  <c r="D1299" i="2"/>
  <c r="D1712" i="2"/>
  <c r="D1605" i="2"/>
  <c r="D1497" i="2"/>
  <c r="D1389" i="2"/>
  <c r="D1281" i="2"/>
  <c r="D947" i="2"/>
  <c r="D2205" i="2"/>
  <c r="D2187" i="2"/>
  <c r="D2169" i="2"/>
  <c r="C3" i="2"/>
  <c r="F3" i="2"/>
  <c r="E3" i="2"/>
  <c r="D3" i="2"/>
  <c r="G7" i="2"/>
  <c r="F7" i="2"/>
  <c r="E7" i="2"/>
  <c r="D7" i="2"/>
  <c r="C24" i="2"/>
  <c r="G24" i="2"/>
  <c r="F24" i="2"/>
  <c r="E24" i="2"/>
  <c r="D24" i="2"/>
  <c r="C15" i="2"/>
  <c r="G15" i="2"/>
  <c r="F15" i="2"/>
  <c r="E15" i="2"/>
  <c r="D15" i="2"/>
  <c r="C16" i="2"/>
  <c r="G16" i="2"/>
  <c r="F16" i="2"/>
  <c r="E16" i="2"/>
  <c r="D16" i="2"/>
  <c r="C28" i="2"/>
  <c r="G28" i="2"/>
  <c r="F28" i="2"/>
  <c r="E28" i="2"/>
  <c r="D28" i="2"/>
  <c r="C82" i="2"/>
  <c r="G82" i="2"/>
  <c r="F82" i="2"/>
  <c r="E82" i="2"/>
  <c r="C37" i="2"/>
  <c r="G37" i="2"/>
  <c r="F37" i="2"/>
  <c r="E37" i="2"/>
  <c r="D37" i="2"/>
  <c r="C89" i="2"/>
  <c r="G89" i="2"/>
  <c r="F89" i="2"/>
  <c r="E89" i="2"/>
  <c r="D89" i="2"/>
  <c r="C93" i="2"/>
  <c r="G93" i="2"/>
  <c r="F93" i="2"/>
  <c r="E93" i="2"/>
  <c r="D93" i="2"/>
  <c r="C41" i="2"/>
  <c r="G41" i="2"/>
  <c r="F41" i="2"/>
  <c r="D41" i="2"/>
  <c r="E41" i="2"/>
  <c r="C36" i="2"/>
  <c r="G36" i="2"/>
  <c r="F36" i="2"/>
  <c r="D36" i="2"/>
  <c r="E36" i="2"/>
  <c r="C102" i="2"/>
  <c r="G102" i="2"/>
  <c r="F102" i="2"/>
  <c r="E102" i="2"/>
  <c r="D102" i="2"/>
  <c r="C51" i="2"/>
  <c r="G51" i="2"/>
  <c r="F51" i="2"/>
  <c r="E51" i="2"/>
  <c r="D51" i="2"/>
  <c r="C53" i="2"/>
  <c r="G53" i="2"/>
  <c r="F53" i="2"/>
  <c r="E53" i="2"/>
  <c r="D53" i="2"/>
  <c r="C12" i="2"/>
  <c r="G12" i="2"/>
  <c r="F12" i="2"/>
  <c r="E12" i="2"/>
  <c r="D12" i="2"/>
  <c r="C20" i="2"/>
  <c r="G20" i="2"/>
  <c r="F20" i="2"/>
  <c r="E20" i="2"/>
  <c r="D20" i="2"/>
  <c r="C60" i="2"/>
  <c r="G60" i="2"/>
  <c r="F60" i="2"/>
  <c r="E60" i="2"/>
  <c r="D60" i="2"/>
  <c r="C124" i="2"/>
  <c r="G124" i="2"/>
  <c r="F124" i="2"/>
  <c r="E124" i="2"/>
  <c r="D124" i="2"/>
  <c r="C129" i="2"/>
  <c r="G129" i="2"/>
  <c r="F129" i="2"/>
  <c r="E129" i="2"/>
  <c r="D129" i="2"/>
  <c r="C42" i="2"/>
  <c r="G42" i="2"/>
  <c r="F42" i="2"/>
  <c r="E42" i="2"/>
  <c r="D42" i="2"/>
  <c r="C138" i="2"/>
  <c r="G138" i="2"/>
  <c r="F138" i="2"/>
  <c r="E138" i="2"/>
  <c r="D138" i="2"/>
  <c r="C144" i="2"/>
  <c r="G144" i="2"/>
  <c r="F144" i="2"/>
  <c r="E144" i="2"/>
  <c r="D144" i="2"/>
  <c r="C150" i="2"/>
  <c r="G150" i="2"/>
  <c r="F150" i="2"/>
  <c r="E150" i="2"/>
  <c r="D150" i="2"/>
  <c r="C156" i="2"/>
  <c r="G156" i="2"/>
  <c r="F156" i="2"/>
  <c r="E156" i="2"/>
  <c r="D156" i="2"/>
  <c r="C162" i="2"/>
  <c r="G162" i="2"/>
  <c r="F162" i="2"/>
  <c r="E162" i="2"/>
  <c r="D162" i="2"/>
  <c r="C168" i="2"/>
  <c r="G168" i="2"/>
  <c r="F168" i="2"/>
  <c r="E168" i="2"/>
  <c r="D168" i="2"/>
  <c r="C174" i="2"/>
  <c r="G174" i="2"/>
  <c r="F174" i="2"/>
  <c r="E174" i="2"/>
  <c r="D174" i="2"/>
  <c r="C180" i="2"/>
  <c r="G180" i="2"/>
  <c r="F180" i="2"/>
  <c r="D180" i="2"/>
  <c r="E180" i="2"/>
  <c r="C186" i="2"/>
  <c r="G186" i="2"/>
  <c r="F186" i="2"/>
  <c r="D186" i="2"/>
  <c r="E186" i="2"/>
  <c r="C192" i="2"/>
  <c r="G192" i="2"/>
  <c r="F192" i="2"/>
  <c r="E192" i="2"/>
  <c r="D192" i="2"/>
  <c r="C198" i="2"/>
  <c r="G198" i="2"/>
  <c r="F198" i="2"/>
  <c r="E198" i="2"/>
  <c r="D198" i="2"/>
  <c r="C204" i="2"/>
  <c r="G204" i="2"/>
  <c r="F204" i="2"/>
  <c r="E204" i="2"/>
  <c r="D204" i="2"/>
  <c r="C210" i="2"/>
  <c r="G210" i="2"/>
  <c r="E210" i="2"/>
  <c r="F210" i="2"/>
  <c r="D210" i="2"/>
  <c r="C216" i="2"/>
  <c r="G216" i="2"/>
  <c r="F216" i="2"/>
  <c r="E216" i="2"/>
  <c r="D216" i="2"/>
  <c r="C222" i="2"/>
  <c r="G222" i="2"/>
  <c r="F222" i="2"/>
  <c r="E222" i="2"/>
  <c r="D222" i="2"/>
  <c r="C228" i="2"/>
  <c r="G228" i="2"/>
  <c r="F228" i="2"/>
  <c r="E228" i="2"/>
  <c r="D228" i="2"/>
  <c r="C234" i="2"/>
  <c r="G234" i="2"/>
  <c r="F234" i="2"/>
  <c r="E234" i="2"/>
  <c r="D234" i="2"/>
  <c r="C240" i="2"/>
  <c r="G240" i="2"/>
  <c r="F240" i="2"/>
  <c r="E240" i="2"/>
  <c r="D240" i="2"/>
  <c r="C246" i="2"/>
  <c r="G246" i="2"/>
  <c r="E246" i="2"/>
  <c r="F246" i="2"/>
  <c r="D246" i="2"/>
  <c r="C252" i="2"/>
  <c r="G252" i="2"/>
  <c r="F252" i="2"/>
  <c r="E252" i="2"/>
  <c r="D252" i="2"/>
  <c r="C258" i="2"/>
  <c r="G258" i="2"/>
  <c r="F258" i="2"/>
  <c r="E258" i="2"/>
  <c r="D258" i="2"/>
  <c r="C264" i="2"/>
  <c r="G264" i="2"/>
  <c r="F264" i="2"/>
  <c r="E264" i="2"/>
  <c r="D264" i="2"/>
  <c r="C270" i="2"/>
  <c r="G270" i="2"/>
  <c r="F270" i="2"/>
  <c r="E270" i="2"/>
  <c r="D270" i="2"/>
  <c r="C276" i="2"/>
  <c r="G276" i="2"/>
  <c r="F276" i="2"/>
  <c r="E276" i="2"/>
  <c r="D276" i="2"/>
  <c r="C66" i="2"/>
  <c r="G66" i="2"/>
  <c r="F66" i="2"/>
  <c r="E66" i="2"/>
  <c r="D66" i="2"/>
  <c r="C287" i="2"/>
  <c r="G287" i="2"/>
  <c r="F287" i="2"/>
  <c r="E287" i="2"/>
  <c r="D287" i="2"/>
  <c r="C293" i="2"/>
  <c r="G293" i="2"/>
  <c r="F293" i="2"/>
  <c r="E293" i="2"/>
  <c r="D293" i="2"/>
  <c r="C299" i="2"/>
  <c r="G299" i="2"/>
  <c r="F299" i="2"/>
  <c r="E299" i="2"/>
  <c r="D299" i="2"/>
  <c r="C305" i="2"/>
  <c r="G305" i="2"/>
  <c r="F305" i="2"/>
  <c r="E305" i="2"/>
  <c r="D305" i="2"/>
  <c r="C311" i="2"/>
  <c r="G311" i="2"/>
  <c r="F311" i="2"/>
  <c r="E311" i="2"/>
  <c r="D311" i="2"/>
  <c r="C317" i="2"/>
  <c r="G317" i="2"/>
  <c r="E317" i="2"/>
  <c r="F317" i="2"/>
  <c r="D317" i="2"/>
  <c r="C323" i="2"/>
  <c r="G323" i="2"/>
  <c r="F323" i="2"/>
  <c r="E323" i="2"/>
  <c r="D323" i="2"/>
  <c r="C329" i="2"/>
  <c r="G329" i="2"/>
  <c r="F329" i="2"/>
  <c r="E329" i="2"/>
  <c r="D329" i="2"/>
  <c r="C335" i="2"/>
  <c r="G335" i="2"/>
  <c r="F335" i="2"/>
  <c r="E335" i="2"/>
  <c r="D335" i="2"/>
  <c r="C341" i="2"/>
  <c r="G341" i="2"/>
  <c r="F341" i="2"/>
  <c r="E341" i="2"/>
  <c r="D341" i="2"/>
  <c r="C347" i="2"/>
  <c r="G347" i="2"/>
  <c r="F347" i="2"/>
  <c r="E347" i="2"/>
  <c r="D347" i="2"/>
  <c r="C353" i="2"/>
  <c r="G353" i="2"/>
  <c r="E353" i="2"/>
  <c r="F353" i="2"/>
  <c r="D353" i="2"/>
  <c r="C359" i="2"/>
  <c r="G359" i="2"/>
  <c r="F359" i="2"/>
  <c r="E359" i="2"/>
  <c r="D359" i="2"/>
  <c r="C365" i="2"/>
  <c r="G365" i="2"/>
  <c r="F365" i="2"/>
  <c r="E365" i="2"/>
  <c r="D365" i="2"/>
  <c r="C371" i="2"/>
  <c r="G371" i="2"/>
  <c r="F371" i="2"/>
  <c r="E371" i="2"/>
  <c r="D371" i="2"/>
  <c r="C377" i="2"/>
  <c r="G377" i="2"/>
  <c r="F377" i="2"/>
  <c r="E377" i="2"/>
  <c r="D377" i="2"/>
  <c r="C383" i="2"/>
  <c r="G383" i="2"/>
  <c r="F383" i="2"/>
  <c r="E383" i="2"/>
  <c r="D383" i="2"/>
  <c r="C389" i="2"/>
  <c r="G389" i="2"/>
  <c r="F389" i="2"/>
  <c r="E389" i="2"/>
  <c r="D389" i="2"/>
  <c r="C395" i="2"/>
  <c r="G395" i="2"/>
  <c r="F395" i="2"/>
  <c r="E395" i="2"/>
  <c r="D395" i="2"/>
  <c r="C401" i="2"/>
  <c r="G401" i="2"/>
  <c r="F401" i="2"/>
  <c r="E401" i="2"/>
  <c r="D401" i="2"/>
  <c r="C407" i="2"/>
  <c r="G407" i="2"/>
  <c r="F407" i="2"/>
  <c r="E407" i="2"/>
  <c r="D407" i="2"/>
  <c r="C413" i="2"/>
  <c r="G413" i="2"/>
  <c r="F413" i="2"/>
  <c r="E413" i="2"/>
  <c r="D413" i="2"/>
  <c r="C419" i="2"/>
  <c r="G419" i="2"/>
  <c r="F419" i="2"/>
  <c r="E419" i="2"/>
  <c r="C425" i="2"/>
  <c r="G425" i="2"/>
  <c r="F425" i="2"/>
  <c r="E425" i="2"/>
  <c r="D425" i="2"/>
  <c r="C431" i="2"/>
  <c r="G431" i="2"/>
  <c r="F431" i="2"/>
  <c r="E431" i="2"/>
  <c r="D431" i="2"/>
  <c r="C437" i="2"/>
  <c r="G437" i="2"/>
  <c r="F437" i="2"/>
  <c r="E437" i="2"/>
  <c r="D437" i="2"/>
  <c r="C443" i="2"/>
  <c r="G443" i="2"/>
  <c r="F443" i="2"/>
  <c r="E443" i="2"/>
  <c r="D443" i="2"/>
  <c r="C449" i="2"/>
  <c r="G449" i="2"/>
  <c r="F449" i="2"/>
  <c r="E449" i="2"/>
  <c r="D449" i="2"/>
  <c r="C455" i="2"/>
  <c r="G455" i="2"/>
  <c r="F455" i="2"/>
  <c r="E455" i="2"/>
  <c r="D455" i="2"/>
  <c r="C461" i="2"/>
  <c r="G461" i="2"/>
  <c r="E461" i="2"/>
  <c r="F461" i="2"/>
  <c r="D461" i="2"/>
  <c r="C467" i="2"/>
  <c r="G467" i="2"/>
  <c r="F467" i="2"/>
  <c r="E467" i="2"/>
  <c r="D467" i="2"/>
  <c r="C473" i="2"/>
  <c r="G473" i="2"/>
  <c r="F473" i="2"/>
  <c r="E473" i="2"/>
  <c r="C479" i="2"/>
  <c r="G479" i="2"/>
  <c r="F479" i="2"/>
  <c r="E479" i="2"/>
  <c r="D479" i="2"/>
  <c r="C485" i="2"/>
  <c r="G485" i="2"/>
  <c r="F485" i="2"/>
  <c r="E485" i="2"/>
  <c r="D485" i="2"/>
  <c r="C491" i="2"/>
  <c r="G491" i="2"/>
  <c r="F491" i="2"/>
  <c r="E491" i="2"/>
  <c r="D491" i="2"/>
  <c r="C497" i="2"/>
  <c r="G497" i="2"/>
  <c r="F497" i="2"/>
  <c r="E497" i="2"/>
  <c r="D497" i="2"/>
  <c r="C503" i="2"/>
  <c r="G503" i="2"/>
  <c r="F503" i="2"/>
  <c r="E503" i="2"/>
  <c r="D503" i="2"/>
  <c r="C509" i="2"/>
  <c r="G509" i="2"/>
  <c r="F509" i="2"/>
  <c r="E509" i="2"/>
  <c r="D509" i="2"/>
  <c r="C515" i="2"/>
  <c r="G515" i="2"/>
  <c r="F515" i="2"/>
  <c r="E515" i="2"/>
  <c r="D515" i="2"/>
  <c r="C521" i="2"/>
  <c r="G521" i="2"/>
  <c r="F521" i="2"/>
  <c r="E521" i="2"/>
  <c r="D521" i="2"/>
  <c r="C527" i="2"/>
  <c r="G527" i="2"/>
  <c r="F527" i="2"/>
  <c r="E527" i="2"/>
  <c r="D527" i="2"/>
  <c r="C533" i="2"/>
  <c r="G533" i="2"/>
  <c r="F533" i="2"/>
  <c r="E533" i="2"/>
  <c r="D533" i="2"/>
  <c r="C539" i="2"/>
  <c r="G539" i="2"/>
  <c r="F539" i="2"/>
  <c r="E539" i="2"/>
  <c r="D539" i="2"/>
  <c r="C545" i="2"/>
  <c r="G545" i="2"/>
  <c r="F545" i="2"/>
  <c r="E545" i="2"/>
  <c r="D545" i="2"/>
  <c r="C551" i="2"/>
  <c r="G551" i="2"/>
  <c r="F551" i="2"/>
  <c r="E551" i="2"/>
  <c r="D551" i="2"/>
  <c r="C557" i="2"/>
  <c r="G557" i="2"/>
  <c r="F557" i="2"/>
  <c r="E557" i="2"/>
  <c r="D557" i="2"/>
  <c r="C563" i="2"/>
  <c r="G563" i="2"/>
  <c r="F563" i="2"/>
  <c r="E563" i="2"/>
  <c r="D563" i="2"/>
  <c r="C569" i="2"/>
  <c r="G569" i="2"/>
  <c r="F569" i="2"/>
  <c r="E569" i="2"/>
  <c r="D569" i="2"/>
  <c r="C575" i="2"/>
  <c r="G575" i="2"/>
  <c r="F575" i="2"/>
  <c r="E575" i="2"/>
  <c r="D575" i="2"/>
  <c r="C581" i="2"/>
  <c r="G581" i="2"/>
  <c r="F581" i="2"/>
  <c r="E581" i="2"/>
  <c r="D581" i="2"/>
  <c r="C587" i="2"/>
  <c r="G587" i="2"/>
  <c r="F587" i="2"/>
  <c r="E587" i="2"/>
  <c r="D587" i="2"/>
  <c r="C593" i="2"/>
  <c r="G593" i="2"/>
  <c r="F593" i="2"/>
  <c r="E593" i="2"/>
  <c r="D593" i="2"/>
  <c r="C599" i="2"/>
  <c r="G599" i="2"/>
  <c r="F599" i="2"/>
  <c r="E599" i="2"/>
  <c r="D599" i="2"/>
  <c r="C605" i="2"/>
  <c r="G605" i="2"/>
  <c r="F605" i="2"/>
  <c r="E605" i="2"/>
  <c r="D605" i="2"/>
  <c r="C611" i="2"/>
  <c r="G611" i="2"/>
  <c r="F611" i="2"/>
  <c r="E611" i="2"/>
  <c r="D611" i="2"/>
  <c r="C617" i="2"/>
  <c r="G617" i="2"/>
  <c r="F617" i="2"/>
  <c r="E617" i="2"/>
  <c r="D617" i="2"/>
  <c r="C623" i="2"/>
  <c r="G623" i="2"/>
  <c r="F623" i="2"/>
  <c r="E623" i="2"/>
  <c r="D623" i="2"/>
  <c r="C629" i="2"/>
  <c r="G629" i="2"/>
  <c r="F629" i="2"/>
  <c r="E629" i="2"/>
  <c r="D629" i="2"/>
  <c r="C635" i="2"/>
  <c r="G635" i="2"/>
  <c r="F635" i="2"/>
  <c r="E635" i="2"/>
  <c r="D635" i="2"/>
  <c r="C641" i="2"/>
  <c r="G641" i="2"/>
  <c r="F641" i="2"/>
  <c r="E641" i="2"/>
  <c r="D641" i="2"/>
  <c r="C647" i="2"/>
  <c r="G647" i="2"/>
  <c r="F647" i="2"/>
  <c r="E647" i="2"/>
  <c r="D647" i="2"/>
  <c r="C653" i="2"/>
  <c r="G653" i="2"/>
  <c r="F653" i="2"/>
  <c r="E653" i="2"/>
  <c r="D653" i="2"/>
  <c r="C659" i="2"/>
  <c r="G659" i="2"/>
  <c r="F659" i="2"/>
  <c r="E659" i="2"/>
  <c r="D659" i="2"/>
  <c r="C665" i="2"/>
  <c r="G665" i="2"/>
  <c r="F665" i="2"/>
  <c r="E665" i="2"/>
  <c r="D665" i="2"/>
  <c r="C671" i="2"/>
  <c r="G671" i="2"/>
  <c r="F671" i="2"/>
  <c r="E671" i="2"/>
  <c r="D671" i="2"/>
  <c r="C677" i="2"/>
  <c r="G677" i="2"/>
  <c r="F677" i="2"/>
  <c r="E677" i="2"/>
  <c r="D677" i="2"/>
  <c r="C683" i="2"/>
  <c r="G683" i="2"/>
  <c r="F683" i="2"/>
  <c r="E683" i="2"/>
  <c r="D683" i="2"/>
  <c r="C689" i="2"/>
  <c r="G689" i="2"/>
  <c r="F689" i="2"/>
  <c r="E689" i="2"/>
  <c r="C695" i="2"/>
  <c r="G695" i="2"/>
  <c r="F695" i="2"/>
  <c r="E695" i="2"/>
  <c r="D695" i="2"/>
  <c r="C701" i="2"/>
  <c r="G701" i="2"/>
  <c r="E701" i="2"/>
  <c r="F701" i="2"/>
  <c r="D701" i="2"/>
  <c r="C707" i="2"/>
  <c r="G707" i="2"/>
  <c r="F707" i="2"/>
  <c r="E707" i="2"/>
  <c r="D707" i="2"/>
  <c r="C713" i="2"/>
  <c r="G713" i="2"/>
  <c r="F713" i="2"/>
  <c r="E713" i="2"/>
  <c r="D713" i="2"/>
  <c r="C719" i="2"/>
  <c r="G719" i="2"/>
  <c r="F719" i="2"/>
  <c r="E719" i="2"/>
  <c r="D719" i="2"/>
  <c r="C725" i="2"/>
  <c r="G725" i="2"/>
  <c r="F725" i="2"/>
  <c r="E725" i="2"/>
  <c r="D725" i="2"/>
  <c r="C731" i="2"/>
  <c r="G731" i="2"/>
  <c r="F731" i="2"/>
  <c r="E731" i="2"/>
  <c r="D731" i="2"/>
  <c r="C737" i="2"/>
  <c r="G737" i="2"/>
  <c r="F737" i="2"/>
  <c r="E737" i="2"/>
  <c r="D737" i="2"/>
  <c r="C743" i="2"/>
  <c r="G743" i="2"/>
  <c r="F743" i="2"/>
  <c r="E743" i="2"/>
  <c r="D743" i="2"/>
  <c r="C749" i="2"/>
  <c r="G749" i="2"/>
  <c r="F749" i="2"/>
  <c r="E749" i="2"/>
  <c r="D749" i="2"/>
  <c r="C755" i="2"/>
  <c r="G755" i="2"/>
  <c r="F755" i="2"/>
  <c r="E755" i="2"/>
  <c r="D755" i="2"/>
  <c r="C761" i="2"/>
  <c r="G761" i="2"/>
  <c r="F761" i="2"/>
  <c r="E761" i="2"/>
  <c r="D761" i="2"/>
  <c r="C767" i="2"/>
  <c r="G767" i="2"/>
  <c r="F767" i="2"/>
  <c r="E767" i="2"/>
  <c r="D767" i="2"/>
  <c r="C773" i="2"/>
  <c r="G773" i="2"/>
  <c r="F773" i="2"/>
  <c r="E773" i="2"/>
  <c r="D773" i="2"/>
  <c r="C779" i="2"/>
  <c r="G779" i="2"/>
  <c r="F779" i="2"/>
  <c r="E779" i="2"/>
  <c r="D779" i="2"/>
  <c r="C785" i="2"/>
  <c r="G785" i="2"/>
  <c r="F785" i="2"/>
  <c r="E785" i="2"/>
  <c r="D785" i="2"/>
  <c r="C790" i="2"/>
  <c r="G790" i="2"/>
  <c r="F790" i="2"/>
  <c r="E790" i="2"/>
  <c r="D790" i="2"/>
  <c r="C796" i="2"/>
  <c r="G796" i="2"/>
  <c r="F796" i="2"/>
  <c r="E796" i="2"/>
  <c r="C802" i="2"/>
  <c r="G802" i="2"/>
  <c r="F802" i="2"/>
  <c r="E802" i="2"/>
  <c r="D802" i="2"/>
  <c r="C808" i="2"/>
  <c r="G808" i="2"/>
  <c r="F808" i="2"/>
  <c r="E808" i="2"/>
  <c r="D808" i="2"/>
  <c r="C814" i="2"/>
  <c r="G814" i="2"/>
  <c r="F814" i="2"/>
  <c r="E814" i="2"/>
  <c r="D814" i="2"/>
  <c r="C820" i="2"/>
  <c r="G820" i="2"/>
  <c r="F820" i="2"/>
  <c r="E820" i="2"/>
  <c r="D820" i="2"/>
  <c r="C826" i="2"/>
  <c r="G826" i="2"/>
  <c r="F826" i="2"/>
  <c r="E826" i="2"/>
  <c r="D826" i="2"/>
  <c r="C832" i="2"/>
  <c r="G832" i="2"/>
  <c r="F832" i="2"/>
  <c r="E832" i="2"/>
  <c r="D832" i="2"/>
  <c r="C838" i="2"/>
  <c r="G838" i="2"/>
  <c r="F838" i="2"/>
  <c r="E838" i="2"/>
  <c r="D838" i="2"/>
  <c r="C844" i="2"/>
  <c r="G844" i="2"/>
  <c r="F844" i="2"/>
  <c r="E844" i="2"/>
  <c r="D844" i="2"/>
  <c r="C850" i="2"/>
  <c r="G850" i="2"/>
  <c r="F850" i="2"/>
  <c r="E850" i="2"/>
  <c r="D850" i="2"/>
  <c r="C856" i="2"/>
  <c r="G856" i="2"/>
  <c r="F856" i="2"/>
  <c r="E856" i="2"/>
  <c r="D856" i="2"/>
  <c r="C862" i="2"/>
  <c r="G862" i="2"/>
  <c r="F862" i="2"/>
  <c r="E862" i="2"/>
  <c r="D862" i="2"/>
  <c r="C868" i="2"/>
  <c r="G868" i="2"/>
  <c r="F868" i="2"/>
  <c r="E868" i="2"/>
  <c r="D868" i="2"/>
  <c r="C874" i="2"/>
  <c r="G874" i="2"/>
  <c r="F874" i="2"/>
  <c r="E874" i="2"/>
  <c r="D874" i="2"/>
  <c r="C880" i="2"/>
  <c r="G880" i="2"/>
  <c r="F880" i="2"/>
  <c r="E880" i="2"/>
  <c r="D880" i="2"/>
  <c r="C886" i="2"/>
  <c r="G886" i="2"/>
  <c r="F886" i="2"/>
  <c r="E886" i="2"/>
  <c r="D886" i="2"/>
  <c r="C892" i="2"/>
  <c r="G892" i="2"/>
  <c r="F892" i="2"/>
  <c r="E892" i="2"/>
  <c r="D892" i="2"/>
  <c r="C898" i="2"/>
  <c r="G898" i="2"/>
  <c r="F898" i="2"/>
  <c r="E898" i="2"/>
  <c r="D898" i="2"/>
  <c r="C904" i="2"/>
  <c r="G904" i="2"/>
  <c r="F904" i="2"/>
  <c r="E904" i="2"/>
  <c r="C910" i="2"/>
  <c r="G910" i="2"/>
  <c r="F910" i="2"/>
  <c r="E910" i="2"/>
  <c r="D910" i="2"/>
  <c r="C916" i="2"/>
  <c r="G916" i="2"/>
  <c r="E916" i="2"/>
  <c r="F916" i="2"/>
  <c r="D916" i="2"/>
  <c r="C922" i="2"/>
  <c r="G922" i="2"/>
  <c r="F922" i="2"/>
  <c r="E922" i="2"/>
  <c r="D922" i="2"/>
  <c r="C928" i="2"/>
  <c r="G928" i="2"/>
  <c r="F928" i="2"/>
  <c r="E928" i="2"/>
  <c r="D928" i="2"/>
  <c r="C934" i="2"/>
  <c r="G934" i="2"/>
  <c r="F934" i="2"/>
  <c r="E934" i="2"/>
  <c r="D934" i="2"/>
  <c r="C940" i="2"/>
  <c r="G940" i="2"/>
  <c r="F940" i="2"/>
  <c r="E940" i="2"/>
  <c r="D940" i="2"/>
  <c r="C946" i="2"/>
  <c r="G946" i="2"/>
  <c r="F946" i="2"/>
  <c r="E946" i="2"/>
  <c r="D946" i="2"/>
  <c r="C952" i="2"/>
  <c r="G952" i="2"/>
  <c r="F952" i="2"/>
  <c r="E952" i="2"/>
  <c r="D952" i="2"/>
  <c r="C958" i="2"/>
  <c r="G958" i="2"/>
  <c r="E958" i="2"/>
  <c r="F958" i="2"/>
  <c r="D958" i="2"/>
  <c r="C964" i="2"/>
  <c r="G964" i="2"/>
  <c r="F964" i="2"/>
  <c r="E964" i="2"/>
  <c r="D964" i="2"/>
  <c r="C970" i="2"/>
  <c r="G970" i="2"/>
  <c r="F970" i="2"/>
  <c r="E970" i="2"/>
  <c r="D970" i="2"/>
  <c r="C976" i="2"/>
  <c r="G976" i="2"/>
  <c r="F976" i="2"/>
  <c r="E976" i="2"/>
  <c r="D976" i="2"/>
  <c r="C982" i="2"/>
  <c r="G982" i="2"/>
  <c r="F982" i="2"/>
  <c r="E982" i="2"/>
  <c r="D982" i="2"/>
  <c r="C988" i="2"/>
  <c r="G988" i="2"/>
  <c r="F988" i="2"/>
  <c r="E988" i="2"/>
  <c r="D988" i="2"/>
  <c r="C994" i="2"/>
  <c r="G994" i="2"/>
  <c r="F994" i="2"/>
  <c r="E994" i="2"/>
  <c r="D994" i="2"/>
  <c r="C1000" i="2"/>
  <c r="G1000" i="2"/>
  <c r="F1000" i="2"/>
  <c r="E1000" i="2"/>
  <c r="D1000" i="2"/>
  <c r="C1006" i="2"/>
  <c r="G1006" i="2"/>
  <c r="F1006" i="2"/>
  <c r="E1006" i="2"/>
  <c r="D1006" i="2"/>
  <c r="C1012" i="2"/>
  <c r="G1012" i="2"/>
  <c r="F1012" i="2"/>
  <c r="E1012" i="2"/>
  <c r="C1018" i="2"/>
  <c r="G1018" i="2"/>
  <c r="F1018" i="2"/>
  <c r="E1018" i="2"/>
  <c r="D1018" i="2"/>
  <c r="C1024" i="2"/>
  <c r="G1024" i="2"/>
  <c r="F1024" i="2"/>
  <c r="E1024" i="2"/>
  <c r="D1024" i="2"/>
  <c r="C1030" i="2"/>
  <c r="G1030" i="2"/>
  <c r="F1030" i="2"/>
  <c r="E1030" i="2"/>
  <c r="D1030" i="2"/>
  <c r="C1036" i="2"/>
  <c r="G1036" i="2"/>
  <c r="E1036" i="2"/>
  <c r="F1036" i="2"/>
  <c r="D1036" i="2"/>
  <c r="C1042" i="2"/>
  <c r="G1042" i="2"/>
  <c r="F1042" i="2"/>
  <c r="E1042" i="2"/>
  <c r="D1042" i="2"/>
  <c r="C1048" i="2"/>
  <c r="G1048" i="2"/>
  <c r="F1048" i="2"/>
  <c r="E1048" i="2"/>
  <c r="D1048" i="2"/>
  <c r="C1054" i="2"/>
  <c r="G1054" i="2"/>
  <c r="F1054" i="2"/>
  <c r="E1054" i="2"/>
  <c r="D1054" i="2"/>
  <c r="C1060" i="2"/>
  <c r="G1060" i="2"/>
  <c r="F1060" i="2"/>
  <c r="E1060" i="2"/>
  <c r="D1060" i="2"/>
  <c r="C1066" i="2"/>
  <c r="G1066" i="2"/>
  <c r="E1066" i="2"/>
  <c r="F1066" i="2"/>
  <c r="D1066" i="2"/>
  <c r="C1072" i="2"/>
  <c r="G1072" i="2"/>
  <c r="F1072" i="2"/>
  <c r="E1072" i="2"/>
  <c r="D1072" i="2"/>
  <c r="C1077" i="2"/>
  <c r="G1077" i="2"/>
  <c r="F1077" i="2"/>
  <c r="E1077" i="2"/>
  <c r="D1077" i="2"/>
  <c r="C1083" i="2"/>
  <c r="G1083" i="2"/>
  <c r="F1083" i="2"/>
  <c r="E1083" i="2"/>
  <c r="D1083" i="2"/>
  <c r="C1089" i="2"/>
  <c r="G1089" i="2"/>
  <c r="F1089" i="2"/>
  <c r="E1089" i="2"/>
  <c r="D1089" i="2"/>
  <c r="C1095" i="2"/>
  <c r="G1095" i="2"/>
  <c r="F1095" i="2"/>
  <c r="E1095" i="2"/>
  <c r="D1095" i="2"/>
  <c r="C1101" i="2"/>
  <c r="G1101" i="2"/>
  <c r="F1101" i="2"/>
  <c r="E1101" i="2"/>
  <c r="D1101" i="2"/>
  <c r="C1107" i="2"/>
  <c r="G1107" i="2"/>
  <c r="F1107" i="2"/>
  <c r="E1107" i="2"/>
  <c r="D1107" i="2"/>
  <c r="C1113" i="2"/>
  <c r="G1113" i="2"/>
  <c r="F1113" i="2"/>
  <c r="E1113" i="2"/>
  <c r="D1113" i="2"/>
  <c r="C1119" i="2"/>
  <c r="G1119" i="2"/>
  <c r="F1119" i="2"/>
  <c r="E1119" i="2"/>
  <c r="C1125" i="2"/>
  <c r="G1125" i="2"/>
  <c r="F1125" i="2"/>
  <c r="E1125" i="2"/>
  <c r="D1125" i="2"/>
  <c r="C1131" i="2"/>
  <c r="G1131" i="2"/>
  <c r="F1131" i="2"/>
  <c r="E1131" i="2"/>
  <c r="D1131" i="2"/>
  <c r="C1137" i="2"/>
  <c r="G1137" i="2"/>
  <c r="F1137" i="2"/>
  <c r="E1137" i="2"/>
  <c r="D1137" i="2"/>
  <c r="C1143" i="2"/>
  <c r="G1143" i="2"/>
  <c r="F1143" i="2"/>
  <c r="E1143" i="2"/>
  <c r="D1143" i="2"/>
  <c r="C1149" i="2"/>
  <c r="G1149" i="2"/>
  <c r="F1149" i="2"/>
  <c r="E1149" i="2"/>
  <c r="D1149" i="2"/>
  <c r="C1155" i="2"/>
  <c r="G1155" i="2"/>
  <c r="F1155" i="2"/>
  <c r="E1155" i="2"/>
  <c r="D1155" i="2"/>
  <c r="C1161" i="2"/>
  <c r="G1161" i="2"/>
  <c r="F1161" i="2"/>
  <c r="E1161" i="2"/>
  <c r="D1161" i="2"/>
  <c r="C1167" i="2"/>
  <c r="G1167" i="2"/>
  <c r="F1167" i="2"/>
  <c r="E1167" i="2"/>
  <c r="D1167" i="2"/>
  <c r="C1172" i="2"/>
  <c r="G1172" i="2"/>
  <c r="F1172" i="2"/>
  <c r="E1172" i="2"/>
  <c r="D1172" i="2"/>
  <c r="C1178" i="2"/>
  <c r="G1178" i="2"/>
  <c r="E1178" i="2"/>
  <c r="F1178" i="2"/>
  <c r="D1178" i="2"/>
  <c r="C1184" i="2"/>
  <c r="G1184" i="2"/>
  <c r="F1184" i="2"/>
  <c r="E1184" i="2"/>
  <c r="D1184" i="2"/>
  <c r="C1190" i="2"/>
  <c r="G1190" i="2"/>
  <c r="F1190" i="2"/>
  <c r="E1190" i="2"/>
  <c r="D1190" i="2"/>
  <c r="C1196" i="2"/>
  <c r="G1196" i="2"/>
  <c r="F1196" i="2"/>
  <c r="E1196" i="2"/>
  <c r="D1196" i="2"/>
  <c r="C1202" i="2"/>
  <c r="G1202" i="2"/>
  <c r="F1202" i="2"/>
  <c r="E1202" i="2"/>
  <c r="D1202" i="2"/>
  <c r="C1208" i="2"/>
  <c r="G1208" i="2"/>
  <c r="F1208" i="2"/>
  <c r="E1208" i="2"/>
  <c r="D1208" i="2"/>
  <c r="C1214" i="2"/>
  <c r="G1214" i="2"/>
  <c r="F1214" i="2"/>
  <c r="E1214" i="2"/>
  <c r="D1214" i="2"/>
  <c r="C1220" i="2"/>
  <c r="G1220" i="2"/>
  <c r="F1220" i="2"/>
  <c r="E1220" i="2"/>
  <c r="D1220" i="2"/>
  <c r="C1226" i="2"/>
  <c r="G1226" i="2"/>
  <c r="F1226" i="2"/>
  <c r="E1226" i="2"/>
  <c r="C1232" i="2"/>
  <c r="G1232" i="2"/>
  <c r="E1232" i="2"/>
  <c r="F1232" i="2"/>
  <c r="D1232" i="2"/>
  <c r="C1238" i="2"/>
  <c r="G1238" i="2"/>
  <c r="F1238" i="2"/>
  <c r="E1238" i="2"/>
  <c r="D1238" i="2"/>
  <c r="C1244" i="2"/>
  <c r="G1244" i="2"/>
  <c r="F1244" i="2"/>
  <c r="E1244" i="2"/>
  <c r="D1244" i="2"/>
  <c r="C1250" i="2"/>
  <c r="G1250" i="2"/>
  <c r="F1250" i="2"/>
  <c r="E1250" i="2"/>
  <c r="D1250" i="2"/>
  <c r="C1256" i="2"/>
  <c r="G1256" i="2"/>
  <c r="F1256" i="2"/>
  <c r="E1256" i="2"/>
  <c r="D1256" i="2"/>
  <c r="C1262" i="2"/>
  <c r="G1262" i="2"/>
  <c r="F1262" i="2"/>
  <c r="E1262" i="2"/>
  <c r="D1262" i="2"/>
  <c r="C1268" i="2"/>
  <c r="G1268" i="2"/>
  <c r="F1268" i="2"/>
  <c r="E1268" i="2"/>
  <c r="D1268" i="2"/>
  <c r="C1274" i="2"/>
  <c r="G1274" i="2"/>
  <c r="F1274" i="2"/>
  <c r="E1274" i="2"/>
  <c r="D1274" i="2"/>
  <c r="C1280" i="2"/>
  <c r="G1280" i="2"/>
  <c r="F1280" i="2"/>
  <c r="E1280" i="2"/>
  <c r="D1280" i="2"/>
  <c r="C1286" i="2"/>
  <c r="G1286" i="2"/>
  <c r="F1286" i="2"/>
  <c r="E1286" i="2"/>
  <c r="D1286" i="2"/>
  <c r="C1292" i="2"/>
  <c r="G1292" i="2"/>
  <c r="F1292" i="2"/>
  <c r="E1292" i="2"/>
  <c r="D1292" i="2"/>
  <c r="C1298" i="2"/>
  <c r="G1298" i="2"/>
  <c r="F1298" i="2"/>
  <c r="D1298" i="2"/>
  <c r="E1298" i="2"/>
  <c r="C1304" i="2"/>
  <c r="G1304" i="2"/>
  <c r="F1304" i="2"/>
  <c r="E1304" i="2"/>
  <c r="D1304" i="2"/>
  <c r="C1310" i="2"/>
  <c r="G1310" i="2"/>
  <c r="F1310" i="2"/>
  <c r="E1310" i="2"/>
  <c r="D1310" i="2"/>
  <c r="C1316" i="2"/>
  <c r="G1316" i="2"/>
  <c r="F1316" i="2"/>
  <c r="E1316" i="2"/>
  <c r="D1316" i="2"/>
  <c r="C1322" i="2"/>
  <c r="G1322" i="2"/>
  <c r="F1322" i="2"/>
  <c r="E1322" i="2"/>
  <c r="D1322" i="2"/>
  <c r="C1328" i="2"/>
  <c r="G1328" i="2"/>
  <c r="F1328" i="2"/>
  <c r="E1328" i="2"/>
  <c r="D1328" i="2"/>
  <c r="C1334" i="2"/>
  <c r="G1334" i="2"/>
  <c r="F1334" i="2"/>
  <c r="E1334" i="2"/>
  <c r="D1334" i="2"/>
  <c r="C1340" i="2"/>
  <c r="G1340" i="2"/>
  <c r="F1340" i="2"/>
  <c r="E1340" i="2"/>
  <c r="D1340" i="2"/>
  <c r="C1346" i="2"/>
  <c r="G1346" i="2"/>
  <c r="E1346" i="2"/>
  <c r="F1346" i="2"/>
  <c r="D1346" i="2"/>
  <c r="C1352" i="2"/>
  <c r="G1352" i="2"/>
  <c r="F1352" i="2"/>
  <c r="E1352" i="2"/>
  <c r="D1352" i="2"/>
  <c r="C1358" i="2"/>
  <c r="G1358" i="2"/>
  <c r="F1358" i="2"/>
  <c r="E1358" i="2"/>
  <c r="D1358" i="2"/>
  <c r="C1364" i="2"/>
  <c r="F1364" i="2"/>
  <c r="G1364" i="2"/>
  <c r="E1364" i="2"/>
  <c r="D1364" i="2"/>
  <c r="C1370" i="2"/>
  <c r="G1370" i="2"/>
  <c r="F1370" i="2"/>
  <c r="E1370" i="2"/>
  <c r="D1370" i="2"/>
  <c r="C1376" i="2"/>
  <c r="G1376" i="2"/>
  <c r="F1376" i="2"/>
  <c r="E1376" i="2"/>
  <c r="D1376" i="2"/>
  <c r="C1382" i="2"/>
  <c r="G1382" i="2"/>
  <c r="F1382" i="2"/>
  <c r="E1382" i="2"/>
  <c r="D1382" i="2"/>
  <c r="C1388" i="2"/>
  <c r="G1388" i="2"/>
  <c r="F1388" i="2"/>
  <c r="E1388" i="2"/>
  <c r="D1388" i="2"/>
  <c r="C1394" i="2"/>
  <c r="G1394" i="2"/>
  <c r="F1394" i="2"/>
  <c r="E1394" i="2"/>
  <c r="D1394" i="2"/>
  <c r="C1400" i="2"/>
  <c r="G1400" i="2"/>
  <c r="F1400" i="2"/>
  <c r="E1400" i="2"/>
  <c r="D1400" i="2"/>
  <c r="C1406" i="2"/>
  <c r="G1406" i="2"/>
  <c r="F1406" i="2"/>
  <c r="E1406" i="2"/>
  <c r="D1406" i="2"/>
  <c r="C1412" i="2"/>
  <c r="G1412" i="2"/>
  <c r="E1412" i="2"/>
  <c r="F1412" i="2"/>
  <c r="D1412" i="2"/>
  <c r="C1418" i="2"/>
  <c r="G1418" i="2"/>
  <c r="F1418" i="2"/>
  <c r="E1418" i="2"/>
  <c r="D1418" i="2"/>
  <c r="C1424" i="2"/>
  <c r="G1424" i="2"/>
  <c r="F1424" i="2"/>
  <c r="E1424" i="2"/>
  <c r="D1424" i="2"/>
  <c r="C1430" i="2"/>
  <c r="G1430" i="2"/>
  <c r="F1430" i="2"/>
  <c r="E1430" i="2"/>
  <c r="D1430" i="2"/>
  <c r="C1436" i="2"/>
  <c r="G1436" i="2"/>
  <c r="F1436" i="2"/>
  <c r="E1436" i="2"/>
  <c r="D1436" i="2"/>
  <c r="C1442" i="2"/>
  <c r="G1442" i="2"/>
  <c r="F1442" i="2"/>
  <c r="E1442" i="2"/>
  <c r="D1442" i="2"/>
  <c r="C1448" i="2"/>
  <c r="G1448" i="2"/>
  <c r="F1448" i="2"/>
  <c r="E1448" i="2"/>
  <c r="D1448" i="2"/>
  <c r="C1454" i="2"/>
  <c r="G1454" i="2"/>
  <c r="F1454" i="2"/>
  <c r="E1454" i="2"/>
  <c r="D1454" i="2"/>
  <c r="C1460" i="2"/>
  <c r="G1460" i="2"/>
  <c r="F1460" i="2"/>
  <c r="E1460" i="2"/>
  <c r="D1460" i="2"/>
  <c r="C1466" i="2"/>
  <c r="G1466" i="2"/>
  <c r="F1466" i="2"/>
  <c r="E1466" i="2"/>
  <c r="D1466" i="2"/>
  <c r="C1472" i="2"/>
  <c r="G1472" i="2"/>
  <c r="F1472" i="2"/>
  <c r="E1472" i="2"/>
  <c r="D1472" i="2"/>
  <c r="C1478" i="2"/>
  <c r="G1478" i="2"/>
  <c r="F1478" i="2"/>
  <c r="E1478" i="2"/>
  <c r="D1478" i="2"/>
  <c r="C1484" i="2"/>
  <c r="G1484" i="2"/>
  <c r="F1484" i="2"/>
  <c r="E1484" i="2"/>
  <c r="D1484" i="2"/>
  <c r="C1490" i="2"/>
  <c r="G1490" i="2"/>
  <c r="F1490" i="2"/>
  <c r="E1490" i="2"/>
  <c r="D1490" i="2"/>
  <c r="C1496" i="2"/>
  <c r="G1496" i="2"/>
  <c r="F1496" i="2"/>
  <c r="E1496" i="2"/>
  <c r="D1496" i="2"/>
  <c r="C1502" i="2"/>
  <c r="G1502" i="2"/>
  <c r="F1502" i="2"/>
  <c r="E1502" i="2"/>
  <c r="D1502" i="2"/>
  <c r="C1508" i="2"/>
  <c r="G1508" i="2"/>
  <c r="F1508" i="2"/>
  <c r="E1508" i="2"/>
  <c r="D1508" i="2"/>
  <c r="C1514" i="2"/>
  <c r="G1514" i="2"/>
  <c r="F1514" i="2"/>
  <c r="E1514" i="2"/>
  <c r="D1514" i="2"/>
  <c r="C1520" i="2"/>
  <c r="G1520" i="2"/>
  <c r="E1520" i="2"/>
  <c r="F1520" i="2"/>
  <c r="D1520" i="2"/>
  <c r="C1526" i="2"/>
  <c r="G1526" i="2"/>
  <c r="F1526" i="2"/>
  <c r="E1526" i="2"/>
  <c r="D1526" i="2"/>
  <c r="C1532" i="2"/>
  <c r="G1532" i="2"/>
  <c r="F1532" i="2"/>
  <c r="E1532" i="2"/>
  <c r="D1532" i="2"/>
  <c r="C1538" i="2"/>
  <c r="G1538" i="2"/>
  <c r="F1538" i="2"/>
  <c r="E1538" i="2"/>
  <c r="D1538" i="2"/>
  <c r="C1544" i="2"/>
  <c r="G1544" i="2"/>
  <c r="F1544" i="2"/>
  <c r="E1544" i="2"/>
  <c r="D1544" i="2"/>
  <c r="C1550" i="2"/>
  <c r="G1550" i="2"/>
  <c r="F1550" i="2"/>
  <c r="E1550" i="2"/>
  <c r="D1550" i="2"/>
  <c r="C1556" i="2"/>
  <c r="G1556" i="2"/>
  <c r="F1556" i="2"/>
  <c r="E1556" i="2"/>
  <c r="D1556" i="2"/>
  <c r="C1562" i="2"/>
  <c r="G1562" i="2"/>
  <c r="E1562" i="2"/>
  <c r="F1562" i="2"/>
  <c r="D1562" i="2"/>
  <c r="C1568" i="2"/>
  <c r="G1568" i="2"/>
  <c r="F1568" i="2"/>
  <c r="E1568" i="2"/>
  <c r="D1568" i="2"/>
  <c r="C1574" i="2"/>
  <c r="G1574" i="2"/>
  <c r="F1574" i="2"/>
  <c r="E1574" i="2"/>
  <c r="D1574" i="2"/>
  <c r="C1580" i="2"/>
  <c r="G1580" i="2"/>
  <c r="F1580" i="2"/>
  <c r="E1580" i="2"/>
  <c r="D1580" i="2"/>
  <c r="C1586" i="2"/>
  <c r="G1586" i="2"/>
  <c r="F1586" i="2"/>
  <c r="E1586" i="2"/>
  <c r="D1586" i="2"/>
  <c r="C1592" i="2"/>
  <c r="G1592" i="2"/>
  <c r="F1592" i="2"/>
  <c r="E1592" i="2"/>
  <c r="D1592" i="2"/>
  <c r="C1598" i="2"/>
  <c r="G1598" i="2"/>
  <c r="F1598" i="2"/>
  <c r="E1598" i="2"/>
  <c r="D1598" i="2"/>
  <c r="C1604" i="2"/>
  <c r="G1604" i="2"/>
  <c r="F1604" i="2"/>
  <c r="E1604" i="2"/>
  <c r="D1604" i="2"/>
  <c r="C1610" i="2"/>
  <c r="G1610" i="2"/>
  <c r="F1610" i="2"/>
  <c r="E1610" i="2"/>
  <c r="D1610" i="2"/>
  <c r="C1616" i="2"/>
  <c r="G1616" i="2"/>
  <c r="F1616" i="2"/>
  <c r="E1616" i="2"/>
  <c r="D1616" i="2"/>
  <c r="C1622" i="2"/>
  <c r="G1622" i="2"/>
  <c r="F1622" i="2"/>
  <c r="E1622" i="2"/>
  <c r="D1622" i="2"/>
  <c r="C1628" i="2"/>
  <c r="G1628" i="2"/>
  <c r="F1628" i="2"/>
  <c r="E1628" i="2"/>
  <c r="D1628" i="2"/>
  <c r="C1634" i="2"/>
  <c r="G1634" i="2"/>
  <c r="F1634" i="2"/>
  <c r="E1634" i="2"/>
  <c r="D1634" i="2"/>
  <c r="C1640" i="2"/>
  <c r="G1640" i="2"/>
  <c r="F1640" i="2"/>
  <c r="E1640" i="2"/>
  <c r="D1640" i="2"/>
  <c r="C1646" i="2"/>
  <c r="G1646" i="2"/>
  <c r="F1646" i="2"/>
  <c r="E1646" i="2"/>
  <c r="D1646" i="2"/>
  <c r="C1652" i="2"/>
  <c r="G1652" i="2"/>
  <c r="F1652" i="2"/>
  <c r="E1652" i="2"/>
  <c r="D1652" i="2"/>
  <c r="C1658" i="2"/>
  <c r="G1658" i="2"/>
  <c r="F1658" i="2"/>
  <c r="E1658" i="2"/>
  <c r="D1658" i="2"/>
  <c r="C1664" i="2"/>
  <c r="G1664" i="2"/>
  <c r="F1664" i="2"/>
  <c r="E1664" i="2"/>
  <c r="D1664" i="2"/>
  <c r="C1670" i="2"/>
  <c r="G1670" i="2"/>
  <c r="E1670" i="2"/>
  <c r="F1670" i="2"/>
  <c r="D1670" i="2"/>
  <c r="C1676" i="2"/>
  <c r="G1676" i="2"/>
  <c r="F1676" i="2"/>
  <c r="E1676" i="2"/>
  <c r="D1676" i="2"/>
  <c r="C1682" i="2"/>
  <c r="G1682" i="2"/>
  <c r="F1682" i="2"/>
  <c r="E1682" i="2"/>
  <c r="D1682" i="2"/>
  <c r="C1688" i="2"/>
  <c r="G1688" i="2"/>
  <c r="F1688" i="2"/>
  <c r="E1688" i="2"/>
  <c r="D1688" i="2"/>
  <c r="C1694" i="2"/>
  <c r="G1694" i="2"/>
  <c r="F1694" i="2"/>
  <c r="E1694" i="2"/>
  <c r="D1694" i="2"/>
  <c r="C1700" i="2"/>
  <c r="G1700" i="2"/>
  <c r="F1700" i="2"/>
  <c r="E1700" i="2"/>
  <c r="D1700" i="2"/>
  <c r="C1706" i="2"/>
  <c r="G1706" i="2"/>
  <c r="F1706" i="2"/>
  <c r="E1706" i="2"/>
  <c r="D1706" i="2"/>
  <c r="C1711" i="2"/>
  <c r="G1711" i="2"/>
  <c r="F1711" i="2"/>
  <c r="E1711" i="2"/>
  <c r="D1711" i="2"/>
  <c r="C1717" i="2"/>
  <c r="G1717" i="2"/>
  <c r="F1717" i="2"/>
  <c r="E1717" i="2"/>
  <c r="D1717" i="2"/>
  <c r="C1723" i="2"/>
  <c r="G1723" i="2"/>
  <c r="F1723" i="2"/>
  <c r="E1723" i="2"/>
  <c r="D1723" i="2"/>
  <c r="C1729" i="2"/>
  <c r="G1729" i="2"/>
  <c r="F1729" i="2"/>
  <c r="E1729" i="2"/>
  <c r="D1729" i="2"/>
  <c r="C1735" i="2"/>
  <c r="G1735" i="2"/>
  <c r="E1735" i="2"/>
  <c r="F1735" i="2"/>
  <c r="D1735" i="2"/>
  <c r="C1741" i="2"/>
  <c r="G1741" i="2"/>
  <c r="F1741" i="2"/>
  <c r="E1741" i="2"/>
  <c r="D1741" i="2"/>
  <c r="C1747" i="2"/>
  <c r="G1747" i="2"/>
  <c r="F1747" i="2"/>
  <c r="E1747" i="2"/>
  <c r="D1747" i="2"/>
  <c r="C1753" i="2"/>
  <c r="G1753" i="2"/>
  <c r="F1753" i="2"/>
  <c r="E1753" i="2"/>
  <c r="D1753" i="2"/>
  <c r="C1759" i="2"/>
  <c r="F1759" i="2"/>
  <c r="G1759" i="2"/>
  <c r="E1759" i="2"/>
  <c r="D1759" i="2"/>
  <c r="C1765" i="2"/>
  <c r="G1765" i="2"/>
  <c r="F1765" i="2"/>
  <c r="E1765" i="2"/>
  <c r="D1765" i="2"/>
  <c r="C1771" i="2"/>
  <c r="G1771" i="2"/>
  <c r="F1771" i="2"/>
  <c r="E1771" i="2"/>
  <c r="D1771" i="2"/>
  <c r="C1777" i="2"/>
  <c r="G1777" i="2"/>
  <c r="F1777" i="2"/>
  <c r="E1777" i="2"/>
  <c r="D1777" i="2"/>
  <c r="C1783" i="2"/>
  <c r="G1783" i="2"/>
  <c r="F1783" i="2"/>
  <c r="E1783" i="2"/>
  <c r="D1783" i="2"/>
  <c r="C1789" i="2"/>
  <c r="G1789" i="2"/>
  <c r="F1789" i="2"/>
  <c r="E1789" i="2"/>
  <c r="D1789" i="2"/>
  <c r="C1795" i="2"/>
  <c r="G1795" i="2"/>
  <c r="F1795" i="2"/>
  <c r="E1795" i="2"/>
  <c r="D1795" i="2"/>
  <c r="C1801" i="2"/>
  <c r="G1801" i="2"/>
  <c r="F1801" i="2"/>
  <c r="E1801" i="2"/>
  <c r="D1801" i="2"/>
  <c r="C1807" i="2"/>
  <c r="G1807" i="2"/>
  <c r="F1807" i="2"/>
  <c r="E1807" i="2"/>
  <c r="D1807" i="2"/>
  <c r="C1813" i="2"/>
  <c r="G1813" i="2"/>
  <c r="F1813" i="2"/>
  <c r="E1813" i="2"/>
  <c r="D1813" i="2"/>
  <c r="C1819" i="2"/>
  <c r="G1819" i="2"/>
  <c r="F1819" i="2"/>
  <c r="E1819" i="2"/>
  <c r="C1825" i="2"/>
  <c r="F1825" i="2"/>
  <c r="G1825" i="2"/>
  <c r="E1825" i="2"/>
  <c r="D1825" i="2"/>
  <c r="C1831" i="2"/>
  <c r="G1831" i="2"/>
  <c r="F1831" i="2"/>
  <c r="E1831" i="2"/>
  <c r="D1831" i="2"/>
  <c r="C1837" i="2"/>
  <c r="G1837" i="2"/>
  <c r="F1837" i="2"/>
  <c r="E1837" i="2"/>
  <c r="C1843" i="2"/>
  <c r="G1843" i="2"/>
  <c r="F1843" i="2"/>
  <c r="E1843" i="2"/>
  <c r="D1843" i="2"/>
  <c r="C1849" i="2"/>
  <c r="G1849" i="2"/>
  <c r="F1849" i="2"/>
  <c r="E1849" i="2"/>
  <c r="D1849" i="2"/>
  <c r="C1855" i="2"/>
  <c r="G1855" i="2"/>
  <c r="F1855" i="2"/>
  <c r="E1855" i="2"/>
  <c r="C1861" i="2"/>
  <c r="G1861" i="2"/>
  <c r="F1861" i="2"/>
  <c r="E1861" i="2"/>
  <c r="D1861" i="2"/>
  <c r="C1867" i="2"/>
  <c r="G1867" i="2"/>
  <c r="F1867" i="2"/>
  <c r="E1867" i="2"/>
  <c r="C1873" i="2"/>
  <c r="G1873" i="2"/>
  <c r="F1873" i="2"/>
  <c r="E1873" i="2"/>
  <c r="D1873" i="2"/>
  <c r="C1879" i="2"/>
  <c r="G1879" i="2"/>
  <c r="F1879" i="2"/>
  <c r="E1879" i="2"/>
  <c r="C1885" i="2"/>
  <c r="G1885" i="2"/>
  <c r="F1885" i="2"/>
  <c r="E1885" i="2"/>
  <c r="D1885" i="2"/>
  <c r="C1891" i="2"/>
  <c r="G1891" i="2"/>
  <c r="F1891" i="2"/>
  <c r="E1891" i="2"/>
  <c r="C1897" i="2"/>
  <c r="G1897" i="2"/>
  <c r="F1897" i="2"/>
  <c r="E1897" i="2"/>
  <c r="D1897" i="2"/>
  <c r="C1903" i="2"/>
  <c r="G1903" i="2"/>
  <c r="F1903" i="2"/>
  <c r="E1903" i="2"/>
  <c r="C1909" i="2"/>
  <c r="G1909" i="2"/>
  <c r="F1909" i="2"/>
  <c r="E1909" i="2"/>
  <c r="D1909" i="2"/>
  <c r="C1910" i="2"/>
  <c r="G1910" i="2"/>
  <c r="F1910" i="2"/>
  <c r="E1910" i="2"/>
  <c r="C1916" i="2"/>
  <c r="G1916" i="2"/>
  <c r="F1916" i="2"/>
  <c r="E1916" i="2"/>
  <c r="D1916" i="2"/>
  <c r="C1922" i="2"/>
  <c r="G1922" i="2"/>
  <c r="F1922" i="2"/>
  <c r="E1922" i="2"/>
  <c r="C1928" i="2"/>
  <c r="F1928" i="2"/>
  <c r="G1928" i="2"/>
  <c r="E1928" i="2"/>
  <c r="D1928" i="2"/>
  <c r="C1934" i="2"/>
  <c r="G1934" i="2"/>
  <c r="F1934" i="2"/>
  <c r="E1934" i="2"/>
  <c r="C1940" i="2"/>
  <c r="G1940" i="2"/>
  <c r="F1940" i="2"/>
  <c r="E1940" i="2"/>
  <c r="D1940" i="2"/>
  <c r="C1946" i="2"/>
  <c r="G1946" i="2"/>
  <c r="F1946" i="2"/>
  <c r="E1946" i="2"/>
  <c r="C1952" i="2"/>
  <c r="G1952" i="2"/>
  <c r="F1952" i="2"/>
  <c r="E1952" i="2"/>
  <c r="D1952" i="2"/>
  <c r="C1958" i="2"/>
  <c r="G1958" i="2"/>
  <c r="F1958" i="2"/>
  <c r="E1958" i="2"/>
  <c r="C1964" i="2"/>
  <c r="G1964" i="2"/>
  <c r="E1964" i="2"/>
  <c r="F1964" i="2"/>
  <c r="D1964" i="2"/>
  <c r="C1970" i="2"/>
  <c r="G1970" i="2"/>
  <c r="E1970" i="2"/>
  <c r="F1970" i="2"/>
  <c r="C1976" i="2"/>
  <c r="G1976" i="2"/>
  <c r="F1976" i="2"/>
  <c r="E1976" i="2"/>
  <c r="D1976" i="2"/>
  <c r="C1982" i="2"/>
  <c r="G1982" i="2"/>
  <c r="F1982" i="2"/>
  <c r="E1982" i="2"/>
  <c r="C1988" i="2"/>
  <c r="G1988" i="2"/>
  <c r="F1988" i="2"/>
  <c r="E1988" i="2"/>
  <c r="D1988" i="2"/>
  <c r="C1994" i="2"/>
  <c r="G1994" i="2"/>
  <c r="F1994" i="2"/>
  <c r="E1994" i="2"/>
  <c r="C2000" i="2"/>
  <c r="G2000" i="2"/>
  <c r="F2000" i="2"/>
  <c r="E2000" i="2"/>
  <c r="D2000" i="2"/>
  <c r="C2006" i="2"/>
  <c r="G2006" i="2"/>
  <c r="F2006" i="2"/>
  <c r="E2006" i="2"/>
  <c r="C2012" i="2"/>
  <c r="G2012" i="2"/>
  <c r="F2012" i="2"/>
  <c r="E2012" i="2"/>
  <c r="D2012" i="2"/>
  <c r="C2018" i="2"/>
  <c r="G2018" i="2"/>
  <c r="F2018" i="2"/>
  <c r="E2018" i="2"/>
  <c r="C2024" i="2"/>
  <c r="G2024" i="2"/>
  <c r="F2024" i="2"/>
  <c r="E2024" i="2"/>
  <c r="D2024" i="2"/>
  <c r="C2030" i="2"/>
  <c r="G2030" i="2"/>
  <c r="F2030" i="2"/>
  <c r="E2030" i="2"/>
  <c r="C2036" i="2"/>
  <c r="G2036" i="2"/>
  <c r="E2036" i="2"/>
  <c r="F2036" i="2"/>
  <c r="D2036" i="2"/>
  <c r="C2042" i="2"/>
  <c r="G2042" i="2"/>
  <c r="E2042" i="2"/>
  <c r="F2042" i="2"/>
  <c r="C2048" i="2"/>
  <c r="G2048" i="2"/>
  <c r="F2048" i="2"/>
  <c r="E2048" i="2"/>
  <c r="D2048" i="2"/>
  <c r="C2054" i="2"/>
  <c r="G2054" i="2"/>
  <c r="F2054" i="2"/>
  <c r="E2054" i="2"/>
  <c r="C2060" i="2"/>
  <c r="G2060" i="2"/>
  <c r="F2060" i="2"/>
  <c r="E2060" i="2"/>
  <c r="D2060" i="2"/>
  <c r="C2066" i="2"/>
  <c r="G2066" i="2"/>
  <c r="F2066" i="2"/>
  <c r="E2066" i="2"/>
  <c r="C2072" i="2"/>
  <c r="G2072" i="2"/>
  <c r="E2072" i="2"/>
  <c r="F2072" i="2"/>
  <c r="D2072" i="2"/>
  <c r="C2078" i="2"/>
  <c r="G2078" i="2"/>
  <c r="E2078" i="2"/>
  <c r="F2078" i="2"/>
  <c r="C2084" i="2"/>
  <c r="G2084" i="2"/>
  <c r="F2084" i="2"/>
  <c r="E2084" i="2"/>
  <c r="D2084" i="2"/>
  <c r="C2090" i="2"/>
  <c r="G2090" i="2"/>
  <c r="F2090" i="2"/>
  <c r="E2090" i="2"/>
  <c r="C2096" i="2"/>
  <c r="G2096" i="2"/>
  <c r="F2096" i="2"/>
  <c r="E2096" i="2"/>
  <c r="D2096" i="2"/>
  <c r="C2102" i="2"/>
  <c r="G2102" i="2"/>
  <c r="F2102" i="2"/>
  <c r="E2102" i="2"/>
  <c r="C2108" i="2"/>
  <c r="G2108" i="2"/>
  <c r="F2108" i="2"/>
  <c r="E2108" i="2"/>
  <c r="D2108" i="2"/>
  <c r="C2114" i="2"/>
  <c r="G2114" i="2"/>
  <c r="F2114" i="2"/>
  <c r="E2114" i="2"/>
  <c r="C2120" i="2"/>
  <c r="G2120" i="2"/>
  <c r="F2120" i="2"/>
  <c r="E2120" i="2"/>
  <c r="D2120" i="2"/>
  <c r="C2126" i="2"/>
  <c r="G2126" i="2"/>
  <c r="F2126" i="2"/>
  <c r="E2126" i="2"/>
  <c r="C2132" i="2"/>
  <c r="G2132" i="2"/>
  <c r="F2132" i="2"/>
  <c r="E2132" i="2"/>
  <c r="D2132" i="2"/>
  <c r="C2138" i="2"/>
  <c r="G2138" i="2"/>
  <c r="F2138" i="2"/>
  <c r="E2138" i="2"/>
  <c r="C2144" i="2"/>
  <c r="G2144" i="2"/>
  <c r="E2144" i="2"/>
  <c r="F2144" i="2"/>
  <c r="D2144" i="2"/>
  <c r="C2150" i="2"/>
  <c r="G2150" i="2"/>
  <c r="E2150" i="2"/>
  <c r="F2150" i="2"/>
  <c r="C2156" i="2"/>
  <c r="G2156" i="2"/>
  <c r="F2156" i="2"/>
  <c r="E2156" i="2"/>
  <c r="D2156" i="2"/>
  <c r="C2162" i="2"/>
  <c r="G2162" i="2"/>
  <c r="F2162" i="2"/>
  <c r="E2162" i="2"/>
  <c r="D2162" i="2"/>
  <c r="C2168" i="2"/>
  <c r="G2168" i="2"/>
  <c r="F2168" i="2"/>
  <c r="E2168" i="2"/>
  <c r="C2174" i="2"/>
  <c r="G2174" i="2"/>
  <c r="F2174" i="2"/>
  <c r="E2174" i="2"/>
  <c r="D2174" i="2"/>
  <c r="C2180" i="2"/>
  <c r="G2180" i="2"/>
  <c r="E2180" i="2"/>
  <c r="F2180" i="2"/>
  <c r="D2180" i="2"/>
  <c r="C2186" i="2"/>
  <c r="G2186" i="2"/>
  <c r="E2186" i="2"/>
  <c r="F2186" i="2"/>
  <c r="C2192" i="2"/>
  <c r="G2192" i="2"/>
  <c r="F2192" i="2"/>
  <c r="E2192" i="2"/>
  <c r="D2192" i="2"/>
  <c r="C2198" i="2"/>
  <c r="G2198" i="2"/>
  <c r="F2198" i="2"/>
  <c r="E2198" i="2"/>
  <c r="D2198" i="2"/>
  <c r="C2204" i="2"/>
  <c r="G2204" i="2"/>
  <c r="F2204" i="2"/>
  <c r="E2204" i="2"/>
  <c r="F2210" i="2"/>
  <c r="E2210" i="2"/>
  <c r="G2210" i="2"/>
  <c r="C2210" i="2"/>
  <c r="D2210" i="2"/>
  <c r="D2204" i="2"/>
  <c r="D2186" i="2"/>
  <c r="D2168" i="2"/>
  <c r="D2138" i="2"/>
  <c r="D2102" i="2"/>
  <c r="D2066" i="2"/>
  <c r="D2030" i="2"/>
  <c r="D1994" i="2"/>
  <c r="D1958" i="2"/>
  <c r="D1922" i="2"/>
  <c r="D1891" i="2"/>
  <c r="D1855" i="2"/>
  <c r="D1802" i="2"/>
  <c r="D1695" i="2"/>
  <c r="D1587" i="2"/>
  <c r="D1479" i="2"/>
  <c r="D1371" i="2"/>
  <c r="D1263" i="2"/>
  <c r="D1012" i="2"/>
  <c r="D689" i="2"/>
  <c r="C4" i="2"/>
  <c r="G4" i="2"/>
  <c r="F4" i="2"/>
  <c r="E4" i="2"/>
  <c r="D4" i="2"/>
  <c r="C72" i="2"/>
  <c r="G72" i="2"/>
  <c r="F72" i="2"/>
  <c r="E72" i="2"/>
  <c r="D72" i="2"/>
  <c r="C146" i="2"/>
  <c r="G146" i="2"/>
  <c r="F146" i="2"/>
  <c r="E146" i="2"/>
  <c r="D146" i="2"/>
  <c r="C71" i="2"/>
  <c r="G71" i="2"/>
  <c r="F71" i="2"/>
  <c r="E71" i="2"/>
  <c r="D71" i="2"/>
  <c r="C62" i="2"/>
  <c r="G62" i="2"/>
  <c r="F62" i="2"/>
  <c r="E62" i="2"/>
  <c r="D62" i="2"/>
  <c r="C13" i="2"/>
  <c r="G13" i="2"/>
  <c r="F13" i="2"/>
  <c r="E13" i="2"/>
  <c r="D13" i="2"/>
  <c r="C84" i="2"/>
  <c r="G84" i="2"/>
  <c r="F84" i="2"/>
  <c r="D84" i="2"/>
  <c r="E84" i="2"/>
  <c r="C86" i="2"/>
  <c r="G86" i="2"/>
  <c r="F86" i="2"/>
  <c r="D86" i="2"/>
  <c r="E86" i="2"/>
  <c r="C54" i="2"/>
  <c r="G54" i="2"/>
  <c r="F54" i="2"/>
  <c r="E54" i="2"/>
  <c r="D54" i="2"/>
  <c r="C29" i="2"/>
  <c r="G29" i="2"/>
  <c r="F29" i="2"/>
  <c r="E29" i="2"/>
  <c r="D29" i="2"/>
  <c r="C95" i="2"/>
  <c r="G95" i="2"/>
  <c r="F95" i="2"/>
  <c r="E95" i="2"/>
  <c r="D95" i="2"/>
  <c r="C98" i="2"/>
  <c r="G98" i="2"/>
  <c r="F98" i="2"/>
  <c r="E98" i="2"/>
  <c r="D98" i="2"/>
  <c r="C27" i="2"/>
  <c r="G27" i="2"/>
  <c r="F27" i="2"/>
  <c r="E27" i="2"/>
  <c r="D27" i="2"/>
  <c r="C105" i="2"/>
  <c r="G105" i="2"/>
  <c r="F105" i="2"/>
  <c r="E105" i="2"/>
  <c r="D105" i="2"/>
  <c r="C110" i="2"/>
  <c r="G110" i="2"/>
  <c r="F110" i="2"/>
  <c r="E110" i="2"/>
  <c r="D110" i="2"/>
  <c r="C115" i="2"/>
  <c r="G115" i="2"/>
  <c r="F115" i="2"/>
  <c r="E115" i="2"/>
  <c r="D115" i="2"/>
  <c r="C118" i="2"/>
  <c r="G118" i="2"/>
  <c r="F118" i="2"/>
  <c r="E118" i="2"/>
  <c r="D118" i="2"/>
  <c r="C122" i="2"/>
  <c r="G122" i="2"/>
  <c r="F122" i="2"/>
  <c r="E122" i="2"/>
  <c r="D122" i="2"/>
  <c r="C126" i="2"/>
  <c r="G126" i="2"/>
  <c r="F126" i="2"/>
  <c r="E126" i="2"/>
  <c r="D126" i="2"/>
  <c r="C131" i="2"/>
  <c r="G131" i="2"/>
  <c r="F131" i="2"/>
  <c r="E131" i="2"/>
  <c r="D131" i="2"/>
  <c r="C40" i="2"/>
  <c r="G40" i="2"/>
  <c r="F40" i="2"/>
  <c r="E40" i="2"/>
  <c r="D40" i="2"/>
  <c r="C140" i="2"/>
  <c r="G140" i="2"/>
  <c r="F140" i="2"/>
  <c r="E140" i="2"/>
  <c r="D140" i="2"/>
  <c r="C17" i="2"/>
  <c r="G17" i="2"/>
  <c r="F17" i="2"/>
  <c r="E17" i="2"/>
  <c r="D17" i="2"/>
  <c r="C152" i="2"/>
  <c r="G152" i="2"/>
  <c r="F152" i="2"/>
  <c r="E152" i="2"/>
  <c r="D152" i="2"/>
  <c r="C158" i="2"/>
  <c r="G158" i="2"/>
  <c r="F158" i="2"/>
  <c r="D158" i="2"/>
  <c r="E158" i="2"/>
  <c r="C164" i="2"/>
  <c r="G164" i="2"/>
  <c r="F164" i="2"/>
  <c r="E164" i="2"/>
  <c r="D164" i="2"/>
  <c r="C170" i="2"/>
  <c r="G170" i="2"/>
  <c r="F170" i="2"/>
  <c r="E170" i="2"/>
  <c r="D170" i="2"/>
  <c r="C176" i="2"/>
  <c r="G176" i="2"/>
  <c r="F176" i="2"/>
  <c r="E176" i="2"/>
  <c r="D176" i="2"/>
  <c r="C182" i="2"/>
  <c r="G182" i="2"/>
  <c r="F182" i="2"/>
  <c r="E182" i="2"/>
  <c r="D182" i="2"/>
  <c r="C188" i="2"/>
  <c r="G188" i="2"/>
  <c r="F188" i="2"/>
  <c r="E188" i="2"/>
  <c r="D188" i="2"/>
  <c r="C194" i="2"/>
  <c r="G194" i="2"/>
  <c r="F194" i="2"/>
  <c r="E194" i="2"/>
  <c r="D194" i="2"/>
  <c r="C200" i="2"/>
  <c r="G200" i="2"/>
  <c r="F200" i="2"/>
  <c r="E200" i="2"/>
  <c r="D200" i="2"/>
  <c r="C206" i="2"/>
  <c r="G206" i="2"/>
  <c r="F206" i="2"/>
  <c r="E206" i="2"/>
  <c r="D206" i="2"/>
  <c r="C212" i="2"/>
  <c r="G212" i="2"/>
  <c r="F212" i="2"/>
  <c r="E212" i="2"/>
  <c r="D212" i="2"/>
  <c r="C218" i="2"/>
  <c r="G218" i="2"/>
  <c r="F218" i="2"/>
  <c r="E218" i="2"/>
  <c r="D218" i="2"/>
  <c r="C224" i="2"/>
  <c r="G224" i="2"/>
  <c r="F224" i="2"/>
  <c r="E224" i="2"/>
  <c r="D224" i="2"/>
  <c r="C230" i="2"/>
  <c r="G230" i="2"/>
  <c r="F230" i="2"/>
  <c r="E230" i="2"/>
  <c r="D230" i="2"/>
  <c r="C236" i="2"/>
  <c r="G236" i="2"/>
  <c r="F236" i="2"/>
  <c r="E236" i="2"/>
  <c r="D236" i="2"/>
  <c r="C242" i="2"/>
  <c r="G242" i="2"/>
  <c r="F242" i="2"/>
  <c r="E242" i="2"/>
  <c r="D242" i="2"/>
  <c r="C248" i="2"/>
  <c r="G248" i="2"/>
  <c r="F248" i="2"/>
  <c r="E248" i="2"/>
  <c r="D248" i="2"/>
  <c r="C254" i="2"/>
  <c r="G254" i="2"/>
  <c r="F254" i="2"/>
  <c r="E254" i="2"/>
  <c r="D254" i="2"/>
  <c r="C260" i="2"/>
  <c r="G260" i="2"/>
  <c r="F260" i="2"/>
  <c r="E260" i="2"/>
  <c r="D260" i="2"/>
  <c r="C266" i="2"/>
  <c r="G266" i="2"/>
  <c r="F266" i="2"/>
  <c r="D266" i="2"/>
  <c r="E266" i="2"/>
  <c r="C272" i="2"/>
  <c r="G272" i="2"/>
  <c r="F272" i="2"/>
  <c r="D272" i="2"/>
  <c r="E272" i="2"/>
  <c r="C278" i="2"/>
  <c r="G278" i="2"/>
  <c r="F278" i="2"/>
  <c r="E278" i="2"/>
  <c r="D278" i="2"/>
  <c r="C283" i="2"/>
  <c r="G283" i="2"/>
  <c r="F283" i="2"/>
  <c r="E283" i="2"/>
  <c r="D283" i="2"/>
  <c r="C289" i="2"/>
  <c r="G289" i="2"/>
  <c r="F289" i="2"/>
  <c r="E289" i="2"/>
  <c r="D289" i="2"/>
  <c r="C295" i="2"/>
  <c r="G295" i="2"/>
  <c r="F295" i="2"/>
  <c r="E295" i="2"/>
  <c r="D295" i="2"/>
  <c r="C301" i="2"/>
  <c r="G301" i="2"/>
  <c r="F301" i="2"/>
  <c r="E301" i="2"/>
  <c r="D301" i="2"/>
  <c r="C307" i="2"/>
  <c r="G307" i="2"/>
  <c r="F307" i="2"/>
  <c r="E307" i="2"/>
  <c r="D307" i="2"/>
  <c r="C313" i="2"/>
  <c r="G313" i="2"/>
  <c r="F313" i="2"/>
  <c r="E313" i="2"/>
  <c r="D313" i="2"/>
  <c r="C319" i="2"/>
  <c r="G319" i="2"/>
  <c r="F319" i="2"/>
  <c r="E319" i="2"/>
  <c r="D319" i="2"/>
  <c r="C325" i="2"/>
  <c r="G325" i="2"/>
  <c r="F325" i="2"/>
  <c r="E325" i="2"/>
  <c r="D325" i="2"/>
  <c r="C331" i="2"/>
  <c r="G331" i="2"/>
  <c r="F331" i="2"/>
  <c r="E331" i="2"/>
  <c r="D331" i="2"/>
  <c r="C337" i="2"/>
  <c r="G337" i="2"/>
  <c r="F337" i="2"/>
  <c r="E337" i="2"/>
  <c r="D337" i="2"/>
  <c r="C343" i="2"/>
  <c r="G343" i="2"/>
  <c r="F343" i="2"/>
  <c r="E343" i="2"/>
  <c r="D343" i="2"/>
  <c r="C349" i="2"/>
  <c r="G349" i="2"/>
  <c r="F349" i="2"/>
  <c r="E349" i="2"/>
  <c r="D349" i="2"/>
  <c r="C355" i="2"/>
  <c r="G355" i="2"/>
  <c r="F355" i="2"/>
  <c r="E355" i="2"/>
  <c r="D355" i="2"/>
  <c r="C361" i="2"/>
  <c r="G361" i="2"/>
  <c r="F361" i="2"/>
  <c r="E361" i="2"/>
  <c r="D361" i="2"/>
  <c r="C367" i="2"/>
  <c r="G367" i="2"/>
  <c r="F367" i="2"/>
  <c r="E367" i="2"/>
  <c r="D367" i="2"/>
  <c r="C373" i="2"/>
  <c r="G373" i="2"/>
  <c r="F373" i="2"/>
  <c r="E373" i="2"/>
  <c r="D373" i="2"/>
  <c r="C379" i="2"/>
  <c r="G379" i="2"/>
  <c r="F379" i="2"/>
  <c r="E379" i="2"/>
  <c r="D379" i="2"/>
  <c r="C385" i="2"/>
  <c r="G385" i="2"/>
  <c r="F385" i="2"/>
  <c r="E385" i="2"/>
  <c r="D385" i="2"/>
  <c r="C391" i="2"/>
  <c r="G391" i="2"/>
  <c r="F391" i="2"/>
  <c r="E391" i="2"/>
  <c r="D391" i="2"/>
  <c r="C397" i="2"/>
  <c r="G397" i="2"/>
  <c r="F397" i="2"/>
  <c r="E397" i="2"/>
  <c r="D397" i="2"/>
  <c r="C403" i="2"/>
  <c r="G403" i="2"/>
  <c r="F403" i="2"/>
  <c r="E403" i="2"/>
  <c r="D403" i="2"/>
  <c r="C409" i="2"/>
  <c r="G409" i="2"/>
  <c r="F409" i="2"/>
  <c r="E409" i="2"/>
  <c r="D409" i="2"/>
  <c r="C415" i="2"/>
  <c r="G415" i="2"/>
  <c r="F415" i="2"/>
  <c r="E415" i="2"/>
  <c r="D415" i="2"/>
  <c r="C421" i="2"/>
  <c r="G421" i="2"/>
  <c r="F421" i="2"/>
  <c r="E421" i="2"/>
  <c r="D421" i="2"/>
  <c r="C427" i="2"/>
  <c r="G427" i="2"/>
  <c r="F427" i="2"/>
  <c r="E427" i="2"/>
  <c r="D427" i="2"/>
  <c r="C433" i="2"/>
  <c r="G433" i="2"/>
  <c r="F433" i="2"/>
  <c r="E433" i="2"/>
  <c r="D433" i="2"/>
  <c r="C439" i="2"/>
  <c r="G439" i="2"/>
  <c r="F439" i="2"/>
  <c r="E439" i="2"/>
  <c r="D439" i="2"/>
  <c r="C445" i="2"/>
  <c r="G445" i="2"/>
  <c r="F445" i="2"/>
  <c r="E445" i="2"/>
  <c r="D445" i="2"/>
  <c r="C451" i="2"/>
  <c r="G451" i="2"/>
  <c r="F451" i="2"/>
  <c r="E451" i="2"/>
  <c r="D451" i="2"/>
  <c r="C457" i="2"/>
  <c r="G457" i="2"/>
  <c r="F457" i="2"/>
  <c r="E457" i="2"/>
  <c r="D457" i="2"/>
  <c r="C463" i="2"/>
  <c r="G463" i="2"/>
  <c r="F463" i="2"/>
  <c r="E463" i="2"/>
  <c r="D463" i="2"/>
  <c r="C469" i="2"/>
  <c r="G469" i="2"/>
  <c r="F469" i="2"/>
  <c r="E469" i="2"/>
  <c r="D469" i="2"/>
  <c r="C475" i="2"/>
  <c r="G475" i="2"/>
  <c r="F475" i="2"/>
  <c r="E475" i="2"/>
  <c r="D475" i="2"/>
  <c r="C481" i="2"/>
  <c r="G481" i="2"/>
  <c r="F481" i="2"/>
  <c r="E481" i="2"/>
  <c r="D481" i="2"/>
  <c r="C487" i="2"/>
  <c r="G487" i="2"/>
  <c r="F487" i="2"/>
  <c r="E487" i="2"/>
  <c r="C493" i="2"/>
  <c r="G493" i="2"/>
  <c r="F493" i="2"/>
  <c r="E493" i="2"/>
  <c r="D493" i="2"/>
  <c r="C499" i="2"/>
  <c r="G499" i="2"/>
  <c r="F499" i="2"/>
  <c r="E499" i="2"/>
  <c r="D499" i="2"/>
  <c r="C505" i="2"/>
  <c r="G505" i="2"/>
  <c r="F505" i="2"/>
  <c r="E505" i="2"/>
  <c r="D505" i="2"/>
  <c r="C511" i="2"/>
  <c r="G511" i="2"/>
  <c r="F511" i="2"/>
  <c r="E511" i="2"/>
  <c r="D511" i="2"/>
  <c r="C517" i="2"/>
  <c r="G517" i="2"/>
  <c r="F517" i="2"/>
  <c r="E517" i="2"/>
  <c r="D517" i="2"/>
  <c r="C523" i="2"/>
  <c r="G523" i="2"/>
  <c r="F523" i="2"/>
  <c r="E523" i="2"/>
  <c r="C529" i="2"/>
  <c r="G529" i="2"/>
  <c r="F529" i="2"/>
  <c r="E529" i="2"/>
  <c r="D529" i="2"/>
  <c r="C535" i="2"/>
  <c r="G535" i="2"/>
  <c r="F535" i="2"/>
  <c r="E535" i="2"/>
  <c r="D535" i="2"/>
  <c r="C541" i="2"/>
  <c r="G541" i="2"/>
  <c r="F541" i="2"/>
  <c r="E541" i="2"/>
  <c r="D541" i="2"/>
  <c r="C547" i="2"/>
  <c r="G547" i="2"/>
  <c r="F547" i="2"/>
  <c r="E547" i="2"/>
  <c r="D547" i="2"/>
  <c r="C553" i="2"/>
  <c r="G553" i="2"/>
  <c r="F553" i="2"/>
  <c r="E553" i="2"/>
  <c r="D553" i="2"/>
  <c r="C559" i="2"/>
  <c r="G559" i="2"/>
  <c r="F559" i="2"/>
  <c r="E559" i="2"/>
  <c r="C565" i="2"/>
  <c r="G565" i="2"/>
  <c r="F565" i="2"/>
  <c r="E565" i="2"/>
  <c r="D565" i="2"/>
  <c r="C571" i="2"/>
  <c r="G571" i="2"/>
  <c r="F571" i="2"/>
  <c r="E571" i="2"/>
  <c r="D571" i="2"/>
  <c r="C577" i="2"/>
  <c r="G577" i="2"/>
  <c r="F577" i="2"/>
  <c r="E577" i="2"/>
  <c r="D577" i="2"/>
  <c r="C583" i="2"/>
  <c r="G583" i="2"/>
  <c r="F583" i="2"/>
  <c r="E583" i="2"/>
  <c r="D583" i="2"/>
  <c r="C589" i="2"/>
  <c r="G589" i="2"/>
  <c r="F589" i="2"/>
  <c r="E589" i="2"/>
  <c r="D589" i="2"/>
  <c r="C595" i="2"/>
  <c r="G595" i="2"/>
  <c r="F595" i="2"/>
  <c r="E595" i="2"/>
  <c r="C601" i="2"/>
  <c r="G601" i="2"/>
  <c r="F601" i="2"/>
  <c r="E601" i="2"/>
  <c r="D601" i="2"/>
  <c r="C607" i="2"/>
  <c r="G607" i="2"/>
  <c r="F607" i="2"/>
  <c r="E607" i="2"/>
  <c r="D607" i="2"/>
  <c r="C613" i="2"/>
  <c r="G613" i="2"/>
  <c r="F613" i="2"/>
  <c r="E613" i="2"/>
  <c r="D613" i="2"/>
  <c r="C619" i="2"/>
  <c r="G619" i="2"/>
  <c r="F619" i="2"/>
  <c r="E619" i="2"/>
  <c r="D619" i="2"/>
  <c r="C625" i="2"/>
  <c r="G625" i="2"/>
  <c r="F625" i="2"/>
  <c r="E625" i="2"/>
  <c r="D625" i="2"/>
  <c r="C631" i="2"/>
  <c r="G631" i="2"/>
  <c r="F631" i="2"/>
  <c r="E631" i="2"/>
  <c r="C637" i="2"/>
  <c r="G637" i="2"/>
  <c r="F637" i="2"/>
  <c r="E637" i="2"/>
  <c r="D637" i="2"/>
  <c r="C643" i="2"/>
  <c r="G643" i="2"/>
  <c r="F643" i="2"/>
  <c r="E643" i="2"/>
  <c r="D643" i="2"/>
  <c r="C649" i="2"/>
  <c r="G649" i="2"/>
  <c r="F649" i="2"/>
  <c r="E649" i="2"/>
  <c r="D649" i="2"/>
  <c r="C655" i="2"/>
  <c r="G655" i="2"/>
  <c r="F655" i="2"/>
  <c r="E655" i="2"/>
  <c r="D655" i="2"/>
  <c r="C661" i="2"/>
  <c r="G661" i="2"/>
  <c r="F661" i="2"/>
  <c r="E661" i="2"/>
  <c r="D661" i="2"/>
  <c r="C667" i="2"/>
  <c r="G667" i="2"/>
  <c r="F667" i="2"/>
  <c r="E667" i="2"/>
  <c r="C673" i="2"/>
  <c r="G673" i="2"/>
  <c r="F673" i="2"/>
  <c r="E673" i="2"/>
  <c r="C679" i="2"/>
  <c r="G679" i="2"/>
  <c r="F679" i="2"/>
  <c r="E679" i="2"/>
  <c r="D679" i="2"/>
  <c r="C685" i="2"/>
  <c r="G685" i="2"/>
  <c r="F685" i="2"/>
  <c r="E685" i="2"/>
  <c r="D685" i="2"/>
  <c r="C691" i="2"/>
  <c r="G691" i="2"/>
  <c r="F691" i="2"/>
  <c r="E691" i="2"/>
  <c r="D691" i="2"/>
  <c r="C697" i="2"/>
  <c r="G697" i="2"/>
  <c r="F697" i="2"/>
  <c r="E697" i="2"/>
  <c r="D697" i="2"/>
  <c r="C703" i="2"/>
  <c r="G703" i="2"/>
  <c r="F703" i="2"/>
  <c r="E703" i="2"/>
  <c r="C709" i="2"/>
  <c r="G709" i="2"/>
  <c r="F709" i="2"/>
  <c r="E709" i="2"/>
  <c r="C715" i="2"/>
  <c r="G715" i="2"/>
  <c r="F715" i="2"/>
  <c r="E715" i="2"/>
  <c r="D715" i="2"/>
  <c r="C721" i="2"/>
  <c r="G721" i="2"/>
  <c r="F721" i="2"/>
  <c r="E721" i="2"/>
  <c r="D721" i="2"/>
  <c r="C727" i="2"/>
  <c r="G727" i="2"/>
  <c r="F727" i="2"/>
  <c r="E727" i="2"/>
  <c r="D727" i="2"/>
  <c r="C733" i="2"/>
  <c r="G733" i="2"/>
  <c r="F733" i="2"/>
  <c r="E733" i="2"/>
  <c r="D733" i="2"/>
  <c r="C739" i="2"/>
  <c r="G739" i="2"/>
  <c r="F739" i="2"/>
  <c r="E739" i="2"/>
  <c r="C745" i="2"/>
  <c r="G745" i="2"/>
  <c r="F745" i="2"/>
  <c r="E745" i="2"/>
  <c r="C751" i="2"/>
  <c r="G751" i="2"/>
  <c r="F751" i="2"/>
  <c r="E751" i="2"/>
  <c r="D751" i="2"/>
  <c r="C757" i="2"/>
  <c r="G757" i="2"/>
  <c r="F757" i="2"/>
  <c r="E757" i="2"/>
  <c r="D757" i="2"/>
  <c r="C763" i="2"/>
  <c r="G763" i="2"/>
  <c r="F763" i="2"/>
  <c r="E763" i="2"/>
  <c r="D763" i="2"/>
  <c r="C769" i="2"/>
  <c r="G769" i="2"/>
  <c r="F769" i="2"/>
  <c r="E769" i="2"/>
  <c r="D769" i="2"/>
  <c r="C775" i="2"/>
  <c r="G775" i="2"/>
  <c r="F775" i="2"/>
  <c r="E775" i="2"/>
  <c r="C781" i="2"/>
  <c r="G781" i="2"/>
  <c r="F781" i="2"/>
  <c r="E781" i="2"/>
  <c r="C787" i="2"/>
  <c r="G787" i="2"/>
  <c r="E787" i="2"/>
  <c r="F787" i="2"/>
  <c r="D787" i="2"/>
  <c r="C792" i="2"/>
  <c r="G792" i="2"/>
  <c r="F792" i="2"/>
  <c r="E792" i="2"/>
  <c r="D792" i="2"/>
  <c r="C798" i="2"/>
  <c r="G798" i="2"/>
  <c r="F798" i="2"/>
  <c r="E798" i="2"/>
  <c r="D798" i="2"/>
  <c r="C804" i="2"/>
  <c r="G804" i="2"/>
  <c r="F804" i="2"/>
  <c r="E804" i="2"/>
  <c r="D804" i="2"/>
  <c r="C810" i="2"/>
  <c r="G810" i="2"/>
  <c r="F810" i="2"/>
  <c r="E810" i="2"/>
  <c r="C816" i="2"/>
  <c r="G816" i="2"/>
  <c r="F816" i="2"/>
  <c r="E816" i="2"/>
  <c r="C822" i="2"/>
  <c r="G822" i="2"/>
  <c r="F822" i="2"/>
  <c r="E822" i="2"/>
  <c r="D822" i="2"/>
  <c r="C828" i="2"/>
  <c r="G828" i="2"/>
  <c r="E828" i="2"/>
  <c r="F828" i="2"/>
  <c r="D828" i="2"/>
  <c r="C834" i="2"/>
  <c r="G834" i="2"/>
  <c r="F834" i="2"/>
  <c r="E834" i="2"/>
  <c r="D834" i="2"/>
  <c r="C840" i="2"/>
  <c r="G840" i="2"/>
  <c r="F840" i="2"/>
  <c r="E840" i="2"/>
  <c r="D840" i="2"/>
  <c r="C846" i="2"/>
  <c r="G846" i="2"/>
  <c r="F846" i="2"/>
  <c r="E846" i="2"/>
  <c r="C852" i="2"/>
  <c r="G852" i="2"/>
  <c r="F852" i="2"/>
  <c r="E852" i="2"/>
  <c r="C858" i="2"/>
  <c r="G858" i="2"/>
  <c r="F858" i="2"/>
  <c r="E858" i="2"/>
  <c r="D858" i="2"/>
  <c r="C864" i="2"/>
  <c r="G864" i="2"/>
  <c r="F864" i="2"/>
  <c r="E864" i="2"/>
  <c r="D864" i="2"/>
  <c r="C870" i="2"/>
  <c r="G870" i="2"/>
  <c r="F870" i="2"/>
  <c r="E870" i="2"/>
  <c r="D870" i="2"/>
  <c r="C876" i="2"/>
  <c r="G876" i="2"/>
  <c r="F876" i="2"/>
  <c r="E876" i="2"/>
  <c r="D876" i="2"/>
  <c r="C882" i="2"/>
  <c r="G882" i="2"/>
  <c r="F882" i="2"/>
  <c r="E882" i="2"/>
  <c r="C888" i="2"/>
  <c r="G888" i="2"/>
  <c r="F888" i="2"/>
  <c r="E888" i="2"/>
  <c r="C894" i="2"/>
  <c r="G894" i="2"/>
  <c r="F894" i="2"/>
  <c r="E894" i="2"/>
  <c r="D894" i="2"/>
  <c r="C900" i="2"/>
  <c r="G900" i="2"/>
  <c r="F900" i="2"/>
  <c r="E900" i="2"/>
  <c r="D900" i="2"/>
  <c r="C906" i="2"/>
  <c r="G906" i="2"/>
  <c r="F906" i="2"/>
  <c r="E906" i="2"/>
  <c r="D906" i="2"/>
  <c r="C912" i="2"/>
  <c r="G912" i="2"/>
  <c r="F912" i="2"/>
  <c r="E912" i="2"/>
  <c r="D912" i="2"/>
  <c r="C918" i="2"/>
  <c r="G918" i="2"/>
  <c r="F918" i="2"/>
  <c r="E918" i="2"/>
  <c r="C924" i="2"/>
  <c r="G924" i="2"/>
  <c r="F924" i="2"/>
  <c r="E924" i="2"/>
  <c r="C930" i="2"/>
  <c r="G930" i="2"/>
  <c r="F930" i="2"/>
  <c r="E930" i="2"/>
  <c r="D930" i="2"/>
  <c r="C936" i="2"/>
  <c r="G936" i="2"/>
  <c r="F936" i="2"/>
  <c r="E936" i="2"/>
  <c r="D936" i="2"/>
  <c r="C942" i="2"/>
  <c r="G942" i="2"/>
  <c r="F942" i="2"/>
  <c r="E942" i="2"/>
  <c r="D942" i="2"/>
  <c r="C948" i="2"/>
  <c r="F948" i="2"/>
  <c r="G948" i="2"/>
  <c r="E948" i="2"/>
  <c r="D948" i="2"/>
  <c r="C954" i="2"/>
  <c r="G954" i="2"/>
  <c r="F954" i="2"/>
  <c r="E954" i="2"/>
  <c r="C960" i="2"/>
  <c r="G960" i="2"/>
  <c r="F960" i="2"/>
  <c r="E960" i="2"/>
  <c r="C966" i="2"/>
  <c r="G966" i="2"/>
  <c r="F966" i="2"/>
  <c r="E966" i="2"/>
  <c r="D966" i="2"/>
  <c r="C972" i="2"/>
  <c r="G972" i="2"/>
  <c r="F972" i="2"/>
  <c r="E972" i="2"/>
  <c r="D972" i="2"/>
  <c r="C978" i="2"/>
  <c r="G978" i="2"/>
  <c r="F978" i="2"/>
  <c r="E978" i="2"/>
  <c r="D978" i="2"/>
  <c r="C984" i="2"/>
  <c r="G984" i="2"/>
  <c r="F984" i="2"/>
  <c r="E984" i="2"/>
  <c r="D984" i="2"/>
  <c r="C990" i="2"/>
  <c r="G990" i="2"/>
  <c r="F990" i="2"/>
  <c r="E990" i="2"/>
  <c r="C996" i="2"/>
  <c r="G996" i="2"/>
  <c r="F996" i="2"/>
  <c r="E996" i="2"/>
  <c r="C1002" i="2"/>
  <c r="G1002" i="2"/>
  <c r="F1002" i="2"/>
  <c r="E1002" i="2"/>
  <c r="D1002" i="2"/>
  <c r="C1008" i="2"/>
  <c r="G1008" i="2"/>
  <c r="F1008" i="2"/>
  <c r="E1008" i="2"/>
  <c r="D1008" i="2"/>
  <c r="C1014" i="2"/>
  <c r="G1014" i="2"/>
  <c r="F1014" i="2"/>
  <c r="E1014" i="2"/>
  <c r="D1014" i="2"/>
  <c r="C1020" i="2"/>
  <c r="G1020" i="2"/>
  <c r="F1020" i="2"/>
  <c r="E1020" i="2"/>
  <c r="D1020" i="2"/>
  <c r="C1026" i="2"/>
  <c r="G1026" i="2"/>
  <c r="F1026" i="2"/>
  <c r="E1026" i="2"/>
  <c r="C1032" i="2"/>
  <c r="G1032" i="2"/>
  <c r="F1032" i="2"/>
  <c r="E1032" i="2"/>
  <c r="C1038" i="2"/>
  <c r="G1038" i="2"/>
  <c r="F1038" i="2"/>
  <c r="E1038" i="2"/>
  <c r="D1038" i="2"/>
  <c r="C1044" i="2"/>
  <c r="G1044" i="2"/>
  <c r="F1044" i="2"/>
  <c r="E1044" i="2"/>
  <c r="D1044" i="2"/>
  <c r="C1050" i="2"/>
  <c r="G1050" i="2"/>
  <c r="F1050" i="2"/>
  <c r="E1050" i="2"/>
  <c r="D1050" i="2"/>
  <c r="C1056" i="2"/>
  <c r="G1056" i="2"/>
  <c r="F1056" i="2"/>
  <c r="E1056" i="2"/>
  <c r="D1056" i="2"/>
  <c r="C1062" i="2"/>
  <c r="G1062" i="2"/>
  <c r="F1062" i="2"/>
  <c r="E1062" i="2"/>
  <c r="C1068" i="2"/>
  <c r="G1068" i="2"/>
  <c r="F1068" i="2"/>
  <c r="E1068" i="2"/>
  <c r="C1074" i="2"/>
  <c r="G1074" i="2"/>
  <c r="F1074" i="2"/>
  <c r="E1074" i="2"/>
  <c r="D1074" i="2"/>
  <c r="C1079" i="2"/>
  <c r="G1079" i="2"/>
  <c r="F1079" i="2"/>
  <c r="E1079" i="2"/>
  <c r="D1079" i="2"/>
  <c r="C1085" i="2"/>
  <c r="G1085" i="2"/>
  <c r="F1085" i="2"/>
  <c r="E1085" i="2"/>
  <c r="D1085" i="2"/>
  <c r="C1091" i="2"/>
  <c r="G1091" i="2"/>
  <c r="F1091" i="2"/>
  <c r="E1091" i="2"/>
  <c r="D1091" i="2"/>
  <c r="C1097" i="2"/>
  <c r="G1097" i="2"/>
  <c r="F1097" i="2"/>
  <c r="E1097" i="2"/>
  <c r="C1103" i="2"/>
  <c r="G1103" i="2"/>
  <c r="F1103" i="2"/>
  <c r="E1103" i="2"/>
  <c r="C1109" i="2"/>
  <c r="G1109" i="2"/>
  <c r="F1109" i="2"/>
  <c r="E1109" i="2"/>
  <c r="D1109" i="2"/>
  <c r="C1115" i="2"/>
  <c r="G1115" i="2"/>
  <c r="F1115" i="2"/>
  <c r="E1115" i="2"/>
  <c r="D1115" i="2"/>
  <c r="C1121" i="2"/>
  <c r="G1121" i="2"/>
  <c r="F1121" i="2"/>
  <c r="E1121" i="2"/>
  <c r="D1121" i="2"/>
  <c r="C1127" i="2"/>
  <c r="G1127" i="2"/>
  <c r="F1127" i="2"/>
  <c r="E1127" i="2"/>
  <c r="D1127" i="2"/>
  <c r="C1133" i="2"/>
  <c r="G1133" i="2"/>
  <c r="F1133" i="2"/>
  <c r="E1133" i="2"/>
  <c r="C1139" i="2"/>
  <c r="G1139" i="2"/>
  <c r="F1139" i="2"/>
  <c r="E1139" i="2"/>
  <c r="C1145" i="2"/>
  <c r="G1145" i="2"/>
  <c r="F1145" i="2"/>
  <c r="E1145" i="2"/>
  <c r="D1145" i="2"/>
  <c r="C1151" i="2"/>
  <c r="G1151" i="2"/>
  <c r="F1151" i="2"/>
  <c r="E1151" i="2"/>
  <c r="D1151" i="2"/>
  <c r="C1157" i="2"/>
  <c r="G1157" i="2"/>
  <c r="F1157" i="2"/>
  <c r="E1157" i="2"/>
  <c r="D1157" i="2"/>
  <c r="C1163" i="2"/>
  <c r="G1163" i="2"/>
  <c r="F1163" i="2"/>
  <c r="E1163" i="2"/>
  <c r="D1163" i="2"/>
  <c r="C1169" i="2"/>
  <c r="G1169" i="2"/>
  <c r="F1169" i="2"/>
  <c r="C1174" i="2"/>
  <c r="G1174" i="2"/>
  <c r="F1174" i="2"/>
  <c r="E1174" i="2"/>
  <c r="C1180" i="2"/>
  <c r="G1180" i="2"/>
  <c r="F1180" i="2"/>
  <c r="E1180" i="2"/>
  <c r="D1180" i="2"/>
  <c r="C1186" i="2"/>
  <c r="G1186" i="2"/>
  <c r="F1186" i="2"/>
  <c r="E1186" i="2"/>
  <c r="D1186" i="2"/>
  <c r="C1192" i="2"/>
  <c r="G1192" i="2"/>
  <c r="F1192" i="2"/>
  <c r="E1192" i="2"/>
  <c r="D1192" i="2"/>
  <c r="C1198" i="2"/>
  <c r="G1198" i="2"/>
  <c r="F1198" i="2"/>
  <c r="E1198" i="2"/>
  <c r="D1198" i="2"/>
  <c r="C1204" i="2"/>
  <c r="G1204" i="2"/>
  <c r="F1204" i="2"/>
  <c r="E1204" i="2"/>
  <c r="C1210" i="2"/>
  <c r="G1210" i="2"/>
  <c r="F1210" i="2"/>
  <c r="E1210" i="2"/>
  <c r="C1216" i="2"/>
  <c r="G1216" i="2"/>
  <c r="F1216" i="2"/>
  <c r="E1216" i="2"/>
  <c r="D1216" i="2"/>
  <c r="C1222" i="2"/>
  <c r="G1222" i="2"/>
  <c r="F1222" i="2"/>
  <c r="E1222" i="2"/>
  <c r="D1222" i="2"/>
  <c r="C1228" i="2"/>
  <c r="G1228" i="2"/>
  <c r="F1228" i="2"/>
  <c r="E1228" i="2"/>
  <c r="D1228" i="2"/>
  <c r="C1234" i="2"/>
  <c r="G1234" i="2"/>
  <c r="F1234" i="2"/>
  <c r="E1234" i="2"/>
  <c r="D1234" i="2"/>
  <c r="C1240" i="2"/>
  <c r="G1240" i="2"/>
  <c r="F1240" i="2"/>
  <c r="E1240" i="2"/>
  <c r="D1240" i="2"/>
  <c r="C1246" i="2"/>
  <c r="G1246" i="2"/>
  <c r="F1246" i="2"/>
  <c r="E1246" i="2"/>
  <c r="D1246" i="2"/>
  <c r="C1252" i="2"/>
  <c r="G1252" i="2"/>
  <c r="F1252" i="2"/>
  <c r="E1252" i="2"/>
  <c r="D1252" i="2"/>
  <c r="C1258" i="2"/>
  <c r="G1258" i="2"/>
  <c r="F1258" i="2"/>
  <c r="E1258" i="2"/>
  <c r="D1258" i="2"/>
  <c r="C1264" i="2"/>
  <c r="G1264" i="2"/>
  <c r="F1264" i="2"/>
  <c r="E1264" i="2"/>
  <c r="D1264" i="2"/>
  <c r="C1270" i="2"/>
  <c r="G1270" i="2"/>
  <c r="F1270" i="2"/>
  <c r="E1270" i="2"/>
  <c r="D1270" i="2"/>
  <c r="C1276" i="2"/>
  <c r="G1276" i="2"/>
  <c r="F1276" i="2"/>
  <c r="D1276" i="2"/>
  <c r="E1276" i="2"/>
  <c r="C1282" i="2"/>
  <c r="G1282" i="2"/>
  <c r="E1282" i="2"/>
  <c r="F1282" i="2"/>
  <c r="D1282" i="2"/>
  <c r="C1288" i="2"/>
  <c r="G1288" i="2"/>
  <c r="F1288" i="2"/>
  <c r="E1288" i="2"/>
  <c r="D1288" i="2"/>
  <c r="C1294" i="2"/>
  <c r="G1294" i="2"/>
  <c r="F1294" i="2"/>
  <c r="E1294" i="2"/>
  <c r="D1294" i="2"/>
  <c r="C1300" i="2"/>
  <c r="G1300" i="2"/>
  <c r="F1300" i="2"/>
  <c r="E1300" i="2"/>
  <c r="D1300" i="2"/>
  <c r="C1306" i="2"/>
  <c r="G1306" i="2"/>
  <c r="F1306" i="2"/>
  <c r="E1306" i="2"/>
  <c r="D1306" i="2"/>
  <c r="C1312" i="2"/>
  <c r="G1312" i="2"/>
  <c r="F1312" i="2"/>
  <c r="E1312" i="2"/>
  <c r="D1312" i="2"/>
  <c r="C1318" i="2"/>
  <c r="G1318" i="2"/>
  <c r="F1318" i="2"/>
  <c r="E1318" i="2"/>
  <c r="D1318" i="2"/>
  <c r="C1324" i="2"/>
  <c r="G1324" i="2"/>
  <c r="F1324" i="2"/>
  <c r="E1324" i="2"/>
  <c r="D1324" i="2"/>
  <c r="C1330" i="2"/>
  <c r="G1330" i="2"/>
  <c r="F1330" i="2"/>
  <c r="E1330" i="2"/>
  <c r="D1330" i="2"/>
  <c r="C1336" i="2"/>
  <c r="G1336" i="2"/>
  <c r="F1336" i="2"/>
  <c r="E1336" i="2"/>
  <c r="D1336" i="2"/>
  <c r="C1342" i="2"/>
  <c r="G1342" i="2"/>
  <c r="F1342" i="2"/>
  <c r="E1342" i="2"/>
  <c r="D1342" i="2"/>
  <c r="C1348" i="2"/>
  <c r="G1348" i="2"/>
  <c r="F1348" i="2"/>
  <c r="E1348" i="2"/>
  <c r="D1348" i="2"/>
  <c r="C1354" i="2"/>
  <c r="G1354" i="2"/>
  <c r="F1354" i="2"/>
  <c r="E1354" i="2"/>
  <c r="D1354" i="2"/>
  <c r="C1360" i="2"/>
  <c r="G1360" i="2"/>
  <c r="F1360" i="2"/>
  <c r="E1360" i="2"/>
  <c r="D1360" i="2"/>
  <c r="C1366" i="2"/>
  <c r="G1366" i="2"/>
  <c r="F1366" i="2"/>
  <c r="E1366" i="2"/>
  <c r="D1366" i="2"/>
  <c r="C1372" i="2"/>
  <c r="G1372" i="2"/>
  <c r="F1372" i="2"/>
  <c r="E1372" i="2"/>
  <c r="D1372" i="2"/>
  <c r="C1378" i="2"/>
  <c r="G1378" i="2"/>
  <c r="F1378" i="2"/>
  <c r="D1378" i="2"/>
  <c r="E1378" i="2"/>
  <c r="C1384" i="2"/>
  <c r="G1384" i="2"/>
  <c r="F1384" i="2"/>
  <c r="E1384" i="2"/>
  <c r="D1384" i="2"/>
  <c r="C1390" i="2"/>
  <c r="G1390" i="2"/>
  <c r="F1390" i="2"/>
  <c r="E1390" i="2"/>
  <c r="D1390" i="2"/>
  <c r="C1396" i="2"/>
  <c r="G1396" i="2"/>
  <c r="F1396" i="2"/>
  <c r="E1396" i="2"/>
  <c r="D1396" i="2"/>
  <c r="C1402" i="2"/>
  <c r="G1402" i="2"/>
  <c r="F1402" i="2"/>
  <c r="E1402" i="2"/>
  <c r="D1402" i="2"/>
  <c r="C1408" i="2"/>
  <c r="G1408" i="2"/>
  <c r="F1408" i="2"/>
  <c r="E1408" i="2"/>
  <c r="D1408" i="2"/>
  <c r="C1414" i="2"/>
  <c r="G1414" i="2"/>
  <c r="F1414" i="2"/>
  <c r="E1414" i="2"/>
  <c r="D1414" i="2"/>
  <c r="C1420" i="2"/>
  <c r="G1420" i="2"/>
  <c r="F1420" i="2"/>
  <c r="E1420" i="2"/>
  <c r="D1420" i="2"/>
  <c r="C1426" i="2"/>
  <c r="G1426" i="2"/>
  <c r="F1426" i="2"/>
  <c r="E1426" i="2"/>
  <c r="D1426" i="2"/>
  <c r="C1432" i="2"/>
  <c r="G1432" i="2"/>
  <c r="E1432" i="2"/>
  <c r="D1432" i="2"/>
  <c r="F1432" i="2"/>
  <c r="C1438" i="2"/>
  <c r="G1438" i="2"/>
  <c r="F1438" i="2"/>
  <c r="E1438" i="2"/>
  <c r="D1438" i="2"/>
  <c r="C1444" i="2"/>
  <c r="G1444" i="2"/>
  <c r="F1444" i="2"/>
  <c r="E1444" i="2"/>
  <c r="D1444" i="2"/>
  <c r="C1450" i="2"/>
  <c r="G1450" i="2"/>
  <c r="F1450" i="2"/>
  <c r="E1450" i="2"/>
  <c r="D1450" i="2"/>
  <c r="C1456" i="2"/>
  <c r="G1456" i="2"/>
  <c r="F1456" i="2"/>
  <c r="E1456" i="2"/>
  <c r="D1456" i="2"/>
  <c r="C1462" i="2"/>
  <c r="G1462" i="2"/>
  <c r="F1462" i="2"/>
  <c r="E1462" i="2"/>
  <c r="D1462" i="2"/>
  <c r="C1468" i="2"/>
  <c r="G1468" i="2"/>
  <c r="F1468" i="2"/>
  <c r="E1468" i="2"/>
  <c r="D1468" i="2"/>
  <c r="C1474" i="2"/>
  <c r="G1474" i="2"/>
  <c r="F1474" i="2"/>
  <c r="E1474" i="2"/>
  <c r="D1474" i="2"/>
  <c r="C1480" i="2"/>
  <c r="G1480" i="2"/>
  <c r="F1480" i="2"/>
  <c r="E1480" i="2"/>
  <c r="D1480" i="2"/>
  <c r="C1486" i="2"/>
  <c r="G1486" i="2"/>
  <c r="F1486" i="2"/>
  <c r="E1486" i="2"/>
  <c r="D1486" i="2"/>
  <c r="C1492" i="2"/>
  <c r="G1492" i="2"/>
  <c r="F1492" i="2"/>
  <c r="E1492" i="2"/>
  <c r="D1492" i="2"/>
  <c r="C1498" i="2"/>
  <c r="G1498" i="2"/>
  <c r="F1498" i="2"/>
  <c r="E1498" i="2"/>
  <c r="D1498" i="2"/>
  <c r="C1504" i="2"/>
  <c r="G1504" i="2"/>
  <c r="F1504" i="2"/>
  <c r="E1504" i="2"/>
  <c r="D1504" i="2"/>
  <c r="C1510" i="2"/>
  <c r="G1510" i="2"/>
  <c r="F1510" i="2"/>
  <c r="E1510" i="2"/>
  <c r="D1510" i="2"/>
  <c r="C1516" i="2"/>
  <c r="G1516" i="2"/>
  <c r="F1516" i="2"/>
  <c r="E1516" i="2"/>
  <c r="D1516" i="2"/>
  <c r="C1522" i="2"/>
  <c r="G1522" i="2"/>
  <c r="F1522" i="2"/>
  <c r="E1522" i="2"/>
  <c r="D1522" i="2"/>
  <c r="C1528" i="2"/>
  <c r="G1528" i="2"/>
  <c r="F1528" i="2"/>
  <c r="E1528" i="2"/>
  <c r="D1528" i="2"/>
  <c r="C1534" i="2"/>
  <c r="G1534" i="2"/>
  <c r="F1534" i="2"/>
  <c r="E1534" i="2"/>
  <c r="D1534" i="2"/>
  <c r="C1540" i="2"/>
  <c r="G1540" i="2"/>
  <c r="F1540" i="2"/>
  <c r="E1540" i="2"/>
  <c r="D1540" i="2"/>
  <c r="C1546" i="2"/>
  <c r="G1546" i="2"/>
  <c r="F1546" i="2"/>
  <c r="E1546" i="2"/>
  <c r="D1546" i="2"/>
  <c r="C1552" i="2"/>
  <c r="G1552" i="2"/>
  <c r="F1552" i="2"/>
  <c r="E1552" i="2"/>
  <c r="D1552" i="2"/>
  <c r="C1558" i="2"/>
  <c r="G1558" i="2"/>
  <c r="F1558" i="2"/>
  <c r="E1558" i="2"/>
  <c r="D1558" i="2"/>
  <c r="C1564" i="2"/>
  <c r="G1564" i="2"/>
  <c r="F1564" i="2"/>
  <c r="E1564" i="2"/>
  <c r="D1564" i="2"/>
  <c r="C1570" i="2"/>
  <c r="G1570" i="2"/>
  <c r="F1570" i="2"/>
  <c r="E1570" i="2"/>
  <c r="D1570" i="2"/>
  <c r="C1576" i="2"/>
  <c r="G1576" i="2"/>
  <c r="F1576" i="2"/>
  <c r="E1576" i="2"/>
  <c r="D1576" i="2"/>
  <c r="C1582" i="2"/>
  <c r="G1582" i="2"/>
  <c r="F1582" i="2"/>
  <c r="D1582" i="2"/>
  <c r="E1582" i="2"/>
  <c r="C1588" i="2"/>
  <c r="G1588" i="2"/>
  <c r="F1588" i="2"/>
  <c r="E1588" i="2"/>
  <c r="D1588" i="2"/>
  <c r="C1594" i="2"/>
  <c r="G1594" i="2"/>
  <c r="F1594" i="2"/>
  <c r="E1594" i="2"/>
  <c r="D1594" i="2"/>
  <c r="C1600" i="2"/>
  <c r="G1600" i="2"/>
  <c r="F1600" i="2"/>
  <c r="D1600" i="2"/>
  <c r="E1600" i="2"/>
  <c r="C1606" i="2"/>
  <c r="G1606" i="2"/>
  <c r="F1606" i="2"/>
  <c r="E1606" i="2"/>
  <c r="D1606" i="2"/>
  <c r="C1612" i="2"/>
  <c r="G1612" i="2"/>
  <c r="F1612" i="2"/>
  <c r="E1612" i="2"/>
  <c r="D1612" i="2"/>
  <c r="C1618" i="2"/>
  <c r="G1618" i="2"/>
  <c r="F1618" i="2"/>
  <c r="E1618" i="2"/>
  <c r="D1618" i="2"/>
  <c r="C1624" i="2"/>
  <c r="G1624" i="2"/>
  <c r="F1624" i="2"/>
  <c r="E1624" i="2"/>
  <c r="D1624" i="2"/>
  <c r="C1630" i="2"/>
  <c r="G1630" i="2"/>
  <c r="F1630" i="2"/>
  <c r="E1630" i="2"/>
  <c r="D1630" i="2"/>
  <c r="C1636" i="2"/>
  <c r="G1636" i="2"/>
  <c r="F1636" i="2"/>
  <c r="D1636" i="2"/>
  <c r="E1636" i="2"/>
  <c r="C1642" i="2"/>
  <c r="G1642" i="2"/>
  <c r="F1642" i="2"/>
  <c r="E1642" i="2"/>
  <c r="D1642" i="2"/>
  <c r="C1648" i="2"/>
  <c r="G1648" i="2"/>
  <c r="F1648" i="2"/>
  <c r="E1648" i="2"/>
  <c r="D1648" i="2"/>
  <c r="C1654" i="2"/>
  <c r="G1654" i="2"/>
  <c r="F1654" i="2"/>
  <c r="D1654" i="2"/>
  <c r="E1654" i="2"/>
  <c r="C1660" i="2"/>
  <c r="G1660" i="2"/>
  <c r="F1660" i="2"/>
  <c r="E1660" i="2"/>
  <c r="D1660" i="2"/>
  <c r="C1666" i="2"/>
  <c r="G1666" i="2"/>
  <c r="F1666" i="2"/>
  <c r="E1666" i="2"/>
  <c r="D1666" i="2"/>
  <c r="C1672" i="2"/>
  <c r="G1672" i="2"/>
  <c r="F1672" i="2"/>
  <c r="E1672" i="2"/>
  <c r="D1672" i="2"/>
  <c r="C1678" i="2"/>
  <c r="G1678" i="2"/>
  <c r="F1678" i="2"/>
  <c r="E1678" i="2"/>
  <c r="D1678" i="2"/>
  <c r="C1684" i="2"/>
  <c r="G1684" i="2"/>
  <c r="F1684" i="2"/>
  <c r="E1684" i="2"/>
  <c r="D1684" i="2"/>
  <c r="C1690" i="2"/>
  <c r="G1690" i="2"/>
  <c r="F1690" i="2"/>
  <c r="D1690" i="2"/>
  <c r="E1690" i="2"/>
  <c r="C1696" i="2"/>
  <c r="G1696" i="2"/>
  <c r="F1696" i="2"/>
  <c r="E1696" i="2"/>
  <c r="D1696" i="2"/>
  <c r="C1702" i="2"/>
  <c r="G1702" i="2"/>
  <c r="F1702" i="2"/>
  <c r="E1702" i="2"/>
  <c r="D1702" i="2"/>
  <c r="C1708" i="2"/>
  <c r="G1708" i="2"/>
  <c r="F1708" i="2"/>
  <c r="D1708" i="2"/>
  <c r="E1708" i="2"/>
  <c r="C1713" i="2"/>
  <c r="G1713" i="2"/>
  <c r="F1713" i="2"/>
  <c r="E1713" i="2"/>
  <c r="D1713" i="2"/>
  <c r="C1719" i="2"/>
  <c r="G1719" i="2"/>
  <c r="F1719" i="2"/>
  <c r="E1719" i="2"/>
  <c r="D1719" i="2"/>
  <c r="C1725" i="2"/>
  <c r="G1725" i="2"/>
  <c r="F1725" i="2"/>
  <c r="E1725" i="2"/>
  <c r="D1725" i="2"/>
  <c r="C1731" i="2"/>
  <c r="G1731" i="2"/>
  <c r="F1731" i="2"/>
  <c r="E1731" i="2"/>
  <c r="D1731" i="2"/>
  <c r="C1737" i="2"/>
  <c r="G1737" i="2"/>
  <c r="F1737" i="2"/>
  <c r="E1737" i="2"/>
  <c r="D1737" i="2"/>
  <c r="C1743" i="2"/>
  <c r="G1743" i="2"/>
  <c r="F1743" i="2"/>
  <c r="D1743" i="2"/>
  <c r="E1743" i="2"/>
  <c r="C1749" i="2"/>
  <c r="G1749" i="2"/>
  <c r="F1749" i="2"/>
  <c r="E1749" i="2"/>
  <c r="D1749" i="2"/>
  <c r="C1755" i="2"/>
  <c r="G1755" i="2"/>
  <c r="E1755" i="2"/>
  <c r="F1755" i="2"/>
  <c r="D1755" i="2"/>
  <c r="C1761" i="2"/>
  <c r="G1761" i="2"/>
  <c r="F1761" i="2"/>
  <c r="D1761" i="2"/>
  <c r="E1761" i="2"/>
  <c r="C1767" i="2"/>
  <c r="G1767" i="2"/>
  <c r="F1767" i="2"/>
  <c r="E1767" i="2"/>
  <c r="D1767" i="2"/>
  <c r="C1773" i="2"/>
  <c r="G1773" i="2"/>
  <c r="F1773" i="2"/>
  <c r="E1773" i="2"/>
  <c r="D1773" i="2"/>
  <c r="C1779" i="2"/>
  <c r="G1779" i="2"/>
  <c r="F1779" i="2"/>
  <c r="E1779" i="2"/>
  <c r="D1779" i="2"/>
  <c r="C1785" i="2"/>
  <c r="G1785" i="2"/>
  <c r="F1785" i="2"/>
  <c r="E1785" i="2"/>
  <c r="D1785" i="2"/>
  <c r="C1791" i="2"/>
  <c r="G1791" i="2"/>
  <c r="F1791" i="2"/>
  <c r="E1791" i="2"/>
  <c r="D1791" i="2"/>
  <c r="C1797" i="2"/>
  <c r="G1797" i="2"/>
  <c r="F1797" i="2"/>
  <c r="D1797" i="2"/>
  <c r="E1797" i="2"/>
  <c r="C1803" i="2"/>
  <c r="G1803" i="2"/>
  <c r="F1803" i="2"/>
  <c r="E1803" i="2"/>
  <c r="D1803" i="2"/>
  <c r="C1809" i="2"/>
  <c r="G1809" i="2"/>
  <c r="F1809" i="2"/>
  <c r="E1809" i="2"/>
  <c r="D1809" i="2"/>
  <c r="C1815" i="2"/>
  <c r="G1815" i="2"/>
  <c r="F1815" i="2"/>
  <c r="D1815" i="2"/>
  <c r="E1815" i="2"/>
  <c r="C1821" i="2"/>
  <c r="G1821" i="2"/>
  <c r="F1821" i="2"/>
  <c r="E1821" i="2"/>
  <c r="D1821" i="2"/>
  <c r="C1827" i="2"/>
  <c r="G1827" i="2"/>
  <c r="F1827" i="2"/>
  <c r="E1827" i="2"/>
  <c r="D1827" i="2"/>
  <c r="C1833" i="2"/>
  <c r="G1833" i="2"/>
  <c r="F1833" i="2"/>
  <c r="E1833" i="2"/>
  <c r="D1833" i="2"/>
  <c r="C1839" i="2"/>
  <c r="G1839" i="2"/>
  <c r="F1839" i="2"/>
  <c r="E1839" i="2"/>
  <c r="D1839" i="2"/>
  <c r="C1845" i="2"/>
  <c r="G1845" i="2"/>
  <c r="F1845" i="2"/>
  <c r="E1845" i="2"/>
  <c r="D1845" i="2"/>
  <c r="C1851" i="2"/>
  <c r="G1851" i="2"/>
  <c r="F1851" i="2"/>
  <c r="E1851" i="2"/>
  <c r="C1857" i="2"/>
  <c r="G1857" i="2"/>
  <c r="F1857" i="2"/>
  <c r="E1857" i="2"/>
  <c r="C1863" i="2"/>
  <c r="G1863" i="2"/>
  <c r="F1863" i="2"/>
  <c r="E1863" i="2"/>
  <c r="C1869" i="2"/>
  <c r="G1869" i="2"/>
  <c r="F1869" i="2"/>
  <c r="E1869" i="2"/>
  <c r="C1875" i="2"/>
  <c r="G1875" i="2"/>
  <c r="F1875" i="2"/>
  <c r="E1875" i="2"/>
  <c r="C1881" i="2"/>
  <c r="G1881" i="2"/>
  <c r="F1881" i="2"/>
  <c r="E1881" i="2"/>
  <c r="C1887" i="2"/>
  <c r="G1887" i="2"/>
  <c r="F1887" i="2"/>
  <c r="E1887" i="2"/>
  <c r="C1893" i="2"/>
  <c r="G1893" i="2"/>
  <c r="F1893" i="2"/>
  <c r="E1893" i="2"/>
  <c r="C1899" i="2"/>
  <c r="G1899" i="2"/>
  <c r="F1899" i="2"/>
  <c r="E1899" i="2"/>
  <c r="C56" i="2"/>
  <c r="G56" i="2"/>
  <c r="F56" i="2"/>
  <c r="E56" i="2"/>
  <c r="C1907" i="2"/>
  <c r="G1907" i="2"/>
  <c r="F1907" i="2"/>
  <c r="E1907" i="2"/>
  <c r="C1912" i="2"/>
  <c r="G1912" i="2"/>
  <c r="F1912" i="2"/>
  <c r="E1912" i="2"/>
  <c r="C1918" i="2"/>
  <c r="G1918" i="2"/>
  <c r="F1918" i="2"/>
  <c r="E1918" i="2"/>
  <c r="C1924" i="2"/>
  <c r="G1924" i="2"/>
  <c r="F1924" i="2"/>
  <c r="E1924" i="2"/>
  <c r="C1930" i="2"/>
  <c r="G1930" i="2"/>
  <c r="F1930" i="2"/>
  <c r="E1930" i="2"/>
  <c r="C1936" i="2"/>
  <c r="G1936" i="2"/>
  <c r="F1936" i="2"/>
  <c r="E1936" i="2"/>
  <c r="C1942" i="2"/>
  <c r="G1942" i="2"/>
  <c r="F1942" i="2"/>
  <c r="E1942" i="2"/>
  <c r="C1948" i="2"/>
  <c r="G1948" i="2"/>
  <c r="F1948" i="2"/>
  <c r="E1948" i="2"/>
  <c r="C1954" i="2"/>
  <c r="G1954" i="2"/>
  <c r="F1954" i="2"/>
  <c r="E1954" i="2"/>
  <c r="C1960" i="2"/>
  <c r="G1960" i="2"/>
  <c r="F1960" i="2"/>
  <c r="E1960" i="2"/>
  <c r="C1966" i="2"/>
  <c r="G1966" i="2"/>
  <c r="F1966" i="2"/>
  <c r="E1966" i="2"/>
  <c r="C1972" i="2"/>
  <c r="G1972" i="2"/>
  <c r="F1972" i="2"/>
  <c r="E1972" i="2"/>
  <c r="C1978" i="2"/>
  <c r="G1978" i="2"/>
  <c r="F1978" i="2"/>
  <c r="E1978" i="2"/>
  <c r="C1984" i="2"/>
  <c r="G1984" i="2"/>
  <c r="F1984" i="2"/>
  <c r="E1984" i="2"/>
  <c r="C1990" i="2"/>
  <c r="G1990" i="2"/>
  <c r="F1990" i="2"/>
  <c r="E1990" i="2"/>
  <c r="C1996" i="2"/>
  <c r="G1996" i="2"/>
  <c r="F1996" i="2"/>
  <c r="E1996" i="2"/>
  <c r="C2002" i="2"/>
  <c r="G2002" i="2"/>
  <c r="F2002" i="2"/>
  <c r="E2002" i="2"/>
  <c r="C2008" i="2"/>
  <c r="G2008" i="2"/>
  <c r="F2008" i="2"/>
  <c r="E2008" i="2"/>
  <c r="C2014" i="2"/>
  <c r="G2014" i="2"/>
  <c r="F2014" i="2"/>
  <c r="E2014" i="2"/>
  <c r="C2020" i="2"/>
  <c r="G2020" i="2"/>
  <c r="F2020" i="2"/>
  <c r="E2020" i="2"/>
  <c r="C2026" i="2"/>
  <c r="G2026" i="2"/>
  <c r="F2026" i="2"/>
  <c r="E2026" i="2"/>
  <c r="C2032" i="2"/>
  <c r="G2032" i="2"/>
  <c r="F2032" i="2"/>
  <c r="E2032" i="2"/>
  <c r="C2038" i="2"/>
  <c r="G2038" i="2"/>
  <c r="F2038" i="2"/>
  <c r="E2038" i="2"/>
  <c r="C2044" i="2"/>
  <c r="G2044" i="2"/>
  <c r="F2044" i="2"/>
  <c r="E2044" i="2"/>
  <c r="C2050" i="2"/>
  <c r="G2050" i="2"/>
  <c r="F2050" i="2"/>
  <c r="E2050" i="2"/>
  <c r="C2056" i="2"/>
  <c r="G2056" i="2"/>
  <c r="F2056" i="2"/>
  <c r="E2056" i="2"/>
  <c r="C2062" i="2"/>
  <c r="G2062" i="2"/>
  <c r="F2062" i="2"/>
  <c r="E2062" i="2"/>
  <c r="C2068" i="2"/>
  <c r="G2068" i="2"/>
  <c r="F2068" i="2"/>
  <c r="E2068" i="2"/>
  <c r="C2074" i="2"/>
  <c r="G2074" i="2"/>
  <c r="F2074" i="2"/>
  <c r="E2074" i="2"/>
  <c r="C2080" i="2"/>
  <c r="G2080" i="2"/>
  <c r="F2080" i="2"/>
  <c r="E2080" i="2"/>
  <c r="C2086" i="2"/>
  <c r="G2086" i="2"/>
  <c r="F2086" i="2"/>
  <c r="E2086" i="2"/>
  <c r="C2092" i="2"/>
  <c r="G2092" i="2"/>
  <c r="F2092" i="2"/>
  <c r="E2092" i="2"/>
  <c r="C2098" i="2"/>
  <c r="G2098" i="2"/>
  <c r="F2098" i="2"/>
  <c r="E2098" i="2"/>
  <c r="C2104" i="2"/>
  <c r="G2104" i="2"/>
  <c r="F2104" i="2"/>
  <c r="E2104" i="2"/>
  <c r="C2110" i="2"/>
  <c r="G2110" i="2"/>
  <c r="F2110" i="2"/>
  <c r="E2110" i="2"/>
  <c r="C2116" i="2"/>
  <c r="G2116" i="2"/>
  <c r="F2116" i="2"/>
  <c r="E2116" i="2"/>
  <c r="C2122" i="2"/>
  <c r="G2122" i="2"/>
  <c r="F2122" i="2"/>
  <c r="E2122" i="2"/>
  <c r="C2128" i="2"/>
  <c r="G2128" i="2"/>
  <c r="E2128" i="2"/>
  <c r="F2128" i="2"/>
  <c r="C2134" i="2"/>
  <c r="G2134" i="2"/>
  <c r="F2134" i="2"/>
  <c r="E2134" i="2"/>
  <c r="C2140" i="2"/>
  <c r="G2140" i="2"/>
  <c r="F2140" i="2"/>
  <c r="E2140" i="2"/>
  <c r="C2146" i="2"/>
  <c r="G2146" i="2"/>
  <c r="F2146" i="2"/>
  <c r="E2146" i="2"/>
  <c r="C2152" i="2"/>
  <c r="G2152" i="2"/>
  <c r="F2152" i="2"/>
  <c r="E2152" i="2"/>
  <c r="C2158" i="2"/>
  <c r="G2158" i="2"/>
  <c r="F2158" i="2"/>
  <c r="E2158" i="2"/>
  <c r="C2164" i="2"/>
  <c r="G2164" i="2"/>
  <c r="F2164" i="2"/>
  <c r="E2164" i="2"/>
  <c r="C2170" i="2"/>
  <c r="G2170" i="2"/>
  <c r="F2170" i="2"/>
  <c r="E2170" i="2"/>
  <c r="C2176" i="2"/>
  <c r="G2176" i="2"/>
  <c r="F2176" i="2"/>
  <c r="E2176" i="2"/>
  <c r="C2182" i="2"/>
  <c r="G2182" i="2"/>
  <c r="F2182" i="2"/>
  <c r="E2182" i="2"/>
  <c r="C2188" i="2"/>
  <c r="G2188" i="2"/>
  <c r="F2188" i="2"/>
  <c r="E2188" i="2"/>
  <c r="C2194" i="2"/>
  <c r="G2194" i="2"/>
  <c r="F2194" i="2"/>
  <c r="E2194" i="2"/>
  <c r="C2200" i="2"/>
  <c r="G2200" i="2"/>
  <c r="F2200" i="2"/>
  <c r="E2200" i="2"/>
  <c r="C2206" i="2"/>
  <c r="G2206" i="2"/>
  <c r="F2206" i="2"/>
  <c r="E2206" i="2"/>
  <c r="C2212" i="2"/>
  <c r="G2212" i="2"/>
  <c r="F2212" i="2"/>
  <c r="E2212" i="2"/>
  <c r="C8" i="2"/>
  <c r="G8" i="2"/>
  <c r="F8" i="2"/>
  <c r="E8" i="2"/>
  <c r="D8" i="2"/>
  <c r="C50" i="2"/>
  <c r="G50" i="2"/>
  <c r="F50" i="2"/>
  <c r="E50" i="2"/>
  <c r="D50" i="2"/>
  <c r="C31" i="2"/>
  <c r="G31" i="2"/>
  <c r="F31" i="2"/>
  <c r="E31" i="2"/>
  <c r="D31" i="2"/>
  <c r="C74" i="2"/>
  <c r="G74" i="2"/>
  <c r="F74" i="2"/>
  <c r="E74" i="2"/>
  <c r="D74" i="2"/>
  <c r="C21" i="2"/>
  <c r="G21" i="2"/>
  <c r="F21" i="2"/>
  <c r="E21" i="2"/>
  <c r="D21" i="2"/>
  <c r="C80" i="2"/>
  <c r="G80" i="2"/>
  <c r="F80" i="2"/>
  <c r="E80" i="2"/>
  <c r="D80" i="2"/>
  <c r="C43" i="2"/>
  <c r="G43" i="2"/>
  <c r="E43" i="2"/>
  <c r="F43" i="2"/>
  <c r="D43" i="2"/>
  <c r="C87" i="2"/>
  <c r="G87" i="2"/>
  <c r="F87" i="2"/>
  <c r="E87" i="2"/>
  <c r="D87" i="2"/>
  <c r="C91" i="2"/>
  <c r="G91" i="2"/>
  <c r="F91" i="2"/>
  <c r="E91" i="2"/>
  <c r="D91" i="2"/>
  <c r="C39" i="2"/>
  <c r="G39" i="2"/>
  <c r="F39" i="2"/>
  <c r="E39" i="2"/>
  <c r="D39" i="2"/>
  <c r="C108" i="2"/>
  <c r="G108" i="2"/>
  <c r="F108" i="2"/>
  <c r="E108" i="2"/>
  <c r="D108" i="2"/>
  <c r="C99" i="2"/>
  <c r="G99" i="2"/>
  <c r="F99" i="2"/>
  <c r="E99" i="2"/>
  <c r="D99" i="2"/>
  <c r="C65" i="2"/>
  <c r="G65" i="2"/>
  <c r="F65" i="2"/>
  <c r="E65" i="2"/>
  <c r="D65" i="2"/>
  <c r="C106" i="2"/>
  <c r="G106" i="2"/>
  <c r="F106" i="2"/>
  <c r="D106" i="2"/>
  <c r="E106" i="2"/>
  <c r="C111" i="2"/>
  <c r="G111" i="2"/>
  <c r="F111" i="2"/>
  <c r="E111" i="2"/>
  <c r="D111" i="2"/>
  <c r="C69" i="2"/>
  <c r="G69" i="2"/>
  <c r="F69" i="2"/>
  <c r="E69" i="2"/>
  <c r="D69" i="2"/>
  <c r="C119" i="2"/>
  <c r="G119" i="2"/>
  <c r="F119" i="2"/>
  <c r="E119" i="2"/>
  <c r="D119" i="2"/>
  <c r="C123" i="2"/>
  <c r="G123" i="2"/>
  <c r="F123" i="2"/>
  <c r="E123" i="2"/>
  <c r="D123" i="2"/>
  <c r="C127" i="2"/>
  <c r="G127" i="2"/>
  <c r="F127" i="2"/>
  <c r="E127" i="2"/>
  <c r="D127" i="2"/>
  <c r="C48" i="2"/>
  <c r="G48" i="2"/>
  <c r="F48" i="2"/>
  <c r="E48" i="2"/>
  <c r="D48" i="2"/>
  <c r="C135" i="2"/>
  <c r="G135" i="2"/>
  <c r="F135" i="2"/>
  <c r="E135" i="2"/>
  <c r="D135" i="2"/>
  <c r="C141" i="2"/>
  <c r="G141" i="2"/>
  <c r="F141" i="2"/>
  <c r="E141" i="2"/>
  <c r="D141" i="2"/>
  <c r="C147" i="2"/>
  <c r="G147" i="2"/>
  <c r="F147" i="2"/>
  <c r="E147" i="2"/>
  <c r="D147" i="2"/>
  <c r="C153" i="2"/>
  <c r="G153" i="2"/>
  <c r="F153" i="2"/>
  <c r="E153" i="2"/>
  <c r="D153" i="2"/>
  <c r="C159" i="2"/>
  <c r="G159" i="2"/>
  <c r="F159" i="2"/>
  <c r="E159" i="2"/>
  <c r="D159" i="2"/>
  <c r="C165" i="2"/>
  <c r="G165" i="2"/>
  <c r="F165" i="2"/>
  <c r="E165" i="2"/>
  <c r="D165" i="2"/>
  <c r="C171" i="2"/>
  <c r="G171" i="2"/>
  <c r="F171" i="2"/>
  <c r="E171" i="2"/>
  <c r="D171" i="2"/>
  <c r="C177" i="2"/>
  <c r="G177" i="2"/>
  <c r="F177" i="2"/>
  <c r="E177" i="2"/>
  <c r="D177" i="2"/>
  <c r="C183" i="2"/>
  <c r="G183" i="2"/>
  <c r="F183" i="2"/>
  <c r="E183" i="2"/>
  <c r="D183" i="2"/>
  <c r="C189" i="2"/>
  <c r="G189" i="2"/>
  <c r="F189" i="2"/>
  <c r="E189" i="2"/>
  <c r="D189" i="2"/>
  <c r="C195" i="2"/>
  <c r="G195" i="2"/>
  <c r="F195" i="2"/>
  <c r="E195" i="2"/>
  <c r="D195" i="2"/>
  <c r="C201" i="2"/>
  <c r="G201" i="2"/>
  <c r="F201" i="2"/>
  <c r="E201" i="2"/>
  <c r="D201" i="2"/>
  <c r="C207" i="2"/>
  <c r="G207" i="2"/>
  <c r="F207" i="2"/>
  <c r="D207" i="2"/>
  <c r="E207" i="2"/>
  <c r="C213" i="2"/>
  <c r="G213" i="2"/>
  <c r="F213" i="2"/>
  <c r="E213" i="2"/>
  <c r="D213" i="2"/>
  <c r="C219" i="2"/>
  <c r="G219" i="2"/>
  <c r="F219" i="2"/>
  <c r="E219" i="2"/>
  <c r="D219" i="2"/>
  <c r="C225" i="2"/>
  <c r="G225" i="2"/>
  <c r="F225" i="2"/>
  <c r="E225" i="2"/>
  <c r="D225" i="2"/>
  <c r="C231" i="2"/>
  <c r="G231" i="2"/>
  <c r="F231" i="2"/>
  <c r="E231" i="2"/>
  <c r="D231" i="2"/>
  <c r="C237" i="2"/>
  <c r="G237" i="2"/>
  <c r="F237" i="2"/>
  <c r="E237" i="2"/>
  <c r="D237" i="2"/>
  <c r="C243" i="2"/>
  <c r="G243" i="2"/>
  <c r="F243" i="2"/>
  <c r="E243" i="2"/>
  <c r="D243" i="2"/>
  <c r="C249" i="2"/>
  <c r="G249" i="2"/>
  <c r="F249" i="2"/>
  <c r="E249" i="2"/>
  <c r="D249" i="2"/>
  <c r="C255" i="2"/>
  <c r="G255" i="2"/>
  <c r="F255" i="2"/>
  <c r="E255" i="2"/>
  <c r="D255" i="2"/>
  <c r="C261" i="2"/>
  <c r="G261" i="2"/>
  <c r="F261" i="2"/>
  <c r="E261" i="2"/>
  <c r="D261" i="2"/>
  <c r="C267" i="2"/>
  <c r="G267" i="2"/>
  <c r="F267" i="2"/>
  <c r="E267" i="2"/>
  <c r="D267" i="2"/>
  <c r="C273" i="2"/>
  <c r="G273" i="2"/>
  <c r="F273" i="2"/>
  <c r="E273" i="2"/>
  <c r="D273" i="2"/>
  <c r="C279" i="2"/>
  <c r="G279" i="2"/>
  <c r="F279" i="2"/>
  <c r="E279" i="2"/>
  <c r="D279" i="2"/>
  <c r="C284" i="2"/>
  <c r="G284" i="2"/>
  <c r="F284" i="2"/>
  <c r="E284" i="2"/>
  <c r="D284" i="2"/>
  <c r="C290" i="2"/>
  <c r="G290" i="2"/>
  <c r="F290" i="2"/>
  <c r="E290" i="2"/>
  <c r="D290" i="2"/>
  <c r="C296" i="2"/>
  <c r="G296" i="2"/>
  <c r="F296" i="2"/>
  <c r="E296" i="2"/>
  <c r="D296" i="2"/>
  <c r="C302" i="2"/>
  <c r="G302" i="2"/>
  <c r="F302" i="2"/>
  <c r="E302" i="2"/>
  <c r="D302" i="2"/>
  <c r="C308" i="2"/>
  <c r="G308" i="2"/>
  <c r="F308" i="2"/>
  <c r="E308" i="2"/>
  <c r="D308" i="2"/>
  <c r="C314" i="2"/>
  <c r="G314" i="2"/>
  <c r="F314" i="2"/>
  <c r="E314" i="2"/>
  <c r="D314" i="2"/>
  <c r="C320" i="2"/>
  <c r="G320" i="2"/>
  <c r="F320" i="2"/>
  <c r="E320" i="2"/>
  <c r="D320" i="2"/>
  <c r="C326" i="2"/>
  <c r="G326" i="2"/>
  <c r="F326" i="2"/>
  <c r="E326" i="2"/>
  <c r="D326" i="2"/>
  <c r="C332" i="2"/>
  <c r="G332" i="2"/>
  <c r="F332" i="2"/>
  <c r="E332" i="2"/>
  <c r="D332" i="2"/>
  <c r="C338" i="2"/>
  <c r="G338" i="2"/>
  <c r="F338" i="2"/>
  <c r="E338" i="2"/>
  <c r="D338" i="2"/>
  <c r="C344" i="2"/>
  <c r="G344" i="2"/>
  <c r="F344" i="2"/>
  <c r="E344" i="2"/>
  <c r="D344" i="2"/>
  <c r="C350" i="2"/>
  <c r="G350" i="2"/>
  <c r="F350" i="2"/>
  <c r="E350" i="2"/>
  <c r="D350" i="2"/>
  <c r="C356" i="2"/>
  <c r="G356" i="2"/>
  <c r="F356" i="2"/>
  <c r="E356" i="2"/>
  <c r="D356" i="2"/>
  <c r="C362" i="2"/>
  <c r="G362" i="2"/>
  <c r="F362" i="2"/>
  <c r="E362" i="2"/>
  <c r="D362" i="2"/>
  <c r="C368" i="2"/>
  <c r="G368" i="2"/>
  <c r="F368" i="2"/>
  <c r="E368" i="2"/>
  <c r="D368" i="2"/>
  <c r="C374" i="2"/>
  <c r="G374" i="2"/>
  <c r="F374" i="2"/>
  <c r="E374" i="2"/>
  <c r="D374" i="2"/>
  <c r="C380" i="2"/>
  <c r="G380" i="2"/>
  <c r="F380" i="2"/>
  <c r="E380" i="2"/>
  <c r="D380" i="2"/>
  <c r="C386" i="2"/>
  <c r="G386" i="2"/>
  <c r="F386" i="2"/>
  <c r="E386" i="2"/>
  <c r="D386" i="2"/>
  <c r="C392" i="2"/>
  <c r="G392" i="2"/>
  <c r="F392" i="2"/>
  <c r="E392" i="2"/>
  <c r="D392" i="2"/>
  <c r="C398" i="2"/>
  <c r="G398" i="2"/>
  <c r="F398" i="2"/>
  <c r="E398" i="2"/>
  <c r="D398" i="2"/>
  <c r="C404" i="2"/>
  <c r="G404" i="2"/>
  <c r="F404" i="2"/>
  <c r="E404" i="2"/>
  <c r="D404" i="2"/>
  <c r="C410" i="2"/>
  <c r="G410" i="2"/>
  <c r="F410" i="2"/>
  <c r="E410" i="2"/>
  <c r="C416" i="2"/>
  <c r="G416" i="2"/>
  <c r="F416" i="2"/>
  <c r="E416" i="2"/>
  <c r="D416" i="2"/>
  <c r="C422" i="2"/>
  <c r="G422" i="2"/>
  <c r="F422" i="2"/>
  <c r="E422" i="2"/>
  <c r="D422" i="2"/>
  <c r="C428" i="2"/>
  <c r="G428" i="2"/>
  <c r="F428" i="2"/>
  <c r="E428" i="2"/>
  <c r="C434" i="2"/>
  <c r="G434" i="2"/>
  <c r="F434" i="2"/>
  <c r="E434" i="2"/>
  <c r="D434" i="2"/>
  <c r="C440" i="2"/>
  <c r="G440" i="2"/>
  <c r="F440" i="2"/>
  <c r="E440" i="2"/>
  <c r="D440" i="2"/>
  <c r="C446" i="2"/>
  <c r="G446" i="2"/>
  <c r="F446" i="2"/>
  <c r="E446" i="2"/>
  <c r="C452" i="2"/>
  <c r="G452" i="2"/>
  <c r="F452" i="2"/>
  <c r="E452" i="2"/>
  <c r="D452" i="2"/>
  <c r="C458" i="2"/>
  <c r="G458" i="2"/>
  <c r="F458" i="2"/>
  <c r="E458" i="2"/>
  <c r="D458" i="2"/>
  <c r="C464" i="2"/>
  <c r="G464" i="2"/>
  <c r="F464" i="2"/>
  <c r="E464" i="2"/>
  <c r="C470" i="2"/>
  <c r="G470" i="2"/>
  <c r="F470" i="2"/>
  <c r="E470" i="2"/>
  <c r="D470" i="2"/>
  <c r="C476" i="2"/>
  <c r="G476" i="2"/>
  <c r="F476" i="2"/>
  <c r="E476" i="2"/>
  <c r="D476" i="2"/>
  <c r="C482" i="2"/>
  <c r="G482" i="2"/>
  <c r="F482" i="2"/>
  <c r="E482" i="2"/>
  <c r="D482" i="2"/>
  <c r="C488" i="2"/>
  <c r="G488" i="2"/>
  <c r="F488" i="2"/>
  <c r="E488" i="2"/>
  <c r="D488" i="2"/>
  <c r="C494" i="2"/>
  <c r="G494" i="2"/>
  <c r="F494" i="2"/>
  <c r="E494" i="2"/>
  <c r="C500" i="2"/>
  <c r="G500" i="2"/>
  <c r="F500" i="2"/>
  <c r="E500" i="2"/>
  <c r="D500" i="2"/>
  <c r="C506" i="2"/>
  <c r="G506" i="2"/>
  <c r="F506" i="2"/>
  <c r="E506" i="2"/>
  <c r="D506" i="2"/>
  <c r="C512" i="2"/>
  <c r="G512" i="2"/>
  <c r="F512" i="2"/>
  <c r="E512" i="2"/>
  <c r="D512" i="2"/>
  <c r="C518" i="2"/>
  <c r="G518" i="2"/>
  <c r="F518" i="2"/>
  <c r="E518" i="2"/>
  <c r="D518" i="2"/>
  <c r="C524" i="2"/>
  <c r="G524" i="2"/>
  <c r="F524" i="2"/>
  <c r="E524" i="2"/>
  <c r="D524" i="2"/>
  <c r="C530" i="2"/>
  <c r="G530" i="2"/>
  <c r="F530" i="2"/>
  <c r="E530" i="2"/>
  <c r="C536" i="2"/>
  <c r="G536" i="2"/>
  <c r="F536" i="2"/>
  <c r="E536" i="2"/>
  <c r="D536" i="2"/>
  <c r="C542" i="2"/>
  <c r="G542" i="2"/>
  <c r="F542" i="2"/>
  <c r="E542" i="2"/>
  <c r="D542" i="2"/>
  <c r="C548" i="2"/>
  <c r="G548" i="2"/>
  <c r="F548" i="2"/>
  <c r="E548" i="2"/>
  <c r="D548" i="2"/>
  <c r="C554" i="2"/>
  <c r="G554" i="2"/>
  <c r="F554" i="2"/>
  <c r="E554" i="2"/>
  <c r="D554" i="2"/>
  <c r="C560" i="2"/>
  <c r="G560" i="2"/>
  <c r="F560" i="2"/>
  <c r="E560" i="2"/>
  <c r="D560" i="2"/>
  <c r="C566" i="2"/>
  <c r="G566" i="2"/>
  <c r="F566" i="2"/>
  <c r="E566" i="2"/>
  <c r="C572" i="2"/>
  <c r="G572" i="2"/>
  <c r="F572" i="2"/>
  <c r="E572" i="2"/>
  <c r="D572" i="2"/>
  <c r="C578" i="2"/>
  <c r="G578" i="2"/>
  <c r="F578" i="2"/>
  <c r="E578" i="2"/>
  <c r="D578" i="2"/>
  <c r="C584" i="2"/>
  <c r="G584" i="2"/>
  <c r="F584" i="2"/>
  <c r="E584" i="2"/>
  <c r="D584" i="2"/>
  <c r="C590" i="2"/>
  <c r="G590" i="2"/>
  <c r="F590" i="2"/>
  <c r="D590" i="2"/>
  <c r="E590" i="2"/>
  <c r="C596" i="2"/>
  <c r="G596" i="2"/>
  <c r="F596" i="2"/>
  <c r="E596" i="2"/>
  <c r="D596" i="2"/>
  <c r="C602" i="2"/>
  <c r="G602" i="2"/>
  <c r="F602" i="2"/>
  <c r="E602" i="2"/>
  <c r="C608" i="2"/>
  <c r="G608" i="2"/>
  <c r="F608" i="2"/>
  <c r="E608" i="2"/>
  <c r="D608" i="2"/>
  <c r="C614" i="2"/>
  <c r="G614" i="2"/>
  <c r="F614" i="2"/>
  <c r="E614" i="2"/>
  <c r="D614" i="2"/>
  <c r="C620" i="2"/>
  <c r="G620" i="2"/>
  <c r="F620" i="2"/>
  <c r="E620" i="2"/>
  <c r="D620" i="2"/>
  <c r="C626" i="2"/>
  <c r="G626" i="2"/>
  <c r="F626" i="2"/>
  <c r="E626" i="2"/>
  <c r="D626" i="2"/>
  <c r="C632" i="2"/>
  <c r="G632" i="2"/>
  <c r="F632" i="2"/>
  <c r="E632" i="2"/>
  <c r="D632" i="2"/>
  <c r="C638" i="2"/>
  <c r="G638" i="2"/>
  <c r="F638" i="2"/>
  <c r="E638" i="2"/>
  <c r="C644" i="2"/>
  <c r="G644" i="2"/>
  <c r="F644" i="2"/>
  <c r="E644" i="2"/>
  <c r="D644" i="2"/>
  <c r="C650" i="2"/>
  <c r="G650" i="2"/>
  <c r="F650" i="2"/>
  <c r="E650" i="2"/>
  <c r="D650" i="2"/>
  <c r="C656" i="2"/>
  <c r="G656" i="2"/>
  <c r="F656" i="2"/>
  <c r="E656" i="2"/>
  <c r="D656" i="2"/>
  <c r="C662" i="2"/>
  <c r="G662" i="2"/>
  <c r="F662" i="2"/>
  <c r="E662" i="2"/>
  <c r="D662" i="2"/>
  <c r="C668" i="2"/>
  <c r="G668" i="2"/>
  <c r="F668" i="2"/>
  <c r="E668" i="2"/>
  <c r="D668" i="2"/>
  <c r="C674" i="2"/>
  <c r="G674" i="2"/>
  <c r="F674" i="2"/>
  <c r="E674" i="2"/>
  <c r="C680" i="2"/>
  <c r="G680" i="2"/>
  <c r="F680" i="2"/>
  <c r="E680" i="2"/>
  <c r="C686" i="2"/>
  <c r="G686" i="2"/>
  <c r="F686" i="2"/>
  <c r="E686" i="2"/>
  <c r="D686" i="2"/>
  <c r="C692" i="2"/>
  <c r="G692" i="2"/>
  <c r="F692" i="2"/>
  <c r="E692" i="2"/>
  <c r="D692" i="2"/>
  <c r="C698" i="2"/>
  <c r="G698" i="2"/>
  <c r="F698" i="2"/>
  <c r="E698" i="2"/>
  <c r="D698" i="2"/>
  <c r="C704" i="2"/>
  <c r="G704" i="2"/>
  <c r="F704" i="2"/>
  <c r="E704" i="2"/>
  <c r="D704" i="2"/>
  <c r="C710" i="2"/>
  <c r="G710" i="2"/>
  <c r="F710" i="2"/>
  <c r="E710" i="2"/>
  <c r="C716" i="2"/>
  <c r="G716" i="2"/>
  <c r="F716" i="2"/>
  <c r="E716" i="2"/>
  <c r="C722" i="2"/>
  <c r="G722" i="2"/>
  <c r="F722" i="2"/>
  <c r="E722" i="2"/>
  <c r="D722" i="2"/>
  <c r="C728" i="2"/>
  <c r="G728" i="2"/>
  <c r="F728" i="2"/>
  <c r="E728" i="2"/>
  <c r="D728" i="2"/>
  <c r="C734" i="2"/>
  <c r="G734" i="2"/>
  <c r="F734" i="2"/>
  <c r="E734" i="2"/>
  <c r="D734" i="2"/>
  <c r="C740" i="2"/>
  <c r="G740" i="2"/>
  <c r="F740" i="2"/>
  <c r="E740" i="2"/>
  <c r="D740" i="2"/>
  <c r="C746" i="2"/>
  <c r="G746" i="2"/>
  <c r="F746" i="2"/>
  <c r="E746" i="2"/>
  <c r="C752" i="2"/>
  <c r="G752" i="2"/>
  <c r="F752" i="2"/>
  <c r="E752" i="2"/>
  <c r="C758" i="2"/>
  <c r="G758" i="2"/>
  <c r="F758" i="2"/>
  <c r="E758" i="2"/>
  <c r="D758" i="2"/>
  <c r="C764" i="2"/>
  <c r="G764" i="2"/>
  <c r="F764" i="2"/>
  <c r="E764" i="2"/>
  <c r="D764" i="2"/>
  <c r="C770" i="2"/>
  <c r="G770" i="2"/>
  <c r="F770" i="2"/>
  <c r="E770" i="2"/>
  <c r="D770" i="2"/>
  <c r="C776" i="2"/>
  <c r="G776" i="2"/>
  <c r="F776" i="2"/>
  <c r="E776" i="2"/>
  <c r="D776" i="2"/>
  <c r="C782" i="2"/>
  <c r="G782" i="2"/>
  <c r="F782" i="2"/>
  <c r="C788" i="2"/>
  <c r="G788" i="2"/>
  <c r="F788" i="2"/>
  <c r="E788" i="2"/>
  <c r="C793" i="2"/>
  <c r="G793" i="2"/>
  <c r="F793" i="2"/>
  <c r="E793" i="2"/>
  <c r="D793" i="2"/>
  <c r="C799" i="2"/>
  <c r="G799" i="2"/>
  <c r="F799" i="2"/>
  <c r="E799" i="2"/>
  <c r="D799" i="2"/>
  <c r="C805" i="2"/>
  <c r="G805" i="2"/>
  <c r="F805" i="2"/>
  <c r="E805" i="2"/>
  <c r="D805" i="2"/>
  <c r="C811" i="2"/>
  <c r="G811" i="2"/>
  <c r="F811" i="2"/>
  <c r="E811" i="2"/>
  <c r="D811" i="2"/>
  <c r="C817" i="2"/>
  <c r="G817" i="2"/>
  <c r="F817" i="2"/>
  <c r="E817" i="2"/>
  <c r="C823" i="2"/>
  <c r="G823" i="2"/>
  <c r="F823" i="2"/>
  <c r="E823" i="2"/>
  <c r="C829" i="2"/>
  <c r="G829" i="2"/>
  <c r="F829" i="2"/>
  <c r="E829" i="2"/>
  <c r="D829" i="2"/>
  <c r="C835" i="2"/>
  <c r="G835" i="2"/>
  <c r="F835" i="2"/>
  <c r="E835" i="2"/>
  <c r="D835" i="2"/>
  <c r="C841" i="2"/>
  <c r="G841" i="2"/>
  <c r="F841" i="2"/>
  <c r="E841" i="2"/>
  <c r="D841" i="2"/>
  <c r="C847" i="2"/>
  <c r="G847" i="2"/>
  <c r="F847" i="2"/>
  <c r="E847" i="2"/>
  <c r="D847" i="2"/>
  <c r="C853" i="2"/>
  <c r="G853" i="2"/>
  <c r="F853" i="2"/>
  <c r="E853" i="2"/>
  <c r="C859" i="2"/>
  <c r="G859" i="2"/>
  <c r="F859" i="2"/>
  <c r="E859" i="2"/>
  <c r="C865" i="2"/>
  <c r="G865" i="2"/>
  <c r="F865" i="2"/>
  <c r="E865" i="2"/>
  <c r="D865" i="2"/>
  <c r="C871" i="2"/>
  <c r="G871" i="2"/>
  <c r="F871" i="2"/>
  <c r="E871" i="2"/>
  <c r="D871" i="2"/>
  <c r="C877" i="2"/>
  <c r="G877" i="2"/>
  <c r="F877" i="2"/>
  <c r="E877" i="2"/>
  <c r="D877" i="2"/>
  <c r="C883" i="2"/>
  <c r="G883" i="2"/>
  <c r="F883" i="2"/>
  <c r="E883" i="2"/>
  <c r="D883" i="2"/>
  <c r="C889" i="2"/>
  <c r="G889" i="2"/>
  <c r="F889" i="2"/>
  <c r="E889" i="2"/>
  <c r="C895" i="2"/>
  <c r="G895" i="2"/>
  <c r="F895" i="2"/>
  <c r="E895" i="2"/>
  <c r="C901" i="2"/>
  <c r="G901" i="2"/>
  <c r="F901" i="2"/>
  <c r="E901" i="2"/>
  <c r="D901" i="2"/>
  <c r="C907" i="2"/>
  <c r="G907" i="2"/>
  <c r="F907" i="2"/>
  <c r="E907" i="2"/>
  <c r="D907" i="2"/>
  <c r="C913" i="2"/>
  <c r="G913" i="2"/>
  <c r="F913" i="2"/>
  <c r="E913" i="2"/>
  <c r="D913" i="2"/>
  <c r="C919" i="2"/>
  <c r="G919" i="2"/>
  <c r="F919" i="2"/>
  <c r="E919" i="2"/>
  <c r="D919" i="2"/>
  <c r="C925" i="2"/>
  <c r="G925" i="2"/>
  <c r="F925" i="2"/>
  <c r="E925" i="2"/>
  <c r="C931" i="2"/>
  <c r="G931" i="2"/>
  <c r="F931" i="2"/>
  <c r="E931" i="2"/>
  <c r="C937" i="2"/>
  <c r="G937" i="2"/>
  <c r="F937" i="2"/>
  <c r="E937" i="2"/>
  <c r="D937" i="2"/>
  <c r="C943" i="2"/>
  <c r="G943" i="2"/>
  <c r="F943" i="2"/>
  <c r="E943" i="2"/>
  <c r="D943" i="2"/>
  <c r="C949" i="2"/>
  <c r="G949" i="2"/>
  <c r="F949" i="2"/>
  <c r="E949" i="2"/>
  <c r="D949" i="2"/>
  <c r="C955" i="2"/>
  <c r="G955" i="2"/>
  <c r="F955" i="2"/>
  <c r="E955" i="2"/>
  <c r="D955" i="2"/>
  <c r="C961" i="2"/>
  <c r="G961" i="2"/>
  <c r="F961" i="2"/>
  <c r="E961" i="2"/>
  <c r="C967" i="2"/>
  <c r="G967" i="2"/>
  <c r="F967" i="2"/>
  <c r="E967" i="2"/>
  <c r="C973" i="2"/>
  <c r="G973" i="2"/>
  <c r="F973" i="2"/>
  <c r="E973" i="2"/>
  <c r="D973" i="2"/>
  <c r="C979" i="2"/>
  <c r="G979" i="2"/>
  <c r="F979" i="2"/>
  <c r="E979" i="2"/>
  <c r="D979" i="2"/>
  <c r="C985" i="2"/>
  <c r="G985" i="2"/>
  <c r="F985" i="2"/>
  <c r="E985" i="2"/>
  <c r="D985" i="2"/>
  <c r="C991" i="2"/>
  <c r="G991" i="2"/>
  <c r="F991" i="2"/>
  <c r="E991" i="2"/>
  <c r="D991" i="2"/>
  <c r="C997" i="2"/>
  <c r="G997" i="2"/>
  <c r="F997" i="2"/>
  <c r="E997" i="2"/>
  <c r="C1003" i="2"/>
  <c r="G1003" i="2"/>
  <c r="F1003" i="2"/>
  <c r="E1003" i="2"/>
  <c r="C1009" i="2"/>
  <c r="G1009" i="2"/>
  <c r="F1009" i="2"/>
  <c r="E1009" i="2"/>
  <c r="D1009" i="2"/>
  <c r="C1015" i="2"/>
  <c r="G1015" i="2"/>
  <c r="F1015" i="2"/>
  <c r="E1015" i="2"/>
  <c r="D1015" i="2"/>
  <c r="C1021" i="2"/>
  <c r="G1021" i="2"/>
  <c r="F1021" i="2"/>
  <c r="E1021" i="2"/>
  <c r="D1021" i="2"/>
  <c r="C1027" i="2"/>
  <c r="G1027" i="2"/>
  <c r="F1027" i="2"/>
  <c r="E1027" i="2"/>
  <c r="D1027" i="2"/>
  <c r="C1033" i="2"/>
  <c r="G1033" i="2"/>
  <c r="F1033" i="2"/>
  <c r="E1033" i="2"/>
  <c r="C1039" i="2"/>
  <c r="G1039" i="2"/>
  <c r="F1039" i="2"/>
  <c r="E1039" i="2"/>
  <c r="C1045" i="2"/>
  <c r="G1045" i="2"/>
  <c r="F1045" i="2"/>
  <c r="E1045" i="2"/>
  <c r="D1045" i="2"/>
  <c r="C1051" i="2"/>
  <c r="G1051" i="2"/>
  <c r="F1051" i="2"/>
  <c r="E1051" i="2"/>
  <c r="D1051" i="2"/>
  <c r="C1057" i="2"/>
  <c r="G1057" i="2"/>
  <c r="F1057" i="2"/>
  <c r="E1057" i="2"/>
  <c r="D1057" i="2"/>
  <c r="C1063" i="2"/>
  <c r="G1063" i="2"/>
  <c r="F1063" i="2"/>
  <c r="E1063" i="2"/>
  <c r="D1063" i="2"/>
  <c r="C1069" i="2"/>
  <c r="G1069" i="2"/>
  <c r="F1069" i="2"/>
  <c r="E1069" i="2"/>
  <c r="C55" i="2"/>
  <c r="F55" i="2"/>
  <c r="G55" i="2"/>
  <c r="E55" i="2"/>
  <c r="C1080" i="2"/>
  <c r="G1080" i="2"/>
  <c r="F1080" i="2"/>
  <c r="E1080" i="2"/>
  <c r="D1080" i="2"/>
  <c r="C1086" i="2"/>
  <c r="G1086" i="2"/>
  <c r="F1086" i="2"/>
  <c r="E1086" i="2"/>
  <c r="D1086" i="2"/>
  <c r="C1092" i="2"/>
  <c r="G1092" i="2"/>
  <c r="F1092" i="2"/>
  <c r="E1092" i="2"/>
  <c r="D1092" i="2"/>
  <c r="C1098" i="2"/>
  <c r="G1098" i="2"/>
  <c r="F1098" i="2"/>
  <c r="E1098" i="2"/>
  <c r="D1098" i="2"/>
  <c r="C1104" i="2"/>
  <c r="G1104" i="2"/>
  <c r="F1104" i="2"/>
  <c r="E1104" i="2"/>
  <c r="C1110" i="2"/>
  <c r="G1110" i="2"/>
  <c r="F1110" i="2"/>
  <c r="E1110" i="2"/>
  <c r="C1116" i="2"/>
  <c r="G1116" i="2"/>
  <c r="F1116" i="2"/>
  <c r="E1116" i="2"/>
  <c r="D1116" i="2"/>
  <c r="C1122" i="2"/>
  <c r="G1122" i="2"/>
  <c r="F1122" i="2"/>
  <c r="E1122" i="2"/>
  <c r="D1122" i="2"/>
  <c r="C1128" i="2"/>
  <c r="G1128" i="2"/>
  <c r="F1128" i="2"/>
  <c r="E1128" i="2"/>
  <c r="D1128" i="2"/>
  <c r="C1134" i="2"/>
  <c r="G1134" i="2"/>
  <c r="F1134" i="2"/>
  <c r="E1134" i="2"/>
  <c r="D1134" i="2"/>
  <c r="C1140" i="2"/>
  <c r="G1140" i="2"/>
  <c r="F1140" i="2"/>
  <c r="E1140" i="2"/>
  <c r="C1146" i="2"/>
  <c r="G1146" i="2"/>
  <c r="F1146" i="2"/>
  <c r="E1146" i="2"/>
  <c r="C1152" i="2"/>
  <c r="G1152" i="2"/>
  <c r="E1152" i="2"/>
  <c r="F1152" i="2"/>
  <c r="D1152" i="2"/>
  <c r="C1158" i="2"/>
  <c r="G1158" i="2"/>
  <c r="F1158" i="2"/>
  <c r="E1158" i="2"/>
  <c r="D1158" i="2"/>
  <c r="C1164" i="2"/>
  <c r="G1164" i="2"/>
  <c r="F1164" i="2"/>
  <c r="E1164" i="2"/>
  <c r="D1164" i="2"/>
  <c r="C19" i="2"/>
  <c r="G19" i="2"/>
  <c r="F19" i="2"/>
  <c r="E19" i="2"/>
  <c r="D19" i="2"/>
  <c r="C1175" i="2"/>
  <c r="G1175" i="2"/>
  <c r="F1175" i="2"/>
  <c r="E1175" i="2"/>
  <c r="C1181" i="2"/>
  <c r="G1181" i="2"/>
  <c r="F1181" i="2"/>
  <c r="E1181" i="2"/>
  <c r="C1187" i="2"/>
  <c r="G1187" i="2"/>
  <c r="F1187" i="2"/>
  <c r="E1187" i="2"/>
  <c r="D1187" i="2"/>
  <c r="C1193" i="2"/>
  <c r="G1193" i="2"/>
  <c r="F1193" i="2"/>
  <c r="E1193" i="2"/>
  <c r="D1193" i="2"/>
  <c r="C1199" i="2"/>
  <c r="G1199" i="2"/>
  <c r="F1199" i="2"/>
  <c r="E1199" i="2"/>
  <c r="D1199" i="2"/>
  <c r="C1205" i="2"/>
  <c r="G1205" i="2"/>
  <c r="F1205" i="2"/>
  <c r="E1205" i="2"/>
  <c r="D1205" i="2"/>
  <c r="C1211" i="2"/>
  <c r="G1211" i="2"/>
  <c r="F1211" i="2"/>
  <c r="E1211" i="2"/>
  <c r="C1217" i="2"/>
  <c r="G1217" i="2"/>
  <c r="F1217" i="2"/>
  <c r="E1217" i="2"/>
  <c r="C1223" i="2"/>
  <c r="G1223" i="2"/>
  <c r="F1223" i="2"/>
  <c r="E1223" i="2"/>
  <c r="D1223" i="2"/>
  <c r="C1229" i="2"/>
  <c r="G1229" i="2"/>
  <c r="F1229" i="2"/>
  <c r="E1229" i="2"/>
  <c r="D1229" i="2"/>
  <c r="C1235" i="2"/>
  <c r="G1235" i="2"/>
  <c r="F1235" i="2"/>
  <c r="E1235" i="2"/>
  <c r="D1235" i="2"/>
  <c r="C1241" i="2"/>
  <c r="G1241" i="2"/>
  <c r="F1241" i="2"/>
  <c r="E1241" i="2"/>
  <c r="D1241" i="2"/>
  <c r="C1247" i="2"/>
  <c r="G1247" i="2"/>
  <c r="F1247" i="2"/>
  <c r="E1247" i="2"/>
  <c r="D1247" i="2"/>
  <c r="C1253" i="2"/>
  <c r="G1253" i="2"/>
  <c r="F1253" i="2"/>
  <c r="E1253" i="2"/>
  <c r="D1253" i="2"/>
  <c r="C1259" i="2"/>
  <c r="G1259" i="2"/>
  <c r="F1259" i="2"/>
  <c r="E1259" i="2"/>
  <c r="D1259" i="2"/>
  <c r="C1265" i="2"/>
  <c r="G1265" i="2"/>
  <c r="F1265" i="2"/>
  <c r="E1265" i="2"/>
  <c r="D1265" i="2"/>
  <c r="C1271" i="2"/>
  <c r="G1271" i="2"/>
  <c r="F1271" i="2"/>
  <c r="E1271" i="2"/>
  <c r="D1271" i="2"/>
  <c r="C1277" i="2"/>
  <c r="G1277" i="2"/>
  <c r="F1277" i="2"/>
  <c r="E1277" i="2"/>
  <c r="D1277" i="2"/>
  <c r="C1283" i="2"/>
  <c r="G1283" i="2"/>
  <c r="F1283" i="2"/>
  <c r="E1283" i="2"/>
  <c r="D1283" i="2"/>
  <c r="C1289" i="2"/>
  <c r="G1289" i="2"/>
  <c r="F1289" i="2"/>
  <c r="E1289" i="2"/>
  <c r="D1289" i="2"/>
  <c r="C1295" i="2"/>
  <c r="G1295" i="2"/>
  <c r="F1295" i="2"/>
  <c r="E1295" i="2"/>
  <c r="D1295" i="2"/>
  <c r="C1301" i="2"/>
  <c r="G1301" i="2"/>
  <c r="F1301" i="2"/>
  <c r="E1301" i="2"/>
  <c r="D1301" i="2"/>
  <c r="C1307" i="2"/>
  <c r="G1307" i="2"/>
  <c r="F1307" i="2"/>
  <c r="E1307" i="2"/>
  <c r="D1307" i="2"/>
  <c r="C1313" i="2"/>
  <c r="G1313" i="2"/>
  <c r="F1313" i="2"/>
  <c r="E1313" i="2"/>
  <c r="D1313" i="2"/>
  <c r="C1319" i="2"/>
  <c r="G1319" i="2"/>
  <c r="F1319" i="2"/>
  <c r="E1319" i="2"/>
  <c r="D1319" i="2"/>
  <c r="C1325" i="2"/>
  <c r="G1325" i="2"/>
  <c r="F1325" i="2"/>
  <c r="E1325" i="2"/>
  <c r="D1325" i="2"/>
  <c r="C1331" i="2"/>
  <c r="G1331" i="2"/>
  <c r="F1331" i="2"/>
  <c r="E1331" i="2"/>
  <c r="D1331" i="2"/>
  <c r="C1337" i="2"/>
  <c r="G1337" i="2"/>
  <c r="F1337" i="2"/>
  <c r="E1337" i="2"/>
  <c r="D1337" i="2"/>
  <c r="C1343" i="2"/>
  <c r="G1343" i="2"/>
  <c r="F1343" i="2"/>
  <c r="E1343" i="2"/>
  <c r="D1343" i="2"/>
  <c r="C1349" i="2"/>
  <c r="G1349" i="2"/>
  <c r="F1349" i="2"/>
  <c r="E1349" i="2"/>
  <c r="D1349" i="2"/>
  <c r="C1355" i="2"/>
  <c r="G1355" i="2"/>
  <c r="F1355" i="2"/>
  <c r="E1355" i="2"/>
  <c r="D1355" i="2"/>
  <c r="C1361" i="2"/>
  <c r="G1361" i="2"/>
  <c r="F1361" i="2"/>
  <c r="E1361" i="2"/>
  <c r="D1361" i="2"/>
  <c r="C1367" i="2"/>
  <c r="G1367" i="2"/>
  <c r="E1367" i="2"/>
  <c r="F1367" i="2"/>
  <c r="D1367" i="2"/>
  <c r="C1373" i="2"/>
  <c r="G1373" i="2"/>
  <c r="F1373" i="2"/>
  <c r="E1373" i="2"/>
  <c r="D1373" i="2"/>
  <c r="C1379" i="2"/>
  <c r="G1379" i="2"/>
  <c r="F1379" i="2"/>
  <c r="E1379" i="2"/>
  <c r="D1379" i="2"/>
  <c r="C1385" i="2"/>
  <c r="G1385" i="2"/>
  <c r="F1385" i="2"/>
  <c r="E1385" i="2"/>
  <c r="D1385" i="2"/>
  <c r="C1391" i="2"/>
  <c r="G1391" i="2"/>
  <c r="F1391" i="2"/>
  <c r="E1391" i="2"/>
  <c r="D1391" i="2"/>
  <c r="C1397" i="2"/>
  <c r="G1397" i="2"/>
  <c r="F1397" i="2"/>
  <c r="E1397" i="2"/>
  <c r="D1397" i="2"/>
  <c r="C1403" i="2"/>
  <c r="G1403" i="2"/>
  <c r="F1403" i="2"/>
  <c r="E1403" i="2"/>
  <c r="D1403" i="2"/>
  <c r="C1409" i="2"/>
  <c r="G1409" i="2"/>
  <c r="F1409" i="2"/>
  <c r="E1409" i="2"/>
  <c r="D1409" i="2"/>
  <c r="C1415" i="2"/>
  <c r="G1415" i="2"/>
  <c r="F1415" i="2"/>
  <c r="E1415" i="2"/>
  <c r="D1415" i="2"/>
  <c r="C1421" i="2"/>
  <c r="G1421" i="2"/>
  <c r="F1421" i="2"/>
  <c r="E1421" i="2"/>
  <c r="D1421" i="2"/>
  <c r="C1427" i="2"/>
  <c r="G1427" i="2"/>
  <c r="F1427" i="2"/>
  <c r="E1427" i="2"/>
  <c r="D1427" i="2"/>
  <c r="C1433" i="2"/>
  <c r="G1433" i="2"/>
  <c r="F1433" i="2"/>
  <c r="E1433" i="2"/>
  <c r="D1433" i="2"/>
  <c r="C1439" i="2"/>
  <c r="G1439" i="2"/>
  <c r="F1439" i="2"/>
  <c r="E1439" i="2"/>
  <c r="D1439" i="2"/>
  <c r="C1445" i="2"/>
  <c r="G1445" i="2"/>
  <c r="F1445" i="2"/>
  <c r="E1445" i="2"/>
  <c r="D1445" i="2"/>
  <c r="C1451" i="2"/>
  <c r="G1451" i="2"/>
  <c r="F1451" i="2"/>
  <c r="E1451" i="2"/>
  <c r="D1451" i="2"/>
  <c r="C1457" i="2"/>
  <c r="G1457" i="2"/>
  <c r="F1457" i="2"/>
  <c r="E1457" i="2"/>
  <c r="D1457" i="2"/>
  <c r="C1463" i="2"/>
  <c r="G1463" i="2"/>
  <c r="F1463" i="2"/>
  <c r="E1463" i="2"/>
  <c r="D1463" i="2"/>
  <c r="C1469" i="2"/>
  <c r="G1469" i="2"/>
  <c r="F1469" i="2"/>
  <c r="E1469" i="2"/>
  <c r="D1469" i="2"/>
  <c r="C1475" i="2"/>
  <c r="G1475" i="2"/>
  <c r="F1475" i="2"/>
  <c r="E1475" i="2"/>
  <c r="D1475" i="2"/>
  <c r="C1481" i="2"/>
  <c r="G1481" i="2"/>
  <c r="F1481" i="2"/>
  <c r="E1481" i="2"/>
  <c r="D1481" i="2"/>
  <c r="C1487" i="2"/>
  <c r="G1487" i="2"/>
  <c r="F1487" i="2"/>
  <c r="E1487" i="2"/>
  <c r="D1487" i="2"/>
  <c r="C1493" i="2"/>
  <c r="G1493" i="2"/>
  <c r="F1493" i="2"/>
  <c r="E1493" i="2"/>
  <c r="D1493" i="2"/>
  <c r="C1499" i="2"/>
  <c r="G1499" i="2"/>
  <c r="F1499" i="2"/>
  <c r="E1499" i="2"/>
  <c r="D1499" i="2"/>
  <c r="C1505" i="2"/>
  <c r="G1505" i="2"/>
  <c r="F1505" i="2"/>
  <c r="E1505" i="2"/>
  <c r="D1505" i="2"/>
  <c r="C1511" i="2"/>
  <c r="G1511" i="2"/>
  <c r="F1511" i="2"/>
  <c r="E1511" i="2"/>
  <c r="D1511" i="2"/>
  <c r="C1517" i="2"/>
  <c r="G1517" i="2"/>
  <c r="F1517" i="2"/>
  <c r="E1517" i="2"/>
  <c r="D1517" i="2"/>
  <c r="C1523" i="2"/>
  <c r="G1523" i="2"/>
  <c r="F1523" i="2"/>
  <c r="E1523" i="2"/>
  <c r="D1523" i="2"/>
  <c r="C1529" i="2"/>
  <c r="G1529" i="2"/>
  <c r="F1529" i="2"/>
  <c r="E1529" i="2"/>
  <c r="D1529" i="2"/>
  <c r="C1535" i="2"/>
  <c r="G1535" i="2"/>
  <c r="F1535" i="2"/>
  <c r="E1535" i="2"/>
  <c r="D1535" i="2"/>
  <c r="C1541" i="2"/>
  <c r="G1541" i="2"/>
  <c r="F1541" i="2"/>
  <c r="E1541" i="2"/>
  <c r="D1541" i="2"/>
  <c r="C1547" i="2"/>
  <c r="G1547" i="2"/>
  <c r="F1547" i="2"/>
  <c r="E1547" i="2"/>
  <c r="D1547" i="2"/>
  <c r="C1553" i="2"/>
  <c r="G1553" i="2"/>
  <c r="F1553" i="2"/>
  <c r="E1553" i="2"/>
  <c r="D1553" i="2"/>
  <c r="C1559" i="2"/>
  <c r="G1559" i="2"/>
  <c r="F1559" i="2"/>
  <c r="E1559" i="2"/>
  <c r="D1559" i="2"/>
  <c r="C1565" i="2"/>
  <c r="G1565" i="2"/>
  <c r="F1565" i="2"/>
  <c r="E1565" i="2"/>
  <c r="D1565" i="2"/>
  <c r="C1571" i="2"/>
  <c r="G1571" i="2"/>
  <c r="F1571" i="2"/>
  <c r="E1571" i="2"/>
  <c r="D1571" i="2"/>
  <c r="C1577" i="2"/>
  <c r="G1577" i="2"/>
  <c r="F1577" i="2"/>
  <c r="E1577" i="2"/>
  <c r="D1577" i="2"/>
  <c r="C1583" i="2"/>
  <c r="G1583" i="2"/>
  <c r="F1583" i="2"/>
  <c r="E1583" i="2"/>
  <c r="D1583" i="2"/>
  <c r="C1589" i="2"/>
  <c r="G1589" i="2"/>
  <c r="F1589" i="2"/>
  <c r="E1589" i="2"/>
  <c r="D1589" i="2"/>
  <c r="C1595" i="2"/>
  <c r="G1595" i="2"/>
  <c r="F1595" i="2"/>
  <c r="E1595" i="2"/>
  <c r="D1595" i="2"/>
  <c r="C1601" i="2"/>
  <c r="G1601" i="2"/>
  <c r="F1601" i="2"/>
  <c r="E1601" i="2"/>
  <c r="D1601" i="2"/>
  <c r="C1607" i="2"/>
  <c r="G1607" i="2"/>
  <c r="F1607" i="2"/>
  <c r="E1607" i="2"/>
  <c r="D1607" i="2"/>
  <c r="C1613" i="2"/>
  <c r="G1613" i="2"/>
  <c r="F1613" i="2"/>
  <c r="E1613" i="2"/>
  <c r="D1613" i="2"/>
  <c r="C1619" i="2"/>
  <c r="G1619" i="2"/>
  <c r="F1619" i="2"/>
  <c r="E1619" i="2"/>
  <c r="D1619" i="2"/>
  <c r="C1625" i="2"/>
  <c r="G1625" i="2"/>
  <c r="F1625" i="2"/>
  <c r="E1625" i="2"/>
  <c r="D1625" i="2"/>
  <c r="C1631" i="2"/>
  <c r="G1631" i="2"/>
  <c r="F1631" i="2"/>
  <c r="E1631" i="2"/>
  <c r="D1631" i="2"/>
  <c r="C1637" i="2"/>
  <c r="G1637" i="2"/>
  <c r="F1637" i="2"/>
  <c r="E1637" i="2"/>
  <c r="D1637" i="2"/>
  <c r="C1643" i="2"/>
  <c r="G1643" i="2"/>
  <c r="F1643" i="2"/>
  <c r="E1643" i="2"/>
  <c r="D1643" i="2"/>
  <c r="C1649" i="2"/>
  <c r="G1649" i="2"/>
  <c r="F1649" i="2"/>
  <c r="E1649" i="2"/>
  <c r="D1649" i="2"/>
  <c r="C1655" i="2"/>
  <c r="G1655" i="2"/>
  <c r="F1655" i="2"/>
  <c r="E1655" i="2"/>
  <c r="D1655" i="2"/>
  <c r="C1661" i="2"/>
  <c r="G1661" i="2"/>
  <c r="F1661" i="2"/>
  <c r="E1661" i="2"/>
  <c r="D1661" i="2"/>
  <c r="C1667" i="2"/>
  <c r="G1667" i="2"/>
  <c r="F1667" i="2"/>
  <c r="E1667" i="2"/>
  <c r="D1667" i="2"/>
  <c r="C1673" i="2"/>
  <c r="G1673" i="2"/>
  <c r="F1673" i="2"/>
  <c r="E1673" i="2"/>
  <c r="D1673" i="2"/>
  <c r="C1679" i="2"/>
  <c r="G1679" i="2"/>
  <c r="F1679" i="2"/>
  <c r="E1679" i="2"/>
  <c r="D1679" i="2"/>
  <c r="C1685" i="2"/>
  <c r="G1685" i="2"/>
  <c r="F1685" i="2"/>
  <c r="E1685" i="2"/>
  <c r="D1685" i="2"/>
  <c r="C1691" i="2"/>
  <c r="G1691" i="2"/>
  <c r="E1691" i="2"/>
  <c r="F1691" i="2"/>
  <c r="D1691" i="2"/>
  <c r="C1697" i="2"/>
  <c r="G1697" i="2"/>
  <c r="F1697" i="2"/>
  <c r="E1697" i="2"/>
  <c r="D1697" i="2"/>
  <c r="C1703" i="2"/>
  <c r="G1703" i="2"/>
  <c r="F1703" i="2"/>
  <c r="E1703" i="2"/>
  <c r="D1703" i="2"/>
  <c r="C1709" i="2"/>
  <c r="G1709" i="2"/>
  <c r="F1709" i="2"/>
  <c r="E1709" i="2"/>
  <c r="D1709" i="2"/>
  <c r="C1714" i="2"/>
  <c r="G1714" i="2"/>
  <c r="F1714" i="2"/>
  <c r="E1714" i="2"/>
  <c r="D1714" i="2"/>
  <c r="C1720" i="2"/>
  <c r="G1720" i="2"/>
  <c r="F1720" i="2"/>
  <c r="E1720" i="2"/>
  <c r="D1720" i="2"/>
  <c r="C1726" i="2"/>
  <c r="G1726" i="2"/>
  <c r="F1726" i="2"/>
  <c r="E1726" i="2"/>
  <c r="D1726" i="2"/>
  <c r="C1732" i="2"/>
  <c r="G1732" i="2"/>
  <c r="F1732" i="2"/>
  <c r="E1732" i="2"/>
  <c r="D1732" i="2"/>
  <c r="C1738" i="2"/>
  <c r="G1738" i="2"/>
  <c r="F1738" i="2"/>
  <c r="E1738" i="2"/>
  <c r="D1738" i="2"/>
  <c r="C1744" i="2"/>
  <c r="G1744" i="2"/>
  <c r="F1744" i="2"/>
  <c r="E1744" i="2"/>
  <c r="D1744" i="2"/>
  <c r="C1750" i="2"/>
  <c r="G1750" i="2"/>
  <c r="F1750" i="2"/>
  <c r="E1750" i="2"/>
  <c r="D1750" i="2"/>
  <c r="C1756" i="2"/>
  <c r="G1756" i="2"/>
  <c r="F1756" i="2"/>
  <c r="E1756" i="2"/>
  <c r="D1756" i="2"/>
  <c r="C1762" i="2"/>
  <c r="G1762" i="2"/>
  <c r="F1762" i="2"/>
  <c r="E1762" i="2"/>
  <c r="D1762" i="2"/>
  <c r="C1768" i="2"/>
  <c r="G1768" i="2"/>
  <c r="F1768" i="2"/>
  <c r="E1768" i="2"/>
  <c r="D1768" i="2"/>
  <c r="C1774" i="2"/>
  <c r="G1774" i="2"/>
  <c r="F1774" i="2"/>
  <c r="E1774" i="2"/>
  <c r="D1774" i="2"/>
  <c r="C1780" i="2"/>
  <c r="G1780" i="2"/>
  <c r="F1780" i="2"/>
  <c r="E1780" i="2"/>
  <c r="D1780" i="2"/>
  <c r="C1786" i="2"/>
  <c r="G1786" i="2"/>
  <c r="F1786" i="2"/>
  <c r="E1786" i="2"/>
  <c r="D1786" i="2"/>
  <c r="C1792" i="2"/>
  <c r="G1792" i="2"/>
  <c r="F1792" i="2"/>
  <c r="E1792" i="2"/>
  <c r="D1792" i="2"/>
  <c r="C1798" i="2"/>
  <c r="G1798" i="2"/>
  <c r="F1798" i="2"/>
  <c r="E1798" i="2"/>
  <c r="D1798" i="2"/>
  <c r="C1804" i="2"/>
  <c r="G1804" i="2"/>
  <c r="F1804" i="2"/>
  <c r="E1804" i="2"/>
  <c r="D1804" i="2"/>
  <c r="C1810" i="2"/>
  <c r="G1810" i="2"/>
  <c r="F1810" i="2"/>
  <c r="E1810" i="2"/>
  <c r="D1810" i="2"/>
  <c r="C1816" i="2"/>
  <c r="G1816" i="2"/>
  <c r="F1816" i="2"/>
  <c r="E1816" i="2"/>
  <c r="D1816" i="2"/>
  <c r="C1822" i="2"/>
  <c r="G1822" i="2"/>
  <c r="F1822" i="2"/>
  <c r="E1822" i="2"/>
  <c r="D1822" i="2"/>
  <c r="C1828" i="2"/>
  <c r="G1828" i="2"/>
  <c r="F1828" i="2"/>
  <c r="E1828" i="2"/>
  <c r="D1828" i="2"/>
  <c r="C1834" i="2"/>
  <c r="G1834" i="2"/>
  <c r="F1834" i="2"/>
  <c r="E1834" i="2"/>
  <c r="D1834" i="2"/>
  <c r="C1840" i="2"/>
  <c r="G1840" i="2"/>
  <c r="F1840" i="2"/>
  <c r="E1840" i="2"/>
  <c r="D1840" i="2"/>
  <c r="C1846" i="2"/>
  <c r="G1846" i="2"/>
  <c r="F1846" i="2"/>
  <c r="E1846" i="2"/>
  <c r="D1846" i="2"/>
  <c r="C1852" i="2"/>
  <c r="G1852" i="2"/>
  <c r="F1852" i="2"/>
  <c r="E1852" i="2"/>
  <c r="D1852" i="2"/>
  <c r="C1858" i="2"/>
  <c r="G1858" i="2"/>
  <c r="F1858" i="2"/>
  <c r="E1858" i="2"/>
  <c r="D1858" i="2"/>
  <c r="C1864" i="2"/>
  <c r="G1864" i="2"/>
  <c r="F1864" i="2"/>
  <c r="E1864" i="2"/>
  <c r="D1864" i="2"/>
  <c r="C1870" i="2"/>
  <c r="G1870" i="2"/>
  <c r="F1870" i="2"/>
  <c r="E1870" i="2"/>
  <c r="D1870" i="2"/>
  <c r="C1876" i="2"/>
  <c r="G1876" i="2"/>
  <c r="F1876" i="2"/>
  <c r="E1876" i="2"/>
  <c r="D1876" i="2"/>
  <c r="C1882" i="2"/>
  <c r="G1882" i="2"/>
  <c r="F1882" i="2"/>
  <c r="E1882" i="2"/>
  <c r="D1882" i="2"/>
  <c r="C1888" i="2"/>
  <c r="G1888" i="2"/>
  <c r="F1888" i="2"/>
  <c r="E1888" i="2"/>
  <c r="D1888" i="2"/>
  <c r="C1894" i="2"/>
  <c r="G1894" i="2"/>
  <c r="F1894" i="2"/>
  <c r="E1894" i="2"/>
  <c r="D1894" i="2"/>
  <c r="C1900" i="2"/>
  <c r="G1900" i="2"/>
  <c r="F1900" i="2"/>
  <c r="E1900" i="2"/>
  <c r="D1900" i="2"/>
  <c r="C67" i="2"/>
  <c r="G67" i="2"/>
  <c r="F67" i="2"/>
  <c r="E67" i="2"/>
  <c r="D67" i="2"/>
  <c r="C1908" i="2"/>
  <c r="G1908" i="2"/>
  <c r="F1908" i="2"/>
  <c r="E1908" i="2"/>
  <c r="D1908" i="2"/>
  <c r="C1913" i="2"/>
  <c r="G1913" i="2"/>
  <c r="F1913" i="2"/>
  <c r="E1913" i="2"/>
  <c r="D1913" i="2"/>
  <c r="C1919" i="2"/>
  <c r="G1919" i="2"/>
  <c r="F1919" i="2"/>
  <c r="E1919" i="2"/>
  <c r="D1919" i="2"/>
  <c r="C1925" i="2"/>
  <c r="G1925" i="2"/>
  <c r="F1925" i="2"/>
  <c r="E1925" i="2"/>
  <c r="D1925" i="2"/>
  <c r="C1931" i="2"/>
  <c r="G1931" i="2"/>
  <c r="F1931" i="2"/>
  <c r="E1931" i="2"/>
  <c r="D1931" i="2"/>
  <c r="C1937" i="2"/>
  <c r="G1937" i="2"/>
  <c r="F1937" i="2"/>
  <c r="E1937" i="2"/>
  <c r="D1937" i="2"/>
  <c r="C1943" i="2"/>
  <c r="G1943" i="2"/>
  <c r="F1943" i="2"/>
  <c r="E1943" i="2"/>
  <c r="D1943" i="2"/>
  <c r="C1949" i="2"/>
  <c r="G1949" i="2"/>
  <c r="F1949" i="2"/>
  <c r="E1949" i="2"/>
  <c r="D1949" i="2"/>
  <c r="C1955" i="2"/>
  <c r="G1955" i="2"/>
  <c r="F1955" i="2"/>
  <c r="E1955" i="2"/>
  <c r="D1955" i="2"/>
  <c r="C1961" i="2"/>
  <c r="G1961" i="2"/>
  <c r="F1961" i="2"/>
  <c r="E1961" i="2"/>
  <c r="D1961" i="2"/>
  <c r="C1967" i="2"/>
  <c r="G1967" i="2"/>
  <c r="F1967" i="2"/>
  <c r="E1967" i="2"/>
  <c r="D1967" i="2"/>
  <c r="C1973" i="2"/>
  <c r="G1973" i="2"/>
  <c r="F1973" i="2"/>
  <c r="E1973" i="2"/>
  <c r="D1973" i="2"/>
  <c r="C1979" i="2"/>
  <c r="G1979" i="2"/>
  <c r="F1979" i="2"/>
  <c r="E1979" i="2"/>
  <c r="D1979" i="2"/>
  <c r="C1985" i="2"/>
  <c r="G1985" i="2"/>
  <c r="F1985" i="2"/>
  <c r="E1985" i="2"/>
  <c r="D1985" i="2"/>
  <c r="C1991" i="2"/>
  <c r="G1991" i="2"/>
  <c r="F1991" i="2"/>
  <c r="E1991" i="2"/>
  <c r="D1991" i="2"/>
  <c r="C1997" i="2"/>
  <c r="G1997" i="2"/>
  <c r="F1997" i="2"/>
  <c r="E1997" i="2"/>
  <c r="D1997" i="2"/>
  <c r="C2003" i="2"/>
  <c r="G2003" i="2"/>
  <c r="F2003" i="2"/>
  <c r="E2003" i="2"/>
  <c r="D2003" i="2"/>
  <c r="C2009" i="2"/>
  <c r="G2009" i="2"/>
  <c r="F2009" i="2"/>
  <c r="E2009" i="2"/>
  <c r="D2009" i="2"/>
  <c r="C2015" i="2"/>
  <c r="F2015" i="2"/>
  <c r="G2015" i="2"/>
  <c r="E2015" i="2"/>
  <c r="D2015" i="2"/>
  <c r="C2021" i="2"/>
  <c r="F2021" i="2"/>
  <c r="G2021" i="2"/>
  <c r="E2021" i="2"/>
  <c r="D2021" i="2"/>
  <c r="C2027" i="2"/>
  <c r="G2027" i="2"/>
  <c r="F2027" i="2"/>
  <c r="E2027" i="2"/>
  <c r="D2027" i="2"/>
  <c r="C2033" i="2"/>
  <c r="G2033" i="2"/>
  <c r="F2033" i="2"/>
  <c r="E2033" i="2"/>
  <c r="D2033" i="2"/>
  <c r="C2039" i="2"/>
  <c r="G2039" i="2"/>
  <c r="F2039" i="2"/>
  <c r="E2039" i="2"/>
  <c r="D2039" i="2"/>
  <c r="C2045" i="2"/>
  <c r="G2045" i="2"/>
  <c r="F2045" i="2"/>
  <c r="E2045" i="2"/>
  <c r="D2045" i="2"/>
  <c r="C2051" i="2"/>
  <c r="G2051" i="2"/>
  <c r="F2051" i="2"/>
  <c r="E2051" i="2"/>
  <c r="D2051" i="2"/>
  <c r="C2057" i="2"/>
  <c r="G2057" i="2"/>
  <c r="F2057" i="2"/>
  <c r="E2057" i="2"/>
  <c r="D2057" i="2"/>
  <c r="C2063" i="2"/>
  <c r="G2063" i="2"/>
  <c r="F2063" i="2"/>
  <c r="E2063" i="2"/>
  <c r="D2063" i="2"/>
  <c r="C2069" i="2"/>
  <c r="F2069" i="2"/>
  <c r="G2069" i="2"/>
  <c r="E2069" i="2"/>
  <c r="D2069" i="2"/>
  <c r="C2075" i="2"/>
  <c r="F2075" i="2"/>
  <c r="G2075" i="2"/>
  <c r="E2075" i="2"/>
  <c r="D2075" i="2"/>
  <c r="C2081" i="2"/>
  <c r="G2081" i="2"/>
  <c r="F2081" i="2"/>
  <c r="E2081" i="2"/>
  <c r="D2081" i="2"/>
  <c r="C2087" i="2"/>
  <c r="G2087" i="2"/>
  <c r="F2087" i="2"/>
  <c r="E2087" i="2"/>
  <c r="D2087" i="2"/>
  <c r="C2093" i="2"/>
  <c r="G2093" i="2"/>
  <c r="F2093" i="2"/>
  <c r="E2093" i="2"/>
  <c r="D2093" i="2"/>
  <c r="C2099" i="2"/>
  <c r="G2099" i="2"/>
  <c r="F2099" i="2"/>
  <c r="E2099" i="2"/>
  <c r="D2099" i="2"/>
  <c r="C2105" i="2"/>
  <c r="G2105" i="2"/>
  <c r="F2105" i="2"/>
  <c r="E2105" i="2"/>
  <c r="D2105" i="2"/>
  <c r="C2111" i="2"/>
  <c r="G2111" i="2"/>
  <c r="F2111" i="2"/>
  <c r="E2111" i="2"/>
  <c r="D2111" i="2"/>
  <c r="C2117" i="2"/>
  <c r="G2117" i="2"/>
  <c r="F2117" i="2"/>
  <c r="E2117" i="2"/>
  <c r="D2117" i="2"/>
  <c r="C2123" i="2"/>
  <c r="F2123" i="2"/>
  <c r="G2123" i="2"/>
  <c r="E2123" i="2"/>
  <c r="D2123" i="2"/>
  <c r="C2129" i="2"/>
  <c r="G2129" i="2"/>
  <c r="F2129" i="2"/>
  <c r="E2129" i="2"/>
  <c r="D2129" i="2"/>
  <c r="C2135" i="2"/>
  <c r="G2135" i="2"/>
  <c r="F2135" i="2"/>
  <c r="E2135" i="2"/>
  <c r="D2135" i="2"/>
  <c r="C2141" i="2"/>
  <c r="G2141" i="2"/>
  <c r="F2141" i="2"/>
  <c r="E2141" i="2"/>
  <c r="D2141" i="2"/>
  <c r="G2147" i="2"/>
  <c r="F2147" i="2"/>
  <c r="E2147" i="2"/>
  <c r="D2147" i="2"/>
  <c r="C2147" i="2"/>
  <c r="C2153" i="2"/>
  <c r="G2153" i="2"/>
  <c r="F2153" i="2"/>
  <c r="E2153" i="2"/>
  <c r="D2153" i="2"/>
  <c r="C2159" i="2"/>
  <c r="G2159" i="2"/>
  <c r="F2159" i="2"/>
  <c r="E2159" i="2"/>
  <c r="D2159" i="2"/>
  <c r="G2165" i="2"/>
  <c r="F2165" i="2"/>
  <c r="E2165" i="2"/>
  <c r="D2165" i="2"/>
  <c r="C2165" i="2"/>
  <c r="C2171" i="2"/>
  <c r="G2171" i="2"/>
  <c r="F2171" i="2"/>
  <c r="E2171" i="2"/>
  <c r="D2171" i="2"/>
  <c r="C2177" i="2"/>
  <c r="G2177" i="2"/>
  <c r="F2177" i="2"/>
  <c r="E2177" i="2"/>
  <c r="D2177" i="2"/>
  <c r="C2183" i="2"/>
  <c r="G2183" i="2"/>
  <c r="F2183" i="2"/>
  <c r="E2183" i="2"/>
  <c r="D2183" i="2"/>
  <c r="G2189" i="2"/>
  <c r="F2189" i="2"/>
  <c r="E2189" i="2"/>
  <c r="D2189" i="2"/>
  <c r="G2195" i="2"/>
  <c r="F2195" i="2"/>
  <c r="E2195" i="2"/>
  <c r="D2195" i="2"/>
  <c r="C2201" i="2"/>
  <c r="G2201" i="2"/>
  <c r="F2201" i="2"/>
  <c r="E2201" i="2"/>
  <c r="D2201" i="2"/>
  <c r="C2207" i="2"/>
  <c r="G2207" i="2"/>
  <c r="F2207" i="2"/>
  <c r="E2207" i="2"/>
  <c r="D2207" i="2"/>
  <c r="G2213" i="2"/>
  <c r="F2213" i="2"/>
  <c r="E2213" i="2"/>
  <c r="D2213" i="2"/>
  <c r="C2213" i="2"/>
  <c r="D2200" i="2"/>
  <c r="D2182" i="2"/>
  <c r="D2164" i="2"/>
  <c r="D1217" i="2"/>
  <c r="D1174" i="2"/>
  <c r="D1110" i="2"/>
  <c r="D1068" i="2"/>
  <c r="D1003" i="2"/>
  <c r="D960" i="2"/>
  <c r="D895" i="2"/>
  <c r="D852" i="2"/>
  <c r="D788" i="2"/>
  <c r="D745" i="2"/>
  <c r="D680" i="2"/>
  <c r="D494" i="2"/>
  <c r="D446" i="2"/>
  <c r="C6" i="2"/>
  <c r="G6" i="2"/>
  <c r="F6" i="2"/>
  <c r="E6" i="2"/>
  <c r="D6" i="2"/>
  <c r="C11" i="2"/>
  <c r="G11" i="2"/>
  <c r="F11" i="2"/>
  <c r="E11" i="2"/>
  <c r="D11" i="2"/>
  <c r="C23" i="2"/>
  <c r="G23" i="2"/>
  <c r="F23" i="2"/>
  <c r="D23" i="2"/>
  <c r="C75" i="2"/>
  <c r="G75" i="2"/>
  <c r="F75" i="2"/>
  <c r="E75" i="2"/>
  <c r="D75" i="2"/>
  <c r="C78" i="2"/>
  <c r="G78" i="2"/>
  <c r="F78" i="2"/>
  <c r="E78" i="2"/>
  <c r="D78" i="2"/>
  <c r="C81" i="2"/>
  <c r="G81" i="2"/>
  <c r="F81" i="2"/>
  <c r="E81" i="2"/>
  <c r="D81" i="2"/>
  <c r="C85" i="2"/>
  <c r="G85" i="2"/>
  <c r="F85" i="2"/>
  <c r="E85" i="2"/>
  <c r="D85" i="2"/>
  <c r="C59" i="2"/>
  <c r="G59" i="2"/>
  <c r="F59" i="2"/>
  <c r="E59" i="2"/>
  <c r="D59" i="2"/>
  <c r="C25" i="2"/>
  <c r="G25" i="2"/>
  <c r="F25" i="2"/>
  <c r="E25" i="2"/>
  <c r="D25" i="2"/>
  <c r="C49" i="2"/>
  <c r="G49" i="2"/>
  <c r="F49" i="2"/>
  <c r="E49" i="2"/>
  <c r="D49" i="2"/>
  <c r="C63" i="2"/>
  <c r="G63" i="2"/>
  <c r="F63" i="2"/>
  <c r="E63" i="2"/>
  <c r="D63" i="2"/>
  <c r="C100" i="2"/>
  <c r="G100" i="2"/>
  <c r="F100" i="2"/>
  <c r="E100" i="2"/>
  <c r="D100" i="2"/>
  <c r="C61" i="2"/>
  <c r="G61" i="2"/>
  <c r="F61" i="2"/>
  <c r="E61" i="2"/>
  <c r="D61" i="2"/>
  <c r="C107" i="2"/>
  <c r="G107" i="2"/>
  <c r="E107" i="2"/>
  <c r="F107" i="2"/>
  <c r="D107" i="2"/>
  <c r="C112" i="2"/>
  <c r="G112" i="2"/>
  <c r="F112" i="2"/>
  <c r="E112" i="2"/>
  <c r="D112" i="2"/>
  <c r="C32" i="2"/>
  <c r="G32" i="2"/>
  <c r="F32" i="2"/>
  <c r="E32" i="2"/>
  <c r="D32" i="2"/>
  <c r="C30" i="2"/>
  <c r="G30" i="2"/>
  <c r="F30" i="2"/>
  <c r="E30" i="2"/>
  <c r="D30" i="2"/>
  <c r="C1905" i="2"/>
  <c r="G1905" i="2"/>
  <c r="F1905" i="2"/>
  <c r="E1905" i="2"/>
  <c r="D1905" i="2"/>
  <c r="C26" i="2"/>
  <c r="G26" i="2"/>
  <c r="F26" i="2"/>
  <c r="E26" i="2"/>
  <c r="D26" i="2"/>
  <c r="C132" i="2"/>
  <c r="G132" i="2"/>
  <c r="F132" i="2"/>
  <c r="E132" i="2"/>
  <c r="D132" i="2"/>
  <c r="C136" i="2"/>
  <c r="G136" i="2"/>
  <c r="F136" i="2"/>
  <c r="E136" i="2"/>
  <c r="D136" i="2"/>
  <c r="C142" i="2"/>
  <c r="G142" i="2"/>
  <c r="F142" i="2"/>
  <c r="E142" i="2"/>
  <c r="D142" i="2"/>
  <c r="C148" i="2"/>
  <c r="G148" i="2"/>
  <c r="F148" i="2"/>
  <c r="E148" i="2"/>
  <c r="D148" i="2"/>
  <c r="C154" i="2"/>
  <c r="G154" i="2"/>
  <c r="F154" i="2"/>
  <c r="E154" i="2"/>
  <c r="D154" i="2"/>
  <c r="C160" i="2"/>
  <c r="G160" i="2"/>
  <c r="F160" i="2"/>
  <c r="E160" i="2"/>
  <c r="D160" i="2"/>
  <c r="C166" i="2"/>
  <c r="G166" i="2"/>
  <c r="F166" i="2"/>
  <c r="E166" i="2"/>
  <c r="D166" i="2"/>
  <c r="C172" i="2"/>
  <c r="G172" i="2"/>
  <c r="F172" i="2"/>
  <c r="E172" i="2"/>
  <c r="D172" i="2"/>
  <c r="C178" i="2"/>
  <c r="G178" i="2"/>
  <c r="F178" i="2"/>
  <c r="E178" i="2"/>
  <c r="D178" i="2"/>
  <c r="C184" i="2"/>
  <c r="G184" i="2"/>
  <c r="F184" i="2"/>
  <c r="E184" i="2"/>
  <c r="D184" i="2"/>
  <c r="C190" i="2"/>
  <c r="G190" i="2"/>
  <c r="F190" i="2"/>
  <c r="E190" i="2"/>
  <c r="D190" i="2"/>
  <c r="C196" i="2"/>
  <c r="G196" i="2"/>
  <c r="F196" i="2"/>
  <c r="E196" i="2"/>
  <c r="D196" i="2"/>
  <c r="C202" i="2"/>
  <c r="G202" i="2"/>
  <c r="F202" i="2"/>
  <c r="E202" i="2"/>
  <c r="D202" i="2"/>
  <c r="C208" i="2"/>
  <c r="G208" i="2"/>
  <c r="F208" i="2"/>
  <c r="E208" i="2"/>
  <c r="D208" i="2"/>
  <c r="C214" i="2"/>
  <c r="G214" i="2"/>
  <c r="F214" i="2"/>
  <c r="E214" i="2"/>
  <c r="D214" i="2"/>
  <c r="C220" i="2"/>
  <c r="G220" i="2"/>
  <c r="F220" i="2"/>
  <c r="E220" i="2"/>
  <c r="D220" i="2"/>
  <c r="C226" i="2"/>
  <c r="G226" i="2"/>
  <c r="F226" i="2"/>
  <c r="E226" i="2"/>
  <c r="D226" i="2"/>
  <c r="C232" i="2"/>
  <c r="G232" i="2"/>
  <c r="F232" i="2"/>
  <c r="E232" i="2"/>
  <c r="D232" i="2"/>
  <c r="C238" i="2"/>
  <c r="G238" i="2"/>
  <c r="F238" i="2"/>
  <c r="E238" i="2"/>
  <c r="D238" i="2"/>
  <c r="C244" i="2"/>
  <c r="G244" i="2"/>
  <c r="F244" i="2"/>
  <c r="E244" i="2"/>
  <c r="D244" i="2"/>
  <c r="C250" i="2"/>
  <c r="G250" i="2"/>
  <c r="F250" i="2"/>
  <c r="E250" i="2"/>
  <c r="D250" i="2"/>
  <c r="C256" i="2"/>
  <c r="G256" i="2"/>
  <c r="F256" i="2"/>
  <c r="E256" i="2"/>
  <c r="D256" i="2"/>
  <c r="C262" i="2"/>
  <c r="G262" i="2"/>
  <c r="F262" i="2"/>
  <c r="E262" i="2"/>
  <c r="D262" i="2"/>
  <c r="C268" i="2"/>
  <c r="G268" i="2"/>
  <c r="F268" i="2"/>
  <c r="E268" i="2"/>
  <c r="D268" i="2"/>
  <c r="C274" i="2"/>
  <c r="G274" i="2"/>
  <c r="F274" i="2"/>
  <c r="E274" i="2"/>
  <c r="D274" i="2"/>
  <c r="C280" i="2"/>
  <c r="G280" i="2"/>
  <c r="F280" i="2"/>
  <c r="E280" i="2"/>
  <c r="D280" i="2"/>
  <c r="C285" i="2"/>
  <c r="G285" i="2"/>
  <c r="F285" i="2"/>
  <c r="E285" i="2"/>
  <c r="D285" i="2"/>
  <c r="C291" i="2"/>
  <c r="G291" i="2"/>
  <c r="F291" i="2"/>
  <c r="E291" i="2"/>
  <c r="D291" i="2"/>
  <c r="C297" i="2"/>
  <c r="G297" i="2"/>
  <c r="F297" i="2"/>
  <c r="E297" i="2"/>
  <c r="D297" i="2"/>
  <c r="C303" i="2"/>
  <c r="G303" i="2"/>
  <c r="F303" i="2"/>
  <c r="E303" i="2"/>
  <c r="D303" i="2"/>
  <c r="C309" i="2"/>
  <c r="G309" i="2"/>
  <c r="F309" i="2"/>
  <c r="E309" i="2"/>
  <c r="D309" i="2"/>
  <c r="C315" i="2"/>
  <c r="G315" i="2"/>
  <c r="F315" i="2"/>
  <c r="E315" i="2"/>
  <c r="D315" i="2"/>
  <c r="C321" i="2"/>
  <c r="G321" i="2"/>
  <c r="F321" i="2"/>
  <c r="E321" i="2"/>
  <c r="D321" i="2"/>
  <c r="C327" i="2"/>
  <c r="G327" i="2"/>
  <c r="F327" i="2"/>
  <c r="E327" i="2"/>
  <c r="D327" i="2"/>
  <c r="C333" i="2"/>
  <c r="G333" i="2"/>
  <c r="F333" i="2"/>
  <c r="E333" i="2"/>
  <c r="D333" i="2"/>
  <c r="C339" i="2"/>
  <c r="G339" i="2"/>
  <c r="F339" i="2"/>
  <c r="E339" i="2"/>
  <c r="D339" i="2"/>
  <c r="C345" i="2"/>
  <c r="G345" i="2"/>
  <c r="F345" i="2"/>
  <c r="E345" i="2"/>
  <c r="D345" i="2"/>
  <c r="C369" i="2"/>
  <c r="G369" i="2"/>
  <c r="F369" i="2"/>
  <c r="E369" i="2"/>
  <c r="D369" i="2"/>
  <c r="C399" i="2"/>
  <c r="G399" i="2"/>
  <c r="F399" i="2"/>
  <c r="E399" i="2"/>
  <c r="D399" i="2"/>
  <c r="C513" i="2"/>
  <c r="G513" i="2"/>
  <c r="F513" i="2"/>
  <c r="E513" i="2"/>
  <c r="D513" i="2"/>
  <c r="D2152" i="2"/>
  <c r="D2140" i="2"/>
  <c r="D2128" i="2"/>
  <c r="D2116" i="2"/>
  <c r="D2104" i="2"/>
  <c r="D2092" i="2"/>
  <c r="D2080" i="2"/>
  <c r="D2068" i="2"/>
  <c r="D2056" i="2"/>
  <c r="D2044" i="2"/>
  <c r="D2032" i="2"/>
  <c r="D2020" i="2"/>
  <c r="D2008" i="2"/>
  <c r="D1996" i="2"/>
  <c r="D1984" i="2"/>
  <c r="D1972" i="2"/>
  <c r="D1960" i="2"/>
  <c r="D1948" i="2"/>
  <c r="D1936" i="2"/>
  <c r="D1924" i="2"/>
  <c r="D1912" i="2"/>
  <c r="D56" i="2"/>
  <c r="D1893" i="2"/>
  <c r="D1881" i="2"/>
  <c r="D1869" i="2"/>
  <c r="D1857" i="2"/>
  <c r="D1211" i="2"/>
  <c r="D1169" i="2"/>
  <c r="D1104" i="2"/>
  <c r="D1062" i="2"/>
  <c r="D997" i="2"/>
  <c r="D954" i="2"/>
  <c r="D889" i="2"/>
  <c r="D846" i="2"/>
  <c r="D782" i="2"/>
  <c r="D739" i="2"/>
  <c r="D674" i="2"/>
  <c r="D530" i="2"/>
  <c r="D487" i="2"/>
  <c r="C351" i="2"/>
  <c r="G351" i="2"/>
  <c r="F351" i="2"/>
  <c r="D351" i="2"/>
  <c r="E351" i="2"/>
  <c r="C357" i="2"/>
  <c r="G357" i="2"/>
  <c r="F357" i="2"/>
  <c r="E357" i="2"/>
  <c r="D357" i="2"/>
  <c r="C363" i="2"/>
  <c r="G363" i="2"/>
  <c r="F363" i="2"/>
  <c r="E363" i="2"/>
  <c r="D363" i="2"/>
  <c r="C375" i="2"/>
  <c r="G375" i="2"/>
  <c r="F375" i="2"/>
  <c r="E375" i="2"/>
  <c r="D375" i="2"/>
  <c r="C381" i="2"/>
  <c r="G381" i="2"/>
  <c r="F381" i="2"/>
  <c r="E381" i="2"/>
  <c r="D381" i="2"/>
  <c r="C387" i="2"/>
  <c r="G387" i="2"/>
  <c r="F387" i="2"/>
  <c r="E387" i="2"/>
  <c r="D387" i="2"/>
  <c r="C393" i="2"/>
  <c r="G393" i="2"/>
  <c r="F393" i="2"/>
  <c r="E393" i="2"/>
  <c r="D393" i="2"/>
  <c r="C405" i="2"/>
  <c r="G405" i="2"/>
  <c r="F405" i="2"/>
  <c r="E405" i="2"/>
  <c r="D405" i="2"/>
  <c r="C411" i="2"/>
  <c r="G411" i="2"/>
  <c r="F411" i="2"/>
  <c r="E411" i="2"/>
  <c r="D411" i="2"/>
  <c r="C417" i="2"/>
  <c r="G417" i="2"/>
  <c r="F417" i="2"/>
  <c r="E417" i="2"/>
  <c r="D417" i="2"/>
  <c r="C423" i="2"/>
  <c r="G423" i="2"/>
  <c r="F423" i="2"/>
  <c r="E423" i="2"/>
  <c r="D423" i="2"/>
  <c r="C429" i="2"/>
  <c r="G429" i="2"/>
  <c r="F429" i="2"/>
  <c r="E429" i="2"/>
  <c r="D429" i="2"/>
  <c r="C435" i="2"/>
  <c r="G435" i="2"/>
  <c r="F435" i="2"/>
  <c r="E435" i="2"/>
  <c r="D435" i="2"/>
  <c r="C441" i="2"/>
  <c r="G441" i="2"/>
  <c r="F441" i="2"/>
  <c r="E441" i="2"/>
  <c r="D441" i="2"/>
  <c r="C447" i="2"/>
  <c r="G447" i="2"/>
  <c r="F447" i="2"/>
  <c r="E447" i="2"/>
  <c r="D447" i="2"/>
  <c r="C453" i="2"/>
  <c r="G453" i="2"/>
  <c r="F453" i="2"/>
  <c r="E453" i="2"/>
  <c r="D453" i="2"/>
  <c r="C459" i="2"/>
  <c r="G459" i="2"/>
  <c r="F459" i="2"/>
  <c r="E459" i="2"/>
  <c r="D459" i="2"/>
  <c r="C465" i="2"/>
  <c r="G465" i="2"/>
  <c r="F465" i="2"/>
  <c r="E465" i="2"/>
  <c r="D465" i="2"/>
  <c r="C471" i="2"/>
  <c r="G471" i="2"/>
  <c r="F471" i="2"/>
  <c r="E471" i="2"/>
  <c r="D471" i="2"/>
  <c r="C477" i="2"/>
  <c r="G477" i="2"/>
  <c r="F477" i="2"/>
  <c r="E477" i="2"/>
  <c r="D477" i="2"/>
  <c r="C483" i="2"/>
  <c r="G483" i="2"/>
  <c r="F483" i="2"/>
  <c r="E483" i="2"/>
  <c r="D483" i="2"/>
  <c r="C489" i="2"/>
  <c r="G489" i="2"/>
  <c r="F489" i="2"/>
  <c r="E489" i="2"/>
  <c r="D489" i="2"/>
  <c r="C495" i="2"/>
  <c r="G495" i="2"/>
  <c r="F495" i="2"/>
  <c r="E495" i="2"/>
  <c r="D495" i="2"/>
  <c r="C501" i="2"/>
  <c r="G501" i="2"/>
  <c r="F501" i="2"/>
  <c r="E501" i="2"/>
  <c r="D501" i="2"/>
  <c r="C507" i="2"/>
  <c r="G507" i="2"/>
  <c r="F507" i="2"/>
  <c r="E507" i="2"/>
  <c r="D507" i="2"/>
  <c r="C519" i="2"/>
  <c r="G519" i="2"/>
  <c r="F519" i="2"/>
  <c r="E519" i="2"/>
  <c r="D519" i="2"/>
  <c r="C525" i="2"/>
  <c r="G525" i="2"/>
  <c r="F525" i="2"/>
  <c r="D525" i="2"/>
  <c r="E525" i="2"/>
  <c r="C531" i="2"/>
  <c r="G531" i="2"/>
  <c r="F531" i="2"/>
  <c r="E531" i="2"/>
  <c r="D531" i="2"/>
  <c r="C537" i="2"/>
  <c r="G537" i="2"/>
  <c r="F537" i="2"/>
  <c r="E537" i="2"/>
  <c r="D537" i="2"/>
  <c r="C543" i="2"/>
  <c r="G543" i="2"/>
  <c r="F543" i="2"/>
  <c r="E543" i="2"/>
  <c r="D543" i="2"/>
  <c r="C549" i="2"/>
  <c r="G549" i="2"/>
  <c r="F549" i="2"/>
  <c r="E549" i="2"/>
  <c r="D549" i="2"/>
  <c r="C555" i="2"/>
  <c r="G555" i="2"/>
  <c r="F555" i="2"/>
  <c r="E555" i="2"/>
  <c r="D555" i="2"/>
  <c r="C561" i="2"/>
  <c r="G561" i="2"/>
  <c r="F561" i="2"/>
  <c r="E561" i="2"/>
  <c r="D561" i="2"/>
  <c r="C567" i="2"/>
  <c r="G567" i="2"/>
  <c r="F567" i="2"/>
  <c r="E567" i="2"/>
  <c r="D567" i="2"/>
  <c r="C573" i="2"/>
  <c r="G573" i="2"/>
  <c r="E573" i="2"/>
  <c r="F573" i="2"/>
  <c r="D573" i="2"/>
  <c r="C579" i="2"/>
  <c r="G579" i="2"/>
  <c r="F579" i="2"/>
  <c r="E579" i="2"/>
  <c r="D579" i="2"/>
  <c r="C585" i="2"/>
  <c r="G585" i="2"/>
  <c r="F585" i="2"/>
  <c r="E585" i="2"/>
  <c r="D585" i="2"/>
  <c r="C591" i="2"/>
  <c r="G591" i="2"/>
  <c r="F591" i="2"/>
  <c r="E591" i="2"/>
  <c r="D591" i="2"/>
  <c r="C597" i="2"/>
  <c r="G597" i="2"/>
  <c r="F597" i="2"/>
  <c r="E597" i="2"/>
  <c r="D597" i="2"/>
  <c r="C603" i="2"/>
  <c r="G603" i="2"/>
  <c r="F603" i="2"/>
  <c r="E603" i="2"/>
  <c r="D603" i="2"/>
  <c r="C609" i="2"/>
  <c r="G609" i="2"/>
  <c r="F609" i="2"/>
  <c r="E609" i="2"/>
  <c r="D609" i="2"/>
  <c r="C615" i="2"/>
  <c r="G615" i="2"/>
  <c r="F615" i="2"/>
  <c r="E615" i="2"/>
  <c r="D615" i="2"/>
  <c r="C621" i="2"/>
  <c r="G621" i="2"/>
  <c r="F621" i="2"/>
  <c r="E621" i="2"/>
  <c r="D621" i="2"/>
  <c r="C627" i="2"/>
  <c r="G627" i="2"/>
  <c r="F627" i="2"/>
  <c r="E627" i="2"/>
  <c r="D627" i="2"/>
  <c r="C633" i="2"/>
  <c r="G633" i="2"/>
  <c r="F633" i="2"/>
  <c r="E633" i="2"/>
  <c r="D633" i="2"/>
  <c r="C639" i="2"/>
  <c r="G639" i="2"/>
  <c r="F639" i="2"/>
  <c r="E639" i="2"/>
  <c r="D639" i="2"/>
  <c r="C645" i="2"/>
  <c r="G645" i="2"/>
  <c r="F645" i="2"/>
  <c r="E645" i="2"/>
  <c r="D645" i="2"/>
  <c r="C651" i="2"/>
  <c r="G651" i="2"/>
  <c r="F651" i="2"/>
  <c r="E651" i="2"/>
  <c r="D651" i="2"/>
  <c r="C657" i="2"/>
  <c r="G657" i="2"/>
  <c r="E657" i="2"/>
  <c r="F657" i="2"/>
  <c r="D657" i="2"/>
  <c r="C663" i="2"/>
  <c r="G663" i="2"/>
  <c r="F663" i="2"/>
  <c r="E663" i="2"/>
  <c r="D663" i="2"/>
  <c r="C669" i="2"/>
  <c r="G669" i="2"/>
  <c r="F669" i="2"/>
  <c r="E669" i="2"/>
  <c r="D669" i="2"/>
  <c r="C675" i="2"/>
  <c r="G675" i="2"/>
  <c r="F675" i="2"/>
  <c r="E675" i="2"/>
  <c r="D675" i="2"/>
  <c r="C681" i="2"/>
  <c r="G681" i="2"/>
  <c r="F681" i="2"/>
  <c r="E681" i="2"/>
  <c r="D681" i="2"/>
  <c r="C687" i="2"/>
  <c r="G687" i="2"/>
  <c r="F687" i="2"/>
  <c r="E687" i="2"/>
  <c r="D687" i="2"/>
  <c r="C693" i="2"/>
  <c r="G693" i="2"/>
  <c r="F693" i="2"/>
  <c r="E693" i="2"/>
  <c r="D693" i="2"/>
  <c r="C699" i="2"/>
  <c r="G699" i="2"/>
  <c r="F699" i="2"/>
  <c r="E699" i="2"/>
  <c r="D699" i="2"/>
  <c r="C705" i="2"/>
  <c r="G705" i="2"/>
  <c r="F705" i="2"/>
  <c r="E705" i="2"/>
  <c r="D705" i="2"/>
  <c r="C711" i="2"/>
  <c r="G711" i="2"/>
  <c r="F711" i="2"/>
  <c r="E711" i="2"/>
  <c r="D711" i="2"/>
  <c r="C717" i="2"/>
  <c r="G717" i="2"/>
  <c r="F717" i="2"/>
  <c r="D717" i="2"/>
  <c r="E717" i="2"/>
  <c r="C723" i="2"/>
  <c r="G723" i="2"/>
  <c r="F723" i="2"/>
  <c r="E723" i="2"/>
  <c r="D723" i="2"/>
  <c r="C729" i="2"/>
  <c r="G729" i="2"/>
  <c r="F729" i="2"/>
  <c r="E729" i="2"/>
  <c r="D729" i="2"/>
  <c r="C735" i="2"/>
  <c r="G735" i="2"/>
  <c r="F735" i="2"/>
  <c r="E735" i="2"/>
  <c r="D735" i="2"/>
  <c r="C741" i="2"/>
  <c r="G741" i="2"/>
  <c r="F741" i="2"/>
  <c r="E741" i="2"/>
  <c r="D741" i="2"/>
  <c r="C747" i="2"/>
  <c r="G747" i="2"/>
  <c r="F747" i="2"/>
  <c r="E747" i="2"/>
  <c r="D747" i="2"/>
  <c r="C753" i="2"/>
  <c r="G753" i="2"/>
  <c r="F753" i="2"/>
  <c r="E753" i="2"/>
  <c r="D753" i="2"/>
  <c r="C759" i="2"/>
  <c r="G759" i="2"/>
  <c r="F759" i="2"/>
  <c r="E759" i="2"/>
  <c r="D759" i="2"/>
  <c r="C765" i="2"/>
  <c r="G765" i="2"/>
  <c r="F765" i="2"/>
  <c r="E765" i="2"/>
  <c r="D765" i="2"/>
  <c r="C771" i="2"/>
  <c r="G771" i="2"/>
  <c r="F771" i="2"/>
  <c r="E771" i="2"/>
  <c r="D771" i="2"/>
  <c r="C777" i="2"/>
  <c r="G777" i="2"/>
  <c r="F777" i="2"/>
  <c r="E777" i="2"/>
  <c r="D777" i="2"/>
  <c r="C783" i="2"/>
  <c r="G783" i="2"/>
  <c r="F783" i="2"/>
  <c r="E783" i="2"/>
  <c r="D783" i="2"/>
  <c r="C64" i="2"/>
  <c r="G64" i="2"/>
  <c r="F64" i="2"/>
  <c r="E64" i="2"/>
  <c r="D64" i="2"/>
  <c r="C794" i="2"/>
  <c r="G794" i="2"/>
  <c r="F794" i="2"/>
  <c r="E794" i="2"/>
  <c r="D794" i="2"/>
  <c r="C800" i="2"/>
  <c r="G800" i="2"/>
  <c r="F800" i="2"/>
  <c r="E800" i="2"/>
  <c r="D800" i="2"/>
  <c r="C806" i="2"/>
  <c r="G806" i="2"/>
  <c r="F806" i="2"/>
  <c r="E806" i="2"/>
  <c r="D806" i="2"/>
  <c r="C812" i="2"/>
  <c r="G812" i="2"/>
  <c r="F812" i="2"/>
  <c r="E812" i="2"/>
  <c r="D812" i="2"/>
  <c r="C818" i="2"/>
  <c r="F818" i="2"/>
  <c r="G818" i="2"/>
  <c r="E818" i="2"/>
  <c r="D818" i="2"/>
  <c r="C824" i="2"/>
  <c r="G824" i="2"/>
  <c r="F824" i="2"/>
  <c r="E824" i="2"/>
  <c r="D824" i="2"/>
  <c r="C830" i="2"/>
  <c r="G830" i="2"/>
  <c r="E830" i="2"/>
  <c r="F830" i="2"/>
  <c r="D830" i="2"/>
  <c r="C836" i="2"/>
  <c r="G836" i="2"/>
  <c r="F836" i="2"/>
  <c r="E836" i="2"/>
  <c r="D836" i="2"/>
  <c r="C842" i="2"/>
  <c r="G842" i="2"/>
  <c r="F842" i="2"/>
  <c r="E842" i="2"/>
  <c r="D842" i="2"/>
  <c r="C848" i="2"/>
  <c r="G848" i="2"/>
  <c r="F848" i="2"/>
  <c r="E848" i="2"/>
  <c r="D848" i="2"/>
  <c r="C854" i="2"/>
  <c r="G854" i="2"/>
  <c r="F854" i="2"/>
  <c r="E854" i="2"/>
  <c r="D854" i="2"/>
  <c r="C860" i="2"/>
  <c r="G860" i="2"/>
  <c r="F860" i="2"/>
  <c r="E860" i="2"/>
  <c r="D860" i="2"/>
  <c r="C866" i="2"/>
  <c r="G866" i="2"/>
  <c r="F866" i="2"/>
  <c r="E866" i="2"/>
  <c r="D866" i="2"/>
  <c r="C872" i="2"/>
  <c r="G872" i="2"/>
  <c r="E872" i="2"/>
  <c r="F872" i="2"/>
  <c r="D872" i="2"/>
  <c r="C878" i="2"/>
  <c r="G878" i="2"/>
  <c r="F878" i="2"/>
  <c r="E878" i="2"/>
  <c r="D878" i="2"/>
  <c r="C884" i="2"/>
  <c r="G884" i="2"/>
  <c r="F884" i="2"/>
  <c r="E884" i="2"/>
  <c r="D884" i="2"/>
  <c r="C890" i="2"/>
  <c r="G890" i="2"/>
  <c r="F890" i="2"/>
  <c r="E890" i="2"/>
  <c r="D890" i="2"/>
  <c r="C896" i="2"/>
  <c r="G896" i="2"/>
  <c r="F896" i="2"/>
  <c r="E896" i="2"/>
  <c r="D896" i="2"/>
  <c r="C902" i="2"/>
  <c r="G902" i="2"/>
  <c r="F902" i="2"/>
  <c r="E902" i="2"/>
  <c r="D902" i="2"/>
  <c r="C908" i="2"/>
  <c r="G908" i="2"/>
  <c r="F908" i="2"/>
  <c r="E908" i="2"/>
  <c r="D908" i="2"/>
  <c r="C914" i="2"/>
  <c r="G914" i="2"/>
  <c r="F914" i="2"/>
  <c r="E914" i="2"/>
  <c r="D914" i="2"/>
  <c r="C920" i="2"/>
  <c r="G920" i="2"/>
  <c r="F920" i="2"/>
  <c r="E920" i="2"/>
  <c r="D920" i="2"/>
  <c r="C926" i="2"/>
  <c r="G926" i="2"/>
  <c r="F926" i="2"/>
  <c r="E926" i="2"/>
  <c r="D926" i="2"/>
  <c r="C932" i="2"/>
  <c r="G932" i="2"/>
  <c r="F932" i="2"/>
  <c r="E932" i="2"/>
  <c r="D932" i="2"/>
  <c r="C938" i="2"/>
  <c r="G938" i="2"/>
  <c r="F938" i="2"/>
  <c r="E938" i="2"/>
  <c r="D938" i="2"/>
  <c r="C944" i="2"/>
  <c r="G944" i="2"/>
  <c r="F944" i="2"/>
  <c r="E944" i="2"/>
  <c r="D944" i="2"/>
  <c r="C950" i="2"/>
  <c r="G950" i="2"/>
  <c r="F950" i="2"/>
  <c r="E950" i="2"/>
  <c r="D950" i="2"/>
  <c r="C956" i="2"/>
  <c r="G956" i="2"/>
  <c r="F956" i="2"/>
  <c r="E956" i="2"/>
  <c r="D956" i="2"/>
  <c r="C962" i="2"/>
  <c r="G962" i="2"/>
  <c r="F962" i="2"/>
  <c r="E962" i="2"/>
  <c r="D962" i="2"/>
  <c r="C968" i="2"/>
  <c r="G968" i="2"/>
  <c r="F968" i="2"/>
  <c r="E968" i="2"/>
  <c r="D968" i="2"/>
  <c r="C974" i="2"/>
  <c r="G974" i="2"/>
  <c r="F974" i="2"/>
  <c r="E974" i="2"/>
  <c r="D974" i="2"/>
  <c r="C980" i="2"/>
  <c r="G980" i="2"/>
  <c r="F980" i="2"/>
  <c r="E980" i="2"/>
  <c r="D980" i="2"/>
  <c r="C986" i="2"/>
  <c r="G986" i="2"/>
  <c r="F986" i="2"/>
  <c r="E986" i="2"/>
  <c r="D986" i="2"/>
  <c r="C992" i="2"/>
  <c r="G992" i="2"/>
  <c r="F992" i="2"/>
  <c r="E992" i="2"/>
  <c r="D992" i="2"/>
  <c r="C998" i="2"/>
  <c r="G998" i="2"/>
  <c r="F998" i="2"/>
  <c r="E998" i="2"/>
  <c r="D998" i="2"/>
  <c r="C1004" i="2"/>
  <c r="G1004" i="2"/>
  <c r="F1004" i="2"/>
  <c r="E1004" i="2"/>
  <c r="D1004" i="2"/>
  <c r="C1010" i="2"/>
  <c r="G1010" i="2"/>
  <c r="F1010" i="2"/>
  <c r="E1010" i="2"/>
  <c r="D1010" i="2"/>
  <c r="C1016" i="2"/>
  <c r="G1016" i="2"/>
  <c r="F1016" i="2"/>
  <c r="E1016" i="2"/>
  <c r="D1016" i="2"/>
  <c r="C1022" i="2"/>
  <c r="G1022" i="2"/>
  <c r="F1022" i="2"/>
  <c r="E1022" i="2"/>
  <c r="D1022" i="2"/>
  <c r="C1028" i="2"/>
  <c r="G1028" i="2"/>
  <c r="F1028" i="2"/>
  <c r="E1028" i="2"/>
  <c r="D1028" i="2"/>
  <c r="C1034" i="2"/>
  <c r="G1034" i="2"/>
  <c r="E1034" i="2"/>
  <c r="F1034" i="2"/>
  <c r="D1034" i="2"/>
  <c r="C1040" i="2"/>
  <c r="G1040" i="2"/>
  <c r="F1040" i="2"/>
  <c r="E1040" i="2"/>
  <c r="D1040" i="2"/>
  <c r="C1046" i="2"/>
  <c r="G1046" i="2"/>
  <c r="F1046" i="2"/>
  <c r="E1046" i="2"/>
  <c r="D1046" i="2"/>
  <c r="C1052" i="2"/>
  <c r="G1052" i="2"/>
  <c r="F1052" i="2"/>
  <c r="E1052" i="2"/>
  <c r="D1052" i="2"/>
  <c r="C1058" i="2"/>
  <c r="G1058" i="2"/>
  <c r="F1058" i="2"/>
  <c r="E1058" i="2"/>
  <c r="D1058" i="2"/>
  <c r="C1064" i="2"/>
  <c r="G1064" i="2"/>
  <c r="F1064" i="2"/>
  <c r="E1064" i="2"/>
  <c r="D1064" i="2"/>
  <c r="C1070" i="2"/>
  <c r="G1070" i="2"/>
  <c r="F1070" i="2"/>
  <c r="E1070" i="2"/>
  <c r="D1070" i="2"/>
  <c r="C1075" i="2"/>
  <c r="G1075" i="2"/>
  <c r="F1075" i="2"/>
  <c r="E1075" i="2"/>
  <c r="D1075" i="2"/>
  <c r="C1081" i="2"/>
  <c r="G1081" i="2"/>
  <c r="F1081" i="2"/>
  <c r="E1081" i="2"/>
  <c r="D1081" i="2"/>
  <c r="C1087" i="2"/>
  <c r="G1087" i="2"/>
  <c r="F1087" i="2"/>
  <c r="E1087" i="2"/>
  <c r="D1087" i="2"/>
  <c r="C1093" i="2"/>
  <c r="G1093" i="2"/>
  <c r="F1093" i="2"/>
  <c r="E1093" i="2"/>
  <c r="D1093" i="2"/>
  <c r="C1099" i="2"/>
  <c r="G1099" i="2"/>
  <c r="F1099" i="2"/>
  <c r="E1099" i="2"/>
  <c r="D1099" i="2"/>
  <c r="C1105" i="2"/>
  <c r="G1105" i="2"/>
  <c r="F1105" i="2"/>
  <c r="E1105" i="2"/>
  <c r="D1105" i="2"/>
  <c r="C1111" i="2"/>
  <c r="G1111" i="2"/>
  <c r="F1111" i="2"/>
  <c r="E1111" i="2"/>
  <c r="D1111" i="2"/>
  <c r="C1117" i="2"/>
  <c r="G1117" i="2"/>
  <c r="F1117" i="2"/>
  <c r="E1117" i="2"/>
  <c r="D1117" i="2"/>
  <c r="C1123" i="2"/>
  <c r="G1123" i="2"/>
  <c r="F1123" i="2"/>
  <c r="E1123" i="2"/>
  <c r="D1123" i="2"/>
  <c r="C1129" i="2"/>
  <c r="G1129" i="2"/>
  <c r="F1129" i="2"/>
  <c r="E1129" i="2"/>
  <c r="D1129" i="2"/>
  <c r="C1135" i="2"/>
  <c r="G1135" i="2"/>
  <c r="F1135" i="2"/>
  <c r="E1135" i="2"/>
  <c r="D1135" i="2"/>
  <c r="C1141" i="2"/>
  <c r="G1141" i="2"/>
  <c r="F1141" i="2"/>
  <c r="E1141" i="2"/>
  <c r="D1141" i="2"/>
  <c r="C1147" i="2"/>
  <c r="G1147" i="2"/>
  <c r="F1147" i="2"/>
  <c r="E1147" i="2"/>
  <c r="D1147" i="2"/>
  <c r="C1153" i="2"/>
  <c r="G1153" i="2"/>
  <c r="F1153" i="2"/>
  <c r="E1153" i="2"/>
  <c r="D1153" i="2"/>
  <c r="C1159" i="2"/>
  <c r="G1159" i="2"/>
  <c r="F1159" i="2"/>
  <c r="E1159" i="2"/>
  <c r="D1159" i="2"/>
  <c r="C1165" i="2"/>
  <c r="G1165" i="2"/>
  <c r="F1165" i="2"/>
  <c r="E1165" i="2"/>
  <c r="D1165" i="2"/>
  <c r="C1170" i="2"/>
  <c r="G1170" i="2"/>
  <c r="F1170" i="2"/>
  <c r="E1170" i="2"/>
  <c r="D1170" i="2"/>
  <c r="C1176" i="2"/>
  <c r="G1176" i="2"/>
  <c r="F1176" i="2"/>
  <c r="E1176" i="2"/>
  <c r="D1176" i="2"/>
  <c r="C1182" i="2"/>
  <c r="G1182" i="2"/>
  <c r="F1182" i="2"/>
  <c r="E1182" i="2"/>
  <c r="D1182" i="2"/>
  <c r="C1188" i="2"/>
  <c r="G1188" i="2"/>
  <c r="F1188" i="2"/>
  <c r="E1188" i="2"/>
  <c r="D1188" i="2"/>
  <c r="C1194" i="2"/>
  <c r="G1194" i="2"/>
  <c r="F1194" i="2"/>
  <c r="E1194" i="2"/>
  <c r="D1194" i="2"/>
  <c r="C1200" i="2"/>
  <c r="G1200" i="2"/>
  <c r="F1200" i="2"/>
  <c r="E1200" i="2"/>
  <c r="D1200" i="2"/>
  <c r="C1206" i="2"/>
  <c r="G1206" i="2"/>
  <c r="F1206" i="2"/>
  <c r="E1206" i="2"/>
  <c r="D1206" i="2"/>
  <c r="C1212" i="2"/>
  <c r="G1212" i="2"/>
  <c r="F1212" i="2"/>
  <c r="E1212" i="2"/>
  <c r="D1212" i="2"/>
  <c r="C1218" i="2"/>
  <c r="G1218" i="2"/>
  <c r="F1218" i="2"/>
  <c r="E1218" i="2"/>
  <c r="D1218" i="2"/>
  <c r="C1224" i="2"/>
  <c r="G1224" i="2"/>
  <c r="F1224" i="2"/>
  <c r="E1224" i="2"/>
  <c r="D1224" i="2"/>
  <c r="C1230" i="2"/>
  <c r="G1230" i="2"/>
  <c r="F1230" i="2"/>
  <c r="E1230" i="2"/>
  <c r="D1230" i="2"/>
  <c r="C1236" i="2"/>
  <c r="G1236" i="2"/>
  <c r="F1236" i="2"/>
  <c r="E1236" i="2"/>
  <c r="D1236" i="2"/>
  <c r="C1242" i="2"/>
  <c r="G1242" i="2"/>
  <c r="F1242" i="2"/>
  <c r="E1242" i="2"/>
  <c r="D1242" i="2"/>
  <c r="C1248" i="2"/>
  <c r="G1248" i="2"/>
  <c r="F1248" i="2"/>
  <c r="E1248" i="2"/>
  <c r="D1248" i="2"/>
  <c r="C1254" i="2"/>
  <c r="G1254" i="2"/>
  <c r="F1254" i="2"/>
  <c r="E1254" i="2"/>
  <c r="D1254" i="2"/>
  <c r="C1260" i="2"/>
  <c r="G1260" i="2"/>
  <c r="F1260" i="2"/>
  <c r="E1260" i="2"/>
  <c r="D1260" i="2"/>
  <c r="C1266" i="2"/>
  <c r="G1266" i="2"/>
  <c r="F1266" i="2"/>
  <c r="E1266" i="2"/>
  <c r="D1266" i="2"/>
  <c r="C1272" i="2"/>
  <c r="G1272" i="2"/>
  <c r="F1272" i="2"/>
  <c r="E1272" i="2"/>
  <c r="D1272" i="2"/>
  <c r="C1278" i="2"/>
  <c r="G1278" i="2"/>
  <c r="F1278" i="2"/>
  <c r="E1278" i="2"/>
  <c r="D1278" i="2"/>
  <c r="C1284" i="2"/>
  <c r="G1284" i="2"/>
  <c r="F1284" i="2"/>
  <c r="E1284" i="2"/>
  <c r="D1284" i="2"/>
  <c r="C1290" i="2"/>
  <c r="G1290" i="2"/>
  <c r="F1290" i="2"/>
  <c r="E1290" i="2"/>
  <c r="D1290" i="2"/>
  <c r="C1296" i="2"/>
  <c r="G1296" i="2"/>
  <c r="F1296" i="2"/>
  <c r="E1296" i="2"/>
  <c r="D1296" i="2"/>
  <c r="C1302" i="2"/>
  <c r="G1302" i="2"/>
  <c r="F1302" i="2"/>
  <c r="E1302" i="2"/>
  <c r="D1302" i="2"/>
  <c r="C1308" i="2"/>
  <c r="G1308" i="2"/>
  <c r="F1308" i="2"/>
  <c r="E1308" i="2"/>
  <c r="D1308" i="2"/>
  <c r="C1314" i="2"/>
  <c r="G1314" i="2"/>
  <c r="F1314" i="2"/>
  <c r="E1314" i="2"/>
  <c r="D1314" i="2"/>
  <c r="C1320" i="2"/>
  <c r="G1320" i="2"/>
  <c r="F1320" i="2"/>
  <c r="E1320" i="2"/>
  <c r="D1320" i="2"/>
  <c r="C1326" i="2"/>
  <c r="G1326" i="2"/>
  <c r="F1326" i="2"/>
  <c r="E1326" i="2"/>
  <c r="D1326" i="2"/>
  <c r="C1332" i="2"/>
  <c r="G1332" i="2"/>
  <c r="F1332" i="2"/>
  <c r="E1332" i="2"/>
  <c r="D1332" i="2"/>
  <c r="C1338" i="2"/>
  <c r="G1338" i="2"/>
  <c r="F1338" i="2"/>
  <c r="E1338" i="2"/>
  <c r="D1338" i="2"/>
  <c r="C1344" i="2"/>
  <c r="G1344" i="2"/>
  <c r="F1344" i="2"/>
  <c r="E1344" i="2"/>
  <c r="D1344" i="2"/>
  <c r="C1350" i="2"/>
  <c r="G1350" i="2"/>
  <c r="F1350" i="2"/>
  <c r="E1350" i="2"/>
  <c r="D1350" i="2"/>
  <c r="C1356" i="2"/>
  <c r="G1356" i="2"/>
  <c r="F1356" i="2"/>
  <c r="E1356" i="2"/>
  <c r="D1356" i="2"/>
  <c r="C1362" i="2"/>
  <c r="G1362" i="2"/>
  <c r="F1362" i="2"/>
  <c r="E1362" i="2"/>
  <c r="D1362" i="2"/>
  <c r="C1368" i="2"/>
  <c r="G1368" i="2"/>
  <c r="F1368" i="2"/>
  <c r="E1368" i="2"/>
  <c r="D1368" i="2"/>
  <c r="C1374" i="2"/>
  <c r="G1374" i="2"/>
  <c r="F1374" i="2"/>
  <c r="E1374" i="2"/>
  <c r="D1374" i="2"/>
  <c r="C1380" i="2"/>
  <c r="G1380" i="2"/>
  <c r="F1380" i="2"/>
  <c r="E1380" i="2"/>
  <c r="D1380" i="2"/>
  <c r="C1386" i="2"/>
  <c r="G1386" i="2"/>
  <c r="F1386" i="2"/>
  <c r="E1386" i="2"/>
  <c r="D1386" i="2"/>
  <c r="C1392" i="2"/>
  <c r="G1392" i="2"/>
  <c r="F1392" i="2"/>
  <c r="D1392" i="2"/>
  <c r="E1392" i="2"/>
  <c r="C1398" i="2"/>
  <c r="G1398" i="2"/>
  <c r="F1398" i="2"/>
  <c r="E1398" i="2"/>
  <c r="D1398" i="2"/>
  <c r="C1404" i="2"/>
  <c r="G1404" i="2"/>
  <c r="F1404" i="2"/>
  <c r="D1404" i="2"/>
  <c r="C1410" i="2"/>
  <c r="G1410" i="2"/>
  <c r="F1410" i="2"/>
  <c r="E1410" i="2"/>
  <c r="D1410" i="2"/>
  <c r="C1416" i="2"/>
  <c r="G1416" i="2"/>
  <c r="F1416" i="2"/>
  <c r="E1416" i="2"/>
  <c r="D1416" i="2"/>
  <c r="C1422" i="2"/>
  <c r="G1422" i="2"/>
  <c r="F1422" i="2"/>
  <c r="E1422" i="2"/>
  <c r="D1422" i="2"/>
  <c r="C1428" i="2"/>
  <c r="G1428" i="2"/>
  <c r="F1428" i="2"/>
  <c r="E1428" i="2"/>
  <c r="D1428" i="2"/>
  <c r="C1434" i="2"/>
  <c r="G1434" i="2"/>
  <c r="F1434" i="2"/>
  <c r="E1434" i="2"/>
  <c r="D1434" i="2"/>
  <c r="C1440" i="2"/>
  <c r="F1440" i="2"/>
  <c r="G1440" i="2"/>
  <c r="E1440" i="2"/>
  <c r="D1440" i="2"/>
  <c r="C1446" i="2"/>
  <c r="G1446" i="2"/>
  <c r="F1446" i="2"/>
  <c r="E1446" i="2"/>
  <c r="D1446" i="2"/>
  <c r="C1452" i="2"/>
  <c r="G1452" i="2"/>
  <c r="F1452" i="2"/>
  <c r="D1452" i="2"/>
  <c r="E1452" i="2"/>
  <c r="C1458" i="2"/>
  <c r="G1458" i="2"/>
  <c r="F1458" i="2"/>
  <c r="E1458" i="2"/>
  <c r="D1458" i="2"/>
  <c r="C1464" i="2"/>
  <c r="G1464" i="2"/>
  <c r="F1464" i="2"/>
  <c r="D1464" i="2"/>
  <c r="E1464" i="2"/>
  <c r="C1470" i="2"/>
  <c r="G1470" i="2"/>
  <c r="F1470" i="2"/>
  <c r="E1470" i="2"/>
  <c r="D1470" i="2"/>
  <c r="C1476" i="2"/>
  <c r="G1476" i="2"/>
  <c r="F1476" i="2"/>
  <c r="D1476" i="2"/>
  <c r="C1482" i="2"/>
  <c r="G1482" i="2"/>
  <c r="F1482" i="2"/>
  <c r="E1482" i="2"/>
  <c r="D1482" i="2"/>
  <c r="C1488" i="2"/>
  <c r="G1488" i="2"/>
  <c r="F1488" i="2"/>
  <c r="E1488" i="2"/>
  <c r="D1488" i="2"/>
  <c r="C1494" i="2"/>
  <c r="G1494" i="2"/>
  <c r="F1494" i="2"/>
  <c r="E1494" i="2"/>
  <c r="D1494" i="2"/>
  <c r="C1500" i="2"/>
  <c r="G1500" i="2"/>
  <c r="F1500" i="2"/>
  <c r="E1500" i="2"/>
  <c r="D1500" i="2"/>
  <c r="C1506" i="2"/>
  <c r="G1506" i="2"/>
  <c r="F1506" i="2"/>
  <c r="E1506" i="2"/>
  <c r="D1506" i="2"/>
  <c r="C1512" i="2"/>
  <c r="G1512" i="2"/>
  <c r="F1512" i="2"/>
  <c r="E1512" i="2"/>
  <c r="D1512" i="2"/>
  <c r="C1518" i="2"/>
  <c r="G1518" i="2"/>
  <c r="F1518" i="2"/>
  <c r="E1518" i="2"/>
  <c r="D1518" i="2"/>
  <c r="C1524" i="2"/>
  <c r="G1524" i="2"/>
  <c r="F1524" i="2"/>
  <c r="D1524" i="2"/>
  <c r="E1524" i="2"/>
  <c r="C1530" i="2"/>
  <c r="G1530" i="2"/>
  <c r="F1530" i="2"/>
  <c r="E1530" i="2"/>
  <c r="D1530" i="2"/>
  <c r="C1536" i="2"/>
  <c r="G1536" i="2"/>
  <c r="F1536" i="2"/>
  <c r="D1536" i="2"/>
  <c r="E1536" i="2"/>
  <c r="C1542" i="2"/>
  <c r="G1542" i="2"/>
  <c r="F1542" i="2"/>
  <c r="E1542" i="2"/>
  <c r="D1542" i="2"/>
  <c r="C1548" i="2"/>
  <c r="F1548" i="2"/>
  <c r="G1548" i="2"/>
  <c r="D1548" i="2"/>
  <c r="C1554" i="2"/>
  <c r="G1554" i="2"/>
  <c r="F1554" i="2"/>
  <c r="E1554" i="2"/>
  <c r="D1554" i="2"/>
  <c r="C1560" i="2"/>
  <c r="G1560" i="2"/>
  <c r="F1560" i="2"/>
  <c r="E1560" i="2"/>
  <c r="D1560" i="2"/>
  <c r="C1566" i="2"/>
  <c r="G1566" i="2"/>
  <c r="F1566" i="2"/>
  <c r="E1566" i="2"/>
  <c r="D1566" i="2"/>
  <c r="C1572" i="2"/>
  <c r="G1572" i="2"/>
  <c r="F1572" i="2"/>
  <c r="E1572" i="2"/>
  <c r="D1572" i="2"/>
  <c r="C1578" i="2"/>
  <c r="G1578" i="2"/>
  <c r="F1578" i="2"/>
  <c r="E1578" i="2"/>
  <c r="D1578" i="2"/>
  <c r="C1584" i="2"/>
  <c r="G1584" i="2"/>
  <c r="F1584" i="2"/>
  <c r="E1584" i="2"/>
  <c r="D1584" i="2"/>
  <c r="C1590" i="2"/>
  <c r="G1590" i="2"/>
  <c r="F1590" i="2"/>
  <c r="D1590" i="2"/>
  <c r="E1590" i="2"/>
  <c r="C1596" i="2"/>
  <c r="G1596" i="2"/>
  <c r="F1596" i="2"/>
  <c r="E1596" i="2"/>
  <c r="D1596" i="2"/>
  <c r="C1602" i="2"/>
  <c r="F1602" i="2"/>
  <c r="G1602" i="2"/>
  <c r="E1602" i="2"/>
  <c r="D1602" i="2"/>
  <c r="C1608" i="2"/>
  <c r="G1608" i="2"/>
  <c r="F1608" i="2"/>
  <c r="D1608" i="2"/>
  <c r="C1614" i="2"/>
  <c r="G1614" i="2"/>
  <c r="F1614" i="2"/>
  <c r="E1614" i="2"/>
  <c r="D1614" i="2"/>
  <c r="C1620" i="2"/>
  <c r="G1620" i="2"/>
  <c r="F1620" i="2"/>
  <c r="E1620" i="2"/>
  <c r="D1620" i="2"/>
  <c r="C1626" i="2"/>
  <c r="G1626" i="2"/>
  <c r="F1626" i="2"/>
  <c r="E1626" i="2"/>
  <c r="D1626" i="2"/>
  <c r="C1632" i="2"/>
  <c r="G1632" i="2"/>
  <c r="F1632" i="2"/>
  <c r="E1632" i="2"/>
  <c r="D1632" i="2"/>
  <c r="C1638" i="2"/>
  <c r="G1638" i="2"/>
  <c r="F1638" i="2"/>
  <c r="E1638" i="2"/>
  <c r="D1638" i="2"/>
  <c r="C1644" i="2"/>
  <c r="G1644" i="2"/>
  <c r="F1644" i="2"/>
  <c r="D1644" i="2"/>
  <c r="E1644" i="2"/>
  <c r="C1650" i="2"/>
  <c r="G1650" i="2"/>
  <c r="F1650" i="2"/>
  <c r="E1650" i="2"/>
  <c r="D1650" i="2"/>
  <c r="C1656" i="2"/>
  <c r="G1656" i="2"/>
  <c r="F1656" i="2"/>
  <c r="E1656" i="2"/>
  <c r="D1656" i="2"/>
  <c r="C1662" i="2"/>
  <c r="G1662" i="2"/>
  <c r="F1662" i="2"/>
  <c r="D1662" i="2"/>
  <c r="C1668" i="2"/>
  <c r="G1668" i="2"/>
  <c r="F1668" i="2"/>
  <c r="E1668" i="2"/>
  <c r="D1668" i="2"/>
  <c r="C1674" i="2"/>
  <c r="F1674" i="2"/>
  <c r="G1674" i="2"/>
  <c r="E1674" i="2"/>
  <c r="D1674" i="2"/>
  <c r="C1680" i="2"/>
  <c r="G1680" i="2"/>
  <c r="F1680" i="2"/>
  <c r="E1680" i="2"/>
  <c r="D1680" i="2"/>
  <c r="C1686" i="2"/>
  <c r="G1686" i="2"/>
  <c r="F1686" i="2"/>
  <c r="E1686" i="2"/>
  <c r="D1686" i="2"/>
  <c r="C1692" i="2"/>
  <c r="G1692" i="2"/>
  <c r="F1692" i="2"/>
  <c r="E1692" i="2"/>
  <c r="D1692" i="2"/>
  <c r="C1698" i="2"/>
  <c r="G1698" i="2"/>
  <c r="F1698" i="2"/>
  <c r="D1698" i="2"/>
  <c r="E1698" i="2"/>
  <c r="C1704" i="2"/>
  <c r="G1704" i="2"/>
  <c r="F1704" i="2"/>
  <c r="E1704" i="2"/>
  <c r="D1704" i="2"/>
  <c r="C70" i="2"/>
  <c r="G70" i="2"/>
  <c r="F70" i="2"/>
  <c r="E70" i="2"/>
  <c r="D70" i="2"/>
  <c r="C1715" i="2"/>
  <c r="G1715" i="2"/>
  <c r="F1715" i="2"/>
  <c r="D1715" i="2"/>
  <c r="C1721" i="2"/>
  <c r="G1721" i="2"/>
  <c r="F1721" i="2"/>
  <c r="E1721" i="2"/>
  <c r="D1721" i="2"/>
  <c r="C1727" i="2"/>
  <c r="G1727" i="2"/>
  <c r="F1727" i="2"/>
  <c r="E1727" i="2"/>
  <c r="D1727" i="2"/>
  <c r="C1733" i="2"/>
  <c r="G1733" i="2"/>
  <c r="F1733" i="2"/>
  <c r="E1733" i="2"/>
  <c r="D1733" i="2"/>
  <c r="C1739" i="2"/>
  <c r="G1739" i="2"/>
  <c r="F1739" i="2"/>
  <c r="E1739" i="2"/>
  <c r="D1739" i="2"/>
  <c r="C1745" i="2"/>
  <c r="G1745" i="2"/>
  <c r="F1745" i="2"/>
  <c r="E1745" i="2"/>
  <c r="D1745" i="2"/>
  <c r="C1751" i="2"/>
  <c r="G1751" i="2"/>
  <c r="F1751" i="2"/>
  <c r="D1751" i="2"/>
  <c r="E1751" i="2"/>
  <c r="C1757" i="2"/>
  <c r="G1757" i="2"/>
  <c r="F1757" i="2"/>
  <c r="E1757" i="2"/>
  <c r="D1757" i="2"/>
  <c r="C1763" i="2"/>
  <c r="G1763" i="2"/>
  <c r="F1763" i="2"/>
  <c r="E1763" i="2"/>
  <c r="D1763" i="2"/>
  <c r="C1769" i="2"/>
  <c r="G1769" i="2"/>
  <c r="F1769" i="2"/>
  <c r="D1769" i="2"/>
  <c r="C1775" i="2"/>
  <c r="G1775" i="2"/>
  <c r="F1775" i="2"/>
  <c r="E1775" i="2"/>
  <c r="D1775" i="2"/>
  <c r="C1781" i="2"/>
  <c r="G1781" i="2"/>
  <c r="F1781" i="2"/>
  <c r="E1781" i="2"/>
  <c r="D1781" i="2"/>
  <c r="C1787" i="2"/>
  <c r="G1787" i="2"/>
  <c r="F1787" i="2"/>
  <c r="E1787" i="2"/>
  <c r="D1787" i="2"/>
  <c r="C1793" i="2"/>
  <c r="G1793" i="2"/>
  <c r="F1793" i="2"/>
  <c r="E1793" i="2"/>
  <c r="D1793" i="2"/>
  <c r="C1799" i="2"/>
  <c r="G1799" i="2"/>
  <c r="F1799" i="2"/>
  <c r="E1799" i="2"/>
  <c r="D1799" i="2"/>
  <c r="C1805" i="2"/>
  <c r="G1805" i="2"/>
  <c r="F1805" i="2"/>
  <c r="D1805" i="2"/>
  <c r="E1805" i="2"/>
  <c r="C1811" i="2"/>
  <c r="G1811" i="2"/>
  <c r="F1811" i="2"/>
  <c r="E1811" i="2"/>
  <c r="D1811" i="2"/>
  <c r="C1817" i="2"/>
  <c r="G1817" i="2"/>
  <c r="E1817" i="2"/>
  <c r="F1817" i="2"/>
  <c r="D1817" i="2"/>
  <c r="C1823" i="2"/>
  <c r="F1823" i="2"/>
  <c r="G1823" i="2"/>
  <c r="D1823" i="2"/>
  <c r="C1829" i="2"/>
  <c r="G1829" i="2"/>
  <c r="F1829" i="2"/>
  <c r="E1829" i="2"/>
  <c r="D1829" i="2"/>
  <c r="C1835" i="2"/>
  <c r="G1835" i="2"/>
  <c r="F1835" i="2"/>
  <c r="E1835" i="2"/>
  <c r="D1835" i="2"/>
  <c r="C1841" i="2"/>
  <c r="G1841" i="2"/>
  <c r="F1841" i="2"/>
  <c r="E1841" i="2"/>
  <c r="D1841" i="2"/>
  <c r="C1847" i="2"/>
  <c r="G1847" i="2"/>
  <c r="F1847" i="2"/>
  <c r="E1847" i="2"/>
  <c r="D1847" i="2"/>
  <c r="C5" i="2"/>
  <c r="G5" i="2"/>
  <c r="F5" i="2"/>
  <c r="E5" i="2"/>
  <c r="D5" i="2"/>
  <c r="C10" i="2"/>
  <c r="G10" i="2"/>
  <c r="F10" i="2"/>
  <c r="E10" i="2"/>
  <c r="D10" i="2"/>
  <c r="C58" i="2"/>
  <c r="G58" i="2"/>
  <c r="F58" i="2"/>
  <c r="E58" i="2"/>
  <c r="D58" i="2"/>
  <c r="C76" i="2"/>
  <c r="G76" i="2"/>
  <c r="F76" i="2"/>
  <c r="E76" i="2"/>
  <c r="D76" i="2"/>
  <c r="C79" i="2"/>
  <c r="G79" i="2"/>
  <c r="F79" i="2"/>
  <c r="E79" i="2"/>
  <c r="D79" i="2"/>
  <c r="C33" i="2"/>
  <c r="G33" i="2"/>
  <c r="F33" i="2"/>
  <c r="E33" i="2"/>
  <c r="D33" i="2"/>
  <c r="C44" i="2"/>
  <c r="G44" i="2"/>
  <c r="F44" i="2"/>
  <c r="E44" i="2"/>
  <c r="D44" i="2"/>
  <c r="C88" i="2"/>
  <c r="G88" i="2"/>
  <c r="F88" i="2"/>
  <c r="E88" i="2"/>
  <c r="D88" i="2"/>
  <c r="C92" i="2"/>
  <c r="G92" i="2"/>
  <c r="F92" i="2"/>
  <c r="E92" i="2"/>
  <c r="D92" i="2"/>
  <c r="C94" i="2"/>
  <c r="G94" i="2"/>
  <c r="F94" i="2"/>
  <c r="E94" i="2"/>
  <c r="D94" i="2"/>
  <c r="C96" i="2"/>
  <c r="G96" i="2"/>
  <c r="F96" i="2"/>
  <c r="E96" i="2"/>
  <c r="D96" i="2"/>
  <c r="C101" i="2"/>
  <c r="G101" i="2"/>
  <c r="F101" i="2"/>
  <c r="E101" i="2"/>
  <c r="D101" i="2"/>
  <c r="C103" i="2"/>
  <c r="G103" i="2"/>
  <c r="E103" i="2"/>
  <c r="F103" i="2"/>
  <c r="C47" i="2"/>
  <c r="G47" i="2"/>
  <c r="F47" i="2"/>
  <c r="E47" i="2"/>
  <c r="D47" i="2"/>
  <c r="C113" i="2"/>
  <c r="G113" i="2"/>
  <c r="F113" i="2"/>
  <c r="E113" i="2"/>
  <c r="D113" i="2"/>
  <c r="C116" i="2"/>
  <c r="G116" i="2"/>
  <c r="F116" i="2"/>
  <c r="E116" i="2"/>
  <c r="D116" i="2"/>
  <c r="C120" i="2"/>
  <c r="G120" i="2"/>
  <c r="F120" i="2"/>
  <c r="E120" i="2"/>
  <c r="D120" i="2"/>
  <c r="C38" i="2"/>
  <c r="G38" i="2"/>
  <c r="F38" i="2"/>
  <c r="E38" i="2"/>
  <c r="D38" i="2"/>
  <c r="C128" i="2"/>
  <c r="G128" i="2"/>
  <c r="F128" i="2"/>
  <c r="E128" i="2"/>
  <c r="C133" i="2"/>
  <c r="G133" i="2"/>
  <c r="F133" i="2"/>
  <c r="E133" i="2"/>
  <c r="D133" i="2"/>
  <c r="C137" i="2"/>
  <c r="G137" i="2"/>
  <c r="E137" i="2"/>
  <c r="F137" i="2"/>
  <c r="D137" i="2"/>
  <c r="C143" i="2"/>
  <c r="G143" i="2"/>
  <c r="F143" i="2"/>
  <c r="E143" i="2"/>
  <c r="D143" i="2"/>
  <c r="C149" i="2"/>
  <c r="G149" i="2"/>
  <c r="F149" i="2"/>
  <c r="E149" i="2"/>
  <c r="D149" i="2"/>
  <c r="C155" i="2"/>
  <c r="G155" i="2"/>
  <c r="F155" i="2"/>
  <c r="E155" i="2"/>
  <c r="D155" i="2"/>
  <c r="C161" i="2"/>
  <c r="G161" i="2"/>
  <c r="F161" i="2"/>
  <c r="E161" i="2"/>
  <c r="C167" i="2"/>
  <c r="G167" i="2"/>
  <c r="F167" i="2"/>
  <c r="E167" i="2"/>
  <c r="D167" i="2"/>
  <c r="C173" i="2"/>
  <c r="G173" i="2"/>
  <c r="F173" i="2"/>
  <c r="E173" i="2"/>
  <c r="D173" i="2"/>
  <c r="C179" i="2"/>
  <c r="G179" i="2"/>
  <c r="F179" i="2"/>
  <c r="E179" i="2"/>
  <c r="D179" i="2"/>
  <c r="C185" i="2"/>
  <c r="G185" i="2"/>
  <c r="F185" i="2"/>
  <c r="E185" i="2"/>
  <c r="D185" i="2"/>
  <c r="C191" i="2"/>
  <c r="G191" i="2"/>
  <c r="F191" i="2"/>
  <c r="E191" i="2"/>
  <c r="D191" i="2"/>
  <c r="C197" i="2"/>
  <c r="G197" i="2"/>
  <c r="F197" i="2"/>
  <c r="E197" i="2"/>
  <c r="C203" i="2"/>
  <c r="G203" i="2"/>
  <c r="F203" i="2"/>
  <c r="E203" i="2"/>
  <c r="D203" i="2"/>
  <c r="C209" i="2"/>
  <c r="G209" i="2"/>
  <c r="F209" i="2"/>
  <c r="E209" i="2"/>
  <c r="D209" i="2"/>
  <c r="C215" i="2"/>
  <c r="G215" i="2"/>
  <c r="F215" i="2"/>
  <c r="E215" i="2"/>
  <c r="D215" i="2"/>
  <c r="C221" i="2"/>
  <c r="G221" i="2"/>
  <c r="F221" i="2"/>
  <c r="E221" i="2"/>
  <c r="C227" i="2"/>
  <c r="G227" i="2"/>
  <c r="F227" i="2"/>
  <c r="E227" i="2"/>
  <c r="D227" i="2"/>
  <c r="C233" i="2"/>
  <c r="G233" i="2"/>
  <c r="F233" i="2"/>
  <c r="E233" i="2"/>
  <c r="D233" i="2"/>
  <c r="C239" i="2"/>
  <c r="G239" i="2"/>
  <c r="F239" i="2"/>
  <c r="E239" i="2"/>
  <c r="C245" i="2"/>
  <c r="G245" i="2"/>
  <c r="F245" i="2"/>
  <c r="E245" i="2"/>
  <c r="D245" i="2"/>
  <c r="C251" i="2"/>
  <c r="G251" i="2"/>
  <c r="F251" i="2"/>
  <c r="E251" i="2"/>
  <c r="D251" i="2"/>
  <c r="C257" i="2"/>
  <c r="G257" i="2"/>
  <c r="F257" i="2"/>
  <c r="E257" i="2"/>
  <c r="C263" i="2"/>
  <c r="G263" i="2"/>
  <c r="F263" i="2"/>
  <c r="E263" i="2"/>
  <c r="D263" i="2"/>
  <c r="C269" i="2"/>
  <c r="G269" i="2"/>
  <c r="F269" i="2"/>
  <c r="E269" i="2"/>
  <c r="D269" i="2"/>
  <c r="C275" i="2"/>
  <c r="G275" i="2"/>
  <c r="F275" i="2"/>
  <c r="E275" i="2"/>
  <c r="C281" i="2"/>
  <c r="G281" i="2"/>
  <c r="F281" i="2"/>
  <c r="E281" i="2"/>
  <c r="D281" i="2"/>
  <c r="C286" i="2"/>
  <c r="G286" i="2"/>
  <c r="F286" i="2"/>
  <c r="E286" i="2"/>
  <c r="D286" i="2"/>
  <c r="C292" i="2"/>
  <c r="G292" i="2"/>
  <c r="F292" i="2"/>
  <c r="E292" i="2"/>
  <c r="C298" i="2"/>
  <c r="G298" i="2"/>
  <c r="F298" i="2"/>
  <c r="E298" i="2"/>
  <c r="D298" i="2"/>
  <c r="C304" i="2"/>
  <c r="G304" i="2"/>
  <c r="F304" i="2"/>
  <c r="E304" i="2"/>
  <c r="D304" i="2"/>
  <c r="C310" i="2"/>
  <c r="G310" i="2"/>
  <c r="F310" i="2"/>
  <c r="E310" i="2"/>
  <c r="C316" i="2"/>
  <c r="G316" i="2"/>
  <c r="F316" i="2"/>
  <c r="E316" i="2"/>
  <c r="D316" i="2"/>
  <c r="C322" i="2"/>
  <c r="G322" i="2"/>
  <c r="F322" i="2"/>
  <c r="E322" i="2"/>
  <c r="D322" i="2"/>
  <c r="C328" i="2"/>
  <c r="G328" i="2"/>
  <c r="F328" i="2"/>
  <c r="E328" i="2"/>
  <c r="C334" i="2"/>
  <c r="G334" i="2"/>
  <c r="F334" i="2"/>
  <c r="E334" i="2"/>
  <c r="D334" i="2"/>
  <c r="C340" i="2"/>
  <c r="G340" i="2"/>
  <c r="F340" i="2"/>
  <c r="E340" i="2"/>
  <c r="D340" i="2"/>
  <c r="C346" i="2"/>
  <c r="G346" i="2"/>
  <c r="F346" i="2"/>
  <c r="E346" i="2"/>
  <c r="C352" i="2"/>
  <c r="G352" i="2"/>
  <c r="F352" i="2"/>
  <c r="E352" i="2"/>
  <c r="D352" i="2"/>
  <c r="C358" i="2"/>
  <c r="G358" i="2"/>
  <c r="F358" i="2"/>
  <c r="E358" i="2"/>
  <c r="D358" i="2"/>
  <c r="C364" i="2"/>
  <c r="G364" i="2"/>
  <c r="F364" i="2"/>
  <c r="E364" i="2"/>
  <c r="C370" i="2"/>
  <c r="G370" i="2"/>
  <c r="F370" i="2"/>
  <c r="E370" i="2"/>
  <c r="D370" i="2"/>
  <c r="C376" i="2"/>
  <c r="G376" i="2"/>
  <c r="F376" i="2"/>
  <c r="E376" i="2"/>
  <c r="D376" i="2"/>
  <c r="C382" i="2"/>
  <c r="G382" i="2"/>
  <c r="F382" i="2"/>
  <c r="E382" i="2"/>
  <c r="D382" i="2"/>
  <c r="C388" i="2"/>
  <c r="G388" i="2"/>
  <c r="F388" i="2"/>
  <c r="E388" i="2"/>
  <c r="D388" i="2"/>
  <c r="C394" i="2"/>
  <c r="G394" i="2"/>
  <c r="F394" i="2"/>
  <c r="E394" i="2"/>
  <c r="D394" i="2"/>
  <c r="C400" i="2"/>
  <c r="G400" i="2"/>
  <c r="F400" i="2"/>
  <c r="E400" i="2"/>
  <c r="D400" i="2"/>
  <c r="C406" i="2"/>
  <c r="G406" i="2"/>
  <c r="F406" i="2"/>
  <c r="E406" i="2"/>
  <c r="D406" i="2"/>
  <c r="C412" i="2"/>
  <c r="G412" i="2"/>
  <c r="F412" i="2"/>
  <c r="E412" i="2"/>
  <c r="D412" i="2"/>
  <c r="C418" i="2"/>
  <c r="G418" i="2"/>
  <c r="F418" i="2"/>
  <c r="E418" i="2"/>
  <c r="D418" i="2"/>
  <c r="C424" i="2"/>
  <c r="G424" i="2"/>
  <c r="F424" i="2"/>
  <c r="E424" i="2"/>
  <c r="D424" i="2"/>
  <c r="C430" i="2"/>
  <c r="G430" i="2"/>
  <c r="F430" i="2"/>
  <c r="E430" i="2"/>
  <c r="D430" i="2"/>
  <c r="C436" i="2"/>
  <c r="G436" i="2"/>
  <c r="F436" i="2"/>
  <c r="E436" i="2"/>
  <c r="D436" i="2"/>
  <c r="C442" i="2"/>
  <c r="G442" i="2"/>
  <c r="F442" i="2"/>
  <c r="E442" i="2"/>
  <c r="D442" i="2"/>
  <c r="C448" i="2"/>
  <c r="G448" i="2"/>
  <c r="F448" i="2"/>
  <c r="E448" i="2"/>
  <c r="D448" i="2"/>
  <c r="C454" i="2"/>
  <c r="G454" i="2"/>
  <c r="F454" i="2"/>
  <c r="E454" i="2"/>
  <c r="D454" i="2"/>
  <c r="C460" i="2"/>
  <c r="G460" i="2"/>
  <c r="F460" i="2"/>
  <c r="E460" i="2"/>
  <c r="D460" i="2"/>
  <c r="C466" i="2"/>
  <c r="G466" i="2"/>
  <c r="F466" i="2"/>
  <c r="E466" i="2"/>
  <c r="D466" i="2"/>
  <c r="C472" i="2"/>
  <c r="G472" i="2"/>
  <c r="F472" i="2"/>
  <c r="E472" i="2"/>
  <c r="D472" i="2"/>
  <c r="C478" i="2"/>
  <c r="G478" i="2"/>
  <c r="F478" i="2"/>
  <c r="E478" i="2"/>
  <c r="D478" i="2"/>
  <c r="C484" i="2"/>
  <c r="G484" i="2"/>
  <c r="F484" i="2"/>
  <c r="E484" i="2"/>
  <c r="D484" i="2"/>
  <c r="C490" i="2"/>
  <c r="G490" i="2"/>
  <c r="F490" i="2"/>
  <c r="E490" i="2"/>
  <c r="D490" i="2"/>
  <c r="C496" i="2"/>
  <c r="G496" i="2"/>
  <c r="F496" i="2"/>
  <c r="E496" i="2"/>
  <c r="D496" i="2"/>
  <c r="C502" i="2"/>
  <c r="G502" i="2"/>
  <c r="F502" i="2"/>
  <c r="E502" i="2"/>
  <c r="C508" i="2"/>
  <c r="G508" i="2"/>
  <c r="F508" i="2"/>
  <c r="E508" i="2"/>
  <c r="D508" i="2"/>
  <c r="C514" i="2"/>
  <c r="G514" i="2"/>
  <c r="F514" i="2"/>
  <c r="E514" i="2"/>
  <c r="D514" i="2"/>
  <c r="C520" i="2"/>
  <c r="G520" i="2"/>
  <c r="F520" i="2"/>
  <c r="E520" i="2"/>
  <c r="D520" i="2"/>
  <c r="C526" i="2"/>
  <c r="G526" i="2"/>
  <c r="F526" i="2"/>
  <c r="E526" i="2"/>
  <c r="D526" i="2"/>
  <c r="C532" i="2"/>
  <c r="G532" i="2"/>
  <c r="F532" i="2"/>
  <c r="E532" i="2"/>
  <c r="D532" i="2"/>
  <c r="C538" i="2"/>
  <c r="G538" i="2"/>
  <c r="F538" i="2"/>
  <c r="E538" i="2"/>
  <c r="C544" i="2"/>
  <c r="G544" i="2"/>
  <c r="F544" i="2"/>
  <c r="E544" i="2"/>
  <c r="D544" i="2"/>
  <c r="C550" i="2"/>
  <c r="G550" i="2"/>
  <c r="F550" i="2"/>
  <c r="E550" i="2"/>
  <c r="D550" i="2"/>
  <c r="C556" i="2"/>
  <c r="G556" i="2"/>
  <c r="F556" i="2"/>
  <c r="E556" i="2"/>
  <c r="D556" i="2"/>
  <c r="C562" i="2"/>
  <c r="G562" i="2"/>
  <c r="F562" i="2"/>
  <c r="E562" i="2"/>
  <c r="D562" i="2"/>
  <c r="C568" i="2"/>
  <c r="G568" i="2"/>
  <c r="F568" i="2"/>
  <c r="E568" i="2"/>
  <c r="D568" i="2"/>
  <c r="C574" i="2"/>
  <c r="G574" i="2"/>
  <c r="F574" i="2"/>
  <c r="E574" i="2"/>
  <c r="C580" i="2"/>
  <c r="G580" i="2"/>
  <c r="F580" i="2"/>
  <c r="E580" i="2"/>
  <c r="D580" i="2"/>
  <c r="C586" i="2"/>
  <c r="G586" i="2"/>
  <c r="F586" i="2"/>
  <c r="E586" i="2"/>
  <c r="D586" i="2"/>
  <c r="C592" i="2"/>
  <c r="G592" i="2"/>
  <c r="F592" i="2"/>
  <c r="E592" i="2"/>
  <c r="D592" i="2"/>
  <c r="C598" i="2"/>
  <c r="G598" i="2"/>
  <c r="F598" i="2"/>
  <c r="E598" i="2"/>
  <c r="D598" i="2"/>
  <c r="C604" i="2"/>
  <c r="G604" i="2"/>
  <c r="E604" i="2"/>
  <c r="F604" i="2"/>
  <c r="D604" i="2"/>
  <c r="C610" i="2"/>
  <c r="G610" i="2"/>
  <c r="F610" i="2"/>
  <c r="E610" i="2"/>
  <c r="C616" i="2"/>
  <c r="G616" i="2"/>
  <c r="F616" i="2"/>
  <c r="E616" i="2"/>
  <c r="D616" i="2"/>
  <c r="C622" i="2"/>
  <c r="G622" i="2"/>
  <c r="F622" i="2"/>
  <c r="E622" i="2"/>
  <c r="D622" i="2"/>
  <c r="C628" i="2"/>
  <c r="G628" i="2"/>
  <c r="F628" i="2"/>
  <c r="E628" i="2"/>
  <c r="D628" i="2"/>
  <c r="C634" i="2"/>
  <c r="G634" i="2"/>
  <c r="F634" i="2"/>
  <c r="E634" i="2"/>
  <c r="D634" i="2"/>
  <c r="C640" i="2"/>
  <c r="G640" i="2"/>
  <c r="F640" i="2"/>
  <c r="E640" i="2"/>
  <c r="D640" i="2"/>
  <c r="C646" i="2"/>
  <c r="G646" i="2"/>
  <c r="F646" i="2"/>
  <c r="E646" i="2"/>
  <c r="C652" i="2"/>
  <c r="G652" i="2"/>
  <c r="F652" i="2"/>
  <c r="E652" i="2"/>
  <c r="C658" i="2"/>
  <c r="G658" i="2"/>
  <c r="E658" i="2"/>
  <c r="F658" i="2"/>
  <c r="D658" i="2"/>
  <c r="C664" i="2"/>
  <c r="G664" i="2"/>
  <c r="F664" i="2"/>
  <c r="E664" i="2"/>
  <c r="D664" i="2"/>
  <c r="C670" i="2"/>
  <c r="G670" i="2"/>
  <c r="F670" i="2"/>
  <c r="E670" i="2"/>
  <c r="D670" i="2"/>
  <c r="C676" i="2"/>
  <c r="G676" i="2"/>
  <c r="F676" i="2"/>
  <c r="E676" i="2"/>
  <c r="D676" i="2"/>
  <c r="C682" i="2"/>
  <c r="G682" i="2"/>
  <c r="F682" i="2"/>
  <c r="E682" i="2"/>
  <c r="C688" i="2"/>
  <c r="G688" i="2"/>
  <c r="F688" i="2"/>
  <c r="E688" i="2"/>
  <c r="C694" i="2"/>
  <c r="G694" i="2"/>
  <c r="F694" i="2"/>
  <c r="E694" i="2"/>
  <c r="D694" i="2"/>
  <c r="C700" i="2"/>
  <c r="G700" i="2"/>
  <c r="E700" i="2"/>
  <c r="F700" i="2"/>
  <c r="D700" i="2"/>
  <c r="C706" i="2"/>
  <c r="G706" i="2"/>
  <c r="F706" i="2"/>
  <c r="E706" i="2"/>
  <c r="D706" i="2"/>
  <c r="C712" i="2"/>
  <c r="G712" i="2"/>
  <c r="F712" i="2"/>
  <c r="E712" i="2"/>
  <c r="D712" i="2"/>
  <c r="C718" i="2"/>
  <c r="G718" i="2"/>
  <c r="F718" i="2"/>
  <c r="E718" i="2"/>
  <c r="C724" i="2"/>
  <c r="G724" i="2"/>
  <c r="F724" i="2"/>
  <c r="E724" i="2"/>
  <c r="C730" i="2"/>
  <c r="G730" i="2"/>
  <c r="F730" i="2"/>
  <c r="E730" i="2"/>
  <c r="D730" i="2"/>
  <c r="C736" i="2"/>
  <c r="G736" i="2"/>
  <c r="F736" i="2"/>
  <c r="E736" i="2"/>
  <c r="D736" i="2"/>
  <c r="C742" i="2"/>
  <c r="G742" i="2"/>
  <c r="F742" i="2"/>
  <c r="E742" i="2"/>
  <c r="D742" i="2"/>
  <c r="C748" i="2"/>
  <c r="G748" i="2"/>
  <c r="F748" i="2"/>
  <c r="E748" i="2"/>
  <c r="D748" i="2"/>
  <c r="C754" i="2"/>
  <c r="G754" i="2"/>
  <c r="F754" i="2"/>
  <c r="E754" i="2"/>
  <c r="C760" i="2"/>
  <c r="G760" i="2"/>
  <c r="F760" i="2"/>
  <c r="E760" i="2"/>
  <c r="C766" i="2"/>
  <c r="G766" i="2"/>
  <c r="F766" i="2"/>
  <c r="E766" i="2"/>
  <c r="D766" i="2"/>
  <c r="C772" i="2"/>
  <c r="G772" i="2"/>
  <c r="F772" i="2"/>
  <c r="E772" i="2"/>
  <c r="D772" i="2"/>
  <c r="C778" i="2"/>
  <c r="G778" i="2"/>
  <c r="F778" i="2"/>
  <c r="E778" i="2"/>
  <c r="D778" i="2"/>
  <c r="C784" i="2"/>
  <c r="G784" i="2"/>
  <c r="F784" i="2"/>
  <c r="E784" i="2"/>
  <c r="D784" i="2"/>
  <c r="C789" i="2"/>
  <c r="G789" i="2"/>
  <c r="F789" i="2"/>
  <c r="E789" i="2"/>
  <c r="C795" i="2"/>
  <c r="G795" i="2"/>
  <c r="F795" i="2"/>
  <c r="E795" i="2"/>
  <c r="C801" i="2"/>
  <c r="G801" i="2"/>
  <c r="F801" i="2"/>
  <c r="E801" i="2"/>
  <c r="D801" i="2"/>
  <c r="C807" i="2"/>
  <c r="G807" i="2"/>
  <c r="F807" i="2"/>
  <c r="E807" i="2"/>
  <c r="D807" i="2"/>
  <c r="C813" i="2"/>
  <c r="G813" i="2"/>
  <c r="F813" i="2"/>
  <c r="E813" i="2"/>
  <c r="D813" i="2"/>
  <c r="C819" i="2"/>
  <c r="G819" i="2"/>
  <c r="F819" i="2"/>
  <c r="E819" i="2"/>
  <c r="D819" i="2"/>
  <c r="C825" i="2"/>
  <c r="G825" i="2"/>
  <c r="F825" i="2"/>
  <c r="E825" i="2"/>
  <c r="C831" i="2"/>
  <c r="G831" i="2"/>
  <c r="F831" i="2"/>
  <c r="E831" i="2"/>
  <c r="C837" i="2"/>
  <c r="G837" i="2"/>
  <c r="F837" i="2"/>
  <c r="E837" i="2"/>
  <c r="D837" i="2"/>
  <c r="C843" i="2"/>
  <c r="G843" i="2"/>
  <c r="F843" i="2"/>
  <c r="E843" i="2"/>
  <c r="D843" i="2"/>
  <c r="C849" i="2"/>
  <c r="G849" i="2"/>
  <c r="F849" i="2"/>
  <c r="E849" i="2"/>
  <c r="D849" i="2"/>
  <c r="C855" i="2"/>
  <c r="G855" i="2"/>
  <c r="F855" i="2"/>
  <c r="E855" i="2"/>
  <c r="D855" i="2"/>
  <c r="C861" i="2"/>
  <c r="G861" i="2"/>
  <c r="F861" i="2"/>
  <c r="E861" i="2"/>
  <c r="C867" i="2"/>
  <c r="G867" i="2"/>
  <c r="F867" i="2"/>
  <c r="E867" i="2"/>
  <c r="C873" i="2"/>
  <c r="G873" i="2"/>
  <c r="F873" i="2"/>
  <c r="E873" i="2"/>
  <c r="D873" i="2"/>
  <c r="C879" i="2"/>
  <c r="G879" i="2"/>
  <c r="F879" i="2"/>
  <c r="E879" i="2"/>
  <c r="D879" i="2"/>
  <c r="C885" i="2"/>
  <c r="G885" i="2"/>
  <c r="F885" i="2"/>
  <c r="E885" i="2"/>
  <c r="D885" i="2"/>
  <c r="C891" i="2"/>
  <c r="G891" i="2"/>
  <c r="F891" i="2"/>
  <c r="E891" i="2"/>
  <c r="D891" i="2"/>
  <c r="C897" i="2"/>
  <c r="G897" i="2"/>
  <c r="F897" i="2"/>
  <c r="E897" i="2"/>
  <c r="C903" i="2"/>
  <c r="G903" i="2"/>
  <c r="F903" i="2"/>
  <c r="E903" i="2"/>
  <c r="C909" i="2"/>
  <c r="G909" i="2"/>
  <c r="F909" i="2"/>
  <c r="E909" i="2"/>
  <c r="D909" i="2"/>
  <c r="C915" i="2"/>
  <c r="G915" i="2"/>
  <c r="E915" i="2"/>
  <c r="F915" i="2"/>
  <c r="D915" i="2"/>
  <c r="C921" i="2"/>
  <c r="G921" i="2"/>
  <c r="F921" i="2"/>
  <c r="E921" i="2"/>
  <c r="D921" i="2"/>
  <c r="C927" i="2"/>
  <c r="G927" i="2"/>
  <c r="F927" i="2"/>
  <c r="E927" i="2"/>
  <c r="D927" i="2"/>
  <c r="C933" i="2"/>
  <c r="G933" i="2"/>
  <c r="F933" i="2"/>
  <c r="E933" i="2"/>
  <c r="C939" i="2"/>
  <c r="G939" i="2"/>
  <c r="F939" i="2"/>
  <c r="E939" i="2"/>
  <c r="C945" i="2"/>
  <c r="G945" i="2"/>
  <c r="F945" i="2"/>
  <c r="E945" i="2"/>
  <c r="D945" i="2"/>
  <c r="C951" i="2"/>
  <c r="G951" i="2"/>
  <c r="F951" i="2"/>
  <c r="E951" i="2"/>
  <c r="D951" i="2"/>
  <c r="C957" i="2"/>
  <c r="G957" i="2"/>
  <c r="F957" i="2"/>
  <c r="E957" i="2"/>
  <c r="D957" i="2"/>
  <c r="C963" i="2"/>
  <c r="G963" i="2"/>
  <c r="F963" i="2"/>
  <c r="E963" i="2"/>
  <c r="D963" i="2"/>
  <c r="C969" i="2"/>
  <c r="G969" i="2"/>
  <c r="F969" i="2"/>
  <c r="E969" i="2"/>
  <c r="C975" i="2"/>
  <c r="G975" i="2"/>
  <c r="F975" i="2"/>
  <c r="E975" i="2"/>
  <c r="C981" i="2"/>
  <c r="G981" i="2"/>
  <c r="F981" i="2"/>
  <c r="E981" i="2"/>
  <c r="D981" i="2"/>
  <c r="C987" i="2"/>
  <c r="G987" i="2"/>
  <c r="F987" i="2"/>
  <c r="E987" i="2"/>
  <c r="D987" i="2"/>
  <c r="C993" i="2"/>
  <c r="G993" i="2"/>
  <c r="F993" i="2"/>
  <c r="E993" i="2"/>
  <c r="D993" i="2"/>
  <c r="C999" i="2"/>
  <c r="G999" i="2"/>
  <c r="F999" i="2"/>
  <c r="E999" i="2"/>
  <c r="D999" i="2"/>
  <c r="C1005" i="2"/>
  <c r="G1005" i="2"/>
  <c r="F1005" i="2"/>
  <c r="E1005" i="2"/>
  <c r="C1011" i="2"/>
  <c r="G1011" i="2"/>
  <c r="F1011" i="2"/>
  <c r="E1011" i="2"/>
  <c r="C1017" i="2"/>
  <c r="G1017" i="2"/>
  <c r="F1017" i="2"/>
  <c r="E1017" i="2"/>
  <c r="D1017" i="2"/>
  <c r="C1023" i="2"/>
  <c r="G1023" i="2"/>
  <c r="F1023" i="2"/>
  <c r="E1023" i="2"/>
  <c r="D1023" i="2"/>
  <c r="C1029" i="2"/>
  <c r="G1029" i="2"/>
  <c r="F1029" i="2"/>
  <c r="E1029" i="2"/>
  <c r="D1029" i="2"/>
  <c r="C1035" i="2"/>
  <c r="G1035" i="2"/>
  <c r="F1035" i="2"/>
  <c r="E1035" i="2"/>
  <c r="D1035" i="2"/>
  <c r="C1041" i="2"/>
  <c r="G1041" i="2"/>
  <c r="F1041" i="2"/>
  <c r="C1047" i="2"/>
  <c r="G1047" i="2"/>
  <c r="F1047" i="2"/>
  <c r="E1047" i="2"/>
  <c r="C1053" i="2"/>
  <c r="G1053" i="2"/>
  <c r="F1053" i="2"/>
  <c r="E1053" i="2"/>
  <c r="D1053" i="2"/>
  <c r="C1059" i="2"/>
  <c r="G1059" i="2"/>
  <c r="F1059" i="2"/>
  <c r="E1059" i="2"/>
  <c r="D1059" i="2"/>
  <c r="C1065" i="2"/>
  <c r="G1065" i="2"/>
  <c r="F1065" i="2"/>
  <c r="E1065" i="2"/>
  <c r="D1065" i="2"/>
  <c r="C1071" i="2"/>
  <c r="G1071" i="2"/>
  <c r="F1071" i="2"/>
  <c r="E1071" i="2"/>
  <c r="D1071" i="2"/>
  <c r="C1076" i="2"/>
  <c r="G1076" i="2"/>
  <c r="F1076" i="2"/>
  <c r="E1076" i="2"/>
  <c r="C1082" i="2"/>
  <c r="G1082" i="2"/>
  <c r="F1082" i="2"/>
  <c r="E1082" i="2"/>
  <c r="C1088" i="2"/>
  <c r="G1088" i="2"/>
  <c r="F1088" i="2"/>
  <c r="E1088" i="2"/>
  <c r="D1088" i="2"/>
  <c r="C1094" i="2"/>
  <c r="G1094" i="2"/>
  <c r="F1094" i="2"/>
  <c r="E1094" i="2"/>
  <c r="D1094" i="2"/>
  <c r="C1100" i="2"/>
  <c r="G1100" i="2"/>
  <c r="E1100" i="2"/>
  <c r="F1100" i="2"/>
  <c r="D1100" i="2"/>
  <c r="C1106" i="2"/>
  <c r="G1106" i="2"/>
  <c r="F1106" i="2"/>
  <c r="E1106" i="2"/>
  <c r="D1106" i="2"/>
  <c r="C1112" i="2"/>
  <c r="G1112" i="2"/>
  <c r="F1112" i="2"/>
  <c r="E1112" i="2"/>
  <c r="C1118" i="2"/>
  <c r="G1118" i="2"/>
  <c r="F1118" i="2"/>
  <c r="E1118" i="2"/>
  <c r="C1124" i="2"/>
  <c r="G1124" i="2"/>
  <c r="F1124" i="2"/>
  <c r="E1124" i="2"/>
  <c r="D1124" i="2"/>
  <c r="C1130" i="2"/>
  <c r="G1130" i="2"/>
  <c r="F1130" i="2"/>
  <c r="E1130" i="2"/>
  <c r="D1130" i="2"/>
  <c r="C1136" i="2"/>
  <c r="G1136" i="2"/>
  <c r="F1136" i="2"/>
  <c r="E1136" i="2"/>
  <c r="D1136" i="2"/>
  <c r="C1142" i="2"/>
  <c r="G1142" i="2"/>
  <c r="F1142" i="2"/>
  <c r="E1142" i="2"/>
  <c r="D1142" i="2"/>
  <c r="C1148" i="2"/>
  <c r="G1148" i="2"/>
  <c r="F1148" i="2"/>
  <c r="E1148" i="2"/>
  <c r="C1154" i="2"/>
  <c r="G1154" i="2"/>
  <c r="F1154" i="2"/>
  <c r="E1154" i="2"/>
  <c r="C1160" i="2"/>
  <c r="G1160" i="2"/>
  <c r="F1160" i="2"/>
  <c r="E1160" i="2"/>
  <c r="D1160" i="2"/>
  <c r="C1166" i="2"/>
  <c r="G1166" i="2"/>
  <c r="F1166" i="2"/>
  <c r="E1166" i="2"/>
  <c r="D1166" i="2"/>
  <c r="C1171" i="2"/>
  <c r="G1171" i="2"/>
  <c r="F1171" i="2"/>
  <c r="E1171" i="2"/>
  <c r="D1171" i="2"/>
  <c r="C1177" i="2"/>
  <c r="G1177" i="2"/>
  <c r="F1177" i="2"/>
  <c r="E1177" i="2"/>
  <c r="D1177" i="2"/>
  <c r="C1183" i="2"/>
  <c r="G1183" i="2"/>
  <c r="F1183" i="2"/>
  <c r="E1183" i="2"/>
  <c r="C1189" i="2"/>
  <c r="G1189" i="2"/>
  <c r="F1189" i="2"/>
  <c r="E1189" i="2"/>
  <c r="C1195" i="2"/>
  <c r="G1195" i="2"/>
  <c r="F1195" i="2"/>
  <c r="E1195" i="2"/>
  <c r="D1195" i="2"/>
  <c r="C1201" i="2"/>
  <c r="G1201" i="2"/>
  <c r="F1201" i="2"/>
  <c r="E1201" i="2"/>
  <c r="D1201" i="2"/>
  <c r="C1207" i="2"/>
  <c r="G1207" i="2"/>
  <c r="E1207" i="2"/>
  <c r="F1207" i="2"/>
  <c r="D1207" i="2"/>
  <c r="C1213" i="2"/>
  <c r="G1213" i="2"/>
  <c r="F1213" i="2"/>
  <c r="E1213" i="2"/>
  <c r="D1213" i="2"/>
  <c r="C1219" i="2"/>
  <c r="G1219" i="2"/>
  <c r="F1219" i="2"/>
  <c r="E1219" i="2"/>
  <c r="C1225" i="2"/>
  <c r="G1225" i="2"/>
  <c r="F1225" i="2"/>
  <c r="E1225" i="2"/>
  <c r="C1231" i="2"/>
  <c r="G1231" i="2"/>
  <c r="F1231" i="2"/>
  <c r="E1231" i="2"/>
  <c r="D1231" i="2"/>
  <c r="C1237" i="2"/>
  <c r="G1237" i="2"/>
  <c r="F1237" i="2"/>
  <c r="E1237" i="2"/>
  <c r="D1237" i="2"/>
  <c r="C1243" i="2"/>
  <c r="G1243" i="2"/>
  <c r="F1243" i="2"/>
  <c r="E1243" i="2"/>
  <c r="D1243" i="2"/>
  <c r="C1249" i="2"/>
  <c r="G1249" i="2"/>
  <c r="F1249" i="2"/>
  <c r="E1249" i="2"/>
  <c r="D1249" i="2"/>
  <c r="C1255" i="2"/>
  <c r="G1255" i="2"/>
  <c r="F1255" i="2"/>
  <c r="E1255" i="2"/>
  <c r="D1255" i="2"/>
  <c r="C1261" i="2"/>
  <c r="G1261" i="2"/>
  <c r="F1261" i="2"/>
  <c r="E1261" i="2"/>
  <c r="D1261" i="2"/>
  <c r="C1267" i="2"/>
  <c r="G1267" i="2"/>
  <c r="F1267" i="2"/>
  <c r="E1267" i="2"/>
  <c r="D1267" i="2"/>
  <c r="C1273" i="2"/>
  <c r="G1273" i="2"/>
  <c r="F1273" i="2"/>
  <c r="E1273" i="2"/>
  <c r="D1273" i="2"/>
  <c r="C1279" i="2"/>
  <c r="G1279" i="2"/>
  <c r="F1279" i="2"/>
  <c r="E1279" i="2"/>
  <c r="D1279" i="2"/>
  <c r="C1285" i="2"/>
  <c r="G1285" i="2"/>
  <c r="F1285" i="2"/>
  <c r="E1285" i="2"/>
  <c r="D1285" i="2"/>
  <c r="C1291" i="2"/>
  <c r="G1291" i="2"/>
  <c r="F1291" i="2"/>
  <c r="E1291" i="2"/>
  <c r="D1291" i="2"/>
  <c r="C1297" i="2"/>
  <c r="G1297" i="2"/>
  <c r="F1297" i="2"/>
  <c r="E1297" i="2"/>
  <c r="D1297" i="2"/>
  <c r="C1303" i="2"/>
  <c r="G1303" i="2"/>
  <c r="E1303" i="2"/>
  <c r="F1303" i="2"/>
  <c r="D1303" i="2"/>
  <c r="C1309" i="2"/>
  <c r="G1309" i="2"/>
  <c r="F1309" i="2"/>
  <c r="E1309" i="2"/>
  <c r="D1309" i="2"/>
  <c r="C1315" i="2"/>
  <c r="G1315" i="2"/>
  <c r="F1315" i="2"/>
  <c r="E1315" i="2"/>
  <c r="D1315" i="2"/>
  <c r="C1321" i="2"/>
  <c r="G1321" i="2"/>
  <c r="F1321" i="2"/>
  <c r="E1321" i="2"/>
  <c r="D1321" i="2"/>
  <c r="C1327" i="2"/>
  <c r="G1327" i="2"/>
  <c r="F1327" i="2"/>
  <c r="E1327" i="2"/>
  <c r="D1327" i="2"/>
  <c r="C1333" i="2"/>
  <c r="G1333" i="2"/>
  <c r="F1333" i="2"/>
  <c r="E1333" i="2"/>
  <c r="D1333" i="2"/>
  <c r="C1339" i="2"/>
  <c r="G1339" i="2"/>
  <c r="F1339" i="2"/>
  <c r="E1339" i="2"/>
  <c r="D1339" i="2"/>
  <c r="C1345" i="2"/>
  <c r="G1345" i="2"/>
  <c r="F1345" i="2"/>
  <c r="E1345" i="2"/>
  <c r="D1345" i="2"/>
  <c r="C1351" i="2"/>
  <c r="G1351" i="2"/>
  <c r="F1351" i="2"/>
  <c r="E1351" i="2"/>
  <c r="D1351" i="2"/>
  <c r="C1357" i="2"/>
  <c r="G1357" i="2"/>
  <c r="F1357" i="2"/>
  <c r="E1357" i="2"/>
  <c r="D1357" i="2"/>
  <c r="C1363" i="2"/>
  <c r="G1363" i="2"/>
  <c r="F1363" i="2"/>
  <c r="E1363" i="2"/>
  <c r="D1363" i="2"/>
  <c r="C1369" i="2"/>
  <c r="G1369" i="2"/>
  <c r="F1369" i="2"/>
  <c r="E1369" i="2"/>
  <c r="D1369" i="2"/>
  <c r="C1375" i="2"/>
  <c r="G1375" i="2"/>
  <c r="F1375" i="2"/>
  <c r="E1375" i="2"/>
  <c r="D1375" i="2"/>
  <c r="C1381" i="2"/>
  <c r="G1381" i="2"/>
  <c r="F1381" i="2"/>
  <c r="E1381" i="2"/>
  <c r="D1381" i="2"/>
  <c r="C1387" i="2"/>
  <c r="G1387" i="2"/>
  <c r="F1387" i="2"/>
  <c r="E1387" i="2"/>
  <c r="D1387" i="2"/>
  <c r="C1393" i="2"/>
  <c r="G1393" i="2"/>
  <c r="F1393" i="2"/>
  <c r="E1393" i="2"/>
  <c r="D1393" i="2"/>
  <c r="C1399" i="2"/>
  <c r="G1399" i="2"/>
  <c r="F1399" i="2"/>
  <c r="E1399" i="2"/>
  <c r="D1399" i="2"/>
  <c r="C1405" i="2"/>
  <c r="G1405" i="2"/>
  <c r="F1405" i="2"/>
  <c r="E1405" i="2"/>
  <c r="D1405" i="2"/>
  <c r="C1411" i="2"/>
  <c r="G1411" i="2"/>
  <c r="E1411" i="2"/>
  <c r="F1411" i="2"/>
  <c r="D1411" i="2"/>
  <c r="C1417" i="2"/>
  <c r="G1417" i="2"/>
  <c r="F1417" i="2"/>
  <c r="E1417" i="2"/>
  <c r="D1417" i="2"/>
  <c r="C1423" i="2"/>
  <c r="G1423" i="2"/>
  <c r="F1423" i="2"/>
  <c r="E1423" i="2"/>
  <c r="D1423" i="2"/>
  <c r="C1429" i="2"/>
  <c r="G1429" i="2"/>
  <c r="F1429" i="2"/>
  <c r="E1429" i="2"/>
  <c r="D1429" i="2"/>
  <c r="C1435" i="2"/>
  <c r="G1435" i="2"/>
  <c r="F1435" i="2"/>
  <c r="E1435" i="2"/>
  <c r="D1435" i="2"/>
  <c r="C1441" i="2"/>
  <c r="G1441" i="2"/>
  <c r="F1441" i="2"/>
  <c r="E1441" i="2"/>
  <c r="D1441" i="2"/>
  <c r="C1447" i="2"/>
  <c r="G1447" i="2"/>
  <c r="F1447" i="2"/>
  <c r="E1447" i="2"/>
  <c r="D1447" i="2"/>
  <c r="C1453" i="2"/>
  <c r="G1453" i="2"/>
  <c r="F1453" i="2"/>
  <c r="E1453" i="2"/>
  <c r="D1453" i="2"/>
  <c r="C1459" i="2"/>
  <c r="G1459" i="2"/>
  <c r="F1459" i="2"/>
  <c r="E1459" i="2"/>
  <c r="D1459" i="2"/>
  <c r="C1465" i="2"/>
  <c r="G1465" i="2"/>
  <c r="F1465" i="2"/>
  <c r="E1465" i="2"/>
  <c r="D1465" i="2"/>
  <c r="C1471" i="2"/>
  <c r="G1471" i="2"/>
  <c r="F1471" i="2"/>
  <c r="E1471" i="2"/>
  <c r="D1471" i="2"/>
  <c r="C1477" i="2"/>
  <c r="G1477" i="2"/>
  <c r="E1477" i="2"/>
  <c r="F1477" i="2"/>
  <c r="D1477" i="2"/>
  <c r="C1483" i="2"/>
  <c r="G1483" i="2"/>
  <c r="F1483" i="2"/>
  <c r="E1483" i="2"/>
  <c r="D1483" i="2"/>
  <c r="C1489" i="2"/>
  <c r="G1489" i="2"/>
  <c r="F1489" i="2"/>
  <c r="E1489" i="2"/>
  <c r="D1489" i="2"/>
  <c r="C1495" i="2"/>
  <c r="G1495" i="2"/>
  <c r="F1495" i="2"/>
  <c r="E1495" i="2"/>
  <c r="D1495" i="2"/>
  <c r="C1501" i="2"/>
  <c r="G1501" i="2"/>
  <c r="F1501" i="2"/>
  <c r="E1501" i="2"/>
  <c r="D1501" i="2"/>
  <c r="C1507" i="2"/>
  <c r="G1507" i="2"/>
  <c r="F1507" i="2"/>
  <c r="E1507" i="2"/>
  <c r="D1507" i="2"/>
  <c r="C1513" i="2"/>
  <c r="G1513" i="2"/>
  <c r="F1513" i="2"/>
  <c r="E1513" i="2"/>
  <c r="D1513" i="2"/>
  <c r="C1519" i="2"/>
  <c r="G1519" i="2"/>
  <c r="E1519" i="2"/>
  <c r="F1519" i="2"/>
  <c r="D1519" i="2"/>
  <c r="C1525" i="2"/>
  <c r="G1525" i="2"/>
  <c r="F1525" i="2"/>
  <c r="E1525" i="2"/>
  <c r="D1525" i="2"/>
  <c r="C1531" i="2"/>
  <c r="G1531" i="2"/>
  <c r="F1531" i="2"/>
  <c r="E1531" i="2"/>
  <c r="D1531" i="2"/>
  <c r="C1537" i="2"/>
  <c r="G1537" i="2"/>
  <c r="F1537" i="2"/>
  <c r="E1537" i="2"/>
  <c r="D1537" i="2"/>
  <c r="C1543" i="2"/>
  <c r="G1543" i="2"/>
  <c r="F1543" i="2"/>
  <c r="E1543" i="2"/>
  <c r="D1543" i="2"/>
  <c r="C1549" i="2"/>
  <c r="G1549" i="2"/>
  <c r="F1549" i="2"/>
  <c r="E1549" i="2"/>
  <c r="D1549" i="2"/>
  <c r="C1555" i="2"/>
  <c r="G1555" i="2"/>
  <c r="F1555" i="2"/>
  <c r="E1555" i="2"/>
  <c r="D1555" i="2"/>
  <c r="C1561" i="2"/>
  <c r="G1561" i="2"/>
  <c r="F1561" i="2"/>
  <c r="E1561" i="2"/>
  <c r="D1561" i="2"/>
  <c r="C1567" i="2"/>
  <c r="G1567" i="2"/>
  <c r="F1567" i="2"/>
  <c r="E1567" i="2"/>
  <c r="D1567" i="2"/>
  <c r="C1573" i="2"/>
  <c r="G1573" i="2"/>
  <c r="F1573" i="2"/>
  <c r="E1573" i="2"/>
  <c r="D1573" i="2"/>
  <c r="C1579" i="2"/>
  <c r="G1579" i="2"/>
  <c r="F1579" i="2"/>
  <c r="E1579" i="2"/>
  <c r="D1579" i="2"/>
  <c r="C1585" i="2"/>
  <c r="G1585" i="2"/>
  <c r="E1585" i="2"/>
  <c r="F1585" i="2"/>
  <c r="D1585" i="2"/>
  <c r="C1591" i="2"/>
  <c r="G1591" i="2"/>
  <c r="F1591" i="2"/>
  <c r="E1591" i="2"/>
  <c r="D1591" i="2"/>
  <c r="C1597" i="2"/>
  <c r="G1597" i="2"/>
  <c r="F1597" i="2"/>
  <c r="E1597" i="2"/>
  <c r="D1597" i="2"/>
  <c r="C1603" i="2"/>
  <c r="G1603" i="2"/>
  <c r="F1603" i="2"/>
  <c r="E1603" i="2"/>
  <c r="D1603" i="2"/>
  <c r="C1609" i="2"/>
  <c r="G1609" i="2"/>
  <c r="F1609" i="2"/>
  <c r="E1609" i="2"/>
  <c r="D1609" i="2"/>
  <c r="C1615" i="2"/>
  <c r="G1615" i="2"/>
  <c r="F1615" i="2"/>
  <c r="E1615" i="2"/>
  <c r="D1615" i="2"/>
  <c r="C1621" i="2"/>
  <c r="G1621" i="2"/>
  <c r="F1621" i="2"/>
  <c r="E1621" i="2"/>
  <c r="D1621" i="2"/>
  <c r="C1627" i="2"/>
  <c r="G1627" i="2"/>
  <c r="E1627" i="2"/>
  <c r="F1627" i="2"/>
  <c r="D1627" i="2"/>
  <c r="C1633" i="2"/>
  <c r="G1633" i="2"/>
  <c r="F1633" i="2"/>
  <c r="E1633" i="2"/>
  <c r="D1633" i="2"/>
  <c r="C1639" i="2"/>
  <c r="G1639" i="2"/>
  <c r="F1639" i="2"/>
  <c r="E1639" i="2"/>
  <c r="D1639" i="2"/>
  <c r="C1645" i="2"/>
  <c r="G1645" i="2"/>
  <c r="F1645" i="2"/>
  <c r="E1645" i="2"/>
  <c r="D1645" i="2"/>
  <c r="C1651" i="2"/>
  <c r="G1651" i="2"/>
  <c r="F1651" i="2"/>
  <c r="E1651" i="2"/>
  <c r="D1651" i="2"/>
  <c r="C1657" i="2"/>
  <c r="G1657" i="2"/>
  <c r="F1657" i="2"/>
  <c r="E1657" i="2"/>
  <c r="D1657" i="2"/>
  <c r="C1663" i="2"/>
  <c r="G1663" i="2"/>
  <c r="F1663" i="2"/>
  <c r="E1663" i="2"/>
  <c r="D1663" i="2"/>
  <c r="C1669" i="2"/>
  <c r="G1669" i="2"/>
  <c r="F1669" i="2"/>
  <c r="E1669" i="2"/>
  <c r="D1669" i="2"/>
  <c r="C1675" i="2"/>
  <c r="G1675" i="2"/>
  <c r="F1675" i="2"/>
  <c r="E1675" i="2"/>
  <c r="D1675" i="2"/>
  <c r="C1681" i="2"/>
  <c r="G1681" i="2"/>
  <c r="F1681" i="2"/>
  <c r="E1681" i="2"/>
  <c r="D1681" i="2"/>
  <c r="C1687" i="2"/>
  <c r="G1687" i="2"/>
  <c r="F1687" i="2"/>
  <c r="E1687" i="2"/>
  <c r="D1687" i="2"/>
  <c r="C1693" i="2"/>
  <c r="G1693" i="2"/>
  <c r="F1693" i="2"/>
  <c r="E1693" i="2"/>
  <c r="D1693" i="2"/>
  <c r="C1699" i="2"/>
  <c r="G1699" i="2"/>
  <c r="F1699" i="2"/>
  <c r="E1699" i="2"/>
  <c r="D1699" i="2"/>
  <c r="C1705" i="2"/>
  <c r="G1705" i="2"/>
  <c r="F1705" i="2"/>
  <c r="E1705" i="2"/>
  <c r="D1705" i="2"/>
  <c r="C1710" i="2"/>
  <c r="G1710" i="2"/>
  <c r="F1710" i="2"/>
  <c r="E1710" i="2"/>
  <c r="D1710" i="2"/>
  <c r="C1716" i="2"/>
  <c r="G1716" i="2"/>
  <c r="F1716" i="2"/>
  <c r="E1716" i="2"/>
  <c r="D1716" i="2"/>
  <c r="C1722" i="2"/>
  <c r="G1722" i="2"/>
  <c r="F1722" i="2"/>
  <c r="E1722" i="2"/>
  <c r="D1722" i="2"/>
  <c r="C1728" i="2"/>
  <c r="G1728" i="2"/>
  <c r="F1728" i="2"/>
  <c r="E1728" i="2"/>
  <c r="D1728" i="2"/>
  <c r="C1734" i="2"/>
  <c r="G1734" i="2"/>
  <c r="E1734" i="2"/>
  <c r="F1734" i="2"/>
  <c r="D1734" i="2"/>
  <c r="C1740" i="2"/>
  <c r="G1740" i="2"/>
  <c r="F1740" i="2"/>
  <c r="E1740" i="2"/>
  <c r="D1740" i="2"/>
  <c r="C1746" i="2"/>
  <c r="G1746" i="2"/>
  <c r="F1746" i="2"/>
  <c r="E1746" i="2"/>
  <c r="D1746" i="2"/>
  <c r="C1752" i="2"/>
  <c r="G1752" i="2"/>
  <c r="F1752" i="2"/>
  <c r="E1752" i="2"/>
  <c r="D1752" i="2"/>
  <c r="C1758" i="2"/>
  <c r="G1758" i="2"/>
  <c r="F1758" i="2"/>
  <c r="E1758" i="2"/>
  <c r="D1758" i="2"/>
  <c r="C1764" i="2"/>
  <c r="G1764" i="2"/>
  <c r="F1764" i="2"/>
  <c r="E1764" i="2"/>
  <c r="D1764" i="2"/>
  <c r="C1770" i="2"/>
  <c r="G1770" i="2"/>
  <c r="F1770" i="2"/>
  <c r="E1770" i="2"/>
  <c r="D1770" i="2"/>
  <c r="C1776" i="2"/>
  <c r="G1776" i="2"/>
  <c r="F1776" i="2"/>
  <c r="E1776" i="2"/>
  <c r="D1776" i="2"/>
  <c r="C1782" i="2"/>
  <c r="G1782" i="2"/>
  <c r="F1782" i="2"/>
  <c r="E1782" i="2"/>
  <c r="D1782" i="2"/>
  <c r="C1788" i="2"/>
  <c r="G1788" i="2"/>
  <c r="F1788" i="2"/>
  <c r="E1788" i="2"/>
  <c r="D1788" i="2"/>
  <c r="C1794" i="2"/>
  <c r="G1794" i="2"/>
  <c r="F1794" i="2"/>
  <c r="E1794" i="2"/>
  <c r="D1794" i="2"/>
  <c r="C1800" i="2"/>
  <c r="G1800" i="2"/>
  <c r="E1800" i="2"/>
  <c r="F1800" i="2"/>
  <c r="D1800" i="2"/>
  <c r="C1806" i="2"/>
  <c r="G1806" i="2"/>
  <c r="F1806" i="2"/>
  <c r="E1806" i="2"/>
  <c r="D1806" i="2"/>
  <c r="C1812" i="2"/>
  <c r="G1812" i="2"/>
  <c r="F1812" i="2"/>
  <c r="E1812" i="2"/>
  <c r="D1812" i="2"/>
  <c r="C1818" i="2"/>
  <c r="G1818" i="2"/>
  <c r="F1818" i="2"/>
  <c r="E1818" i="2"/>
  <c r="D1818" i="2"/>
  <c r="C1824" i="2"/>
  <c r="G1824" i="2"/>
  <c r="F1824" i="2"/>
  <c r="E1824" i="2"/>
  <c r="D1824" i="2"/>
  <c r="C1830" i="2"/>
  <c r="G1830" i="2"/>
  <c r="E1830" i="2"/>
  <c r="F1830" i="2"/>
  <c r="D1830" i="2"/>
  <c r="C1836" i="2"/>
  <c r="G1836" i="2"/>
  <c r="F1836" i="2"/>
  <c r="E1836" i="2"/>
  <c r="D1836" i="2"/>
  <c r="C1842" i="2"/>
  <c r="G1842" i="2"/>
  <c r="E1842" i="2"/>
  <c r="F1842" i="2"/>
  <c r="D1842" i="2"/>
  <c r="C1848" i="2"/>
  <c r="G1848" i="2"/>
  <c r="F1848" i="2"/>
  <c r="E1848" i="2"/>
  <c r="D1848" i="2"/>
  <c r="C1854" i="2"/>
  <c r="G1854" i="2"/>
  <c r="E1854" i="2"/>
  <c r="F1854" i="2"/>
  <c r="D1854" i="2"/>
  <c r="C1860" i="2"/>
  <c r="G1860" i="2"/>
  <c r="F1860" i="2"/>
  <c r="E1860" i="2"/>
  <c r="D1860" i="2"/>
  <c r="C1866" i="2"/>
  <c r="G1866" i="2"/>
  <c r="E1866" i="2"/>
  <c r="F1866" i="2"/>
  <c r="D1866" i="2"/>
  <c r="C1872" i="2"/>
  <c r="G1872" i="2"/>
  <c r="F1872" i="2"/>
  <c r="E1872" i="2"/>
  <c r="D1872" i="2"/>
  <c r="C1878" i="2"/>
  <c r="G1878" i="2"/>
  <c r="E1878" i="2"/>
  <c r="F1878" i="2"/>
  <c r="D1878" i="2"/>
  <c r="C1884" i="2"/>
  <c r="G1884" i="2"/>
  <c r="F1884" i="2"/>
  <c r="E1884" i="2"/>
  <c r="D1884" i="2"/>
  <c r="C1890" i="2"/>
  <c r="G1890" i="2"/>
  <c r="E1890" i="2"/>
  <c r="F1890" i="2"/>
  <c r="D1890" i="2"/>
  <c r="C1896" i="2"/>
  <c r="G1896" i="2"/>
  <c r="F1896" i="2"/>
  <c r="E1896" i="2"/>
  <c r="D1896" i="2"/>
  <c r="C1902" i="2"/>
  <c r="G1902" i="2"/>
  <c r="E1902" i="2"/>
  <c r="F1902" i="2"/>
  <c r="D1902" i="2"/>
  <c r="C45" i="2"/>
  <c r="G45" i="2"/>
  <c r="F45" i="2"/>
  <c r="E45" i="2"/>
  <c r="D45" i="2"/>
  <c r="C34" i="2"/>
  <c r="G34" i="2"/>
  <c r="E34" i="2"/>
  <c r="F34" i="2"/>
  <c r="D34" i="2"/>
  <c r="C1915" i="2"/>
  <c r="G1915" i="2"/>
  <c r="F1915" i="2"/>
  <c r="E1915" i="2"/>
  <c r="D1915" i="2"/>
  <c r="C1921" i="2"/>
  <c r="G1921" i="2"/>
  <c r="E1921" i="2"/>
  <c r="F1921" i="2"/>
  <c r="D1921" i="2"/>
  <c r="C1927" i="2"/>
  <c r="G1927" i="2"/>
  <c r="F1927" i="2"/>
  <c r="E1927" i="2"/>
  <c r="D1927" i="2"/>
  <c r="C1933" i="2"/>
  <c r="G1933" i="2"/>
  <c r="E1933" i="2"/>
  <c r="F1933" i="2"/>
  <c r="D1933" i="2"/>
  <c r="C1939" i="2"/>
  <c r="G1939" i="2"/>
  <c r="F1939" i="2"/>
  <c r="E1939" i="2"/>
  <c r="D1939" i="2"/>
  <c r="C1945" i="2"/>
  <c r="G1945" i="2"/>
  <c r="E1945" i="2"/>
  <c r="F1945" i="2"/>
  <c r="D1945" i="2"/>
  <c r="C1951" i="2"/>
  <c r="G1951" i="2"/>
  <c r="F1951" i="2"/>
  <c r="E1951" i="2"/>
  <c r="D1951" i="2"/>
  <c r="C1957" i="2"/>
  <c r="G1957" i="2"/>
  <c r="F1957" i="2"/>
  <c r="E1957" i="2"/>
  <c r="D1957" i="2"/>
  <c r="C1963" i="2"/>
  <c r="G1963" i="2"/>
  <c r="E1963" i="2"/>
  <c r="F1963" i="2"/>
  <c r="D1963" i="2"/>
  <c r="C1969" i="2"/>
  <c r="G1969" i="2"/>
  <c r="F1969" i="2"/>
  <c r="E1969" i="2"/>
  <c r="D1969" i="2"/>
  <c r="C1975" i="2"/>
  <c r="G1975" i="2"/>
  <c r="F1975" i="2"/>
  <c r="E1975" i="2"/>
  <c r="D1975" i="2"/>
  <c r="C1981" i="2"/>
  <c r="G1981" i="2"/>
  <c r="F1981" i="2"/>
  <c r="E1981" i="2"/>
  <c r="D1981" i="2"/>
  <c r="C1987" i="2"/>
  <c r="G1987" i="2"/>
  <c r="F1987" i="2"/>
  <c r="E1987" i="2"/>
  <c r="D1987" i="2"/>
  <c r="C1993" i="2"/>
  <c r="G1993" i="2"/>
  <c r="E1993" i="2"/>
  <c r="F1993" i="2"/>
  <c r="D1993" i="2"/>
  <c r="C1999" i="2"/>
  <c r="G1999" i="2"/>
  <c r="E1999" i="2"/>
  <c r="F1999" i="2"/>
  <c r="D1999" i="2"/>
  <c r="C2005" i="2"/>
  <c r="G2005" i="2"/>
  <c r="F2005" i="2"/>
  <c r="E2005" i="2"/>
  <c r="D2005" i="2"/>
  <c r="C2011" i="2"/>
  <c r="G2011" i="2"/>
  <c r="F2011" i="2"/>
  <c r="E2011" i="2"/>
  <c r="D2011" i="2"/>
  <c r="C2017" i="2"/>
  <c r="G2017" i="2"/>
  <c r="F2017" i="2"/>
  <c r="E2017" i="2"/>
  <c r="D2017" i="2"/>
  <c r="C2023" i="2"/>
  <c r="G2023" i="2"/>
  <c r="F2023" i="2"/>
  <c r="E2023" i="2"/>
  <c r="D2023" i="2"/>
  <c r="C2029" i="2"/>
  <c r="G2029" i="2"/>
  <c r="E2029" i="2"/>
  <c r="F2029" i="2"/>
  <c r="D2029" i="2"/>
  <c r="C2035" i="2"/>
  <c r="G2035" i="2"/>
  <c r="E2035" i="2"/>
  <c r="F2035" i="2"/>
  <c r="D2035" i="2"/>
  <c r="C2041" i="2"/>
  <c r="G2041" i="2"/>
  <c r="F2041" i="2"/>
  <c r="E2041" i="2"/>
  <c r="D2041" i="2"/>
  <c r="C2047" i="2"/>
  <c r="G2047" i="2"/>
  <c r="F2047" i="2"/>
  <c r="E2047" i="2"/>
  <c r="D2047" i="2"/>
  <c r="C2053" i="2"/>
  <c r="G2053" i="2"/>
  <c r="F2053" i="2"/>
  <c r="E2053" i="2"/>
  <c r="D2053" i="2"/>
  <c r="C2059" i="2"/>
  <c r="G2059" i="2"/>
  <c r="F2059" i="2"/>
  <c r="E2059" i="2"/>
  <c r="D2059" i="2"/>
  <c r="C2065" i="2"/>
  <c r="G2065" i="2"/>
  <c r="F2065" i="2"/>
  <c r="E2065" i="2"/>
  <c r="D2065" i="2"/>
  <c r="C2071" i="2"/>
  <c r="G2071" i="2"/>
  <c r="E2071" i="2"/>
  <c r="F2071" i="2"/>
  <c r="D2071" i="2"/>
  <c r="C2077" i="2"/>
  <c r="G2077" i="2"/>
  <c r="F2077" i="2"/>
  <c r="E2077" i="2"/>
  <c r="D2077" i="2"/>
  <c r="C2083" i="2"/>
  <c r="G2083" i="2"/>
  <c r="F2083" i="2"/>
  <c r="E2083" i="2"/>
  <c r="D2083" i="2"/>
  <c r="C2089" i="2"/>
  <c r="G2089" i="2"/>
  <c r="F2089" i="2"/>
  <c r="E2089" i="2"/>
  <c r="D2089" i="2"/>
  <c r="C2095" i="2"/>
  <c r="G2095" i="2"/>
  <c r="F2095" i="2"/>
  <c r="E2095" i="2"/>
  <c r="D2095" i="2"/>
  <c r="C2101" i="2"/>
  <c r="G2101" i="2"/>
  <c r="E2101" i="2"/>
  <c r="F2101" i="2"/>
  <c r="D2101" i="2"/>
  <c r="C2107" i="2"/>
  <c r="G2107" i="2"/>
  <c r="E2107" i="2"/>
  <c r="F2107" i="2"/>
  <c r="D2107" i="2"/>
  <c r="C2113" i="2"/>
  <c r="G2113" i="2"/>
  <c r="F2113" i="2"/>
  <c r="E2113" i="2"/>
  <c r="D2113" i="2"/>
  <c r="C2119" i="2"/>
  <c r="G2119" i="2"/>
  <c r="F2119" i="2"/>
  <c r="E2119" i="2"/>
  <c r="D2119" i="2"/>
  <c r="C2125" i="2"/>
  <c r="G2125" i="2"/>
  <c r="F2125" i="2"/>
  <c r="E2125" i="2"/>
  <c r="D2125" i="2"/>
  <c r="C2131" i="2"/>
  <c r="G2131" i="2"/>
  <c r="F2131" i="2"/>
  <c r="E2131" i="2"/>
  <c r="D2131" i="2"/>
  <c r="C2137" i="2"/>
  <c r="G2137" i="2"/>
  <c r="E2137" i="2"/>
  <c r="F2137" i="2"/>
  <c r="D2137" i="2"/>
  <c r="D2206" i="2"/>
  <c r="D2188" i="2"/>
  <c r="D2170" i="2"/>
  <c r="D1210" i="2"/>
  <c r="D1189" i="2"/>
  <c r="D1146" i="2"/>
  <c r="D1103" i="2"/>
  <c r="D1082" i="2"/>
  <c r="D1039" i="2"/>
  <c r="D996" i="2"/>
  <c r="D975" i="2"/>
  <c r="D931" i="2"/>
  <c r="D888" i="2"/>
  <c r="D867" i="2"/>
  <c r="D823" i="2"/>
  <c r="D781" i="2"/>
  <c r="D760" i="2"/>
  <c r="D716" i="2"/>
  <c r="D673" i="2"/>
  <c r="D652" i="2"/>
  <c r="D610" i="2"/>
  <c r="D566" i="2"/>
  <c r="D523" i="2"/>
  <c r="D428" i="2"/>
  <c r="D364" i="2"/>
  <c r="D257" i="2"/>
  <c r="D103" i="2"/>
  <c r="E1662" i="2"/>
  <c r="E1169" i="2"/>
  <c r="E23" i="2"/>
  <c r="C1853" i="2"/>
  <c r="G1853" i="2"/>
  <c r="F1853" i="2"/>
  <c r="E1853" i="2"/>
  <c r="C1859" i="2"/>
  <c r="G1859" i="2"/>
  <c r="F1859" i="2"/>
  <c r="C1865" i="2"/>
  <c r="G1865" i="2"/>
  <c r="F1865" i="2"/>
  <c r="E1865" i="2"/>
  <c r="C1871" i="2"/>
  <c r="G1871" i="2"/>
  <c r="F1871" i="2"/>
  <c r="E1871" i="2"/>
  <c r="C1877" i="2"/>
  <c r="G1877" i="2"/>
  <c r="F1877" i="2"/>
  <c r="C1883" i="2"/>
  <c r="G1883" i="2"/>
  <c r="F1883" i="2"/>
  <c r="E1883" i="2"/>
  <c r="C1889" i="2"/>
  <c r="G1889" i="2"/>
  <c r="F1889" i="2"/>
  <c r="E1889" i="2"/>
  <c r="C1895" i="2"/>
  <c r="G1895" i="2"/>
  <c r="F1895" i="2"/>
  <c r="C1901" i="2"/>
  <c r="G1901" i="2"/>
  <c r="F1901" i="2"/>
  <c r="E1901" i="2"/>
  <c r="C68" i="2"/>
  <c r="G68" i="2"/>
  <c r="F68" i="2"/>
  <c r="E68" i="2"/>
  <c r="C22" i="2"/>
  <c r="G22" i="2"/>
  <c r="F22" i="2"/>
  <c r="C1914" i="2"/>
  <c r="G1914" i="2"/>
  <c r="F1914" i="2"/>
  <c r="E1914" i="2"/>
  <c r="C1920" i="2"/>
  <c r="G1920" i="2"/>
  <c r="F1920" i="2"/>
  <c r="E1920" i="2"/>
  <c r="C1926" i="2"/>
  <c r="G1926" i="2"/>
  <c r="F1926" i="2"/>
  <c r="C1932" i="2"/>
  <c r="G1932" i="2"/>
  <c r="F1932" i="2"/>
  <c r="E1932" i="2"/>
  <c r="C1938" i="2"/>
  <c r="G1938" i="2"/>
  <c r="F1938" i="2"/>
  <c r="E1938" i="2"/>
  <c r="C1944" i="2"/>
  <c r="G1944" i="2"/>
  <c r="F1944" i="2"/>
  <c r="C1950" i="2"/>
  <c r="G1950" i="2"/>
  <c r="F1950" i="2"/>
  <c r="E1950" i="2"/>
  <c r="C1956" i="2"/>
  <c r="G1956" i="2"/>
  <c r="E1956" i="2"/>
  <c r="F1956" i="2"/>
  <c r="C1962" i="2"/>
  <c r="G1962" i="2"/>
  <c r="F1962" i="2"/>
  <c r="C1968" i="2"/>
  <c r="G1968" i="2"/>
  <c r="F1968" i="2"/>
  <c r="E1968" i="2"/>
  <c r="C1974" i="2"/>
  <c r="G1974" i="2"/>
  <c r="F1974" i="2"/>
  <c r="E1974" i="2"/>
  <c r="C1980" i="2"/>
  <c r="G1980" i="2"/>
  <c r="F1980" i="2"/>
  <c r="C1986" i="2"/>
  <c r="G1986" i="2"/>
  <c r="F1986" i="2"/>
  <c r="E1986" i="2"/>
  <c r="C1992" i="2"/>
  <c r="G1992" i="2"/>
  <c r="F1992" i="2"/>
  <c r="E1992" i="2"/>
  <c r="C1998" i="2"/>
  <c r="G1998" i="2"/>
  <c r="F1998" i="2"/>
  <c r="C2004" i="2"/>
  <c r="G2004" i="2"/>
  <c r="F2004" i="2"/>
  <c r="E2004" i="2"/>
  <c r="C2010" i="2"/>
  <c r="G2010" i="2"/>
  <c r="F2010" i="2"/>
  <c r="E2010" i="2"/>
  <c r="C2016" i="2"/>
  <c r="G2016" i="2"/>
  <c r="F2016" i="2"/>
  <c r="C2022" i="2"/>
  <c r="G2022" i="2"/>
  <c r="F2022" i="2"/>
  <c r="E2022" i="2"/>
  <c r="C2028" i="2"/>
  <c r="G2028" i="2"/>
  <c r="F2028" i="2"/>
  <c r="E2028" i="2"/>
  <c r="C2034" i="2"/>
  <c r="G2034" i="2"/>
  <c r="F2034" i="2"/>
  <c r="C2040" i="2"/>
  <c r="G2040" i="2"/>
  <c r="F2040" i="2"/>
  <c r="E2040" i="2"/>
  <c r="C2046" i="2"/>
  <c r="G2046" i="2"/>
  <c r="F2046" i="2"/>
  <c r="E2046" i="2"/>
  <c r="C2052" i="2"/>
  <c r="G2052" i="2"/>
  <c r="F2052" i="2"/>
  <c r="C2058" i="2"/>
  <c r="G2058" i="2"/>
  <c r="F2058" i="2"/>
  <c r="E2058" i="2"/>
  <c r="C2064" i="2"/>
  <c r="G2064" i="2"/>
  <c r="E2064" i="2"/>
  <c r="F2064" i="2"/>
  <c r="C2070" i="2"/>
  <c r="G2070" i="2"/>
  <c r="F2070" i="2"/>
  <c r="C2076" i="2"/>
  <c r="G2076" i="2"/>
  <c r="F2076" i="2"/>
  <c r="E2076" i="2"/>
  <c r="C2082" i="2"/>
  <c r="G2082" i="2"/>
  <c r="F2082" i="2"/>
  <c r="E2082" i="2"/>
  <c r="C2088" i="2"/>
  <c r="G2088" i="2"/>
  <c r="F2088" i="2"/>
  <c r="C2094" i="2"/>
  <c r="G2094" i="2"/>
  <c r="F2094" i="2"/>
  <c r="E2094" i="2"/>
  <c r="C2100" i="2"/>
  <c r="G2100" i="2"/>
  <c r="F2100" i="2"/>
  <c r="E2100" i="2"/>
  <c r="C2106" i="2"/>
  <c r="G2106" i="2"/>
  <c r="F2106" i="2"/>
  <c r="C2112" i="2"/>
  <c r="G2112" i="2"/>
  <c r="F2112" i="2"/>
  <c r="E2112" i="2"/>
  <c r="C2118" i="2"/>
  <c r="G2118" i="2"/>
  <c r="F2118" i="2"/>
  <c r="E2118" i="2"/>
  <c r="C2124" i="2"/>
  <c r="G2124" i="2"/>
  <c r="F2124" i="2"/>
  <c r="C2130" i="2"/>
  <c r="G2130" i="2"/>
  <c r="F2130" i="2"/>
  <c r="E2130" i="2"/>
  <c r="C2136" i="2"/>
  <c r="G2136" i="2"/>
  <c r="F2136" i="2"/>
  <c r="E2136" i="2"/>
  <c r="C2142" i="2"/>
  <c r="G2142" i="2"/>
  <c r="F2142" i="2"/>
  <c r="C2148" i="2"/>
  <c r="G2148" i="2"/>
  <c r="F2148" i="2"/>
  <c r="E2148" i="2"/>
  <c r="C2154" i="2"/>
  <c r="G2154" i="2"/>
  <c r="F2154" i="2"/>
  <c r="E2154" i="2"/>
  <c r="C2160" i="2"/>
  <c r="G2160" i="2"/>
  <c r="F2160" i="2"/>
  <c r="C2166" i="2"/>
  <c r="G2166" i="2"/>
  <c r="F2166" i="2"/>
  <c r="E2166" i="2"/>
  <c r="C2172" i="2"/>
  <c r="G2172" i="2"/>
  <c r="F2172" i="2"/>
  <c r="E2172" i="2"/>
  <c r="G2178" i="2"/>
  <c r="F2178" i="2"/>
  <c r="G2184" i="2"/>
  <c r="F2184" i="2"/>
  <c r="E2184" i="2"/>
  <c r="C2190" i="2"/>
  <c r="G2190" i="2"/>
  <c r="F2190" i="2"/>
  <c r="E2190" i="2"/>
  <c r="C2196" i="2"/>
  <c r="G2196" i="2"/>
  <c r="F2196" i="2"/>
  <c r="C2202" i="2"/>
  <c r="G2202" i="2"/>
  <c r="F2202" i="2"/>
  <c r="E2202" i="2"/>
  <c r="C2208" i="2"/>
  <c r="G2208" i="2"/>
  <c r="F2208" i="2"/>
  <c r="E2208" i="2"/>
  <c r="C2214" i="2"/>
  <c r="G2214" i="2"/>
  <c r="F2214" i="2"/>
  <c r="D2214" i="2"/>
  <c r="D2208" i="2"/>
  <c r="D2202" i="2"/>
  <c r="D2196" i="2"/>
  <c r="D2190" i="2"/>
  <c r="D2184" i="2"/>
  <c r="D2178" i="2"/>
  <c r="D2172" i="2"/>
  <c r="D2166" i="2"/>
  <c r="D2160" i="2"/>
  <c r="D2154" i="2"/>
  <c r="D2148" i="2"/>
  <c r="D2142" i="2"/>
  <c r="D2136" i="2"/>
  <c r="D2130" i="2"/>
  <c r="D2124" i="2"/>
  <c r="D2118" i="2"/>
  <c r="D2112" i="2"/>
  <c r="D2106" i="2"/>
  <c r="D2100" i="2"/>
  <c r="D2094" i="2"/>
  <c r="D2088" i="2"/>
  <c r="D2082" i="2"/>
  <c r="D2076" i="2"/>
  <c r="D2070" i="2"/>
  <c r="D2064" i="2"/>
  <c r="D2058" i="2"/>
  <c r="D2052" i="2"/>
  <c r="D2046" i="2"/>
  <c r="D2040" i="2"/>
  <c r="D2034" i="2"/>
  <c r="D2028" i="2"/>
  <c r="D2022" i="2"/>
  <c r="D2016" i="2"/>
  <c r="D2010" i="2"/>
  <c r="D2004" i="2"/>
  <c r="D1998" i="2"/>
  <c r="D1992" i="2"/>
  <c r="D1986" i="2"/>
  <c r="D1980" i="2"/>
  <c r="D1974" i="2"/>
  <c r="D1968" i="2"/>
  <c r="D1962" i="2"/>
  <c r="D1956" i="2"/>
  <c r="D1950" i="2"/>
  <c r="D1944" i="2"/>
  <c r="D1938" i="2"/>
  <c r="D1932" i="2"/>
  <c r="D1926" i="2"/>
  <c r="D1920" i="2"/>
  <c r="D1914" i="2"/>
  <c r="D22" i="2"/>
  <c r="D68" i="2"/>
  <c r="D1901" i="2"/>
  <c r="D1895" i="2"/>
  <c r="D1889" i="2"/>
  <c r="D1883" i="2"/>
  <c r="D1877" i="2"/>
  <c r="D1871" i="2"/>
  <c r="D1865" i="2"/>
  <c r="D1859" i="2"/>
  <c r="D1853" i="2"/>
  <c r="C2143" i="2"/>
  <c r="G2143" i="2"/>
  <c r="E2143" i="2"/>
  <c r="F2143" i="2"/>
  <c r="C2149" i="2"/>
  <c r="G2149" i="2"/>
  <c r="F2149" i="2"/>
  <c r="E2149" i="2"/>
  <c r="C2155" i="2"/>
  <c r="G2155" i="2"/>
  <c r="F2155" i="2"/>
  <c r="E2155" i="2"/>
  <c r="C2161" i="2"/>
  <c r="G2161" i="2"/>
  <c r="F2161" i="2"/>
  <c r="E2161" i="2"/>
  <c r="C2167" i="2"/>
  <c r="F2167" i="2"/>
  <c r="G2167" i="2"/>
  <c r="E2167" i="2"/>
  <c r="C2173" i="2"/>
  <c r="G2173" i="2"/>
  <c r="F2173" i="2"/>
  <c r="E2173" i="2"/>
  <c r="C2179" i="2"/>
  <c r="G2179" i="2"/>
  <c r="E2179" i="2"/>
  <c r="F2179" i="2"/>
  <c r="C2185" i="2"/>
  <c r="G2185" i="2"/>
  <c r="F2185" i="2"/>
  <c r="E2185" i="2"/>
  <c r="C2191" i="2"/>
  <c r="G2191" i="2"/>
  <c r="F2191" i="2"/>
  <c r="E2191" i="2"/>
  <c r="C2197" i="2"/>
  <c r="G2197" i="2"/>
  <c r="F2197" i="2"/>
  <c r="E2197" i="2"/>
  <c r="C2203" i="2"/>
  <c r="G2203" i="2"/>
  <c r="F2203" i="2"/>
  <c r="E2203" i="2"/>
  <c r="C2209" i="2"/>
  <c r="G2209" i="2"/>
  <c r="E2209" i="2"/>
  <c r="F2209" i="2"/>
  <c r="E2214" i="2"/>
  <c r="E2160" i="2"/>
  <c r="E2106" i="2"/>
  <c r="E2052" i="2"/>
  <c r="E1998" i="2"/>
  <c r="E1944" i="2"/>
  <c r="E1895" i="2"/>
  <c r="H746" i="2" l="1"/>
  <c r="H602" i="2"/>
  <c r="H1005" i="2"/>
  <c r="H897" i="2"/>
  <c r="H789" i="2"/>
  <c r="H682" i="2"/>
  <c r="H502" i="2"/>
  <c r="H310" i="2"/>
  <c r="H1181" i="2"/>
  <c r="H55" i="2"/>
  <c r="H969" i="2"/>
  <c r="H939" i="2"/>
  <c r="H861" i="2"/>
  <c r="H831" i="2"/>
  <c r="H754" i="2"/>
  <c r="H724" i="2"/>
  <c r="H646" i="2"/>
  <c r="H2213" i="2"/>
  <c r="H2196" i="2"/>
  <c r="H1715" i="2"/>
  <c r="H1452" i="2"/>
  <c r="H2131" i="2"/>
  <c r="H2095" i="2"/>
  <c r="H2059" i="2"/>
  <c r="H2023" i="2"/>
  <c r="H1987" i="2"/>
  <c r="H1951" i="2"/>
  <c r="H1915" i="2"/>
  <c r="H1884" i="2"/>
  <c r="H1848" i="2"/>
  <c r="H1812" i="2"/>
  <c r="H1776" i="2"/>
  <c r="H1740" i="2"/>
  <c r="H1705" i="2"/>
  <c r="H1669" i="2"/>
  <c r="H1633" i="2"/>
  <c r="H1597" i="2"/>
  <c r="H1561" i="2"/>
  <c r="H1525" i="2"/>
  <c r="H1489" i="2"/>
  <c r="H1453" i="2"/>
  <c r="H1417" i="2"/>
  <c r="H1381" i="2"/>
  <c r="H1345" i="2"/>
  <c r="H1309" i="2"/>
  <c r="H1273" i="2"/>
  <c r="H1237" i="2"/>
  <c r="H1213" i="2"/>
  <c r="H1130" i="2"/>
  <c r="H1106" i="2"/>
  <c r="H1029" i="2"/>
  <c r="H945" i="2"/>
  <c r="H921" i="2"/>
  <c r="H837" i="2"/>
  <c r="H813" i="2"/>
  <c r="H730" i="2"/>
  <c r="H706" i="2"/>
  <c r="H622" i="2"/>
  <c r="H592" i="2"/>
  <c r="H562" i="2"/>
  <c r="H532" i="2"/>
  <c r="H466" i="2"/>
  <c r="H430" i="2"/>
  <c r="H394" i="2"/>
  <c r="H334" i="2"/>
  <c r="H281" i="2"/>
  <c r="H227" i="2"/>
  <c r="H167" i="2"/>
  <c r="H137" i="2"/>
  <c r="H116" i="2"/>
  <c r="H96" i="2"/>
  <c r="H79" i="2"/>
  <c r="H1841" i="2"/>
  <c r="H1811" i="2"/>
  <c r="H1775" i="2"/>
  <c r="H1745" i="2"/>
  <c r="H1680" i="2"/>
  <c r="H1518" i="2"/>
  <c r="H1482" i="2"/>
  <c r="H1416" i="2"/>
  <c r="H1386" i="2"/>
  <c r="H1350" i="2"/>
  <c r="H1314" i="2"/>
  <c r="H1278" i="2"/>
  <c r="H1242" i="2"/>
  <c r="H1206" i="2"/>
  <c r="H1170" i="2"/>
  <c r="H1135" i="2"/>
  <c r="H1099" i="2"/>
  <c r="H1064" i="2"/>
  <c r="H1028" i="2"/>
  <c r="H992" i="2"/>
  <c r="H956" i="2"/>
  <c r="H920" i="2"/>
  <c r="H363" i="2"/>
  <c r="H2129" i="2"/>
  <c r="H2093" i="2"/>
  <c r="H2057" i="2"/>
  <c r="H2021" i="2"/>
  <c r="H1985" i="2"/>
  <c r="H1949" i="2"/>
  <c r="H1913" i="2"/>
  <c r="H1882" i="2"/>
  <c r="H1846" i="2"/>
  <c r="H1810" i="2"/>
  <c r="H1774" i="2"/>
  <c r="H1738" i="2"/>
  <c r="H1703" i="2"/>
  <c r="H1667" i="2"/>
  <c r="H1631" i="2"/>
  <c r="H1595" i="2"/>
  <c r="H1559" i="2"/>
  <c r="H1523" i="2"/>
  <c r="H1487" i="2"/>
  <c r="H1451" i="2"/>
  <c r="H1415" i="2"/>
  <c r="H1379" i="2"/>
  <c r="H1343" i="2"/>
  <c r="H1307" i="2"/>
  <c r="H1271" i="2"/>
  <c r="H1235" i="2"/>
  <c r="H1152" i="2"/>
  <c r="H1128" i="2"/>
  <c r="H1045" i="2"/>
  <c r="H979" i="2"/>
  <c r="H955" i="2"/>
  <c r="H871" i="2"/>
  <c r="H847" i="2"/>
  <c r="H770" i="2"/>
  <c r="H686" i="2"/>
  <c r="H662" i="2"/>
  <c r="H632" i="2"/>
  <c r="H536" i="2"/>
  <c r="H506" i="2"/>
  <c r="H476" i="2"/>
  <c r="H422" i="2"/>
  <c r="H392" i="2"/>
  <c r="H356" i="2"/>
  <c r="H320" i="2"/>
  <c r="H284" i="2"/>
  <c r="H249" i="2"/>
  <c r="H213" i="2"/>
  <c r="H177" i="2"/>
  <c r="H141" i="2"/>
  <c r="H69" i="2"/>
  <c r="H39" i="2"/>
  <c r="H74" i="2"/>
  <c r="H1821" i="2"/>
  <c r="H1785" i="2"/>
  <c r="H1749" i="2"/>
  <c r="H1713" i="2"/>
  <c r="H1678" i="2"/>
  <c r="H1642" i="2"/>
  <c r="H1606" i="2"/>
  <c r="H1570" i="2"/>
  <c r="H1534" i="2"/>
  <c r="H1498" i="2"/>
  <c r="H2155" i="2"/>
  <c r="H2058" i="2"/>
  <c r="H1950" i="2"/>
  <c r="H1920" i="2"/>
  <c r="H1650" i="2"/>
  <c r="H1614" i="2"/>
  <c r="H1584" i="2"/>
  <c r="H884" i="2"/>
  <c r="H848" i="2"/>
  <c r="H812" i="2"/>
  <c r="H777" i="2"/>
  <c r="H741" i="2"/>
  <c r="H705" i="2"/>
  <c r="H669" i="2"/>
  <c r="H633" i="2"/>
  <c r="H597" i="2"/>
  <c r="H561" i="2"/>
  <c r="H525" i="2"/>
  <c r="H483" i="2"/>
  <c r="H447" i="2"/>
  <c r="H411" i="2"/>
  <c r="H513" i="2"/>
  <c r="H327" i="2"/>
  <c r="H291" i="2"/>
  <c r="H256" i="2"/>
  <c r="H220" i="2"/>
  <c r="H184" i="2"/>
  <c r="H148" i="2"/>
  <c r="H30" i="2"/>
  <c r="H63" i="2"/>
  <c r="H78" i="2"/>
  <c r="H1021" i="2"/>
  <c r="H967" i="2"/>
  <c r="H937" i="2"/>
  <c r="H913" i="2"/>
  <c r="H859" i="2"/>
  <c r="H829" i="2"/>
  <c r="H805" i="2"/>
  <c r="H728" i="2"/>
  <c r="H704" i="2"/>
  <c r="H644" i="2"/>
  <c r="H614" i="2"/>
  <c r="H2166" i="2"/>
  <c r="H2136" i="2"/>
  <c r="H2028" i="2"/>
  <c r="H1565" i="2"/>
  <c r="H1529" i="2"/>
  <c r="H1493" i="2"/>
  <c r="H1457" i="2"/>
  <c r="H1421" i="2"/>
  <c r="H1385" i="2"/>
  <c r="H1349" i="2"/>
  <c r="H1313" i="2"/>
  <c r="H1277" i="2"/>
  <c r="H1241" i="2"/>
  <c r="H1158" i="2"/>
  <c r="H1134" i="2"/>
  <c r="H1051" i="2"/>
  <c r="H1027" i="2"/>
  <c r="H943" i="2"/>
  <c r="H919" i="2"/>
  <c r="H835" i="2"/>
  <c r="H1571" i="2"/>
  <c r="H1535" i="2"/>
  <c r="H1499" i="2"/>
  <c r="H1463" i="2"/>
  <c r="H1427" i="2"/>
  <c r="H1391" i="2"/>
  <c r="H1355" i="2"/>
  <c r="H1319" i="2"/>
  <c r="H1283" i="2"/>
  <c r="H1247" i="2"/>
  <c r="H1187" i="2"/>
  <c r="H1164" i="2"/>
  <c r="H1140" i="2"/>
  <c r="H1080" i="2"/>
  <c r="H1057" i="2"/>
  <c r="H1033" i="2"/>
  <c r="H973" i="2"/>
  <c r="H949" i="2"/>
  <c r="H925" i="2"/>
  <c r="H1649" i="2"/>
  <c r="H1613" i="2"/>
  <c r="H1577" i="2"/>
  <c r="H1541" i="2"/>
  <c r="H1505" i="2"/>
  <c r="H1469" i="2"/>
  <c r="H1433" i="2"/>
  <c r="H1397" i="2"/>
  <c r="H1361" i="2"/>
  <c r="H1325" i="2"/>
  <c r="H1289" i="2"/>
  <c r="H1253" i="2"/>
  <c r="H1193" i="2"/>
  <c r="H19" i="2"/>
  <c r="H1086" i="2"/>
  <c r="H1063" i="2"/>
  <c r="H328" i="2"/>
  <c r="H275" i="2"/>
  <c r="H221" i="2"/>
  <c r="H161" i="2"/>
  <c r="H1769" i="2"/>
  <c r="H1608" i="2"/>
  <c r="H1476" i="2"/>
  <c r="H1655" i="2"/>
  <c r="H1619" i="2"/>
  <c r="H1583" i="2"/>
  <c r="H1547" i="2"/>
  <c r="H1511" i="2"/>
  <c r="H1475" i="2"/>
  <c r="H1439" i="2"/>
  <c r="H1403" i="2"/>
  <c r="H1367" i="2"/>
  <c r="H1331" i="2"/>
  <c r="H1295" i="2"/>
  <c r="H1259" i="2"/>
  <c r="H1223" i="2"/>
  <c r="H1199" i="2"/>
  <c r="H1175" i="2"/>
  <c r="H1116" i="2"/>
  <c r="H1092" i="2"/>
  <c r="H1069" i="2"/>
  <c r="H1009" i="2"/>
  <c r="H985" i="2"/>
  <c r="H961" i="2"/>
  <c r="H901" i="2"/>
  <c r="H877" i="2"/>
  <c r="H853" i="2"/>
  <c r="H793" i="2"/>
  <c r="H776" i="2"/>
  <c r="H1589" i="2"/>
  <c r="H1553" i="2"/>
  <c r="H1517" i="2"/>
  <c r="H1481" i="2"/>
  <c r="H1445" i="2"/>
  <c r="H1409" i="2"/>
  <c r="H1373" i="2"/>
  <c r="H1337" i="2"/>
  <c r="H1301" i="2"/>
  <c r="H1265" i="2"/>
  <c r="H1229" i="2"/>
  <c r="H1205" i="2"/>
  <c r="H1122" i="2"/>
  <c r="H1098" i="2"/>
  <c r="H1015" i="2"/>
  <c r="H991" i="2"/>
  <c r="H584" i="2"/>
  <c r="H554" i="2"/>
  <c r="H524" i="2"/>
  <c r="H464" i="2"/>
  <c r="H434" i="2"/>
  <c r="H410" i="2"/>
  <c r="H374" i="2"/>
  <c r="H338" i="2"/>
  <c r="H302" i="2"/>
  <c r="H267" i="2"/>
  <c r="H231" i="2"/>
  <c r="H195" i="2"/>
  <c r="H159" i="2"/>
  <c r="H127" i="2"/>
  <c r="H65" i="2"/>
  <c r="H43" i="2"/>
  <c r="H8" i="2"/>
  <c r="H2200" i="2"/>
  <c r="H2146" i="2"/>
  <c r="H2110" i="2"/>
  <c r="H2074" i="2"/>
  <c r="H2038" i="2"/>
  <c r="H2002" i="2"/>
  <c r="H1966" i="2"/>
  <c r="H1930" i="2"/>
  <c r="H1899" i="2"/>
  <c r="H1863" i="2"/>
  <c r="H1839" i="2"/>
  <c r="H1803" i="2"/>
  <c r="H1767" i="2"/>
  <c r="H1731" i="2"/>
  <c r="H1696" i="2"/>
  <c r="H1660" i="2"/>
  <c r="H1624" i="2"/>
  <c r="H1588" i="2"/>
  <c r="H1552" i="2"/>
  <c r="H1516" i="2"/>
  <c r="H811" i="2"/>
  <c r="H758" i="2"/>
  <c r="H734" i="2"/>
  <c r="H710" i="2"/>
  <c r="H650" i="2"/>
  <c r="H620" i="2"/>
  <c r="H590" i="2"/>
  <c r="H560" i="2"/>
  <c r="H440" i="2"/>
  <c r="H380" i="2"/>
  <c r="H344" i="2"/>
  <c r="H308" i="2"/>
  <c r="H273" i="2"/>
  <c r="H237" i="2"/>
  <c r="H201" i="2"/>
  <c r="H165" i="2"/>
  <c r="H48" i="2"/>
  <c r="H106" i="2"/>
  <c r="H87" i="2"/>
  <c r="H50" i="2"/>
  <c r="H1845" i="2"/>
  <c r="H1809" i="2"/>
  <c r="H1773" i="2"/>
  <c r="H1737" i="2"/>
  <c r="H1702" i="2"/>
  <c r="H1666" i="2"/>
  <c r="H1630" i="2"/>
  <c r="H1594" i="2"/>
  <c r="H1558" i="2"/>
  <c r="H1522" i="2"/>
  <c r="H1486" i="2"/>
  <c r="H1450" i="2"/>
  <c r="H1414" i="2"/>
  <c r="H827" i="2"/>
  <c r="H756" i="2"/>
  <c r="H414" i="2"/>
  <c r="H336" i="2"/>
  <c r="H259" i="2"/>
  <c r="H187" i="2"/>
  <c r="H121" i="2"/>
  <c r="H134" i="2"/>
  <c r="H1431" i="2"/>
  <c r="H1305" i="2"/>
  <c r="H1185" i="2"/>
  <c r="H1114" i="2"/>
  <c r="H1049" i="2"/>
  <c r="H977" i="2"/>
  <c r="H865" i="2"/>
  <c r="H841" i="2"/>
  <c r="H817" i="2"/>
  <c r="H764" i="2"/>
  <c r="H740" i="2"/>
  <c r="H656" i="2"/>
  <c r="H626" i="2"/>
  <c r="H596" i="2"/>
  <c r="H500" i="2"/>
  <c r="H470" i="2"/>
  <c r="H416" i="2"/>
  <c r="H386" i="2"/>
  <c r="H350" i="2"/>
  <c r="H314" i="2"/>
  <c r="H279" i="2"/>
  <c r="H243" i="2"/>
  <c r="H207" i="2"/>
  <c r="H171" i="2"/>
  <c r="H135" i="2"/>
  <c r="H111" i="2"/>
  <c r="H91" i="2"/>
  <c r="H31" i="2"/>
  <c r="H2134" i="2"/>
  <c r="H2098" i="2"/>
  <c r="H2062" i="2"/>
  <c r="H2026" i="2"/>
  <c r="H1990" i="2"/>
  <c r="H1954" i="2"/>
  <c r="H1918" i="2"/>
  <c r="H1887" i="2"/>
  <c r="H1851" i="2"/>
  <c r="H1815" i="2"/>
  <c r="H1779" i="2"/>
  <c r="H1743" i="2"/>
  <c r="H1708" i="2"/>
  <c r="H1672" i="2"/>
  <c r="H1636" i="2"/>
  <c r="H692" i="2"/>
  <c r="H668" i="2"/>
  <c r="H638" i="2"/>
  <c r="H572" i="2"/>
  <c r="H542" i="2"/>
  <c r="H512" i="2"/>
  <c r="H482" i="2"/>
  <c r="H452" i="2"/>
  <c r="H398" i="2"/>
  <c r="H362" i="2"/>
  <c r="H326" i="2"/>
  <c r="H290" i="2"/>
  <c r="H255" i="2"/>
  <c r="H219" i="2"/>
  <c r="H183" i="2"/>
  <c r="H147" i="2"/>
  <c r="H119" i="2"/>
  <c r="H108" i="2"/>
  <c r="H21" i="2"/>
  <c r="H2212" i="2"/>
  <c r="H2194" i="2"/>
  <c r="H2176" i="2"/>
  <c r="H2158" i="2"/>
  <c r="H2122" i="2"/>
  <c r="H2086" i="2"/>
  <c r="H2050" i="2"/>
  <c r="H2014" i="2"/>
  <c r="H1978" i="2"/>
  <c r="H1942" i="2"/>
  <c r="H1907" i="2"/>
  <c r="H1875" i="2"/>
  <c r="H1827" i="2"/>
  <c r="H1791" i="2"/>
  <c r="H1755" i="2"/>
  <c r="H1719" i="2"/>
  <c r="H1684" i="2"/>
  <c r="H1648" i="2"/>
  <c r="H907" i="2"/>
  <c r="H883" i="2"/>
  <c r="H799" i="2"/>
  <c r="H752" i="2"/>
  <c r="H722" i="2"/>
  <c r="H698" i="2"/>
  <c r="H608" i="2"/>
  <c r="H578" i="2"/>
  <c r="H548" i="2"/>
  <c r="H518" i="2"/>
  <c r="H488" i="2"/>
  <c r="H458" i="2"/>
  <c r="H404" i="2"/>
  <c r="H368" i="2"/>
  <c r="H332" i="2"/>
  <c r="H296" i="2"/>
  <c r="H261" i="2"/>
  <c r="H225" i="2"/>
  <c r="H189" i="2"/>
  <c r="H153" i="2"/>
  <c r="H123" i="2"/>
  <c r="H99" i="2"/>
  <c r="H80" i="2"/>
  <c r="H1833" i="2"/>
  <c r="H1797" i="2"/>
  <c r="H1761" i="2"/>
  <c r="H1725" i="2"/>
  <c r="H1690" i="2"/>
  <c r="H1654" i="2"/>
  <c r="H1618" i="2"/>
  <c r="H1582" i="2"/>
  <c r="H1546" i="2"/>
  <c r="H1510" i="2"/>
  <c r="H1474" i="2"/>
  <c r="H1438" i="2"/>
  <c r="H1402" i="2"/>
  <c r="H1366" i="2"/>
  <c r="H1330" i="2"/>
  <c r="H1294" i="2"/>
  <c r="H1258" i="2"/>
  <c r="H1222" i="2"/>
  <c r="H1198" i="2"/>
  <c r="H1145" i="2"/>
  <c r="H1121" i="2"/>
  <c r="H1097" i="2"/>
  <c r="H1038" i="2"/>
  <c r="H1014" i="2"/>
  <c r="H990" i="2"/>
  <c r="H930" i="2"/>
  <c r="H906" i="2"/>
  <c r="H882" i="2"/>
  <c r="H822" i="2"/>
  <c r="H798" i="2"/>
  <c r="H775" i="2"/>
  <c r="H715" i="2"/>
  <c r="H691" i="2"/>
  <c r="H667" i="2"/>
  <c r="H601" i="2"/>
  <c r="H571" i="2"/>
  <c r="H541" i="2"/>
  <c r="H511" i="2"/>
  <c r="H481" i="2"/>
  <c r="H445" i="2"/>
  <c r="H409" i="2"/>
  <c r="H373" i="2"/>
  <c r="H337" i="2"/>
  <c r="H301" i="2"/>
  <c r="H266" i="2"/>
  <c r="H230" i="2"/>
  <c r="H194" i="2"/>
  <c r="H158" i="2"/>
  <c r="H126" i="2"/>
  <c r="H27" i="2"/>
  <c r="H84" i="2"/>
  <c r="H4" i="2"/>
  <c r="H2180" i="2"/>
  <c r="H1843" i="2"/>
  <c r="H1819" i="2"/>
  <c r="H1783" i="2"/>
  <c r="H1747" i="2"/>
  <c r="H1711" i="2"/>
  <c r="H1676" i="2"/>
  <c r="H1640" i="2"/>
  <c r="H1604" i="2"/>
  <c r="H1568" i="2"/>
  <c r="H1459" i="2"/>
  <c r="H1423" i="2"/>
  <c r="H1387" i="2"/>
  <c r="H1351" i="2"/>
  <c r="H1315" i="2"/>
  <c r="H1279" i="2"/>
  <c r="H1243" i="2"/>
  <c r="H1219" i="2"/>
  <c r="H1160" i="2"/>
  <c r="H1136" i="2"/>
  <c r="H1112" i="2"/>
  <c r="H1053" i="2"/>
  <c r="H1035" i="2"/>
  <c r="H951" i="2"/>
  <c r="H927" i="2"/>
  <c r="H843" i="2"/>
  <c r="H819" i="2"/>
  <c r="H736" i="2"/>
  <c r="H712" i="2"/>
  <c r="H628" i="2"/>
  <c r="H598" i="2"/>
  <c r="H568" i="2"/>
  <c r="H538" i="2"/>
  <c r="H472" i="2"/>
  <c r="H436" i="2"/>
  <c r="H400" i="2"/>
  <c r="H340" i="2"/>
  <c r="H286" i="2"/>
  <c r="H233" i="2"/>
  <c r="H203" i="2"/>
  <c r="H173" i="2"/>
  <c r="H143" i="2"/>
  <c r="H120" i="2"/>
  <c r="H1465" i="2"/>
  <c r="H1429" i="2"/>
  <c r="H1393" i="2"/>
  <c r="H1357" i="2"/>
  <c r="H1321" i="2"/>
  <c r="H1285" i="2"/>
  <c r="H1249" i="2"/>
  <c r="H1166" i="2"/>
  <c r="H1142" i="2"/>
  <c r="H1059" i="2"/>
  <c r="H1041" i="2"/>
  <c r="H1011" i="2"/>
  <c r="H981" i="2"/>
  <c r="H957" i="2"/>
  <c r="H933" i="2"/>
  <c r="H903" i="2"/>
  <c r="H873" i="2"/>
  <c r="H849" i="2"/>
  <c r="H825" i="2"/>
  <c r="H795" i="2"/>
  <c r="H766" i="2"/>
  <c r="H742" i="2"/>
  <c r="H718" i="2"/>
  <c r="H688" i="2"/>
  <c r="H658" i="2"/>
  <c r="H634" i="2"/>
  <c r="H604" i="2"/>
  <c r="H574" i="2"/>
  <c r="H508" i="2"/>
  <c r="H478" i="2"/>
  <c r="H442" i="2"/>
  <c r="H406" i="2"/>
  <c r="H370" i="2"/>
  <c r="H346" i="2"/>
  <c r="H1471" i="2"/>
  <c r="H1435" i="2"/>
  <c r="H1399" i="2"/>
  <c r="H1363" i="2"/>
  <c r="H1327" i="2"/>
  <c r="H1291" i="2"/>
  <c r="H1255" i="2"/>
  <c r="H1225" i="2"/>
  <c r="H1195" i="2"/>
  <c r="H1171" i="2"/>
  <c r="H1148" i="2"/>
  <c r="H1118" i="2"/>
  <c r="H1088" i="2"/>
  <c r="H1065" i="2"/>
  <c r="H987" i="2"/>
  <c r="H963" i="2"/>
  <c r="H879" i="2"/>
  <c r="H855" i="2"/>
  <c r="H772" i="2"/>
  <c r="H748" i="2"/>
  <c r="H664" i="2"/>
  <c r="H640" i="2"/>
  <c r="H544" i="2"/>
  <c r="H514" i="2"/>
  <c r="H484" i="2"/>
  <c r="H448" i="2"/>
  <c r="H412" i="2"/>
  <c r="H376" i="2"/>
  <c r="H322" i="2"/>
  <c r="H269" i="2"/>
  <c r="H215" i="2"/>
  <c r="H185" i="2"/>
  <c r="H155" i="2"/>
  <c r="H128" i="2"/>
  <c r="H2185" i="2"/>
  <c r="H2167" i="2"/>
  <c r="H2130" i="2"/>
  <c r="H1889" i="2"/>
  <c r="H1477" i="2"/>
  <c r="H1441" i="2"/>
  <c r="H1405" i="2"/>
  <c r="H1369" i="2"/>
  <c r="H1333" i="2"/>
  <c r="H1297" i="2"/>
  <c r="H1261" i="2"/>
  <c r="H1201" i="2"/>
  <c r="H1177" i="2"/>
  <c r="H1094" i="2"/>
  <c r="H1071" i="2"/>
  <c r="H1017" i="2"/>
  <c r="H993" i="2"/>
  <c r="H909" i="2"/>
  <c r="H885" i="2"/>
  <c r="H801" i="2"/>
  <c r="H778" i="2"/>
  <c r="H694" i="2"/>
  <c r="H670" i="2"/>
  <c r="H580" i="2"/>
  <c r="H550" i="2"/>
  <c r="H520" i="2"/>
  <c r="H490" i="2"/>
  <c r="H454" i="2"/>
  <c r="H418" i="2"/>
  <c r="H382" i="2"/>
  <c r="H352" i="2"/>
  <c r="H298" i="2"/>
  <c r="H245" i="2"/>
  <c r="H191" i="2"/>
  <c r="H47" i="2"/>
  <c r="H92" i="2"/>
  <c r="H58" i="2"/>
  <c r="H1829" i="2"/>
  <c r="H1799" i="2"/>
  <c r="H2203" i="2"/>
  <c r="H2149" i="2"/>
  <c r="H2100" i="2"/>
  <c r="H2022" i="2"/>
  <c r="H1992" i="2"/>
  <c r="H1699" i="2"/>
  <c r="H1663" i="2"/>
  <c r="H1627" i="2"/>
  <c r="H1591" i="2"/>
  <c r="H1555" i="2"/>
  <c r="H1519" i="2"/>
  <c r="H1483" i="2"/>
  <c r="H1447" i="2"/>
  <c r="H1411" i="2"/>
  <c r="H1375" i="2"/>
  <c r="H1339" i="2"/>
  <c r="H1303" i="2"/>
  <c r="H1267" i="2"/>
  <c r="H1231" i="2"/>
  <c r="H1207" i="2"/>
  <c r="H1183" i="2"/>
  <c r="H1154" i="2"/>
  <c r="H1124" i="2"/>
  <c r="H1100" i="2"/>
  <c r="H1076" i="2"/>
  <c r="H1047" i="2"/>
  <c r="H1023" i="2"/>
  <c r="H999" i="2"/>
  <c r="H915" i="2"/>
  <c r="H891" i="2"/>
  <c r="H807" i="2"/>
  <c r="H784" i="2"/>
  <c r="H700" i="2"/>
  <c r="H676" i="2"/>
  <c r="H1211" i="2"/>
  <c r="H1104" i="2"/>
  <c r="H997" i="2"/>
  <c r="H889" i="2"/>
  <c r="H494" i="2"/>
  <c r="H2182" i="2"/>
  <c r="H2164" i="2"/>
  <c r="H2128" i="2"/>
  <c r="H2092" i="2"/>
  <c r="H2056" i="2"/>
  <c r="H2020" i="2"/>
  <c r="H1984" i="2"/>
  <c r="H1948" i="2"/>
  <c r="H1912" i="2"/>
  <c r="H1881" i="2"/>
  <c r="H101" i="2"/>
  <c r="H33" i="2"/>
  <c r="H1847" i="2"/>
  <c r="H1817" i="2"/>
  <c r="H1781" i="2"/>
  <c r="H1751" i="2"/>
  <c r="H1686" i="2"/>
  <c r="H1656" i="2"/>
  <c r="H1620" i="2"/>
  <c r="H1590" i="2"/>
  <c r="H1554" i="2"/>
  <c r="H1524" i="2"/>
  <c r="H1488" i="2"/>
  <c r="H1458" i="2"/>
  <c r="H1422" i="2"/>
  <c r="H1392" i="2"/>
  <c r="H1356" i="2"/>
  <c r="H1320" i="2"/>
  <c r="H1284" i="2"/>
  <c r="H1248" i="2"/>
  <c r="H1212" i="2"/>
  <c r="H1176" i="2"/>
  <c r="H1141" i="2"/>
  <c r="H1105" i="2"/>
  <c r="H1070" i="2"/>
  <c r="H1034" i="2"/>
  <c r="H998" i="2"/>
  <c r="H962" i="2"/>
  <c r="H926" i="2"/>
  <c r="H890" i="2"/>
  <c r="H854" i="2"/>
  <c r="H818" i="2"/>
  <c r="H783" i="2"/>
  <c r="H747" i="2"/>
  <c r="H711" i="2"/>
  <c r="H675" i="2"/>
  <c r="H639" i="2"/>
  <c r="H603" i="2"/>
  <c r="H567" i="2"/>
  <c r="H531" i="2"/>
  <c r="H489" i="2"/>
  <c r="H453" i="2"/>
  <c r="H417" i="2"/>
  <c r="H375" i="2"/>
  <c r="H333" i="2"/>
  <c r="H297" i="2"/>
  <c r="H262" i="2"/>
  <c r="H226" i="2"/>
  <c r="H190" i="2"/>
  <c r="H154" i="2"/>
  <c r="H1905" i="2"/>
  <c r="H100" i="2"/>
  <c r="H81" i="2"/>
  <c r="H6" i="2"/>
  <c r="H2189" i="2"/>
  <c r="H2171" i="2"/>
  <c r="H2135" i="2"/>
  <c r="H2099" i="2"/>
  <c r="H2063" i="2"/>
  <c r="H2027" i="2"/>
  <c r="H1991" i="2"/>
  <c r="H1955" i="2"/>
  <c r="H1919" i="2"/>
  <c r="H1888" i="2"/>
  <c r="H1852" i="2"/>
  <c r="H1816" i="2"/>
  <c r="H1780" i="2"/>
  <c r="H1744" i="2"/>
  <c r="H1709" i="2"/>
  <c r="H1673" i="2"/>
  <c r="H1637" i="2"/>
  <c r="H1601" i="2"/>
  <c r="H680" i="2"/>
  <c r="H530" i="2"/>
  <c r="H316" i="2"/>
  <c r="H292" i="2"/>
  <c r="H263" i="2"/>
  <c r="H239" i="2"/>
  <c r="H209" i="2"/>
  <c r="H179" i="2"/>
  <c r="H149" i="2"/>
  <c r="H38" i="2"/>
  <c r="H44" i="2"/>
  <c r="H5" i="2"/>
  <c r="H1823" i="2"/>
  <c r="H1787" i="2"/>
  <c r="H1757" i="2"/>
  <c r="H1721" i="2"/>
  <c r="H1692" i="2"/>
  <c r="H1626" i="2"/>
  <c r="H1596" i="2"/>
  <c r="H1560" i="2"/>
  <c r="H1530" i="2"/>
  <c r="H1494" i="2"/>
  <c r="H1464" i="2"/>
  <c r="H1428" i="2"/>
  <c r="H1398" i="2"/>
  <c r="H1362" i="2"/>
  <c r="H1326" i="2"/>
  <c r="H1290" i="2"/>
  <c r="H1254" i="2"/>
  <c r="H1218" i="2"/>
  <c r="H1182" i="2"/>
  <c r="H1147" i="2"/>
  <c r="H1111" i="2"/>
  <c r="H1075" i="2"/>
  <c r="H1040" i="2"/>
  <c r="H1004" i="2"/>
  <c r="H968" i="2"/>
  <c r="H932" i="2"/>
  <c r="H896" i="2"/>
  <c r="H860" i="2"/>
  <c r="H824" i="2"/>
  <c r="H64" i="2"/>
  <c r="H753" i="2"/>
  <c r="H717" i="2"/>
  <c r="H681" i="2"/>
  <c r="H645" i="2"/>
  <c r="H609" i="2"/>
  <c r="H573" i="2"/>
  <c r="H537" i="2"/>
  <c r="H495" i="2"/>
  <c r="H459" i="2"/>
  <c r="H423" i="2"/>
  <c r="H381" i="2"/>
  <c r="H339" i="2"/>
  <c r="H303" i="2"/>
  <c r="H268" i="2"/>
  <c r="H232" i="2"/>
  <c r="H196" i="2"/>
  <c r="H160" i="2"/>
  <c r="H26" i="2"/>
  <c r="H61" i="2"/>
  <c r="H85" i="2"/>
  <c r="H11" i="2"/>
  <c r="H2201" i="2"/>
  <c r="H2177" i="2"/>
  <c r="H2165" i="2"/>
  <c r="H2141" i="2"/>
  <c r="H2105" i="2"/>
  <c r="H2069" i="2"/>
  <c r="H2033" i="2"/>
  <c r="H1997" i="2"/>
  <c r="H1961" i="2"/>
  <c r="H1925" i="2"/>
  <c r="H1894" i="2"/>
  <c r="H1858" i="2"/>
  <c r="H1822" i="2"/>
  <c r="H1786" i="2"/>
  <c r="H1750" i="2"/>
  <c r="H1714" i="2"/>
  <c r="H1679" i="2"/>
  <c r="H1643" i="2"/>
  <c r="H1607" i="2"/>
  <c r="H1217" i="2"/>
  <c r="H1110" i="2"/>
  <c r="H1003" i="2"/>
  <c r="H895" i="2"/>
  <c r="H788" i="2"/>
  <c r="H446" i="2"/>
  <c r="H2152" i="2"/>
  <c r="H2116" i="2"/>
  <c r="H2080" i="2"/>
  <c r="H2044" i="2"/>
  <c r="H2008" i="2"/>
  <c r="H1972" i="2"/>
  <c r="H1936" i="2"/>
  <c r="H56" i="2"/>
  <c r="H1869" i="2"/>
  <c r="H88" i="2"/>
  <c r="H10" i="2"/>
  <c r="H1793" i="2"/>
  <c r="H1763" i="2"/>
  <c r="H1727" i="2"/>
  <c r="H1698" i="2"/>
  <c r="H1632" i="2"/>
  <c r="H1602" i="2"/>
  <c r="H1566" i="2"/>
  <c r="H1536" i="2"/>
  <c r="H1500" i="2"/>
  <c r="H1470" i="2"/>
  <c r="H1434" i="2"/>
  <c r="H1404" i="2"/>
  <c r="H1368" i="2"/>
  <c r="H1332" i="2"/>
  <c r="H1296" i="2"/>
  <c r="H1260" i="2"/>
  <c r="H1224" i="2"/>
  <c r="H1188" i="2"/>
  <c r="H1153" i="2"/>
  <c r="H1117" i="2"/>
  <c r="H1081" i="2"/>
  <c r="H1046" i="2"/>
  <c r="H1010" i="2"/>
  <c r="H974" i="2"/>
  <c r="H938" i="2"/>
  <c r="H902" i="2"/>
  <c r="H866" i="2"/>
  <c r="H830" i="2"/>
  <c r="H794" i="2"/>
  <c r="H759" i="2"/>
  <c r="H723" i="2"/>
  <c r="H687" i="2"/>
  <c r="H651" i="2"/>
  <c r="H615" i="2"/>
  <c r="H579" i="2"/>
  <c r="H543" i="2"/>
  <c r="H501" i="2"/>
  <c r="H465" i="2"/>
  <c r="H429" i="2"/>
  <c r="H387" i="2"/>
  <c r="H345" i="2"/>
  <c r="H309" i="2"/>
  <c r="H274" i="2"/>
  <c r="H238" i="2"/>
  <c r="H202" i="2"/>
  <c r="H166" i="2"/>
  <c r="H132" i="2"/>
  <c r="H107" i="2"/>
  <c r="H59" i="2"/>
  <c r="H2207" i="2"/>
  <c r="H2195" i="2"/>
  <c r="H2183" i="2"/>
  <c r="H2111" i="2"/>
  <c r="H2075" i="2"/>
  <c r="H2039" i="2"/>
  <c r="H2003" i="2"/>
  <c r="H1967" i="2"/>
  <c r="H1931" i="2"/>
  <c r="H1900" i="2"/>
  <c r="H1864" i="2"/>
  <c r="H1828" i="2"/>
  <c r="H1792" i="2"/>
  <c r="H1756" i="2"/>
  <c r="H1720" i="2"/>
  <c r="H1685" i="2"/>
  <c r="H1733" i="2"/>
  <c r="H1704" i="2"/>
  <c r="H1668" i="2"/>
  <c r="H1638" i="2"/>
  <c r="H1572" i="2"/>
  <c r="H1542" i="2"/>
  <c r="H1506" i="2"/>
  <c r="H1440" i="2"/>
  <c r="H1374" i="2"/>
  <c r="H1338" i="2"/>
  <c r="H1302" i="2"/>
  <c r="H1266" i="2"/>
  <c r="H1230" i="2"/>
  <c r="H1194" i="2"/>
  <c r="H1159" i="2"/>
  <c r="H1123" i="2"/>
  <c r="H1087" i="2"/>
  <c r="H1052" i="2"/>
  <c r="H1016" i="2"/>
  <c r="H980" i="2"/>
  <c r="H944" i="2"/>
  <c r="H908" i="2"/>
  <c r="H872" i="2"/>
  <c r="H836" i="2"/>
  <c r="H800" i="2"/>
  <c r="H765" i="2"/>
  <c r="H729" i="2"/>
  <c r="H693" i="2"/>
  <c r="H657" i="2"/>
  <c r="H621" i="2"/>
  <c r="H585" i="2"/>
  <c r="H549" i="2"/>
  <c r="H507" i="2"/>
  <c r="H471" i="2"/>
  <c r="H435" i="2"/>
  <c r="H393" i="2"/>
  <c r="H351" i="2"/>
  <c r="H369" i="2"/>
  <c r="H315" i="2"/>
  <c r="H280" i="2"/>
  <c r="H244" i="2"/>
  <c r="H208" i="2"/>
  <c r="H172" i="2"/>
  <c r="H136" i="2"/>
  <c r="H112" i="2"/>
  <c r="H25" i="2"/>
  <c r="H2153" i="2"/>
  <c r="H2117" i="2"/>
  <c r="H2081" i="2"/>
  <c r="H2045" i="2"/>
  <c r="H2009" i="2"/>
  <c r="H1973" i="2"/>
  <c r="H1937" i="2"/>
  <c r="H67" i="2"/>
  <c r="H1870" i="2"/>
  <c r="H1834" i="2"/>
  <c r="H1798" i="2"/>
  <c r="H1762" i="2"/>
  <c r="H1726" i="2"/>
  <c r="H1691" i="2"/>
  <c r="H2140" i="2"/>
  <c r="H2104" i="2"/>
  <c r="H2068" i="2"/>
  <c r="H2032" i="2"/>
  <c r="H1996" i="2"/>
  <c r="H1960" i="2"/>
  <c r="H1924" i="2"/>
  <c r="H1893" i="2"/>
  <c r="H1857" i="2"/>
  <c r="H616" i="2"/>
  <c r="H586" i="2"/>
  <c r="H556" i="2"/>
  <c r="H526" i="2"/>
  <c r="H496" i="2"/>
  <c r="H460" i="2"/>
  <c r="H424" i="2"/>
  <c r="H388" i="2"/>
  <c r="H358" i="2"/>
  <c r="H304" i="2"/>
  <c r="H251" i="2"/>
  <c r="H197" i="2"/>
  <c r="H133" i="2"/>
  <c r="H113" i="2"/>
  <c r="H94" i="2"/>
  <c r="H76" i="2"/>
  <c r="H1835" i="2"/>
  <c r="H1805" i="2"/>
  <c r="H1739" i="2"/>
  <c r="H70" i="2"/>
  <c r="H1674" i="2"/>
  <c r="H1644" i="2"/>
  <c r="H1578" i="2"/>
  <c r="H1548" i="2"/>
  <c r="H1512" i="2"/>
  <c r="H1446" i="2"/>
  <c r="H1410" i="2"/>
  <c r="H1380" i="2"/>
  <c r="H1344" i="2"/>
  <c r="H1308" i="2"/>
  <c r="H1272" i="2"/>
  <c r="H1236" i="2"/>
  <c r="H1200" i="2"/>
  <c r="H1165" i="2"/>
  <c r="H1129" i="2"/>
  <c r="H1093" i="2"/>
  <c r="H1058" i="2"/>
  <c r="H1022" i="2"/>
  <c r="H986" i="2"/>
  <c r="H950" i="2"/>
  <c r="H914" i="2"/>
  <c r="H878" i="2"/>
  <c r="H842" i="2"/>
  <c r="H806" i="2"/>
  <c r="H771" i="2"/>
  <c r="H735" i="2"/>
  <c r="H699" i="2"/>
  <c r="H663" i="2"/>
  <c r="H627" i="2"/>
  <c r="H591" i="2"/>
  <c r="H555" i="2"/>
  <c r="H519" i="2"/>
  <c r="H477" i="2"/>
  <c r="H441" i="2"/>
  <c r="H405" i="2"/>
  <c r="H357" i="2"/>
  <c r="H399" i="2"/>
  <c r="H321" i="2"/>
  <c r="H285" i="2"/>
  <c r="H250" i="2"/>
  <c r="H214" i="2"/>
  <c r="H178" i="2"/>
  <c r="H142" i="2"/>
  <c r="H32" i="2"/>
  <c r="H49" i="2"/>
  <c r="H75" i="2"/>
  <c r="H2159" i="2"/>
  <c r="H2147" i="2"/>
  <c r="H2123" i="2"/>
  <c r="H2087" i="2"/>
  <c r="H2051" i="2"/>
  <c r="H2015" i="2"/>
  <c r="H1979" i="2"/>
  <c r="H1943" i="2"/>
  <c r="H1908" i="2"/>
  <c r="H1876" i="2"/>
  <c r="H1840" i="2"/>
  <c r="H1804" i="2"/>
  <c r="H1768" i="2"/>
  <c r="H1732" i="2"/>
  <c r="H1697" i="2"/>
  <c r="H1661" i="2"/>
  <c r="H1625" i="2"/>
  <c r="H782" i="2"/>
  <c r="H674" i="2"/>
  <c r="H1532" i="2"/>
  <c r="H1496" i="2"/>
  <c r="H1460" i="2"/>
  <c r="H1424" i="2"/>
  <c r="H1388" i="2"/>
  <c r="H1352" i="2"/>
  <c r="H1316" i="2"/>
  <c r="H1280" i="2"/>
  <c r="H1244" i="2"/>
  <c r="H1214" i="2"/>
  <c r="H1178" i="2"/>
  <c r="H1143" i="2"/>
  <c r="H1113" i="2"/>
  <c r="H1077" i="2"/>
  <c r="H1042" i="2"/>
  <c r="H976" i="2"/>
  <c r="H940" i="2"/>
  <c r="H874" i="2"/>
  <c r="H838" i="2"/>
  <c r="H802" i="2"/>
  <c r="H773" i="2"/>
  <c r="H737" i="2"/>
  <c r="H701" i="2"/>
  <c r="H671" i="2"/>
  <c r="H635" i="2"/>
  <c r="H599" i="2"/>
  <c r="H563" i="2"/>
  <c r="H527" i="2"/>
  <c r="H491" i="2"/>
  <c r="H461" i="2"/>
  <c r="H425" i="2"/>
  <c r="H395" i="2"/>
  <c r="H359" i="2"/>
  <c r="H323" i="2"/>
  <c r="H287" i="2"/>
  <c r="H252" i="2"/>
  <c r="H216" i="2"/>
  <c r="H180" i="2"/>
  <c r="H144" i="2"/>
  <c r="H20" i="2"/>
  <c r="H41" i="2"/>
  <c r="H28" i="2"/>
  <c r="H3" i="2"/>
  <c r="H2163" i="2"/>
  <c r="H2127" i="2"/>
  <c r="H2091" i="2"/>
  <c r="H2055" i="2"/>
  <c r="H2019" i="2"/>
  <c r="H1983" i="2"/>
  <c r="H1947" i="2"/>
  <c r="H1911" i="2"/>
  <c r="H1880" i="2"/>
  <c r="H1844" i="2"/>
  <c r="H1790" i="2"/>
  <c r="H1766" i="2"/>
  <c r="H1736" i="2"/>
  <c r="H1647" i="2"/>
  <c r="H1599" i="2"/>
  <c r="H1557" i="2"/>
  <c r="H1503" i="2"/>
  <c r="H1455" i="2"/>
  <c r="H1401" i="2"/>
  <c r="H1311" i="2"/>
  <c r="H1257" i="2"/>
  <c r="H1191" i="2"/>
  <c r="H1132" i="2"/>
  <c r="H995" i="2"/>
  <c r="H935" i="2"/>
  <c r="H863" i="2"/>
  <c r="H672" i="2"/>
  <c r="H594" i="2"/>
  <c r="H528" i="2"/>
  <c r="H462" i="2"/>
  <c r="H881" i="2"/>
  <c r="H803" i="2"/>
  <c r="H738" i="2"/>
  <c r="H666" i="2"/>
  <c r="H600" i="2"/>
  <c r="H456" i="2"/>
  <c r="H390" i="2"/>
  <c r="H312" i="2"/>
  <c r="H253" i="2"/>
  <c r="H181" i="2"/>
  <c r="H117" i="2"/>
  <c r="H77" i="2"/>
  <c r="H2209" i="2"/>
  <c r="H1895" i="2"/>
  <c r="H975" i="2"/>
  <c r="H867" i="2"/>
  <c r="H760" i="2"/>
  <c r="H652" i="2"/>
  <c r="H364" i="2"/>
  <c r="H257" i="2"/>
  <c r="H2173" i="2"/>
  <c r="H1998" i="2"/>
  <c r="H2214" i="2"/>
  <c r="H2154" i="2"/>
  <c r="H2124" i="2"/>
  <c r="H2076" i="2"/>
  <c r="H2046" i="2"/>
  <c r="H2016" i="2"/>
  <c r="H1968" i="2"/>
  <c r="H1938" i="2"/>
  <c r="H22" i="2"/>
  <c r="H1865" i="2"/>
  <c r="H2137" i="2"/>
  <c r="H2101" i="2"/>
  <c r="H2065" i="2"/>
  <c r="H2029" i="2"/>
  <c r="H1993" i="2"/>
  <c r="H1957" i="2"/>
  <c r="H1921" i="2"/>
  <c r="H1890" i="2"/>
  <c r="H1854" i="2"/>
  <c r="H1818" i="2"/>
  <c r="H1782" i="2"/>
  <c r="H1746" i="2"/>
  <c r="H1710" i="2"/>
  <c r="H1675" i="2"/>
  <c r="H1639" i="2"/>
  <c r="H1603" i="2"/>
  <c r="H1567" i="2"/>
  <c r="H1531" i="2"/>
  <c r="H1495" i="2"/>
  <c r="H1189" i="2"/>
  <c r="H1082" i="2"/>
  <c r="H2106" i="2"/>
  <c r="H2197" i="2"/>
  <c r="H2161" i="2"/>
  <c r="H2184" i="2"/>
  <c r="H2142" i="2"/>
  <c r="H2064" i="2"/>
  <c r="H1956" i="2"/>
  <c r="H1926" i="2"/>
  <c r="H1883" i="2"/>
  <c r="H1853" i="2"/>
  <c r="H2107" i="2"/>
  <c r="H2071" i="2"/>
  <c r="H2035" i="2"/>
  <c r="H1999" i="2"/>
  <c r="H1963" i="2"/>
  <c r="H1927" i="2"/>
  <c r="H1896" i="2"/>
  <c r="H1860" i="2"/>
  <c r="H1824" i="2"/>
  <c r="H1788" i="2"/>
  <c r="H1752" i="2"/>
  <c r="H1716" i="2"/>
  <c r="H1681" i="2"/>
  <c r="H1645" i="2"/>
  <c r="H1609" i="2"/>
  <c r="H1573" i="2"/>
  <c r="H1537" i="2"/>
  <c r="H1501" i="2"/>
  <c r="H103" i="2"/>
  <c r="H1662" i="2"/>
  <c r="H566" i="2"/>
  <c r="H2206" i="2"/>
  <c r="H2188" i="2"/>
  <c r="H2170" i="2"/>
  <c r="H2191" i="2"/>
  <c r="H2179" i="2"/>
  <c r="H2143" i="2"/>
  <c r="H2172" i="2"/>
  <c r="H2094" i="2"/>
  <c r="H2034" i="2"/>
  <c r="H1986" i="2"/>
  <c r="H2202" i="2"/>
  <c r="H2160" i="2"/>
  <c r="H2112" i="2"/>
  <c r="H2082" i="2"/>
  <c r="H2052" i="2"/>
  <c r="H2004" i="2"/>
  <c r="H1974" i="2"/>
  <c r="H1944" i="2"/>
  <c r="H1901" i="2"/>
  <c r="H1871" i="2"/>
  <c r="H2113" i="2"/>
  <c r="H2077" i="2"/>
  <c r="H2041" i="2"/>
  <c r="H2005" i="2"/>
  <c r="H1969" i="2"/>
  <c r="H1933" i="2"/>
  <c r="H1902" i="2"/>
  <c r="H1866" i="2"/>
  <c r="H1830" i="2"/>
  <c r="H1794" i="2"/>
  <c r="H1758" i="2"/>
  <c r="H1722" i="2"/>
  <c r="H1687" i="2"/>
  <c r="H1651" i="2"/>
  <c r="H1615" i="2"/>
  <c r="H1579" i="2"/>
  <c r="H1543" i="2"/>
  <c r="H1507" i="2"/>
  <c r="H610" i="2"/>
  <c r="H23" i="2"/>
  <c r="H716" i="2"/>
  <c r="H2190" i="2"/>
  <c r="H2070" i="2"/>
  <c r="H1962" i="2"/>
  <c r="H1914" i="2"/>
  <c r="H1859" i="2"/>
  <c r="H2119" i="2"/>
  <c r="H2083" i="2"/>
  <c r="H2047" i="2"/>
  <c r="H2011" i="2"/>
  <c r="H1975" i="2"/>
  <c r="H1939" i="2"/>
  <c r="H45" i="2"/>
  <c r="H1872" i="2"/>
  <c r="H1836" i="2"/>
  <c r="H1800" i="2"/>
  <c r="H1764" i="2"/>
  <c r="H1728" i="2"/>
  <c r="H1693" i="2"/>
  <c r="H1657" i="2"/>
  <c r="H1621" i="2"/>
  <c r="H1585" i="2"/>
  <c r="H1549" i="2"/>
  <c r="H1513" i="2"/>
  <c r="H1146" i="2"/>
  <c r="H1039" i="2"/>
  <c r="H931" i="2"/>
  <c r="H823" i="2"/>
  <c r="H428" i="2"/>
  <c r="H2208" i="2"/>
  <c r="H2148" i="2"/>
  <c r="H2118" i="2"/>
  <c r="H2088" i="2"/>
  <c r="H2040" i="2"/>
  <c r="H2010" i="2"/>
  <c r="H1980" i="2"/>
  <c r="H1932" i="2"/>
  <c r="H68" i="2"/>
  <c r="H1877" i="2"/>
  <c r="H2125" i="2"/>
  <c r="H2089" i="2"/>
  <c r="H2053" i="2"/>
  <c r="H2017" i="2"/>
  <c r="H1981" i="2"/>
  <c r="H1945" i="2"/>
  <c r="H34" i="2"/>
  <c r="H1878" i="2"/>
  <c r="H1842" i="2"/>
  <c r="H1806" i="2"/>
  <c r="H1770" i="2"/>
  <c r="H1734" i="2"/>
  <c r="H1480" i="2"/>
  <c r="H1444" i="2"/>
  <c r="H1408" i="2"/>
  <c r="H1372" i="2"/>
  <c r="H1336" i="2"/>
  <c r="H1300" i="2"/>
  <c r="H1264" i="2"/>
  <c r="H1228" i="2"/>
  <c r="H1204" i="2"/>
  <c r="H1174" i="2"/>
  <c r="H1151" i="2"/>
  <c r="H1127" i="2"/>
  <c r="H1044" i="2"/>
  <c r="H1020" i="2"/>
  <c r="H936" i="2"/>
  <c r="H912" i="2"/>
  <c r="H828" i="2"/>
  <c r="H804" i="2"/>
  <c r="H721" i="2"/>
  <c r="H697" i="2"/>
  <c r="H637" i="2"/>
  <c r="H607" i="2"/>
  <c r="H577" i="2"/>
  <c r="H547" i="2"/>
  <c r="H517" i="2"/>
  <c r="H487" i="2"/>
  <c r="H451" i="2"/>
  <c r="H415" i="2"/>
  <c r="H379" i="2"/>
  <c r="H343" i="2"/>
  <c r="H307" i="2"/>
  <c r="H272" i="2"/>
  <c r="H236" i="2"/>
  <c r="H200" i="2"/>
  <c r="H164" i="2"/>
  <c r="H131" i="2"/>
  <c r="H105" i="2"/>
  <c r="H86" i="2"/>
  <c r="H72" i="2"/>
  <c r="H2186" i="2"/>
  <c r="H2156" i="2"/>
  <c r="H2132" i="2"/>
  <c r="H2108" i="2"/>
  <c r="H2084" i="2"/>
  <c r="H2060" i="2"/>
  <c r="H2036" i="2"/>
  <c r="H2012" i="2"/>
  <c r="H1988" i="2"/>
  <c r="H1964" i="2"/>
  <c r="H1940" i="2"/>
  <c r="H1916" i="2"/>
  <c r="H1897" i="2"/>
  <c r="H1873" i="2"/>
  <c r="H1849" i="2"/>
  <c r="H1789" i="2"/>
  <c r="H1753" i="2"/>
  <c r="H1717" i="2"/>
  <c r="H1682" i="2"/>
  <c r="H1646" i="2"/>
  <c r="H1610" i="2"/>
  <c r="H1574" i="2"/>
  <c r="H1538" i="2"/>
  <c r="H1502" i="2"/>
  <c r="H1466" i="2"/>
  <c r="H1430" i="2"/>
  <c r="H1394" i="2"/>
  <c r="H1358" i="2"/>
  <c r="H1322" i="2"/>
  <c r="H1286" i="2"/>
  <c r="H1250" i="2"/>
  <c r="H1220" i="2"/>
  <c r="H1184" i="2"/>
  <c r="H1149" i="2"/>
  <c r="H1119" i="2"/>
  <c r="H1083" i="2"/>
  <c r="H1048" i="2"/>
  <c r="H982" i="2"/>
  <c r="H946" i="2"/>
  <c r="H910" i="2"/>
  <c r="H880" i="2"/>
  <c r="H844" i="2"/>
  <c r="H808" i="2"/>
  <c r="H779" i="2"/>
  <c r="H743" i="2"/>
  <c r="H707" i="2"/>
  <c r="H1378" i="2"/>
  <c r="H1342" i="2"/>
  <c r="H1306" i="2"/>
  <c r="H1270" i="2"/>
  <c r="H1234" i="2"/>
  <c r="H1157" i="2"/>
  <c r="H1133" i="2"/>
  <c r="H1103" i="2"/>
  <c r="H1074" i="2"/>
  <c r="H1050" i="2"/>
  <c r="H1026" i="2"/>
  <c r="H996" i="2"/>
  <c r="H966" i="2"/>
  <c r="H942" i="2"/>
  <c r="H918" i="2"/>
  <c r="H888" i="2"/>
  <c r="H858" i="2"/>
  <c r="H834" i="2"/>
  <c r="H810" i="2"/>
  <c r="H781" i="2"/>
  <c r="H751" i="2"/>
  <c r="H727" i="2"/>
  <c r="H703" i="2"/>
  <c r="H673" i="2"/>
  <c r="H643" i="2"/>
  <c r="H613" i="2"/>
  <c r="H583" i="2"/>
  <c r="H553" i="2"/>
  <c r="H523" i="2"/>
  <c r="H457" i="2"/>
  <c r="H421" i="2"/>
  <c r="H385" i="2"/>
  <c r="H349" i="2"/>
  <c r="H313" i="2"/>
  <c r="H278" i="2"/>
  <c r="H242" i="2"/>
  <c r="H206" i="2"/>
  <c r="H170" i="2"/>
  <c r="H40" i="2"/>
  <c r="H110" i="2"/>
  <c r="H54" i="2"/>
  <c r="H146" i="2"/>
  <c r="H2162" i="2"/>
  <c r="H2138" i="2"/>
  <c r="H2114" i="2"/>
  <c r="H2090" i="2"/>
  <c r="H2066" i="2"/>
  <c r="H2042" i="2"/>
  <c r="H2018" i="2"/>
  <c r="H1994" i="2"/>
  <c r="H1970" i="2"/>
  <c r="H1946" i="2"/>
  <c r="H1922" i="2"/>
  <c r="H1903" i="2"/>
  <c r="H1879" i="2"/>
  <c r="H1855" i="2"/>
  <c r="H1825" i="2"/>
  <c r="H1795" i="2"/>
  <c r="H1759" i="2"/>
  <c r="H1723" i="2"/>
  <c r="H1688" i="2"/>
  <c r="H1652" i="2"/>
  <c r="H1616" i="2"/>
  <c r="H1580" i="2"/>
  <c r="H1544" i="2"/>
  <c r="H1508" i="2"/>
  <c r="H1472" i="2"/>
  <c r="H1436" i="2"/>
  <c r="H1400" i="2"/>
  <c r="H1364" i="2"/>
  <c r="H1328" i="2"/>
  <c r="H1292" i="2"/>
  <c r="H1256" i="2"/>
  <c r="H1226" i="2"/>
  <c r="H1190" i="2"/>
  <c r="H1155" i="2"/>
  <c r="H1089" i="2"/>
  <c r="H1054" i="2"/>
  <c r="H1018" i="2"/>
  <c r="H988" i="2"/>
  <c r="H952" i="2"/>
  <c r="H916" i="2"/>
  <c r="H886" i="2"/>
  <c r="H850" i="2"/>
  <c r="H814" i="2"/>
  <c r="H785" i="2"/>
  <c r="H749" i="2"/>
  <c r="H713" i="2"/>
  <c r="H683" i="2"/>
  <c r="H1600" i="2"/>
  <c r="H1564" i="2"/>
  <c r="H1528" i="2"/>
  <c r="H1492" i="2"/>
  <c r="H1456" i="2"/>
  <c r="H1420" i="2"/>
  <c r="H1384" i="2"/>
  <c r="H1348" i="2"/>
  <c r="H1312" i="2"/>
  <c r="H1276" i="2"/>
  <c r="H1240" i="2"/>
  <c r="H1210" i="2"/>
  <c r="H1180" i="2"/>
  <c r="H1163" i="2"/>
  <c r="H1079" i="2"/>
  <c r="H1056" i="2"/>
  <c r="H972" i="2"/>
  <c r="H948" i="2"/>
  <c r="H864" i="2"/>
  <c r="H840" i="2"/>
  <c r="H757" i="2"/>
  <c r="H733" i="2"/>
  <c r="H649" i="2"/>
  <c r="H619" i="2"/>
  <c r="H589" i="2"/>
  <c r="H559" i="2"/>
  <c r="H493" i="2"/>
  <c r="H463" i="2"/>
  <c r="H427" i="2"/>
  <c r="H391" i="2"/>
  <c r="H355" i="2"/>
  <c r="H319" i="2"/>
  <c r="H283" i="2"/>
  <c r="H248" i="2"/>
  <c r="H212" i="2"/>
  <c r="H176" i="2"/>
  <c r="H140" i="2"/>
  <c r="H115" i="2"/>
  <c r="H29" i="2"/>
  <c r="H71" i="2"/>
  <c r="H2192" i="2"/>
  <c r="H2168" i="2"/>
  <c r="H1831" i="2"/>
  <c r="H1801" i="2"/>
  <c r="H1765" i="2"/>
  <c r="H1729" i="2"/>
  <c r="H1694" i="2"/>
  <c r="H1658" i="2"/>
  <c r="H1622" i="2"/>
  <c r="H1586" i="2"/>
  <c r="H1550" i="2"/>
  <c r="H1514" i="2"/>
  <c r="H1478" i="2"/>
  <c r="H1442" i="2"/>
  <c r="H1406" i="2"/>
  <c r="H1370" i="2"/>
  <c r="H1334" i="2"/>
  <c r="H1298" i="2"/>
  <c r="H1262" i="2"/>
  <c r="H1196" i="2"/>
  <c r="H1161" i="2"/>
  <c r="H1125" i="2"/>
  <c r="H1095" i="2"/>
  <c r="H1060" i="2"/>
  <c r="H1024" i="2"/>
  <c r="H994" i="2"/>
  <c r="H958" i="2"/>
  <c r="H922" i="2"/>
  <c r="H892" i="2"/>
  <c r="H856" i="2"/>
  <c r="H820" i="2"/>
  <c r="H790" i="2"/>
  <c r="H1462" i="2"/>
  <c r="H1426" i="2"/>
  <c r="H1390" i="2"/>
  <c r="H1354" i="2"/>
  <c r="H1318" i="2"/>
  <c r="H1282" i="2"/>
  <c r="H1246" i="2"/>
  <c r="H1186" i="2"/>
  <c r="H1169" i="2"/>
  <c r="H1139" i="2"/>
  <c r="H1109" i="2"/>
  <c r="H1085" i="2"/>
  <c r="H1062" i="2"/>
  <c r="H1032" i="2"/>
  <c r="H1002" i="2"/>
  <c r="H978" i="2"/>
  <c r="H954" i="2"/>
  <c r="H924" i="2"/>
  <c r="H894" i="2"/>
  <c r="H870" i="2"/>
  <c r="H846" i="2"/>
  <c r="H816" i="2"/>
  <c r="H787" i="2"/>
  <c r="H763" i="2"/>
  <c r="H739" i="2"/>
  <c r="H709" i="2"/>
  <c r="H679" i="2"/>
  <c r="H655" i="2"/>
  <c r="H625" i="2"/>
  <c r="H595" i="2"/>
  <c r="H529" i="2"/>
  <c r="H499" i="2"/>
  <c r="H469" i="2"/>
  <c r="H433" i="2"/>
  <c r="H397" i="2"/>
  <c r="H361" i="2"/>
  <c r="H325" i="2"/>
  <c r="H289" i="2"/>
  <c r="H254" i="2"/>
  <c r="H218" i="2"/>
  <c r="H182" i="2"/>
  <c r="H17" i="2"/>
  <c r="H118" i="2"/>
  <c r="H95" i="2"/>
  <c r="H62" i="2"/>
  <c r="H2210" i="2"/>
  <c r="H2198" i="2"/>
  <c r="H2144" i="2"/>
  <c r="H2120" i="2"/>
  <c r="H2096" i="2"/>
  <c r="H2072" i="2"/>
  <c r="H2048" i="2"/>
  <c r="H2024" i="2"/>
  <c r="H2000" i="2"/>
  <c r="H1976" i="2"/>
  <c r="H1952" i="2"/>
  <c r="H1928" i="2"/>
  <c r="H1909" i="2"/>
  <c r="H1885" i="2"/>
  <c r="H1861" i="2"/>
  <c r="H1837" i="2"/>
  <c r="H1807" i="2"/>
  <c r="H1771" i="2"/>
  <c r="H1735" i="2"/>
  <c r="H1700" i="2"/>
  <c r="H1664" i="2"/>
  <c r="H1628" i="2"/>
  <c r="H1592" i="2"/>
  <c r="H1556" i="2"/>
  <c r="H1520" i="2"/>
  <c r="H1484" i="2"/>
  <c r="H1448" i="2"/>
  <c r="H1412" i="2"/>
  <c r="H1376" i="2"/>
  <c r="H1340" i="2"/>
  <c r="H1304" i="2"/>
  <c r="H1268" i="2"/>
  <c r="H1232" i="2"/>
  <c r="H1202" i="2"/>
  <c r="H1167" i="2"/>
  <c r="H1131" i="2"/>
  <c r="H1101" i="2"/>
  <c r="H1066" i="2"/>
  <c r="H1030" i="2"/>
  <c r="H1000" i="2"/>
  <c r="H964" i="2"/>
  <c r="H928" i="2"/>
  <c r="H898" i="2"/>
  <c r="H862" i="2"/>
  <c r="H826" i="2"/>
  <c r="H796" i="2"/>
  <c r="H1612" i="2"/>
  <c r="H1576" i="2"/>
  <c r="H1540" i="2"/>
  <c r="H1504" i="2"/>
  <c r="H1468" i="2"/>
  <c r="H1432" i="2"/>
  <c r="H1396" i="2"/>
  <c r="H1360" i="2"/>
  <c r="H1324" i="2"/>
  <c r="H1288" i="2"/>
  <c r="H1252" i="2"/>
  <c r="H1216" i="2"/>
  <c r="H1192" i="2"/>
  <c r="H1115" i="2"/>
  <c r="H1091" i="2"/>
  <c r="H1008" i="2"/>
  <c r="H984" i="2"/>
  <c r="H900" i="2"/>
  <c r="H876" i="2"/>
  <c r="H792" i="2"/>
  <c r="H769" i="2"/>
  <c r="H685" i="2"/>
  <c r="H661" i="2"/>
  <c r="H631" i="2"/>
  <c r="H565" i="2"/>
  <c r="H535" i="2"/>
  <c r="H505" i="2"/>
  <c r="H475" i="2"/>
  <c r="H439" i="2"/>
  <c r="H403" i="2"/>
  <c r="H367" i="2"/>
  <c r="H331" i="2"/>
  <c r="H295" i="2"/>
  <c r="H260" i="2"/>
  <c r="H224" i="2"/>
  <c r="H188" i="2"/>
  <c r="H152" i="2"/>
  <c r="H122" i="2"/>
  <c r="H98" i="2"/>
  <c r="H13" i="2"/>
  <c r="H2204" i="2"/>
  <c r="H2174" i="2"/>
  <c r="H2150" i="2"/>
  <c r="H2126" i="2"/>
  <c r="H2102" i="2"/>
  <c r="H2078" i="2"/>
  <c r="H2054" i="2"/>
  <c r="H2030" i="2"/>
  <c r="H2006" i="2"/>
  <c r="H1982" i="2"/>
  <c r="H1958" i="2"/>
  <c r="H1934" i="2"/>
  <c r="H1910" i="2"/>
  <c r="H1891" i="2"/>
  <c r="H1867" i="2"/>
  <c r="H1813" i="2"/>
  <c r="H1777" i="2"/>
  <c r="H1741" i="2"/>
  <c r="H1706" i="2"/>
  <c r="H1670" i="2"/>
  <c r="H1634" i="2"/>
  <c r="H1598" i="2"/>
  <c r="H1562" i="2"/>
  <c r="H1526" i="2"/>
  <c r="H1490" i="2"/>
  <c r="H1454" i="2"/>
  <c r="H1418" i="2"/>
  <c r="H1382" i="2"/>
  <c r="H1346" i="2"/>
  <c r="H1310" i="2"/>
  <c r="H1274" i="2"/>
  <c r="H1238" i="2"/>
  <c r="H1208" i="2"/>
  <c r="H1172" i="2"/>
  <c r="H1137" i="2"/>
  <c r="H1107" i="2"/>
  <c r="H1072" i="2"/>
  <c r="H1036" i="2"/>
  <c r="H1006" i="2"/>
  <c r="H970" i="2"/>
  <c r="H934" i="2"/>
  <c r="H904" i="2"/>
  <c r="H868" i="2"/>
  <c r="H832" i="2"/>
  <c r="H767" i="2"/>
  <c r="H1068" i="2"/>
  <c r="H960" i="2"/>
  <c r="H852" i="2"/>
  <c r="H745" i="2"/>
  <c r="H1012" i="2"/>
  <c r="H755" i="2"/>
  <c r="H719" i="2"/>
  <c r="H689" i="2"/>
  <c r="H653" i="2"/>
  <c r="H617" i="2"/>
  <c r="H581" i="2"/>
  <c r="H545" i="2"/>
  <c r="H509" i="2"/>
  <c r="H443" i="2"/>
  <c r="H413" i="2"/>
  <c r="H377" i="2"/>
  <c r="H341" i="2"/>
  <c r="H305" i="2"/>
  <c r="H270" i="2"/>
  <c r="H234" i="2"/>
  <c r="H198" i="2"/>
  <c r="H162" i="2"/>
  <c r="H129" i="2"/>
  <c r="H51" i="2"/>
  <c r="H37" i="2"/>
  <c r="H24" i="2"/>
  <c r="H2205" i="2"/>
  <c r="H2175" i="2"/>
  <c r="H2145" i="2"/>
  <c r="H2109" i="2"/>
  <c r="H2073" i="2"/>
  <c r="H2037" i="2"/>
  <c r="H2001" i="2"/>
  <c r="H1965" i="2"/>
  <c r="H1929" i="2"/>
  <c r="H1898" i="2"/>
  <c r="H1862" i="2"/>
  <c r="H1832" i="2"/>
  <c r="H1778" i="2"/>
  <c r="H1724" i="2"/>
  <c r="H1689" i="2"/>
  <c r="H1623" i="2"/>
  <c r="H1581" i="2"/>
  <c r="H1527" i="2"/>
  <c r="H1485" i="2"/>
  <c r="H1377" i="2"/>
  <c r="H1335" i="2"/>
  <c r="H1227" i="2"/>
  <c r="H1090" i="2"/>
  <c r="H1031" i="2"/>
  <c r="H959" i="2"/>
  <c r="H899" i="2"/>
  <c r="H839" i="2"/>
  <c r="H768" i="2"/>
  <c r="H708" i="2"/>
  <c r="H636" i="2"/>
  <c r="H564" i="2"/>
  <c r="H498" i="2"/>
  <c r="H426" i="2"/>
  <c r="H348" i="2"/>
  <c r="H271" i="2"/>
  <c r="H199" i="2"/>
  <c r="H130" i="2"/>
  <c r="H9" i="2"/>
  <c r="H1629" i="2"/>
  <c r="H1491" i="2"/>
  <c r="H1437" i="2"/>
  <c r="H1383" i="2"/>
  <c r="H1323" i="2"/>
  <c r="H1263" i="2"/>
  <c r="H1197" i="2"/>
  <c r="H1126" i="2"/>
  <c r="H1061" i="2"/>
  <c r="H989" i="2"/>
  <c r="H923" i="2"/>
  <c r="H845" i="2"/>
  <c r="H774" i="2"/>
  <c r="H702" i="2"/>
  <c r="H630" i="2"/>
  <c r="H558" i="2"/>
  <c r="H492" i="2"/>
  <c r="H420" i="2"/>
  <c r="H360" i="2"/>
  <c r="H288" i="2"/>
  <c r="H217" i="2"/>
  <c r="H151" i="2"/>
  <c r="H14" i="2"/>
  <c r="H761" i="2"/>
  <c r="H725" i="2"/>
  <c r="H659" i="2"/>
  <c r="H623" i="2"/>
  <c r="H587" i="2"/>
  <c r="H551" i="2"/>
  <c r="H515" i="2"/>
  <c r="H479" i="2"/>
  <c r="H449" i="2"/>
  <c r="H419" i="2"/>
  <c r="H383" i="2"/>
  <c r="H347" i="2"/>
  <c r="H311" i="2"/>
  <c r="H276" i="2"/>
  <c r="H240" i="2"/>
  <c r="H204" i="2"/>
  <c r="H168" i="2"/>
  <c r="H42" i="2"/>
  <c r="H53" i="2"/>
  <c r="H89" i="2"/>
  <c r="H15" i="2"/>
  <c r="H2181" i="2"/>
  <c r="H2151" i="2"/>
  <c r="H2115" i="2"/>
  <c r="H2079" i="2"/>
  <c r="H2043" i="2"/>
  <c r="H2007" i="2"/>
  <c r="H1971" i="2"/>
  <c r="H1935" i="2"/>
  <c r="H1904" i="2"/>
  <c r="H1868" i="2"/>
  <c r="H1838" i="2"/>
  <c r="H1808" i="2"/>
  <c r="H1784" i="2"/>
  <c r="H1754" i="2"/>
  <c r="H1730" i="2"/>
  <c r="H1701" i="2"/>
  <c r="H1665" i="2"/>
  <c r="H1587" i="2"/>
  <c r="H1539" i="2"/>
  <c r="H1497" i="2"/>
  <c r="H1443" i="2"/>
  <c r="H1389" i="2"/>
  <c r="H1299" i="2"/>
  <c r="H1239" i="2"/>
  <c r="H1168" i="2"/>
  <c r="H1108" i="2"/>
  <c r="H1043" i="2"/>
  <c r="H971" i="2"/>
  <c r="H905" i="2"/>
  <c r="H780" i="2"/>
  <c r="H720" i="2"/>
  <c r="H642" i="2"/>
  <c r="H570" i="2"/>
  <c r="H510" i="2"/>
  <c r="H438" i="2"/>
  <c r="H354" i="2"/>
  <c r="H282" i="2"/>
  <c r="H211" i="2"/>
  <c r="H139" i="2"/>
  <c r="H35" i="2"/>
  <c r="H1641" i="2"/>
  <c r="H1563" i="2"/>
  <c r="H1509" i="2"/>
  <c r="H1449" i="2"/>
  <c r="H1395" i="2"/>
  <c r="H1329" i="2"/>
  <c r="H1209" i="2"/>
  <c r="H1138" i="2"/>
  <c r="H1073" i="2"/>
  <c r="H1001" i="2"/>
  <c r="H929" i="2"/>
  <c r="H857" i="2"/>
  <c r="H786" i="2"/>
  <c r="H714" i="2"/>
  <c r="H648" i="2"/>
  <c r="H576" i="2"/>
  <c r="H504" i="2"/>
  <c r="H432" i="2"/>
  <c r="H372" i="2"/>
  <c r="H294" i="2"/>
  <c r="H229" i="2"/>
  <c r="H163" i="2"/>
  <c r="H46" i="2"/>
  <c r="H57" i="2"/>
  <c r="H731" i="2"/>
  <c r="H695" i="2"/>
  <c r="H665" i="2"/>
  <c r="H629" i="2"/>
  <c r="H593" i="2"/>
  <c r="H557" i="2"/>
  <c r="H521" i="2"/>
  <c r="H485" i="2"/>
  <c r="H455" i="2"/>
  <c r="H389" i="2"/>
  <c r="H353" i="2"/>
  <c r="H317" i="2"/>
  <c r="H66" i="2"/>
  <c r="H246" i="2"/>
  <c r="H210" i="2"/>
  <c r="H174" i="2"/>
  <c r="H138" i="2"/>
  <c r="H12" i="2"/>
  <c r="H93" i="2"/>
  <c r="H16" i="2"/>
  <c r="H2211" i="2"/>
  <c r="H2187" i="2"/>
  <c r="H2157" i="2"/>
  <c r="H2121" i="2"/>
  <c r="H2085" i="2"/>
  <c r="H2049" i="2"/>
  <c r="H2013" i="2"/>
  <c r="H1977" i="2"/>
  <c r="H1941" i="2"/>
  <c r="H1906" i="2"/>
  <c r="H1874" i="2"/>
  <c r="H1814" i="2"/>
  <c r="H1760" i="2"/>
  <c r="H1707" i="2"/>
  <c r="H1671" i="2"/>
  <c r="H1635" i="2"/>
  <c r="H1545" i="2"/>
  <c r="H1341" i="2"/>
  <c r="H1251" i="2"/>
  <c r="H1179" i="2"/>
  <c r="H1120" i="2"/>
  <c r="H1055" i="2"/>
  <c r="H983" i="2"/>
  <c r="H917" i="2"/>
  <c r="H851" i="2"/>
  <c r="H797" i="2"/>
  <c r="H732" i="2"/>
  <c r="H654" i="2"/>
  <c r="H582" i="2"/>
  <c r="H522" i="2"/>
  <c r="H450" i="2"/>
  <c r="H366" i="2"/>
  <c r="H306" i="2"/>
  <c r="H223" i="2"/>
  <c r="H145" i="2"/>
  <c r="H97" i="2"/>
  <c r="H1575" i="2"/>
  <c r="H1521" i="2"/>
  <c r="H1461" i="2"/>
  <c r="H1407" i="2"/>
  <c r="H1347" i="2"/>
  <c r="H1275" i="2"/>
  <c r="H1221" i="2"/>
  <c r="H1150" i="2"/>
  <c r="H1084" i="2"/>
  <c r="H1013" i="2"/>
  <c r="H941" i="2"/>
  <c r="H869" i="2"/>
  <c r="H791" i="2"/>
  <c r="H726" i="2"/>
  <c r="H660" i="2"/>
  <c r="H588" i="2"/>
  <c r="H516" i="2"/>
  <c r="H444" i="2"/>
  <c r="H378" i="2"/>
  <c r="H300" i="2"/>
  <c r="H241" i="2"/>
  <c r="H175" i="2"/>
  <c r="H109" i="2"/>
  <c r="H18" i="2"/>
  <c r="H1820" i="2"/>
  <c r="H1712" i="2"/>
  <c r="H1677" i="2"/>
  <c r="H1353" i="2"/>
  <c r="H809" i="2"/>
  <c r="H384" i="2"/>
  <c r="H318" i="2"/>
  <c r="H235" i="2"/>
  <c r="H157" i="2"/>
  <c r="H104" i="2"/>
  <c r="H2" i="2"/>
  <c r="H1695" i="2"/>
  <c r="H1593" i="2"/>
  <c r="H1533" i="2"/>
  <c r="H1359" i="2"/>
  <c r="H1287" i="2"/>
  <c r="H1233" i="2"/>
  <c r="H1156" i="2"/>
  <c r="H1096" i="2"/>
  <c r="H1025" i="2"/>
  <c r="H953" i="2"/>
  <c r="H2178" i="2"/>
  <c r="H677" i="2"/>
  <c r="H641" i="2"/>
  <c r="H605" i="2"/>
  <c r="H569" i="2"/>
  <c r="H533" i="2"/>
  <c r="H497" i="2"/>
  <c r="H467" i="2"/>
  <c r="H431" i="2"/>
  <c r="H401" i="2"/>
  <c r="H365" i="2"/>
  <c r="H329" i="2"/>
  <c r="H293" i="2"/>
  <c r="H258" i="2"/>
  <c r="H222" i="2"/>
  <c r="H186" i="2"/>
  <c r="H150" i="2"/>
  <c r="H60" i="2"/>
  <c r="H36" i="2"/>
  <c r="H82" i="2"/>
  <c r="H2193" i="2"/>
  <c r="H2169" i="2"/>
  <c r="H2133" i="2"/>
  <c r="H2097" i="2"/>
  <c r="H2061" i="2"/>
  <c r="H2025" i="2"/>
  <c r="H1989" i="2"/>
  <c r="H1953" i="2"/>
  <c r="H1917" i="2"/>
  <c r="H1886" i="2"/>
  <c r="H1850" i="2"/>
  <c r="H1796" i="2"/>
  <c r="H1742" i="2"/>
  <c r="H1653" i="2"/>
  <c r="H1611" i="2"/>
  <c r="H1569" i="2"/>
  <c r="H1515" i="2"/>
  <c r="H1467" i="2"/>
  <c r="H1413" i="2"/>
  <c r="H1317" i="2"/>
  <c r="H1269" i="2"/>
  <c r="H1203" i="2"/>
  <c r="H1144" i="2"/>
  <c r="H1067" i="2"/>
  <c r="H1007" i="2"/>
  <c r="H947" i="2"/>
  <c r="H875" i="2"/>
  <c r="H815" i="2"/>
  <c r="H744" i="2"/>
  <c r="H678" i="2"/>
  <c r="H606" i="2"/>
  <c r="H540" i="2"/>
  <c r="H474" i="2"/>
  <c r="H396" i="2"/>
  <c r="H330" i="2"/>
  <c r="H247" i="2"/>
  <c r="H169" i="2"/>
  <c r="H114" i="2"/>
  <c r="H73" i="2"/>
  <c r="H1605" i="2"/>
  <c r="H1479" i="2"/>
  <c r="H1419" i="2"/>
  <c r="H1371" i="2"/>
  <c r="H1293" i="2"/>
  <c r="H1245" i="2"/>
  <c r="H1173" i="2"/>
  <c r="H1102" i="2"/>
  <c r="H1037" i="2"/>
  <c r="H965" i="2"/>
  <c r="H893" i="2"/>
  <c r="H821" i="2"/>
  <c r="H750" i="2"/>
  <c r="H684" i="2"/>
  <c r="H612" i="2"/>
  <c r="H534" i="2"/>
  <c r="H468" i="2"/>
  <c r="H402" i="2"/>
  <c r="H324" i="2"/>
  <c r="H265" i="2"/>
  <c r="H193" i="2"/>
  <c r="H125" i="2"/>
  <c r="H83" i="2"/>
  <c r="H647" i="2"/>
  <c r="H611" i="2"/>
  <c r="H575" i="2"/>
  <c r="H539" i="2"/>
  <c r="H503" i="2"/>
  <c r="H473" i="2"/>
  <c r="H437" i="2"/>
  <c r="H407" i="2"/>
  <c r="H371" i="2"/>
  <c r="H335" i="2"/>
  <c r="H299" i="2"/>
  <c r="H264" i="2"/>
  <c r="H228" i="2"/>
  <c r="H192" i="2"/>
  <c r="H156" i="2"/>
  <c r="H124" i="2"/>
  <c r="H102" i="2"/>
  <c r="H7" i="2"/>
  <c r="H2199" i="2"/>
  <c r="H2139" i="2"/>
  <c r="H2103" i="2"/>
  <c r="H2067" i="2"/>
  <c r="H2031" i="2"/>
  <c r="H1995" i="2"/>
  <c r="H1959" i="2"/>
  <c r="H1923" i="2"/>
  <c r="H1892" i="2"/>
  <c r="H1856" i="2"/>
  <c r="H1826" i="2"/>
  <c r="H1802" i="2"/>
  <c r="H1772" i="2"/>
  <c r="H1748" i="2"/>
  <c r="H1718" i="2"/>
  <c r="H1683" i="2"/>
  <c r="H1659" i="2"/>
  <c r="H1617" i="2"/>
  <c r="H1473" i="2"/>
  <c r="H1425" i="2"/>
  <c r="H1365" i="2"/>
  <c r="H1281" i="2"/>
  <c r="H1215" i="2"/>
  <c r="H1162" i="2"/>
  <c r="H1078" i="2"/>
  <c r="H1019" i="2"/>
  <c r="H887" i="2"/>
  <c r="H690" i="2"/>
  <c r="H618" i="2"/>
  <c r="H552" i="2"/>
  <c r="H486" i="2"/>
  <c r="H1551" i="2"/>
  <c r="H911" i="2"/>
  <c r="H833" i="2"/>
  <c r="H762" i="2"/>
  <c r="H696" i="2"/>
  <c r="H624" i="2"/>
  <c r="H546" i="2"/>
  <c r="H480" i="2"/>
  <c r="H408" i="2"/>
  <c r="H342" i="2"/>
  <c r="H277" i="2"/>
  <c r="H205" i="2"/>
  <c r="H52" i="2"/>
  <c r="H90"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<sst xmlns="http://schemas.openxmlformats.org/spreadsheetml/2006/main" count="21683" uniqueCount="2458">
  <si>
    <t>Date</t>
  </si>
  <si>
    <t>2099: No Known Device Problem</t>
  </si>
  <si>
    <t>2233: Premature Discharge Of Battery</t>
  </si>
  <si>
    <t>1504: Failure To Convert Rhythm</t>
  </si>
  <si>
    <t>2318: Shock Impedance High Out Of Range</t>
  </si>
  <si>
    <t>1224: Device Displays Error Message</t>
  </si>
  <si>
    <t>2867: Non Specific Product Performance Allegation</t>
  </si>
  <si>
    <t>1698: Inappropriate Shock</t>
  </si>
  <si>
    <t>1807: Low Amplitude Or Poor Morphology</t>
  </si>
  <si>
    <t>2124: Noisy Signals</t>
  </si>
  <si>
    <t>2320: Shock Impedance Low</t>
  </si>
  <si>
    <t>2322: Shock Impedance Low Within Normal Limits</t>
  </si>
  <si>
    <t>2319: Shock Impedance High Within Normal Limits</t>
  </si>
  <si>
    <t>2409: Tone Pattern As Expected</t>
  </si>
  <si>
    <t>2064: Migration</t>
  </si>
  <si>
    <t>2410: Tone Pattern Not As Expected</t>
  </si>
  <si>
    <t>2317: Shock Impedance High</t>
  </si>
  <si>
    <t>1414: Dislodged Or Dislocated</t>
  </si>
  <si>
    <t>2869: Gas Gauge/Longevity Not As Expected</t>
  </si>
  <si>
    <t>1166: Data Issue</t>
  </si>
  <si>
    <t>1666: High Capture Threshold</t>
  </si>
  <si>
    <t>1321: Difficult To Interrogate/Telemetry (RF)</t>
  </si>
  <si>
    <t>1322: Difficult To Interrogate/Telemetry (Wand)</t>
  </si>
  <si>
    <t>1336: Difficult To Position</t>
  </si>
  <si>
    <t>2872: Difficult To Induce An Arrhythmia During Induction/DFT Testing.</t>
  </si>
  <si>
    <t>2868: EGM Issue</t>
  </si>
  <si>
    <t>2398: Tear, Rip Or Hole In Device Packaging</t>
  </si>
  <si>
    <t>1176: Delayed Charge Time</t>
  </si>
  <si>
    <t>2175: Pacing Impedance Low Out Of Range</t>
  </si>
  <si>
    <t>2405: Therapy Delivery/Effectiveness Problem</t>
  </si>
  <si>
    <t>2719: False Positive Detection Of AFIB/AFLUTTER</t>
  </si>
  <si>
    <t>2168: Oversensing</t>
  </si>
  <si>
    <t>1261: Device Sensing Issue</t>
  </si>
  <si>
    <t>2459: User Preference Issue</t>
  </si>
  <si>
    <t>AR D Codes</t>
  </si>
  <si>
    <t>2104: No Reported Allegation</t>
  </si>
  <si>
    <t>2172: Pacing Impedance High Out Of Range</t>
  </si>
  <si>
    <t>2716: Message - Error Code 1003</t>
  </si>
  <si>
    <t>2434: Undersensing</t>
  </si>
  <si>
    <t>1163: Damaged/Defective*</t>
  </si>
  <si>
    <t>2699: Difficult/Unable to Extend/Retract Helix</t>
  </si>
  <si>
    <t>1604: Feature Unavailable Or Intermittent</t>
  </si>
  <si>
    <t>1636: Fracture</t>
  </si>
  <si>
    <t>2797: Error During Interrogation</t>
  </si>
  <si>
    <t>1491: Failure To Capture</t>
  </si>
  <si>
    <t>2338: Software Upgrade Issue</t>
  </si>
  <si>
    <t>2447: Unresponsive</t>
  </si>
  <si>
    <t>1160: Damaged</t>
  </si>
  <si>
    <t>2250: Programmed Parameters Different Than Expected</t>
  </si>
  <si>
    <t>2266: Reports/Data Issue</t>
  </si>
  <si>
    <t>1046: Brady Pacing Not Delivered When Required</t>
  </si>
  <si>
    <t>2712: MV/RRT Noise Or Oversensing</t>
  </si>
  <si>
    <t>2799: Error During Interrogation - Resolved</t>
  </si>
  <si>
    <t>2798: Error During Interrogation - Unable To Resolve</t>
  </si>
  <si>
    <t>2800: Error During Upgrade</t>
  </si>
  <si>
    <t>1133: Connection Issue</t>
  </si>
  <si>
    <t>1134: Connection Issue - Cellular</t>
  </si>
  <si>
    <t>2092: No Display Or Display Failure</t>
  </si>
  <si>
    <t>2794: Error At Startup</t>
  </si>
  <si>
    <t>1167: Date-Related Software Issue</t>
  </si>
  <si>
    <t>2173: Pacing Impedance High Within Normal Limits</t>
  </si>
  <si>
    <t>2873: Sense B Artifact Noise</t>
  </si>
  <si>
    <t>2795: Error At Startup - Unable To Resolve</t>
  </si>
  <si>
    <t>*1555: Failure To Power-Up*</t>
  </si>
  <si>
    <t>2460: User Used Incorrect Product For Intended Use</t>
  </si>
  <si>
    <t>2802: Error During Upgrade - Resolved</t>
  </si>
  <si>
    <t>1346: Difficult To Remove</t>
  </si>
  <si>
    <t>3146: Difficult To Interrogate/Telemetry (Telemetry Unknown)</t>
  </si>
  <si>
    <t>2457: Use Of Device Issue - User Error</t>
  </si>
  <si>
    <t>1722: Incorrect Software Version</t>
  </si>
  <si>
    <t>2801: Error During Upgrade - Unable To Resolve</t>
  </si>
  <si>
    <t>2239: Printing Issues</t>
  </si>
  <si>
    <t>1683: Impedance Issue</t>
  </si>
  <si>
    <t>2698: Air Bubble Noise Or Oversensing</t>
  </si>
  <si>
    <t>2809: Unresponsive During Threshold Test</t>
  </si>
  <si>
    <t>2171: Pacing Impedance High</t>
  </si>
  <si>
    <t>1307: Difficult To Insert</t>
  </si>
  <si>
    <t>2071: Missing</t>
  </si>
  <si>
    <t>2321: Shock Impedance Low Out Of Range</t>
  </si>
  <si>
    <t>2121: Noise, Audible</t>
  </si>
  <si>
    <t>2814: Threshold Issue</t>
  </si>
  <si>
    <t>2782: Cellular Connection Issue</t>
  </si>
  <si>
    <t>2785: Poor Cellular Quality/Connection Quality</t>
  </si>
  <si>
    <t>3142: Software Upgrade Issue Using Cellular</t>
  </si>
  <si>
    <t>3145: Unable To Make/Receive Call</t>
  </si>
  <si>
    <t>1122: Communication Or Transmission Issue</t>
  </si>
  <si>
    <t>1047: Brady Pacing Rate Not As Expected</t>
  </si>
  <si>
    <t>2176: Pacing Impedance Low Within Normal Limits</t>
  </si>
  <si>
    <t>2406: Therapy Induced Arrhythmia</t>
  </si>
  <si>
    <t>2767: Telemetry Noise</t>
  </si>
  <si>
    <t>2776: Wi-Fi Connection Issue</t>
  </si>
  <si>
    <t>1025: Audio Issue</t>
  </si>
  <si>
    <t>2796: Error At Startup - Resolved</t>
  </si>
  <si>
    <t>1141: Contamination Issue At User Location</t>
  </si>
  <si>
    <t>2278: Rhythm Acceleration</t>
  </si>
  <si>
    <t>3143: Difficulty Updating Implantable Device Software</t>
  </si>
  <si>
    <t>1496: Failure To Charge</t>
  </si>
  <si>
    <t>1135: Connection Issue - Ethernet</t>
  </si>
  <si>
    <t>2811: Software Upgrade Issue Using Wi-Fi</t>
  </si>
  <si>
    <t>2822: Egram Clarity/Marker Issue</t>
  </si>
  <si>
    <t>2778: Unable To Connect To Wi-Fi Network</t>
  </si>
  <si>
    <t>1632: Foreign Material Present In Device</t>
  </si>
  <si>
    <t>1022: ATP Delivered When Not Required</t>
  </si>
  <si>
    <t>2789: Battery Does Not Fully Charge</t>
  </si>
  <si>
    <t>1116: Communication - Incomplete Interrogation</t>
  </si>
  <si>
    <t>2068: Miscellaneous/Other</t>
  </si>
  <si>
    <t>2300: Sending Issue</t>
  </si>
  <si>
    <t>1589: Failure To Shock Or Properly Shock</t>
  </si>
  <si>
    <t>2771: Unable To Connect To USB Printer</t>
  </si>
  <si>
    <t>2455: Use Of Device Issue</t>
  </si>
  <si>
    <t>2781: Poor Wi-Fi Quality/Connection Quality</t>
  </si>
  <si>
    <t>2784: Unable To Connect To Cell Adapter</t>
  </si>
  <si>
    <t>2818: Impedance Different Than Competitor</t>
  </si>
  <si>
    <t>1697: Inappropriate Or Unexpected Reset</t>
  </si>
  <si>
    <t>2769: Unable To Connect To Printer</t>
  </si>
  <si>
    <t>1127: Component Missing</t>
  </si>
  <si>
    <t>2774: Unable To Pair To Bluetooth Device</t>
  </si>
  <si>
    <t>2174: Pacing Impedance Low</t>
  </si>
  <si>
    <t>2772: Bluetooth Connection Issue</t>
  </si>
  <si>
    <t>2783: Unable To Recognize Cell Adapter</t>
  </si>
  <si>
    <t>3144: Unable To Select/Find Contact</t>
  </si>
  <si>
    <t>2339: Software User Interface Issue</t>
  </si>
  <si>
    <t>2207: Pocket Stimulation</t>
  </si>
  <si>
    <t>1789: Literature/Manual/Handbook Issue</t>
  </si>
  <si>
    <t>1045: Brady Pacing Delivered When Not Required</t>
  </si>
  <si>
    <t>2111: No Tones When Expected</t>
  </si>
  <si>
    <t>2870: Difficulty Converting Rhythm (Ambulatory)</t>
  </si>
  <si>
    <t>2768: Unable To Find Printer</t>
  </si>
  <si>
    <t>2775: Unable To Send Data To Bluetooth Device</t>
  </si>
  <si>
    <t>2780: IT Will Not Allow Wi-Fi Connection</t>
  </si>
  <si>
    <t>2812: Software Upgrade Issue Using Pen Drive</t>
  </si>
  <si>
    <t>2456: Use Of Device Issue - Misuse</t>
  </si>
  <si>
    <t>2101: No Power</t>
  </si>
  <si>
    <t>2479: Difficult To Connect</t>
  </si>
  <si>
    <t>1554: Failure To Power-Off</t>
  </si>
  <si>
    <t>2808: Touch Screen Calibration Issue</t>
  </si>
  <si>
    <t>1662: Hardware Issue</t>
  </si>
  <si>
    <t>1455: Enrollment Issue</t>
  </si>
  <si>
    <t>2786: Battery Discharge Quickly During Use</t>
  </si>
  <si>
    <t>2788: Battery Charges Slowly</t>
  </si>
  <si>
    <t>2790: Failure To Power-Up Using AC Power</t>
  </si>
  <si>
    <t>2807: Delayed Response</t>
  </si>
  <si>
    <t>2816: Threshold Different Than PG</t>
  </si>
  <si>
    <t>2817: Current Of Injury (COI) Issue</t>
  </si>
  <si>
    <t>2819: Impedance Different Than PG</t>
  </si>
  <si>
    <t>2821: Sensing Different Than PG</t>
  </si>
  <si>
    <t>1335: Difficult To Open Or Remove Packaging Material</t>
  </si>
  <si>
    <t>1821: Material Integrity Issue</t>
  </si>
  <si>
    <t>1408: Discolored</t>
  </si>
  <si>
    <t>1013: Application Security Issue</t>
  </si>
  <si>
    <t>1126: Complaint Rescinded By User</t>
  </si>
  <si>
    <t>1131: Computer System Security Issue</t>
  </si>
  <si>
    <t>1140: Contamination During Use</t>
  </si>
  <si>
    <t>1150: Cosmetic/Appearance Problem</t>
  </si>
  <si>
    <t>1192: Device Difficult To Setup Or Prepare</t>
  </si>
  <si>
    <t>1254: Device Interaction With Another Device</t>
  </si>
  <si>
    <t>1257: Device Misassembled During Manufacturing Or Shipping</t>
  </si>
  <si>
    <t>1258: Device Operates Differently Than Expected</t>
  </si>
  <si>
    <t>1278: Difficult To Advance Guidewire</t>
  </si>
  <si>
    <t>1302: Difficult To Engage Target Vessel</t>
  </si>
  <si>
    <t>1304: Difficult To Flush</t>
  </si>
  <si>
    <t>1367: Difficult To Track Over Wire</t>
  </si>
  <si>
    <t>1381: Difficult To Withdraw Guidewire</t>
  </si>
  <si>
    <t>1467: Explanted</t>
  </si>
  <si>
    <t>1655: Guidewire Stuck</t>
  </si>
  <si>
    <t>1699: Incident Not Product Related</t>
  </si>
  <si>
    <t>1766: Labeling Damage</t>
  </si>
  <si>
    <t>1767: Labeling Issue</t>
  </si>
  <si>
    <t>1813: Malware</t>
  </si>
  <si>
    <t>1828: Material Separation</t>
  </si>
  <si>
    <t>2090: No Code Available</t>
  </si>
  <si>
    <t>2096: No Information</t>
  </si>
  <si>
    <t>2140: Not Sterile</t>
  </si>
  <si>
    <t>2146: Obstruction Within Device</t>
  </si>
  <si>
    <t>2157: Out Of Specification</t>
  </si>
  <si>
    <t>2248: Product Returned For Unknown Reason</t>
  </si>
  <si>
    <t>2312: Shelf Life Exceeded</t>
  </si>
  <si>
    <t>2313: Shifted In Package</t>
  </si>
  <si>
    <t>2315: Shipping Damage Or Problem</t>
  </si>
  <si>
    <t>2875: Unauthorized Access to Computer System</t>
  </si>
  <si>
    <t>1690: Inadequate Instructions For Healthcare Professional</t>
  </si>
  <si>
    <t>1718: Incorrect One Used</t>
  </si>
  <si>
    <t>2295: Seal Compromised</t>
  </si>
  <si>
    <t>1723: Incorrect/Inadequate Contents</t>
  </si>
  <si>
    <t>2065: Misaligned</t>
  </si>
  <si>
    <t>1450: Empty</t>
  </si>
  <si>
    <t>1576: Failure To Remove</t>
  </si>
  <si>
    <t>1633: Foreign Matter</t>
  </si>
  <si>
    <t>1706: Incomplete Or Missing Packaging</t>
  </si>
  <si>
    <t>1707: Incomplete Seal</t>
  </si>
  <si>
    <t>1712: Incorrect Device Or Component Shipped</t>
  </si>
  <si>
    <t>1713: Incorrect Device Quantity</t>
  </si>
  <si>
    <t>1833: MBI (Master Brand Issue)</t>
  </si>
  <si>
    <t>2106: No Seal</t>
  </si>
  <si>
    <t>2400: Temperature Indicator Red</t>
  </si>
  <si>
    <t>2448: Unsealed Device Packaging</t>
  </si>
  <si>
    <t>2075: Mix-Up</t>
  </si>
  <si>
    <t>2267: Reprocessed</t>
  </si>
  <si>
    <t>1010: APM/Switch Box Problems</t>
  </si>
  <si>
    <t>1068: Cable Problems</t>
  </si>
  <si>
    <t>1440: Electrical Issue</t>
  </si>
  <si>
    <t>1188: Detachment of Device or Device Component</t>
  </si>
  <si>
    <t>1682: Impedance High</t>
  </si>
  <si>
    <t>1684: Impedance Low</t>
  </si>
  <si>
    <t>2107: No Signal</t>
  </si>
  <si>
    <t>2422: Tracking/Accuracy Issue</t>
  </si>
  <si>
    <t>1162: Damaged Cable</t>
  </si>
  <si>
    <t>1527: Failure To Function Properly</t>
  </si>
  <si>
    <t>1048: Break</t>
  </si>
  <si>
    <t>2112: No Video</t>
  </si>
  <si>
    <t>1039: Blood Pressure Signal Issue</t>
  </si>
  <si>
    <t>1121: Communication Loss With PC</t>
  </si>
  <si>
    <t>1435: ECG Signal Issue</t>
  </si>
  <si>
    <t>1778: LED Indicators Do Not Turn On</t>
  </si>
  <si>
    <t>2120: Noise Issue</t>
  </si>
  <si>
    <t>2439: Unexpected Shutdown</t>
  </si>
  <si>
    <t>1744: Internal Rattle</t>
  </si>
  <si>
    <t>1994: Message - M01 Limited Output</t>
  </si>
  <si>
    <t>1549: Failure To Operate</t>
  </si>
  <si>
    <t>1132: Condition Does Not Match Status Of Door</t>
  </si>
  <si>
    <t>1000: Ablates Without Ground Pads</t>
  </si>
  <si>
    <t>1410: Discontinued Product</t>
  </si>
  <si>
    <t>1529: Failure To Halt RF Delivery</t>
  </si>
  <si>
    <t>1696: Inadvertent RF Delivery</t>
  </si>
  <si>
    <t>1794: Loose</t>
  </si>
  <si>
    <t>1808: Low Power</t>
  </si>
  <si>
    <t>1905: Message - D01 Low Impedance</t>
  </si>
  <si>
    <t>1907: Message - D02 High Impedance</t>
  </si>
  <si>
    <t>1909: Message - D03 Limit Exceeded/Restart Generator</t>
  </si>
  <si>
    <t>1910: Message - D04 Temp Above Set Point/Check Catheter</t>
  </si>
  <si>
    <t>1911: Message - D05 Excessive Temperature</t>
  </si>
  <si>
    <t>1914: Message - D06 Temp Out Of Range</t>
  </si>
  <si>
    <t>1916: Message - D07 Temperature Too High</t>
  </si>
  <si>
    <t>1917: Message - D08 Check Pod</t>
  </si>
  <si>
    <t>1918: Message - D09 Multisense Sensor Failure</t>
  </si>
  <si>
    <t>1919: Message - D10 Invalid Catheter ID</t>
  </si>
  <si>
    <t>1921: Message - D12 Check Pump</t>
  </si>
  <si>
    <t>1961: Message - Gen-Fails Pwr-On Self-Test</t>
  </si>
  <si>
    <t>1995: Message - M02 Power Limited, Power Setting</t>
  </si>
  <si>
    <t>1996: Message - M03 Power Limited, Low Impedance</t>
  </si>
  <si>
    <t>1997: Message - M05 Wait For Pump</t>
  </si>
  <si>
    <t>2009: Message - Other Error Code</t>
  </si>
  <si>
    <t>2052: Message - System Fault</t>
  </si>
  <si>
    <t>2220: Poor Temperature Control</t>
  </si>
  <si>
    <t>2118: No Voltage Output</t>
  </si>
  <si>
    <t>2167: Overheating Of Device Or Device Component</t>
  </si>
  <si>
    <t>2070: Missed Key Presses</t>
  </si>
  <si>
    <t>1810: Magnetic Window Attachment Issue</t>
  </si>
  <si>
    <t>1094: Check Generator</t>
  </si>
  <si>
    <t>1129: Component Problem</t>
  </si>
  <si>
    <t>1409: Disconnection</t>
  </si>
  <si>
    <t>1558: Failure To Pump</t>
  </si>
  <si>
    <t>2011: Message - P01 - Bubble Detected</t>
  </si>
  <si>
    <t>2012: Message - P04 - Cover Open</t>
  </si>
  <si>
    <t>2013: Message - P05 - Check Standby Flow</t>
  </si>
  <si>
    <t>2014: Message - P06 - Comm Error</t>
  </si>
  <si>
    <t>2169: P03 - No Temp Drop</t>
  </si>
  <si>
    <t>2708: Message - P02 - Occlusion Detected</t>
  </si>
  <si>
    <t>3131: Message - P07 - Pump Speed Error</t>
  </si>
  <si>
    <t>1740: Intermittent Image/Display</t>
  </si>
  <si>
    <t>2073: Missing Segments/Video</t>
  </si>
  <si>
    <t>1501: Failure to Control Cursor</t>
  </si>
  <si>
    <t>1579: Failure To Respond</t>
  </si>
  <si>
    <t>1089: CD/DVD Drive Issue</t>
  </si>
  <si>
    <t>1120: Communication Loss</t>
  </si>
  <si>
    <t>1488: Failure To Boot Into Software Application</t>
  </si>
  <si>
    <t>2184: Patient Data Archive Issue</t>
  </si>
  <si>
    <t>2362: Storage/Space Issue</t>
  </si>
  <si>
    <t>2230: Power Source Issue</t>
  </si>
  <si>
    <t>2216: Poor Quality Image</t>
  </si>
  <si>
    <t>1777: LED Flashing Green For More Than 2 Minutes</t>
  </si>
  <si>
    <t>1779: LED Intermittent Blinking Blue</t>
  </si>
  <si>
    <t>1781: LED Solid Yellow</t>
  </si>
  <si>
    <t>1796: Loose Or Intermittent Connection</t>
  </si>
  <si>
    <t>2326: Signal Station Issue</t>
  </si>
  <si>
    <t>2428: Unable To Condition Orion Catheter</t>
  </si>
  <si>
    <t>1154: CT Import/Segmentation Issues</t>
  </si>
  <si>
    <t>2243: Problem With Software Installation</t>
  </si>
  <si>
    <t>2585: Import/Export Issue</t>
  </si>
  <si>
    <t>2586: LUMIPOINT Issue</t>
  </si>
  <si>
    <t>2587: Software Licensing Issue</t>
  </si>
  <si>
    <t>2760: DirectSense Feature Issue</t>
  </si>
  <si>
    <t>2761: ForceSensing Feature Issue</t>
  </si>
  <si>
    <t>2762: AutoTag Feature Issue</t>
  </si>
  <si>
    <t>2763: Study Log Issue</t>
  </si>
  <si>
    <t>2764: Slow/Fast Graph Issue</t>
  </si>
  <si>
    <t>1782: LED(s) Does Not Turn On</t>
  </si>
  <si>
    <t>1001: Ablation Related Issue</t>
  </si>
  <si>
    <t>1028: Before Continuing You Must Reset The Amplifier</t>
  </si>
  <si>
    <t>1059: Burning Smell</t>
  </si>
  <si>
    <t>1065: Button/Knob Issues</t>
  </si>
  <si>
    <t>1079: Catheter Deployment Detection Issue</t>
  </si>
  <si>
    <t>1550: Failure To Pace Or Properly Pace</t>
  </si>
  <si>
    <t>1557: Failure To Program Amplifier</t>
  </si>
  <si>
    <t>1561: Failure To Read Data From The Amplifier</t>
  </si>
  <si>
    <t>1814: Map Quality Issue</t>
  </si>
  <si>
    <t>1841: Message - _ d c _ E r r(DC Error)</t>
  </si>
  <si>
    <t>1842: Message - 0001 Internal System Error</t>
  </si>
  <si>
    <t>1843: Message - 1001 Unable To Receive Data From Signal Station</t>
  </si>
  <si>
    <t>1844: Message - 1002 Cannot Establish Connection To The Signal Station</t>
  </si>
  <si>
    <t>1845: Message - 1003 Data Flow From The Signal Station Has Been Interrupted</t>
  </si>
  <si>
    <t>1846: Message - 1004 Internal Error Detected</t>
  </si>
  <si>
    <t>1847: Message - 1005 Internal Error Detected</t>
  </si>
  <si>
    <t>1848: Message - 1006 Internal Error Timestamps</t>
  </si>
  <si>
    <t>1849: Message - 1007 Signal Latency Of Over [Sec] Detected Due To Filtering</t>
  </si>
  <si>
    <t>1850: Message - 1008 Signal Latency Of Over [Sec] Detected Due To Impedance</t>
  </si>
  <si>
    <t>1851: Message - 1009 Beat Latency Of Over [Sec] Detected</t>
  </si>
  <si>
    <t>1852: Message - 1101 Internal Error Detected</t>
  </si>
  <si>
    <t>1853: Message - 1103 Internal Error Detected</t>
  </si>
  <si>
    <t>1854: Message - 1104 Internal Error Detected</t>
  </si>
  <si>
    <t>1855: Message - 1105 Not Connected To Magnetic Localization System</t>
  </si>
  <si>
    <t>1856: Message - 1106 Signal Station Overheating Detected</t>
  </si>
  <si>
    <t>1857: Message - 1107 Signal Station Reached Critical Temperature Levels</t>
  </si>
  <si>
    <t>1858: Message - 1108 Signal Station Hardware Error Detected</t>
  </si>
  <si>
    <t>1859: Message - 1109 Critical Signal Station Hardware Error Detected</t>
  </si>
  <si>
    <t>1860: Message - 1110 Critical Signal Station Hardware Error Detected</t>
  </si>
  <si>
    <t>1861: Message - 1112 Incorrect Hardware</t>
  </si>
  <si>
    <t>1862: Message - 1113 Localization Generator Is Disconnected</t>
  </si>
  <si>
    <t>1863: Message - 1114 Error Detected With The [Device Name(s)] Magnetic Sensor Coil</t>
  </si>
  <si>
    <t>1864: Message - 1201 Communication Error While Reading Device Information - [Device Name(s)]</t>
  </si>
  <si>
    <t>1865: Message - 1203 Cannot Read Device Information While Ablation Is On - [Device Name(s)]</t>
  </si>
  <si>
    <t>1866: Message - 1204 Invalid Device Connected To - [Device Name(s)]</t>
  </si>
  <si>
    <t>1867: Message - 1205 The Following Device(s) Have Expired - [Device Name(s)]</t>
  </si>
  <si>
    <t>1868: Message - 1206 The Following Device(s) Are Not For Human Use - [Device Name(s)]</t>
  </si>
  <si>
    <t>1869: Message - 1207 Mismatch Between Input And Output Cables</t>
  </si>
  <si>
    <t>1870: Message - 1208 Channels 33-40 On A IN Are Not Being Sent To The Recording System</t>
  </si>
  <si>
    <t>1871: Message - 1301 Intellamap Orion Catheter Is Outside Of The Magnetic Field Or There Is Distortion</t>
  </si>
  <si>
    <t>1872: Message - 1302 Intellamap Orion Catheter Deployment Detection Failed</t>
  </si>
  <si>
    <t>1873: Message - 1303 Too Many Catheters Are Being Visualized</t>
  </si>
  <si>
    <t>1875: Message - 1307 The Following Electrodes Have Poor Signal Quality - [Electrode Label]</t>
  </si>
  <si>
    <t>1876: Message - 1308 The Following Electrodes Have Poor Location Quality Accuracy - [Electrode Label]</t>
  </si>
  <si>
    <t>1877: Message - 1310 The Selected Mapping Catheter Cannot Be Used To Create A Field Map</t>
  </si>
  <si>
    <t>1878: Message - 1312 High Noise Detected On The Rl And/Or Ref Possible Due To Bad Connections</t>
  </si>
  <si>
    <t>1879: Message - 1313 Magnetic Positions Are Not Available For The Following Catheters - [Catheter Name(s)]</t>
  </si>
  <si>
    <t>1880: Message - 1314 The Following Electrodes Appear To Have High Impedance - [Electrode Label]</t>
  </si>
  <si>
    <t>1881: Message - 1315 Ablation Generator Connection Problem Encountered</t>
  </si>
  <si>
    <t>1882: Message - 1317 - The Following ECG Leads Are Poorly Connected, " "</t>
  </si>
  <si>
    <t>1883: Message - 1318 The Back Patch Is Poorly Connected</t>
  </si>
  <si>
    <t>1884: Message - 1319-1 Intellamap Orion Catheter Magnetic Sensor Is Not Connec</t>
  </si>
  <si>
    <t>1885: Message - 1320 The Connected Intellamap Orion Catheter Is Invalid</t>
  </si>
  <si>
    <t>1886: Message - 1321 - ECG Leads Are Poorly Connected, " "</t>
  </si>
  <si>
    <t>1887: Message - 1322-2 DirectSense Impedance Measurement Has Saturated</t>
  </si>
  <si>
    <t>1888: Message - 1401 Mismatch Detected Between Hardware And Software Stimula</t>
  </si>
  <si>
    <t>1889: Message - 1403 The Selected Unipolar Reference Is Invalid</t>
  </si>
  <si>
    <t>1890: Message - 1405 Back Patch Has Not Been Connected Properly</t>
  </si>
  <si>
    <t>1891: Message - 1407 Back Patch Has Moved</t>
  </si>
  <si>
    <t>1893: Message - 1501 Low Disk Space</t>
  </si>
  <si>
    <t>1894: Message - 1503 The System Is Low On Memory (RAM)</t>
  </si>
  <si>
    <t>1895: Message - 1601 Automatic Initialization Of Beat Metrics Failed</t>
  </si>
  <si>
    <t>1897: Message - b A t t E r r(Battery Error)</t>
  </si>
  <si>
    <t>1898: Message - b A t t L O(Battery Low)</t>
  </si>
  <si>
    <t>1901: Message - C P U _ E r r(CPU Error)</t>
  </si>
  <si>
    <t>1904: Message - Code 1304 - The Following Leads Are Poorly Connected - [Lead Name(s)]</t>
  </si>
  <si>
    <t>1926: Message - E b a t E r r(Emerg Battery Error)</t>
  </si>
  <si>
    <t>2003: Message - N o P C E r r(No PC Error)</t>
  </si>
  <si>
    <t>2025: Message - S O F t x x x(Software Error)</t>
  </si>
  <si>
    <t>2026: Message - S09 Self Test Fail: Keypad Stuck On Failure</t>
  </si>
  <si>
    <t>2053: Message - T E S T E R R(Test Error)</t>
  </si>
  <si>
    <t>2264: Recording System Compatibility Issue</t>
  </si>
  <si>
    <t>2325: Signal Quality/Noise Issue</t>
  </si>
  <si>
    <t>2385: System Has No Blood Pressure Signal</t>
  </si>
  <si>
    <t>2386: System Has No ECG Signal</t>
  </si>
  <si>
    <t>2387: System Locks Up/Crashes</t>
  </si>
  <si>
    <t>2388: System Not Responding</t>
  </si>
  <si>
    <t>2390: System Speed Issues</t>
  </si>
  <si>
    <t>2391: System Start Up Issue</t>
  </si>
  <si>
    <t>2404: The System Is Configured To Use The Amplifier But It Is Not</t>
  </si>
  <si>
    <t>2443: Unintended Operation/Erratic Motion</t>
  </si>
  <si>
    <t>2707: Message - 1319-2 Magnetic Localization System Internal Error</t>
  </si>
  <si>
    <t>2735: Message - 1305 The Following Cateters are not Supported and Cannot be Tracked</t>
  </si>
  <si>
    <t>2736: Message - 1402 System Error</t>
  </si>
  <si>
    <t>2737: Message - 1404 More than One Hour of Data Collected for Current Map</t>
  </si>
  <si>
    <t>2738: Message - 1406 Location Reference Back Patch alingment is not Calibrated</t>
  </si>
  <si>
    <t>2739: Message - 1502 Critical Disk Space</t>
  </si>
  <si>
    <t>2740: Message - 1504 The System is Running out of Memory (RAM)</t>
  </si>
  <si>
    <t>2741: Message - 1602 CPU Time On SiS is out of Sync with WorkStation</t>
  </si>
  <si>
    <t>2742: Message - 1603 Time Has Been Changed Forward During a Study</t>
  </si>
  <si>
    <t>2743: Message - 1604 Time Has Been Changed Backward During a Study</t>
  </si>
  <si>
    <t>2744: Message - 1701-2 Force Connection Box Error Detected</t>
  </si>
  <si>
    <t>2745: Message - 1702-2 Force Connection Box Error Detected</t>
  </si>
  <si>
    <t>2746: Message - 1703-2 Force Connection Box Error Detected</t>
  </si>
  <si>
    <t>2747: Message - 1704-2 Force Catheter Error Dectected</t>
  </si>
  <si>
    <t>2748: Message - 1705-2 Force Catheter Error Detected</t>
  </si>
  <si>
    <t>2749: Message - 1706-2 Force Value is Out of Measurement Range</t>
  </si>
  <si>
    <t>2750: Message - 1707-2 No Force Computation SW Module Detected</t>
  </si>
  <si>
    <t>2751: Message - 1708-2 Force Catheter is Within the Sheath</t>
  </si>
  <si>
    <t>2752: Message - 1709-2 Force Data Unavilable Due to Error with Sheath Detection</t>
  </si>
  <si>
    <t>2753: Message - 1710-2 No Force Signal Detected</t>
  </si>
  <si>
    <t>2754: Message - 1711-2 Force Data Packet Drop Detected</t>
  </si>
  <si>
    <t>2755: Message - 1712-2 Cannot Read Force Info from the Force Catheter</t>
  </si>
  <si>
    <t>2756: Message - 1713-2 Internal Error Detected</t>
  </si>
  <si>
    <t>2757: Message - 1714-2 Force Catheter May Need to be Re-Zeroed in Blood Pool</t>
  </si>
  <si>
    <t>2758: Message - 1715-2 Force Connection Box Error Detected</t>
  </si>
  <si>
    <t>2759: Message - 1716-2 Force Catheter Re-Zero Error</t>
  </si>
  <si>
    <t>3059: Message - 1115-2 Signal Station Error Detected</t>
  </si>
  <si>
    <t>3089: Message - 1004-2 Internal Error Detected</t>
  </si>
  <si>
    <t>3090: Message - 1102 Internal Error Detected</t>
  </si>
  <si>
    <t>3091: Message - 1105-2 Not Connected To Magnetic Localization System</t>
  </si>
  <si>
    <t>3092: Message - 1111 Incorrect Hardware Version</t>
  </si>
  <si>
    <t>3093: Message - 1113-2 Localization Generator Is Disconnected</t>
  </si>
  <si>
    <t>3094: Message - 1114-2 The [Device Name] Magnetic Sensor Is Either Disconnected Or Broken</t>
  </si>
  <si>
    <t>3095: Message - 1207-2 Mismatch Between Input And Output Cables</t>
  </si>
  <si>
    <t>3096: Message - 1208-2 Channels 33-40 On A IN Are Not Being Sent To The Recording System</t>
  </si>
  <si>
    <t>3097: Message - 1311 System Error</t>
  </si>
  <si>
    <t>3098: Message - 1313-2 Magnetic Positions Are Not Available For The Following Catheters: [Catheter Name(s)]</t>
  </si>
  <si>
    <t>3099: Message - 1316 Tracking Has Been Manually Disabled_Catheter Visualization And Mapping Are Currently Unavailable</t>
  </si>
  <si>
    <t>3100: Message - 1405-2 Location Reference Back Patch Is Not Connected Or Out Of Field</t>
  </si>
  <si>
    <t>3132: Catheter Not Recognized</t>
  </si>
  <si>
    <t>2028: Message - Sensor Error</t>
  </si>
  <si>
    <t>2113: No Video Signal</t>
  </si>
  <si>
    <t>1102: CMOS Battery</t>
  </si>
  <si>
    <t>1433: DVD/CD Issue</t>
  </si>
  <si>
    <t>2108: No Signal From Signal Station</t>
  </si>
  <si>
    <t>1100: Clotting/Charring On Catheter</t>
  </si>
  <si>
    <t>1183: Deployment/Undeployment Failure</t>
  </si>
  <si>
    <t>1274: Difficult To Advance</t>
  </si>
  <si>
    <t>1323: Difficult To Irrigate</t>
  </si>
  <si>
    <t>1378: Difficult To View Under Fluoroscopy</t>
  </si>
  <si>
    <t>1380: Difficult To Withdraw</t>
  </si>
  <si>
    <t>1397: Difficult/Failure To Read Signals</t>
  </si>
  <si>
    <t>1586: Failure To Sense/Pace</t>
  </si>
  <si>
    <t>1660: Handle Leak</t>
  </si>
  <si>
    <t>1689: Inaccurate Mapping</t>
  </si>
  <si>
    <t>1776: Leak</t>
  </si>
  <si>
    <t>3006: Visible Blood/Discoloration in Tip Region</t>
  </si>
  <si>
    <t>1763: Kinked</t>
  </si>
  <si>
    <t>2399: Tears/Rips/Holes/Sep Dev Matrl</t>
  </si>
  <si>
    <t>1029: Bent</t>
  </si>
  <si>
    <t>1026: Bad/Poor Curve</t>
  </si>
  <si>
    <t>1156: Curve/Out Of Plane</t>
  </si>
  <si>
    <t>1174: Deformed/Flattened Tubing</t>
  </si>
  <si>
    <t>1331: Difficult To Move/Steer</t>
  </si>
  <si>
    <t>2129: Not Enough Curve</t>
  </si>
  <si>
    <t>2440: Uni-Directional Curve Only</t>
  </si>
  <si>
    <t>2604: Stuck In Articulated Position</t>
  </si>
  <si>
    <t>1831: Material Twisted</t>
  </si>
  <si>
    <t>1816: Material Deformation</t>
  </si>
  <si>
    <t>1383: Difficult/Failure To Attach Catheter</t>
  </si>
  <si>
    <t>1443: Electrical Problem (BK-002)</t>
  </si>
  <si>
    <t>1475: Failure To Ablate</t>
  </si>
  <si>
    <t>2029: Message - Signal Error</t>
  </si>
  <si>
    <t>2122: Noisy Electrogram</t>
  </si>
  <si>
    <t>2323: Short Circuit</t>
  </si>
  <si>
    <t>2714: Steam Pop</t>
  </si>
  <si>
    <t>1646: Glue Lifting/Peeling Off</t>
  </si>
  <si>
    <t>1500: Failure To Connect</t>
  </si>
  <si>
    <t>1153: Crack</t>
  </si>
  <si>
    <t>1530: Failure To Hold Curve W/Tension Knob</t>
  </si>
  <si>
    <t>1661: Handle Problem</t>
  </si>
  <si>
    <t>2347: Steering Knob Bond/Weld Failure</t>
  </si>
  <si>
    <t>2197: Perivac Problems</t>
  </si>
  <si>
    <t>1559: Failure To Reach Location</t>
  </si>
  <si>
    <t>1086: Cath-Poor Temperature Control</t>
  </si>
  <si>
    <t>1087: Cath-Poor Temperature Control - Higher Than Expected</t>
  </si>
  <si>
    <t>1088: Cath-Poor Temperature Control - Lower Than Expected</t>
  </si>
  <si>
    <t>2309: Sharp Edges/Burrs/Scratches</t>
  </si>
  <si>
    <t>1625: Fluid Leak</t>
  </si>
  <si>
    <t>1710: Incorrect Component</t>
  </si>
  <si>
    <t>1735: Insufficient Flow Or Underinfusion</t>
  </si>
  <si>
    <t>2430: Unable to Purge</t>
  </si>
  <si>
    <t>3224: Incorrect Wiring</t>
  </si>
  <si>
    <t>1017: Arcing</t>
  </si>
  <si>
    <t>1299: Difficult To Deploy</t>
  </si>
  <si>
    <t>1325: Difficult To Load Wire</t>
  </si>
  <si>
    <t>1513: Failure To Deploy</t>
  </si>
  <si>
    <t>2865: Visible Air/Bubbles</t>
  </si>
  <si>
    <t>3181: Audible Sound During Ablation</t>
  </si>
  <si>
    <t>3182: Blood Aggregate On Catheter</t>
  </si>
  <si>
    <t>3228: Spline Bunching</t>
  </si>
  <si>
    <t>3229: Spline Damaged/Defective</t>
  </si>
  <si>
    <t>3230: Spline Inversion</t>
  </si>
  <si>
    <t>3231: Spline Planarity Issue</t>
  </si>
  <si>
    <t>1403: Dilator/Guidewire Fit</t>
  </si>
  <si>
    <t>3190: Dilator/Needle Fit</t>
  </si>
  <si>
    <t>1038: Blood In Sheath</t>
  </si>
  <si>
    <t>1393: Difficult/Failure To Maintain Deflection</t>
  </si>
  <si>
    <t>1404: Dilator/Sheath Interface Problem</t>
  </si>
  <si>
    <t>1524: Failure To Flush</t>
  </si>
  <si>
    <t>1798: Loss Of Aspiration</t>
  </si>
  <si>
    <t>2718: Failure To Move/Steer</t>
  </si>
  <si>
    <t>3187: Difficult To Advance Catheter Through Sheath</t>
  </si>
  <si>
    <t>3188: Difficult To Aspirate</t>
  </si>
  <si>
    <t>3189: Difficult To Withdraw Catheter Through Sheath</t>
  </si>
  <si>
    <t>3222: Hemostatic Valve Leak</t>
  </si>
  <si>
    <t>1084: Catheter ID - Incorrect ID</t>
  </si>
  <si>
    <t>1732: Installation-Related Problem</t>
  </si>
  <si>
    <t>3056: Failure to Halt Ablation</t>
  </si>
  <si>
    <t>3107: Unintended Ablation</t>
  </si>
  <si>
    <t>3184: Catheter Read As Expired</t>
  </si>
  <si>
    <t>3191: E-0x301: Pre-Pulse Failure</t>
  </si>
  <si>
    <t>3192: E-0x302: E-Stop Failure</t>
  </si>
  <si>
    <t>3193: E-0x303: Arc Detect Failure</t>
  </si>
  <si>
    <t>3194: E-0x304: Main Controller Calibration Failure</t>
  </si>
  <si>
    <t>3195: E-0x305: Voltage Failure</t>
  </si>
  <si>
    <t>3196: E-0x311: Internal Stim Error</t>
  </si>
  <si>
    <t>3197: E-0x312: Parameter Failure</t>
  </si>
  <si>
    <t>3198: E-0x322: Power Supply Charge Error</t>
  </si>
  <si>
    <t>3199: E-0x323: Power Supply Calibration Failure</t>
  </si>
  <si>
    <t>3200: E-0x371: SD Communication Error</t>
  </si>
  <si>
    <t>3201: E-0x411: Stim Module Warning</t>
  </si>
  <si>
    <t>3202: E-0x473: Catheter Disconnected Warning</t>
  </si>
  <si>
    <t>3204: F-0x201: Main Post Failure</t>
  </si>
  <si>
    <t>3205: F-0x202: Main-GPU Communication</t>
  </si>
  <si>
    <t>3206: F-0x203: Main Controller Region Corruption</t>
  </si>
  <si>
    <t>3207: F-0x211: Pacing Communication Failure</t>
  </si>
  <si>
    <t>3208: F-0x212: FPGA Communication Failure</t>
  </si>
  <si>
    <t>3209: F-0x213: Pace Post Failure</t>
  </si>
  <si>
    <t>3210: F-0x215: Pace FPGA Hardware Failure</t>
  </si>
  <si>
    <t>3211: F-0x221: Power Supply Communication Failure</t>
  </si>
  <si>
    <t>3212: F-0x231: Relay Communication Failure</t>
  </si>
  <si>
    <t>3213: F-0x232: Relay RB Check Failure</t>
  </si>
  <si>
    <t>3214: F-0x233: Relay MS Check Failure</t>
  </si>
  <si>
    <t>3215: F-0x234: Relay SS Check Failure</t>
  </si>
  <si>
    <t>3216: F-0x261: Drive FPGA Communication Failure</t>
  </si>
  <si>
    <t>3217: F-0x262: Drive Hardware Failure</t>
  </si>
  <si>
    <t>3218: F-0x271: Graphics Communication Failure</t>
  </si>
  <si>
    <t>3219: F-0x272: Graphics Checksum Failure</t>
  </si>
  <si>
    <t>3220: F-0x273: Version Check Failure</t>
  </si>
  <si>
    <t>3221: F-0x274: Wave Mode Corruption</t>
  </si>
  <si>
    <t>3225: Mapping System Compatibility Issue</t>
  </si>
  <si>
    <t>3234: System Has No EGM Signal</t>
  </si>
  <si>
    <t>3273: F-0x263: Drive FPGA Pre-Pulse I/O Fault</t>
  </si>
  <si>
    <t>1139: Connector Bent</t>
  </si>
  <si>
    <t>1780: LED Issue</t>
  </si>
  <si>
    <t>3203: Error LED</t>
  </si>
  <si>
    <t>1392: Difficult/Failure To Load Onto Guidewire</t>
  </si>
  <si>
    <t>1280: Difficult To Advance Into Artery</t>
  </si>
  <si>
    <t>1282: Difficult To Advance To Treatment Site</t>
  </si>
  <si>
    <t>1347: Difficult To Remove Balloon</t>
  </si>
  <si>
    <t>1657: Guidewire/Catheter Fit</t>
  </si>
  <si>
    <t>1658: Guidewire/Instruments Do Not Fit</t>
  </si>
  <si>
    <t>1008: Air In System/Component</t>
  </si>
  <si>
    <t>1266: Device-Device Incompatibility</t>
  </si>
  <si>
    <t>1387: Difficult/Failure To Deflect</t>
  </si>
  <si>
    <t>1063: Burst</t>
  </si>
  <si>
    <t>1510: Failure To Deflate</t>
  </si>
  <si>
    <t>1727: Inflation Issue</t>
  </si>
  <si>
    <t>1751: Irregular Shape</t>
  </si>
  <si>
    <t>2237: Pressure Issue</t>
  </si>
  <si>
    <t>2830: Double Balloon Damage</t>
  </si>
  <si>
    <t>2861: Inner Balloon Leak</t>
  </si>
  <si>
    <t>2863: Outer Balloon Leak</t>
  </si>
  <si>
    <t>2864: Poor Occlusion</t>
  </si>
  <si>
    <t>3053: Early/Unintended Deflation</t>
  </si>
  <si>
    <t>1623: Flow Issue</t>
  </si>
  <si>
    <t>2866: Visible Blood</t>
  </si>
  <si>
    <t>1482: Failure To Advance</t>
  </si>
  <si>
    <t>1733: Insufficient Cooling</t>
  </si>
  <si>
    <t>2862: Leak Detection Issue</t>
  </si>
  <si>
    <t>3054: Excess Flow</t>
  </si>
  <si>
    <t>3057: Inner Balloon Shaft/Guidewire Lumen Deformed</t>
  </si>
  <si>
    <t>3058: Insufficient Flow</t>
  </si>
  <si>
    <t>3065: Unable to Withdraw</t>
  </si>
  <si>
    <t>3075: Expiration Error "Has Been Used For More Than 12 Hours"</t>
  </si>
  <si>
    <t>2605: Sharp Edges</t>
  </si>
  <si>
    <t>2401: Temperature Issue</t>
  </si>
  <si>
    <t>2831: SN 2 - 00000001-1: The Console Has Detected A Hardware Problem</t>
  </si>
  <si>
    <t>2832: SN 2 - 00000002-1: The Console Has Detected A Hardware Problem</t>
  </si>
  <si>
    <t>2833: SN 2 - 00000002-2: The Console Has Failed The Self Test</t>
  </si>
  <si>
    <t>2834: SN 2 - 00000004-1: High Refrigerant Flow Detected</t>
  </si>
  <si>
    <t>2835: SN 1 - 00000004-2: The Inner Balloon Pressure Is Too High</t>
  </si>
  <si>
    <t>2836: SN 2 - 00000008-1: Refrigerant Flow Obstruction Detected</t>
  </si>
  <si>
    <t>2837: SN 2 - 04000000-1: The Console Has Failed The Self Test</t>
  </si>
  <si>
    <t>2838: SN 1 - 00000008-2: The Inner Balloon Pressure Is Too Low</t>
  </si>
  <si>
    <t>2839: SN 2 - 00000080-1: The Console Detected That The Vacuum Was Disabled Unexpectedly</t>
  </si>
  <si>
    <t>2840: SN 2 - 00400000-1: The Scavenging Line Pressure Is Too High</t>
  </si>
  <si>
    <t>2841: SN 00000020-1: Low Refrigerant Level In The Tank</t>
  </si>
  <si>
    <t>2842: SN 1 - 00000020-2: The Outer Balloon Pressure Is Too High</t>
  </si>
  <si>
    <t>2843: SN 2 - 00000040-1: Insufficient Refrigerant Level In Tank To Perform A Procedure</t>
  </si>
  <si>
    <t>2844: SN 2 - 00000010-1: The Console Detected That The Catheter Was Electrically Disconnected During Treatment</t>
  </si>
  <si>
    <t>2845: SN 00000200-1: The Tank Pressure Is Too Low</t>
  </si>
  <si>
    <t>2846: SN 1 - 00001000-2: The Balloon Temperature Is Too Low. The Catheter Might Be Too Deep In The Vein</t>
  </si>
  <si>
    <t>2847: SN 2 - 00000400-1: The Tank Pressure Is Too High</t>
  </si>
  <si>
    <t>2848: SN 2 - 00000800-1: The Console Has Detected A Software Problem</t>
  </si>
  <si>
    <t>2849: SN 2 - 00002000-1: The Console Has Detected A Hardware Problem</t>
  </si>
  <si>
    <t>2850: SN 1 - 00004000-2: The Console Detected Blood In The Catheter</t>
  </si>
  <si>
    <t>2851: SN 2 - 00001000-1: The Injection Pressure Is Too High</t>
  </si>
  <si>
    <t>2852: SN 2 - 00004000-1: Flow Obstruction Detected</t>
  </si>
  <si>
    <t>2853: SN 2 - 00008000-1: The Console Has Detected A Hardware Problem</t>
  </si>
  <si>
    <t>2854: SN 2 - 00010000-1: Flow Obstruction Detected</t>
  </si>
  <si>
    <t>2855: SN 2 - 00020000-1: The Console Has Detected A Hardware Problem</t>
  </si>
  <si>
    <t>2856: SN 00040000-1: The Subcooler Temperature Is Too High</t>
  </si>
  <si>
    <t>2858: SN 2 - 00100000-1: The Console Has Detected A Hardware Problem</t>
  </si>
  <si>
    <t>2859: SN 2 - 0003Fb12: The System Has Detected A Problem With The Communication System</t>
  </si>
  <si>
    <t>2860: SN 2 - 0003Fb13: The System Has Detected A Problem With The Communication System</t>
  </si>
  <si>
    <t>3060: N2O Leak</t>
  </si>
  <si>
    <t>3061: SN 0003FB19: This System Is Running Critically Low On Disk Space</t>
  </si>
  <si>
    <t>3062: SN 0003FB1B: This system Is Running Low On Disk Space</t>
  </si>
  <si>
    <t>3063: SN 00200000-1: The system Has Detected A Stuck Command</t>
  </si>
  <si>
    <t>3064: SN 1 - 00008000-2: The Console Detected A Problem With The Blood Detection Circuit In The Catheter</t>
  </si>
  <si>
    <t>3079: High Injection Pressure</t>
  </si>
  <si>
    <t>3083: Low Injection Pressure</t>
  </si>
  <si>
    <t>3103: Tank Weight Issue</t>
  </si>
  <si>
    <t>3109: Valve Issue</t>
  </si>
  <si>
    <t>3055: Extension Switch Issue</t>
  </si>
  <si>
    <t>2218: Poor Shape Retention</t>
  </si>
  <si>
    <t>1002: Acq PC Does Not Boot Into Application</t>
  </si>
  <si>
    <t>1004: Acquisition PC Issue</t>
  </si>
  <si>
    <t>1005: Acquisition PC Ping Fails</t>
  </si>
  <si>
    <t>1030: Bios Corrupted/Incorrect settings/BIOS Error</t>
  </si>
  <si>
    <t>1164: Dark/Poor/Distorted/Intermittent Image</t>
  </si>
  <si>
    <t>1423: Does Not Connect To DICOM</t>
  </si>
  <si>
    <t>1424: Does Not Recognize Catheter/Simulator</t>
  </si>
  <si>
    <t>2194: PDAQ Board Error Message</t>
  </si>
  <si>
    <t>2195: PDAQ Board Inoperative</t>
  </si>
  <si>
    <t>3009: ACQ Software Malfunction</t>
  </si>
  <si>
    <t>3010: Acquisition PC Communication Error</t>
  </si>
  <si>
    <t>3016: Cath Profile Error</t>
  </si>
  <si>
    <t>3036: PDAQ PCI Bus Inoperative</t>
  </si>
  <si>
    <t>3037: PDAQ PCI Interface</t>
  </si>
  <si>
    <t>3044: Software Is Not Starting/Restarting</t>
  </si>
  <si>
    <t>1103: Coating Issue</t>
  </si>
  <si>
    <t>1138: Connection Issue With Sled</t>
  </si>
  <si>
    <t>1296: Difficult To Cross Lesion</t>
  </si>
  <si>
    <t>1464: Excessive Epoxy</t>
  </si>
  <si>
    <t>1753: Issue With Measurements On System</t>
  </si>
  <si>
    <t>2270: Resistance/Friction</t>
  </si>
  <si>
    <t>2303: Separated At Hub</t>
  </si>
  <si>
    <t>2368: Stuck In Lesion</t>
  </si>
  <si>
    <t>2371: Stuck In Stent</t>
  </si>
  <si>
    <t>1267: DICOM Issue</t>
  </si>
  <si>
    <t>1610: File Conversion Issue</t>
  </si>
  <si>
    <t>2082: Network Connectivity Linking Issue</t>
  </si>
  <si>
    <t>2083: Network Connectivity Set Up Issue</t>
  </si>
  <si>
    <t>2085: Network/Archive File Transfer Issue</t>
  </si>
  <si>
    <t>2306: Settings Lost/Verification Fails</t>
  </si>
  <si>
    <t>1669: Hole/Perforated</t>
  </si>
  <si>
    <t>2350: Sterility Issue</t>
  </si>
  <si>
    <t>1679: Image/Display Issue</t>
  </si>
  <si>
    <t>1040: Bluetooth Cannot Establish Connection With FFR Link</t>
  </si>
  <si>
    <t>1067: Cable No Signal</t>
  </si>
  <si>
    <t>1407: Direct To Hemo</t>
  </si>
  <si>
    <t>1418: Display Issue</t>
  </si>
  <si>
    <t>1606: FFR Values Incorrect</t>
  </si>
  <si>
    <t>1644: General System Issue</t>
  </si>
  <si>
    <t>1834: Mean Pressure Trendlines Incorrect</t>
  </si>
  <si>
    <t>1932: Message - Error 3015 - Failed Pressure Wire Zero</t>
  </si>
  <si>
    <t>1933: Message - Error 3016 - Pressure Wire Connection Failed</t>
  </si>
  <si>
    <t>1937: Message - Error 3035 - Blue Tooth Connection Lost</t>
  </si>
  <si>
    <t>1940: Message - Error 3054 - Failed To Receive Waveforms From The FFR Link</t>
  </si>
  <si>
    <t>2170: Pa Values Incorrect</t>
  </si>
  <si>
    <t>2229: Power LED On FFR Link Solid Red For 10 Seconds</t>
  </si>
  <si>
    <t>2236: Pressure Drift Detected</t>
  </si>
  <si>
    <t>2475: Zeroed LED On FFR Link Blinking Red</t>
  </si>
  <si>
    <t>1330: Difficult To Move Catheter On Guidewire</t>
  </si>
  <si>
    <t>1456: Entanglement</t>
  </si>
  <si>
    <t>2153: O-Ring Movement</t>
  </si>
  <si>
    <t>1803: Lost</t>
  </si>
  <si>
    <t>2145: NURD</t>
  </si>
  <si>
    <t>2209: Poor</t>
  </si>
  <si>
    <t>1582: Failure To Rotate</t>
  </si>
  <si>
    <t>1752: Issue With Length</t>
  </si>
  <si>
    <t>2284: Rotational Speed Issue</t>
  </si>
  <si>
    <t>2423: Transducer In The Proximal Tubing When Telescope Is Fully Retracted</t>
  </si>
  <si>
    <t>2473: Windup Catheter</t>
  </si>
  <si>
    <t>1037: Blocked Connection</t>
  </si>
  <si>
    <t>1563: Failure To Read DVD/CD Media</t>
  </si>
  <si>
    <t>1564: Failure To Read Removable Hard Drive</t>
  </si>
  <si>
    <t>1598: Failure To Write To DVD/CD Writer</t>
  </si>
  <si>
    <t>1599: Failure To Write To Removable Hard Drive</t>
  </si>
  <si>
    <t>1638: Freezes Up/Slows Down Dramatically</t>
  </si>
  <si>
    <t>1680: Imaging Processor Issue</t>
  </si>
  <si>
    <t>3067: Archive to CD/DVD/RHD Failure</t>
  </si>
  <si>
    <t>2051: Message - System Error/Failure</t>
  </si>
  <si>
    <t>2472: Windows OS Corrupted/BSOD-Bluescreen of Death Error</t>
  </si>
  <si>
    <t>1534: Failure To Install</t>
  </si>
  <si>
    <t>1612: File Transfer/Export Failure</t>
  </si>
  <si>
    <t>1618: Flaked</t>
  </si>
  <si>
    <t>2143: Not Visible Under Fluoroscopy</t>
  </si>
  <si>
    <t>1155: Cursor Related Issues</t>
  </si>
  <si>
    <t>1417: Display Is Off Color</t>
  </si>
  <si>
    <t>1675: Image Freezes</t>
  </si>
  <si>
    <t>1770: LCD Missing Segments</t>
  </si>
  <si>
    <t>1083: Catheter ID Not Recognized</t>
  </si>
  <si>
    <t>1168: Dead/Transducer Not Spinning/Rotating</t>
  </si>
  <si>
    <t>1572: Failure To Release Catheter</t>
  </si>
  <si>
    <t>1629: Fluids Are Known To Have Ingressed Into The Motor Drive</t>
  </si>
  <si>
    <t>1990: Message - Incorrect Motor Drive Version Error</t>
  </si>
  <si>
    <t>1999: Message - Motor Drive Error</t>
  </si>
  <si>
    <t>2000: Message - Motor Drive Overload Error</t>
  </si>
  <si>
    <t>2077: Motor Drive Dead/Transducer Not Spinning</t>
  </si>
  <si>
    <t>2078: Motor Drive Issue</t>
  </si>
  <si>
    <t>2274: Retraction Problem</t>
  </si>
  <si>
    <t>2328: Simulator Will Not Fit Into Motor Drive</t>
  </si>
  <si>
    <t>2451: Unusual Noise From Motor Drive/Sled During Pulling Back</t>
  </si>
  <si>
    <t>3013: Bipolar TX PCA Board Inoperative</t>
  </si>
  <si>
    <t>3031: MDU Overload Pullback Error 7003</t>
  </si>
  <si>
    <t>3032: MDU Overload Rotational</t>
  </si>
  <si>
    <t>3104: Unable To Initiate Autopullback</t>
  </si>
  <si>
    <t>3105: Unable To Manually Move On Sled</t>
  </si>
  <si>
    <t>3106: Unable To Stop Pullback</t>
  </si>
  <si>
    <t>1533: Failure To Insert</t>
  </si>
  <si>
    <t>1570: Failure To Release</t>
  </si>
  <si>
    <t>2382: System Does Not Connect To Server/DICOM</t>
  </si>
  <si>
    <t>1137: Connection Issue With MDU</t>
  </si>
  <si>
    <t>2007: Message - Not Connected Error</t>
  </si>
  <si>
    <t>2179: Paper Jam</t>
  </si>
  <si>
    <t>2215: Poor Print Quality</t>
  </si>
  <si>
    <t>2383: System Does Not Recognize Printer</t>
  </si>
  <si>
    <t>2363: Stretched</t>
  </si>
  <si>
    <t>1012: Application Program Version Or Upgrade Problem</t>
  </si>
  <si>
    <t>1018: Articulating Mounting Arm Movement Issue</t>
  </si>
  <si>
    <t>1043: Bookmarking Issue</t>
  </si>
  <si>
    <t>1165: Data Corruption Issue</t>
  </si>
  <si>
    <t>1425: Does Not Recognize Catheter</t>
  </si>
  <si>
    <t>1442: Electrical Power Problem</t>
  </si>
  <si>
    <t>1473: Failed Power On System Test</t>
  </si>
  <si>
    <t>1566: Failure To Recognize Motordrive</t>
  </si>
  <si>
    <t>1567: Failure To Record Case</t>
  </si>
  <si>
    <t>1581: Failure To Return To Previous Run</t>
  </si>
  <si>
    <t>1601: Failure To Zero Pressure Guidewire</t>
  </si>
  <si>
    <t>1645: General System Performance Issue</t>
  </si>
  <si>
    <t>1681: IMAP Feature Issue</t>
  </si>
  <si>
    <t>1702: Incompatible Software Version Between Image PC And ACQ PC</t>
  </si>
  <si>
    <t>1717: Incorrect Measurement</t>
  </si>
  <si>
    <t>1754: Issue With Viewing Cross Section Or Long View</t>
  </si>
  <si>
    <t>1762: Jumps To Different Screen/Menu</t>
  </si>
  <si>
    <t>1795: Loose Hardware</t>
  </si>
  <si>
    <t>1800: Loss Of Settings</t>
  </si>
  <si>
    <t>1811: Main System Loses Connectivity To Peripherals</t>
  </si>
  <si>
    <t>2185: Patient Data Lost</t>
  </si>
  <si>
    <t>2260: Reading Not Updating Correctly During Pullback</t>
  </si>
  <si>
    <t>2262: Reboots/Resets Unexpectedly</t>
  </si>
  <si>
    <t>2288: Safety Test Issue</t>
  </si>
  <si>
    <t>2291: Save Patient Files Issue</t>
  </si>
  <si>
    <t>2334: Smoking</t>
  </si>
  <si>
    <t>2336: Software Downgrade Issue</t>
  </si>
  <si>
    <t>2337: Software Issue</t>
  </si>
  <si>
    <t>2421: Trace Assist Issue</t>
  </si>
  <si>
    <t>2452: UPS</t>
  </si>
  <si>
    <t>3070: Cannot Start Imaging</t>
  </si>
  <si>
    <t>3072: Data Acquisition Error</t>
  </si>
  <si>
    <t>3076: Failure During Run</t>
  </si>
  <si>
    <t>3078: Failure To Playback/Review A Recorded Case</t>
  </si>
  <si>
    <t>3080: Imaging Failed To Start Error-7025</t>
  </si>
  <si>
    <t>3082: Intermittent Catheter Connection</t>
  </si>
  <si>
    <t>3108: Unprotected System Software</t>
  </si>
  <si>
    <t>1066: Buttons Do Not Function As Intended</t>
  </si>
  <si>
    <t>1256: Device Markings Issue</t>
  </si>
  <si>
    <t>1823: Material Perforation</t>
  </si>
  <si>
    <t>1422: Distorted Display</t>
  </si>
  <si>
    <t>2149: Off Color</t>
  </si>
  <si>
    <t>2298: Select/Cancel Button Not Functional</t>
  </si>
  <si>
    <t>2429: Unable To Perform Touchscreen Calibration</t>
  </si>
  <si>
    <t>1003: PC USB Port Inoperative</t>
  </si>
  <si>
    <t>1054: Broken Part/Physical Damage</t>
  </si>
  <si>
    <t>1502: Failure To Control Cursor/Drifting Cursor</t>
  </si>
  <si>
    <t>1511: Failure To Deliver Energy</t>
  </si>
  <si>
    <t>2595: Excessive Current</t>
  </si>
  <si>
    <t>2141: Not Visible</t>
  </si>
  <si>
    <t>1337: Difficult To Press</t>
  </si>
  <si>
    <t>2351: Sticking</t>
  </si>
  <si>
    <t>2592: Continuously Routes Water Over Lens</t>
  </si>
  <si>
    <t>1290: Difficult To Close</t>
  </si>
  <si>
    <t>1333: Difficult To Open</t>
  </si>
  <si>
    <t>1396: Difficult/Failure To Puncture</t>
  </si>
  <si>
    <t>1819: Material Fragmentation</t>
  </si>
  <si>
    <t>2290: Sample Lodged</t>
  </si>
  <si>
    <t>2614: Loss Of Insufflation</t>
  </si>
  <si>
    <t>2615: Retention Issue</t>
  </si>
  <si>
    <t>2616: Detach From Endoscope</t>
  </si>
  <si>
    <t>1497: Failure to Clean Adequately</t>
  </si>
  <si>
    <t>2514: Failure To Lock On Wire</t>
  </si>
  <si>
    <t>1372: Difficult To Use</t>
  </si>
  <si>
    <t>2329: Size Incorrect</t>
  </si>
  <si>
    <t>3110: Breathability</t>
  </si>
  <si>
    <t>3111: Seam Break/Tear</t>
  </si>
  <si>
    <t>1362: Difficult to Rotate/Poor Rotation</t>
  </si>
  <si>
    <t>1301: Difficult To Dispense</t>
  </si>
  <si>
    <t>2734: Difficult to Lubricate</t>
  </si>
  <si>
    <t>2377: Suction Issue</t>
  </si>
  <si>
    <t>1384: Difficult/Failure To Capture</t>
  </si>
  <si>
    <t>1729: Infusion Or Flow Issue</t>
  </si>
  <si>
    <t>2602: Reflux Within Device</t>
  </si>
  <si>
    <t>1820: Material Frayed</t>
  </si>
  <si>
    <t>2417: Torn Material</t>
  </si>
  <si>
    <t>1157: Customer Altered Product</t>
  </si>
  <si>
    <t>1191: Device Damaged Prior To Use</t>
  </si>
  <si>
    <t>1263: Device Stuck In Scope And Pushed Into Another Patient</t>
  </si>
  <si>
    <t>1279: Difficult To Advance In The Anatomy</t>
  </si>
  <si>
    <t>1457: Entrapment Of Device Or Device Component</t>
  </si>
  <si>
    <t>1686: Improper Or Incorrect Procedure Or Method</t>
  </si>
  <si>
    <t>3257: Device Stuck In Scope And Scope Used In Another Patient</t>
  </si>
  <si>
    <t>1653: Guidewire Popping/Slipping Out Of Rapid Exchange Channel</t>
  </si>
  <si>
    <t>1057: Buckled Material</t>
  </si>
  <si>
    <t>1305: Difficult To Inflate</t>
  </si>
  <si>
    <t>1525: Failure To Fold</t>
  </si>
  <si>
    <t>1532: Failure To Inflate</t>
  </si>
  <si>
    <t>1617: Fitting Problem</t>
  </si>
  <si>
    <t>1827: Material Rupture</t>
  </si>
  <si>
    <t>2203: Pinhole</t>
  </si>
  <si>
    <t>2474: Winged</t>
  </si>
  <si>
    <t>2601: Overinflation</t>
  </si>
  <si>
    <t>1739: Interlumen Leak</t>
  </si>
  <si>
    <t>1303: Difficult To Extend</t>
  </si>
  <si>
    <t>2196: Peeled</t>
  </si>
  <si>
    <t>1269: Did Not Have Smooth Movement</t>
  </si>
  <si>
    <t>1499: Failure To Conduct</t>
  </si>
  <si>
    <t>1716: Incorrect Length</t>
  </si>
  <si>
    <t>2142: Not visible under EUS or Fluoroscopy</t>
  </si>
  <si>
    <t>2416: Tore Tissue</t>
  </si>
  <si>
    <t>2292: Scratched Material</t>
  </si>
  <si>
    <t>1484: Failure To Align</t>
  </si>
  <si>
    <t>1498: Failure To Close</t>
  </si>
  <si>
    <t>1547: Failure To Open</t>
  </si>
  <si>
    <t>2210: Poor Bite</t>
  </si>
  <si>
    <t>2341: Specimen Dislodged</t>
  </si>
  <si>
    <t>2372: Stuck On Anatomy Wall</t>
  </si>
  <si>
    <t>2411: Too Big Of A Bite</t>
  </si>
  <si>
    <t>2435: Uneven Opening</t>
  </si>
  <si>
    <t>1486: Failure to Boot</t>
  </si>
  <si>
    <t>1080: Catheter Electrode Array Icon Flashes Amber</t>
  </si>
  <si>
    <t>1082: Catheter Handle Icon Flashes Red</t>
  </si>
  <si>
    <t>1703: Incomplete Activations</t>
  </si>
  <si>
    <t>1748: Inverted</t>
  </si>
  <si>
    <t>2133: Not Fully Collapsed</t>
  </si>
  <si>
    <t>2134: Not Fully Expanded</t>
  </si>
  <si>
    <t>1815: Marker Band - Wearing</t>
  </si>
  <si>
    <t>2152: Orientation</t>
  </si>
  <si>
    <t>1522: Failure To Extend</t>
  </si>
  <si>
    <t>1112: Collapse</t>
  </si>
  <si>
    <t>1489: Failure To Bow</t>
  </si>
  <si>
    <t>1571: Failure To Release Bow (Unbow)</t>
  </si>
  <si>
    <t>2156: Out Of Plane Bowing</t>
  </si>
  <si>
    <t>1838: Melted</t>
  </si>
  <si>
    <t>1688: Inability To Irrigate</t>
  </si>
  <si>
    <t>1826: Material Rigid Or Stiff</t>
  </si>
  <si>
    <t>1189: Detent Inadequate</t>
  </si>
  <si>
    <t>2282: Rotates Unintentionally</t>
  </si>
  <si>
    <t>2600: Needle Stop Not Set To Zero</t>
  </si>
  <si>
    <t>1478: Failure To Adjust</t>
  </si>
  <si>
    <t>1538: Failure to Lock</t>
  </si>
  <si>
    <t>1594: Failure To Unlock</t>
  </si>
  <si>
    <t>1546: Failure To Obtain Samples</t>
  </si>
  <si>
    <t>2232: Premature Deployment</t>
  </si>
  <si>
    <t>2253: Punctured Sheath</t>
  </si>
  <si>
    <t>2289: Sample Dislodged</t>
  </si>
  <si>
    <t>2379: Surface Rough</t>
  </si>
  <si>
    <t>2418: Torque Problem</t>
  </si>
  <si>
    <t>1620: Flexibility Problem</t>
  </si>
  <si>
    <t>1027: Bands Fall Off Polyp</t>
  </si>
  <si>
    <t>1602: Falling Off Varix</t>
  </si>
  <si>
    <t>2069: Misfire</t>
  </si>
  <si>
    <t>2221: Poor Visualization</t>
  </si>
  <si>
    <t>1009: Air Leak</t>
  </si>
  <si>
    <t>1055: Broken/Wont Turn</t>
  </si>
  <si>
    <t>1605: Feedback Issues</t>
  </si>
  <si>
    <t>2208: Polyp/Tissue Sample Inadequate</t>
  </si>
  <si>
    <t>2599: Multiple Knots In Ligator</t>
  </si>
  <si>
    <t>2721: Stuck in Housing</t>
  </si>
  <si>
    <t>2067: Misassembled By Users</t>
  </si>
  <si>
    <t>1508: Failure To Cut</t>
  </si>
  <si>
    <t>1730: Injection Problem</t>
  </si>
  <si>
    <t>2147: Occlusion Within Device</t>
  </si>
  <si>
    <t>2224: Positioning Issue</t>
  </si>
  <si>
    <t>2481: Visualization Issues</t>
  </si>
  <si>
    <t>1580: Failure To Retract</t>
  </si>
  <si>
    <t>1783: Length Too Long</t>
  </si>
  <si>
    <t>1784: Length Too Short</t>
  </si>
  <si>
    <t>2488: Bleb Did Not Last Long Enough</t>
  </si>
  <si>
    <t>2489: Bleb Inadequate</t>
  </si>
  <si>
    <t>2490: Bleb Not Created</t>
  </si>
  <si>
    <t>1273: Difficult to Actuate</t>
  </si>
  <si>
    <t>1298: Difficult To Deflate</t>
  </si>
  <si>
    <t>1693: Inadequate Symmetry</t>
  </si>
  <si>
    <t>2446: Unraveled Material</t>
  </si>
  <si>
    <t>2188: Patient Removal</t>
  </si>
  <si>
    <t>1708: Incorrect</t>
  </si>
  <si>
    <t>1182: Deployment Issue</t>
  </si>
  <si>
    <t>1432: Dull</t>
  </si>
  <si>
    <t>1825: Material Puncture</t>
  </si>
  <si>
    <t>1485: Failure To Bloom/Debloom</t>
  </si>
  <si>
    <t>2202: Physical Resistance</t>
  </si>
  <si>
    <t>1104: Coating Peeled</t>
  </si>
  <si>
    <t>2287: Safety Mechanism Fails To Operate</t>
  </si>
  <si>
    <t>1179: Dented</t>
  </si>
  <si>
    <t>2154: Other Cooling Unit/Cooling Water Problem</t>
  </si>
  <si>
    <t>1130: Computer Software Issue</t>
  </si>
  <si>
    <t>1178: Delivers Energy Intermittently</t>
  </si>
  <si>
    <t>1250: Device Emits Odor</t>
  </si>
  <si>
    <t>1251: Device Energy Error/Error 36</t>
  </si>
  <si>
    <t>1264: Device Switches From "Ready" To "Standby" Mode</t>
  </si>
  <si>
    <t>1945: Message - Fiber</t>
  </si>
  <si>
    <t>1993: Message - Line Voltage Too Low/Error Code 12</t>
  </si>
  <si>
    <t>2158: Output Above Specifications</t>
  </si>
  <si>
    <t>2159: Output Below Specifications</t>
  </si>
  <si>
    <t>2160: Output Energy Incorrect</t>
  </si>
  <si>
    <t>1255: Device Maneuverability/Device Falls</t>
  </si>
  <si>
    <t>1390: Difficult/Failure To Implant</t>
  </si>
  <si>
    <t>1759: Jammed Within Introducer</t>
  </si>
  <si>
    <t>1760: Jammed Within Needle</t>
  </si>
  <si>
    <t>1382: Difficult/Failure To Advance</t>
  </si>
  <si>
    <t>1391: Difficult/Failure To Load</t>
  </si>
  <si>
    <t>1630: Foggy/Cloudy</t>
  </si>
  <si>
    <t>2529: Unable To Power On</t>
  </si>
  <si>
    <t>2568: Center Image Lost</t>
  </si>
  <si>
    <t>2569: Image Quality Issue</t>
  </si>
  <si>
    <t>2570: Intermittent Image/Flickering Image</t>
  </si>
  <si>
    <t>2571: Left/Right Image Lost</t>
  </si>
  <si>
    <t>2572: Lines In Image</t>
  </si>
  <si>
    <t>2573: Red Image</t>
  </si>
  <si>
    <t>2578: Insufficient Air Or Water Flow</t>
  </si>
  <si>
    <t>2579: Insufficient Suction</t>
  </si>
  <si>
    <t>2580: LED Inoperable Or Dim</t>
  </si>
  <si>
    <t>1019: Articulation Failure/Loss Of Control/Loose</t>
  </si>
  <si>
    <t>1285: Difficult To Articulate</t>
  </si>
  <si>
    <t>2486: Handle, Button Or Valve Leak</t>
  </si>
  <si>
    <t>2487: Leak At Scope Tip</t>
  </si>
  <si>
    <t>2502: Button Stuck Engaged</t>
  </si>
  <si>
    <t>2515: Steering Brake/Locking Feature Not Functional</t>
  </si>
  <si>
    <t>2516: Steering/Locking Knobs Loose</t>
  </si>
  <si>
    <t>2533: Cracked/Scratched Lens</t>
  </si>
  <si>
    <t>2563: Button Failed/Damaged</t>
  </si>
  <si>
    <t>2576: Dark Image</t>
  </si>
  <si>
    <t>2582: Steering/Angulation Reversed</t>
  </si>
  <si>
    <t>2583: Failure To Suction</t>
  </si>
  <si>
    <t>2584: Unable To Clean/Reprocess/Disinfect</t>
  </si>
  <si>
    <t>2591: Condensation Behind Lens</t>
  </si>
  <si>
    <t>2603: Sheath Worn or Discolored</t>
  </si>
  <si>
    <t>2532: Cracked Screen</t>
  </si>
  <si>
    <t>2574: Image Transfer Issue</t>
  </si>
  <si>
    <t>2581: Screen Freezes</t>
  </si>
  <si>
    <t>2724: Difficult To Secure</t>
  </si>
  <si>
    <t>3005: Compatibility Issue With Electrosurgical/Cautery Devices</t>
  </si>
  <si>
    <t>1588: Failure To Shape</t>
  </si>
  <si>
    <t>1148: Corrosion</t>
  </si>
  <si>
    <t>1345: Difficult To Release From Catheter</t>
  </si>
  <si>
    <t>1379: Difficult To Visualize Under Radiological Imaging</t>
  </si>
  <si>
    <t>1517: Failure To Engage Target Tissue</t>
  </si>
  <si>
    <t>1526: Failure To Fully Open</t>
  </si>
  <si>
    <t>1573: Failure To Release From Catheter</t>
  </si>
  <si>
    <t>1603: Falls Into The Patient In An Open State</t>
  </si>
  <si>
    <t>2217: Poor Rotation (Whip/Lag)</t>
  </si>
  <si>
    <t>2424: Traumatic</t>
  </si>
  <si>
    <t>2148: OD Too Large</t>
  </si>
  <si>
    <t>2135: Not MRI Conditional</t>
  </si>
  <si>
    <t>1064: Button Issue</t>
  </si>
  <si>
    <t>1840: Menu Access Issue</t>
  </si>
  <si>
    <t>1987: Message - Hard Disk Error</t>
  </si>
  <si>
    <t>2033: Message - System Error - XX</t>
  </si>
  <si>
    <t>2084: Network Issue</t>
  </si>
  <si>
    <t>2097: No Input Signal/Image</t>
  </si>
  <si>
    <t>2205: Playback Error</t>
  </si>
  <si>
    <t>2263: Recording Error</t>
  </si>
  <si>
    <t>2340: Sound Inoperable</t>
  </si>
  <si>
    <t>2365: Stuck</t>
  </si>
  <si>
    <t>2453: USB Drive Error</t>
  </si>
  <si>
    <t>2454: USB Peripheral Error</t>
  </si>
  <si>
    <t>2259: Reading Inaccurate</t>
  </si>
  <si>
    <t>1329: Difficult To Move</t>
  </si>
  <si>
    <t>1446: Electromagnetic Compatibility Issue</t>
  </si>
  <si>
    <t>1726: Ineffective Breaking Up Stone</t>
  </si>
  <si>
    <t>1822: Material Opacification</t>
  </si>
  <si>
    <t>1523: Failure To Fire</t>
  </si>
  <si>
    <t>2061: Metal Shedding Debris</t>
  </si>
  <si>
    <t>2131: Not Firing At Distal End</t>
  </si>
  <si>
    <t>1114: Color Scheme Inadequate</t>
  </si>
  <si>
    <t>1676: Image Orientation Incorrect</t>
  </si>
  <si>
    <t>1691: Inadequate Lighting</t>
  </si>
  <si>
    <t>1790: Live Image Lag/Not Real Time</t>
  </si>
  <si>
    <t>1801: Loss Of Visualization</t>
  </si>
  <si>
    <t>2116: No Visualization</t>
  </si>
  <si>
    <t>2204: Pixelated Image</t>
  </si>
  <si>
    <t>2527: Wrong Type/ Incorrect Power Cable</t>
  </si>
  <si>
    <t>2536: Wear and Tear</t>
  </si>
  <si>
    <t>2701: Image Capture - Not Functional</t>
  </si>
  <si>
    <t>2702: Image Capture Issue - Desired Image Not Captured</t>
  </si>
  <si>
    <t>2874: Picture In Picture Issue</t>
  </si>
  <si>
    <t>2564: Ground Wire Issues</t>
  </si>
  <si>
    <t>2565: Length Issues</t>
  </si>
  <si>
    <t>1492: Failure To Capture Stone</t>
  </si>
  <si>
    <t>1506: Failure To Crush Stone</t>
  </si>
  <si>
    <t>1575: Failure To Release Stone</t>
  </si>
  <si>
    <t>2596: Failure to Capture Foreign Body</t>
  </si>
  <si>
    <t>2598: Failure to Release Foreign Body</t>
  </si>
  <si>
    <t>1503: Failure To Control Rotation</t>
  </si>
  <si>
    <t>2219: Poor Tactile Feedback</t>
  </si>
  <si>
    <t>1405: Dimensional Problem</t>
  </si>
  <si>
    <t>2333: Slow To Open/Close</t>
  </si>
  <si>
    <t>1334: Difficult To Open Or Close</t>
  </si>
  <si>
    <t>2442: Unintended Movement</t>
  </si>
  <si>
    <t>1542: Failure To Maintain Device In Open Position</t>
  </si>
  <si>
    <t>2254: Push Back</t>
  </si>
  <si>
    <t>1587: Failure To Separate</t>
  </si>
  <si>
    <t>3066: Momentary Disruption Of Visualization With Recovery</t>
  </si>
  <si>
    <t>3226: Reuse Error</t>
  </si>
  <si>
    <t>1326: Difficult To Lock</t>
  </si>
  <si>
    <t>1275: Difficult To Advance Accessories</t>
  </si>
  <si>
    <t>2412: Too Flexible</t>
  </si>
  <si>
    <t>2480: Difficult To Remove Ancillary Device</t>
  </si>
  <si>
    <t>2876: Unable To Advance Accessories</t>
  </si>
  <si>
    <t>3138: Loss Of Visualization Outside The Patient</t>
  </si>
  <si>
    <t>3243: Continuous Suction</t>
  </si>
  <si>
    <t>2611: Unable To Actuate</t>
  </si>
  <si>
    <t>1836: Mechanical Jam</t>
  </si>
  <si>
    <t>2273: Retracted Suddenly/Unexpectedly</t>
  </si>
  <si>
    <t>2279: Rotated During Retraction</t>
  </si>
  <si>
    <t>2281: Rotates During Extension</t>
  </si>
  <si>
    <t>2415: Too Small</t>
  </si>
  <si>
    <t>2597: Failure to Capture/Remove Foreign Body</t>
  </si>
  <si>
    <t>1361: Difficult To Retract</t>
  </si>
  <si>
    <t>2252: Pumping Issue</t>
  </si>
  <si>
    <t>1714: Incorrect Display</t>
  </si>
  <si>
    <t>1021: Aspiration Issue</t>
  </si>
  <si>
    <t>2346: Steering Break/Locking Feature Not Functional</t>
  </si>
  <si>
    <t>1824: Material Protrusion</t>
  </si>
  <si>
    <t>2066: Misassembled</t>
  </si>
  <si>
    <t>1507: Failure To Curl</t>
  </si>
  <si>
    <t>2062: Migrated Into Pancreatic Duct</t>
  </si>
  <si>
    <t>2349: Stent Pigtail Failed To Curl/Straightened After Deployment</t>
  </si>
  <si>
    <t>1541: Failure To Loosen</t>
  </si>
  <si>
    <t>1591: Failure To Tighten</t>
  </si>
  <si>
    <t>1539: Failure To Lock/Unlock After Entering Target Structure</t>
  </si>
  <si>
    <t>1540: Failure To Lock/Unlock Prior To Entering Target Structure</t>
  </si>
  <si>
    <t>1327: Difficult To Lock Or Unlock</t>
  </si>
  <si>
    <t>1764: Kinking Out Of Gas</t>
  </si>
  <si>
    <t>1830: Material Torqued</t>
  </si>
  <si>
    <t>1342: Difficult To Reconstrain</t>
  </si>
  <si>
    <t>1521: Failure To Expand</t>
  </si>
  <si>
    <t>1631: Folded</t>
  </si>
  <si>
    <t>2166: Overgrowth</t>
  </si>
  <si>
    <t>2181: Partially Deployed</t>
  </si>
  <si>
    <t>1765: Knotted</t>
  </si>
  <si>
    <t>1569: Failure To Refill</t>
  </si>
  <si>
    <t>2128: Not Crimped</t>
  </si>
  <si>
    <t>1449: Emitting Smoke</t>
  </si>
  <si>
    <t>1615: Fire</t>
  </si>
  <si>
    <t>2080: Movement Problem</t>
  </si>
  <si>
    <t>2095: No Image On Main System Monitor</t>
  </si>
  <si>
    <t>2343: Stability Issues</t>
  </si>
  <si>
    <t>2441: Unintended Connection</t>
  </si>
  <si>
    <t>3025: I/O Port Inoperative</t>
  </si>
  <si>
    <t>3046: Tablet Attachment Issue</t>
  </si>
  <si>
    <t>3011: Antivirus Error</t>
  </si>
  <si>
    <t>3017: Demo Case Issue</t>
  </si>
  <si>
    <t>3033: Modality Worklist Error</t>
  </si>
  <si>
    <t>3040: Profile Backup Error</t>
  </si>
  <si>
    <t>3043: Self Test Error</t>
  </si>
  <si>
    <t>3050: Unable To Stop Recording</t>
  </si>
  <si>
    <t>3052: User Locked Out Of System</t>
  </si>
  <si>
    <t>3178: Archive To Drive Failure</t>
  </si>
  <si>
    <t>2449: Unstable</t>
  </si>
  <si>
    <t>1640: Friction</t>
  </si>
  <si>
    <t>2503: Hung Up/Stuck</t>
  </si>
  <si>
    <t>1654: Guidewire Restriction</t>
  </si>
  <si>
    <t>2500: Fluid Flow Blocked or Restricted</t>
  </si>
  <si>
    <t>1187: Detachment Of Device Component</t>
  </si>
  <si>
    <t>2524: Failure To Release Wire</t>
  </si>
  <si>
    <t>1476: Failure To Ablate Lesion</t>
  </si>
  <si>
    <t>1483: Failure To Advance To Lesion</t>
  </si>
  <si>
    <t>1520: Failure To Exit/Go Through Guiding Catheter</t>
  </si>
  <si>
    <t>1536: Failure To Load Onto Guidewire</t>
  </si>
  <si>
    <t>1652: Guidewire Fracture Issue</t>
  </si>
  <si>
    <t>1734: Insufficient Diamonds</t>
  </si>
  <si>
    <t>2373: Stuck On Guidewire</t>
  </si>
  <si>
    <t>2517: Loose Screws</t>
  </si>
  <si>
    <t>2408: Threads Or Fibers</t>
  </si>
  <si>
    <t>1434: Dynaglide Mode Malfunctioned</t>
  </si>
  <si>
    <t>1459: Erratic Speeds</t>
  </si>
  <si>
    <t>2484: Air Leak Noise</t>
  </si>
  <si>
    <t>2491: Does Not Respond To Advancer Buttons</t>
  </si>
  <si>
    <t>2504: Loose Components</t>
  </si>
  <si>
    <t>2519: Electrical Interference</t>
  </si>
  <si>
    <t>2520: Electrical Shock</t>
  </si>
  <si>
    <t>2544: Unexpected Restart</t>
  </si>
  <si>
    <t>1477: Failure To Activate</t>
  </si>
  <si>
    <t>1519: Failure To Evacuate</t>
  </si>
  <si>
    <t>1556: Failure To Prime</t>
  </si>
  <si>
    <t>1835: Mechanical Issue</t>
  </si>
  <si>
    <t>1643: Frozen</t>
  </si>
  <si>
    <t>2072: Missing Icons/Lights/Characters</t>
  </si>
  <si>
    <t>2105: Failure to Display Rotational Speed</t>
  </si>
  <si>
    <t>2545: Dynaglide Always Displayed</t>
  </si>
  <si>
    <t>2546: Dynaglide Not Displayed</t>
  </si>
  <si>
    <t>2547: Event Timer Display Error</t>
  </si>
  <si>
    <t>2548: Failure To Display Event Timer</t>
  </si>
  <si>
    <t>2550: Failure To Display Procedure Timer</t>
  </si>
  <si>
    <t>2553: No Orientation Change/Locked</t>
  </si>
  <si>
    <t>2555: Procedure Timer Display Error</t>
  </si>
  <si>
    <t>2725: Check Pressure Indicator Not Displayed</t>
  </si>
  <si>
    <t>2726: Check Pressure Indicator Remains On</t>
  </si>
  <si>
    <t>2727: Deceleration Indicators Not Displayed</t>
  </si>
  <si>
    <t>2728: Deceleration Indicators Remains On</t>
  </si>
  <si>
    <t>2729: STALL Indicator Remains On</t>
  </si>
  <si>
    <t>1466: Excessive Wear</t>
  </si>
  <si>
    <t>2032: Message - Switch Fault</t>
  </si>
  <si>
    <t>2126: Not Audible Alarm</t>
  </si>
  <si>
    <t>2223: Position Lost</t>
  </si>
  <si>
    <t>2332: Slow Response To Activation</t>
  </si>
  <si>
    <t>2528: Power Interruptions</t>
  </si>
  <si>
    <t>1960: Message - General Fault</t>
  </si>
  <si>
    <t>1900: Message - bubL error</t>
  </si>
  <si>
    <t>1924: Message - Door Error</t>
  </si>
  <si>
    <t>1929: Message - Error 1</t>
  </si>
  <si>
    <t>1930: Message - Error 2 (Pump Alarm)</t>
  </si>
  <si>
    <t>1941: Message - Error 3-9</t>
  </si>
  <si>
    <t>1944: Message - Fault 1-9</t>
  </si>
  <si>
    <t>1986: Message - Guard Error (grd 1 or grd 2)</t>
  </si>
  <si>
    <t>2019: Message - POD Error</t>
  </si>
  <si>
    <t>2057: Message - Tube Error</t>
  </si>
  <si>
    <t>2345: Stalled</t>
  </si>
  <si>
    <t>2450: Unstable Speed</t>
  </si>
  <si>
    <t>2485: Gas/Air Leak</t>
  </si>
  <si>
    <t>2510: Failure to Reach Optimum Speed - During Ablation/Procedure</t>
  </si>
  <si>
    <t>2511: Failure to Reach Optimum Speed - In Dynaglide Mode</t>
  </si>
  <si>
    <t>2512: Failure to Reach Optimum Speed - During Preparation/Test</t>
  </si>
  <si>
    <t>2530: Abnormal Noise - In Dynaglide Mode</t>
  </si>
  <si>
    <t>2531: Abnormal Noise - In Normal Mode</t>
  </si>
  <si>
    <t>2543: Unexpected Output</t>
  </si>
  <si>
    <t>2507: Failure to Start Rotation</t>
  </si>
  <si>
    <t>2508: Failure to Stop Rotation</t>
  </si>
  <si>
    <t>2506: Failure To Change Modes</t>
  </si>
  <si>
    <t>2513: Modes Change Unintentionally</t>
  </si>
  <si>
    <t>2483: Luer Leak</t>
  </si>
  <si>
    <t>2766: Unintentionally Start/Stop</t>
  </si>
  <si>
    <t>2522: No Electrical Supply</t>
  </si>
  <si>
    <t>2509: Failure To Adjust Speed</t>
  </si>
  <si>
    <t>2526: Remains Adjustable In Dynaglide Mode</t>
  </si>
  <si>
    <t>2567: Difficult To Turn</t>
  </si>
  <si>
    <t>1577: Failure To Reset</t>
  </si>
  <si>
    <t>2558: Failure To Supply Gas</t>
  </si>
  <si>
    <t>2560: Missing Screws</t>
  </si>
  <si>
    <t>2561: Pole Clamp Missing</t>
  </si>
  <si>
    <t>2722: Wrong Part</t>
  </si>
  <si>
    <t>2723: Cannot Replace</t>
  </si>
  <si>
    <t>1173: Deflation Slow</t>
  </si>
  <si>
    <t>1356: Difficult To Remove/Withdraw From Lesion</t>
  </si>
  <si>
    <t>1357: Difficult To Remove/Withdraw From Sheath</t>
  </si>
  <si>
    <t>1358: Difficult To Remove/Withdraw From Stent</t>
  </si>
  <si>
    <t>1616: First Inflation</t>
  </si>
  <si>
    <t>1728: Inflation Slow</t>
  </si>
  <si>
    <t>2081: Multiple Inflations</t>
  </si>
  <si>
    <t>2144: Number Of Inflations Unknown</t>
  </si>
  <si>
    <t>3073: Diameter Too Large</t>
  </si>
  <si>
    <t>3074: Diameter Too Small</t>
  </si>
  <si>
    <t>3237: Balloon Jumps During Inflation</t>
  </si>
  <si>
    <t>1786: Lifted</t>
  </si>
  <si>
    <t>1259: Device Or Device Component Damaged By Another Device</t>
  </si>
  <si>
    <t>1271: Did Not Secure Wire</t>
  </si>
  <si>
    <t>1281: Difficult To Advance Through The Guide Catheter</t>
  </si>
  <si>
    <t>1642: Froze On Wire</t>
  </si>
  <si>
    <t>2222: Port Obstruction</t>
  </si>
  <si>
    <t>1415: Dislodged Outside The Patient</t>
  </si>
  <si>
    <t>2249: Profile Problem</t>
  </si>
  <si>
    <t>1479: Failure To Adjust (Too Loose)</t>
  </si>
  <si>
    <t>1480: Failure To Adjust (Too Tight)</t>
  </si>
  <si>
    <t>2305: Setting Moved</t>
  </si>
  <si>
    <t>2356: Stop Detached</t>
  </si>
  <si>
    <t>2458: Use Of Incorrect Control Settings</t>
  </si>
  <si>
    <t>2535: Inflated</t>
  </si>
  <si>
    <t>2324: Side Holes Missing</t>
  </si>
  <si>
    <t>1758: Jammed</t>
  </si>
  <si>
    <t>2492: Difficult / Unable To Advance Ancillary Device</t>
  </si>
  <si>
    <t>2594: Difficulty Withdrawing Another Device Through Catheter</t>
  </si>
  <si>
    <t>1277: Difficult To Advance Another Device Through Collar</t>
  </si>
  <si>
    <t>1416: Dislodges A Stent</t>
  </si>
  <si>
    <t>1276: Difficult To Advance Another Device Through Catheter Section</t>
  </si>
  <si>
    <t>1295: Difficult To Cross A Placed Stent</t>
  </si>
  <si>
    <t>1619: Flat/Crushed</t>
  </si>
  <si>
    <t>2593: Damages Another Device</t>
  </si>
  <si>
    <t>1081: Catheter Fit</t>
  </si>
  <si>
    <t>1736: Insufficient Flush</t>
  </si>
  <si>
    <t>1341: Difficult To Recapture During Implant</t>
  </si>
  <si>
    <t>1578: Failure To Re-Sheath</t>
  </si>
  <si>
    <t>1812: Malposition Of Device</t>
  </si>
  <si>
    <t>2330: Size Incorrect For Patient</t>
  </si>
  <si>
    <t>1265: Device/Component Broken/Separated During Procedure</t>
  </si>
  <si>
    <t>1308: Difficult To Insert Device Into Introducer</t>
  </si>
  <si>
    <t>2688: Difficult To Load Onto Guidewire</t>
  </si>
  <si>
    <t>2717: Failure To Advance Guidewire</t>
  </si>
  <si>
    <t>2695: Air Bubbles</t>
  </si>
  <si>
    <t>2720: Difficult To Tighten</t>
  </si>
  <si>
    <t>2691: Difficult To Visualize Device</t>
  </si>
  <si>
    <t>2692: Failure To Visualize Device</t>
  </si>
  <si>
    <t>2689: Difficult To Maintain Position/Reposition</t>
  </si>
  <si>
    <t>2690: Failure To Maintain Position/Reposition</t>
  </si>
  <si>
    <t>2693: Difficult To Capture/Retrieve</t>
  </si>
  <si>
    <t>2694: Failure To Capture/Retrieve</t>
  </si>
  <si>
    <t>2612: Difficult To Relax ADS</t>
  </si>
  <si>
    <t>2613: Failure To Relax ADS</t>
  </si>
  <si>
    <t>1386: Difficult/Failure To Cross Lesion</t>
  </si>
  <si>
    <t>1385: Difficult/Failure To Capture/Retrieve Filter</t>
  </si>
  <si>
    <t>1394: Difficult/Failure To Maintain Filter Position/Reposition</t>
  </si>
  <si>
    <t>1400: Difficult/Failure To Visualize Device</t>
  </si>
  <si>
    <t>2155: Other Device Complaint</t>
  </si>
  <si>
    <t>1146: Core Protrusion From Tip</t>
  </si>
  <si>
    <t>2380: Surface Uneven</t>
  </si>
  <si>
    <t>1060: Burr Sheared Wire</t>
  </si>
  <si>
    <t>1061: Burr Stuck On Wire</t>
  </si>
  <si>
    <t>1809: Magnet Would Not Hold Wire</t>
  </si>
  <si>
    <t>1042: Body/Hydrophilic Coating/Jacket Issue</t>
  </si>
  <si>
    <t>1399: Difficult/Failure To To Remove/Replace In Dispenser</t>
  </si>
  <si>
    <t>1545: Failure To Move Wire</t>
  </si>
  <si>
    <t>2419: Torqueability/Steerability</t>
  </si>
  <si>
    <t>2308: Shape Issue</t>
  </si>
  <si>
    <t>1543: Failure To Maintain Pressure</t>
  </si>
  <si>
    <t>1600: Failure To Zero</t>
  </si>
  <si>
    <t>1398: Difficult/Failure To Recognize/Zero</t>
  </si>
  <si>
    <t>2132: Not Free Spinning Or Difficult To Spin</t>
  </si>
  <si>
    <t>1528: Failure To Grab The Wire</t>
  </si>
  <si>
    <t>1268: Did Not Equalize/Re-Equalize</t>
  </si>
  <si>
    <t>2102: No Pressure Signal During Procedure</t>
  </si>
  <si>
    <t>2103: No Pressure Signal Out Of Box</t>
  </si>
  <si>
    <t>2238: Pressure Signal Inaccurate/Drifts</t>
  </si>
  <si>
    <t>2432: Unacceptable Pressure Waveforms</t>
  </si>
  <si>
    <t>1368: Difficult To Track To Re-Entry Site</t>
  </si>
  <si>
    <t>1592: Failure To Track To Re-Entry Site</t>
  </si>
  <si>
    <t>2307: Shaft Incompatible With Guidewire</t>
  </si>
  <si>
    <t>1701: Incompatibility Problem With Guidewire</t>
  </si>
  <si>
    <t>1670: Hub Leak</t>
  </si>
  <si>
    <t>1343: Difficult To Re-Enter Vessel True Lumen</t>
  </si>
  <si>
    <t>1568: Failure To Re-Enter True Lumen</t>
  </si>
  <si>
    <t>1421: Distal Shaft Separation</t>
  </si>
  <si>
    <t>1159: Damage Post-Deployment With Secondary Device Interaction</t>
  </si>
  <si>
    <t>1413: Dislodged Inside The Patient</t>
  </si>
  <si>
    <t>1694: Inadequate/Insufficient Apposition</t>
  </si>
  <si>
    <t>2079: Moved On Balloon</t>
  </si>
  <si>
    <t>1731: Ink Integrity</t>
  </si>
  <si>
    <t>1095: Check Saline Supply</t>
  </si>
  <si>
    <t>1145: Cord Wrap/Footswitch Holder Broken/Missing</t>
  </si>
  <si>
    <t>1896: Message - Actuator Code</t>
  </si>
  <si>
    <t>1899: Message - Barcode Code</t>
  </si>
  <si>
    <t>1903: Message - Check For Kinks</t>
  </si>
  <si>
    <t>1923: Message - Display Code</t>
  </si>
  <si>
    <t>1925: Message - Drawer Code</t>
  </si>
  <si>
    <t>2020: Message - Power Code</t>
  </si>
  <si>
    <t>2024: Message - Roller Pump Code</t>
  </si>
  <si>
    <t>2030: Message - Software Code</t>
  </si>
  <si>
    <t>1427: Drawer Movement Not Smooth</t>
  </si>
  <si>
    <t>1428: Drawer Stalled</t>
  </si>
  <si>
    <t>1128: Component Or Accessory Incompatibility</t>
  </si>
  <si>
    <t>2271: Restriction</t>
  </si>
  <si>
    <t>1624: Fluid Flow Back Issue</t>
  </si>
  <si>
    <t>1044: Boot Leak</t>
  </si>
  <si>
    <t>2027: Seal Fault</t>
  </si>
  <si>
    <t>2058: Unspecified Fault</t>
  </si>
  <si>
    <t>1672: Hydrophylic Coating Problem</t>
  </si>
  <si>
    <t>2031: Software Fault</t>
  </si>
  <si>
    <t>1761: Joint Fault</t>
  </si>
  <si>
    <t>2381: System Does Not Boot Into Software Application</t>
  </si>
  <si>
    <t>2296: Seal Failure</t>
  </si>
  <si>
    <t>1518: Failure To Establish Connection With FFR Link</t>
  </si>
  <si>
    <t>1928: Message - Equalization Error Detected</t>
  </si>
  <si>
    <t>2359: Stopped Working - LED</t>
  </si>
  <si>
    <t>1426: Does Not Spin</t>
  </si>
  <si>
    <t>2114: No Video To LCD</t>
  </si>
  <si>
    <t>2115: No Video To Touch Panel</t>
  </si>
  <si>
    <t>2461: Video Issue</t>
  </si>
  <si>
    <t>2476: Zeroed LED On FFR Link Solid Red</t>
  </si>
  <si>
    <t>1033: Bipolar TX PCA Board</t>
  </si>
  <si>
    <t>2213: Poor Image On Main System Monitor</t>
  </si>
  <si>
    <t>1593: Failure To Turn</t>
  </si>
  <si>
    <t>2201: Physical Damage</t>
  </si>
  <si>
    <t>1720: Incorrect Power Cable Installation</t>
  </si>
  <si>
    <t>1931: Message - Error 3005 - Calibrate AO failed</t>
  </si>
  <si>
    <t>1934: Message - Error 3021 - Equalize Failed</t>
  </si>
  <si>
    <t>1936: Message - Error 3032 - Failed To Connect To FFR Link {0}</t>
  </si>
  <si>
    <t>1938: Message - Error 3052 - Polaris has detected a difference between aorti</t>
  </si>
  <si>
    <t>1939: Message - Error 3053 - Polaris has detected a difference between aorti</t>
  </si>
  <si>
    <t>2015: Message - Pa Waveform Incorrect</t>
  </si>
  <si>
    <t>2016: Message - Pd Values Incorrect</t>
  </si>
  <si>
    <t>2017: Message - Pd Waveform Incorrect</t>
  </si>
  <si>
    <t>2018: Message - Pd/Pa Values Incorrect</t>
  </si>
  <si>
    <t>2093: No ECG Signal</t>
  </si>
  <si>
    <t>2327: Signal Strength LED on FFR Link Solid Yellow</t>
  </si>
  <si>
    <t>3077: Failure To Create FFR Acquisition Session</t>
  </si>
  <si>
    <t>2923: Overload - Pullback Error 7003</t>
  </si>
  <si>
    <t>2924: Overload - Rotational</t>
  </si>
  <si>
    <t>1531: Failure To Hold Its Charge</t>
  </si>
  <si>
    <t>2773: Unable To Find Bluetooth Device</t>
  </si>
  <si>
    <t>3014: Bluetooth Signal Lost</t>
  </si>
  <si>
    <t>3015: Case Data Stored On The Tablet Lost / Corrupted/ Irretrievable/ Deleted</t>
  </si>
  <si>
    <t>3018: DFR Measurement Cannot Be Calculated Due To Irregular Heart Beats</t>
  </si>
  <si>
    <t>3019: Diagnostic Test - FFR Link Connection Test Fails</t>
  </si>
  <si>
    <t>3020: Diagnostic Test - Pa Connection Failure</t>
  </si>
  <si>
    <t>3021: Diagnostic Test- Hemo Test Failure</t>
  </si>
  <si>
    <t>3023: FFR Set Up Issue</t>
  </si>
  <si>
    <t>3029: Intermittent Bluetooth Signal</t>
  </si>
  <si>
    <t>3039: Power Button Is Not Functioning</t>
  </si>
  <si>
    <t>3042: Save Run File Issues</t>
  </si>
  <si>
    <t>3045: System Settings Issue</t>
  </si>
  <si>
    <t>3048: Unable To Connect To Local Network</t>
  </si>
  <si>
    <t>3049: Unable To Restore Profile</t>
  </si>
  <si>
    <t>3051: Unexpected Sleep Mode (Fault State)</t>
  </si>
  <si>
    <t>3168: Fluids Are Known To Have Ingressed Into The Component/System</t>
  </si>
  <si>
    <t>3169: Incorrect FFR/DFR Value Or Waveform Recorded</t>
  </si>
  <si>
    <t>3170: Display DFR Value During Live Imaging Of DFR Run</t>
  </si>
  <si>
    <t>3171: The System Records The FFR Data Being In DFR Mode</t>
  </si>
  <si>
    <t>3172: DFR/FFR Value Not Displayed After Equalization</t>
  </si>
  <si>
    <t>3173: Not Able To Select Imaging Modes During Recording</t>
  </si>
  <si>
    <t>3174: Incorrect Pullback Speed Option Displayed</t>
  </si>
  <si>
    <t>3175: The Reset Button Does Not Reset On The MDU</t>
  </si>
  <si>
    <t>3176: Trace Assist Inaccurate/Inaccessible</t>
  </si>
  <si>
    <t>3177: PC Or Components Damaged - External (Durability)</t>
  </si>
  <si>
    <t>3179: Lost Image</t>
  </si>
  <si>
    <t>3180: Message - Error 3053 - Difference Between PA And PD Waveforms During Equalization</t>
  </si>
  <si>
    <t>3022: Enclosure Cracked</t>
  </si>
  <si>
    <t>3035: Network Card Error</t>
  </si>
  <si>
    <t>3047: Tablet Self Test Fails</t>
  </si>
  <si>
    <t>3024: Highly Sensitive</t>
  </si>
  <si>
    <t>1297: Difficult To Cross Septum</t>
  </si>
  <si>
    <t>1692: Inadequate Snap Fit</t>
  </si>
  <si>
    <t>1711: Incorrect Curve</t>
  </si>
  <si>
    <t>1300: Difficult To Detach</t>
  </si>
  <si>
    <t>2499: Implant Movement/Shift</t>
  </si>
  <si>
    <t>1270: Did Not Seal</t>
  </si>
  <si>
    <t>1447: Embolization</t>
  </si>
  <si>
    <t>1544: Failure To Meet Anchor Criteria</t>
  </si>
  <si>
    <t>3137: Implant Movement/Shift/Shape Change</t>
  </si>
  <si>
    <t>2357: Stopped Working</t>
  </si>
  <si>
    <t>3272: Wrong Size Connector</t>
  </si>
  <si>
    <t>1071: Cannula/Needle Appears Bent Beyond Spec</t>
  </si>
  <si>
    <t>1445: Electrode Not Heating Up</t>
  </si>
  <si>
    <t>2730: Temperature Reading Issue</t>
  </si>
  <si>
    <t>1184: Desired Temperature Not Reached</t>
  </si>
  <si>
    <t>2110: No Temperature Display</t>
  </si>
  <si>
    <t>2360: Stopped Working - Touchscreen</t>
  </si>
  <si>
    <t>2403: Temperature Reading Intermittent</t>
  </si>
  <si>
    <t>3241: Calibration Is Expired</t>
  </si>
  <si>
    <t>3262: Failure To Power-Up Display</t>
  </si>
  <si>
    <t>3264: Intermittent Impedance</t>
  </si>
  <si>
    <t>3271: Temperature Reading Is Inaccurate</t>
  </si>
  <si>
    <t>2431: Unable To Remove Needle From Cannula</t>
  </si>
  <si>
    <t>1376: Difficult To Use Device</t>
  </si>
  <si>
    <t>1311: Difficult To Insert Lead In Needle</t>
  </si>
  <si>
    <t>1319: Difficult To Insert Stylet</t>
  </si>
  <si>
    <t>1352: Difficult To Remove Stylet</t>
  </si>
  <si>
    <t>2376: Stylet Punctures And Protrudes Through The Lead</t>
  </si>
  <si>
    <t>1366: Difficult To Tighten IPG Setscrew</t>
  </si>
  <si>
    <t>1056: BSN Representative Requests Training</t>
  </si>
  <si>
    <t>1124: Complaint About BSC Company Rep</t>
  </si>
  <si>
    <t>1125: Complaint About Doctor</t>
  </si>
  <si>
    <t>1170: Defective</t>
  </si>
  <si>
    <t>1177: Delivered As Unsterile Product</t>
  </si>
  <si>
    <t>1249: Device Dropped In OR</t>
  </si>
  <si>
    <t>1253: Device Interaction</t>
  </si>
  <si>
    <t>1438: Elective Removal - MRI</t>
  </si>
  <si>
    <t>1439: Elective Removal - Non MRI</t>
  </si>
  <si>
    <t>1725: Indications/Warnings</t>
  </si>
  <si>
    <t>1755: Item Contaminated During Manufacturing Or Shipping</t>
  </si>
  <si>
    <t>1757: Item Missing From Packaging</t>
  </si>
  <si>
    <t>1785: Letter Requested</t>
  </si>
  <si>
    <t>1837: Medical Question</t>
  </si>
  <si>
    <t>2086: New Code Request</t>
  </si>
  <si>
    <t>2187: Patient Or Non-Employee Requests Training</t>
  </si>
  <si>
    <t>2189: Patient Requests Device Upgrade</t>
  </si>
  <si>
    <t>2190: Patient Requests Info For Ordering Product</t>
  </si>
  <si>
    <t>2191: Patient Requests To Meet W/ Rep At Physician Office</t>
  </si>
  <si>
    <t>2225: Potential Legal Action</t>
  </si>
  <si>
    <t>2226: Potential Patient</t>
  </si>
  <si>
    <t>2244: Product Did Not Arrive When Promised</t>
  </si>
  <si>
    <t>2246: Product Opened</t>
  </si>
  <si>
    <t>2247: Product Received In Error</t>
  </si>
  <si>
    <t>2275: Returning Product No Longer Needed</t>
  </si>
  <si>
    <t>2277: RGA Receiving Error</t>
  </si>
  <si>
    <t>2304: Service Improvement Recommendation</t>
  </si>
  <si>
    <t>2314: Ship Hold Or Field Action</t>
  </si>
  <si>
    <t>2316: Shipping Package Damage</t>
  </si>
  <si>
    <t>2378: Suggested Product Service Enhancement</t>
  </si>
  <si>
    <t>2396: Tamper Evidence Seal Compromised</t>
  </si>
  <si>
    <t>2465: Warranty Policy</t>
  </si>
  <si>
    <t>2732: Damaged During Surgery</t>
  </si>
  <si>
    <t>3130: Patient/Customer Unhappy With SunMed</t>
  </si>
  <si>
    <t>1515: Failure To Disconnect</t>
  </si>
  <si>
    <t>3261: Failure To Power Base Station</t>
  </si>
  <si>
    <t>1373: Difficult To Use Adhesive Patch</t>
  </si>
  <si>
    <t>1091: Charger Cant Be Removed From The Base Station</t>
  </si>
  <si>
    <t>1287: Difficult To Charge Charger In Base</t>
  </si>
  <si>
    <t>1804: Lost or Damaged By Patient</t>
  </si>
  <si>
    <t>1092: Charger LED Malfunction</t>
  </si>
  <si>
    <t>1284: Difficult To Align Charger</t>
  </si>
  <si>
    <t>1286: Difficult To Charge</t>
  </si>
  <si>
    <t>1288: Difficult To Charge IPG</t>
  </si>
  <si>
    <t>1470: Extended IPG Charging Time</t>
  </si>
  <si>
    <t>1474: Failure Of Locator Beep To Stop</t>
  </si>
  <si>
    <t>1516: Failure To Double Beep</t>
  </si>
  <si>
    <t>1590: Failure To Stop Beeping When Coupled With Metal</t>
  </si>
  <si>
    <t>1639: Frequent IPG Charging</t>
  </si>
  <si>
    <t>1687: Inability To Charge Beyond Two Bars</t>
  </si>
  <si>
    <t>2731: Premature Double Beep</t>
  </si>
  <si>
    <t>3239: Abnormal Beep</t>
  </si>
  <si>
    <t>3265: On/Off Button Malfunction</t>
  </si>
  <si>
    <t>1374: Difficult To Use Belt To Charge</t>
  </si>
  <si>
    <t>2241: Problem With ETS Belt</t>
  </si>
  <si>
    <t>1291: Difficult To Communicate RC To ETS</t>
  </si>
  <si>
    <t>1292: Difficult To Communicate RC/HHP To CP</t>
  </si>
  <si>
    <t>1293: Difficult To Communicate RC/HHP To IPG</t>
  </si>
  <si>
    <t>1462: ETS Will Not Link Or Synchronize</t>
  </si>
  <si>
    <t>1494: Failure To Change Between Programs</t>
  </si>
  <si>
    <t>1495: Failure To Change/Turn Stimulation On/Off</t>
  </si>
  <si>
    <t>1595: Failure To Unlock Programs</t>
  </si>
  <si>
    <t>1942: Message - Error Codes Displayed On CP</t>
  </si>
  <si>
    <t>1943: Message - Error Codes Displayed On RC</t>
  </si>
  <si>
    <t>2186: Patient Database Synchronization Error</t>
  </si>
  <si>
    <t>2256: RC Reportedly Beeps</t>
  </si>
  <si>
    <t>2257: RC/HHP Fast Battery Depletion</t>
  </si>
  <si>
    <t>2258: RC/HHP LCD Anomaly</t>
  </si>
  <si>
    <t>2352: Stimulation Change When RC Sleeps</t>
  </si>
  <si>
    <t>2358: Stopped Working - Backlight</t>
  </si>
  <si>
    <t>2733: Program Lost</t>
  </si>
  <si>
    <t>1289: Difficult To Charge The RC</t>
  </si>
  <si>
    <t>1317: Difficult To Insert Or Cable Into ETS</t>
  </si>
  <si>
    <t>1460: ETS Battery Life Short</t>
  </si>
  <si>
    <t>1461: ETS LED Does Not Come On</t>
  </si>
  <si>
    <t>1741: Intermittent Stimulation Caused By ETS</t>
  </si>
  <si>
    <t>1802: Loss/No Stimulation</t>
  </si>
  <si>
    <t>2162: Over Stimulation Caused By ETS</t>
  </si>
  <si>
    <t>2354: Stimulation Inadequate</t>
  </si>
  <si>
    <t>1312: Difficult To Insert Lead In Or Cable</t>
  </si>
  <si>
    <t>1313: Difficult To Insert Lead Into Adapter</t>
  </si>
  <si>
    <t>1375: Difficult To Use Burr Hole Cover</t>
  </si>
  <si>
    <t>1314: Difficult To Insert Lead Into Anchoring Device</t>
  </si>
  <si>
    <t>1318: Difficult To Insert Port Plug</t>
  </si>
  <si>
    <t>1252: Device Handling Issue</t>
  </si>
  <si>
    <t>1262: Device Shipped Without Being Fully Charged</t>
  </si>
  <si>
    <t>1316: Difficult To Insert Lead Into IPG</t>
  </si>
  <si>
    <t>1340: Difficult To Program Patient</t>
  </si>
  <si>
    <t>1351: Difficult To Remove Port Plug</t>
  </si>
  <si>
    <t>1354: Difficult To Remove The Lead From The IPG</t>
  </si>
  <si>
    <t>1371: Difficult To Upgrade IPG Firmware</t>
  </si>
  <si>
    <t>1742: Intermittent Stimulation Caused By IPG</t>
  </si>
  <si>
    <t>1749: IPG Beeps</t>
  </si>
  <si>
    <t>1750: IPG Pocket Warm During Charging</t>
  </si>
  <si>
    <t>2021: Message - Received Elective Replacement Indicator</t>
  </si>
  <si>
    <t>2022: Message - Received End of Battery Life message</t>
  </si>
  <si>
    <t>2163: Over Stimulation Caused By IPG</t>
  </si>
  <si>
    <t>2353: Stimulation Changes With Posture</t>
  </si>
  <si>
    <t>2462: Visible Debris In Port Or Header Of The IPG</t>
  </si>
  <si>
    <t>3267: Stimulation Changes While Charging</t>
  </si>
  <si>
    <t>3268: Stimulation In Non-Target Pain Area</t>
  </si>
  <si>
    <t>1309: Difficult To Insert Into ETS</t>
  </si>
  <si>
    <t>1310: Difficult To Insert Lead In Lead Extension</t>
  </si>
  <si>
    <t>1350: Difficult To Remove Lead From Extension</t>
  </si>
  <si>
    <t>1353: Difficult To Remove The Lead Extension From The IPG</t>
  </si>
  <si>
    <t>1315: Difficult To Insert Lead Into Insertion Needle</t>
  </si>
  <si>
    <t>1420: Distal End Moves When Lead Is Bent</t>
  </si>
  <si>
    <t>1743: Intermittent Stimulation Caused By Leads</t>
  </si>
  <si>
    <t>1772: Lead Body Not Straight</t>
  </si>
  <si>
    <t>1773: Lead Contact Dislodged</t>
  </si>
  <si>
    <t>1774: Lead Deviates From Target When Inserting</t>
  </si>
  <si>
    <t>1775: Lead Popped Out Of Tray</t>
  </si>
  <si>
    <t>2164: Over Stimulation Caused By Leads</t>
  </si>
  <si>
    <t>2375: Stylet Perforated Lead</t>
  </si>
  <si>
    <t>2426: Trial Lead Used In Error</t>
  </si>
  <si>
    <t>1401: Difficulty Using International Power Converter</t>
  </si>
  <si>
    <t>1294: Difficult To Communicate With IR Dongle</t>
  </si>
  <si>
    <t>1377: Difficult To Use Programming Wand</t>
  </si>
  <si>
    <t>1338: Difficult To Print Or Run Reports</t>
  </si>
  <si>
    <t>1360: Difficult To Restore Program</t>
  </si>
  <si>
    <t>1363: Difficult To Run Software</t>
  </si>
  <si>
    <t>2997: Application Control Error</t>
  </si>
  <si>
    <t>3002: Stimulator Will Not Link Or Synchronize</t>
  </si>
  <si>
    <t>3129: Install/Uninstall Issue</t>
  </si>
  <si>
    <t>1151: CP Keyboard Malfunction</t>
  </si>
  <si>
    <t>2998: BLE Communication Failure</t>
  </si>
  <si>
    <t>2999: Difficulty with Operating System</t>
  </si>
  <si>
    <t>3001: Product Activation Issue</t>
  </si>
  <si>
    <t>2361: Stopped Working - USB Port</t>
  </si>
  <si>
    <t>1756: Item Left in Patient - Not Intended for Implant</t>
  </si>
  <si>
    <t>2151: Optical Issue</t>
  </si>
  <si>
    <t>1052: Broken Connector</t>
  </si>
  <si>
    <t>1469: Exposed Wiring</t>
  </si>
  <si>
    <t>2826: Stuck In On Position</t>
  </si>
  <si>
    <t>1113: Collet Upside Down On Holder</t>
  </si>
  <si>
    <t>1149: Cosmetic Damage</t>
  </si>
  <si>
    <t>1647: Goes Into Stand By</t>
  </si>
  <si>
    <t>2178: Packaging Issue</t>
  </si>
  <si>
    <t>2806: Off Label Sterilization</t>
  </si>
  <si>
    <t>3081: Incorrect Device Or Component Included in Product Packaging</t>
  </si>
  <si>
    <t>1806: Low Aim Beam Output</t>
  </si>
  <si>
    <t>2088: No Aiming Beam</t>
  </si>
  <si>
    <t>1193: Device Displays 10 - 19 Error Message</t>
  </si>
  <si>
    <t>1194: Device Displays 100 Series Error Message</t>
  </si>
  <si>
    <t>1195: Device Displays 1000 Error Message</t>
  </si>
  <si>
    <t>1196: Device Displays 20 - 29 Error Message</t>
  </si>
  <si>
    <t>1197: Device Displays 200 Error Message</t>
  </si>
  <si>
    <t>1198: Device Displays 30 - 39 Error Message</t>
  </si>
  <si>
    <t>1199: Device Displays 300 Error Message</t>
  </si>
  <si>
    <t>1200: Device Displays 40 - 49 Error Message</t>
  </si>
  <si>
    <t>1201: Device Displays 400 Error Message</t>
  </si>
  <si>
    <t>1202: Device Displays 500 Error Message</t>
  </si>
  <si>
    <t>1203: Device Displays 60 - 69 Error Message</t>
  </si>
  <si>
    <t>1204: Device Displays 600 Error Message</t>
  </si>
  <si>
    <t>1205: Device Displays 70 - 79 Error Message</t>
  </si>
  <si>
    <t>1206: Device Displays 700 Error Message</t>
  </si>
  <si>
    <t>1207: Device Displays 80 - 89 Error Message</t>
  </si>
  <si>
    <t>1208: Device Displays 800 Error Message</t>
  </si>
  <si>
    <t>1209: Device Displays 90 - 99 Error Message</t>
  </si>
  <si>
    <t>1210: Device Displays 900 Error Message</t>
  </si>
  <si>
    <t>1214: Device Displays Card Reader Courtesy Error Message</t>
  </si>
  <si>
    <t>1217: Device Displays Coag Disabled Courtesy Error Message</t>
  </si>
  <si>
    <t>1219: Device Displays Coolant Over Temperature Error Message (E12)</t>
  </si>
  <si>
    <t>1221: Device Displays Courtesy Messages</t>
  </si>
  <si>
    <t>1222: Device Displays Device Not Recognized Courtesy Error Message</t>
  </si>
  <si>
    <t>1225: Device Displays Error Message: 15 Volt Error (E08)</t>
  </si>
  <si>
    <t>1226: Device Displays Error Message: Shutter Error (E01)</t>
  </si>
  <si>
    <t>1227: Device Displays Excessive Output From Detector Error Message (E16)</t>
  </si>
  <si>
    <t>1228: Device Displays Excessive Output Rear Detector Error Message (E09)</t>
  </si>
  <si>
    <t>1229: Device Displays Fiber Card Expired Courtesy Error Message</t>
  </si>
  <si>
    <t>1230: Device Displays Fiber Connection Courtesy Error Message</t>
  </si>
  <si>
    <t>1232: Device Displays Fiber Timed Out Courtesy Error Message</t>
  </si>
  <si>
    <t>1235: Device Displays Fiberlife Courtesy Error Message</t>
  </si>
  <si>
    <t>1236: Device Displays Fill Chiller Reservoir Courtesy Error Message</t>
  </si>
  <si>
    <t>1237: Device Displays Footswitch Connection Courtesy Error Message</t>
  </si>
  <si>
    <t>1238: Device Displays Footswitch Courtesy Error Message</t>
  </si>
  <si>
    <t>1239: Device Displays HVPS Too High Error Message (E02)</t>
  </si>
  <si>
    <t>1242: Device Displays Not In Ready Courtesy Error Message</t>
  </si>
  <si>
    <t>1244: Device Displays Output Too Low Front Detector Error Message (E17)</t>
  </si>
  <si>
    <t>1245: Device Displays Output Too Low Rear Detector Error Message (E10)</t>
  </si>
  <si>
    <t>1246: Device Displays Overtemperature Error Message (E42)</t>
  </si>
  <si>
    <t>1247: Device Displays Warm Up Courtesy Error Message</t>
  </si>
  <si>
    <t>1248: Device Displays Watch Dog Fail Error Message (E03)</t>
  </si>
  <si>
    <t>1448: Emergency Off Switch</t>
  </si>
  <si>
    <t>1667: High Power</t>
  </si>
  <si>
    <t>2130: Not Firing</t>
  </si>
  <si>
    <t>2261: Ready/Standby Button Sticking</t>
  </si>
  <si>
    <t>2389: System Shut Down</t>
  </si>
  <si>
    <t>2395: Tab Window/Blast Shield Issue</t>
  </si>
  <si>
    <t>2427: Tripping The Breaker</t>
  </si>
  <si>
    <t>3242: Case Saver Mode</t>
  </si>
  <si>
    <t>3244: Device Displays 50-59 Error Message</t>
  </si>
  <si>
    <t>3245: Device Displays Advisory Message All Lasers Are Malfunctioning</t>
  </si>
  <si>
    <t>3246: Device Displays Advisory Message Attach Fiber</t>
  </si>
  <si>
    <t>3247: Device Displays Advisory Message Attach Footswitch</t>
  </si>
  <si>
    <t>3248: Device Displays Advisory Message Check Footswitch</t>
  </si>
  <si>
    <t>3249: Device Displays Advisory Message Check Interlock</t>
  </si>
  <si>
    <t>3250: Device Displays Advisory Message Energy High</t>
  </si>
  <si>
    <t>3251: Device Displays Advisory Message Energy Low</t>
  </si>
  <si>
    <t>3252: Device Displays Advisory Message Insert Debris Shield</t>
  </si>
  <si>
    <t>3253: Device Displays Advisory Message Pulse Rate High</t>
  </si>
  <si>
    <t>3254: Device Displays Advisory Message Pulse Rate Low</t>
  </si>
  <si>
    <t>3255: Device Displays Advisory Message System Is Overheating</t>
  </si>
  <si>
    <t>3256: Device Displays Error 01-09</t>
  </si>
  <si>
    <t>1419: Display screen does not function</t>
  </si>
  <si>
    <t>1481: Failure To Adjust Audio</t>
  </si>
  <si>
    <t>1562: Failure To Read Display</t>
  </si>
  <si>
    <t>2827: Image Display Artifact/Distortion</t>
  </si>
  <si>
    <t>1072: Card Reader Issue</t>
  </si>
  <si>
    <t>2620: Device Displays 200 Unable To Read From Delivery Device Memory</t>
  </si>
  <si>
    <t>2621: Device Displays 205 Unable To Write To Delivery Device Memory</t>
  </si>
  <si>
    <t>2622: Device Displays 210 Faulty Delivery Device Thermocouple</t>
  </si>
  <si>
    <t>2623: Device Displays 211 Faulty Delivery Device Trigger Signals</t>
  </si>
  <si>
    <t>2624: Device Displays 215 Invalid Therapy Code</t>
  </si>
  <si>
    <t>2625: Device Displays 218 Delivery Device Impedance Error</t>
  </si>
  <si>
    <t>2626: Device Displays 219 Delivery Device Frequency Error</t>
  </si>
  <si>
    <t>2627: Device Displays 220 Maximum Full Treatments Exceeded</t>
  </si>
  <si>
    <t>2628: Device Displays 225 Delivery Device Is Permanently Disabled</t>
  </si>
  <si>
    <t>2629: Device Displays 230 Maximum Vapor Time Exceeded</t>
  </si>
  <si>
    <t>2630: Device Displays 235 Low Temperature (Prime)</t>
  </si>
  <si>
    <t>2631: Device Displays 236 Low Temperature (Pre-Treatment)</t>
  </si>
  <si>
    <t>2632: Device Displays 240 Low Water Pressure (Prime)</t>
  </si>
  <si>
    <t>2633: Device Displays 241 High Water Pressure (Prime)</t>
  </si>
  <si>
    <t>2634: Device Displays 242 Low Water Pressure (Pre-Treatment)</t>
  </si>
  <si>
    <t>2635: Device Displays 243 High Water Pressure (Pre-Treatment)</t>
  </si>
  <si>
    <t>2636: Device Displays 245 High Temperature (Prime)</t>
  </si>
  <si>
    <t>2637: Device Displays 246 High Temperature (Pre-Treatment)</t>
  </si>
  <si>
    <t>2638: Device Displays 250 Vapor Activation Button Released (Prime)</t>
  </si>
  <si>
    <t>2639: Device Displays 251 Vapor Activation Button Released (Pre-Treatment)</t>
  </si>
  <si>
    <t>2640: Device Displays 255 Low Temperature (Treatment)</t>
  </si>
  <si>
    <t>2641: Device Displays 260 High Water Pressure (Treatment)</t>
  </si>
  <si>
    <t>2642: Device Displays 265 Low Water Pressure (Treatment)</t>
  </si>
  <si>
    <t>2643: Device Displays 270 Syringe Empty</t>
  </si>
  <si>
    <t>2644: Device Displays 275 Syringe Water Fill Error</t>
  </si>
  <si>
    <t>2645: Device Displays 280 Elevated Coil Temperature</t>
  </si>
  <si>
    <t>2646: Device Displays 290 High Temperature (Idling)</t>
  </si>
  <si>
    <t>2647: Device Displays 291 High Water Pressure (Idling)</t>
  </si>
  <si>
    <t>2648: Device Displays 295 Needle Deployment Error</t>
  </si>
  <si>
    <t>2649: Device Displays 296 Needle Retraction Error</t>
  </si>
  <si>
    <t>2651: Device Displays 325 Saline Instilled Limit Exceeded</t>
  </si>
  <si>
    <t>2678: Device Not Detected</t>
  </si>
  <si>
    <t>2682: Incomplete Treatment</t>
  </si>
  <si>
    <t>2685: Vapor Not Delivered</t>
  </si>
  <si>
    <t>3163: Excessive Water Delivered</t>
  </si>
  <si>
    <t>3164: Saline Not Delivered</t>
  </si>
  <si>
    <t>3166: Vapor Prematurely Delivered</t>
  </si>
  <si>
    <t>3165: Scope Unable to Enter Handpiece</t>
  </si>
  <si>
    <t>1551: Failure To Penetrate Tissue</t>
  </si>
  <si>
    <t>1695: Inadvertent Deployment</t>
  </si>
  <si>
    <t>2679: Failure To Retract At Setup</t>
  </si>
  <si>
    <t>2680: Failure To Retract During Procedure</t>
  </si>
  <si>
    <t>2681: Failure To Retract During Procedure/ Manual Retraction Failed</t>
  </si>
  <si>
    <t>2683: Not Deployed In Package</t>
  </si>
  <si>
    <t>2686: Failure To Retract During Procedure/ Manual Retraction Used</t>
  </si>
  <si>
    <t>1186: Detached/Broke Inside Patient</t>
  </si>
  <si>
    <t>3162: Detached/Broke Outside Patient</t>
  </si>
  <si>
    <t>2687: Falls Off</t>
  </si>
  <si>
    <t>2684: Obstruction / No Flush</t>
  </si>
  <si>
    <t>2495: Failure of Pressure Relief Valve</t>
  </si>
  <si>
    <t>1172: Deflation Issue</t>
  </si>
  <si>
    <t>2193: Patient-Device Incompatibility</t>
  </si>
  <si>
    <t>3068: Bond Separation</t>
  </si>
  <si>
    <t>3069: Bulge</t>
  </si>
  <si>
    <t>3101: Spontaneous Deflation</t>
  </si>
  <si>
    <t>3102: Spontaneous Inflation</t>
  </si>
  <si>
    <t>3084: Mechanical Issue During Device Implant Procedure</t>
  </si>
  <si>
    <t>3085: Mechanical Issue Occurring From One Year to Ten Years After Device Implantation</t>
  </si>
  <si>
    <t>3086: Mechanical Issue Occurring From Two Months to a Year After Device Implantation</t>
  </si>
  <si>
    <t>3087: Mechanical Issue Occurring Greater than Ten Years After Implantation</t>
  </si>
  <si>
    <t>3088: Mechanical Issue Within Two Months of Device Implantation</t>
  </si>
  <si>
    <t>2413: Too Large</t>
  </si>
  <si>
    <t>3071: Collapsed/Dimpled/Flat</t>
  </si>
  <si>
    <t>1006: Aim Beam Fired Straight</t>
  </si>
  <si>
    <t>1036: Blinking/Flashing/Pulsing</t>
  </si>
  <si>
    <t>1406: Diminished Vaporization</t>
  </si>
  <si>
    <t>1634: Forward Firing</t>
  </si>
  <si>
    <t>1709: Incorrect Beam Direction</t>
  </si>
  <si>
    <t>1797: Loss Of Aiming Beam</t>
  </si>
  <si>
    <t>2089: No Beam</t>
  </si>
  <si>
    <t>2138: Not Recognized</t>
  </si>
  <si>
    <t>2828: Card Reading Failure</t>
  </si>
  <si>
    <t>1328: Difficult To Maintain Connection</t>
  </si>
  <si>
    <t>2297: Segments missing or broken</t>
  </si>
  <si>
    <t>1097: Cleaving Issues</t>
  </si>
  <si>
    <t>1142: Coolant/Saline Issue</t>
  </si>
  <si>
    <t>1144: Cooling Connection</t>
  </si>
  <si>
    <t>1211: Device Displays Approaching Joule Limit Courtesy Error Message</t>
  </si>
  <si>
    <t>1212: Device Displays Approaching Time Limit Courtesy Error Message</t>
  </si>
  <si>
    <t>1213: Device Displays Attach A Device Courtesy Error Message</t>
  </si>
  <si>
    <t>1215: Device Displays Card Reader Error Courtesy Error Message</t>
  </si>
  <si>
    <t>1216: Device Displays Check Fiber Card Insertion Courtesy Error Message</t>
  </si>
  <si>
    <t>1218: Device Displays Connection Issue Courtesy Error Message</t>
  </si>
  <si>
    <t>1220: Device Displays Courtesy Error Message</t>
  </si>
  <si>
    <t>1223: Device Displays Device/Fiber Overheat Courtesy Error Message</t>
  </si>
  <si>
    <t>1231: Device Displays Fiber Expired Courtesy Error Message</t>
  </si>
  <si>
    <t>1233: Device Displays Fiber Type And Card Type Mismatch Courtesy Error Message</t>
  </si>
  <si>
    <t>1240: Device Displays Insert Fiber Card Courtesy Error Message</t>
  </si>
  <si>
    <t>1241: Device Displays Invalid Fiber Courtesy Error Message</t>
  </si>
  <si>
    <t>1607: Fiber Card Missing</t>
  </si>
  <si>
    <t>1609: Fiber Separated From Connector</t>
  </si>
  <si>
    <t>1668: Hole In Fiber</t>
  </si>
  <si>
    <t>1768: Laser Would Not Recognize Fiber</t>
  </si>
  <si>
    <t>1839: Melted Sheath</t>
  </si>
  <si>
    <t>3167: Bent/Kinked</t>
  </si>
  <si>
    <t>3263: Fiber Will Not Fit In Stripper</t>
  </si>
  <si>
    <t>1035: Blew/Burned Out</t>
  </si>
  <si>
    <t>1058: Burn Of Device Or Device Component</t>
  </si>
  <si>
    <t>1608: Fiber Rotates Within Metal Cap</t>
  </si>
  <si>
    <t>2286: Rupture</t>
  </si>
  <si>
    <t>1832: Material/Debris In Pouch</t>
  </si>
  <si>
    <t>2109: No Sound</t>
  </si>
  <si>
    <t>2650: Device Displays 300 Saline Pump Encoder Error</t>
  </si>
  <si>
    <t>2652: Device Displays 341 RF Power Tolerance Limit Exceeded</t>
  </si>
  <si>
    <t>2653: Device Displays 342 RF Power Tolerance Limit Exceeded</t>
  </si>
  <si>
    <t>2654: Device Displays 343 RF Power Tolerance Limit Exceeded</t>
  </si>
  <si>
    <t>2655: Device Displays 35000 GUI Program Files Corrupted</t>
  </si>
  <si>
    <t>2656: Device Displays 35001 Unexpected GUI Program Exit</t>
  </si>
  <si>
    <t>2657: Device Displays 35002 Unable To Start GUI Program</t>
  </si>
  <si>
    <t>2658: Device Displays 400 RF Power Supply Error</t>
  </si>
  <si>
    <t>2659: Device Displays 40000 GUI Unable To Communicate With MCU</t>
  </si>
  <si>
    <t>2660: Device Displays 405 Power Supply Initialization Error</t>
  </si>
  <si>
    <t>2661: Device Displays 41000 USB Drive Not Present Or Invalid</t>
  </si>
  <si>
    <t>2662: Device Displays 41002 USB Drive Export Error</t>
  </si>
  <si>
    <t>2663: Device Displays 41020 MCU Reboot Detected</t>
  </si>
  <si>
    <t>2664: Device Displays 425 SBC Communications Critical Timeout</t>
  </si>
  <si>
    <t>2665: Device Displays 430 RF Power Supply Communication Error</t>
  </si>
  <si>
    <t>2666: Device Displays 435 MCU Processing Error</t>
  </si>
  <si>
    <t>2667: Device Displays 440 CPLD Self-Test Error</t>
  </si>
  <si>
    <t>2668: Device Displays 450 Delivery Device Interface Self-Test Error</t>
  </si>
  <si>
    <t>2669: Device Displays 455 Saline Pump Self-Test Error</t>
  </si>
  <si>
    <t>2670: Device Displays 460 Syringe Pump Self-Test Error</t>
  </si>
  <si>
    <t>2671: Device Displays 465 Water Pressure Self-Test Error</t>
  </si>
  <si>
    <t>2672: Device Displays 470 Delivery Device Temperature Excessive</t>
  </si>
  <si>
    <t>2673: Device Displays 475 Software Compatibility Self-Test Error</t>
  </si>
  <si>
    <t>2674: Device Displays 480 Sensor Interface Error</t>
  </si>
  <si>
    <t>2675: Device Displays 485 Internal Generator Temperature Error</t>
  </si>
  <si>
    <t>2676: Device Displays 490 RF Power Supply Operational Error</t>
  </si>
  <si>
    <t>2677: Device Displays 495 RF Power Supply Self-Test Error</t>
  </si>
  <si>
    <t>1007: Aiming Beam Weak/Dim</t>
  </si>
  <si>
    <t>2696: Broken Before Use</t>
  </si>
  <si>
    <t>1175: Degraded</t>
  </si>
  <si>
    <t>1818: Material Distortion</t>
  </si>
  <si>
    <t>1169: Decrease In Pressure</t>
  </si>
  <si>
    <t>1724: Increase In Pressure</t>
  </si>
  <si>
    <t>3127: Inflation Too Fast</t>
  </si>
  <si>
    <t>2394: Tab Tore/Stretched/Too Large</t>
  </si>
  <si>
    <t>3128: Unbuckled</t>
  </si>
  <si>
    <t>1260: Device Remains Activated</t>
  </si>
  <si>
    <t>1272: Difficult Or Delayed Activation</t>
  </si>
  <si>
    <t>2299: Self-Activation Or Keying</t>
  </si>
  <si>
    <t>3240: Blade Lock</t>
  </si>
  <si>
    <t>3258: Difficult Cutting</t>
  </si>
  <si>
    <t>3266: Rust Present</t>
  </si>
  <si>
    <t>3269: Suction Rate Too Fast</t>
  </si>
  <si>
    <t>1656: Guidewire/Burr Movement Problem</t>
  </si>
  <si>
    <t>1034: Blades Not Spinning</t>
  </si>
  <si>
    <t>1190: Device Clogged</t>
  </si>
  <si>
    <t>2137: Not Reaching Optimum Speed - During Preparation/Test</t>
  </si>
  <si>
    <t>2276: Rexing Issue</t>
  </si>
  <si>
    <t>2364: Structural Problem</t>
  </si>
  <si>
    <t>1430: Drive Shaft Interference</t>
  </si>
  <si>
    <t>1721: Incorrect Readings</t>
  </si>
  <si>
    <t>1062: Burred</t>
  </si>
  <si>
    <t>2063: Migrated/Dislodged</t>
  </si>
  <si>
    <t>1070: Cannula Stuck In Catheter</t>
  </si>
  <si>
    <t>1348: Difficult To Remove From Dispenser Coil</t>
  </si>
  <si>
    <t>1349: Difficult To Remove From The Guide Catheter</t>
  </si>
  <si>
    <t>2087: Nickel And Liner/Lumen Separation</t>
  </si>
  <si>
    <t>2420: Torqued/Twisted</t>
  </si>
  <si>
    <t>2888: Device Does Not Provide Adequate Anchoring</t>
  </si>
  <si>
    <t>2890: Difficulty Resheathing The Scaffold</t>
  </si>
  <si>
    <t>2889: Difficult To Unsheath</t>
  </si>
  <si>
    <t>2926: Scaffold Detachment</t>
  </si>
  <si>
    <t>2894: Flash Drive Issue</t>
  </si>
  <si>
    <t>2927: Solenoid Valve Issue</t>
  </si>
  <si>
    <t>2933: Unable To Test Cryo-Needle</t>
  </si>
  <si>
    <t>1118: Communication - RF Interference</t>
  </si>
  <si>
    <t>2885: Channel Issue</t>
  </si>
  <si>
    <t>2899: Insufficient Ice</t>
  </si>
  <si>
    <t>2917: Message: Error Message Recovered</t>
  </si>
  <si>
    <t>2918: Message: Error Message Unrecovered</t>
  </si>
  <si>
    <t>2884: Cautery Failure</t>
  </si>
  <si>
    <t>2895: Frost</t>
  </si>
  <si>
    <t>2898: Incorrectly Identified By System</t>
  </si>
  <si>
    <t>2900: iThaw Malfunction</t>
  </si>
  <si>
    <t>1788: Lights Do Not Turn On</t>
  </si>
  <si>
    <t>2283: Rotation Resistance Not Detected Properly</t>
  </si>
  <si>
    <t>1505: Failure To Cross Lesion</t>
  </si>
  <si>
    <t>1704: Incomplete Connection To Control Unit</t>
  </si>
  <si>
    <t>1514: Failure To Detach</t>
  </si>
  <si>
    <t>2280: Rotates</t>
  </si>
  <si>
    <t>1700: Incompatibility Problem</t>
  </si>
  <si>
    <t>2882: Bent Pins</t>
  </si>
  <si>
    <t>2883: Cable Damaged/Defective</t>
  </si>
  <si>
    <t>2886: Connector Damaged/Defective</t>
  </si>
  <si>
    <t>2887: Coolant Infusion Pump Alerts</t>
  </si>
  <si>
    <t>2891: Drug Infusion Pump Alerts</t>
  </si>
  <si>
    <t>2896: Hub Damaged/Cracked</t>
  </si>
  <si>
    <t>2901: Manifold Damaged/Cracked</t>
  </si>
  <si>
    <t>2902: Manifold Leak</t>
  </si>
  <si>
    <t>2903: Marker Band Dislodged/Detached</t>
  </si>
  <si>
    <t>2921: Obstruction Within Device - Coolant</t>
  </si>
  <si>
    <t>2922: Obstruction Within Device - Drug</t>
  </si>
  <si>
    <t>2934: Marker Band Misaligned</t>
  </si>
  <si>
    <t>2935: Marker Band Not Visible</t>
  </si>
  <si>
    <t>2928: Startup Issue - Temperature Event</t>
  </si>
  <si>
    <t>2893: Failure To Deliver Ultrasound</t>
  </si>
  <si>
    <t>2904: Message - All MSD Groups Disabled Alert</t>
  </si>
  <si>
    <t>2905: Message - Catheter Mismatch Alert</t>
  </si>
  <si>
    <t>2906: Message - Console Hardware Broken/Failure</t>
  </si>
  <si>
    <t>2910: Message - Console Software Not Correct</t>
  </si>
  <si>
    <t>2912: Message - MSD Not Detected Alert</t>
  </si>
  <si>
    <t>2913: Message - MSD Withdrawal Detection Alert</t>
  </si>
  <si>
    <t>2914: Message - White C Red Thermometer Alert</t>
  </si>
  <si>
    <t>2915: Message - Red W White A Alert</t>
  </si>
  <si>
    <t>2916: Message - Red W White P Alert</t>
  </si>
  <si>
    <t>2939: Error_Alternating Device Temperature</t>
  </si>
  <si>
    <t>2940: Error_Battery Error</t>
  </si>
  <si>
    <t>2941: Error_CIC Not Compatible</t>
  </si>
  <si>
    <t>2942: Error_CIC Not Connected</t>
  </si>
  <si>
    <t>2943: Error_CIC Not Functional</t>
  </si>
  <si>
    <t>2945: Error_Control Unit Temperature Too High</t>
  </si>
  <si>
    <t>2946: Error_Control Unit Temperature Too Low</t>
  </si>
  <si>
    <t>2947: Error_Data Storage Error</t>
  </si>
  <si>
    <t>2948: Message - White C Blue Thermometer Alert</t>
  </si>
  <si>
    <t>2949: Error_E003_Battery Discharged</t>
  </si>
  <si>
    <t>2950: Error_E004 _Chassis Temperature Too High</t>
  </si>
  <si>
    <t>2951: Error_E005 _Chassis Temperature Too Low</t>
  </si>
  <si>
    <t>2952: Error_E006 _Channel Cross Connection</t>
  </si>
  <si>
    <t>2953: Error_E007 _RF Detected While Ultrasound Off</t>
  </si>
  <si>
    <t>2954: Error_E008 _Battery/Charge Fault</t>
  </si>
  <si>
    <t>2955: Error_E300 _Infusion Catheter Not Present</t>
  </si>
  <si>
    <t>2956: Error_E301 _Infusion Catheter Invalid</t>
  </si>
  <si>
    <t>2957: Error_E302 _Ultrasonic Core Not Present</t>
  </si>
  <si>
    <t>2958: Error_E303 _Ultrasonic Core Invalid</t>
  </si>
  <si>
    <t>2959: Error_E304 _Incompatibility Of Devices</t>
  </si>
  <si>
    <t>2960: Error_E306_CIC Not Present</t>
  </si>
  <si>
    <t>2961: Error_E307_ CIC Invalid/ Faulted</t>
  </si>
  <si>
    <t>2962: Error_E309_ Device Temperature Insufficient</t>
  </si>
  <si>
    <t>2963: Error_E310_ Device Temperature Timeout</t>
  </si>
  <si>
    <t>2964: Error_E311_ No Zones (Groups) Enabled</t>
  </si>
  <si>
    <t>2965: Error_E312_ Device Temperature Hardware Shutoff</t>
  </si>
  <si>
    <t>2966: Error_E314_ Ultrasonic Core_Withdrawal</t>
  </si>
  <si>
    <t>2967: Error_E315_ CIP Program Fail</t>
  </si>
  <si>
    <t>2968: Error_E316_ Under Voltage Hardware Shutoff</t>
  </si>
  <si>
    <t>2969: Error_E317_ FEP Program Fail</t>
  </si>
  <si>
    <t>2970: Error_E318_ UI-FEC Fail</t>
  </si>
  <si>
    <t>2971: Error_E319_ RF Detected While Ultrasound Off</t>
  </si>
  <si>
    <t>2972: Error_E320_ Excessive Average Current Hardware Shutoff</t>
  </si>
  <si>
    <t>2973: Error_E321_ CIC Cold Junction Invalid</t>
  </si>
  <si>
    <t>2974: Error_E322_ All Thermocouples Invalid</t>
  </si>
  <si>
    <t>2975: Error_E323_ Failure To Clear Hardware Shutoff</t>
  </si>
  <si>
    <t>2976: Error_E324_ Stuck Channel Button</t>
  </si>
  <si>
    <t>2977: Error_E325_ Failure To Detect RF While Ultrasound On</t>
  </si>
  <si>
    <t>2978: Error_E326_ FFEC-UI Communications Fail</t>
  </si>
  <si>
    <t>2979: Error_E327_ Hardware Shutoff Inconsistency</t>
  </si>
  <si>
    <t>2980: Error_E328_ Unknown Hardware Shutoff</t>
  </si>
  <si>
    <t>2981: Error_E329_ Temperature Hardware Shutoff Test Fail</t>
  </si>
  <si>
    <t>2982: Error_E330_ TFPGA fail</t>
  </si>
  <si>
    <t>2983: Error_E331_ Incompatible Interface Cable</t>
  </si>
  <si>
    <t>2984: Error_ENNN_ Incompatible</t>
  </si>
  <si>
    <t>2985: Message - White W White A Alert</t>
  </si>
  <si>
    <t>2986: Message - Red C Red Thermometer</t>
  </si>
  <si>
    <t>2989: Message - High Instantaneous Voltage Shutoff</t>
  </si>
  <si>
    <t>2990: Error_IDDC (Infusion Catheter) Not Functional</t>
  </si>
  <si>
    <t>2991: Error_MSD (UltraSound Core) Not Functional</t>
  </si>
  <si>
    <t>2995: Error_One Or More (Not All) Groups Disabled</t>
  </si>
  <si>
    <t>2996: Error_Stuck Button</t>
  </si>
  <si>
    <t>3007: Cross Connected Catheter</t>
  </si>
  <si>
    <t>3008: IDDC Not Connected Alert</t>
  </si>
  <si>
    <t>1355: Difficult To Remove/Withdraw From Catheter</t>
  </si>
  <si>
    <t>1109: Coil Stuck At Twistlock</t>
  </si>
  <si>
    <t>2272: Retaining Device Not Attached</t>
  </si>
  <si>
    <t>1085: Catheter Kick-Back</t>
  </si>
  <si>
    <t>1106: Coil Memory</t>
  </si>
  <si>
    <t>1107: Coil Out Of Introducer</t>
  </si>
  <si>
    <t>1110: Coil Stuck To Catheter Tip</t>
  </si>
  <si>
    <t>2212: Poor Framing</t>
  </si>
  <si>
    <t>2397: Tangled</t>
  </si>
  <si>
    <t>3147: Coil Protruding From Target Location</t>
  </si>
  <si>
    <t>3148: Unable To Advance In Introducer</t>
  </si>
  <si>
    <t>3149: Difficult To Advance In Introducer</t>
  </si>
  <si>
    <t>3150: Difficult To Withdraw From / Into Introducer</t>
  </si>
  <si>
    <t>3151: Unable To Advance In Catheter</t>
  </si>
  <si>
    <t>3152: Unable To Withdraw From Catheter</t>
  </si>
  <si>
    <t>3153: Difficult To Advance In Catheter</t>
  </si>
  <si>
    <t>3154: Difficult To Withdraw From Catheter</t>
  </si>
  <si>
    <t>3155: Premature Deployment Outside Patient</t>
  </si>
  <si>
    <t>3156: Premature Deployment Inside Patient</t>
  </si>
  <si>
    <t>3238: Delayed Separation</t>
  </si>
  <si>
    <t>3157: Breaks Prematurely</t>
  </si>
  <si>
    <t>3158: Broken Upon Removal From Packaging</t>
  </si>
  <si>
    <t>3159: Difficult To Break</t>
  </si>
  <si>
    <t>1411: Disengaged</t>
  </si>
  <si>
    <t>3160: Difficult To Identify</t>
  </si>
  <si>
    <t>1101: Clumping In Device Or Device Ingredient</t>
  </si>
  <si>
    <t>1431: Drug Loading Problem</t>
  </si>
  <si>
    <t>2366: Stuck In Catheter</t>
  </si>
  <si>
    <t>2464: Volume Incorrect</t>
  </si>
  <si>
    <t>2932: Stuck In Syringe</t>
  </si>
  <si>
    <t>2165: Overfill</t>
  </si>
  <si>
    <t>1105: Coil In Catheter</t>
  </si>
  <si>
    <t>2930: Stuck In Cartridge</t>
  </si>
  <si>
    <t>2931: Stuck In Shell</t>
  </si>
  <si>
    <t>2929: Stuck In Anatomy</t>
  </si>
  <si>
    <t>1181: Deployed Outside Patient</t>
  </si>
  <si>
    <t>1185: Detached From Manifold</t>
  </si>
  <si>
    <t>2897: Inadvertent Conversion</t>
  </si>
  <si>
    <t>2919: Not Fully Converted - After Day 150</t>
  </si>
  <si>
    <t>2920: Not Fully Converted - After Day 365</t>
  </si>
  <si>
    <t>2925: Premature Conversion</t>
  </si>
  <si>
    <t>1738: Insufficient Roll-Off</t>
  </si>
  <si>
    <t>2878: TRAP_Device Issue</t>
  </si>
  <si>
    <t>2879: TRAP_DFU Related Issue</t>
  </si>
  <si>
    <t>1817: Material Discolored</t>
  </si>
  <si>
    <t>2877: TRAP_Adverse Event Without Identified Device or Use Problem</t>
  </si>
  <si>
    <t>2880: TRAP_Difficult To Withdraw</t>
  </si>
  <si>
    <t>2881: TRAP_Tip Separation</t>
  </si>
  <si>
    <t>1444: Electrode Bond Leak</t>
  </si>
  <si>
    <t>1441: Electrical Issue - No Continuity</t>
  </si>
  <si>
    <t>1512: Failure To Deliver Treatment</t>
  </si>
  <si>
    <t>2008: Message - Open Circuit</t>
  </si>
  <si>
    <t>1014: Apposition Model - One Or More Electrodes Remain Grey</t>
  </si>
  <si>
    <t>1015: Apposition Model - One Or More Electrodes Remain Purple</t>
  </si>
  <si>
    <t>1016: Apposition Model - One Or More Electrodes Remain Yellow</t>
  </si>
  <si>
    <t>1078: Catheter Connection Not Detected</t>
  </si>
  <si>
    <t>1935: Message - Error 303 - Intermittent Catheter Connection</t>
  </si>
  <si>
    <t>2425: Treatment Interrupted By Generator</t>
  </si>
  <si>
    <t>2936: Difficult to Visualize Under Fluoroscopy</t>
  </si>
  <si>
    <t>1320: Difficult To Insert Through Guide/Introducer Sheath</t>
  </si>
  <si>
    <t>1180: Deployed In Outer Sheath</t>
  </si>
  <si>
    <t>3259: Difficult/Failure To Perform Sleeve Pull</t>
  </si>
  <si>
    <t>3260: Difficult/Failure To Reload Device</t>
  </si>
  <si>
    <t>1678: Image Resolution Poor</t>
  </si>
  <si>
    <t>3139: Radioactive Contamination</t>
  </si>
  <si>
    <t>3133: Overdose</t>
  </si>
  <si>
    <t>3134: Underdose</t>
  </si>
  <si>
    <t>3135: High Back Pressure</t>
  </si>
  <si>
    <t>3136: Activity Issue</t>
  </si>
  <si>
    <t>1117: Communication - PII Issue</t>
  </si>
  <si>
    <t>1123: Communicator Issue</t>
  </si>
  <si>
    <t>1136: Connection Issue - POTS</t>
  </si>
  <si>
    <t>1451: EMR Issue</t>
  </si>
  <si>
    <t>1452: Enrollment - Incorrect Enrollment</t>
  </si>
  <si>
    <t>1453: Enrollment - New PG With Old Communicator</t>
  </si>
  <si>
    <t>1454: Enrollment - Patient Not Enrolled</t>
  </si>
  <si>
    <t>1472: Failed Payload</t>
  </si>
  <si>
    <t>1665: Health Questions</t>
  </si>
  <si>
    <t>1793: Log-In Issue</t>
  </si>
  <si>
    <t>1922: Message - Device/PG Out Of Range</t>
  </si>
  <si>
    <t>1988: Message - Hardware Failure</t>
  </si>
  <si>
    <t>1992: Message - LATITUDE Temporarily Unavailable</t>
  </si>
  <si>
    <t>1998: Message - Monitoring Suspended</t>
  </si>
  <si>
    <t>2004: Message - No Dial Tone</t>
  </si>
  <si>
    <t>2005: Message - No Red Alert</t>
  </si>
  <si>
    <t>2006: Message - No Yellow Alert</t>
  </si>
  <si>
    <t>2023: Message - Red Alert</t>
  </si>
  <si>
    <t>2059: Message - Yellow Alert</t>
  </si>
  <si>
    <t>2060: Message - Yellow Alert Fax Issue</t>
  </si>
  <si>
    <t>2200: Permissions Issue</t>
  </si>
  <si>
    <t>2227: Power Issue - Outlet Not Working</t>
  </si>
  <si>
    <t>2228: Power Issue - Storm/Power Outage</t>
  </si>
  <si>
    <t>2294: Screen Issue</t>
  </si>
  <si>
    <t>2392: System Support</t>
  </si>
  <si>
    <t>2445: Unplugged (And Change Component To Powercord)</t>
  </si>
  <si>
    <t>2466: Website Not Available</t>
  </si>
  <si>
    <t>2467: Website Patient Website Issue</t>
  </si>
  <si>
    <t>2468: Website Patients For Review Issue</t>
  </si>
  <si>
    <t>2469: Website Performance Issue</t>
  </si>
  <si>
    <t>2470: Website System Issue</t>
  </si>
  <si>
    <t>2471: Weight Scale Issue</t>
  </si>
  <si>
    <t>1119: Communication - Wanded</t>
  </si>
  <si>
    <t>1011: Application Program Issue</t>
  </si>
  <si>
    <t>1023: ATP Not Delivered When Required</t>
  </si>
  <si>
    <t>1339: Difficult To Program Or Calibrate</t>
  </si>
  <si>
    <t>1584: Failure To Sense</t>
  </si>
  <si>
    <t>2301: Sensing Intermittently</t>
  </si>
  <si>
    <t>2705: Loss Of Capture During Ablation Or Electrocautery</t>
  </si>
  <si>
    <t>2711: MV Rate Response Not As Expected</t>
  </si>
  <si>
    <t>2715: XL Rate Response Not As Expected</t>
  </si>
  <si>
    <t>2871: Difficulty Converting Rhythm (Induced)</t>
  </si>
  <si>
    <t>3028: Incomplete Programming</t>
  </si>
  <si>
    <t>3034: MRI Exposure Issue</t>
  </si>
  <si>
    <t>3038: PII/Symptom Tracking Issue</t>
  </si>
  <si>
    <t>3041: Remote Programming Issue</t>
  </si>
  <si>
    <t>3114: Communication/Connection Issue At Set-Up</t>
  </si>
  <si>
    <t>3115: False Event</t>
  </si>
  <si>
    <t>3116: False Pause Event</t>
  </si>
  <si>
    <t>3117: False Brady Event</t>
  </si>
  <si>
    <t>3118: False Tachy Event</t>
  </si>
  <si>
    <t>3119: False AF Event</t>
  </si>
  <si>
    <t>3120: False AT Event</t>
  </si>
  <si>
    <t>3121: Missed Event</t>
  </si>
  <si>
    <t>3122: Missed Pause Event</t>
  </si>
  <si>
    <t>3123: Missed Brady Event</t>
  </si>
  <si>
    <t>3124: Missed Tachy Event</t>
  </si>
  <si>
    <t>3125: Missed AF Event</t>
  </si>
  <si>
    <t>3126: Missed AT Event</t>
  </si>
  <si>
    <t>3026: Incision Closure Difficulty</t>
  </si>
  <si>
    <t>3027: Incision Creation Difficulty</t>
  </si>
  <si>
    <t>3012: Application Error</t>
  </si>
  <si>
    <t>3030: Magnet Application Issue</t>
  </si>
  <si>
    <t>3112: Out of Box Phone Issue</t>
  </si>
  <si>
    <t>3113: Out of Box Phone Setting Unexpected</t>
  </si>
  <si>
    <t>3161: Tones/Illumination When Not Expected</t>
  </si>
  <si>
    <t>1583: Failure To Save To Disk</t>
  </si>
  <si>
    <t>2150: Operating System Version Or Upgrade Problem</t>
  </si>
  <si>
    <t>3140: Software Removal Issue</t>
  </si>
  <si>
    <t>3141: Software Removal ELH</t>
  </si>
  <si>
    <t>2823: Sterilization Questions</t>
  </si>
  <si>
    <t>2770: Unable To Connect To Bluetooth Printer</t>
  </si>
  <si>
    <t>2777: Unable To Find Wi-Fi Network</t>
  </si>
  <si>
    <t>2779: Wi-Fi Network Not Compatible</t>
  </si>
  <si>
    <t>2787: Battery Discharged While Powered Off</t>
  </si>
  <si>
    <t>2791: Failure To Power-Up Using Battery</t>
  </si>
  <si>
    <t>2792: Off Label Accessory Use</t>
  </si>
  <si>
    <t>2793: Reset During Critical Operation</t>
  </si>
  <si>
    <t>2803: Device Used For Prolonged External Pacing</t>
  </si>
  <si>
    <t>2804: Device Used In Incorrect Country</t>
  </si>
  <si>
    <t>2805: PG Not Compatible With Programmer</t>
  </si>
  <si>
    <t>2810: Unresponsive During Stat Therapy</t>
  </si>
  <si>
    <t>3003: Unexpected Response</t>
  </si>
  <si>
    <t>2813: Software Upgrade Issue Using Ethernet</t>
  </si>
  <si>
    <t>2815: Threshold Different Than Competitor</t>
  </si>
  <si>
    <t>2820: Sensing Different Than Competitor</t>
  </si>
  <si>
    <t>2824: COI Different Than Competitor</t>
  </si>
  <si>
    <t>2825: COI Inverted</t>
  </si>
  <si>
    <t>3270: Temperature Indicator Black</t>
  </si>
  <si>
    <t>1161: Damaged After Loading</t>
  </si>
  <si>
    <t>1344: Difficult To Release</t>
  </si>
  <si>
    <t>2235: Prematurely Releases</t>
  </si>
  <si>
    <t>1552: Failure To Playback/View A Recorded Case</t>
  </si>
  <si>
    <t>2206: Playback/Review Of Case Issue</t>
  </si>
  <si>
    <t>2234: Premature Opening</t>
  </si>
  <si>
    <t>1306: Difficult To Initiate Unsheathing</t>
  </si>
  <si>
    <t>1359: Difficult To Re-Sheath</t>
  </si>
  <si>
    <t>1364: Difficult To Sheath During Preparation</t>
  </si>
  <si>
    <t>1370: Difficult To Un-Sheath</t>
  </si>
  <si>
    <t>1596: Failure To Un-sheath</t>
  </si>
  <si>
    <t>2588: Failure To Sheath During Preparation</t>
  </si>
  <si>
    <t>1635: Forward Trip</t>
  </si>
  <si>
    <t>2369: Stuck In Sheath During Advancement</t>
  </si>
  <si>
    <t>2370: Stuck In Sheath During Withdrawal</t>
  </si>
  <si>
    <t>1799: Loss Of Or Failure To Bond</t>
  </si>
  <si>
    <t>1147: Coronary Artery Occlusion</t>
  </si>
  <si>
    <t>1324: Difficult To Load Onto Delivery System</t>
  </si>
  <si>
    <t>1369: Difficult To Unlock</t>
  </si>
  <si>
    <t>1535: Failure To Load Onto Delivery System</t>
  </si>
  <si>
    <t>1622: Floppy Post</t>
  </si>
  <si>
    <t>1648: Gradient Elevation</t>
  </si>
  <si>
    <t>2180: Partial Release</t>
  </si>
  <si>
    <t>2198: Regurgitation, Prosthetic Valve (Paravalvular/Perivalvular Leak (PVL))</t>
  </si>
  <si>
    <t>2255: Raised Braid Crown</t>
  </si>
  <si>
    <t>2348: Stent Free Cell Protrusion</t>
  </si>
  <si>
    <t>2444: Unlocked Unintentionally</t>
  </si>
  <si>
    <t>2463: Visual Defect</t>
  </si>
  <si>
    <t>2493: Decreased Valve Area</t>
  </si>
  <si>
    <t>2589: Damage Post-Deployment</t>
  </si>
  <si>
    <t>2590: Coaptation Issue</t>
  </si>
  <si>
    <t>2606: Structural Deterioration</t>
  </si>
  <si>
    <t>2607: Non-Structural Dysfunction</t>
  </si>
  <si>
    <t>2617: Regurgitation, Prosthetic Valve</t>
  </si>
  <si>
    <t>2618: Regurgitation, Prosthetic Valve (Central Leak)</t>
  </si>
  <si>
    <t>2697: Valve In Valve</t>
  </si>
  <si>
    <t>2829: Hook(s) Not Engaged</t>
  </si>
  <si>
    <t>1791: Loaded Incorrectly During Prep</t>
  </si>
  <si>
    <t>1076: Cassette Wont Release</t>
  </si>
  <si>
    <t>1650: Grounding Malfunction</t>
  </si>
  <si>
    <t>1792: Logic Issue</t>
  </si>
  <si>
    <t>1073: Cassette Detected - System Shutdown (Cold Fluid)</t>
  </si>
  <si>
    <t>1074: Cassette Detected (Hot Fluid)</t>
  </si>
  <si>
    <t>1075: Cassette Not Detected</t>
  </si>
  <si>
    <t>1143: Cooling And Flushing</t>
  </si>
  <si>
    <t>1465: Excessive Fluid Level Detected</t>
  </si>
  <si>
    <t>1627: Fluid Loss Detected</t>
  </si>
  <si>
    <t>1628: Fluid Not Detected</t>
  </si>
  <si>
    <t>1715: Incorrect Fluid Detected</t>
  </si>
  <si>
    <t>1902: Message - Cassette Error</t>
  </si>
  <si>
    <t>1927: Message - Ee1 Error</t>
  </si>
  <si>
    <t>2034: Message - System Error 10</t>
  </si>
  <si>
    <t>2035: Message - System Error 11</t>
  </si>
  <si>
    <t>2036: Message - System Error 18</t>
  </si>
  <si>
    <t>2037: Message - System Error 19</t>
  </si>
  <si>
    <t>2038: Message - System Error 23</t>
  </si>
  <si>
    <t>2039: Message - System Error 24</t>
  </si>
  <si>
    <t>2040: Message - System Error 25</t>
  </si>
  <si>
    <t>2041: Message - System Error 26</t>
  </si>
  <si>
    <t>2042: Message - System Error 27</t>
  </si>
  <si>
    <t>2043: Message - System Error 29</t>
  </si>
  <si>
    <t>2044: Message - System Error 3</t>
  </si>
  <si>
    <t>2045: Message - System Error 36</t>
  </si>
  <si>
    <t>2046: Message - System Error 37</t>
  </si>
  <si>
    <t>2047: Message - System Error 38</t>
  </si>
  <si>
    <t>2048: Message - System Error 39</t>
  </si>
  <si>
    <t>2049: Message - System Error 41</t>
  </si>
  <si>
    <t>2050: Message - System Error 43 Through 90</t>
  </si>
  <si>
    <t>2054: Message - Temperature Error - High</t>
  </si>
  <si>
    <t>2055: Message - Temperature Error - Low</t>
  </si>
  <si>
    <t>2056: Message - Thermal Probe Error</t>
  </si>
  <si>
    <t>2094: No Flow Condition (Next Gen Only)</t>
  </si>
  <si>
    <t>2407: Third Fluid Loss Detected (Next Gen Only)</t>
  </si>
  <si>
    <t>2438: Unexpected Fluid Level</t>
  </si>
  <si>
    <t>1613: Filling Problem</t>
  </si>
  <si>
    <t>1626: Fluid Level Problem</t>
  </si>
  <si>
    <t>1671: Human-Device Interface Issue</t>
  </si>
  <si>
    <t>1737: Insufficient Heating</t>
  </si>
  <si>
    <t>2127: Not Circulating</t>
  </si>
  <si>
    <t>1096: Chemical Issue</t>
  </si>
  <si>
    <t>2700: Does Not Last Long Enough</t>
  </si>
  <si>
    <t>2703: Inadequate Space</t>
  </si>
  <si>
    <t>2704: Lasts Too Long</t>
  </si>
  <si>
    <t>2709: Misplaced - Non Vascular</t>
  </si>
  <si>
    <t>2710: Misplaced - Vascular</t>
  </si>
  <si>
    <t>2713: Not Created</t>
  </si>
  <si>
    <t>2231: Precipitate In Device Or Device Ingredient</t>
  </si>
  <si>
    <t>2245: Product Dried Out/Hardened</t>
  </si>
  <si>
    <t>2706: Melted PEG</t>
  </si>
  <si>
    <t>1621: Flexscope Use Time Exceeded</t>
  </si>
  <si>
    <t>1674: Illumination Issues</t>
  </si>
  <si>
    <t>1677: Image Quality Issue - During Laser Firing</t>
  </si>
  <si>
    <t>3183: Camera Error</t>
  </si>
  <si>
    <t>3185: Console Communication Error</t>
  </si>
  <si>
    <t>3186: Console Pressure Sensor Error</t>
  </si>
  <si>
    <t>3223: Image Processing Board Error</t>
  </si>
  <si>
    <t>3227: Software Initialization Error</t>
  </si>
  <si>
    <t>3232: SUD Connection Error</t>
  </si>
  <si>
    <t>3233: SUD Pressure Sensor Error</t>
  </si>
  <si>
    <t>3235: Unable To Save Image/Video</t>
  </si>
  <si>
    <t>3236: Video Capture - Not Functional</t>
  </si>
  <si>
    <t>1641: Front Panel Button Failure</t>
  </si>
  <si>
    <t>1458: Equipment Does Not Pass Biomed/Installation Check</t>
  </si>
  <si>
    <t>1663: Hardware Malfunction</t>
  </si>
  <si>
    <t>2242: Problem With Lithovue Flexscope</t>
  </si>
  <si>
    <t>2384: System Enforces Incorrect Time Limit</t>
  </si>
  <si>
    <t>2136: Not Radiopaque</t>
  </si>
  <si>
    <t>1989: Message - Image Display Error</t>
  </si>
  <si>
    <t>2608: Device Difficult To Setup Or Prepare Accessory Device</t>
  </si>
  <si>
    <t>2609: Difficult To Detach Accessory Device</t>
  </si>
  <si>
    <t>2610: Accesory Device Ejected</t>
  </si>
  <si>
    <t>1685: Improper Fit</t>
  </si>
  <si>
    <t>1493: Failure To Catch Needle</t>
  </si>
  <si>
    <t>1574: Failure To Release Needle</t>
  </si>
  <si>
    <t>1365: Difficult To Suture</t>
  </si>
  <si>
    <t>1537: Failure To Load/Engage Suture</t>
  </si>
  <si>
    <t>1649: Graft Too Thin</t>
  </si>
  <si>
    <t>2265: Rejection</t>
  </si>
  <si>
    <t>2436: Uneven Thickness</t>
  </si>
  <si>
    <t>2214: Poor Or No Tissue Ingrowth</t>
  </si>
  <si>
    <t>2414: Too Short To Release Leg Assembly</t>
  </si>
  <si>
    <t>2331: Slippage Of Device Or Device Component</t>
  </si>
  <si>
    <t>2342: Spots</t>
  </si>
  <si>
    <t>1069: Calcified</t>
  </si>
  <si>
    <t>1463: Excess Flow Or Overinfusion</t>
  </si>
  <si>
    <t>1553: Failure To Power On Self Test</t>
  </si>
  <si>
    <t>1565: Failure To Reciprocate/Slow Reciprocation</t>
  </si>
  <si>
    <t>2117: No Visualization/Loss Of Visualization</t>
  </si>
  <si>
    <t>2269: Resection Rate Slow</t>
  </si>
  <si>
    <t>1614: Filtration Issue</t>
  </si>
  <si>
    <t>1719: Incorrect Or Inadequate Result</t>
  </si>
  <si>
    <t>1437: Ejects Tissue During Opening</t>
  </si>
  <si>
    <t>1548: Failure To Open To Retrieve Tissue</t>
  </si>
  <si>
    <t>1874: Message - 1306 Displayed Locations May Be Poor For The Following Catheters - [Catheter Name(s)]</t>
  </si>
  <si>
    <t>2177: Pacing Issue</t>
  </si>
  <si>
    <t>2335: Software - CT Import/Segmentation Issues</t>
  </si>
  <si>
    <t>1020: Artifact/Noise</t>
  </si>
  <si>
    <t>1041: Body Fluid Ingress</t>
  </si>
  <si>
    <t>1093: Charred</t>
  </si>
  <si>
    <t>1283: Difficult To Advance/Withdraw Catheter Through Sheath</t>
  </si>
  <si>
    <t>1388: Difficult/Failure To Deliver RF Energy</t>
  </si>
  <si>
    <t>1585: Failure To Sense Temperature</t>
  </si>
  <si>
    <t>1746: Interrupted Coolant Flow</t>
  </si>
  <si>
    <t>2302: Sensor Failure</t>
  </si>
  <si>
    <t>2402: Temperature Reading Incorrect</t>
  </si>
  <si>
    <t>1664: Hardwr No Signal Or Communication</t>
  </si>
  <si>
    <t>1908: Message - D02 High Impedance/Check Catheter Or Ground Pads</t>
  </si>
  <si>
    <t>1912: Message - D05 Excessive Temperature/Check Catheter</t>
  </si>
  <si>
    <t>1913: Message - D06 Sensor Failure/Replace Catheter</t>
  </si>
  <si>
    <t>1915: Message - D07 Temp Out Of Range/Check Catheter</t>
  </si>
  <si>
    <t>1920: Message - D10 Replace Catheter Invalid ID</t>
  </si>
  <si>
    <t>1957: Message - Gen-E07 Pwr Temp Out Of 20-43C</t>
  </si>
  <si>
    <t>2123: Noisy Mini Electrode</t>
  </si>
  <si>
    <t>2100: No Mapping</t>
  </si>
  <si>
    <t>2091: No Deflection</t>
  </si>
  <si>
    <t>2851: Error Code 00004000: The Injection Pressure Is Too High</t>
  </si>
  <si>
    <t>1946: Message - GCA002 Problem With Wheel(s)</t>
  </si>
  <si>
    <t>1947: Message - GCA003 Abnormal Fan Noise Coming From Console</t>
  </si>
  <si>
    <t>1948: Message - GCA099 Other Console Problems Describe In Action Field</t>
  </si>
  <si>
    <t>1949: Message - GCT002 Keyboard Problem</t>
  </si>
  <si>
    <t>1950: Message - GCT006 On/Off Switch Inoperative</t>
  </si>
  <si>
    <t>1951: Message - GCT099 Other Control Problems Describe In Action Field</t>
  </si>
  <si>
    <t>1611: File Transfer Issue</t>
  </si>
  <si>
    <t>2240: Problem With Color On The Display Screen</t>
  </si>
  <si>
    <t>1962: Message - GIQ001 No Image Inside The Tissue Ball/Rest Of Screen (Menu)</t>
  </si>
  <si>
    <t>1963: Message - GIQ003 Image Disappears Or Fades In And Out</t>
  </si>
  <si>
    <t>1964: Message - GIQ005 Ultrasound Image Has Nurd/Image Is Distorted</t>
  </si>
  <si>
    <t>1965: Message - GIQ099 Other Image Quality Problem Describe In Action Field</t>
  </si>
  <si>
    <t>2293: Screen Color Abnormal</t>
  </si>
  <si>
    <t>1487: Failure To Boot Into Application</t>
  </si>
  <si>
    <t>1977: Message - GSY011 Nidaq Or Related Vme Watchdog Error</t>
  </si>
  <si>
    <t>1979: Message - GSY014 No OS Found Error</t>
  </si>
  <si>
    <t>1984: Message - GSY021 DAQ And PC_WD_TIMER Error</t>
  </si>
  <si>
    <t>1991: Message - Input/Output/Signal Error</t>
  </si>
  <si>
    <t>1084: Catheter ID Problem (Unknown, Incorrect ID, Not Recognized)</t>
  </si>
  <si>
    <t>1168: Dead/Transducer Not Spinning</t>
  </si>
  <si>
    <t>1769: LCD Backlight Failure</t>
  </si>
  <si>
    <t>2001: Message - Motordrive Error</t>
  </si>
  <si>
    <t>2002: Message - Motordrive Overload Error</t>
  </si>
  <si>
    <t>1967: Message - GPR099 Other Printer Problems Describe In Action Field</t>
  </si>
  <si>
    <t>1968: Message - GSY001 Power - No System Power</t>
  </si>
  <si>
    <t>1969: Message - GSY002 System Turns On But There Is No Display On Monitor</t>
  </si>
  <si>
    <t>1970: Message - GSY003 Monitor Display Problem (Brightness, Focus, Tearing, Colors, Size)</t>
  </si>
  <si>
    <t>1971: Message - GSY004 System Boots But No Power To VCR And Printer (Snooze)</t>
  </si>
  <si>
    <t>1972: Message - GSY005 System Will Not Boot Into Galaxy Application</t>
  </si>
  <si>
    <t>1973: Message - GSY006 System Shuts-Down Unexpectedly</t>
  </si>
  <si>
    <t>1974: Message - GSY007 System Locks-Up In Galaxy Application</t>
  </si>
  <si>
    <t>1975: Message - GSY009 System Will Not Shut Down</t>
  </si>
  <si>
    <t>1976: Message - GSY010 Patient File (s) Deleted Unexpectedly</t>
  </si>
  <si>
    <t>1980: Message - GSY017 Mo Or CD-Rom Message, Cannot Format, Record, Playback</t>
  </si>
  <si>
    <t>1981: Message - GSY018 Galaxy Date Or Time Memory Problem</t>
  </si>
  <si>
    <t>1982: Message - GSY019 Cannot Recognize CD/DVD Media</t>
  </si>
  <si>
    <t>1983: Message - GSY020 Cannot Write To DVD/CDr/CDrw</t>
  </si>
  <si>
    <t>1985: Message - GSY099 Other System Problem Describe In Action Field</t>
  </si>
  <si>
    <t>1659: GVC001 VCR Will Not Record Or Playback Video</t>
  </si>
  <si>
    <t>2251: Protruded Catheter</t>
  </si>
  <si>
    <t>2478: Difficult To Inject</t>
  </si>
  <si>
    <t>2765: Guidewire Position Lost</t>
  </si>
  <si>
    <t>2539: Insecure Screws</t>
  </si>
  <si>
    <t>1560: Failure To Reach Optimum Speed</t>
  </si>
  <si>
    <t>2105: No RPM Readout</t>
  </si>
  <si>
    <t>2344: Stall/Stall Light Remains On</t>
  </si>
  <si>
    <t>2525: Remains On</t>
  </si>
  <si>
    <t>1171: Deflated</t>
  </si>
  <si>
    <t>1099: Clot Formation</t>
  </si>
  <si>
    <t>1402: Difficulty With Sheath</t>
  </si>
  <si>
    <t>2139: Not Recognized By System</t>
  </si>
  <si>
    <t>1031: Bios Incorrect Settings</t>
  </si>
  <si>
    <t>2119: No/Intermittent Image</t>
  </si>
  <si>
    <t>1771: LCD Reading Not Updating Correctly During Pullback</t>
  </si>
  <si>
    <t>1032: BIOS Reverts To Default</t>
  </si>
  <si>
    <t>2010: Message - Overload</t>
  </si>
  <si>
    <t>2074: Missing/Damaged</t>
  </si>
  <si>
    <t>1966: Message - GPR001 Printer - Will Not Print</t>
  </si>
  <si>
    <t>1024: Audio Error</t>
  </si>
  <si>
    <t>1978: Message - GSY012 System Automatically Reboots</t>
  </si>
  <si>
    <t>2098: No IVUS Image On Main System Monitor</t>
  </si>
  <si>
    <t>2192: Patient/Customer Unhappy With Foundation Care</t>
  </si>
  <si>
    <t>1805: Lost or Damaged by Patient</t>
  </si>
  <si>
    <t>1152: CP Missing Bionic Navigator</t>
  </si>
  <si>
    <t>1332: Difficult To Obtain Patient Database</t>
  </si>
  <si>
    <t>2268: Request For Equipment Upgrade</t>
  </si>
  <si>
    <t>2355: Stolen Product - Clinician Programmer</t>
  </si>
  <si>
    <t>3004: CP Missing Vercise Navigator</t>
  </si>
  <si>
    <t>1234: Device Displays Fiber/Device Overheat Courtesy Error Message</t>
  </si>
  <si>
    <t>1098: Clicking Noise</t>
  </si>
  <si>
    <t>1050: Broke At/Near Connector</t>
  </si>
  <si>
    <t>1051: Broke Inside Scope</t>
  </si>
  <si>
    <t>1243: Device Displays Not Provided Courtesy Error Message</t>
  </si>
  <si>
    <t>1412: Disintegrated</t>
  </si>
  <si>
    <t>2311: Sheath/Jacket Issue</t>
  </si>
  <si>
    <t>1468: Explosion</t>
  </si>
  <si>
    <t>1471: Extra Items</t>
  </si>
  <si>
    <t>1597: Failure To Unwrap</t>
  </si>
  <si>
    <t>2076: Moisture Or Humidity Problem</t>
  </si>
  <si>
    <t>1509: Failure To Cycle</t>
  </si>
  <si>
    <t>1637: Free Or Unrestricted Flow</t>
  </si>
  <si>
    <t>1436: Education</t>
  </si>
  <si>
    <t xml:space="preserve">3128: Unbuckled </t>
  </si>
  <si>
    <t>3000: Incorrect Diameter</t>
  </si>
  <si>
    <t>2914: Message - Temperature Alert</t>
  </si>
  <si>
    <t>2916: Message - Wp Alert</t>
  </si>
  <si>
    <t>1108: Coil Protrusion</t>
  </si>
  <si>
    <t>1111: Coil Visibility</t>
  </si>
  <si>
    <t>2161: Outside Patient</t>
  </si>
  <si>
    <t>2367: Stuck In Introducer Sheath</t>
  </si>
  <si>
    <t>1429: Dried Out</t>
  </si>
  <si>
    <t>1705: Incomplete Embolization</t>
  </si>
  <si>
    <t>2125: Non-Targeted Embolization</t>
  </si>
  <si>
    <t>1158: Customer Inquiry</t>
  </si>
  <si>
    <t>2393: System To Patient Interface Issue</t>
  </si>
  <si>
    <t>2433: Unauthorized Access To Computer System</t>
  </si>
  <si>
    <t>1745: Interpretation Of Device Behavior Indicates Performance Anomaly</t>
  </si>
  <si>
    <t>1077: Catheter All Issues</t>
  </si>
  <si>
    <t>1747: Introducer - All Issues</t>
  </si>
  <si>
    <t>1651: Guidewire - All Issues</t>
  </si>
  <si>
    <t>2374: Stylet - All Issues</t>
  </si>
  <si>
    <t>1053: Broken In Package</t>
  </si>
  <si>
    <t>Concat</t>
  </si>
  <si>
    <t>Counter Monday</t>
  </si>
  <si>
    <t>Counter Tuesday</t>
  </si>
  <si>
    <t>Counter Wednesday</t>
  </si>
  <si>
    <t>Counter Thursday</t>
  </si>
  <si>
    <t>Counter Friday</t>
  </si>
  <si>
    <t>Open</t>
  </si>
  <si>
    <t>Coyol/YES</t>
  </si>
  <si>
    <t>Coyol/NO</t>
  </si>
  <si>
    <t>Highest Aging</t>
  </si>
  <si>
    <t>20-30 Aging</t>
  </si>
  <si>
    <t>Final Count</t>
  </si>
  <si>
    <t>Device Code</t>
  </si>
  <si>
    <t>Week</t>
  </si>
  <si>
    <t>Aging</t>
  </si>
  <si>
    <t>Bucket Status</t>
  </si>
  <si>
    <t>Device Status</t>
  </si>
  <si>
    <t>Device Codes</t>
  </si>
  <si>
    <t>SFMD 45-50 Aging</t>
  </si>
  <si>
    <t>15-7 Aging</t>
  </si>
  <si>
    <t>Over 30</t>
  </si>
  <si>
    <t>SFMD Over Aging</t>
  </si>
  <si>
    <t>Row Labels</t>
  </si>
  <si>
    <t>Grand Total</t>
  </si>
  <si>
    <t>Jun</t>
  </si>
  <si>
    <t>Sum of Open</t>
  </si>
  <si>
    <t>Sum of Coyol/YES</t>
  </si>
  <si>
    <t>Sum of Coyol/NO</t>
  </si>
  <si>
    <t>Sum of 20-30 Aging</t>
  </si>
  <si>
    <t>Sum of 15-7 Aging</t>
  </si>
  <si>
    <t>Sum of SFMD 45-50 Aging</t>
  </si>
  <si>
    <t>Sum of Over 30</t>
  </si>
  <si>
    <t>Sum of SFMD Over Aging</t>
  </si>
  <si>
    <t>15-19 Aging</t>
  </si>
  <si>
    <t>Sum of 15-19 Aging</t>
  </si>
  <si>
    <t>5-Jun</t>
  </si>
  <si>
    <t>6-Jun</t>
  </si>
  <si>
    <t>7-Jun</t>
  </si>
  <si>
    <t>8-Jun</t>
  </si>
  <si>
    <t>(blank)</t>
  </si>
  <si>
    <t>Emblem S-ICD</t>
  </si>
  <si>
    <t>Emblem S-ICD Electrode</t>
  </si>
  <si>
    <t>Subcutaneous defib electrode</t>
  </si>
  <si>
    <t>Emblem Q-TRAK SQ Electrode</t>
  </si>
  <si>
    <t>Subcutaneous ICD (1010)</t>
  </si>
  <si>
    <t>Subcutaneous ICD Accessory</t>
  </si>
  <si>
    <t>Device</t>
  </si>
  <si>
    <t>Total</t>
  </si>
  <si>
    <t>Sum of Total</t>
  </si>
  <si>
    <t>Sum of Week</t>
  </si>
  <si>
    <t>Column Labels</t>
  </si>
  <si>
    <t>*2168: Oversensing*</t>
  </si>
  <si>
    <t>*1698: Inappropriate Shock*</t>
  </si>
  <si>
    <t>*2124: Noisy Signals*</t>
  </si>
  <si>
    <t>*2233: Premature Discharge Of Battery*</t>
  </si>
  <si>
    <t>*1807: Low Amplitude Or Poor Morphology*</t>
  </si>
  <si>
    <t>*1224: Device Displays Error Message*</t>
  </si>
  <si>
    <t>*2869: Gas Gauge/Longevity Not As Expected*</t>
  </si>
  <si>
    <t>*2434: Undersensing*</t>
  </si>
  <si>
    <t>*2099: No Known Device Problem*</t>
  </si>
  <si>
    <t>*1166: Data Issue*</t>
  </si>
  <si>
    <t>WW25</t>
  </si>
  <si>
    <t>WW26</t>
  </si>
  <si>
    <t>JUNE</t>
  </si>
  <si>
    <t>Count</t>
  </si>
  <si>
    <t>WW44</t>
  </si>
  <si>
    <t>WW45</t>
  </si>
  <si>
    <t>State</t>
  </si>
  <si>
    <t>Investigation in Progress</t>
  </si>
  <si>
    <t>Pending Approval</t>
  </si>
  <si>
    <t>Opened</t>
  </si>
  <si>
    <t>Rework</t>
  </si>
  <si>
    <t xml:space="preserve">Assign to </t>
  </si>
  <si>
    <t>Randall</t>
  </si>
  <si>
    <t>Christian</t>
  </si>
  <si>
    <t>Status</t>
  </si>
  <si>
    <t>Done</t>
  </si>
  <si>
    <t>Pending review</t>
  </si>
  <si>
    <t>Escalated</t>
  </si>
  <si>
    <t>Not trained</t>
  </si>
  <si>
    <t>#N/A\</t>
  </si>
  <si>
    <t>Performed Date</t>
  </si>
  <si>
    <t>01 Novi 2023</t>
  </si>
  <si>
    <t>#N/A</t>
  </si>
  <si>
    <t>Available</t>
  </si>
  <si>
    <t>No</t>
  </si>
  <si>
    <t>Yes</t>
  </si>
  <si>
    <t>Device Type</t>
  </si>
  <si>
    <t>Leads</t>
  </si>
  <si>
    <t>Tachy</t>
  </si>
  <si>
    <t>SFMD</t>
  </si>
  <si>
    <t>Prioritization Age</t>
  </si>
  <si>
    <t>Product Family</t>
  </si>
  <si>
    <t>Subcutaneous ICD</t>
  </si>
  <si>
    <t>Type</t>
  </si>
  <si>
    <t>PNR</t>
  </si>
  <si>
    <t>AR Device Codes (Cut off at 750 char)</t>
  </si>
  <si>
    <t>1636: Fracture,2318: Shock Impedance High Out Of Range</t>
  </si>
  <si>
    <t>2233: Premature Discharge Of Battery,2869: Gas Gauge/Longevity Not As Expected</t>
  </si>
  <si>
    <t>1698: Inappropriate Shock,2168: Oversensing,2873: Sense B Artifact Noise</t>
  </si>
  <si>
    <t>1698: Inappropriate Shock,2124: Noisy Signals,2168: Oversensing</t>
  </si>
  <si>
    <t>1698: Inappropriate Shock,1807: Low Amplitude Or Poor Morphology,2124: Noisy Signals,2168: Oversensing</t>
  </si>
  <si>
    <t>1224: Device Displays Error Message,2233: Premature Discharge Of Battery</t>
  </si>
  <si>
    <t>1698: Inappropriate Shock,2168: Oversensing</t>
  </si>
  <si>
    <t>1224: Device Displays Error Message,2233: Premature Discharge Of Battery,2409: Tone Pattern As Expected</t>
  </si>
  <si>
    <t>1163: Damaged/Defective,1636: Fracture,1807: Low Amplitude Or Poor Morphology,2124: Noisy Signals</t>
  </si>
  <si>
    <t>2124: Noisy Signals,2168: Oversensing</t>
  </si>
  <si>
    <t>1807: Low Amplitude Or Poor Morphology,2124: Noisy Signals,2168: Oversensing,2434: Undersensing</t>
  </si>
  <si>
    <t>1504: Failure To Convert Rhythm,1698: Inappropriate Shock,2405: Therapy Delivery/Effectiveness Problem,2434: Undersensing</t>
  </si>
  <si>
    <t>1807: Low Amplitude Or Poor Morphology,2124: Noisy Signals</t>
  </si>
  <si>
    <t>1166: Data Issue,1261: Device Sensing Issue</t>
  </si>
  <si>
    <t>2168: Oversensing,2873: Sense B Artifact Noise</t>
  </si>
  <si>
    <t>1698: Inappropriate Shock,1807: Low Amplitude Or Poor Morphology,2168: Oversensing</t>
  </si>
  <si>
    <t>1698: Inappropriate Shock,2873: Sense B Artifact Noise</t>
  </si>
  <si>
    <t>1807: Low Amplitude Or Poor Morphology,2434: Undersensing</t>
  </si>
  <si>
    <t>1166: Data Issue,1224: Device Displays Error Message</t>
  </si>
  <si>
    <t>2124: Noisy Signals,2168: Oversensing,2319: Shock Impedance High Within Normal Limits</t>
  </si>
  <si>
    <t>1807: Low Amplitude Or Poor Morphology,2124: Noisy Signals,2168: Oversensing</t>
  </si>
  <si>
    <t>1224: Device Displays Error Message,2233: Premature Discharge Of Battery,2869: Gas Gauge/Longevity Not As Expected</t>
  </si>
  <si>
    <t>1698: Inappropriate Shock,1807: Low Amplitude Or Poor Morphology,2124: Noisy Signals,2168: Oversensing,2873: Sense B Artifact Noise</t>
  </si>
  <si>
    <t>2124: Noisy Signals,2168: Oversensing,2318: Shock Impedance High Out Of Range,2321: Shock Impedance Low Out Of Range,2871: Difficulty Converting Rhythm (Induced)</t>
  </si>
  <si>
    <t>1166: Data Issue,2869: Gas Gauge/Longevity Not As Expected</t>
  </si>
  <si>
    <t>1261: Device Sensing Issue,1698: Inappropriate Shock,1807: Low Amplitude Or Poor Morphology,2168: Oversensing,2868: EGM Issue</t>
  </si>
  <si>
    <t>2124: Noisy Signals,2434: Undersensing</t>
  </si>
  <si>
    <t>1261: Device Sensing Issue,1807: Low Amplitude Or Poor Morphology</t>
  </si>
  <si>
    <t>2124: Noisy Signals,2168: Oversensing,2873: Sense B Artifact Noise</t>
  </si>
  <si>
    <t>2168: Oversensing,2434: Undersensing</t>
  </si>
  <si>
    <t>1163: Damaged/Defective,1698: Inappropriate Shock,2124: Noisy Signals,2168: Oversensing</t>
  </si>
  <si>
    <t>1176: Delayed Charge Time,1807: Low Amplitude Or Poor Morphology,2434: Undersensing</t>
  </si>
  <si>
    <t>1812: Malposition Of Device,2871: Difficulty Converting Rhythm (Induced)</t>
  </si>
  <si>
    <t>1636: Fracture,1698: Inappropriate Shock,1807: Low Amplitude Or Poor Morphology,2168: Oversensing,2873: Sense B Artifact Noise</t>
  </si>
  <si>
    <t>1698: Inappropriate Shock,2698: Air Bubble Noise Or Oversensing</t>
  </si>
  <si>
    <t>1224: Device Displays Error Message,2869: Gas Gauge/Longevity Not As Expected</t>
  </si>
  <si>
    <t>1807: Low Amplitude Or Poor Morphology,2168: Oversensing</t>
  </si>
  <si>
    <t>1698: Inappropriate Shock,1807: Low Amplitude Or Poor Morphology,2168: Oversensing,2873: Sense B Artifact Noise</t>
  </si>
  <si>
    <t>1812: Malposition Of Device,2319: Shock Impedance High Within Normal Limits,2870: Difficulty Converting Rhythm (Ambulatory)</t>
  </si>
  <si>
    <t/>
  </si>
  <si>
    <t>1636: Fracture,1683: Impedance Issue,1698: Inappropriate Shock,2124: Noisy Signals,2168: Oversensing</t>
  </si>
  <si>
    <t>1636: Fracture,1698: Inappropriate Shock,2124: Noisy Signals,2168: Oversensing</t>
  </si>
  <si>
    <t>1321: Difficult To Interrogate/Telemetry (RF),2869: Gas Gauge/Longevity Not As Expected</t>
  </si>
  <si>
    <t>2168: Oversensing,2405: Therapy Delivery/Effectiveness Problem</t>
  </si>
  <si>
    <t>1698: Inappropriate Shock,1807: Low Amplitude Or Poor Morphology,2124: Noisy Signals,2168: Oversensing,2250: Programmed Parameters Different Than Expected</t>
  </si>
  <si>
    <t>1698: Inappropriate Shock,1807: Low Amplitude Or Poor Morphology</t>
  </si>
  <si>
    <t>1224: Device Displays Error Message,2409: Tone Pattern As Expected</t>
  </si>
  <si>
    <t>1022: ATP Delivered When Not Required,1698: Inappropriate Shock,2168: Oversensing,2868: EGM Issue</t>
  </si>
  <si>
    <t>1698: Inappropriate Shock,2124: Noisy Signals,2168: Oversensing,2322: Shock Impedance Low Within Normal Limits</t>
  </si>
  <si>
    <t>1224: Device Displays Error Message,2410: Tone Pattern Not As Expected</t>
  </si>
  <si>
    <t>1224: Device Displays Error Message,2124: Noisy Signals,2168: Oversensing,2318: Shock Impedance High Out Of Range,2409: Tone Pattern As Expected</t>
  </si>
  <si>
    <t>2124: Noisy Signals,2168: Oversensing,2318: Shock Impedance High Out Of Range</t>
  </si>
  <si>
    <t>Denominator</t>
  </si>
  <si>
    <t>CRM</t>
  </si>
  <si>
    <t>Product Return Expected?</t>
  </si>
  <si>
    <t>1224: Device Displays Error Message,1683: Impedance Issue,2233: Premature Discharge Of Battery,2869: Gas Gauge/Longevity Not As Expected</t>
  </si>
  <si>
    <t>1176: Delayed Charge Time,2124: Noisy Signals</t>
  </si>
  <si>
    <t>1812: Malposition Of Device,2319: Shock Impedance High Within Normal Limits</t>
  </si>
  <si>
    <t>1166: Data Issue,2168: Oversensing</t>
  </si>
  <si>
    <t>1698: Inappropriate Shock,2124: Noisy Signals,2168: Oversensing,2434: Undersensing</t>
  </si>
  <si>
    <t>1683: Impedance Issue,2064: Migration,2317: Shock Impedance High,2871: Difficulty Converting Rhythm (Induced)</t>
  </si>
  <si>
    <t>2168: Oversensing,2322: Shock Impedance Low Within Normal Limits</t>
  </si>
  <si>
    <t>1807: Low Amplitude Or Poor Morphology,2124: Noisy Signals,2168: Oversensing,2250: Programmed Parameters Different Than Expected</t>
  </si>
  <si>
    <t>1698: Inappropriate Shock,1807: Low Amplitude Or Poor Morphology,2168: Oversensing,2434: Undersensing</t>
  </si>
  <si>
    <t>1224: Device Displays Error Message,2318: Shock Impedance High Out Of Range</t>
  </si>
  <si>
    <t>1698: Inappropriate Shock,1807: Low Amplitude Or Poor Morphology,2434: Undersensing</t>
  </si>
  <si>
    <t>1261: Device Sensing Issue,1698: Inappropriate Shock</t>
  </si>
  <si>
    <t>Pending Review</t>
  </si>
  <si>
    <t>2868: EGM Issue,2871: Difficulty Converting Rhythm (Induced)</t>
  </si>
  <si>
    <t>2410: Tone Pattern Not As Expected,2867: Non Specific Product Performance Allegation</t>
  </si>
  <si>
    <t>2064: Migration,2319: Shock Impedance High Within Normal Limits</t>
  </si>
  <si>
    <t>1807: Low Amplitude Or Poor Morphology,2168: Oversensing,2250: Programmed Parameters Different Than Expected</t>
  </si>
  <si>
    <t>1504: Failure To Convert Rhythm,2321: Shock Impedance Low Out Of Range,2434: Undersensing</t>
  </si>
  <si>
    <t>1807: Low Amplitude Or Poor Morphology,2168: Oversensing,2698: Air Bubble Noise Or Oversensing</t>
  </si>
  <si>
    <t>16 Novi 2023</t>
  </si>
  <si>
    <t>1133: Connection Issue,1163: Damaged/Defective,1584: Failure To Sense,2434: Undersensing</t>
  </si>
  <si>
    <t>1166: Data Issue,2434: Undersensing</t>
  </si>
  <si>
    <t>1163: Damaged/Defective,2318: Shock Impedance High Out Of Range</t>
  </si>
  <si>
    <t>1504: Failure To Convert Rhythm,2867: Non Specific Product Performance Allegation</t>
  </si>
  <si>
    <t>2318: Shock Impedance High Out Of Range,2409: Tone Pattern As Expected</t>
  </si>
  <si>
    <t>1698: Inappropriate Shock,2064: Migration,2168: Oversensing,2873: Sense B Artifact Noise</t>
  </si>
  <si>
    <t>17 Novi 2023</t>
  </si>
  <si>
    <t>2064: Migration,2124: Noisy Signals,2168: Oversensing</t>
  </si>
  <si>
    <t>1807: Low Amplitude Or Poor Morphology,2168: Oversensing,2319: Shock Impedance High Within Normal Limits,2870: Difficulty Converting Rhythm (Ambulatory)</t>
  </si>
  <si>
    <t>1683: Impedance Issue,2318: Shock Impedance High Out Of Range</t>
  </si>
  <si>
    <t>1504: Failure To Convert Rhythm,2434: Undersensing</t>
  </si>
  <si>
    <t>WW46</t>
  </si>
  <si>
    <t>WW47</t>
  </si>
  <si>
    <t>20 Novi 2023</t>
  </si>
  <si>
    <t>1604: Feature Unavailable Or Intermittent,2868: EGM Issue</t>
  </si>
  <si>
    <t>1698: Inappropriate Shock,2124: Noisy Signals</t>
  </si>
  <si>
    <t>1224: Device Displays Error Message,1807: Low Amplitude Or Poor Morphology,2124: Noisy Signals,2168: Oversensing</t>
  </si>
  <si>
    <t>1807: Low Amplitude Or Poor Morphology,2124: Noisy Signals,2434: Undersensing</t>
  </si>
  <si>
    <t>1698: Inappropriate Shock,2124: Noisy Signals,2168: Oversensing,2873: Sense B Artifact Noise</t>
  </si>
  <si>
    <t>21 Novi 2023</t>
  </si>
  <si>
    <t>22 Novi 2023</t>
  </si>
  <si>
    <t>2319: Shock Impedance High Within Normal Limits,2871: Difficulty Converting Rhythm (Induced)</t>
  </si>
  <si>
    <t>1166: Data Issue,1224: Device Displays Error Message,1697: Inappropriate Or Unexpected Reset</t>
  </si>
  <si>
    <t>1698: Inappropriate Shock,1807: Low Amplitude Or Poor Morphology,2168: Oversensing,2870: Difficulty Converting Rhythm (Ambulatory)</t>
  </si>
  <si>
    <t>1122: Communication Or Transmission Issue,1224: Device Displays Error Message</t>
  </si>
  <si>
    <t>1166: Data Issue,1224: Device Displays Error Message,1698: Inappropriate Shock,2124: Noisy Signals,2168: Oversensing,2873: Sense B Artifact Noise</t>
  </si>
  <si>
    <t>23 Novi 2023</t>
  </si>
  <si>
    <t>2233: Premature Discharge Of Battery,2409: Tone Pattern As Expected,2869: Gas Gauge/Longevity Not As Expected</t>
  </si>
  <si>
    <t>1504: Failure To Convert Rhythm,1812: Malposition Of Device</t>
  </si>
  <si>
    <t>1807: Low Amplitude Or Poor Morphology,2250: Programmed Parameters Different Than Expected</t>
  </si>
  <si>
    <t>1224: Device Displays Error Message,2233: Premature Discharge Of Battery,2409: Tone Pattern As Expected,2869: Gas Gauge/Longevity Not As Expected</t>
  </si>
  <si>
    <t>1133: Connection Issue,1698: Inappropriate Shock,1807: Low Amplitude Or Poor Morphology,2124: Noisy Signals,2168: Oversensing,2317: Shock Impedance High,2873: Sense B Artifact Noise</t>
  </si>
  <si>
    <t>1414: Dislodged Or Dislocated,1504: Failure To Convert Rhythm</t>
  </si>
  <si>
    <t>1166: Data Issue,1604: Feature Unavailable Or Intermittent,2434: Undersensing</t>
  </si>
  <si>
    <t>1022: ATP Delivered When Not Required,1698: Inappropriate Shock</t>
  </si>
  <si>
    <t>1807: Low Amplitude Or Poor Morphology,2168: Oversensing,2321: Shock Impedance Low Out Of Range,2434: Undersensing</t>
  </si>
  <si>
    <t>1698: Inappropriate Shock,1807: Low Amplitude Or Poor Morphology,2168: Oversensing,2250: Programmed Parameters Different Than Expected,2434: Undersensing</t>
  </si>
  <si>
    <t>1807: Low Amplitude Or Poor Morphology,2168: Oversensing,2434: Undersensing</t>
  </si>
  <si>
    <t>WIP NOV WW 48.xlsm</t>
  </si>
  <si>
    <t>27 Novi 2023</t>
  </si>
  <si>
    <t>24 Novi 2023</t>
  </si>
  <si>
    <t>11/27/2023</t>
  </si>
  <si>
    <t>1698: Inappropriate Shock,2124: Noisy Signals,2168: Oversensing,2318: Shock Impedance High Out Of Range</t>
  </si>
  <si>
    <t>pending review</t>
  </si>
  <si>
    <t>28 Novi 2023</t>
  </si>
  <si>
    <t>11/28/2023</t>
  </si>
  <si>
    <t>1261: Device Sensing Issue,2872: Difficult To Induce An Arrhythmia During Induction/DFT Testing.</t>
  </si>
  <si>
    <t>1636: Fracture,1698: Inappropriate Shock,2168: Oversensing,2317: Shock Impedance High</t>
  </si>
  <si>
    <t>1163: Damaged/Defective,2124: Noisy Signals</t>
  </si>
  <si>
    <t>2319: Shock Impedance High Within Normal Limits,2867: Non Specific Product Performance Allegation,2871: Difficulty Converting Rhythm (Induced)</t>
  </si>
  <si>
    <t>1698: Inappropriate Shock,2168: Oversensing,2318: Shock Impedance High Out Of Range</t>
  </si>
  <si>
    <t>29 Novi 2023</t>
  </si>
  <si>
    <t>11/29/2023</t>
  </si>
  <si>
    <t>1133: Connection Issue,1683: Impedance Issue</t>
  </si>
  <si>
    <t>1321: Difficult To Interrogate/Telemetry (RF),2233: Premature Discharge Of Battery</t>
  </si>
  <si>
    <t>1504: Failure To Convert Rhythm,1807: Low Amplitude Or Poor Morphology,1812: Malposition Of Device,2405: Therapy Delivery/Effectiveness Problem</t>
  </si>
  <si>
    <t>1807: Low Amplitude Or Poor Morphology,2168: Oversensing,2405: Therapy Delivery/Effectiveness Problem,2434: Undersensing</t>
  </si>
  <si>
    <t>1807: Low Amplitude Or Poor Morphology,2168: Oversensing,2873: Sense B Artifact Noise</t>
  </si>
  <si>
    <t>1321: Difficult To Interrogate/Telemetry (RF),1322: Difficult To Interrogate/Telemetry (Wand),1697: Inappropriate Or Unexpected Reset</t>
  </si>
  <si>
    <t>Pending info</t>
  </si>
  <si>
    <t>30 Novi 2023</t>
  </si>
  <si>
    <t>11/30/2023</t>
  </si>
  <si>
    <t>1698: Inappropriate Shock,2064: Migration</t>
  </si>
  <si>
    <t>1807: Low Amplitude Or Poor Morphology,1812: Malposition Of Device</t>
  </si>
  <si>
    <t>1141: Contamination Issue At User Location,1683: Impedance Issue</t>
  </si>
  <si>
    <t>1698: Inappropriate Shock,1807: Low Amplitude Or Poor Morphology,2064: Migration,2168: Oversensing</t>
  </si>
  <si>
    <t>#N/A/</t>
  </si>
  <si>
    <t>01 Dici 2023</t>
  </si>
  <si>
    <t>12/1/2023</t>
  </si>
  <si>
    <t>1698: Inappropriate Shock,1807: Low Amplitude Or Poor Morphology,2168: Oversensing,2250: Programmed Parameters Different Than Expected</t>
  </si>
  <si>
    <t>WW48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</si>
</sst>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mmm"/>
  </numFmts>
  <fonts count="6" x14ac:knownFonts="1">
    <font>
      <sz val="11"/>
      <color theme="1"/>
      <name val="Calibri"/>
      <family val="2"/>
      <scheme val="minor"/>
    </font>
    <font>
      <sz val="11"/>
      <name val="Calibri"/>
      <family val="2"/>
      <scheme val="minor"/>
    </font>
    <font>
      <sz val="10"/>
      <name val="MS Sans Serif"/>
      <family val="2"/>
    </font>
    <font>
      <sz val="11"/>
      <color theme="0"/>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FFC000"/>
        <bgColor indexed="64"/>
      </patternFill>
    </fill>
    <fill>
      <patternFill patternType="solid">
        <fgColor rgb="FF00B0F0"/>
        <bgColor indexed="64"/>
      </patternFill>
    </fill>
  </fills>
  <borders count="3">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4" fillId="0" borderId="0" applyFont="0" applyFill="0" applyBorder="0" applyAlignment="0" applyProtection="0"/>
  </cellStyleXfs>
  <cellXfs count="31">
    <xf numFmtId="0" fontId="0" fillId="0" borderId="0" xfId="0"/>
    <xf numFmtId="0" fontId="0" fillId="0" borderId="0" xfId="0" applyAlignment="1">
      <alignment horizontal="center"/>
    </xf>
    <xf numFmtId="0" fontId="0" fillId="0" borderId="0" xfId="0" applyAlignment="1" applyProtection="1">
      <alignment horizontal="center"/>
      <protection locked="0"/>
    </xf>
    <xf numFmtId="0" fontId="0" fillId="0" borderId="0" xfId="0" applyProtection="1">
      <protection locked="0"/>
    </xf>
    <xf numFmtId="164" fontId="0" fillId="0" borderId="0" xfId="0" applyNumberFormat="1"/>
    <xf numFmtId="0" fontId="1" fillId="0" borderId="1" xfId="0" applyFont="1" applyBorder="1"/>
    <xf numFmtId="0" fontId="1" fillId="0" borderId="1" xfId="1" applyFont="1" applyBorder="1"/>
    <xf numFmtId="46" fontId="1" fillId="0" borderId="1" xfId="0" applyNumberFormat="1" applyFont="1" applyBorder="1"/>
    <xf numFmtId="0" fontId="0" fillId="2" borderId="0" xfId="0" applyFill="1" applyAlignment="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3" fillId="0" borderId="0" xfId="0" applyFont="1"/>
    <xf numFmtId="0" fontId="0" fillId="0" borderId="0" xfId="0" applyAlignment="1">
      <alignment horizontal="left" indent="2"/>
    </xf>
    <xf numFmtId="14" fontId="0" fillId="0" borderId="0" xfId="0" applyNumberFormat="1" applyAlignment="1">
      <alignment horizontal="left"/>
    </xf>
    <xf numFmtId="9" fontId="0" fillId="0" borderId="0" xfId="2" applyFont="1"/>
    <xf numFmtId="9" fontId="0" fillId="0" borderId="0" xfId="0" applyNumberFormat="1"/>
    <xf numFmtId="0" fontId="0" fillId="0" borderId="0" xfId="0" applyFont="1" applyFill="1"/>
    <xf numFmtId="0" fontId="0" fillId="0" borderId="0" xfId="0" applyFont="1"/>
    <xf numFmtId="0" fontId="0" fillId="0" borderId="0" xfId="0" applyFont="1" applyFill="1" applyBorder="1"/>
    <xf numFmtId="0" fontId="5" fillId="2" borderId="2" xfId="0" applyFont="1" applyFill="1" applyBorder="1" applyAlignment="1">
      <alignment horizontal="center"/>
    </xf>
    <xf numFmtId="0" fontId="5" fillId="3" borderId="2" xfId="0" applyFont="1" applyFill="1" applyBorder="1" applyAlignment="1">
      <alignment horizontal="center"/>
    </xf>
    <xf numFmtId="0" fontId="5" fillId="3" borderId="0" xfId="0" applyFont="1" applyFill="1" applyAlignment="1" applyProtection="1">
      <alignment horizontal="center"/>
      <protection locked="0"/>
    </xf>
    <xf numFmtId="0" fontId="0" fillId="2" borderId="0" xfId="0" applyFill="1" applyAlignment="1" applyProtection="1">
      <alignment horizontal="center"/>
      <protection locked="0"/>
    </xf>
    <xf numFmtId="2" fontId="0" fillId="3" borderId="0" xfId="0" applyNumberFormat="1" applyFill="1" applyAlignment="1" applyProtection="1">
      <alignment horizontal="center"/>
      <protection locked="0"/>
    </xf>
    <xf numFmtId="2" fontId="0" fillId="2" borderId="0" xfId="0" applyNumberFormat="1" applyFill="1" applyProtection="1">
      <protection locked="0"/>
    </xf>
    <xf numFmtId="0" fontId="0" fillId="2" borderId="0" xfId="0" applyFill="1" applyAlignment="1">
      <alignment horizontal="center"/>
    </xf>
    <xf numFmtId="2" fontId="0" fillId="3" borderId="0" xfId="0" applyNumberFormat="1" applyFill="1" applyProtection="1">
      <protection locked="0"/>
    </xf>
    <xf numFmtId="0" fontId="0" fillId="0" borderId="0" xfId="0" applyFont="1" applyFill="1" applyAlignment="1">
      <alignment horizontal="center"/>
    </xf>
  </cellXfs>
  <cellStyles count="3">
    <cellStyle name="Normal" xfId="0" builtinId="0"/>
    <cellStyle name="Normal 2 5 4" xfId="1" xr:uid="{F8609D79-6264-4A0F-8016-7512E53CDBA5}"/>
    <cellStyle name="Percent" xfId="2" builtinId="5"/>
  </cellStyles>
  <dxfs count="1543">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auto="1"/>
      </font>
      <fill>
        <patternFill>
          <bgColor rgb="FFFFC000"/>
        </patternFill>
      </fill>
    </dxf>
    <dxf>
      <fill>
        <patternFill>
          <bgColor rgb="FFFFC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auto="1"/>
      </font>
      <fill>
        <patternFill>
          <bgColor rgb="FFFFC000"/>
        </patternFill>
      </fill>
    </dxf>
    <dxf>
      <font>
        <color rgb="FF9C0006"/>
      </font>
      <fill>
        <patternFill>
          <bgColor rgb="FF92D050"/>
        </patternFill>
      </fill>
    </dxf>
    <dxf>
      <font>
        <color auto="1"/>
      </font>
      <fill>
        <patternFill>
          <bgColor rgb="FF00B0F0"/>
        </patternFill>
      </fill>
    </dxf>
    <dxf>
      <font>
        <color auto="1"/>
      </font>
      <fill>
        <patternFill>
          <bgColor rgb="FFFF99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59996337778862885"/>
        </patternFill>
      </fill>
      <border>
        <left style="thin">
          <color auto="1"/>
        </left>
        <right style="thin">
          <color auto="1"/>
        </right>
        <top style="thin">
          <color auto="1"/>
        </top>
        <bottom style="thin">
          <color auto="1"/>
        </bottom>
      </border>
    </dxf>
    <dxf>
      <fill>
        <patternFill>
          <bgColor theme="8" tint="0.59996337778862885"/>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auto="1"/>
      </font>
      <fill>
        <patternFill>
          <bgColor rgb="FFFFC000"/>
        </patternFill>
      </fill>
    </dxf>
    <dxf>
      <fill>
        <patternFill>
          <bgColor rgb="FFFFC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auto="1"/>
      </font>
      <fill>
        <patternFill>
          <bgColor rgb="FFFFC000"/>
        </patternFill>
      </fill>
    </dxf>
    <dxf>
      <font>
        <color rgb="FF9C0006"/>
      </font>
      <fill>
        <patternFill>
          <bgColor rgb="FF92D050"/>
        </patternFill>
      </fill>
    </dxf>
    <dxf>
      <font>
        <color auto="1"/>
      </font>
      <fill>
        <patternFill>
          <bgColor rgb="FF00B0F0"/>
        </patternFill>
      </fill>
    </dxf>
    <dxf>
      <font>
        <color auto="1"/>
      </font>
      <fill>
        <patternFill>
          <bgColor rgb="FFFF99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59996337778862885"/>
        </patternFill>
      </fill>
      <border>
        <left style="thin">
          <color auto="1"/>
        </left>
        <right style="thin">
          <color auto="1"/>
        </right>
        <top style="thin">
          <color auto="1"/>
        </top>
        <bottom style="thin">
          <color auto="1"/>
        </bottom>
      </border>
    </dxf>
    <dxf>
      <fill>
        <patternFill>
          <bgColor theme="8" tint="0.59996337778862885"/>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auto="1"/>
      </font>
      <fill>
        <patternFill>
          <bgColor rgb="FFFFC000"/>
        </patternFill>
      </fill>
    </dxf>
    <dxf>
      <fill>
        <patternFill>
          <bgColor rgb="FFFFC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auto="1"/>
      </font>
      <fill>
        <patternFill>
          <bgColor rgb="FFFFC000"/>
        </patternFill>
      </fill>
    </dxf>
    <dxf>
      <font>
        <color rgb="FF9C0006"/>
      </font>
      <fill>
        <patternFill>
          <bgColor rgb="FF92D050"/>
        </patternFill>
      </fill>
    </dxf>
    <dxf>
      <font>
        <color auto="1"/>
      </font>
      <fill>
        <patternFill>
          <bgColor rgb="FF00B0F0"/>
        </patternFill>
      </fill>
    </dxf>
    <dxf>
      <font>
        <color auto="1"/>
      </font>
      <fill>
        <patternFill>
          <bgColor rgb="FFFF99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59996337778862885"/>
        </patternFill>
      </fill>
      <border>
        <left style="thin">
          <color auto="1"/>
        </left>
        <right style="thin">
          <color auto="1"/>
        </right>
        <top style="thin">
          <color auto="1"/>
        </top>
        <bottom style="thin">
          <color auto="1"/>
        </bottom>
      </border>
    </dxf>
    <dxf>
      <fill>
        <patternFill>
          <bgColor theme="8" tint="0.59996337778862885"/>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auto="1"/>
      </font>
      <fill>
        <patternFill>
          <bgColor rgb="FFFFC000"/>
        </patternFill>
      </fill>
    </dxf>
    <dxf>
      <fill>
        <patternFill>
          <bgColor rgb="FFFFC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auto="1"/>
      </font>
      <fill>
        <patternFill>
          <bgColor rgb="FFFFC000"/>
        </patternFill>
      </fill>
    </dxf>
    <dxf>
      <font>
        <color rgb="FF9C0006"/>
      </font>
      <fill>
        <patternFill>
          <bgColor rgb="FF92D050"/>
        </patternFill>
      </fill>
    </dxf>
    <dxf>
      <font>
        <color auto="1"/>
      </font>
      <fill>
        <patternFill>
          <bgColor rgb="FF00B0F0"/>
        </patternFill>
      </fill>
    </dxf>
    <dxf>
      <font>
        <color auto="1"/>
      </font>
      <fill>
        <patternFill>
          <bgColor rgb="FFFF99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59996337778862885"/>
        </patternFill>
      </fill>
      <border>
        <left style="thin">
          <color auto="1"/>
        </left>
        <right style="thin">
          <color auto="1"/>
        </right>
        <top style="thin">
          <color auto="1"/>
        </top>
        <bottom style="thin">
          <color auto="1"/>
        </bottom>
      </border>
    </dxf>
    <dxf>
      <fill>
        <patternFill>
          <bgColor theme="8" tint="0.59996337778862885"/>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auto="1"/>
      </font>
      <fill>
        <patternFill>
          <bgColor rgb="FFFFC000"/>
        </patternFill>
      </fill>
    </dxf>
    <dxf>
      <fill>
        <patternFill>
          <bgColor rgb="FFFFC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auto="1"/>
      </font>
      <fill>
        <patternFill>
          <bgColor rgb="FFFFC000"/>
        </patternFill>
      </fill>
    </dxf>
    <dxf>
      <font>
        <color rgb="FF9C0006"/>
      </font>
      <fill>
        <patternFill>
          <bgColor rgb="FF92D050"/>
        </patternFill>
      </fill>
    </dxf>
    <dxf>
      <font>
        <color auto="1"/>
      </font>
      <fill>
        <patternFill>
          <bgColor rgb="FF00B0F0"/>
        </patternFill>
      </fill>
    </dxf>
    <dxf>
      <font>
        <color auto="1"/>
      </font>
      <fill>
        <patternFill>
          <bgColor rgb="FFFF99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59996337778862885"/>
        </patternFill>
      </fill>
      <border>
        <left style="thin">
          <color auto="1"/>
        </left>
        <right style="thin">
          <color auto="1"/>
        </right>
        <top style="thin">
          <color auto="1"/>
        </top>
        <bottom style="thin">
          <color auto="1"/>
        </bottom>
      </border>
    </dxf>
    <dxf>
      <fill>
        <patternFill>
          <bgColor theme="8" tint="0.59996337778862885"/>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fgColor theme="4"/>
          <bgColor theme="4" tint="-0.499984740745262"/>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auto="1"/>
      </font>
      <fill>
        <patternFill>
          <bgColor rgb="FFFFC000"/>
        </patternFill>
      </fill>
    </dxf>
    <dxf>
      <fill>
        <patternFill>
          <bgColor rgb="FFFFC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auto="1"/>
      </font>
      <fill>
        <patternFill>
          <bgColor rgb="FFFFC000"/>
        </patternFill>
      </fill>
    </dxf>
    <dxf>
      <font>
        <color rgb="FF9C0006"/>
      </font>
      <fill>
        <patternFill>
          <bgColor rgb="FF92D050"/>
        </patternFill>
      </fill>
    </dxf>
    <dxf>
      <font>
        <color auto="1"/>
      </font>
      <fill>
        <patternFill>
          <bgColor rgb="FF00B0F0"/>
        </patternFill>
      </fill>
    </dxf>
    <dxf>
      <font>
        <color auto="1"/>
      </font>
      <fill>
        <patternFill>
          <bgColor rgb="FFFF99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59996337778862885"/>
        </patternFill>
      </fill>
      <border>
        <left style="thin">
          <color auto="1"/>
        </left>
        <right style="thin">
          <color auto="1"/>
        </right>
        <top style="thin">
          <color auto="1"/>
        </top>
        <bottom style="thin">
          <color auto="1"/>
        </bottom>
      </border>
    </dxf>
    <dxf>
      <fill>
        <patternFill>
          <bgColor theme="8" tint="0.59996337778862885"/>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fgColor theme="4"/>
          <bgColor theme="4" tint="-0.499984740745262"/>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auto="1"/>
      </font>
      <fill>
        <patternFill>
          <bgColor rgb="FFFFC000"/>
        </patternFill>
      </fill>
    </dxf>
    <dxf>
      <fill>
        <patternFill>
          <bgColor rgb="FFFFC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auto="1"/>
      </font>
      <fill>
        <patternFill>
          <bgColor rgb="FFFFC000"/>
        </patternFill>
      </fill>
    </dxf>
    <dxf>
      <font>
        <color rgb="FF9C0006"/>
      </font>
      <fill>
        <patternFill>
          <bgColor rgb="FF92D050"/>
        </patternFill>
      </fill>
    </dxf>
    <dxf>
      <font>
        <color auto="1"/>
      </font>
      <fill>
        <patternFill>
          <bgColor rgb="FF00B0F0"/>
        </patternFill>
      </fill>
    </dxf>
    <dxf>
      <font>
        <color auto="1"/>
      </font>
      <fill>
        <patternFill>
          <bgColor rgb="FFFF99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59996337778862885"/>
        </patternFill>
      </fill>
      <border>
        <left style="thin">
          <color auto="1"/>
        </left>
        <right style="thin">
          <color auto="1"/>
        </right>
        <top style="thin">
          <color auto="1"/>
        </top>
        <bottom style="thin">
          <color auto="1"/>
        </bottom>
      </border>
    </dxf>
    <dxf>
      <fill>
        <patternFill>
          <bgColor theme="8" tint="0.59996337778862885"/>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auto="1"/>
      </font>
      <fill>
        <patternFill>
          <bgColor rgb="FFFFC000"/>
        </patternFill>
      </fill>
    </dxf>
    <dxf>
      <fill>
        <patternFill>
          <bgColor rgb="FFFFC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auto="1"/>
      </font>
      <fill>
        <patternFill>
          <bgColor rgb="FFFFC000"/>
        </patternFill>
      </fill>
    </dxf>
    <dxf>
      <font>
        <color rgb="FF9C0006"/>
      </font>
      <fill>
        <patternFill>
          <bgColor rgb="FF92D050"/>
        </patternFill>
      </fill>
    </dxf>
    <dxf>
      <font>
        <color auto="1"/>
      </font>
      <fill>
        <patternFill>
          <bgColor rgb="FF00B0F0"/>
        </patternFill>
      </fill>
    </dxf>
    <dxf>
      <font>
        <color auto="1"/>
      </font>
      <fill>
        <patternFill>
          <bgColor rgb="FFFF99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59996337778862885"/>
        </patternFill>
      </fill>
      <border>
        <left style="thin">
          <color auto="1"/>
        </left>
        <right style="thin">
          <color auto="1"/>
        </right>
        <top style="thin">
          <color auto="1"/>
        </top>
        <bottom style="thin">
          <color auto="1"/>
        </bottom>
      </border>
    </dxf>
    <dxf>
      <fill>
        <patternFill>
          <bgColor theme="8" tint="0.59996337778862885"/>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fgColor theme="4"/>
          <bgColor theme="4" tint="-0.499984740745262"/>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auto="1"/>
      </font>
      <fill>
        <patternFill>
          <bgColor rgb="FFFFC000"/>
        </patternFill>
      </fill>
    </dxf>
    <dxf>
      <fill>
        <patternFill>
          <bgColor rgb="FFFFC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auto="1"/>
      </font>
      <fill>
        <patternFill>
          <bgColor rgb="FFFFC000"/>
        </patternFill>
      </fill>
    </dxf>
    <dxf>
      <font>
        <color rgb="FF9C0006"/>
      </font>
      <fill>
        <patternFill>
          <bgColor rgb="FF92D050"/>
        </patternFill>
      </fill>
    </dxf>
    <dxf>
      <font>
        <color auto="1"/>
      </font>
      <fill>
        <patternFill>
          <bgColor rgb="FF00B0F0"/>
        </patternFill>
      </fill>
    </dxf>
    <dxf>
      <font>
        <color auto="1"/>
      </font>
      <fill>
        <patternFill>
          <bgColor rgb="FFFF99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59996337778862885"/>
        </patternFill>
      </fill>
      <border>
        <left style="thin">
          <color auto="1"/>
        </left>
        <right style="thin">
          <color auto="1"/>
        </right>
        <top style="thin">
          <color auto="1"/>
        </top>
        <bottom style="thin">
          <color auto="1"/>
        </bottom>
      </border>
    </dxf>
    <dxf>
      <fill>
        <patternFill>
          <bgColor theme="8" tint="0.59996337778862885"/>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auto="1"/>
      </font>
      <fill>
        <patternFill>
          <bgColor rgb="FFFFC000"/>
        </patternFill>
      </fill>
    </dxf>
    <dxf>
      <fill>
        <patternFill>
          <bgColor rgb="FFFFC000"/>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auto="1"/>
      </font>
      <fill>
        <patternFill>
          <bgColor rgb="FFFFC000"/>
        </patternFill>
      </fill>
    </dxf>
    <dxf>
      <font>
        <color rgb="FF9C0006"/>
      </font>
      <fill>
        <patternFill>
          <bgColor rgb="FF92D050"/>
        </patternFill>
      </fill>
    </dxf>
    <dxf>
      <font>
        <color auto="1"/>
      </font>
      <fill>
        <patternFill>
          <bgColor rgb="FF00B0F0"/>
        </patternFill>
      </fill>
    </dxf>
    <dxf>
      <font>
        <color auto="1"/>
      </font>
      <fill>
        <patternFill>
          <bgColor rgb="FFFF99FF"/>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ill>
        <patternFill>
          <bgColor theme="8" tint="0.59996337778862885"/>
        </patternFill>
      </fill>
      <border>
        <left style="thin">
          <color auto="1"/>
        </left>
        <right style="thin">
          <color auto="1"/>
        </right>
        <top style="thin">
          <color auto="1"/>
        </top>
        <bottom style="thin">
          <color auto="1"/>
        </bottom>
      </border>
    </dxf>
    <dxf>
      <fill>
        <patternFill>
          <bgColor theme="8" tint="0.59996337778862885"/>
        </patternFill>
      </fill>
      <border>
        <left style="thin">
          <color auto="1"/>
        </left>
        <right style="thin">
          <color auto="1"/>
        </right>
        <top style="thin">
          <color auto="1"/>
        </top>
        <bottom style="thin">
          <color auto="1"/>
        </bottom>
      </border>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theme="0"/>
      </font>
      <fill>
        <patternFill>
          <fgColor theme="4"/>
          <bgColor theme="4" tint="-0.49998474074526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color theme="0"/>
      </font>
      <fill>
        <patternFill>
          <fgColor theme="4"/>
          <bgColor theme="4" tint="-0.499984740745262"/>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theme="5" tint="0.59996337778862885"/>
        </patternFill>
      </fill>
      <border>
        <left style="thin">
          <color auto="1"/>
        </left>
        <right style="thin">
          <color auto="1"/>
        </right>
        <top style="thin">
          <color auto="1"/>
        </top>
        <bottom style="thin">
          <color auto="1"/>
        </bottom>
        <vertical/>
        <horizontal/>
      </border>
    </dxf>
    <dxf>
      <font>
        <b/>
        <i val="0"/>
        <color theme="0"/>
      </font>
      <fill>
        <patternFill patternType="solid">
          <fgColor theme="0"/>
          <bgColor theme="4" tint="-0.24994659260841701"/>
        </patternFill>
      </fill>
      <border>
        <left style="thin">
          <color auto="1"/>
        </left>
        <right style="thin">
          <color auto="1"/>
        </right>
        <top style="thin">
          <color auto="1"/>
        </top>
        <bottom style="thin">
          <color auto="1"/>
        </bottom>
        <vertical/>
        <horizontal/>
      </border>
    </dxf>
    <dxf>
      <font>
        <b/>
        <i val="0"/>
      </font>
      <fill>
        <patternFill>
          <bgColor rgb="FF00FFFF"/>
        </patternFill>
      </fill>
    </dxf>
    <dxf>
      <font>
        <b/>
        <i val="0"/>
        <color auto="1"/>
      </font>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theme="8" tint="0.59996337778862885"/>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theme="0"/>
      </font>
      <fill>
        <patternFill>
          <bgColor rgb="FF002060"/>
        </patternFill>
      </fill>
    </dxf>
    <dxf>
      <font>
        <b/>
        <i val="0"/>
        <color theme="0"/>
      </font>
      <fill>
        <patternFill>
          <bgColor rgb="FFFF33CC"/>
        </patternFill>
      </fill>
    </dxf>
    <dxf>
      <font>
        <b/>
        <i val="0"/>
      </font>
      <fill>
        <patternFill>
          <bgColor rgb="FF92D050"/>
        </patternFill>
      </fill>
    </dxf>
    <dxf>
      <font>
        <b/>
        <i val="0"/>
      </font>
      <fill>
        <patternFill>
          <bgColor rgb="FFFF2121"/>
        </patternFill>
      </fill>
    </dxf>
    <dxf>
      <font>
        <b/>
        <i val="0"/>
      </font>
      <fill>
        <patternFill>
          <bgColor rgb="FFFC4B04"/>
        </patternFill>
      </fill>
    </dxf>
    <dxf>
      <font>
        <b/>
        <i val="0"/>
        <color theme="0"/>
      </font>
      <fill>
        <patternFill>
          <bgColor rgb="FF676567"/>
        </patternFill>
      </fill>
    </dxf>
    <dxf>
      <font>
        <b/>
        <i val="0"/>
        <color theme="0"/>
      </font>
      <fill>
        <patternFill>
          <bgColor rgb="FF7A0000"/>
        </patternFill>
      </fill>
    </dxf>
    <dxf>
      <font>
        <b/>
        <i val="0"/>
        <color theme="0"/>
      </font>
      <fill>
        <patternFill>
          <bgColor rgb="FF7030A0"/>
        </patternFill>
      </fill>
    </dxf>
    <dxf>
      <font>
        <b/>
        <i val="0"/>
        <color theme="0"/>
      </font>
      <fill>
        <patternFill>
          <bgColor rgb="FFFFC000"/>
        </patternFill>
      </fill>
    </dxf>
    <dxf>
      <font>
        <b/>
        <i val="0"/>
        <color theme="0"/>
      </font>
      <fill>
        <patternFill>
          <bgColor theme="4" tint="0.39994506668294322"/>
        </patternFill>
      </fill>
    </dxf>
    <dxf>
      <font>
        <b/>
        <i val="0"/>
        <color auto="1"/>
      </font>
      <fill>
        <patternFill>
          <bgColor rgb="FFFF00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border>
    </dxf>
    <dxf>
      <font>
        <b/>
        <i val="0"/>
        <color auto="1"/>
      </font>
      <fill>
        <patternFill>
          <bgColor rgb="FFFFFF00"/>
        </patternFill>
      </fill>
      <border>
        <left style="thin">
          <color auto="1"/>
        </left>
        <right style="thin">
          <color auto="1"/>
        </right>
        <top style="thin">
          <color auto="1"/>
        </top>
        <bottom style="thin">
          <color auto="1"/>
        </bottom>
        <vertical/>
        <horizontal/>
      </border>
    </dxf>
  </dxfs>
  <tableStyles count="1" defaultTableStyle="TableStyleMedium2" defaultPivotStyle="PivotStyleLight16">
    <tableStyle name="Invisible" pivot="0" table="0" count="0" xr9:uid="{84EC1CC4-BD70-4350-ACDF-8ABF0AA3213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[Emblem S-ICD CheckPoint.xlsm]Pivots!PivotTable5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ln w="31750" cap="rnd">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31750" cap="rnd">
            <a:solidFill>
              <a:schemeClr val="accent1"/>
            </a:solidFill>
            <a:round/>
          </a:ln>
          <a:effectLst/>
        </c:spPr>
        <c:marker>
          <c:symbol val="circle"/>
          <c:size val="17"/>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Pivots!$D$6</c:f>
              <c:strCache>
                <c:ptCount val="1"/>
                <c:pt idx="0">
                  <c:v>Sum of Open</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Pivots!$C$7:$C$57</c:f>
              <c:multiLvlStrCache>
                <c:ptCount val="25"/>
                <c:lvl>
                  <c:pt idx="0">
                    <c:v>44</c:v>
                  </c:pt>
                  <c:pt idx="1">
                    <c:v>44</c:v>
                  </c:pt>
                  <c:pt idx="2">
                    <c:v>44</c:v>
                  </c:pt>
                  <c:pt idx="3">
                    <c:v>44</c:v>
                  </c:pt>
                  <c:pt idx="4">
                    <c:v>44</c:v>
                  </c:pt>
                  <c:pt idx="5">
                    <c:v>45</c:v>
                  </c:pt>
                  <c:pt idx="6">
                    <c:v>45</c:v>
                  </c:pt>
                  <c:pt idx="7">
                    <c:v>45</c:v>
                  </c:pt>
                  <c:pt idx="8">
                    <c:v>45</c:v>
                  </c:pt>
                  <c:pt idx="9">
                    <c:v>45</c:v>
                  </c:pt>
                  <c:pt idx="10">
                    <c:v>46</c:v>
                  </c:pt>
                  <c:pt idx="11">
                    <c:v>46</c:v>
                  </c:pt>
                  <c:pt idx="12">
                    <c:v>46</c:v>
                  </c:pt>
                  <c:pt idx="13">
                    <c:v>46</c:v>
                  </c:pt>
                  <c:pt idx="14">
                    <c:v>46</c:v>
                  </c:pt>
                  <c:pt idx="15">
                    <c:v>47</c:v>
                  </c:pt>
                  <c:pt idx="16">
                    <c:v>47</c:v>
                  </c:pt>
                  <c:pt idx="17">
                    <c:v>47</c:v>
                  </c:pt>
                  <c:pt idx="18">
                    <c:v>47</c:v>
                  </c:pt>
                  <c:pt idx="19">
                    <c:v>47</c:v>
                  </c:pt>
                  <c:pt idx="20">
                    <c:v>48</c:v>
                  </c:pt>
                  <c:pt idx="21">
                    <c:v>48</c:v>
                  </c:pt>
                  <c:pt idx="22">
                    <c:v>48</c:v>
                  </c:pt>
                  <c:pt idx="23">
                    <c:v>48</c:v>
                  </c:pt>
                  <c:pt idx="24">
                    <c:v>48</c:v>
                  </c:pt>
                </c:lvl>
                <c:lvl>
                  <c:pt idx="0">
                    <c:v>10/30/2023</c:v>
                  </c:pt>
                  <c:pt idx="1">
                    <c:v>10/31/2023</c:v>
                  </c:pt>
                  <c:pt idx="2">
                    <c:v>11/1/2023</c:v>
                  </c:pt>
                  <c:pt idx="3">
                    <c:v>11/2/2023</c:v>
                  </c:pt>
                  <c:pt idx="4">
                    <c:v>11/3/2023</c:v>
                  </c:pt>
                  <c:pt idx="5">
                    <c:v>11/6/2023</c:v>
                  </c:pt>
                  <c:pt idx="6">
                    <c:v>11/7/2023</c:v>
                  </c:pt>
                  <c:pt idx="7">
                    <c:v>11/8/2023</c:v>
                  </c:pt>
                  <c:pt idx="8">
                    <c:v>11/9/2023</c:v>
                  </c:pt>
                  <c:pt idx="9">
                    <c:v>11/10/2023</c:v>
                  </c:pt>
                  <c:pt idx="10">
                    <c:v>11/13/2023</c:v>
                  </c:pt>
                  <c:pt idx="11">
                    <c:v>11/14/2023</c:v>
                  </c:pt>
                  <c:pt idx="12">
                    <c:v>11/15/2023</c:v>
                  </c:pt>
                  <c:pt idx="13">
                    <c:v>11/16/2023</c:v>
                  </c:pt>
                  <c:pt idx="14">
                    <c:v>11/17/2023</c:v>
                  </c:pt>
                  <c:pt idx="15">
                    <c:v>11/20/2023</c:v>
                  </c:pt>
                  <c:pt idx="16">
                    <c:v>11/21/2023</c:v>
                  </c:pt>
                  <c:pt idx="17">
                    <c:v>11/22/2023</c:v>
                  </c:pt>
                  <c:pt idx="18">
                    <c:v>11/23/2023</c:v>
                  </c:pt>
                  <c:pt idx="19">
                    <c:v>11/24/2023</c:v>
                  </c:pt>
                  <c:pt idx="20">
                    <c:v>11/27/2023</c:v>
                  </c:pt>
                  <c:pt idx="21">
                    <c:v>11/28/2023</c:v>
                  </c:pt>
                  <c:pt idx="22">
                    <c:v>11/29/2023</c:v>
                  </c:pt>
                  <c:pt idx="23">
                    <c:v>11/30/2023</c:v>
                  </c:pt>
                  <c:pt idx="24">
                    <c:v>12/1/2023</c:v>
                  </c:pt>
                </c:lvl>
              </c:multiLvlStrCache>
            </c:multiLvlStrRef>
          </c:cat>
          <c:val>
            <c:numRef>
              <c:f>Pivots!$D$7:$D$57</c:f>
              <c:numCache>
                <c:formatCode>General</c:formatCode>
                <c:ptCount val="25"/>
                <c:pt idx="0">
                  <c:v>319</c:v>
                </c:pt>
                <c:pt idx="1">
                  <c:v>317</c:v>
                </c:pt>
                <c:pt idx="2">
                  <c:v>300</c:v>
                </c:pt>
                <c:pt idx="3">
                  <c:v>317</c:v>
                </c:pt>
                <c:pt idx="4">
                  <c:v>316</c:v>
                </c:pt>
                <c:pt idx="5">
                  <c:v>343</c:v>
                </c:pt>
                <c:pt idx="6">
                  <c:v>362</c:v>
                </c:pt>
                <c:pt idx="7">
                  <c:v>369</c:v>
                </c:pt>
                <c:pt idx="8">
                  <c:v>351</c:v>
                </c:pt>
                <c:pt idx="9">
                  <c:v>360</c:v>
                </c:pt>
                <c:pt idx="10">
                  <c:v>333</c:v>
                </c:pt>
                <c:pt idx="11">
                  <c:v>359</c:v>
                </c:pt>
                <c:pt idx="12">
                  <c:v>367</c:v>
                </c:pt>
                <c:pt idx="13">
                  <c:v>367</c:v>
                </c:pt>
                <c:pt idx="14">
                  <c:v>376</c:v>
                </c:pt>
                <c:pt idx="15">
                  <c:v>386</c:v>
                </c:pt>
                <c:pt idx="16">
                  <c:v>384</c:v>
                </c:pt>
                <c:pt idx="17">
                  <c:v>389</c:v>
                </c:pt>
                <c:pt idx="18">
                  <c:v>388</c:v>
                </c:pt>
                <c:pt idx="19">
                  <c:v>379</c:v>
                </c:pt>
                <c:pt idx="20">
                  <c:v>356</c:v>
                </c:pt>
                <c:pt idx="21">
                  <c:v>363</c:v>
                </c:pt>
                <c:pt idx="22">
                  <c:v>352</c:v>
                </c:pt>
                <c:pt idx="23">
                  <c:v>350</c:v>
                </c:pt>
                <c:pt idx="24">
                  <c:v>332</c:v>
                </c:pt>
              </c:numCache>
            </c:numRef>
          </c:val>
          <c:smooth val="0"/>
          <c:extLst>
            <c:ext xmlns:c16="http://schemas.microsoft.com/office/drawing/2014/chart" uri="{C3380CC4-5D6E-409C-BE32-E72D297353CC}">
              <c16:uniqueId val="{00000000-AFBB-4B3D-B6DC-3EE05CBA9738}"/>
            </c:ext>
          </c:extLst>
        </c:ser>
        <c:ser>
          <c:idx val="1"/>
          <c:order val="1"/>
          <c:tx>
            <c:strRef>
              <c:f>Pivots!$E$6</c:f>
              <c:strCache>
                <c:ptCount val="1"/>
                <c:pt idx="0">
                  <c:v>Sum of Coyol/YES</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Pivots!$C$7:$C$57</c:f>
              <c:multiLvlStrCache>
                <c:ptCount val="25"/>
                <c:lvl>
                  <c:pt idx="0">
                    <c:v>44</c:v>
                  </c:pt>
                  <c:pt idx="1">
                    <c:v>44</c:v>
                  </c:pt>
                  <c:pt idx="2">
                    <c:v>44</c:v>
                  </c:pt>
                  <c:pt idx="3">
                    <c:v>44</c:v>
                  </c:pt>
                  <c:pt idx="4">
                    <c:v>44</c:v>
                  </c:pt>
                  <c:pt idx="5">
                    <c:v>45</c:v>
                  </c:pt>
                  <c:pt idx="6">
                    <c:v>45</c:v>
                  </c:pt>
                  <c:pt idx="7">
                    <c:v>45</c:v>
                  </c:pt>
                  <c:pt idx="8">
                    <c:v>45</c:v>
                  </c:pt>
                  <c:pt idx="9">
                    <c:v>45</c:v>
                  </c:pt>
                  <c:pt idx="10">
                    <c:v>46</c:v>
                  </c:pt>
                  <c:pt idx="11">
                    <c:v>46</c:v>
                  </c:pt>
                  <c:pt idx="12">
                    <c:v>46</c:v>
                  </c:pt>
                  <c:pt idx="13">
                    <c:v>46</c:v>
                  </c:pt>
                  <c:pt idx="14">
                    <c:v>46</c:v>
                  </c:pt>
                  <c:pt idx="15">
                    <c:v>47</c:v>
                  </c:pt>
                  <c:pt idx="16">
                    <c:v>47</c:v>
                  </c:pt>
                  <c:pt idx="17">
                    <c:v>47</c:v>
                  </c:pt>
                  <c:pt idx="18">
                    <c:v>47</c:v>
                  </c:pt>
                  <c:pt idx="19">
                    <c:v>47</c:v>
                  </c:pt>
                  <c:pt idx="20">
                    <c:v>48</c:v>
                  </c:pt>
                  <c:pt idx="21">
                    <c:v>48</c:v>
                  </c:pt>
                  <c:pt idx="22">
                    <c:v>48</c:v>
                  </c:pt>
                  <c:pt idx="23">
                    <c:v>48</c:v>
                  </c:pt>
                  <c:pt idx="24">
                    <c:v>48</c:v>
                  </c:pt>
                </c:lvl>
                <c:lvl>
                  <c:pt idx="0">
                    <c:v>10/30/2023</c:v>
                  </c:pt>
                  <c:pt idx="1">
                    <c:v>10/31/2023</c:v>
                  </c:pt>
                  <c:pt idx="2">
                    <c:v>11/1/2023</c:v>
                  </c:pt>
                  <c:pt idx="3">
                    <c:v>11/2/2023</c:v>
                  </c:pt>
                  <c:pt idx="4">
                    <c:v>11/3/2023</c:v>
                  </c:pt>
                  <c:pt idx="5">
                    <c:v>11/6/2023</c:v>
                  </c:pt>
                  <c:pt idx="6">
                    <c:v>11/7/2023</c:v>
                  </c:pt>
                  <c:pt idx="7">
                    <c:v>11/8/2023</c:v>
                  </c:pt>
                  <c:pt idx="8">
                    <c:v>11/9/2023</c:v>
                  </c:pt>
                  <c:pt idx="9">
                    <c:v>11/10/2023</c:v>
                  </c:pt>
                  <c:pt idx="10">
                    <c:v>11/13/2023</c:v>
                  </c:pt>
                  <c:pt idx="11">
                    <c:v>11/14/2023</c:v>
                  </c:pt>
                  <c:pt idx="12">
                    <c:v>11/15/2023</c:v>
                  </c:pt>
                  <c:pt idx="13">
                    <c:v>11/16/2023</c:v>
                  </c:pt>
                  <c:pt idx="14">
                    <c:v>11/17/2023</c:v>
                  </c:pt>
                  <c:pt idx="15">
                    <c:v>11/20/2023</c:v>
                  </c:pt>
                  <c:pt idx="16">
                    <c:v>11/21/2023</c:v>
                  </c:pt>
                  <c:pt idx="17">
                    <c:v>11/22/2023</c:v>
                  </c:pt>
                  <c:pt idx="18">
                    <c:v>11/23/2023</c:v>
                  </c:pt>
                  <c:pt idx="19">
                    <c:v>11/24/2023</c:v>
                  </c:pt>
                  <c:pt idx="20">
                    <c:v>11/27/2023</c:v>
                  </c:pt>
                  <c:pt idx="21">
                    <c:v>11/28/2023</c:v>
                  </c:pt>
                  <c:pt idx="22">
                    <c:v>11/29/2023</c:v>
                  </c:pt>
                  <c:pt idx="23">
                    <c:v>11/30/2023</c:v>
                  </c:pt>
                  <c:pt idx="24">
                    <c:v>12/1/2023</c:v>
                  </c:pt>
                </c:lvl>
              </c:multiLvlStrCache>
            </c:multiLvlStrRef>
          </c:cat>
          <c:val>
            <c:numRef>
              <c:f>Pivots!$E$7:$E$57</c:f>
              <c:numCache>
                <c:formatCode>General</c:formatCode>
                <c:ptCount val="25"/>
                <c:pt idx="0">
                  <c:v>121</c:v>
                </c:pt>
                <c:pt idx="1">
                  <c:v>122</c:v>
                </c:pt>
                <c:pt idx="2">
                  <c:v>81</c:v>
                </c:pt>
                <c:pt idx="3">
                  <c:v>112</c:v>
                </c:pt>
                <c:pt idx="4">
                  <c:v>101</c:v>
                </c:pt>
                <c:pt idx="5">
                  <c:v>120</c:v>
                </c:pt>
                <c:pt idx="6">
                  <c:v>132</c:v>
                </c:pt>
                <c:pt idx="7">
                  <c:v>117</c:v>
                </c:pt>
                <c:pt idx="8">
                  <c:v>93</c:v>
                </c:pt>
                <c:pt idx="9">
                  <c:v>118</c:v>
                </c:pt>
                <c:pt idx="10">
                  <c:v>134</c:v>
                </c:pt>
                <c:pt idx="11">
                  <c:v>139</c:v>
                </c:pt>
                <c:pt idx="12">
                  <c:v>116</c:v>
                </c:pt>
                <c:pt idx="13">
                  <c:v>94</c:v>
                </c:pt>
                <c:pt idx="14">
                  <c:v>90</c:v>
                </c:pt>
                <c:pt idx="15">
                  <c:v>135</c:v>
                </c:pt>
                <c:pt idx="16">
                  <c:v>140</c:v>
                </c:pt>
                <c:pt idx="17">
                  <c:v>119</c:v>
                </c:pt>
                <c:pt idx="18">
                  <c:v>118</c:v>
                </c:pt>
                <c:pt idx="19">
                  <c:v>139</c:v>
                </c:pt>
                <c:pt idx="20">
                  <c:v>159</c:v>
                </c:pt>
                <c:pt idx="21">
                  <c:v>161</c:v>
                </c:pt>
                <c:pt idx="22">
                  <c:v>134</c:v>
                </c:pt>
                <c:pt idx="23">
                  <c:v>149</c:v>
                </c:pt>
                <c:pt idx="24">
                  <c:v>123</c:v>
                </c:pt>
              </c:numCache>
            </c:numRef>
          </c:val>
          <c:smooth val="0"/>
          <c:extLst>
            <c:ext xmlns:c16="http://schemas.microsoft.com/office/drawing/2014/chart" uri="{C3380CC4-5D6E-409C-BE32-E72D297353CC}">
              <c16:uniqueId val="{00000001-AFBB-4B3D-B6DC-3EE05CBA9738}"/>
            </c:ext>
          </c:extLst>
        </c:ser>
        <c:ser>
          <c:idx val="2"/>
          <c:order val="2"/>
          <c:tx>
            <c:strRef>
              <c:f>Pivots!$F$6</c:f>
              <c:strCache>
                <c:ptCount val="1"/>
                <c:pt idx="0">
                  <c:v>Sum of Coyol/NO</c:v>
                </c:pt>
              </c:strCache>
            </c:strRef>
          </c:tx>
          <c:spPr>
            <a:ln w="31750" cap="rnd">
              <a:solidFill>
                <a:schemeClr val="accent3"/>
              </a:solidFill>
              <a:round/>
            </a:ln>
            <a:effectLst/>
          </c:spPr>
          <c:marker>
            <c:symbol val="circle"/>
            <c:size val="17"/>
            <c:spPr>
              <a:solidFill>
                <a:schemeClr val="accent3"/>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Pivots!$C$7:$C$57</c:f>
              <c:multiLvlStrCache>
                <c:ptCount val="25"/>
                <c:lvl>
                  <c:pt idx="0">
                    <c:v>44</c:v>
                  </c:pt>
                  <c:pt idx="1">
                    <c:v>44</c:v>
                  </c:pt>
                  <c:pt idx="2">
                    <c:v>44</c:v>
                  </c:pt>
                  <c:pt idx="3">
                    <c:v>44</c:v>
                  </c:pt>
                  <c:pt idx="4">
                    <c:v>44</c:v>
                  </c:pt>
                  <c:pt idx="5">
                    <c:v>45</c:v>
                  </c:pt>
                  <c:pt idx="6">
                    <c:v>45</c:v>
                  </c:pt>
                  <c:pt idx="7">
                    <c:v>45</c:v>
                  </c:pt>
                  <c:pt idx="8">
                    <c:v>45</c:v>
                  </c:pt>
                  <c:pt idx="9">
                    <c:v>45</c:v>
                  </c:pt>
                  <c:pt idx="10">
                    <c:v>46</c:v>
                  </c:pt>
                  <c:pt idx="11">
                    <c:v>46</c:v>
                  </c:pt>
                  <c:pt idx="12">
                    <c:v>46</c:v>
                  </c:pt>
                  <c:pt idx="13">
                    <c:v>46</c:v>
                  </c:pt>
                  <c:pt idx="14">
                    <c:v>46</c:v>
                  </c:pt>
                  <c:pt idx="15">
                    <c:v>47</c:v>
                  </c:pt>
                  <c:pt idx="16">
                    <c:v>47</c:v>
                  </c:pt>
                  <c:pt idx="17">
                    <c:v>47</c:v>
                  </c:pt>
                  <c:pt idx="18">
                    <c:v>47</c:v>
                  </c:pt>
                  <c:pt idx="19">
                    <c:v>47</c:v>
                  </c:pt>
                  <c:pt idx="20">
                    <c:v>48</c:v>
                  </c:pt>
                  <c:pt idx="21">
                    <c:v>48</c:v>
                  </c:pt>
                  <c:pt idx="22">
                    <c:v>48</c:v>
                  </c:pt>
                  <c:pt idx="23">
                    <c:v>48</c:v>
                  </c:pt>
                  <c:pt idx="24">
                    <c:v>48</c:v>
                  </c:pt>
                </c:lvl>
                <c:lvl>
                  <c:pt idx="0">
                    <c:v>10/30/2023</c:v>
                  </c:pt>
                  <c:pt idx="1">
                    <c:v>10/31/2023</c:v>
                  </c:pt>
                  <c:pt idx="2">
                    <c:v>11/1/2023</c:v>
                  </c:pt>
                  <c:pt idx="3">
                    <c:v>11/2/2023</c:v>
                  </c:pt>
                  <c:pt idx="4">
                    <c:v>11/3/2023</c:v>
                  </c:pt>
                  <c:pt idx="5">
                    <c:v>11/6/2023</c:v>
                  </c:pt>
                  <c:pt idx="6">
                    <c:v>11/7/2023</c:v>
                  </c:pt>
                  <c:pt idx="7">
                    <c:v>11/8/2023</c:v>
                  </c:pt>
                  <c:pt idx="8">
                    <c:v>11/9/2023</c:v>
                  </c:pt>
                  <c:pt idx="9">
                    <c:v>11/10/2023</c:v>
                  </c:pt>
                  <c:pt idx="10">
                    <c:v>11/13/2023</c:v>
                  </c:pt>
                  <c:pt idx="11">
                    <c:v>11/14/2023</c:v>
                  </c:pt>
                  <c:pt idx="12">
                    <c:v>11/15/2023</c:v>
                  </c:pt>
                  <c:pt idx="13">
                    <c:v>11/16/2023</c:v>
                  </c:pt>
                  <c:pt idx="14">
                    <c:v>11/17/2023</c:v>
                  </c:pt>
                  <c:pt idx="15">
                    <c:v>11/20/2023</c:v>
                  </c:pt>
                  <c:pt idx="16">
                    <c:v>11/21/2023</c:v>
                  </c:pt>
                  <c:pt idx="17">
                    <c:v>11/22/2023</c:v>
                  </c:pt>
                  <c:pt idx="18">
                    <c:v>11/23/2023</c:v>
                  </c:pt>
                  <c:pt idx="19">
                    <c:v>11/24/2023</c:v>
                  </c:pt>
                  <c:pt idx="20">
                    <c:v>11/27/2023</c:v>
                  </c:pt>
                  <c:pt idx="21">
                    <c:v>11/28/2023</c:v>
                  </c:pt>
                  <c:pt idx="22">
                    <c:v>11/29/2023</c:v>
                  </c:pt>
                  <c:pt idx="23">
                    <c:v>11/30/2023</c:v>
                  </c:pt>
                  <c:pt idx="24">
                    <c:v>12/1/2023</c:v>
                  </c:pt>
                </c:lvl>
              </c:multiLvlStrCache>
            </c:multiLvlStrRef>
          </c:cat>
          <c:val>
            <c:numRef>
              <c:f>Pivots!$F$7:$F$57</c:f>
              <c:numCache>
                <c:formatCode>General</c:formatCode>
                <c:ptCount val="25"/>
                <c:pt idx="0">
                  <c:v>118</c:v>
                </c:pt>
                <c:pt idx="1">
                  <c:v>117</c:v>
                </c:pt>
                <c:pt idx="2">
                  <c:v>155</c:v>
                </c:pt>
                <c:pt idx="3">
                  <c:v>136</c:v>
                </c:pt>
                <c:pt idx="4">
                  <c:v>139</c:v>
                </c:pt>
                <c:pt idx="5">
                  <c:v>138</c:v>
                </c:pt>
                <c:pt idx="6">
                  <c:v>147</c:v>
                </c:pt>
                <c:pt idx="7">
                  <c:v>166</c:v>
                </c:pt>
                <c:pt idx="8">
                  <c:v>178</c:v>
                </c:pt>
                <c:pt idx="9">
                  <c:v>149</c:v>
                </c:pt>
                <c:pt idx="10">
                  <c:v>123</c:v>
                </c:pt>
                <c:pt idx="11">
                  <c:v>138</c:v>
                </c:pt>
                <c:pt idx="12">
                  <c:v>164</c:v>
                </c:pt>
                <c:pt idx="13">
                  <c:v>190</c:v>
                </c:pt>
                <c:pt idx="14">
                  <c:v>203</c:v>
                </c:pt>
                <c:pt idx="15">
                  <c:v>158</c:v>
                </c:pt>
                <c:pt idx="16">
                  <c:v>170</c:v>
                </c:pt>
                <c:pt idx="17">
                  <c:v>182</c:v>
                </c:pt>
                <c:pt idx="18">
                  <c:v>183</c:v>
                </c:pt>
                <c:pt idx="19">
                  <c:v>151</c:v>
                </c:pt>
                <c:pt idx="20">
                  <c:v>108</c:v>
                </c:pt>
                <c:pt idx="21">
                  <c:v>116</c:v>
                </c:pt>
                <c:pt idx="22">
                  <c:v>132</c:v>
                </c:pt>
                <c:pt idx="23">
                  <c:v>116</c:v>
                </c:pt>
                <c:pt idx="24">
                  <c:v>130</c:v>
                </c:pt>
              </c:numCache>
            </c:numRef>
          </c:val>
          <c:smooth val="0"/>
          <c:extLst>
            <c:ext xmlns:c16="http://schemas.microsoft.com/office/drawing/2014/chart" uri="{C3380CC4-5D6E-409C-BE32-E72D297353CC}">
              <c16:uniqueId val="{00000002-AFBB-4B3D-B6DC-3EE05CBA9738}"/>
            </c:ext>
          </c:extLst>
        </c:ser>
        <c:dLbls>
          <c:dLblPos val="ctr"/>
          <c:showLegendKey val="0"/>
          <c:showVal val="1"/>
          <c:showCatName val="0"/>
          <c:showSerName val="0"/>
          <c:showPercent val="0"/>
          <c:showBubbleSize val="0"/>
        </c:dLbls>
        <c:marker val="1"/>
        <c:smooth val="0"/>
        <c:axId val="358692367"/>
        <c:axId val="358692039"/>
      </c:lineChart>
      <c:catAx>
        <c:axId val="35869236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58692039"/>
        <c:crosses val="autoZero"/>
        <c:auto val="1"/>
        <c:lblAlgn val="ctr"/>
        <c:lblOffset val="100"/>
        <c:noMultiLvlLbl val="0"/>
      </c:catAx>
      <c:valAx>
        <c:axId val="358692039"/>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358692367"/>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[Emblem S-ICD CheckPoint.xlsm]Pivots!PivotTable7</c:name>
    <c:fmtId val="1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Pivots!$BJ$11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Pivots!$BI$12:$BI$62</c:f>
              <c:multiLvlStrCache>
                <c:ptCount val="25"/>
                <c:lvl>
                  <c:pt idx="0">
                    <c:v>Emblem Q-TRAK SQ Electrode</c:v>
                  </c:pt>
                  <c:pt idx="1">
                    <c:v>Emblem Q-TRAK SQ Electrode</c:v>
                  </c:pt>
                  <c:pt idx="2">
                    <c:v>Emblem Q-TRAK SQ Electrode</c:v>
                  </c:pt>
                  <c:pt idx="3">
                    <c:v>Emblem Q-TRAK SQ Electrode</c:v>
                  </c:pt>
                  <c:pt idx="4">
                    <c:v>Emblem Q-TRAK SQ Electrode</c:v>
                  </c:pt>
                  <c:pt idx="5">
                    <c:v>Emblem Q-TRAK SQ Electrode</c:v>
                  </c:pt>
                  <c:pt idx="6">
                    <c:v>Emblem Q-TRAK SQ Electrode</c:v>
                  </c:pt>
                  <c:pt idx="7">
                    <c:v>Emblem Q-TRAK SQ Electrode</c:v>
                  </c:pt>
                  <c:pt idx="8">
                    <c:v>Emblem Q-TRAK SQ Electrode</c:v>
                  </c:pt>
                  <c:pt idx="9">
                    <c:v>Emblem Q-TRAK SQ Electrode</c:v>
                  </c:pt>
                  <c:pt idx="10">
                    <c:v>Emblem Q-TRAK SQ Electrode</c:v>
                  </c:pt>
                  <c:pt idx="11">
                    <c:v>Emblem Q-TRAK SQ Electrode</c:v>
                  </c:pt>
                  <c:pt idx="12">
                    <c:v>Emblem Q-TRAK SQ Electrode</c:v>
                  </c:pt>
                  <c:pt idx="13">
                    <c:v>Emblem Q-TRAK SQ Electrode</c:v>
                  </c:pt>
                  <c:pt idx="14">
                    <c:v>Emblem Q-TRAK SQ Electrode</c:v>
                  </c:pt>
                  <c:pt idx="15">
                    <c:v>Emblem Q-TRAK SQ Electrode</c:v>
                  </c:pt>
                  <c:pt idx="16">
                    <c:v>Emblem Q-TRAK SQ Electrode</c:v>
                  </c:pt>
                  <c:pt idx="17">
                    <c:v>Emblem Q-TRAK SQ Electrode</c:v>
                  </c:pt>
                  <c:pt idx="18">
                    <c:v>Emblem Q-TRAK SQ Electrode</c:v>
                  </c:pt>
                  <c:pt idx="19">
                    <c:v>Emblem Q-TRAK SQ Electrode</c:v>
                  </c:pt>
                  <c:pt idx="20">
                    <c:v>Emblem Q-TRAK SQ Electrode</c:v>
                  </c:pt>
                  <c:pt idx="21">
                    <c:v>Emblem Q-TRAK SQ Electrode</c:v>
                  </c:pt>
                  <c:pt idx="22">
                    <c:v>Emblem Q-TRAK SQ Electrode</c:v>
                  </c:pt>
                  <c:pt idx="23">
                    <c:v>Emblem Q-TRAK SQ Electrode</c:v>
                  </c:pt>
                  <c:pt idx="24">
                    <c:v>Emblem Q-TRAK SQ Electrode</c:v>
                  </c:pt>
                </c:lvl>
                <c:lvl>
                  <c:pt idx="0">
                    <c:v>10/30/2023</c:v>
                  </c:pt>
                  <c:pt idx="1">
                    <c:v>10/31/2023</c:v>
                  </c:pt>
                  <c:pt idx="2">
                    <c:v>11/1/2023</c:v>
                  </c:pt>
                  <c:pt idx="3">
                    <c:v>11/2/2023</c:v>
                  </c:pt>
                  <c:pt idx="4">
                    <c:v>11/3/2023</c:v>
                  </c:pt>
                  <c:pt idx="5">
                    <c:v>11/6/2023</c:v>
                  </c:pt>
                  <c:pt idx="6">
                    <c:v>11/7/2023</c:v>
                  </c:pt>
                  <c:pt idx="7">
                    <c:v>11/8/2023</c:v>
                  </c:pt>
                  <c:pt idx="8">
                    <c:v>11/9/2023</c:v>
                  </c:pt>
                  <c:pt idx="9">
                    <c:v>11/10/2023</c:v>
                  </c:pt>
                  <c:pt idx="10">
                    <c:v>11/13/2023</c:v>
                  </c:pt>
                  <c:pt idx="11">
                    <c:v>11/14/2023</c:v>
                  </c:pt>
                  <c:pt idx="12">
                    <c:v>11/15/2023</c:v>
                  </c:pt>
                  <c:pt idx="13">
                    <c:v>11/16/2023</c:v>
                  </c:pt>
                  <c:pt idx="14">
                    <c:v>11/17/2023</c:v>
                  </c:pt>
                  <c:pt idx="15">
                    <c:v>11/20/2023</c:v>
                  </c:pt>
                  <c:pt idx="16">
                    <c:v>11/21/2023</c:v>
                  </c:pt>
                  <c:pt idx="17">
                    <c:v>11/22/2023</c:v>
                  </c:pt>
                  <c:pt idx="18">
                    <c:v>11/23/2023</c:v>
                  </c:pt>
                  <c:pt idx="19">
                    <c:v>11/24/2023</c:v>
                  </c:pt>
                  <c:pt idx="20">
                    <c:v>11/27/2023</c:v>
                  </c:pt>
                  <c:pt idx="21">
                    <c:v>11/28/2023</c:v>
                  </c:pt>
                  <c:pt idx="22">
                    <c:v>11/29/2023</c:v>
                  </c:pt>
                  <c:pt idx="23">
                    <c:v>11/30/2023</c:v>
                  </c:pt>
                  <c:pt idx="24">
                    <c:v>12/1/2023</c:v>
                  </c:pt>
                </c:lvl>
              </c:multiLvlStrCache>
            </c:multiLvlStrRef>
          </c:cat>
          <c:val>
            <c:numRef>
              <c:f>Pivots!$BJ$12:$BJ$62</c:f>
              <c:numCache>
                <c:formatCode>General</c:formatCode>
                <c:ptCount val="25"/>
                <c:pt idx="0">
                  <c:v>20</c:v>
                </c:pt>
                <c:pt idx="1">
                  <c:v>19</c:v>
                </c:pt>
                <c:pt idx="2">
                  <c:v>18</c:v>
                </c:pt>
                <c:pt idx="3">
                  <c:v>17</c:v>
                </c:pt>
                <c:pt idx="4">
                  <c:v>18</c:v>
                </c:pt>
                <c:pt idx="5">
                  <c:v>19</c:v>
                </c:pt>
                <c:pt idx="6">
                  <c:v>18</c:v>
                </c:pt>
                <c:pt idx="7">
                  <c:v>18</c:v>
                </c:pt>
                <c:pt idx="8">
                  <c:v>17</c:v>
                </c:pt>
                <c:pt idx="9">
                  <c:v>18</c:v>
                </c:pt>
                <c:pt idx="10">
                  <c:v>18</c:v>
                </c:pt>
                <c:pt idx="11">
                  <c:v>17</c:v>
                </c:pt>
                <c:pt idx="12">
                  <c:v>16</c:v>
                </c:pt>
                <c:pt idx="13">
                  <c:v>16</c:v>
                </c:pt>
                <c:pt idx="14">
                  <c:v>15</c:v>
                </c:pt>
                <c:pt idx="15">
                  <c:v>15</c:v>
                </c:pt>
                <c:pt idx="16">
                  <c:v>15</c:v>
                </c:pt>
                <c:pt idx="17">
                  <c:v>17</c:v>
                </c:pt>
                <c:pt idx="18">
                  <c:v>19</c:v>
                </c:pt>
                <c:pt idx="19">
                  <c:v>20</c:v>
                </c:pt>
                <c:pt idx="20">
                  <c:v>20</c:v>
                </c:pt>
                <c:pt idx="21">
                  <c:v>20</c:v>
                </c:pt>
                <c:pt idx="22">
                  <c:v>18</c:v>
                </c:pt>
                <c:pt idx="23">
                  <c:v>19</c:v>
                </c:pt>
                <c:pt idx="24">
                  <c:v>19</c:v>
                </c:pt>
              </c:numCache>
            </c:numRef>
          </c:val>
          <c:extLst>
            <c:ext xmlns:c16="http://schemas.microsoft.com/office/drawing/2014/chart" uri="{C3380CC4-5D6E-409C-BE32-E72D297353CC}">
              <c16:uniqueId val="{00000000-B188-462F-8F77-76AB08D6C044}"/>
            </c:ext>
          </c:extLst>
        </c:ser>
        <c:dLbls>
          <c:dLblPos val="inEnd"/>
          <c:showLegendKey val="0"/>
          <c:showVal val="1"/>
          <c:showCatName val="0"/>
          <c:showSerName val="0"/>
          <c:showPercent val="0"/>
          <c:showBubbleSize val="0"/>
        </c:dLbls>
        <c:gapWidth val="65"/>
        <c:axId val="302145543"/>
        <c:axId val="302140295"/>
      </c:barChart>
      <c:catAx>
        <c:axId val="30214554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02140295"/>
        <c:crosses val="autoZero"/>
        <c:auto val="1"/>
        <c:lblAlgn val="ctr"/>
        <c:lblOffset val="100"/>
        <c:noMultiLvlLbl val="0"/>
      </c:catAx>
      <c:valAx>
        <c:axId val="302140295"/>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302145543"/>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[Emblem S-ICD CheckPoint.xlsm]Pivots!PivotTable3</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2"/>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31750" cap="rnd" cmpd="sng" algn="ctr">
            <a:solidFill>
              <a:srgbClr val="00B050"/>
            </a:solidFill>
            <a:round/>
          </a:ln>
          <a:effectLst/>
        </c:spPr>
        <c:marker>
          <c:spPr>
            <a:solidFill>
              <a:srgbClr val="00B050"/>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31750" cap="rnd" cmpd="sng" algn="ctr">
            <a:solidFill>
              <a:srgbClr val="92D050"/>
            </a:solidFill>
            <a:round/>
          </a:ln>
          <a:effectLst/>
        </c:spPr>
        <c:marker>
          <c:symbol val="circle"/>
          <c:size val="17"/>
          <c:spPr>
            <a:solidFill>
              <a:srgbClr val="92D050"/>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31750" cap="rnd" cmpd="sng" algn="ctr">
            <a:solidFill>
              <a:srgbClr val="FFC000"/>
            </a:solidFill>
            <a:round/>
          </a:ln>
          <a:effectLst/>
        </c:spPr>
        <c:marker>
          <c:symbol val="circle"/>
          <c:size val="17"/>
          <c:spPr>
            <a:solidFill>
              <a:srgbClr val="FFC000"/>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31750" cap="rnd" cmpd="sng" algn="ctr">
            <a:solidFill>
              <a:srgbClr val="FF0000"/>
            </a:solidFill>
            <a:round/>
          </a:ln>
          <a:effectLst/>
        </c:spPr>
        <c:marker>
          <c:symbol val="circle"/>
          <c:size val="17"/>
          <c:spPr>
            <a:solidFill>
              <a:srgbClr val="FF0000"/>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31750" cap="rnd" cmpd="sng" algn="ctr">
            <a:solidFill>
              <a:srgbClr val="C00000"/>
            </a:solidFill>
            <a:round/>
          </a:ln>
          <a:effectLst/>
        </c:spPr>
        <c:marker>
          <c:symbol val="circle"/>
          <c:size val="17"/>
          <c:spPr>
            <a:solidFill>
              <a:srgbClr val="C00000"/>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31750" cap="rnd" cmpd="sng" algn="ctr">
            <a:solidFill>
              <a:schemeClr val="accent2"/>
            </a:solidFill>
            <a:round/>
          </a:ln>
          <a:effectLst/>
        </c:spPr>
        <c:marker>
          <c:symbol val="circle"/>
          <c:size val="17"/>
          <c:spPr>
            <a:solidFill>
              <a:schemeClr val="accent2"/>
            </a:solidFill>
            <a:ln>
              <a:noFill/>
            </a:ln>
            <a:effectLst/>
          </c:spPr>
        </c:marker>
      </c:pivotFmt>
      <c:pivotFmt>
        <c:idx val="8"/>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ln w="31750" cap="rnd">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ln w="31750" cap="rnd">
            <a:solidFill>
              <a:schemeClr val="accent1"/>
            </a:solidFill>
            <a:round/>
          </a:ln>
          <a:effectLst/>
        </c:spPr>
        <c:marker>
          <c:symbol val="circle"/>
          <c:size val="17"/>
          <c:spPr>
            <a:solidFill>
              <a:schemeClr val="accent4"/>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ln w="31750" cap="rnd">
            <a:solidFill>
              <a:schemeClr val="accent1"/>
            </a:solidFill>
            <a:round/>
          </a:ln>
          <a:effectLst/>
        </c:spPr>
        <c:marker>
          <c:symbol val="circle"/>
          <c:size val="17"/>
          <c:spPr>
            <a:solidFill>
              <a:schemeClr val="accent5"/>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ln w="31750" cap="rnd">
            <a:solidFill>
              <a:schemeClr val="accent1"/>
            </a:solidFill>
            <a:round/>
          </a:ln>
          <a:effectLst/>
        </c:spPr>
        <c:marker>
          <c:symbol val="circle"/>
          <c:size val="17"/>
          <c:spPr>
            <a:solidFill>
              <a:schemeClr val="accent6"/>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ln w="31750" cap="rnd">
            <a:solidFill>
              <a:schemeClr val="accent1"/>
            </a:solidFill>
            <a:round/>
          </a:ln>
          <a:effectLst/>
        </c:spPr>
        <c:marker>
          <c:symbol val="circle"/>
          <c:size val="17"/>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alpha val="85000"/>
            </a:schemeClr>
          </a:solidFill>
          <a:ln w="31750" cap="rnd" cmpd="sng" algn="ctr">
            <a:solidFill>
              <a:schemeClr val="accent1"/>
            </a:solidFill>
            <a:round/>
          </a:ln>
          <a:effectLst/>
        </c:spPr>
        <c:marker>
          <c:spPr>
            <a:solidFill>
              <a:schemeClr val="accent1"/>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Pivots!$D$82</c:f>
              <c:strCache>
                <c:ptCount val="1"/>
                <c:pt idx="0">
                  <c:v>Sum of 15-7 Aging</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Pivots!$C$83:$C$89</c:f>
              <c:multiLvlStrCache>
                <c:ptCount val="4"/>
                <c:lvl>
                  <c:pt idx="0">
                    <c:v>5-Jun</c:v>
                  </c:pt>
                  <c:pt idx="1">
                    <c:v>6-Jun</c:v>
                  </c:pt>
                  <c:pt idx="2">
                    <c:v>7-Jun</c:v>
                  </c:pt>
                  <c:pt idx="3">
                    <c:v>8-Jun</c:v>
                  </c:pt>
                </c:lvl>
                <c:lvl>
                  <c:pt idx="0">
                    <c:v>23</c:v>
                  </c:pt>
                </c:lvl>
                <c:lvl>
                  <c:pt idx="0">
                    <c:v>Jun</c:v>
                  </c:pt>
                </c:lvl>
              </c:multiLvlStrCache>
            </c:multiLvlStrRef>
          </c:cat>
          <c:val>
            <c:numRef>
              <c:f>Pivots!$D$83:$D$89</c:f>
              <c:numCache>
                <c:formatCode>General</c:formatCode>
                <c:ptCount val="4"/>
                <c:pt idx="0">
                  <c:v>79</c:v>
                </c:pt>
                <c:pt idx="1">
                  <c:v>84</c:v>
                </c:pt>
                <c:pt idx="2">
                  <c:v>86</c:v>
                </c:pt>
                <c:pt idx="3">
                  <c:v>81</c:v>
                </c:pt>
              </c:numCache>
            </c:numRef>
          </c:val>
          <c:smooth val="0"/>
          <c:extLst>
            <c:ext xmlns:c16="http://schemas.microsoft.com/office/drawing/2014/chart" uri="{C3380CC4-5D6E-409C-BE32-E72D297353CC}">
              <c16:uniqueId val="{00000000-35EB-4D39-9E69-636CD443C8EA}"/>
            </c:ext>
          </c:extLst>
        </c:ser>
        <c:ser>
          <c:idx val="1"/>
          <c:order val="1"/>
          <c:tx>
            <c:strRef>
              <c:f>Pivots!$E$82</c:f>
              <c:strCache>
                <c:ptCount val="1"/>
                <c:pt idx="0">
                  <c:v>Sum of SFMD 45-50 Aging</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Pivots!$C$83:$C$89</c:f>
              <c:multiLvlStrCache>
                <c:ptCount val="4"/>
                <c:lvl>
                  <c:pt idx="0">
                    <c:v>5-Jun</c:v>
                  </c:pt>
                  <c:pt idx="1">
                    <c:v>6-Jun</c:v>
                  </c:pt>
                  <c:pt idx="2">
                    <c:v>7-Jun</c:v>
                  </c:pt>
                  <c:pt idx="3">
                    <c:v>8-Jun</c:v>
                  </c:pt>
                </c:lvl>
                <c:lvl>
                  <c:pt idx="0">
                    <c:v>23</c:v>
                  </c:pt>
                </c:lvl>
                <c:lvl>
                  <c:pt idx="0">
                    <c:v>Jun</c:v>
                  </c:pt>
                </c:lvl>
              </c:multiLvlStrCache>
            </c:multiLvlStrRef>
          </c:cat>
          <c:val>
            <c:numRef>
              <c:f>Pivots!$E$83:$E$89</c:f>
              <c:numCache>
                <c:formatCode>General</c:formatCode>
                <c:ptCount val="4"/>
                <c:pt idx="0">
                  <c:v>1</c:v>
                </c:pt>
                <c:pt idx="1">
                  <c:v>1</c:v>
                </c:pt>
                <c:pt idx="2">
                  <c:v>1</c:v>
                </c:pt>
                <c:pt idx="3">
                  <c:v>0</c:v>
                </c:pt>
              </c:numCache>
            </c:numRef>
          </c:val>
          <c:smooth val="0"/>
          <c:extLst>
            <c:ext xmlns:c16="http://schemas.microsoft.com/office/drawing/2014/chart" uri="{C3380CC4-5D6E-409C-BE32-E72D297353CC}">
              <c16:uniqueId val="{00000004-8795-4ED7-9112-8817BD658AEB}"/>
            </c:ext>
          </c:extLst>
        </c:ser>
        <c:ser>
          <c:idx val="2"/>
          <c:order val="2"/>
          <c:tx>
            <c:strRef>
              <c:f>Pivots!$F$82</c:f>
              <c:strCache>
                <c:ptCount val="1"/>
                <c:pt idx="0">
                  <c:v>Sum of Over 30</c:v>
                </c:pt>
              </c:strCache>
            </c:strRef>
          </c:tx>
          <c:spPr>
            <a:ln w="31750" cap="rnd">
              <a:solidFill>
                <a:schemeClr val="accent3"/>
              </a:solidFill>
              <a:round/>
            </a:ln>
            <a:effectLst/>
          </c:spPr>
          <c:marker>
            <c:symbol val="circle"/>
            <c:size val="17"/>
            <c:spPr>
              <a:solidFill>
                <a:schemeClr val="accent3"/>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Pivots!$C$83:$C$89</c:f>
              <c:multiLvlStrCache>
                <c:ptCount val="4"/>
                <c:lvl>
                  <c:pt idx="0">
                    <c:v>5-Jun</c:v>
                  </c:pt>
                  <c:pt idx="1">
                    <c:v>6-Jun</c:v>
                  </c:pt>
                  <c:pt idx="2">
                    <c:v>7-Jun</c:v>
                  </c:pt>
                  <c:pt idx="3">
                    <c:v>8-Jun</c:v>
                  </c:pt>
                </c:lvl>
                <c:lvl>
                  <c:pt idx="0">
                    <c:v>23</c:v>
                  </c:pt>
                </c:lvl>
                <c:lvl>
                  <c:pt idx="0">
                    <c:v>Jun</c:v>
                  </c:pt>
                </c:lvl>
              </c:multiLvlStrCache>
            </c:multiLvlStrRef>
          </c:cat>
          <c:val>
            <c:numRef>
              <c:f>Pivots!$F$83:$F$89</c:f>
              <c:numCache>
                <c:formatCode>General</c:formatCode>
                <c:ptCount val="4"/>
                <c:pt idx="0">
                  <c:v>26</c:v>
                </c:pt>
                <c:pt idx="1">
                  <c:v>31</c:v>
                </c:pt>
                <c:pt idx="2">
                  <c:v>25</c:v>
                </c:pt>
                <c:pt idx="3">
                  <c:v>30</c:v>
                </c:pt>
              </c:numCache>
            </c:numRef>
          </c:val>
          <c:smooth val="0"/>
          <c:extLst>
            <c:ext xmlns:c16="http://schemas.microsoft.com/office/drawing/2014/chart" uri="{C3380CC4-5D6E-409C-BE32-E72D297353CC}">
              <c16:uniqueId val="{00000005-8795-4ED7-9112-8817BD658AEB}"/>
            </c:ext>
          </c:extLst>
        </c:ser>
        <c:ser>
          <c:idx val="3"/>
          <c:order val="3"/>
          <c:tx>
            <c:strRef>
              <c:f>Pivots!$G$82</c:f>
              <c:strCache>
                <c:ptCount val="1"/>
                <c:pt idx="0">
                  <c:v>Sum of SFMD Over Aging</c:v>
                </c:pt>
              </c:strCache>
            </c:strRef>
          </c:tx>
          <c:spPr>
            <a:ln w="31750" cap="rnd">
              <a:solidFill>
                <a:schemeClr val="accent4"/>
              </a:solidFill>
              <a:round/>
            </a:ln>
            <a:effectLst/>
          </c:spPr>
          <c:marker>
            <c:symbol val="circle"/>
            <c:size val="17"/>
            <c:spPr>
              <a:solidFill>
                <a:schemeClr val="accent4"/>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Pivots!$C$83:$C$89</c:f>
              <c:multiLvlStrCache>
                <c:ptCount val="4"/>
                <c:lvl>
                  <c:pt idx="0">
                    <c:v>5-Jun</c:v>
                  </c:pt>
                  <c:pt idx="1">
                    <c:v>6-Jun</c:v>
                  </c:pt>
                  <c:pt idx="2">
                    <c:v>7-Jun</c:v>
                  </c:pt>
                  <c:pt idx="3">
                    <c:v>8-Jun</c:v>
                  </c:pt>
                </c:lvl>
                <c:lvl>
                  <c:pt idx="0">
                    <c:v>23</c:v>
                  </c:pt>
                </c:lvl>
                <c:lvl>
                  <c:pt idx="0">
                    <c:v>Jun</c:v>
                  </c:pt>
                </c:lvl>
              </c:multiLvlStrCache>
            </c:multiLvlStrRef>
          </c:cat>
          <c:val>
            <c:numRef>
              <c:f>Pivots!$G$83:$G$89</c:f>
              <c:numCache>
                <c:formatCode>General</c:formatCode>
                <c:ptCount val="4"/>
                <c:pt idx="0">
                  <c:v>0</c:v>
                </c:pt>
                <c:pt idx="1">
                  <c:v>1</c:v>
                </c:pt>
                <c:pt idx="2">
                  <c:v>1</c:v>
                </c:pt>
                <c:pt idx="3">
                  <c:v>0</c:v>
                </c:pt>
              </c:numCache>
            </c:numRef>
          </c:val>
          <c:smooth val="0"/>
          <c:extLst>
            <c:ext xmlns:c16="http://schemas.microsoft.com/office/drawing/2014/chart" uri="{C3380CC4-5D6E-409C-BE32-E72D297353CC}">
              <c16:uniqueId val="{00000006-8795-4ED7-9112-8817BD658AEB}"/>
            </c:ext>
          </c:extLst>
        </c:ser>
        <c:ser>
          <c:idx val="4"/>
          <c:order val="4"/>
          <c:tx>
            <c:strRef>
              <c:f>Pivots!$H$82</c:f>
              <c:strCache>
                <c:ptCount val="1"/>
                <c:pt idx="0">
                  <c:v>Sum of 15-19 Aging</c:v>
                </c:pt>
              </c:strCache>
            </c:strRef>
          </c:tx>
          <c:spPr>
            <a:ln w="31750" cap="rnd">
              <a:solidFill>
                <a:schemeClr val="accent5"/>
              </a:solidFill>
              <a:round/>
            </a:ln>
            <a:effectLst/>
          </c:spPr>
          <c:marker>
            <c:symbol val="circle"/>
            <c:size val="17"/>
            <c:spPr>
              <a:solidFill>
                <a:schemeClr val="accent5"/>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Pivots!$C$83:$C$89</c:f>
              <c:multiLvlStrCache>
                <c:ptCount val="4"/>
                <c:lvl>
                  <c:pt idx="0">
                    <c:v>5-Jun</c:v>
                  </c:pt>
                  <c:pt idx="1">
                    <c:v>6-Jun</c:v>
                  </c:pt>
                  <c:pt idx="2">
                    <c:v>7-Jun</c:v>
                  </c:pt>
                  <c:pt idx="3">
                    <c:v>8-Jun</c:v>
                  </c:pt>
                </c:lvl>
                <c:lvl>
                  <c:pt idx="0">
                    <c:v>23</c:v>
                  </c:pt>
                </c:lvl>
                <c:lvl>
                  <c:pt idx="0">
                    <c:v>Jun</c:v>
                  </c:pt>
                </c:lvl>
              </c:multiLvlStrCache>
            </c:multiLvlStrRef>
          </c:cat>
          <c:val>
            <c:numRef>
              <c:f>Pivots!$H$83:$H$89</c:f>
              <c:numCache>
                <c:formatCode>General</c:formatCode>
                <c:ptCount val="4"/>
                <c:pt idx="0">
                  <c:v>17</c:v>
                </c:pt>
                <c:pt idx="1">
                  <c:v>18</c:v>
                </c:pt>
                <c:pt idx="2">
                  <c:v>26</c:v>
                </c:pt>
                <c:pt idx="3">
                  <c:v>28</c:v>
                </c:pt>
              </c:numCache>
            </c:numRef>
          </c:val>
          <c:smooth val="0"/>
          <c:extLst>
            <c:ext xmlns:c16="http://schemas.microsoft.com/office/drawing/2014/chart" uri="{C3380CC4-5D6E-409C-BE32-E72D297353CC}">
              <c16:uniqueId val="{00000007-8795-4ED7-9112-8817BD658AEB}"/>
            </c:ext>
          </c:extLst>
        </c:ser>
        <c:ser>
          <c:idx val="5"/>
          <c:order val="5"/>
          <c:tx>
            <c:strRef>
              <c:f>Pivots!$I$82</c:f>
              <c:strCache>
                <c:ptCount val="1"/>
                <c:pt idx="0">
                  <c:v>Sum of 20-30 Aging</c:v>
                </c:pt>
              </c:strCache>
            </c:strRef>
          </c:tx>
          <c:spPr>
            <a:ln w="31750" cap="rnd">
              <a:solidFill>
                <a:schemeClr val="accent6"/>
              </a:solidFill>
              <a:round/>
            </a:ln>
            <a:effectLst/>
          </c:spPr>
          <c:marker>
            <c:symbol val="circle"/>
            <c:size val="17"/>
            <c:spPr>
              <a:solidFill>
                <a:schemeClr val="accent6"/>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Pivots!$C$83:$C$89</c:f>
              <c:multiLvlStrCache>
                <c:ptCount val="4"/>
                <c:lvl>
                  <c:pt idx="0">
                    <c:v>5-Jun</c:v>
                  </c:pt>
                  <c:pt idx="1">
                    <c:v>6-Jun</c:v>
                  </c:pt>
                  <c:pt idx="2">
                    <c:v>7-Jun</c:v>
                  </c:pt>
                  <c:pt idx="3">
                    <c:v>8-Jun</c:v>
                  </c:pt>
                </c:lvl>
                <c:lvl>
                  <c:pt idx="0">
                    <c:v>23</c:v>
                  </c:pt>
                </c:lvl>
                <c:lvl>
                  <c:pt idx="0">
                    <c:v>Jun</c:v>
                  </c:pt>
                </c:lvl>
              </c:multiLvlStrCache>
            </c:multiLvlStrRef>
          </c:cat>
          <c:val>
            <c:numRef>
              <c:f>Pivots!$I$83:$I$89</c:f>
              <c:numCache>
                <c:formatCode>General</c:formatCode>
                <c:ptCount val="4"/>
                <c:pt idx="0">
                  <c:v>55</c:v>
                </c:pt>
                <c:pt idx="1">
                  <c:v>60</c:v>
                </c:pt>
                <c:pt idx="2">
                  <c:v>50</c:v>
                </c:pt>
                <c:pt idx="3">
                  <c:v>41</c:v>
                </c:pt>
              </c:numCache>
            </c:numRef>
          </c:val>
          <c:smooth val="0"/>
          <c:extLst>
            <c:ext xmlns:c16="http://schemas.microsoft.com/office/drawing/2014/chart" uri="{C3380CC4-5D6E-409C-BE32-E72D297353CC}">
              <c16:uniqueId val="{00000008-8795-4ED7-9112-8817BD658AEB}"/>
            </c:ext>
          </c:extLst>
        </c:ser>
        <c:dLbls>
          <c:dLblPos val="ctr"/>
          <c:showLegendKey val="0"/>
          <c:showVal val="1"/>
          <c:showCatName val="0"/>
          <c:showSerName val="0"/>
          <c:showPercent val="0"/>
          <c:showBubbleSize val="0"/>
        </c:dLbls>
        <c:marker val="1"/>
        <c:smooth val="0"/>
        <c:axId val="1858156624"/>
        <c:axId val="1858152032"/>
      </c:lineChart>
      <c:catAx>
        <c:axId val="185815662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58152032"/>
        <c:crosses val="autoZero"/>
        <c:auto val="1"/>
        <c:lblAlgn val="ctr"/>
        <c:lblOffset val="100"/>
        <c:noMultiLvlLbl val="0"/>
      </c:catAx>
      <c:valAx>
        <c:axId val="185815203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85815662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[Emblem S-ICD CheckPoint.xlsm]Pivots!PivotTable4</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Pivots!$U$51:$U$52</c:f>
              <c:strCache>
                <c:ptCount val="1"/>
                <c:pt idx="0">
                  <c:v>0</c:v>
                </c:pt>
              </c:strCache>
            </c:strRef>
          </c:tx>
          <c:spPr>
            <a:solidFill>
              <a:schemeClr val="accent1"/>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Pivots!$U$53:$U$60</c:f>
              <c:numCache>
                <c:formatCode>General</c:formatCode>
                <c:ptCount val="7"/>
                <c:pt idx="5">
                  <c:v>69</c:v>
                </c:pt>
              </c:numCache>
            </c:numRef>
          </c:val>
          <c:extLst>
            <c:ext xmlns:c16="http://schemas.microsoft.com/office/drawing/2014/chart" uri="{C3380CC4-5D6E-409C-BE32-E72D297353CC}">
              <c16:uniqueId val="{00000000-9AD2-4D14-93A8-C05CACC50B47}"/>
            </c:ext>
          </c:extLst>
        </c:ser>
        <c:ser>
          <c:idx val="1"/>
          <c:order val="1"/>
          <c:tx>
            <c:strRef>
              <c:f>Pivots!$V$51:$V$52</c:f>
              <c:strCache>
                <c:ptCount val="1"/>
                <c:pt idx="0">
                  <c:v>1</c:v>
                </c:pt>
              </c:strCache>
            </c:strRef>
          </c:tx>
          <c:spPr>
            <a:solidFill>
              <a:schemeClr val="accent2"/>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Pivots!$V$53:$V$60</c:f>
              <c:numCache>
                <c:formatCode>General</c:formatCode>
                <c:ptCount val="7"/>
                <c:pt idx="5">
                  <c:v>166</c:v>
                </c:pt>
              </c:numCache>
            </c:numRef>
          </c:val>
          <c:extLst>
            <c:ext xmlns:c16="http://schemas.microsoft.com/office/drawing/2014/chart" uri="{C3380CC4-5D6E-409C-BE32-E72D297353CC}">
              <c16:uniqueId val="{0000001D-9AD2-4D14-93A8-C05CACC50B47}"/>
            </c:ext>
          </c:extLst>
        </c:ser>
        <c:ser>
          <c:idx val="2"/>
          <c:order val="2"/>
          <c:tx>
            <c:strRef>
              <c:f>Pivots!$W$51:$W$52</c:f>
              <c:strCache>
                <c:ptCount val="1"/>
                <c:pt idx="0">
                  <c:v>4</c:v>
                </c:pt>
              </c:strCache>
            </c:strRef>
          </c:tx>
          <c:spPr>
            <a:solidFill>
              <a:schemeClr val="accent3"/>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Pivots!$W$53:$W$60</c:f>
              <c:numCache>
                <c:formatCode>General</c:formatCode>
                <c:ptCount val="7"/>
                <c:pt idx="4">
                  <c:v>23</c:v>
                </c:pt>
              </c:numCache>
            </c:numRef>
          </c:val>
          <c:extLst>
            <c:ext xmlns:c16="http://schemas.microsoft.com/office/drawing/2014/chart" uri="{C3380CC4-5D6E-409C-BE32-E72D297353CC}">
              <c16:uniqueId val="{0000001E-9AD2-4D14-93A8-C05CACC50B47}"/>
            </c:ext>
          </c:extLst>
        </c:ser>
        <c:ser>
          <c:idx val="3"/>
          <c:order val="3"/>
          <c:tx>
            <c:strRef>
              <c:f>Pivots!$X$51:$X$52</c:f>
              <c:strCache>
                <c:ptCount val="1"/>
                <c:pt idx="0">
                  <c:v>5</c:v>
                </c:pt>
              </c:strCache>
            </c:strRef>
          </c:tx>
          <c:spPr>
            <a:solidFill>
              <a:schemeClr val="accent4"/>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Pivots!$X$53:$X$60</c:f>
              <c:numCache>
                <c:formatCode>General</c:formatCode>
                <c:ptCount val="7"/>
                <c:pt idx="4">
                  <c:v>47</c:v>
                </c:pt>
              </c:numCache>
            </c:numRef>
          </c:val>
          <c:extLst>
            <c:ext xmlns:c16="http://schemas.microsoft.com/office/drawing/2014/chart" uri="{C3380CC4-5D6E-409C-BE32-E72D297353CC}">
              <c16:uniqueId val="{0000001F-9AD2-4D14-93A8-C05CACC50B47}"/>
            </c:ext>
          </c:extLst>
        </c:ser>
        <c:ser>
          <c:idx val="4"/>
          <c:order val="4"/>
          <c:tx>
            <c:strRef>
              <c:f>Pivots!$Y$51:$Y$52</c:f>
              <c:strCache>
                <c:ptCount val="1"/>
                <c:pt idx="0">
                  <c:v>6</c:v>
                </c:pt>
              </c:strCache>
            </c:strRef>
          </c:tx>
          <c:spPr>
            <a:solidFill>
              <a:schemeClr val="accent5"/>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Pivots!$Y$53:$Y$60</c:f>
              <c:numCache>
                <c:formatCode>General</c:formatCode>
                <c:ptCount val="7"/>
                <c:pt idx="4">
                  <c:v>71</c:v>
                </c:pt>
              </c:numCache>
            </c:numRef>
          </c:val>
          <c:extLst>
            <c:ext xmlns:c16="http://schemas.microsoft.com/office/drawing/2014/chart" uri="{C3380CC4-5D6E-409C-BE32-E72D297353CC}">
              <c16:uniqueId val="{00000020-9AD2-4D14-93A8-C05CACC50B47}"/>
            </c:ext>
          </c:extLst>
        </c:ser>
        <c:ser>
          <c:idx val="5"/>
          <c:order val="5"/>
          <c:tx>
            <c:strRef>
              <c:f>Pivots!$Z$51:$Z$52</c:f>
              <c:strCache>
                <c:ptCount val="1"/>
                <c:pt idx="0">
                  <c:v>7</c:v>
                </c:pt>
              </c:strCache>
            </c:strRef>
          </c:tx>
          <c:spPr>
            <a:solidFill>
              <a:schemeClr val="accent6"/>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Pivots!$Z$53:$Z$60</c:f>
              <c:numCache>
                <c:formatCode>General</c:formatCode>
                <c:ptCount val="7"/>
                <c:pt idx="4">
                  <c:v>94</c:v>
                </c:pt>
              </c:numCache>
            </c:numRef>
          </c:val>
          <c:extLst>
            <c:ext xmlns:c16="http://schemas.microsoft.com/office/drawing/2014/chart" uri="{C3380CC4-5D6E-409C-BE32-E72D297353CC}">
              <c16:uniqueId val="{00000021-9AD2-4D14-93A8-C05CACC50B47}"/>
            </c:ext>
          </c:extLst>
        </c:ser>
        <c:ser>
          <c:idx val="6"/>
          <c:order val="6"/>
          <c:tx>
            <c:strRef>
              <c:f>Pivots!$AA$51:$AA$52</c:f>
              <c:strCache>
                <c:ptCount val="1"/>
                <c:pt idx="0">
                  <c:v>10</c:v>
                </c:pt>
              </c:strCache>
            </c:strRef>
          </c:tx>
          <c:spPr>
            <a:solidFill>
              <a:schemeClr val="accent1">
                <a:lumMod val="6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Pivots!$AA$53:$AA$60</c:f>
              <c:numCache>
                <c:formatCode>General</c:formatCode>
                <c:ptCount val="7"/>
                <c:pt idx="0">
                  <c:v>24</c:v>
                </c:pt>
              </c:numCache>
            </c:numRef>
          </c:val>
          <c:extLst>
            <c:ext xmlns:c16="http://schemas.microsoft.com/office/drawing/2014/chart" uri="{C3380CC4-5D6E-409C-BE32-E72D297353CC}">
              <c16:uniqueId val="{00000022-9AD2-4D14-93A8-C05CACC50B47}"/>
            </c:ext>
          </c:extLst>
        </c:ser>
        <c:ser>
          <c:idx val="7"/>
          <c:order val="7"/>
          <c:tx>
            <c:strRef>
              <c:f>Pivots!$AB$51:$AB$52</c:f>
              <c:strCache>
                <c:ptCount val="1"/>
                <c:pt idx="0">
                  <c:v>11</c:v>
                </c:pt>
              </c:strCache>
            </c:strRef>
          </c:tx>
          <c:spPr>
            <a:solidFill>
              <a:schemeClr val="accent2">
                <a:lumMod val="6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Pivots!$AB$53:$AB$60</c:f>
              <c:numCache>
                <c:formatCode>General</c:formatCode>
                <c:ptCount val="7"/>
                <c:pt idx="0">
                  <c:v>47</c:v>
                </c:pt>
                <c:pt idx="3">
                  <c:v>118</c:v>
                </c:pt>
              </c:numCache>
            </c:numRef>
          </c:val>
          <c:extLst>
            <c:ext xmlns:c16="http://schemas.microsoft.com/office/drawing/2014/chart" uri="{C3380CC4-5D6E-409C-BE32-E72D297353CC}">
              <c16:uniqueId val="{00000023-9AD2-4D14-93A8-C05CACC50B47}"/>
            </c:ext>
          </c:extLst>
        </c:ser>
        <c:ser>
          <c:idx val="8"/>
          <c:order val="8"/>
          <c:tx>
            <c:strRef>
              <c:f>Pivots!$AC$51:$AC$52</c:f>
              <c:strCache>
                <c:ptCount val="1"/>
                <c:pt idx="0">
                  <c:v>12</c:v>
                </c:pt>
              </c:strCache>
            </c:strRef>
          </c:tx>
          <c:spPr>
            <a:solidFill>
              <a:schemeClr val="accent3">
                <a:lumMod val="6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Pivots!$AC$53:$AC$60</c:f>
              <c:numCache>
                <c:formatCode>General</c:formatCode>
                <c:ptCount val="7"/>
                <c:pt idx="0">
                  <c:v>95</c:v>
                </c:pt>
              </c:numCache>
            </c:numRef>
          </c:val>
          <c:extLst>
            <c:ext xmlns:c16="http://schemas.microsoft.com/office/drawing/2014/chart" uri="{C3380CC4-5D6E-409C-BE32-E72D297353CC}">
              <c16:uniqueId val="{00000024-9AD2-4D14-93A8-C05CACC50B47}"/>
            </c:ext>
          </c:extLst>
        </c:ser>
        <c:ser>
          <c:idx val="9"/>
          <c:order val="9"/>
          <c:tx>
            <c:strRef>
              <c:f>Pivots!$AD$51:$AD$52</c:f>
              <c:strCache>
                <c:ptCount val="1"/>
                <c:pt idx="0">
                  <c:v>13</c:v>
                </c:pt>
              </c:strCache>
            </c:strRef>
          </c:tx>
          <c:spPr>
            <a:solidFill>
              <a:schemeClr val="accent4">
                <a:lumMod val="6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Pivots!$AD$53:$AD$60</c:f>
              <c:numCache>
                <c:formatCode>General</c:formatCode>
                <c:ptCount val="7"/>
                <c:pt idx="3">
                  <c:v>47</c:v>
                </c:pt>
              </c:numCache>
            </c:numRef>
          </c:val>
          <c:extLst>
            <c:ext xmlns:c16="http://schemas.microsoft.com/office/drawing/2014/chart" uri="{C3380CC4-5D6E-409C-BE32-E72D297353CC}">
              <c16:uniqueId val="{00000025-9AD2-4D14-93A8-C05CACC50B47}"/>
            </c:ext>
          </c:extLst>
        </c:ser>
        <c:ser>
          <c:idx val="10"/>
          <c:order val="10"/>
          <c:tx>
            <c:strRef>
              <c:f>Pivots!$AE$51:$AE$52</c:f>
              <c:strCache>
                <c:ptCount val="1"/>
                <c:pt idx="0">
                  <c:v>14</c:v>
                </c:pt>
              </c:strCache>
            </c:strRef>
          </c:tx>
          <c:spPr>
            <a:solidFill>
              <a:schemeClr val="accent5">
                <a:lumMod val="6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Pivots!$AE$53:$AE$60</c:f>
              <c:numCache>
                <c:formatCode>General</c:formatCode>
                <c:ptCount val="7"/>
                <c:pt idx="0">
                  <c:v>46</c:v>
                </c:pt>
                <c:pt idx="3">
                  <c:v>47</c:v>
                </c:pt>
              </c:numCache>
            </c:numRef>
          </c:val>
          <c:extLst>
            <c:ext xmlns:c16="http://schemas.microsoft.com/office/drawing/2014/chart" uri="{C3380CC4-5D6E-409C-BE32-E72D297353CC}">
              <c16:uniqueId val="{00000026-9AD2-4D14-93A8-C05CACC50B47}"/>
            </c:ext>
          </c:extLst>
        </c:ser>
        <c:ser>
          <c:idx val="11"/>
          <c:order val="11"/>
          <c:tx>
            <c:strRef>
              <c:f>Pivots!$AF$51:$AF$52</c:f>
              <c:strCache>
                <c:ptCount val="1"/>
                <c:pt idx="0">
                  <c:v>15</c:v>
                </c:pt>
              </c:strCache>
            </c:strRef>
          </c:tx>
          <c:spPr>
            <a:solidFill>
              <a:schemeClr val="accent6">
                <a:lumMod val="6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Pivots!$AF$53:$AF$60</c:f>
              <c:numCache>
                <c:formatCode>General</c:formatCode>
                <c:ptCount val="7"/>
                <c:pt idx="0">
                  <c:v>23</c:v>
                </c:pt>
                <c:pt idx="3">
                  <c:v>23</c:v>
                </c:pt>
              </c:numCache>
            </c:numRef>
          </c:val>
          <c:extLst>
            <c:ext xmlns:c16="http://schemas.microsoft.com/office/drawing/2014/chart" uri="{C3380CC4-5D6E-409C-BE32-E72D297353CC}">
              <c16:uniqueId val="{00000027-9AD2-4D14-93A8-C05CACC50B47}"/>
            </c:ext>
          </c:extLst>
        </c:ser>
        <c:ser>
          <c:idx val="12"/>
          <c:order val="12"/>
          <c:tx>
            <c:strRef>
              <c:f>Pivots!$AG$51:$AG$52</c:f>
              <c:strCache>
                <c:ptCount val="1"/>
                <c:pt idx="0">
                  <c:v>50</c:v>
                </c:pt>
              </c:strCache>
            </c:strRef>
          </c:tx>
          <c:spPr>
            <a:solidFill>
              <a:schemeClr val="accent1">
                <a:lumMod val="80000"/>
                <a:lumOff val="2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Pivots!$AG$53:$AG$60</c:f>
              <c:numCache>
                <c:formatCode>General</c:formatCode>
                <c:ptCount val="7"/>
                <c:pt idx="2">
                  <c:v>24</c:v>
                </c:pt>
              </c:numCache>
            </c:numRef>
          </c:val>
          <c:extLst>
            <c:ext xmlns:c16="http://schemas.microsoft.com/office/drawing/2014/chart" uri="{C3380CC4-5D6E-409C-BE32-E72D297353CC}">
              <c16:uniqueId val="{00000028-9AD2-4D14-93A8-C05CACC50B47}"/>
            </c:ext>
          </c:extLst>
        </c:ser>
        <c:ser>
          <c:idx val="13"/>
          <c:order val="13"/>
          <c:tx>
            <c:strRef>
              <c:f>Pivots!$AH$51:$AH$52</c:f>
              <c:strCache>
                <c:ptCount val="1"/>
                <c:pt idx="0">
                  <c:v>52</c:v>
                </c:pt>
              </c:strCache>
            </c:strRef>
          </c:tx>
          <c:spPr>
            <a:solidFill>
              <a:schemeClr val="accent2">
                <a:lumMod val="80000"/>
                <a:lumOff val="2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Pivots!$AH$53:$AH$60</c:f>
              <c:numCache>
                <c:formatCode>General</c:formatCode>
                <c:ptCount val="7"/>
                <c:pt idx="2">
                  <c:v>24</c:v>
                </c:pt>
              </c:numCache>
            </c:numRef>
          </c:val>
          <c:extLst>
            <c:ext xmlns:c16="http://schemas.microsoft.com/office/drawing/2014/chart" uri="{C3380CC4-5D6E-409C-BE32-E72D297353CC}">
              <c16:uniqueId val="{00000029-9AD2-4D14-93A8-C05CACC50B47}"/>
            </c:ext>
          </c:extLst>
        </c:ser>
        <c:ser>
          <c:idx val="14"/>
          <c:order val="14"/>
          <c:tx>
            <c:strRef>
              <c:f>Pivots!$AI$51:$AI$52</c:f>
              <c:strCache>
                <c:ptCount val="1"/>
                <c:pt idx="0">
                  <c:v>55</c:v>
                </c:pt>
              </c:strCache>
            </c:strRef>
          </c:tx>
          <c:spPr>
            <a:solidFill>
              <a:schemeClr val="accent3">
                <a:lumMod val="80000"/>
                <a:lumOff val="2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Pivots!$AI$53:$AI$60</c:f>
              <c:numCache>
                <c:formatCode>General</c:formatCode>
                <c:ptCount val="7"/>
                <c:pt idx="2">
                  <c:v>24</c:v>
                </c:pt>
              </c:numCache>
            </c:numRef>
          </c:val>
          <c:extLst>
            <c:ext xmlns:c16="http://schemas.microsoft.com/office/drawing/2014/chart" uri="{C3380CC4-5D6E-409C-BE32-E72D297353CC}">
              <c16:uniqueId val="{0000002A-9AD2-4D14-93A8-C05CACC50B47}"/>
            </c:ext>
          </c:extLst>
        </c:ser>
        <c:ser>
          <c:idx val="15"/>
          <c:order val="15"/>
          <c:tx>
            <c:strRef>
              <c:f>Pivots!$AJ$51:$AJ$52</c:f>
              <c:strCache>
                <c:ptCount val="1"/>
                <c:pt idx="0">
                  <c:v>57</c:v>
                </c:pt>
              </c:strCache>
            </c:strRef>
          </c:tx>
          <c:spPr>
            <a:solidFill>
              <a:schemeClr val="accent4">
                <a:lumMod val="80000"/>
                <a:lumOff val="2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Pivots!$AJ$53:$AJ$60</c:f>
              <c:numCache>
                <c:formatCode>General</c:formatCode>
                <c:ptCount val="7"/>
                <c:pt idx="2">
                  <c:v>24</c:v>
                </c:pt>
              </c:numCache>
            </c:numRef>
          </c:val>
          <c:extLst>
            <c:ext xmlns:c16="http://schemas.microsoft.com/office/drawing/2014/chart" uri="{C3380CC4-5D6E-409C-BE32-E72D297353CC}">
              <c16:uniqueId val="{0000002B-9AD2-4D14-93A8-C05CACC50B47}"/>
            </c:ext>
          </c:extLst>
        </c:ser>
        <c:ser>
          <c:idx val="16"/>
          <c:order val="16"/>
          <c:tx>
            <c:strRef>
              <c:f>Pivots!$AK$51:$AK$52</c:f>
              <c:strCache>
                <c:ptCount val="1"/>
                <c:pt idx="0">
                  <c:v>58</c:v>
                </c:pt>
              </c:strCache>
            </c:strRef>
          </c:tx>
          <c:spPr>
            <a:solidFill>
              <a:schemeClr val="accent5">
                <a:lumMod val="80000"/>
                <a:lumOff val="2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Pivots!$AK$53:$AK$60</c:f>
              <c:numCache>
                <c:formatCode>General</c:formatCode>
                <c:ptCount val="7"/>
                <c:pt idx="2">
                  <c:v>24</c:v>
                </c:pt>
              </c:numCache>
            </c:numRef>
          </c:val>
          <c:extLst>
            <c:ext xmlns:c16="http://schemas.microsoft.com/office/drawing/2014/chart" uri="{C3380CC4-5D6E-409C-BE32-E72D297353CC}">
              <c16:uniqueId val="{0000002C-9AD2-4D14-93A8-C05CACC50B47}"/>
            </c:ext>
          </c:extLst>
        </c:ser>
        <c:ser>
          <c:idx val="17"/>
          <c:order val="17"/>
          <c:tx>
            <c:strRef>
              <c:f>Pivots!$AL$51:$AL$52</c:f>
              <c:strCache>
                <c:ptCount val="1"/>
                <c:pt idx="0">
                  <c:v>64</c:v>
                </c:pt>
              </c:strCache>
            </c:strRef>
          </c:tx>
          <c:spPr>
            <a:solidFill>
              <a:schemeClr val="accent6">
                <a:lumMod val="80000"/>
                <a:lumOff val="2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Pivots!$AL$53:$AL$60</c:f>
              <c:numCache>
                <c:formatCode>General</c:formatCode>
                <c:ptCount val="7"/>
                <c:pt idx="2">
                  <c:v>23</c:v>
                </c:pt>
              </c:numCache>
            </c:numRef>
          </c:val>
          <c:extLst>
            <c:ext xmlns:c16="http://schemas.microsoft.com/office/drawing/2014/chart" uri="{C3380CC4-5D6E-409C-BE32-E72D297353CC}">
              <c16:uniqueId val="{0000002D-9AD2-4D14-93A8-C05CACC50B47}"/>
            </c:ext>
          </c:extLst>
        </c:ser>
        <c:ser>
          <c:idx val="18"/>
          <c:order val="18"/>
          <c:tx>
            <c:strRef>
              <c:f>Pivots!$AM$51:$AM$52</c:f>
              <c:strCache>
                <c:ptCount val="1"/>
                <c:pt idx="0">
                  <c:v>66</c:v>
                </c:pt>
              </c:strCache>
            </c:strRef>
          </c:tx>
          <c:spPr>
            <a:solidFill>
              <a:schemeClr val="accent1">
                <a:lumMod val="8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Pivots!$AM$53:$AM$60</c:f>
              <c:numCache>
                <c:formatCode>General</c:formatCode>
                <c:ptCount val="7"/>
                <c:pt idx="2">
                  <c:v>23</c:v>
                </c:pt>
              </c:numCache>
            </c:numRef>
          </c:val>
          <c:extLst>
            <c:ext xmlns:c16="http://schemas.microsoft.com/office/drawing/2014/chart" uri="{C3380CC4-5D6E-409C-BE32-E72D297353CC}">
              <c16:uniqueId val="{0000002E-9AD2-4D14-93A8-C05CACC50B47}"/>
            </c:ext>
          </c:extLst>
        </c:ser>
        <c:ser>
          <c:idx val="19"/>
          <c:order val="19"/>
          <c:tx>
            <c:strRef>
              <c:f>Pivots!$AN$51:$AN$52</c:f>
              <c:strCache>
                <c:ptCount val="1"/>
                <c:pt idx="0">
                  <c:v>67</c:v>
                </c:pt>
              </c:strCache>
            </c:strRef>
          </c:tx>
          <c:spPr>
            <a:solidFill>
              <a:schemeClr val="accent2">
                <a:lumMod val="8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Pivots!$AN$53:$AN$60</c:f>
              <c:numCache>
                <c:formatCode>General</c:formatCode>
                <c:ptCount val="7"/>
                <c:pt idx="2">
                  <c:v>23</c:v>
                </c:pt>
              </c:numCache>
            </c:numRef>
          </c:val>
          <c:extLst>
            <c:ext xmlns:c16="http://schemas.microsoft.com/office/drawing/2014/chart" uri="{C3380CC4-5D6E-409C-BE32-E72D297353CC}">
              <c16:uniqueId val="{0000002F-9AD2-4D14-93A8-C05CACC50B47}"/>
            </c:ext>
          </c:extLst>
        </c:ser>
        <c:ser>
          <c:idx val="20"/>
          <c:order val="20"/>
          <c:tx>
            <c:strRef>
              <c:f>Pivots!$AO$51:$AO$52</c:f>
              <c:strCache>
                <c:ptCount val="1"/>
                <c:pt idx="0">
                  <c:v>70</c:v>
                </c:pt>
              </c:strCache>
            </c:strRef>
          </c:tx>
          <c:spPr>
            <a:solidFill>
              <a:schemeClr val="accent3">
                <a:lumMod val="8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Pivots!$AO$53:$AO$60</c:f>
              <c:numCache>
                <c:formatCode>General</c:formatCode>
                <c:ptCount val="7"/>
                <c:pt idx="2">
                  <c:v>23</c:v>
                </c:pt>
              </c:numCache>
            </c:numRef>
          </c:val>
          <c:extLst>
            <c:ext xmlns:c16="http://schemas.microsoft.com/office/drawing/2014/chart" uri="{C3380CC4-5D6E-409C-BE32-E72D297353CC}">
              <c16:uniqueId val="{00000030-9AD2-4D14-93A8-C05CACC50B47}"/>
            </c:ext>
          </c:extLst>
        </c:ser>
        <c:ser>
          <c:idx val="21"/>
          <c:order val="21"/>
          <c:tx>
            <c:strRef>
              <c:f>Pivots!$AP$51:$AP$52</c:f>
              <c:strCache>
                <c:ptCount val="1"/>
                <c:pt idx="0">
                  <c:v>73</c:v>
                </c:pt>
              </c:strCache>
            </c:strRef>
          </c:tx>
          <c:spPr>
            <a:solidFill>
              <a:schemeClr val="accent4">
                <a:lumMod val="8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Pivots!$AP$53:$AP$60</c:f>
              <c:numCache>
                <c:formatCode>General</c:formatCode>
                <c:ptCount val="7"/>
                <c:pt idx="2">
                  <c:v>23</c:v>
                </c:pt>
              </c:numCache>
            </c:numRef>
          </c:val>
          <c:extLst>
            <c:ext xmlns:c16="http://schemas.microsoft.com/office/drawing/2014/chart" uri="{C3380CC4-5D6E-409C-BE32-E72D297353CC}">
              <c16:uniqueId val="{00000031-9AD2-4D14-93A8-C05CACC50B47}"/>
            </c:ext>
          </c:extLst>
        </c:ser>
        <c:ser>
          <c:idx val="22"/>
          <c:order val="22"/>
          <c:tx>
            <c:strRef>
              <c:f>Pivots!$AQ$51:$AQ$52</c:f>
              <c:strCache>
                <c:ptCount val="1"/>
                <c:pt idx="0">
                  <c:v>232</c:v>
                </c:pt>
              </c:strCache>
            </c:strRef>
          </c:tx>
          <c:spPr>
            <a:solidFill>
              <a:schemeClr val="accent5">
                <a:lumMod val="8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Pivots!$AQ$53:$AQ$60</c:f>
              <c:numCache>
                <c:formatCode>General</c:formatCode>
                <c:ptCount val="7"/>
                <c:pt idx="1">
                  <c:v>24</c:v>
                </c:pt>
              </c:numCache>
            </c:numRef>
          </c:val>
          <c:extLst>
            <c:ext xmlns:c16="http://schemas.microsoft.com/office/drawing/2014/chart" uri="{C3380CC4-5D6E-409C-BE32-E72D297353CC}">
              <c16:uniqueId val="{00000032-9AD2-4D14-93A8-C05CACC50B47}"/>
            </c:ext>
          </c:extLst>
        </c:ser>
        <c:ser>
          <c:idx val="23"/>
          <c:order val="23"/>
          <c:tx>
            <c:strRef>
              <c:f>Pivots!$AR$51:$AR$52</c:f>
              <c:strCache>
                <c:ptCount val="1"/>
                <c:pt idx="0">
                  <c:v>233</c:v>
                </c:pt>
              </c:strCache>
            </c:strRef>
          </c:tx>
          <c:spPr>
            <a:solidFill>
              <a:schemeClr val="accent6">
                <a:lumMod val="8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Pivots!$AR$53:$AR$60</c:f>
              <c:numCache>
                <c:formatCode>General</c:formatCode>
                <c:ptCount val="7"/>
                <c:pt idx="1">
                  <c:v>24</c:v>
                </c:pt>
              </c:numCache>
            </c:numRef>
          </c:val>
          <c:extLst>
            <c:ext xmlns:c16="http://schemas.microsoft.com/office/drawing/2014/chart" uri="{C3380CC4-5D6E-409C-BE32-E72D297353CC}">
              <c16:uniqueId val="{00000033-9AD2-4D14-93A8-C05CACC50B47}"/>
            </c:ext>
          </c:extLst>
        </c:ser>
        <c:ser>
          <c:idx val="24"/>
          <c:order val="24"/>
          <c:tx>
            <c:strRef>
              <c:f>Pivots!$AS$51:$AS$52</c:f>
              <c:strCache>
                <c:ptCount val="1"/>
                <c:pt idx="0">
                  <c:v>234</c:v>
                </c:pt>
              </c:strCache>
            </c:strRef>
          </c:tx>
          <c:spPr>
            <a:solidFill>
              <a:schemeClr val="accent1">
                <a:lumMod val="60000"/>
                <a:lumOff val="4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Pivots!$AS$53:$AS$60</c:f>
              <c:numCache>
                <c:formatCode>General</c:formatCode>
                <c:ptCount val="7"/>
                <c:pt idx="1">
                  <c:v>24</c:v>
                </c:pt>
              </c:numCache>
            </c:numRef>
          </c:val>
          <c:extLst>
            <c:ext xmlns:c16="http://schemas.microsoft.com/office/drawing/2014/chart" uri="{C3380CC4-5D6E-409C-BE32-E72D297353CC}">
              <c16:uniqueId val="{00000034-9AD2-4D14-93A8-C05CACC50B47}"/>
            </c:ext>
          </c:extLst>
        </c:ser>
        <c:ser>
          <c:idx val="25"/>
          <c:order val="25"/>
          <c:tx>
            <c:strRef>
              <c:f>Pivots!$AT$51:$AT$52</c:f>
              <c:strCache>
                <c:ptCount val="1"/>
                <c:pt idx="0">
                  <c:v>243</c:v>
                </c:pt>
              </c:strCache>
            </c:strRef>
          </c:tx>
          <c:spPr>
            <a:solidFill>
              <a:schemeClr val="accent2">
                <a:lumMod val="60000"/>
                <a:lumOff val="4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Pivots!$AT$53:$AT$60</c:f>
              <c:numCache>
                <c:formatCode>General</c:formatCode>
                <c:ptCount val="7"/>
                <c:pt idx="1">
                  <c:v>48</c:v>
                </c:pt>
              </c:numCache>
            </c:numRef>
          </c:val>
          <c:extLst>
            <c:ext xmlns:c16="http://schemas.microsoft.com/office/drawing/2014/chart" uri="{C3380CC4-5D6E-409C-BE32-E72D297353CC}">
              <c16:uniqueId val="{00000035-9AD2-4D14-93A8-C05CACC50B47}"/>
            </c:ext>
          </c:extLst>
        </c:ser>
        <c:ser>
          <c:idx val="26"/>
          <c:order val="26"/>
          <c:tx>
            <c:strRef>
              <c:f>Pivots!$AU$51:$AU$52</c:f>
              <c:strCache>
                <c:ptCount val="1"/>
                <c:pt idx="0">
                  <c:v>262</c:v>
                </c:pt>
              </c:strCache>
            </c:strRef>
          </c:tx>
          <c:spPr>
            <a:solidFill>
              <a:schemeClr val="accent3">
                <a:lumMod val="60000"/>
                <a:lumOff val="4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Pivots!$AU$53:$AU$60</c:f>
              <c:numCache>
                <c:formatCode>General</c:formatCode>
                <c:ptCount val="7"/>
                <c:pt idx="1">
                  <c:v>23</c:v>
                </c:pt>
              </c:numCache>
            </c:numRef>
          </c:val>
          <c:extLst>
            <c:ext xmlns:c16="http://schemas.microsoft.com/office/drawing/2014/chart" uri="{C3380CC4-5D6E-409C-BE32-E72D297353CC}">
              <c16:uniqueId val="{00000036-9AD2-4D14-93A8-C05CACC50B47}"/>
            </c:ext>
          </c:extLst>
        </c:ser>
        <c:ser>
          <c:idx val="27"/>
          <c:order val="27"/>
          <c:tx>
            <c:strRef>
              <c:f>Pivots!$AV$51:$AV$52</c:f>
              <c:strCache>
                <c:ptCount val="1"/>
                <c:pt idx="0">
                  <c:v>263</c:v>
                </c:pt>
              </c:strCache>
            </c:strRef>
          </c:tx>
          <c:spPr>
            <a:solidFill>
              <a:schemeClr val="accent4">
                <a:lumMod val="60000"/>
                <a:lumOff val="4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Pivots!$AV$53:$AV$60</c:f>
              <c:numCache>
                <c:formatCode>General</c:formatCode>
                <c:ptCount val="7"/>
                <c:pt idx="1">
                  <c:v>23</c:v>
                </c:pt>
              </c:numCache>
            </c:numRef>
          </c:val>
          <c:extLst>
            <c:ext xmlns:c16="http://schemas.microsoft.com/office/drawing/2014/chart" uri="{C3380CC4-5D6E-409C-BE32-E72D297353CC}">
              <c16:uniqueId val="{00000037-9AD2-4D14-93A8-C05CACC50B47}"/>
            </c:ext>
          </c:extLst>
        </c:ser>
        <c:ser>
          <c:idx val="28"/>
          <c:order val="28"/>
          <c:tx>
            <c:strRef>
              <c:f>Pivots!$AW$51:$AW$52</c:f>
              <c:strCache>
                <c:ptCount val="1"/>
                <c:pt idx="0">
                  <c:v>264</c:v>
                </c:pt>
              </c:strCache>
            </c:strRef>
          </c:tx>
          <c:spPr>
            <a:solidFill>
              <a:schemeClr val="accent5">
                <a:lumMod val="60000"/>
                <a:lumOff val="4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Pivots!$AW$53:$AW$60</c:f>
              <c:numCache>
                <c:formatCode>General</c:formatCode>
                <c:ptCount val="7"/>
                <c:pt idx="1">
                  <c:v>23</c:v>
                </c:pt>
              </c:numCache>
            </c:numRef>
          </c:val>
          <c:extLst>
            <c:ext xmlns:c16="http://schemas.microsoft.com/office/drawing/2014/chart" uri="{C3380CC4-5D6E-409C-BE32-E72D297353CC}">
              <c16:uniqueId val="{00000038-9AD2-4D14-93A8-C05CACC50B47}"/>
            </c:ext>
          </c:extLst>
        </c:ser>
        <c:ser>
          <c:idx val="29"/>
          <c:order val="29"/>
          <c:tx>
            <c:strRef>
              <c:f>Pivots!$AX$51:$AX$52</c:f>
              <c:strCache>
                <c:ptCount val="1"/>
                <c:pt idx="0">
                  <c:v>267</c:v>
                </c:pt>
              </c:strCache>
            </c:strRef>
          </c:tx>
          <c:spPr>
            <a:solidFill>
              <a:schemeClr val="accent6">
                <a:lumMod val="60000"/>
                <a:lumOff val="4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Pivots!$AX$53:$AX$60</c:f>
              <c:numCache>
                <c:formatCode>General</c:formatCode>
                <c:ptCount val="7"/>
                <c:pt idx="1">
                  <c:v>23</c:v>
                </c:pt>
              </c:numCache>
            </c:numRef>
          </c:val>
          <c:extLst>
            <c:ext xmlns:c16="http://schemas.microsoft.com/office/drawing/2014/chart" uri="{C3380CC4-5D6E-409C-BE32-E72D297353CC}">
              <c16:uniqueId val="{00000039-9AD2-4D14-93A8-C05CACC50B47}"/>
            </c:ext>
          </c:extLst>
        </c:ser>
        <c:ser>
          <c:idx val="30"/>
          <c:order val="30"/>
          <c:tx>
            <c:strRef>
              <c:f>Pivots!$AY$51:$AY$52</c:f>
              <c:strCache>
                <c:ptCount val="1"/>
                <c:pt idx="0">
                  <c:v>276</c:v>
                </c:pt>
              </c:strCache>
            </c:strRef>
          </c:tx>
          <c:spPr>
            <a:solidFill>
              <a:schemeClr val="accent1">
                <a:lumMod val="5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Pivots!$AY$53:$AY$60</c:f>
              <c:numCache>
                <c:formatCode>General</c:formatCode>
                <c:ptCount val="7"/>
                <c:pt idx="1">
                  <c:v>23</c:v>
                </c:pt>
              </c:numCache>
            </c:numRef>
          </c:val>
          <c:extLst>
            <c:ext xmlns:c16="http://schemas.microsoft.com/office/drawing/2014/chart" uri="{C3380CC4-5D6E-409C-BE32-E72D297353CC}">
              <c16:uniqueId val="{0000003A-9AD2-4D14-93A8-C05CACC50B47}"/>
            </c:ext>
          </c:extLst>
        </c:ser>
        <c:ser>
          <c:idx val="31"/>
          <c:order val="31"/>
          <c:tx>
            <c:strRef>
              <c:f>Pivots!$AZ$51:$AZ$52</c:f>
              <c:strCache>
                <c:ptCount val="1"/>
                <c:pt idx="0">
                  <c:v>(blank)</c:v>
                </c:pt>
              </c:strCache>
            </c:strRef>
          </c:tx>
          <c:spPr>
            <a:solidFill>
              <a:schemeClr val="accent2">
                <a:lumMod val="50000"/>
              </a:schemeClr>
            </a:solidFill>
            <a:ln>
              <a:noFill/>
            </a:ln>
            <a:effectLst/>
          </c:spPr>
          <c:invertIfNegative val="0"/>
          <c:cat>
            <c:strRef>
              <c:f>Pivots!$T$53:$T$60</c:f>
              <c:strCache>
                <c:ptCount val="7"/>
                <c:pt idx="0">
                  <c:v>Emblem Q-TRAK SQ Electrode</c:v>
                </c:pt>
                <c:pt idx="1">
                  <c:v>Emblem S-ICD</c:v>
                </c:pt>
                <c:pt idx="2">
                  <c:v>Emblem S-ICD Electrode</c:v>
                </c:pt>
                <c:pt idx="3">
                  <c:v>Subcutaneous defib electrode</c:v>
                </c:pt>
                <c:pt idx="4">
                  <c:v>Subcutaneous ICD (1010)</c:v>
                </c:pt>
                <c:pt idx="5">
                  <c:v>Subcutaneous ICD Accessory</c:v>
                </c:pt>
                <c:pt idx="6">
                  <c:v>(blank)</c:v>
                </c:pt>
              </c:strCache>
            </c:strRef>
          </c:cat>
          <c:val>
            <c:numRef>
              <c:f>Pivots!$AZ$53:$AZ$60</c:f>
              <c:numCache>
                <c:formatCode>General</c:formatCode>
                <c:ptCount val="7"/>
              </c:numCache>
            </c:numRef>
          </c:val>
          <c:extLst>
            <c:ext xmlns:c16="http://schemas.microsoft.com/office/drawing/2014/chart" uri="{C3380CC4-5D6E-409C-BE32-E72D297353CC}">
              <c16:uniqueId val="{0000003B-9AD2-4D14-93A8-C05CACC50B47}"/>
            </c:ext>
          </c:extLst>
        </c:ser>
        <c:dLbls>
          <c:showLegendKey val="0"/>
          <c:showVal val="0"/>
          <c:showCatName val="0"/>
          <c:showSerName val="0"/>
          <c:showPercent val="0"/>
          <c:showBubbleSize val="0"/>
        </c:dLbls>
        <c:gapWidth val="219"/>
        <c:overlap val="-27"/>
        <c:axId val="358672687"/>
        <c:axId val="358664487"/>
      </c:barChart>
      <c:catAx>
        <c:axId val="35867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664487"/>
        <c:crosses val="autoZero"/>
        <c:auto val="1"/>
        <c:lblAlgn val="ctr"/>
        <c:lblOffset val="100"/>
        <c:noMultiLvlLbl val="0"/>
      </c:catAx>
      <c:valAx>
        <c:axId val="358664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672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[Emblem S-ICD CheckPoint.xlsm]Pivots!PivotTable5</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Pivots!$D$6</c:f>
              <c:strCache>
                <c:ptCount val="1"/>
                <c:pt idx="0">
                  <c:v>Sum of Open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Pivots!$C$7:$C$57</c:f>
              <c:multiLvlStrCache>
                <c:ptCount val="25"/>
                <c:lvl>
                  <c:pt idx="0">
                    <c:v>44</c:v>
                  </c:pt>
                  <c:pt idx="1">
                    <c:v>44</c:v>
                  </c:pt>
                  <c:pt idx="2">
                    <c:v>44</c:v>
                  </c:pt>
                  <c:pt idx="3">
                    <c:v>44</c:v>
                  </c:pt>
                  <c:pt idx="4">
                    <c:v>44</c:v>
                  </c:pt>
                  <c:pt idx="5">
                    <c:v>45</c:v>
                  </c:pt>
                  <c:pt idx="6">
                    <c:v>45</c:v>
                  </c:pt>
                  <c:pt idx="7">
                    <c:v>45</c:v>
                  </c:pt>
                  <c:pt idx="8">
                    <c:v>45</c:v>
                  </c:pt>
                  <c:pt idx="9">
                    <c:v>45</c:v>
                  </c:pt>
                  <c:pt idx="10">
                    <c:v>46</c:v>
                  </c:pt>
                  <c:pt idx="11">
                    <c:v>46</c:v>
                  </c:pt>
                  <c:pt idx="12">
                    <c:v>46</c:v>
                  </c:pt>
                  <c:pt idx="13">
                    <c:v>46</c:v>
                  </c:pt>
                  <c:pt idx="14">
                    <c:v>46</c:v>
                  </c:pt>
                  <c:pt idx="15">
                    <c:v>47</c:v>
                  </c:pt>
                  <c:pt idx="16">
                    <c:v>47</c:v>
                  </c:pt>
                  <c:pt idx="17">
                    <c:v>47</c:v>
                  </c:pt>
                  <c:pt idx="18">
                    <c:v>47</c:v>
                  </c:pt>
                  <c:pt idx="19">
                    <c:v>47</c:v>
                  </c:pt>
                  <c:pt idx="20">
                    <c:v>48</c:v>
                  </c:pt>
                  <c:pt idx="21">
                    <c:v>48</c:v>
                  </c:pt>
                  <c:pt idx="22">
                    <c:v>48</c:v>
                  </c:pt>
                  <c:pt idx="23">
                    <c:v>48</c:v>
                  </c:pt>
                  <c:pt idx="24">
                    <c:v>48</c:v>
                  </c:pt>
                </c:lvl>
                <c:lvl>
                  <c:pt idx="0">
                    <c:v>10/30/2023</c:v>
                  </c:pt>
                  <c:pt idx="1">
                    <c:v>10/31/2023</c:v>
                  </c:pt>
                  <c:pt idx="2">
                    <c:v>11/1/2023</c:v>
                  </c:pt>
                  <c:pt idx="3">
                    <c:v>11/2/2023</c:v>
                  </c:pt>
                  <c:pt idx="4">
                    <c:v>11/3/2023</c:v>
                  </c:pt>
                  <c:pt idx="5">
                    <c:v>11/6/2023</c:v>
                  </c:pt>
                  <c:pt idx="6">
                    <c:v>11/7/2023</c:v>
                  </c:pt>
                  <c:pt idx="7">
                    <c:v>11/8/2023</c:v>
                  </c:pt>
                  <c:pt idx="8">
                    <c:v>11/9/2023</c:v>
                  </c:pt>
                  <c:pt idx="9">
                    <c:v>11/10/2023</c:v>
                  </c:pt>
                  <c:pt idx="10">
                    <c:v>11/13/2023</c:v>
                  </c:pt>
                  <c:pt idx="11">
                    <c:v>11/14/2023</c:v>
                  </c:pt>
                  <c:pt idx="12">
                    <c:v>11/15/2023</c:v>
                  </c:pt>
                  <c:pt idx="13">
                    <c:v>11/16/2023</c:v>
                  </c:pt>
                  <c:pt idx="14">
                    <c:v>11/17/2023</c:v>
                  </c:pt>
                  <c:pt idx="15">
                    <c:v>11/20/2023</c:v>
                  </c:pt>
                  <c:pt idx="16">
                    <c:v>11/21/2023</c:v>
                  </c:pt>
                  <c:pt idx="17">
                    <c:v>11/22/2023</c:v>
                  </c:pt>
                  <c:pt idx="18">
                    <c:v>11/23/2023</c:v>
                  </c:pt>
                  <c:pt idx="19">
                    <c:v>11/24/2023</c:v>
                  </c:pt>
                  <c:pt idx="20">
                    <c:v>11/27/2023</c:v>
                  </c:pt>
                  <c:pt idx="21">
                    <c:v>11/28/2023</c:v>
                  </c:pt>
                  <c:pt idx="22">
                    <c:v>11/29/2023</c:v>
                  </c:pt>
                  <c:pt idx="23">
                    <c:v>11/30/2023</c:v>
                  </c:pt>
                  <c:pt idx="24">
                    <c:v>12/1/2023</c:v>
                  </c:pt>
                </c:lvl>
              </c:multiLvlStrCache>
            </c:multiLvlStrRef>
          </c:cat>
          <c:val>
            <c:numRef>
              <c:f>Pivots!$D$7:$D$57</c:f>
              <c:numCache>
                <c:formatCode>General</c:formatCode>
                <c:ptCount val="25"/>
                <c:pt idx="0">
                  <c:v>319</c:v>
                </c:pt>
                <c:pt idx="1">
                  <c:v>317</c:v>
                </c:pt>
                <c:pt idx="2">
                  <c:v>300</c:v>
                </c:pt>
                <c:pt idx="3">
                  <c:v>317</c:v>
                </c:pt>
                <c:pt idx="4">
                  <c:v>316</c:v>
                </c:pt>
                <c:pt idx="5">
                  <c:v>343</c:v>
                </c:pt>
                <c:pt idx="6">
                  <c:v>362</c:v>
                </c:pt>
                <c:pt idx="7">
                  <c:v>369</c:v>
                </c:pt>
                <c:pt idx="8">
                  <c:v>351</c:v>
                </c:pt>
                <c:pt idx="9">
                  <c:v>360</c:v>
                </c:pt>
                <c:pt idx="10">
                  <c:v>333</c:v>
                </c:pt>
                <c:pt idx="11">
                  <c:v>359</c:v>
                </c:pt>
                <c:pt idx="12">
                  <c:v>367</c:v>
                </c:pt>
                <c:pt idx="13">
                  <c:v>367</c:v>
                </c:pt>
                <c:pt idx="14">
                  <c:v>376</c:v>
                </c:pt>
                <c:pt idx="15">
                  <c:v>386</c:v>
                </c:pt>
                <c:pt idx="16">
                  <c:v>384</c:v>
                </c:pt>
                <c:pt idx="17">
                  <c:v>389</c:v>
                </c:pt>
                <c:pt idx="18">
                  <c:v>388</c:v>
                </c:pt>
                <c:pt idx="19">
                  <c:v>379</c:v>
                </c:pt>
                <c:pt idx="20">
                  <c:v>356</c:v>
                </c:pt>
                <c:pt idx="21">
                  <c:v>363</c:v>
                </c:pt>
                <c:pt idx="22">
                  <c:v>352</c:v>
                </c:pt>
                <c:pt idx="23">
                  <c:v>350</c:v>
                </c:pt>
                <c:pt idx="24">
                  <c:v>332</c:v>
                </c:pt>
              </c:numCache>
            </c:numRef>
          </c:val>
          <c:smooth val="0"/>
          <c:extLst>
            <c:ext xmlns:c16="http://schemas.microsoft.com/office/drawing/2014/chart" uri="{C3380CC4-5D6E-409C-BE32-E72D297353CC}">
              <c16:uniqueId val="{00000000-66E4-430C-90C4-E6D9E8CE0529}"/>
            </c:ext>
          </c:extLst>
        </c:ser>
        <c:ser>
          <c:idx val="1"/>
          <c:order val="1"/>
          <c:tx>
            <c:strRef>
              <c:f>Pivots!$E$6</c:f>
              <c:strCache>
                <c:ptCount val="1"/>
                <c:pt idx="0">
                  <c:v>Sum of Coyol/YES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Pivots!$C$7:$C$57</c:f>
              <c:multiLvlStrCache>
                <c:ptCount val="25"/>
                <c:lvl>
                  <c:pt idx="0">
                    <c:v>44</c:v>
                  </c:pt>
                  <c:pt idx="1">
                    <c:v>44</c:v>
                  </c:pt>
                  <c:pt idx="2">
                    <c:v>44</c:v>
                  </c:pt>
                  <c:pt idx="3">
                    <c:v>44</c:v>
                  </c:pt>
                  <c:pt idx="4">
                    <c:v>44</c:v>
                  </c:pt>
                  <c:pt idx="5">
                    <c:v>45</c:v>
                  </c:pt>
                  <c:pt idx="6">
                    <c:v>45</c:v>
                  </c:pt>
                  <c:pt idx="7">
                    <c:v>45</c:v>
                  </c:pt>
                  <c:pt idx="8">
                    <c:v>45</c:v>
                  </c:pt>
                  <c:pt idx="9">
                    <c:v>45</c:v>
                  </c:pt>
                  <c:pt idx="10">
                    <c:v>46</c:v>
                  </c:pt>
                  <c:pt idx="11">
                    <c:v>46</c:v>
                  </c:pt>
                  <c:pt idx="12">
                    <c:v>46</c:v>
                  </c:pt>
                  <c:pt idx="13">
                    <c:v>46</c:v>
                  </c:pt>
                  <c:pt idx="14">
                    <c:v>46</c:v>
                  </c:pt>
                  <c:pt idx="15">
                    <c:v>47</c:v>
                  </c:pt>
                  <c:pt idx="16">
                    <c:v>47</c:v>
                  </c:pt>
                  <c:pt idx="17">
                    <c:v>47</c:v>
                  </c:pt>
                  <c:pt idx="18">
                    <c:v>47</c:v>
                  </c:pt>
                  <c:pt idx="19">
                    <c:v>47</c:v>
                  </c:pt>
                  <c:pt idx="20">
                    <c:v>48</c:v>
                  </c:pt>
                  <c:pt idx="21">
                    <c:v>48</c:v>
                  </c:pt>
                  <c:pt idx="22">
                    <c:v>48</c:v>
                  </c:pt>
                  <c:pt idx="23">
                    <c:v>48</c:v>
                  </c:pt>
                  <c:pt idx="24">
                    <c:v>48</c:v>
                  </c:pt>
                </c:lvl>
                <c:lvl>
                  <c:pt idx="0">
                    <c:v>10/30/2023</c:v>
                  </c:pt>
                  <c:pt idx="1">
                    <c:v>10/31/2023</c:v>
                  </c:pt>
                  <c:pt idx="2">
                    <c:v>11/1/2023</c:v>
                  </c:pt>
                  <c:pt idx="3">
                    <c:v>11/2/2023</c:v>
                  </c:pt>
                  <c:pt idx="4">
                    <c:v>11/3/2023</c:v>
                  </c:pt>
                  <c:pt idx="5">
                    <c:v>11/6/2023</c:v>
                  </c:pt>
                  <c:pt idx="6">
                    <c:v>11/7/2023</c:v>
                  </c:pt>
                  <c:pt idx="7">
                    <c:v>11/8/2023</c:v>
                  </c:pt>
                  <c:pt idx="8">
                    <c:v>11/9/2023</c:v>
                  </c:pt>
                  <c:pt idx="9">
                    <c:v>11/10/2023</c:v>
                  </c:pt>
                  <c:pt idx="10">
                    <c:v>11/13/2023</c:v>
                  </c:pt>
                  <c:pt idx="11">
                    <c:v>11/14/2023</c:v>
                  </c:pt>
                  <c:pt idx="12">
                    <c:v>11/15/2023</c:v>
                  </c:pt>
                  <c:pt idx="13">
                    <c:v>11/16/2023</c:v>
                  </c:pt>
                  <c:pt idx="14">
                    <c:v>11/17/2023</c:v>
                  </c:pt>
                  <c:pt idx="15">
                    <c:v>11/20/2023</c:v>
                  </c:pt>
                  <c:pt idx="16">
                    <c:v>11/21/2023</c:v>
                  </c:pt>
                  <c:pt idx="17">
                    <c:v>11/22/2023</c:v>
                  </c:pt>
                  <c:pt idx="18">
                    <c:v>11/23/2023</c:v>
                  </c:pt>
                  <c:pt idx="19">
                    <c:v>11/24/2023</c:v>
                  </c:pt>
                  <c:pt idx="20">
                    <c:v>11/27/2023</c:v>
                  </c:pt>
                  <c:pt idx="21">
                    <c:v>11/28/2023</c:v>
                  </c:pt>
                  <c:pt idx="22">
                    <c:v>11/29/2023</c:v>
                  </c:pt>
                  <c:pt idx="23">
                    <c:v>11/30/2023</c:v>
                  </c:pt>
                  <c:pt idx="24">
                    <c:v>12/1/2023</c:v>
                  </c:pt>
                </c:lvl>
              </c:multiLvlStrCache>
            </c:multiLvlStrRef>
          </c:cat>
          <c:val>
            <c:numRef>
              <c:f>Pivots!$E$7:$E$57</c:f>
              <c:numCache>
                <c:formatCode>General</c:formatCode>
                <c:ptCount val="25"/>
                <c:pt idx="0">
                  <c:v>121</c:v>
                </c:pt>
                <c:pt idx="1">
                  <c:v>122</c:v>
                </c:pt>
                <c:pt idx="2">
                  <c:v>81</c:v>
                </c:pt>
                <c:pt idx="3">
                  <c:v>112</c:v>
                </c:pt>
                <c:pt idx="4">
                  <c:v>101</c:v>
                </c:pt>
                <c:pt idx="5">
                  <c:v>120</c:v>
                </c:pt>
                <c:pt idx="6">
                  <c:v>132</c:v>
                </c:pt>
                <c:pt idx="7">
                  <c:v>117</c:v>
                </c:pt>
                <c:pt idx="8">
                  <c:v>93</c:v>
                </c:pt>
                <c:pt idx="9">
                  <c:v>118</c:v>
                </c:pt>
                <c:pt idx="10">
                  <c:v>134</c:v>
                </c:pt>
                <c:pt idx="11">
                  <c:v>139</c:v>
                </c:pt>
                <c:pt idx="12">
                  <c:v>116</c:v>
                </c:pt>
                <c:pt idx="13">
                  <c:v>94</c:v>
                </c:pt>
                <c:pt idx="14">
                  <c:v>90</c:v>
                </c:pt>
                <c:pt idx="15">
                  <c:v>135</c:v>
                </c:pt>
                <c:pt idx="16">
                  <c:v>140</c:v>
                </c:pt>
                <c:pt idx="17">
                  <c:v>119</c:v>
                </c:pt>
                <c:pt idx="18">
                  <c:v>118</c:v>
                </c:pt>
                <c:pt idx="19">
                  <c:v>139</c:v>
                </c:pt>
                <c:pt idx="20">
                  <c:v>159</c:v>
                </c:pt>
                <c:pt idx="21">
                  <c:v>161</c:v>
                </c:pt>
                <c:pt idx="22">
                  <c:v>134</c:v>
                </c:pt>
                <c:pt idx="23">
                  <c:v>149</c:v>
                </c:pt>
                <c:pt idx="24">
                  <c:v>123</c:v>
                </c:pt>
              </c:numCache>
            </c:numRef>
          </c:val>
          <c:smooth val="0"/>
          <c:extLst>
            <c:ext xmlns:c16="http://schemas.microsoft.com/office/drawing/2014/chart" uri="{C3380CC4-5D6E-409C-BE32-E72D297353CC}">
              <c16:uniqueId val="{00000001-66E4-430C-90C4-E6D9E8CE0529}"/>
            </c:ext>
          </c:extLst>
        </c:ser>
        <c:ser>
          <c:idx val="2"/>
          <c:order val="2"/>
          <c:tx>
            <c:strRef>
              <c:f>Pivots!$F$6</c:f>
              <c:strCache>
                <c:ptCount val="1"/>
                <c:pt idx="0">
                  <c:v>Sum of Coyol/NO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Pivots!$C$7:$C$57</c:f>
              <c:multiLvlStrCache>
                <c:ptCount val="25"/>
                <c:lvl>
                  <c:pt idx="0">
                    <c:v>44</c:v>
                  </c:pt>
                  <c:pt idx="1">
                    <c:v>44</c:v>
                  </c:pt>
                  <c:pt idx="2">
                    <c:v>44</c:v>
                  </c:pt>
                  <c:pt idx="3">
                    <c:v>44</c:v>
                  </c:pt>
                  <c:pt idx="4">
                    <c:v>44</c:v>
                  </c:pt>
                  <c:pt idx="5">
                    <c:v>45</c:v>
                  </c:pt>
                  <c:pt idx="6">
                    <c:v>45</c:v>
                  </c:pt>
                  <c:pt idx="7">
                    <c:v>45</c:v>
                  </c:pt>
                  <c:pt idx="8">
                    <c:v>45</c:v>
                  </c:pt>
                  <c:pt idx="9">
                    <c:v>45</c:v>
                  </c:pt>
                  <c:pt idx="10">
                    <c:v>46</c:v>
                  </c:pt>
                  <c:pt idx="11">
                    <c:v>46</c:v>
                  </c:pt>
                  <c:pt idx="12">
                    <c:v>46</c:v>
                  </c:pt>
                  <c:pt idx="13">
                    <c:v>46</c:v>
                  </c:pt>
                  <c:pt idx="14">
                    <c:v>46</c:v>
                  </c:pt>
                  <c:pt idx="15">
                    <c:v>47</c:v>
                  </c:pt>
                  <c:pt idx="16">
                    <c:v>47</c:v>
                  </c:pt>
                  <c:pt idx="17">
                    <c:v>47</c:v>
                  </c:pt>
                  <c:pt idx="18">
                    <c:v>47</c:v>
                  </c:pt>
                  <c:pt idx="19">
                    <c:v>47</c:v>
                  </c:pt>
                  <c:pt idx="20">
                    <c:v>48</c:v>
                  </c:pt>
                  <c:pt idx="21">
                    <c:v>48</c:v>
                  </c:pt>
                  <c:pt idx="22">
                    <c:v>48</c:v>
                  </c:pt>
                  <c:pt idx="23">
                    <c:v>48</c:v>
                  </c:pt>
                  <c:pt idx="24">
                    <c:v>48</c:v>
                  </c:pt>
                </c:lvl>
                <c:lvl>
                  <c:pt idx="0">
                    <c:v>10/30/2023</c:v>
                  </c:pt>
                  <c:pt idx="1">
                    <c:v>10/31/2023</c:v>
                  </c:pt>
                  <c:pt idx="2">
                    <c:v>11/1/2023</c:v>
                  </c:pt>
                  <c:pt idx="3">
                    <c:v>11/2/2023</c:v>
                  </c:pt>
                  <c:pt idx="4">
                    <c:v>11/3/2023</c:v>
                  </c:pt>
                  <c:pt idx="5">
                    <c:v>11/6/2023</c:v>
                  </c:pt>
                  <c:pt idx="6">
                    <c:v>11/7/2023</c:v>
                  </c:pt>
                  <c:pt idx="7">
                    <c:v>11/8/2023</c:v>
                  </c:pt>
                  <c:pt idx="8">
                    <c:v>11/9/2023</c:v>
                  </c:pt>
                  <c:pt idx="9">
                    <c:v>11/10/2023</c:v>
                  </c:pt>
                  <c:pt idx="10">
                    <c:v>11/13/2023</c:v>
                  </c:pt>
                  <c:pt idx="11">
                    <c:v>11/14/2023</c:v>
                  </c:pt>
                  <c:pt idx="12">
                    <c:v>11/15/2023</c:v>
                  </c:pt>
                  <c:pt idx="13">
                    <c:v>11/16/2023</c:v>
                  </c:pt>
                  <c:pt idx="14">
                    <c:v>11/17/2023</c:v>
                  </c:pt>
                  <c:pt idx="15">
                    <c:v>11/20/2023</c:v>
                  </c:pt>
                  <c:pt idx="16">
                    <c:v>11/21/2023</c:v>
                  </c:pt>
                  <c:pt idx="17">
                    <c:v>11/22/2023</c:v>
                  </c:pt>
                  <c:pt idx="18">
                    <c:v>11/23/2023</c:v>
                  </c:pt>
                  <c:pt idx="19">
                    <c:v>11/24/2023</c:v>
                  </c:pt>
                  <c:pt idx="20">
                    <c:v>11/27/2023</c:v>
                  </c:pt>
                  <c:pt idx="21">
                    <c:v>11/28/2023</c:v>
                  </c:pt>
                  <c:pt idx="22">
                    <c:v>11/29/2023</c:v>
                  </c:pt>
                  <c:pt idx="23">
                    <c:v>11/30/2023</c:v>
                  </c:pt>
                  <c:pt idx="24">
                    <c:v>12/1/2023</c:v>
                  </c:pt>
                </c:lvl>
              </c:multiLvlStrCache>
            </c:multiLvlStrRef>
          </c:cat>
          <c:val>
            <c:numRef>
              <c:f>Pivots!$F$7:$F$57</c:f>
              <c:numCache>
                <c:formatCode>General</c:formatCode>
                <c:ptCount val="25"/>
                <c:pt idx="0">
                  <c:v>118</c:v>
                </c:pt>
                <c:pt idx="1">
                  <c:v>117</c:v>
                </c:pt>
                <c:pt idx="2">
                  <c:v>155</c:v>
                </c:pt>
                <c:pt idx="3">
                  <c:v>136</c:v>
                </c:pt>
                <c:pt idx="4">
                  <c:v>139</c:v>
                </c:pt>
                <c:pt idx="5">
                  <c:v>138</c:v>
                </c:pt>
                <c:pt idx="6">
                  <c:v>147</c:v>
                </c:pt>
                <c:pt idx="7">
                  <c:v>166</c:v>
                </c:pt>
                <c:pt idx="8">
                  <c:v>178</c:v>
                </c:pt>
                <c:pt idx="9">
                  <c:v>149</c:v>
                </c:pt>
                <c:pt idx="10">
                  <c:v>123</c:v>
                </c:pt>
                <c:pt idx="11">
                  <c:v>138</c:v>
                </c:pt>
                <c:pt idx="12">
                  <c:v>164</c:v>
                </c:pt>
                <c:pt idx="13">
                  <c:v>190</c:v>
                </c:pt>
                <c:pt idx="14">
                  <c:v>203</c:v>
                </c:pt>
                <c:pt idx="15">
                  <c:v>158</c:v>
                </c:pt>
                <c:pt idx="16">
                  <c:v>170</c:v>
                </c:pt>
                <c:pt idx="17">
                  <c:v>182</c:v>
                </c:pt>
                <c:pt idx="18">
                  <c:v>183</c:v>
                </c:pt>
                <c:pt idx="19">
                  <c:v>151</c:v>
                </c:pt>
                <c:pt idx="20">
                  <c:v>108</c:v>
                </c:pt>
                <c:pt idx="21">
                  <c:v>116</c:v>
                </c:pt>
                <c:pt idx="22">
                  <c:v>132</c:v>
                </c:pt>
                <c:pt idx="23">
                  <c:v>116</c:v>
                </c:pt>
                <c:pt idx="24">
                  <c:v>130</c:v>
                </c:pt>
              </c:numCache>
            </c:numRef>
          </c:val>
          <c:smooth val="0"/>
          <c:extLst>
            <c:ext xmlns:c16="http://schemas.microsoft.com/office/drawing/2014/chart" uri="{C3380CC4-5D6E-409C-BE32-E72D297353CC}">
              <c16:uniqueId val="{00000002-66E4-430C-90C4-E6D9E8CE0529}"/>
            </c:ext>
          </c:extLst>
        </c:ser>
        <c:dLbls>
          <c:showLegendKey val="0"/>
          <c:showVal val="0"/>
          <c:showCatName val="0"/>
          <c:showSerName val="0"/>
          <c:showPercent val="0"/>
          <c:showBubbleSize val="0"/>
        </c:dLbls>
        <c:marker val="1"/>
        <c:smooth val="0"/>
        <c:axId val="358692367"/>
        <c:axId val="358692039"/>
      </c:lineChart>
      <c:catAx>
        <c:axId val="358692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692039"/>
        <c:crosses val="autoZero"/>
        <c:auto val="1"/>
        <c:lblAlgn val="ctr"/>
        <c:lblOffset val="100"/>
        <c:noMultiLvlLbl val="0"/>
      </c:catAx>
      <c:valAx>
        <c:axId val="358692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692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[Emblem S-ICD CheckPoint.xlsm]Pivots!PivotTable7</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Pivots!$BJ$11</c:f>
              <c:strCache>
                <c:ptCount val="1"/>
                <c:pt idx="0">
                  <c:v>Total</c:v>
                </c:pt>
              </c:strCache>
            </c:strRef>
          </c:tx>
          <c:spPr>
            <a:solidFill>
              <a:schemeClr val="accent1"/>
            </a:solidFill>
            <a:ln>
              <a:noFill/>
            </a:ln>
            <a:effectLst/>
          </c:spPr>
          <c:invertIfNegative val="0"/>
          <c:cat>
            <c:multiLvlStrRef>
              <c:f>Pivots!$BI$12:$BI$62</c:f>
              <c:multiLvlStrCache>
                <c:ptCount val="25"/>
                <c:lvl>
                  <c:pt idx="0">
                    <c:v>Emblem Q-TRAK SQ Electrode</c:v>
                  </c:pt>
                  <c:pt idx="1">
                    <c:v>Emblem Q-TRAK SQ Electrode</c:v>
                  </c:pt>
                  <c:pt idx="2">
                    <c:v>Emblem Q-TRAK SQ Electrode</c:v>
                  </c:pt>
                  <c:pt idx="3">
                    <c:v>Emblem Q-TRAK SQ Electrode</c:v>
                  </c:pt>
                  <c:pt idx="4">
                    <c:v>Emblem Q-TRAK SQ Electrode</c:v>
                  </c:pt>
                  <c:pt idx="5">
                    <c:v>Emblem Q-TRAK SQ Electrode</c:v>
                  </c:pt>
                  <c:pt idx="6">
                    <c:v>Emblem Q-TRAK SQ Electrode</c:v>
                  </c:pt>
                  <c:pt idx="7">
                    <c:v>Emblem Q-TRAK SQ Electrode</c:v>
                  </c:pt>
                  <c:pt idx="8">
                    <c:v>Emblem Q-TRAK SQ Electrode</c:v>
                  </c:pt>
                  <c:pt idx="9">
                    <c:v>Emblem Q-TRAK SQ Electrode</c:v>
                  </c:pt>
                  <c:pt idx="10">
                    <c:v>Emblem Q-TRAK SQ Electrode</c:v>
                  </c:pt>
                  <c:pt idx="11">
                    <c:v>Emblem Q-TRAK SQ Electrode</c:v>
                  </c:pt>
                  <c:pt idx="12">
                    <c:v>Emblem Q-TRAK SQ Electrode</c:v>
                  </c:pt>
                  <c:pt idx="13">
                    <c:v>Emblem Q-TRAK SQ Electrode</c:v>
                  </c:pt>
                  <c:pt idx="14">
                    <c:v>Emblem Q-TRAK SQ Electrode</c:v>
                  </c:pt>
                  <c:pt idx="15">
                    <c:v>Emblem Q-TRAK SQ Electrode</c:v>
                  </c:pt>
                  <c:pt idx="16">
                    <c:v>Emblem Q-TRAK SQ Electrode</c:v>
                  </c:pt>
                  <c:pt idx="17">
                    <c:v>Emblem Q-TRAK SQ Electrode</c:v>
                  </c:pt>
                  <c:pt idx="18">
                    <c:v>Emblem Q-TRAK SQ Electrode</c:v>
                  </c:pt>
                  <c:pt idx="19">
                    <c:v>Emblem Q-TRAK SQ Electrode</c:v>
                  </c:pt>
                  <c:pt idx="20">
                    <c:v>Emblem Q-TRAK SQ Electrode</c:v>
                  </c:pt>
                  <c:pt idx="21">
                    <c:v>Emblem Q-TRAK SQ Electrode</c:v>
                  </c:pt>
                  <c:pt idx="22">
                    <c:v>Emblem Q-TRAK SQ Electrode</c:v>
                  </c:pt>
                  <c:pt idx="23">
                    <c:v>Emblem Q-TRAK SQ Electrode</c:v>
                  </c:pt>
                  <c:pt idx="24">
                    <c:v>Emblem Q-TRAK SQ Electrode</c:v>
                  </c:pt>
                </c:lvl>
                <c:lvl>
                  <c:pt idx="0">
                    <c:v>10/30/2023</c:v>
                  </c:pt>
                  <c:pt idx="1">
                    <c:v>10/31/2023</c:v>
                  </c:pt>
                  <c:pt idx="2">
                    <c:v>11/1/2023</c:v>
                  </c:pt>
                  <c:pt idx="3">
                    <c:v>11/2/2023</c:v>
                  </c:pt>
                  <c:pt idx="4">
                    <c:v>11/3/2023</c:v>
                  </c:pt>
                  <c:pt idx="5">
                    <c:v>11/6/2023</c:v>
                  </c:pt>
                  <c:pt idx="6">
                    <c:v>11/7/2023</c:v>
                  </c:pt>
                  <c:pt idx="7">
                    <c:v>11/8/2023</c:v>
                  </c:pt>
                  <c:pt idx="8">
                    <c:v>11/9/2023</c:v>
                  </c:pt>
                  <c:pt idx="9">
                    <c:v>11/10/2023</c:v>
                  </c:pt>
                  <c:pt idx="10">
                    <c:v>11/13/2023</c:v>
                  </c:pt>
                  <c:pt idx="11">
                    <c:v>11/14/2023</c:v>
                  </c:pt>
                  <c:pt idx="12">
                    <c:v>11/15/2023</c:v>
                  </c:pt>
                  <c:pt idx="13">
                    <c:v>11/16/2023</c:v>
                  </c:pt>
                  <c:pt idx="14">
                    <c:v>11/17/2023</c:v>
                  </c:pt>
                  <c:pt idx="15">
                    <c:v>11/20/2023</c:v>
                  </c:pt>
                  <c:pt idx="16">
                    <c:v>11/21/2023</c:v>
                  </c:pt>
                  <c:pt idx="17">
                    <c:v>11/22/2023</c:v>
                  </c:pt>
                  <c:pt idx="18">
                    <c:v>11/23/2023</c:v>
                  </c:pt>
                  <c:pt idx="19">
                    <c:v>11/24/2023</c:v>
                  </c:pt>
                  <c:pt idx="20">
                    <c:v>11/27/2023</c:v>
                  </c:pt>
                  <c:pt idx="21">
                    <c:v>11/28/2023</c:v>
                  </c:pt>
                  <c:pt idx="22">
                    <c:v>11/29/2023</c:v>
                  </c:pt>
                  <c:pt idx="23">
                    <c:v>11/30/2023</c:v>
                  </c:pt>
                  <c:pt idx="24">
                    <c:v>12/1/2023</c:v>
                  </c:pt>
                </c:lvl>
              </c:multiLvlStrCache>
            </c:multiLvlStrRef>
          </c:cat>
          <c:val>
            <c:numRef>
              <c:f>Pivots!$BJ$12:$BJ$62</c:f>
              <c:numCache>
                <c:formatCode>General</c:formatCode>
                <c:ptCount val="25"/>
                <c:pt idx="0">
                  <c:v>20</c:v>
                </c:pt>
                <c:pt idx="1">
                  <c:v>19</c:v>
                </c:pt>
                <c:pt idx="2">
                  <c:v>18</c:v>
                </c:pt>
                <c:pt idx="3">
                  <c:v>17</c:v>
                </c:pt>
                <c:pt idx="4">
                  <c:v>18</c:v>
                </c:pt>
                <c:pt idx="5">
                  <c:v>19</c:v>
                </c:pt>
                <c:pt idx="6">
                  <c:v>18</c:v>
                </c:pt>
                <c:pt idx="7">
                  <c:v>18</c:v>
                </c:pt>
                <c:pt idx="8">
                  <c:v>17</c:v>
                </c:pt>
                <c:pt idx="9">
                  <c:v>18</c:v>
                </c:pt>
                <c:pt idx="10">
                  <c:v>18</c:v>
                </c:pt>
                <c:pt idx="11">
                  <c:v>17</c:v>
                </c:pt>
                <c:pt idx="12">
                  <c:v>16</c:v>
                </c:pt>
                <c:pt idx="13">
                  <c:v>16</c:v>
                </c:pt>
                <c:pt idx="14">
                  <c:v>15</c:v>
                </c:pt>
                <c:pt idx="15">
                  <c:v>15</c:v>
                </c:pt>
                <c:pt idx="16">
                  <c:v>15</c:v>
                </c:pt>
                <c:pt idx="17">
                  <c:v>17</c:v>
                </c:pt>
                <c:pt idx="18">
                  <c:v>19</c:v>
                </c:pt>
                <c:pt idx="19">
                  <c:v>20</c:v>
                </c:pt>
                <c:pt idx="20">
                  <c:v>20</c:v>
                </c:pt>
                <c:pt idx="21">
                  <c:v>20</c:v>
                </c:pt>
                <c:pt idx="22">
                  <c:v>18</c:v>
                </c:pt>
                <c:pt idx="23">
                  <c:v>19</c:v>
                </c:pt>
                <c:pt idx="24">
                  <c:v>19</c:v>
                </c:pt>
              </c:numCache>
            </c:numRef>
          </c:val>
          <c:extLst>
            <c:ext xmlns:c16="http://schemas.microsoft.com/office/drawing/2014/chart" uri="{C3380CC4-5D6E-409C-BE32-E72D297353CC}">
              <c16:uniqueId val="{00000000-74F6-4037-96C6-75233262DC05}"/>
            </c:ext>
          </c:extLst>
        </c:ser>
        <c:dLbls>
          <c:showLegendKey val="0"/>
          <c:showVal val="0"/>
          <c:showCatName val="0"/>
          <c:showSerName val="0"/>
          <c:showPercent val="0"/>
          <c:showBubbleSize val="0"/>
        </c:dLbls>
        <c:gapWidth val="219"/>
        <c:overlap val="-27"/>
        <c:axId val="302145543"/>
        <c:axId val="302140295"/>
      </c:barChart>
      <c:catAx>
        <c:axId val="302145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140295"/>
        <c:crosses val="autoZero"/>
        <c:auto val="1"/>
        <c:lblAlgn val="ctr"/>
        <c:lblOffset val="100"/>
        <c:noMultiLvlLbl val="0"/>
      </c:catAx>
      <c:valAx>
        <c:axId val="3021402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2145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series layoutId="clusteredColumn" uniqueId="{20D39510-4269-4065-A42B-B38BF17A0E92}">
          <cx:tx>
            <cx:txData>
              <cx:f>_xlchart.v1.1</cx:f>
              <cx:v>Count</cx:v>
            </cx:txData>
          </cx:tx>
          <cx:dataLabels pos="inEnd">
            <cx:visibility seriesName="0" categoryName="0" value="1"/>
          </cx:dataLabels>
          <cx:dataId val="0"/>
          <cx:layoutPr>
            <cx:aggregation/>
          </cx:layoutPr>
          <cx:axisId val="1"/>
        </cx:series>
        <cx:series layoutId="paretoLine" ownerIdx="0" uniqueId="{810DABFC-0B71-4DE8-A651-1842751E77BE}">
          <cx:axisId val="2"/>
        </cx:series>
      </cx:plotAreaRegion>
      <cx:axis id="0">
        <cx:catScaling gapWidth="0"/>
        <cx:tickLabels/>
      </cx:axis>
      <cx:axis id="1" hidden="1">
        <cx:valScaling/>
        <cx:majorGridlines/>
        <cx:tickLabels/>
      </cx:axis>
      <cx:axis id="2">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24</xdr:col>
      <xdr:colOff>142875</xdr:colOff>
      <xdr:row>17</xdr:row>
      <xdr:rowOff>9525</xdr:rowOff>
    </xdr:from>
    <xdr:to>
      <xdr:col>26</xdr:col>
      <xdr:colOff>428625</xdr:colOff>
      <xdr:row>19</xdr:row>
      <xdr:rowOff>76200</xdr:rowOff>
    </xdr:to>
    <xdr:sp macro="[0]!EmblemCheck" textlink="">
      <xdr:nvSpPr>
        <xdr:cNvPr id="2" name="Rectangle: Rounded Corners 1">
          <a:extLst>
            <a:ext uri="{FF2B5EF4-FFF2-40B4-BE49-F238E27FC236}">
              <a16:creationId xmlns:a16="http://schemas.microsoft.com/office/drawing/2014/main" id="{0A3CA4F1-8642-4398-D390-EF5852B2F272}"/>
            </a:ext>
          </a:extLst>
        </xdr:cNvPr>
        <xdr:cNvSpPr/>
      </xdr:nvSpPr>
      <xdr:spPr>
        <a:xfrm>
          <a:off x="14773275" y="3248025"/>
          <a:ext cx="1504950" cy="447675"/>
        </a:xfrm>
        <a:prstGeom prst="roundRect">
          <a:avLst/>
        </a:prstGeom>
        <a:solidFill>
          <a:srgbClr val="C00000"/>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72 Black" panose="020B0A04030603020204" pitchFamily="34" charset="0"/>
              <a:cs typeface="72 Black" panose="020B0A04030603020204" pitchFamily="34" charset="0"/>
            </a:rPr>
            <a:t>Run</a:t>
          </a:r>
          <a:r>
            <a:rPr lang="en-US" sz="1100" b="1" baseline="0">
              <a:latin typeface="72 Black" panose="020B0A04030603020204" pitchFamily="34" charset="0"/>
              <a:cs typeface="72 Black" panose="020B0A04030603020204" pitchFamily="34" charset="0"/>
            </a:rPr>
            <a:t> Data</a:t>
          </a:r>
          <a:endParaRPr lang="en-US" sz="1100" b="1">
            <a:latin typeface="72 Black" panose="020B0A04030603020204" pitchFamily="34" charset="0"/>
            <a:cs typeface="72 Black" panose="020B0A04030603020204" pitchFamily="34" charset="0"/>
          </a:endParaRPr>
        </a:p>
      </xdr:txBody>
    </xdr:sp>
    <xdr:clientData/>
  </xdr:twoCellAnchor>
  <xdr:twoCellAnchor>
    <xdr:from>
      <xdr:col>1</xdr:col>
      <xdr:colOff>9525</xdr:colOff>
      <xdr:row>3</xdr:row>
      <xdr:rowOff>0</xdr:rowOff>
    </xdr:from>
    <xdr:to>
      <xdr:col>23</xdr:col>
      <xdr:colOff>9525</xdr:colOff>
      <xdr:row>34</xdr:row>
      <xdr:rowOff>19050</xdr:rowOff>
    </xdr:to>
    <xdr:graphicFrame macro="">
      <xdr:nvGraphicFramePr>
        <xdr:cNvPr id="7" name="Chart 6">
          <a:extLst>
            <a:ext uri="{FF2B5EF4-FFF2-40B4-BE49-F238E27FC236}">
              <a16:creationId xmlns:a16="http://schemas.microsoft.com/office/drawing/2014/main" id="{737BDA50-8064-4DF9-96D3-311432165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24</xdr:col>
      <xdr:colOff>9525</xdr:colOff>
      <xdr:row>3</xdr:row>
      <xdr:rowOff>0</xdr:rowOff>
    </xdr:from>
    <xdr:to>
      <xdr:col>26</xdr:col>
      <xdr:colOff>619125</xdr:colOff>
      <xdr:row>16</xdr:row>
      <xdr:rowOff>47625</xdr:rowOff>
    </xdr:to>
    <mc:AlternateContent xmlns:mc="http://schemas.openxmlformats.org/markup-compatibility/2006" xmlns:a14="http://schemas.microsoft.com/office/drawing/2010/main">
      <mc:Choice Requires="a14">
        <xdr:graphicFrame macro="">
          <xdr:nvGraphicFramePr>
            <xdr:cNvPr id="8" name="Week 1">
              <a:extLst>
                <a:ext uri="{FF2B5EF4-FFF2-40B4-BE49-F238E27FC236}">
                  <a16:creationId xmlns:a16="http://schemas.microsoft.com/office/drawing/2014/main" id="{46EB56E4-D4A8-E619-69CE-9145FFC609FD}"/>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14639925" y="571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142875</xdr:colOff>
      <xdr:row>19</xdr:row>
      <xdr:rowOff>171450</xdr:rowOff>
    </xdr:from>
    <xdr:to>
      <xdr:col>26</xdr:col>
      <xdr:colOff>428625</xdr:colOff>
      <xdr:row>22</xdr:row>
      <xdr:rowOff>47625</xdr:rowOff>
    </xdr:to>
    <xdr:sp macro="[0]!Clear_Data" textlink="">
      <xdr:nvSpPr>
        <xdr:cNvPr id="3" name="Rectangle: Rounded Corners 2">
          <a:extLst>
            <a:ext uri="{FF2B5EF4-FFF2-40B4-BE49-F238E27FC236}">
              <a16:creationId xmlns:a16="http://schemas.microsoft.com/office/drawing/2014/main" id="{65D3D890-AFE9-40D3-9BDA-446D6FB9BFE5}"/>
            </a:ext>
          </a:extLst>
        </xdr:cNvPr>
        <xdr:cNvSpPr/>
      </xdr:nvSpPr>
      <xdr:spPr>
        <a:xfrm>
          <a:off x="14773275" y="3790950"/>
          <a:ext cx="1504950" cy="447675"/>
        </a:xfrm>
        <a:prstGeom prst="roundRect">
          <a:avLst/>
        </a:prstGeom>
        <a:solidFill>
          <a:srgbClr val="C00000"/>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72 Black" panose="020B0A04030603020204" pitchFamily="34" charset="0"/>
              <a:cs typeface="72 Black" panose="020B0A04030603020204" pitchFamily="34" charset="0"/>
            </a:rPr>
            <a:t>Clear</a:t>
          </a:r>
          <a:r>
            <a:rPr lang="en-US" sz="1100" baseline="0">
              <a:latin typeface="72 Black" panose="020B0A04030603020204" pitchFamily="34" charset="0"/>
              <a:cs typeface="72 Black" panose="020B0A04030603020204" pitchFamily="34" charset="0"/>
            </a:rPr>
            <a:t> Data</a:t>
          </a:r>
          <a:endParaRPr lang="en-US" sz="1100">
            <a:latin typeface="72 Black" panose="020B0A04030603020204" pitchFamily="34" charset="0"/>
            <a:cs typeface="72 Black" panose="020B0A04030603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9524</xdr:rowOff>
    </xdr:from>
    <xdr:to>
      <xdr:col>23</xdr:col>
      <xdr:colOff>361950</xdr:colOff>
      <xdr:row>35</xdr:row>
      <xdr:rowOff>38099</xdr:rowOff>
    </xdr:to>
    <xdr:graphicFrame macro="">
      <xdr:nvGraphicFramePr>
        <xdr:cNvPr id="6" name="Chart 5">
          <a:extLst>
            <a:ext uri="{FF2B5EF4-FFF2-40B4-BE49-F238E27FC236}">
              <a16:creationId xmlns:a16="http://schemas.microsoft.com/office/drawing/2014/main" id="{99BD2FBF-E924-4F3C-964F-4CB32B7C3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561975</xdr:colOff>
      <xdr:row>2</xdr:row>
      <xdr:rowOff>0</xdr:rowOff>
    </xdr:from>
    <xdr:to>
      <xdr:col>26</xdr:col>
      <xdr:colOff>561975</xdr:colOff>
      <xdr:row>15</xdr:row>
      <xdr:rowOff>47625</xdr:rowOff>
    </xdr:to>
    <mc:AlternateContent xmlns:mc="http://schemas.openxmlformats.org/markup-compatibility/2006" xmlns:a14="http://schemas.microsoft.com/office/drawing/2010/main">
      <mc:Choice Requires="a14">
        <xdr:graphicFrame macro="">
          <xdr:nvGraphicFramePr>
            <xdr:cNvPr id="7" name="Week 2">
              <a:extLst>
                <a:ext uri="{FF2B5EF4-FFF2-40B4-BE49-F238E27FC236}">
                  <a16:creationId xmlns:a16="http://schemas.microsoft.com/office/drawing/2014/main" id="{11C90965-6C9C-D32A-6893-3198EDD2BF0D}"/>
                </a:ext>
              </a:extLst>
            </xdr:cNvPr>
            <xdr:cNvGraphicFramePr/>
          </xdr:nvGraphicFramePr>
          <xdr:xfrm>
            <a:off x="0" y="0"/>
            <a:ext cx="0" cy="0"/>
          </xdr:xfrm>
          <a:graphic>
            <a:graphicData uri="http://schemas.microsoft.com/office/drawing/2010/slicer">
              <sle:slicer xmlns:sle="http://schemas.microsoft.com/office/drawing/2010/slicer" name="Week 2"/>
            </a:graphicData>
          </a:graphic>
        </xdr:graphicFrame>
      </mc:Choice>
      <mc:Fallback xmlns="">
        <xdr:sp macro="" textlink="">
          <xdr:nvSpPr>
            <xdr:cNvPr id="0" name=""/>
            <xdr:cNvSpPr>
              <a:spLocks noTextEdit="1"/>
            </xdr:cNvSpPr>
          </xdr:nvSpPr>
          <xdr:spPr>
            <a:xfrm>
              <a:off x="14582775"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600075</xdr:colOff>
      <xdr:row>15</xdr:row>
      <xdr:rowOff>133350</xdr:rowOff>
    </xdr:from>
    <xdr:to>
      <xdr:col>26</xdr:col>
      <xdr:colOff>600075</xdr:colOff>
      <xdr:row>28</xdr:row>
      <xdr:rowOff>180975</xdr:rowOff>
    </xdr:to>
    <mc:AlternateContent xmlns:mc="http://schemas.openxmlformats.org/markup-compatibility/2006" xmlns:a14="http://schemas.microsoft.com/office/drawing/2010/main">
      <mc:Choice Requires="a14">
        <xdr:graphicFrame macro="">
          <xdr:nvGraphicFramePr>
            <xdr:cNvPr id="8" name="Device">
              <a:extLst>
                <a:ext uri="{FF2B5EF4-FFF2-40B4-BE49-F238E27FC236}">
                  <a16:creationId xmlns:a16="http://schemas.microsoft.com/office/drawing/2014/main" id="{697779BA-8F1C-010C-C4BA-13F3A30618AE}"/>
                </a:ext>
              </a:extLst>
            </xdr:cNvPr>
            <xdr:cNvGraphicFramePr/>
          </xdr:nvGraphicFramePr>
          <xdr:xfrm>
            <a:off x="0" y="0"/>
            <a:ext cx="0" cy="0"/>
          </xdr:xfrm>
          <a:graphic>
            <a:graphicData uri="http://schemas.microsoft.com/office/drawing/2010/slicer">
              <sle:slicer xmlns:sle="http://schemas.microsoft.com/office/drawing/2010/slicer" name="Device"/>
            </a:graphicData>
          </a:graphic>
        </xdr:graphicFrame>
      </mc:Choice>
      <mc:Fallback xmlns="">
        <xdr:sp macro="" textlink="">
          <xdr:nvSpPr>
            <xdr:cNvPr id="0" name=""/>
            <xdr:cNvSpPr>
              <a:spLocks noTextEdit="1"/>
            </xdr:cNvSpPr>
          </xdr:nvSpPr>
          <xdr:spPr>
            <a:xfrm>
              <a:off x="14620875" y="2990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5603</xdr:colOff>
      <xdr:row>1</xdr:row>
      <xdr:rowOff>23532</xdr:rowOff>
    </xdr:from>
    <xdr:to>
      <xdr:col>22</xdr:col>
      <xdr:colOff>11206</xdr:colOff>
      <xdr:row>30</xdr:row>
      <xdr:rowOff>179294</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5791A12-B702-7CCB-7212-3859F6480D9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26074" y="214032"/>
              <a:ext cx="10897720" cy="568026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21</xdr:col>
      <xdr:colOff>66675</xdr:colOff>
      <xdr:row>6</xdr:row>
      <xdr:rowOff>171450</xdr:rowOff>
    </xdr:from>
    <xdr:to>
      <xdr:col>29</xdr:col>
      <xdr:colOff>161925</xdr:colOff>
      <xdr:row>20</xdr:row>
      <xdr:rowOff>28575</xdr:rowOff>
    </xdr:to>
    <mc:AlternateContent xmlns:mc="http://schemas.openxmlformats.org/markup-compatibility/2006" xmlns:a14="http://schemas.microsoft.com/office/drawing/2010/main">
      <mc:Choice Requires="a14">
        <xdr:graphicFrame macro="">
          <xdr:nvGraphicFramePr>
            <xdr:cNvPr id="3" name="Week">
              <a:extLst>
                <a:ext uri="{FF2B5EF4-FFF2-40B4-BE49-F238E27FC236}">
                  <a16:creationId xmlns:a16="http://schemas.microsoft.com/office/drawing/2014/main" id="{F7236765-4447-90DB-1CF0-785B018F6E7F}"/>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19211925" y="1314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1219200</xdr:colOff>
      <xdr:row>93</xdr:row>
      <xdr:rowOff>157161</xdr:rowOff>
    </xdr:from>
    <xdr:to>
      <xdr:col>9</xdr:col>
      <xdr:colOff>1533525</xdr:colOff>
      <xdr:row>113</xdr:row>
      <xdr:rowOff>123825</xdr:rowOff>
    </xdr:to>
    <xdr:graphicFrame macro="">
      <xdr:nvGraphicFramePr>
        <xdr:cNvPr id="5" name="Chart 4">
          <a:extLst>
            <a:ext uri="{FF2B5EF4-FFF2-40B4-BE49-F238E27FC236}">
              <a16:creationId xmlns:a16="http://schemas.microsoft.com/office/drawing/2014/main" id="{724812BC-F4A3-4EC7-AE5F-0B39FFB586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25</xdr:col>
      <xdr:colOff>371475</xdr:colOff>
      <xdr:row>122</xdr:row>
      <xdr:rowOff>180975</xdr:rowOff>
    </xdr:from>
    <xdr:to>
      <xdr:col>34</xdr:col>
      <xdr:colOff>161925</xdr:colOff>
      <xdr:row>136</xdr:row>
      <xdr:rowOff>38100</xdr:rowOff>
    </xdr:to>
    <mc:AlternateContent xmlns:mc="http://schemas.openxmlformats.org/markup-compatibility/2006" xmlns:a14="http://schemas.microsoft.com/office/drawing/2010/main">
      <mc:Choice Requires="a14">
        <xdr:graphicFrame macro="">
          <xdr:nvGraphicFramePr>
            <xdr:cNvPr id="7" name="Week 3">
              <a:extLst>
                <a:ext uri="{FF2B5EF4-FFF2-40B4-BE49-F238E27FC236}">
                  <a16:creationId xmlns:a16="http://schemas.microsoft.com/office/drawing/2014/main" id="{30507A73-7720-FF16-B43B-E5F9C6382D90}"/>
                </a:ext>
              </a:extLst>
            </xdr:cNvPr>
            <xdr:cNvGraphicFramePr/>
          </xdr:nvGraphicFramePr>
          <xdr:xfrm>
            <a:off x="0" y="0"/>
            <a:ext cx="0" cy="0"/>
          </xdr:xfrm>
          <a:graphic>
            <a:graphicData uri="http://schemas.microsoft.com/office/drawing/2010/slicer">
              <sle:slicer xmlns:sle="http://schemas.microsoft.com/office/drawing/2010/slicer" name="Week 3"/>
            </a:graphicData>
          </a:graphic>
        </xdr:graphicFrame>
      </mc:Choice>
      <mc:Fallback xmlns="">
        <xdr:sp macro="" textlink="">
          <xdr:nvSpPr>
            <xdr:cNvPr id="0" name=""/>
            <xdr:cNvSpPr>
              <a:spLocks noTextEdit="1"/>
            </xdr:cNvSpPr>
          </xdr:nvSpPr>
          <xdr:spPr>
            <a:xfrm>
              <a:off x="56797575" y="23421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361949</xdr:colOff>
      <xdr:row>57</xdr:row>
      <xdr:rowOff>33337</xdr:rowOff>
    </xdr:from>
    <xdr:to>
      <xdr:col>29</xdr:col>
      <xdr:colOff>304799</xdr:colOff>
      <xdr:row>78</xdr:row>
      <xdr:rowOff>47625</xdr:rowOff>
    </xdr:to>
    <xdr:graphicFrame macro="">
      <xdr:nvGraphicFramePr>
        <xdr:cNvPr id="6" name="Chart 5">
          <a:extLst>
            <a:ext uri="{FF2B5EF4-FFF2-40B4-BE49-F238E27FC236}">
              <a16:creationId xmlns:a16="http://schemas.microsoft.com/office/drawing/2014/main" id="{B41E0F7B-754B-0304-75FE-3F306F3CFB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714375</xdr:colOff>
      <xdr:row>5</xdr:row>
      <xdr:rowOff>176211</xdr:rowOff>
    </xdr:from>
    <xdr:to>
      <xdr:col>8</xdr:col>
      <xdr:colOff>2209800</xdr:colOff>
      <xdr:row>28</xdr:row>
      <xdr:rowOff>28575</xdr:rowOff>
    </xdr:to>
    <xdr:graphicFrame macro="">
      <xdr:nvGraphicFramePr>
        <xdr:cNvPr id="8" name="Chart 7">
          <a:extLst>
            <a:ext uri="{FF2B5EF4-FFF2-40B4-BE49-F238E27FC236}">
              <a16:creationId xmlns:a16="http://schemas.microsoft.com/office/drawing/2014/main" id="{648B5298-ECAC-9A91-AC0D-B87539C30E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55</xdr:col>
      <xdr:colOff>485774</xdr:colOff>
      <xdr:row>53</xdr:row>
      <xdr:rowOff>14287</xdr:rowOff>
    </xdr:from>
    <xdr:to>
      <xdr:col>59</xdr:col>
      <xdr:colOff>1047749</xdr:colOff>
      <xdr:row>80</xdr:row>
      <xdr:rowOff>161925</xdr:rowOff>
    </xdr:to>
    <xdr:graphicFrame macro="">
      <xdr:nvGraphicFramePr>
        <xdr:cNvPr id="9" name="Chart 8">
          <a:extLst>
            <a:ext uri="{FF2B5EF4-FFF2-40B4-BE49-F238E27FC236}">
              <a16:creationId xmlns:a16="http://schemas.microsoft.com/office/drawing/2014/main" id="{5EC50032-1AF8-4829-F550-8E5396A28A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osta Navarro, Randall" refreshedDate="45085.57135150463" createdVersion="8" refreshedVersion="8" minRefreshableVersion="3" recordCount="14" xr:uid="{79D57C57-0E39-4D31-BF07-32A794834022}">
  <cacheSource type="worksheet">
    <worksheetSource ref="Q3:Y595" sheet="Metrics Tables"/>
  </cacheSource>
  <cacheFields count="10">
    <cacheField name="Date" numFmtId="0">
      <sharedItems containsNonDate="0" containsDate="1" containsString="0" containsBlank="1" minDate="2023-05-29T00:00:00" maxDate="2023-06-09T00:00:00" count="10">
        <d v="2023-05-29T00:00:00"/>
        <d v="2023-05-30T00:00:00"/>
        <d v="2023-05-31T00:00:00"/>
        <d v="2023-06-01T00:00:00"/>
        <d v="2023-06-02T00:00:00"/>
        <d v="2023-06-05T00:00:00"/>
        <d v="2023-06-06T00:00:00"/>
        <d v="2023-06-07T00:00:00"/>
        <d v="2023-06-08T00:00:00"/>
        <m/>
      </sharedItems>
      <fieldGroup par="9" base="0">
        <rangePr groupBy="days" startDate="2023-05-29T00:00:00" endDate="2023-06-09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9/2023"/>
        </groupItems>
      </fieldGroup>
    </cacheField>
    <cacheField name="Week" numFmtId="0">
      <sharedItems containsString="0" containsBlank="1" containsNumber="1" containsInteger="1" minValue="22" maxValue="23" count="3">
        <n v="22"/>
        <n v="23"/>
        <m/>
      </sharedItems>
    </cacheField>
    <cacheField name="Highest Aging" numFmtId="0">
      <sharedItems containsString="0" containsBlank="1" containsNumber="1" containsInteger="1" minValue="432" maxValue="505"/>
    </cacheField>
    <cacheField name="20-30 Aging" numFmtId="0">
      <sharedItems containsString="0" containsBlank="1" containsNumber="1" containsInteger="1" minValue="6" maxValue="60"/>
    </cacheField>
    <cacheField name="15-19 Aging" numFmtId="0">
      <sharedItems containsString="0" containsBlank="1" containsNumber="1" containsInteger="1" minValue="6" maxValue="28"/>
    </cacheField>
    <cacheField name="15-7 Aging" numFmtId="0">
      <sharedItems containsString="0" containsBlank="1" containsNumber="1" containsInteger="1" minValue="18" maxValue="86"/>
    </cacheField>
    <cacheField name="SFMD 45-50 Aging" numFmtId="0">
      <sharedItems containsString="0" containsBlank="1" containsNumber="1" containsInteger="1" minValue="0" maxValue="4"/>
    </cacheField>
    <cacheField name="Over 30" numFmtId="0">
      <sharedItems containsString="0" containsBlank="1" containsNumber="1" containsInteger="1" minValue="6" maxValue="31"/>
    </cacheField>
    <cacheField name="SFMD Over Aging" numFmtId="0">
      <sharedItems containsString="0" containsBlank="1" containsNumber="1" containsInteger="1" minValue="0" maxValue="1"/>
    </cacheField>
    <cacheField name="Months" numFmtId="0" databaseField="0">
      <fieldGroup base="0">
        <rangePr groupBy="months" startDate="2023-05-29T00:00:00" endDate="2023-06-09T00:00:00"/>
        <groupItems count="14">
          <s v="&lt;5/29/2023"/>
          <s v="Jan"/>
          <s v="Feb"/>
          <s v="Mar"/>
          <s v="Apr"/>
          <s v="May"/>
          <s v="Jun"/>
          <s v="Jul"/>
          <s v="Aug"/>
          <s v="Sep"/>
          <s v="Oct"/>
          <s v="Nov"/>
          <s v="Dec"/>
          <s v="&gt;6/9/2023"/>
        </groupItems>
      </fieldGroup>
    </cacheField>
  </cacheFields>
  <extLst>
    <ext xmlns:x14="http://schemas.microsoft.com/office/spreadsheetml/2009/9/main" uri="{725AE2AE-9491-48be-B2B4-4EB974FC3084}">
      <x14:pivotCacheDefinition pivotCacheId="92656860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osta Navarro, Randall" refreshedDate="45097.579032175927" createdVersion="8" refreshedVersion="8" minRefreshableVersion="3" recordCount="61" xr:uid="{7C1185FD-7E55-41E5-90D2-EA89D6A158BF}">
  <cacheSource type="worksheet">
    <worksheetSource ref="H3:K50000" sheet="Metrics Tables"/>
  </cacheSource>
  <cacheFields count="4">
    <cacheField name="Date" numFmtId="0">
      <sharedItems containsNonDate="0" containsDate="1" containsString="0" containsBlank="1" minDate="2023-06-05T00:00:00" maxDate="2023-06-17T00:00:00" count="11">
        <d v="2023-06-05T00:00:00"/>
        <d v="2023-06-06T00:00:00"/>
        <d v="2023-06-07T00:00:00"/>
        <d v="2023-06-08T00:00:00"/>
        <d v="2023-06-09T00:00:00"/>
        <d v="2023-06-12T00:00:00"/>
        <d v="2023-06-13T00:00:00"/>
        <d v="2023-06-14T00:00:00"/>
        <d v="2023-06-15T00:00:00"/>
        <d v="2023-06-16T00:00:00"/>
        <m/>
      </sharedItems>
    </cacheField>
    <cacheField name="Week" numFmtId="0">
      <sharedItems containsString="0" containsBlank="1" containsNumber="1" containsInteger="1" minValue="23" maxValue="24" count="3">
        <n v="23"/>
        <n v="24"/>
        <m/>
      </sharedItems>
    </cacheField>
    <cacheField name="Device" numFmtId="0">
      <sharedItems containsBlank="1" count="7">
        <s v="Emblem S-ICD"/>
        <s v="Subcutaneous ICD (1010)"/>
        <s v="Emblem S-ICD Electrode"/>
        <s v="Emblem Q-TRAK SQ Electrode"/>
        <s v="Subcutaneous defib electrode"/>
        <s v="Subcutaneous ICD Accessory"/>
        <m/>
      </sharedItems>
    </cacheField>
    <cacheField name="Total" numFmtId="0">
      <sharedItems containsString="0" containsBlank="1" containsNumber="1" containsInteger="1" minValue="0" maxValue="276" count="32">
        <n v="267"/>
        <n v="4"/>
        <n v="64"/>
        <n v="14"/>
        <n v="0"/>
        <n v="276"/>
        <n v="5"/>
        <n v="67"/>
        <n v="15"/>
        <n v="262"/>
        <n v="6"/>
        <n v="66"/>
        <n v="13"/>
        <n v="264"/>
        <n v="7"/>
        <n v="73"/>
        <n v="12"/>
        <n v="11"/>
        <n v="1"/>
        <n v="263"/>
        <n v="70"/>
        <n v="232"/>
        <n v="58"/>
        <n v="243"/>
        <n v="57"/>
        <n v="50"/>
        <n v="233"/>
        <n v="52"/>
        <n v="234"/>
        <n v="55"/>
        <n v="10"/>
        <m/>
      </sharedItems>
    </cacheField>
  </cacheFields>
  <extLst>
    <ext xmlns:x14="http://schemas.microsoft.com/office/spreadsheetml/2009/9/main" uri="{725AE2AE-9491-48be-B2B4-4EB974FC3084}">
      <x14:pivotCacheDefinition pivotCacheId="109215947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osta Navarro, Randall" refreshedDate="45267.580027083335" createdVersion="8" refreshedVersion="8" minRefreshableVersion="3" recordCount="126" xr:uid="{614AABA0-EF27-4DB2-AA08-7BFED009C127}">
  <cacheSource type="worksheet">
    <worksheetSource ref="B3:F80000" sheet="Metrics Tables"/>
  </cacheSource>
  <cacheFields count="5">
    <cacheField name="Date" numFmtId="0">
      <sharedItems containsNonDate="0" containsDate="1" containsString="0" containsBlank="1" minDate="2023-06-05T00:00:00" maxDate="2023-12-02T00:00:00" count="121">
        <d v="2023-06-05T00:00:00"/>
        <d v="2023-06-06T00:00:00"/>
        <d v="2023-06-07T00:00:00"/>
        <d v="2023-06-08T00:00:00"/>
        <d v="2023-06-09T00:00:00"/>
        <d v="2023-06-12T00:00:00"/>
        <d v="2023-06-13T00:00:00"/>
        <d v="2023-06-14T00:00:00"/>
        <d v="2023-06-15T00:00:00"/>
        <d v="2023-06-16T00:00:00"/>
        <d v="2023-06-19T00:00:00"/>
        <d v="2023-06-20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5T00:00:00"/>
        <d v="2023-08-16T00:00:00"/>
        <d v="2023-08-17T00:00:00"/>
        <d v="2023-08-18T00:00:00"/>
        <d v="2023-08-21T00:00:00"/>
        <d v="2023-08-22T00:00:00"/>
        <d v="2023-08-23T00:00:00"/>
        <d v="2023-08-24T00:00:00"/>
        <d v="2023-08-25T00:00:00"/>
        <d v="2023-08-28T00:00:00"/>
        <d v="2023-08-29T00:00:00"/>
        <d v="2023-08-30T00:00:00"/>
        <d v="2023-08-31T00:00:00"/>
        <d v="2023-09-01T00:00:00"/>
        <d v="2023-09-11T00:00:00"/>
        <d v="2023-09-12T00:00:00"/>
        <d v="2023-09-13T00:00:00"/>
        <d v="2023-09-14T00:00:00"/>
        <d v="2023-09-18T00:00:00"/>
        <d v="2023-09-19T00:00:00"/>
        <d v="2023-09-20T00:00:00"/>
        <d v="2023-09-21T00:00:00"/>
        <d v="2023-09-22T00:00:00"/>
        <d v="2023-09-25T00:00:00"/>
        <d v="2023-09-27T00:00:00"/>
        <d v="2023-09-28T00:00:00"/>
        <d v="2023-09-29T00:00:00"/>
        <d v="2023-10-02T00:00:00"/>
        <d v="2023-10-03T00:00:00"/>
        <d v="2023-10-04T00:00:00"/>
        <d v="2023-10-05T00:00:00"/>
        <d v="2023-10-06T00:00:00"/>
        <d v="2023-10-09T00:00:00"/>
        <d v="2023-10-10T00:00:00"/>
        <d v="2023-10-11T00:00:00"/>
        <d v="2023-10-12T00:00:00"/>
        <d v="2023-10-13T00:00:00"/>
        <d v="2023-10-16T00:00:00"/>
        <d v="2023-10-17T00:00:00"/>
        <d v="2023-10-18T00:00:00"/>
        <d v="2023-10-19T00:00:00"/>
        <d v="2023-10-20T00:00:00"/>
        <d v="2023-10-23T00:00:00"/>
        <d v="2023-10-24T00:00:00"/>
        <d v="2023-10-25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17T00:00:00"/>
        <d v="2023-11-20T00:00:00"/>
        <d v="2023-11-21T00:00:00"/>
        <d v="2023-11-22T00:00:00"/>
        <d v="2023-11-23T00:00:00"/>
        <d v="2023-11-24T00:00:00"/>
        <d v="2023-11-27T00:00:00"/>
        <d v="2023-11-28T00:00:00"/>
        <d v="2023-11-29T00:00:00"/>
        <d v="2023-11-30T00:00:00"/>
        <d v="2023-12-01T00:00:00"/>
        <m/>
        <d v="2023-09-05T00:00:00" u="1"/>
      </sharedItems>
    </cacheField>
    <cacheField name="Week" numFmtId="0">
      <sharedItems containsString="0" containsBlank="1" containsNumber="1" containsInteger="1" minValue="23" maxValue="48" count="27">
        <n v="23"/>
        <n v="24"/>
        <n v="25"/>
        <n v="26"/>
        <n v="27"/>
        <n v="28"/>
        <n v="29"/>
        <n v="30"/>
        <n v="31"/>
        <n v="32"/>
        <n v="33"/>
        <n v="34"/>
        <n v="35"/>
        <n v="37"/>
        <n v="38"/>
        <n v="39"/>
        <n v="40"/>
        <n v="41"/>
        <n v="42"/>
        <n v="43"/>
        <n v="44"/>
        <n v="45"/>
        <n v="46"/>
        <n v="47"/>
        <n v="48"/>
        <m/>
        <n v="36" u="1"/>
      </sharedItems>
    </cacheField>
    <cacheField name="Open" numFmtId="0">
      <sharedItems containsString="0" containsBlank="1" containsNumber="1" containsInteger="1" minValue="298" maxValue="402"/>
    </cacheField>
    <cacheField name="Coyol/YES" numFmtId="0">
      <sharedItems containsString="0" containsBlank="1" containsNumber="1" containsInteger="1" minValue="38" maxValue="172"/>
    </cacheField>
    <cacheField name="Coyol/NO" numFmtId="0">
      <sharedItems containsString="0" containsBlank="1" containsNumber="1" containsInteger="1" minValue="0" maxValue="232"/>
    </cacheField>
  </cacheFields>
  <extLst>
    <ext xmlns:x14="http://schemas.microsoft.com/office/spreadsheetml/2009/9/main" uri="{725AE2AE-9491-48be-B2B4-4EB974FC3084}">
      <x14:pivotCacheDefinition pivotCacheId="110387005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osta Navarro, Randall" refreshedDate="45267.580236805552" createdVersion="8" refreshedVersion="8" minRefreshableVersion="3" recordCount="715" xr:uid="{11A74426-3484-44BC-8561-8D1767B899C7}">
  <cacheSource type="worksheet">
    <worksheetSource ref="H3:K63000" sheet="Metrics Tables"/>
  </cacheSource>
  <cacheFields count="4">
    <cacheField name="Date" numFmtId="0">
      <sharedItems containsNonDate="0" containsDate="1" containsString="0" containsBlank="1" minDate="2023-06-05T00:00:00" maxDate="2023-12-02T00:00:00" count="120">
        <d v="2023-06-05T00:00:00"/>
        <d v="2023-06-06T00:00:00"/>
        <d v="2023-06-07T00:00:00"/>
        <d v="2023-06-08T00:00:00"/>
        <d v="2023-06-09T00:00:00"/>
        <d v="2023-06-12T00:00:00"/>
        <d v="2023-06-13T00:00:00"/>
        <d v="2023-06-14T00:00:00"/>
        <d v="2023-06-15T00:00:00"/>
        <d v="2023-06-16T00:00:00"/>
        <d v="2023-06-19T00:00:00"/>
        <d v="2023-06-20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5T00:00:00"/>
        <d v="2023-08-16T00:00:00"/>
        <d v="2023-08-17T00:00:00"/>
        <d v="2023-08-18T00:00:00"/>
        <d v="2023-08-21T00:00:00"/>
        <d v="2023-08-22T00:00:00"/>
        <d v="2023-08-23T00:00:00"/>
        <d v="2023-08-24T00:00:00"/>
        <d v="2023-08-25T00:00:00"/>
        <d v="2023-08-28T00:00:00"/>
        <d v="2023-08-29T00:00:00"/>
        <d v="2023-08-30T00:00:00"/>
        <d v="2023-08-31T00:00:00"/>
        <d v="2023-09-01T00:00:00"/>
        <d v="2023-09-11T00:00:00"/>
        <d v="2023-09-12T00:00:00"/>
        <d v="2023-09-13T00:00:00"/>
        <d v="2023-09-14T00:00:00"/>
        <d v="2023-09-18T00:00:00"/>
        <d v="2023-09-19T00:00:00"/>
        <d v="2023-09-20T00:00:00"/>
        <d v="2023-09-21T00:00:00"/>
        <d v="2023-09-22T00:00:00"/>
        <d v="2023-09-25T00:00:00"/>
        <d v="2023-09-27T00:00:00"/>
        <d v="2023-09-28T00:00:00"/>
        <d v="2023-09-29T00:00:00"/>
        <d v="2023-10-02T00:00:00"/>
        <d v="2023-10-03T00:00:00"/>
        <d v="2023-10-04T00:00:00"/>
        <d v="2023-10-05T00:00:00"/>
        <d v="2023-10-06T00:00:00"/>
        <d v="2023-10-09T00:00:00"/>
        <d v="2023-10-10T00:00:00"/>
        <d v="2023-10-11T00:00:00"/>
        <d v="2023-10-12T00:00:00"/>
        <d v="2023-10-13T00:00:00"/>
        <d v="2023-10-16T00:00:00"/>
        <d v="2023-10-17T00:00:00"/>
        <d v="2023-10-18T00:00:00"/>
        <d v="2023-10-19T00:00:00"/>
        <d v="2023-10-20T00:00:00"/>
        <d v="2023-10-23T00:00:00"/>
        <d v="2023-10-24T00:00:00"/>
        <d v="2023-10-25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17T00:00:00"/>
        <d v="2023-11-20T00:00:00"/>
        <d v="2023-11-21T00:00:00"/>
        <d v="2023-11-22T00:00:00"/>
        <d v="2023-11-23T00:00:00"/>
        <d v="2023-11-24T00:00:00"/>
        <d v="2023-11-27T00:00:00"/>
        <d v="2023-11-28T00:00:00"/>
        <d v="2023-11-29T00:00:00"/>
        <d v="2023-11-30T00:00:00"/>
        <d v="2023-12-01T00:00:00"/>
        <m/>
      </sharedItems>
    </cacheField>
    <cacheField name="Week" numFmtId="0">
      <sharedItems containsString="0" containsBlank="1" containsNumber="1" containsInteger="1" minValue="23" maxValue="48" count="26">
        <n v="23"/>
        <n v="24"/>
        <n v="25"/>
        <n v="26"/>
        <n v="27"/>
        <n v="28"/>
        <n v="29"/>
        <n v="30"/>
        <n v="31"/>
        <n v="32"/>
        <n v="33"/>
        <n v="34"/>
        <n v="35"/>
        <n v="37"/>
        <n v="38"/>
        <n v="39"/>
        <n v="40"/>
        <n v="41"/>
        <n v="42"/>
        <n v="43"/>
        <n v="44"/>
        <n v="45"/>
        <n v="46"/>
        <n v="47"/>
        <n v="48"/>
        <m/>
      </sharedItems>
    </cacheField>
    <cacheField name="Device" numFmtId="0">
      <sharedItems containsBlank="1" count="7">
        <s v="Emblem S-ICD"/>
        <s v="Subcutaneous ICD (1010)"/>
        <s v="Emblem S-ICD Electrode"/>
        <s v="Emblem Q-TRAK SQ Electrode"/>
        <s v="Subcutaneous defib electrode"/>
        <s v="Subcutaneous ICD Accessory"/>
        <m/>
      </sharedItems>
    </cacheField>
    <cacheField name="Total" numFmtId="0">
      <sharedItems containsString="0" containsBlank="1" containsNumber="1" containsInteger="1" minValue="0" maxValue="370"/>
    </cacheField>
  </cacheFields>
  <extLst>
    <ext xmlns:x14="http://schemas.microsoft.com/office/spreadsheetml/2009/9/main" uri="{725AE2AE-9491-48be-B2B4-4EB974FC3084}">
      <x14:pivotCacheDefinition pivotCacheId="165418681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osta Navarro, Randall" refreshedDate="45085.367280092592" createdVersion="8" refreshedVersion="8" minRefreshableVersion="3" recordCount="114" xr:uid="{77CCED6D-F4D0-4865-A04C-DE32847740B8}">
  <cacheSource type="worksheet">
    <worksheetSource ref="AA3:AD1995" sheet="Metrics Tables"/>
  </cacheSource>
  <cacheFields count="4">
    <cacheField name="Date" numFmtId="0">
      <sharedItems containsNonDate="0" containsDate="1" containsString="0" containsBlank="1" minDate="2023-06-02T00:00:00" maxDate="2023-06-09T00:00:00" count="3">
        <d v="2023-06-02T00:00:00"/>
        <d v="2023-06-08T00:00:00"/>
        <m/>
      </sharedItems>
    </cacheField>
    <cacheField name="Week" numFmtId="0">
      <sharedItems containsString="0" containsBlank="1" containsNumber="1" containsInteger="1" minValue="22" maxValue="23" count="3">
        <n v="22"/>
        <n v="23"/>
        <m/>
      </sharedItems>
    </cacheField>
    <cacheField name="Device Code" numFmtId="0">
      <sharedItems containsBlank="1" count="60">
        <s v="2233: Premature Discharge Of Battery"/>
        <s v="2168: Oversensing"/>
        <s v="1224: Device Displays Error Message"/>
        <s v="2869: Gas Gauge/Longevity Not As Expected"/>
        <s v="2124: Noisy Signals"/>
        <s v="1698: Inappropriate Shock"/>
        <s v="1807: Low Amplitude Or Poor Morphology"/>
        <s v="2104: No Reported Allegation"/>
        <s v="2099: No Known Device Problem"/>
        <s v="2434: Undersensing"/>
        <s v="1163: Damaged/Defective*"/>
        <s v="1321: Difficult To Interrogate/Telemetry (RF)"/>
        <s v="2699: Difficult/Unable to Extend/Retract Helix"/>
        <s v="1604: Feature Unavailable Or Intermittent"/>
        <s v="1636: Fracture"/>
        <s v="1666: High Capture Threshold"/>
        <s v="1322: Difficult To Interrogate/Telemetry (Wand)"/>
        <s v="2250: Programmed Parameters Different Than Expected"/>
        <s v="2409: Tone Pattern As Expected"/>
        <s v="1261: Device Sensing Issue"/>
        <s v="2719: False Positive Detection Of AFIB/AFLUTTER"/>
        <s v="2319: Shock Impedance High Within Normal Limits"/>
        <s v="1133: Connection Issue"/>
        <s v="1414: Dislodged Or Dislocated"/>
        <s v="1336: Difficult To Position"/>
        <s v="2873: Sense B Artifact Noise"/>
        <s v="2460: User Used Incorrect Product For Intended Use"/>
        <s v="2457: Use Of Device Issue - User Error"/>
        <s v="2318: Shock Impedance High Out Of Range"/>
        <s v="1683: Impedance Issue"/>
        <s v="2064: Migration"/>
        <s v="2322: Shock Impedance Low Within Normal Limits"/>
        <s v="2698: Air Bubble Noise Or Oversensing"/>
        <s v="2410: Tone Pattern Not As Expected"/>
        <s v="2867: Non Specific Product Performance Allegation"/>
        <s v="2175: Pacing Impedance Low Out Of Range"/>
        <s v="2321: Shock Impedance Low Out Of Range"/>
        <s v="1122: Communication Or Transmission Issue"/>
        <s v="2317: Shock Impedance High"/>
        <s v="2406: Therapy Induced Arrhythmia"/>
        <s v="2278: Rhythm Acceleration"/>
        <s v="1166: Data Issue"/>
        <s v="2398: Tear, Rip Or Hole In Device Packaging"/>
        <s v="2405: Therapy Delivery/Effectiveness Problem"/>
        <s v="1589: Failure To Shock Or Properly Shock"/>
        <s v="2459: User Preference Issue"/>
        <s v="1697: Inappropriate Or Unexpected Reset"/>
        <s v="2868: EGM Issue"/>
        <s v="1045: Brady Pacing Delivered When Not Required"/>
        <s v="1176: Delayed Charge Time"/>
        <s v="2111: No Tones When Expected"/>
        <s v="2870: Difficulty Converting Rhythm (Ambulatory)"/>
        <s v="1504: Failure To Convert Rhythm"/>
        <s v="1339: Difficult To Program Or Calibrate"/>
        <s v="1584: Failure To Sense"/>
        <s v="2871: Difficulty Converting Rhythm (Induced)"/>
        <s v="2872: Difficult To Induce An Arrhythmia During Induction/DFT Testing."/>
        <s v="2393: System To Patient Interface Issue"/>
        <s v="2301: Sensing Intermittently"/>
        <m/>
      </sharedItems>
    </cacheField>
    <cacheField name="Ocurrence" numFmtId="0">
      <sharedItems containsString="0" containsBlank="1" containsNumber="1" containsInteger="1" minValue="1" maxValue="126"/>
    </cacheField>
  </cacheFields>
  <extLst>
    <ext xmlns:x14="http://schemas.microsoft.com/office/spreadsheetml/2009/9/main" uri="{725AE2AE-9491-48be-B2B4-4EB974FC3084}">
      <x14:pivotCacheDefinition pivotCacheId="530792802"/>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osta Navarro, Randall" refreshedDate="45097.566654861112" createdVersion="8" refreshedVersion="8" minRefreshableVersion="3" recordCount="14" xr:uid="{C25334C2-8F28-4D9E-B7BA-429AC2D9D767}">
  <cacheSource type="worksheet">
    <worksheetSource ref="B3:F595" sheet="Metrics Tables"/>
  </cacheSource>
  <cacheFields count="6">
    <cacheField name="Date" numFmtId="0">
      <sharedItems containsNonDate="0" containsDate="1" containsString="0" containsBlank="1" minDate="2023-06-05T00:00:00" maxDate="2023-06-10T00:00:00" count="6">
        <d v="2023-06-05T00:00:00"/>
        <d v="2023-06-06T00:00:00"/>
        <d v="2023-06-07T00:00:00"/>
        <d v="2023-06-08T00:00:00"/>
        <d v="2023-06-09T00:00:00"/>
        <m/>
      </sharedItems>
      <fieldGroup par="5" base="0">
        <rangePr groupBy="days" startDate="2023-06-05T00:00:00" endDate="2023-06-10T00:00:00"/>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0/2023"/>
        </groupItems>
      </fieldGroup>
    </cacheField>
    <cacheField name="Week" numFmtId="0">
      <sharedItems containsString="0" containsBlank="1" containsNumber="1" containsInteger="1" minValue="22" maxValue="24" count="4">
        <n v="23"/>
        <m/>
        <n v="24" u="1"/>
        <n v="22" u="1"/>
      </sharedItems>
    </cacheField>
    <cacheField name="Open" numFmtId="0">
      <sharedItems containsString="0" containsBlank="1" containsNumber="1" containsInteger="1" minValue="349" maxValue="365"/>
    </cacheField>
    <cacheField name="Coyol/YES" numFmtId="0">
      <sharedItems containsString="0" containsBlank="1" containsNumber="1" containsInteger="1" minValue="48" maxValue="65"/>
    </cacheField>
    <cacheField name="Coyol/NO" numFmtId="0">
      <sharedItems containsString="0" containsBlank="1" containsNumber="1" containsInteger="1" minValue="154" maxValue="177"/>
    </cacheField>
    <cacheField name="Months" numFmtId="0" databaseField="0">
      <fieldGroup base="0">
        <rangePr groupBy="months" startDate="2023-06-05T00:00:00" endDate="2023-06-10T00:00:00"/>
        <groupItems count="14">
          <s v="&lt;6/5/2023"/>
          <s v="Jan"/>
          <s v="Feb"/>
          <s v="Mar"/>
          <s v="Apr"/>
          <s v="May"/>
          <s v="Jun"/>
          <s v="Jul"/>
          <s v="Aug"/>
          <s v="Sep"/>
          <s v="Oct"/>
          <s v="Nov"/>
          <s v="Dec"/>
          <s v="&gt;6/10/2023"/>
        </groupItems>
      </fieldGroup>
    </cacheField>
  </cacheFields>
  <extLst>
    <ext xmlns:x14="http://schemas.microsoft.com/office/spreadsheetml/2009/9/main" uri="{725AE2AE-9491-48be-B2B4-4EB974FC3084}">
      <x14:pivotCacheDefinition pivotCacheId="4361162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n v="496"/>
    <n v="6"/>
    <n v="12"/>
    <n v="18"/>
    <n v="4"/>
    <n v="6"/>
    <n v="0"/>
  </r>
  <r>
    <x v="1"/>
    <x v="0"/>
    <n v="497"/>
    <n v="15"/>
    <n v="6"/>
    <n v="23"/>
    <n v="4"/>
    <n v="6"/>
    <n v="0"/>
  </r>
  <r>
    <x v="2"/>
    <x v="0"/>
    <n v="498"/>
    <n v="15"/>
    <n v="6"/>
    <n v="19"/>
    <n v="1"/>
    <n v="6"/>
    <n v="0"/>
  </r>
  <r>
    <x v="3"/>
    <x v="0"/>
    <n v="499"/>
    <n v="17"/>
    <n v="6"/>
    <n v="20"/>
    <n v="1"/>
    <n v="7"/>
    <n v="0"/>
  </r>
  <r>
    <x v="4"/>
    <x v="0"/>
    <n v="500"/>
    <n v="15"/>
    <n v="6"/>
    <n v="22"/>
    <n v="2"/>
    <n v="9"/>
    <n v="1"/>
  </r>
  <r>
    <x v="5"/>
    <x v="1"/>
    <n v="503"/>
    <n v="55"/>
    <n v="17"/>
    <n v="79"/>
    <n v="1"/>
    <n v="26"/>
    <n v="0"/>
  </r>
  <r>
    <x v="6"/>
    <x v="1"/>
    <n v="504"/>
    <n v="60"/>
    <n v="18"/>
    <n v="84"/>
    <n v="1"/>
    <n v="31"/>
    <n v="1"/>
  </r>
  <r>
    <x v="7"/>
    <x v="1"/>
    <n v="505"/>
    <n v="50"/>
    <n v="26"/>
    <n v="86"/>
    <n v="1"/>
    <n v="25"/>
    <n v="1"/>
  </r>
  <r>
    <x v="8"/>
    <x v="1"/>
    <n v="432"/>
    <n v="41"/>
    <n v="28"/>
    <n v="81"/>
    <n v="0"/>
    <n v="30"/>
    <n v="0"/>
  </r>
  <r>
    <x v="9"/>
    <x v="2"/>
    <m/>
    <m/>
    <m/>
    <m/>
    <m/>
    <m/>
    <m/>
  </r>
  <r>
    <x v="9"/>
    <x v="2"/>
    <m/>
    <m/>
    <m/>
    <m/>
    <m/>
    <m/>
    <m/>
  </r>
  <r>
    <x v="9"/>
    <x v="2"/>
    <m/>
    <m/>
    <m/>
    <m/>
    <m/>
    <m/>
    <m/>
  </r>
  <r>
    <x v="9"/>
    <x v="2"/>
    <m/>
    <m/>
    <m/>
    <m/>
    <m/>
    <m/>
    <m/>
  </r>
  <r>
    <x v="9"/>
    <x v="2"/>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x v="0"/>
    <x v="0"/>
    <x v="0"/>
  </r>
  <r>
    <x v="0"/>
    <x v="0"/>
    <x v="1"/>
    <x v="1"/>
  </r>
  <r>
    <x v="0"/>
    <x v="0"/>
    <x v="2"/>
    <x v="2"/>
  </r>
  <r>
    <x v="0"/>
    <x v="0"/>
    <x v="3"/>
    <x v="3"/>
  </r>
  <r>
    <x v="0"/>
    <x v="0"/>
    <x v="4"/>
    <x v="3"/>
  </r>
  <r>
    <x v="0"/>
    <x v="0"/>
    <x v="5"/>
    <x v="4"/>
  </r>
  <r>
    <x v="1"/>
    <x v="0"/>
    <x v="0"/>
    <x v="5"/>
  </r>
  <r>
    <x v="1"/>
    <x v="0"/>
    <x v="1"/>
    <x v="6"/>
  </r>
  <r>
    <x v="1"/>
    <x v="0"/>
    <x v="2"/>
    <x v="7"/>
  </r>
  <r>
    <x v="1"/>
    <x v="0"/>
    <x v="3"/>
    <x v="8"/>
  </r>
  <r>
    <x v="1"/>
    <x v="0"/>
    <x v="4"/>
    <x v="8"/>
  </r>
  <r>
    <x v="1"/>
    <x v="0"/>
    <x v="5"/>
    <x v="4"/>
  </r>
  <r>
    <x v="2"/>
    <x v="0"/>
    <x v="0"/>
    <x v="9"/>
  </r>
  <r>
    <x v="2"/>
    <x v="0"/>
    <x v="1"/>
    <x v="10"/>
  </r>
  <r>
    <x v="2"/>
    <x v="0"/>
    <x v="2"/>
    <x v="11"/>
  </r>
  <r>
    <x v="2"/>
    <x v="0"/>
    <x v="3"/>
    <x v="3"/>
  </r>
  <r>
    <x v="2"/>
    <x v="0"/>
    <x v="4"/>
    <x v="12"/>
  </r>
  <r>
    <x v="2"/>
    <x v="0"/>
    <x v="5"/>
    <x v="4"/>
  </r>
  <r>
    <x v="3"/>
    <x v="0"/>
    <x v="0"/>
    <x v="13"/>
  </r>
  <r>
    <x v="3"/>
    <x v="0"/>
    <x v="1"/>
    <x v="14"/>
  </r>
  <r>
    <x v="3"/>
    <x v="0"/>
    <x v="2"/>
    <x v="15"/>
  </r>
  <r>
    <x v="3"/>
    <x v="0"/>
    <x v="3"/>
    <x v="16"/>
  </r>
  <r>
    <x v="3"/>
    <x v="0"/>
    <x v="4"/>
    <x v="17"/>
  </r>
  <r>
    <x v="3"/>
    <x v="0"/>
    <x v="5"/>
    <x v="18"/>
  </r>
  <r>
    <x v="4"/>
    <x v="0"/>
    <x v="0"/>
    <x v="19"/>
  </r>
  <r>
    <x v="4"/>
    <x v="0"/>
    <x v="1"/>
    <x v="14"/>
  </r>
  <r>
    <x v="4"/>
    <x v="0"/>
    <x v="2"/>
    <x v="20"/>
  </r>
  <r>
    <x v="4"/>
    <x v="0"/>
    <x v="3"/>
    <x v="17"/>
  </r>
  <r>
    <x v="4"/>
    <x v="0"/>
    <x v="4"/>
    <x v="17"/>
  </r>
  <r>
    <x v="4"/>
    <x v="0"/>
    <x v="5"/>
    <x v="18"/>
  </r>
  <r>
    <x v="5"/>
    <x v="1"/>
    <x v="0"/>
    <x v="21"/>
  </r>
  <r>
    <x v="5"/>
    <x v="1"/>
    <x v="1"/>
    <x v="14"/>
  </r>
  <r>
    <x v="5"/>
    <x v="1"/>
    <x v="2"/>
    <x v="22"/>
  </r>
  <r>
    <x v="5"/>
    <x v="1"/>
    <x v="3"/>
    <x v="17"/>
  </r>
  <r>
    <x v="5"/>
    <x v="1"/>
    <x v="4"/>
    <x v="17"/>
  </r>
  <r>
    <x v="5"/>
    <x v="1"/>
    <x v="5"/>
    <x v="18"/>
  </r>
  <r>
    <x v="6"/>
    <x v="1"/>
    <x v="0"/>
    <x v="23"/>
  </r>
  <r>
    <x v="6"/>
    <x v="1"/>
    <x v="1"/>
    <x v="6"/>
  </r>
  <r>
    <x v="6"/>
    <x v="1"/>
    <x v="2"/>
    <x v="24"/>
  </r>
  <r>
    <x v="6"/>
    <x v="1"/>
    <x v="3"/>
    <x v="16"/>
  </r>
  <r>
    <x v="6"/>
    <x v="1"/>
    <x v="4"/>
    <x v="17"/>
  </r>
  <r>
    <x v="6"/>
    <x v="1"/>
    <x v="5"/>
    <x v="18"/>
  </r>
  <r>
    <x v="7"/>
    <x v="1"/>
    <x v="0"/>
    <x v="23"/>
  </r>
  <r>
    <x v="7"/>
    <x v="1"/>
    <x v="1"/>
    <x v="10"/>
  </r>
  <r>
    <x v="7"/>
    <x v="1"/>
    <x v="2"/>
    <x v="25"/>
  </r>
  <r>
    <x v="7"/>
    <x v="1"/>
    <x v="3"/>
    <x v="16"/>
  </r>
  <r>
    <x v="7"/>
    <x v="1"/>
    <x v="4"/>
    <x v="17"/>
  </r>
  <r>
    <x v="7"/>
    <x v="1"/>
    <x v="5"/>
    <x v="18"/>
  </r>
  <r>
    <x v="8"/>
    <x v="1"/>
    <x v="0"/>
    <x v="26"/>
  </r>
  <r>
    <x v="8"/>
    <x v="1"/>
    <x v="1"/>
    <x v="14"/>
  </r>
  <r>
    <x v="8"/>
    <x v="1"/>
    <x v="2"/>
    <x v="27"/>
  </r>
  <r>
    <x v="8"/>
    <x v="1"/>
    <x v="3"/>
    <x v="16"/>
  </r>
  <r>
    <x v="8"/>
    <x v="1"/>
    <x v="4"/>
    <x v="12"/>
  </r>
  <r>
    <x v="8"/>
    <x v="1"/>
    <x v="5"/>
    <x v="18"/>
  </r>
  <r>
    <x v="9"/>
    <x v="1"/>
    <x v="0"/>
    <x v="28"/>
  </r>
  <r>
    <x v="9"/>
    <x v="1"/>
    <x v="1"/>
    <x v="10"/>
  </r>
  <r>
    <x v="9"/>
    <x v="1"/>
    <x v="2"/>
    <x v="29"/>
  </r>
  <r>
    <x v="9"/>
    <x v="1"/>
    <x v="3"/>
    <x v="30"/>
  </r>
  <r>
    <x v="9"/>
    <x v="1"/>
    <x v="4"/>
    <x v="3"/>
  </r>
  <r>
    <x v="9"/>
    <x v="1"/>
    <x v="5"/>
    <x v="18"/>
  </r>
  <r>
    <x v="10"/>
    <x v="2"/>
    <x v="6"/>
    <x v="3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
  <r>
    <x v="0"/>
    <x v="0"/>
    <n v="361"/>
    <n v="48"/>
    <n v="173"/>
  </r>
  <r>
    <x v="1"/>
    <x v="0"/>
    <n v="365"/>
    <n v="65"/>
    <n v="161"/>
  </r>
  <r>
    <x v="2"/>
    <x v="0"/>
    <n v="349"/>
    <n v="61"/>
    <n v="154"/>
  </r>
  <r>
    <x v="3"/>
    <x v="0"/>
    <n v="356"/>
    <n v="54"/>
    <n v="173"/>
  </r>
  <r>
    <x v="4"/>
    <x v="0"/>
    <n v="350"/>
    <n v="57"/>
    <n v="177"/>
  </r>
  <r>
    <x v="5"/>
    <x v="1"/>
    <n v="311"/>
    <n v="70"/>
    <n v="134"/>
  </r>
  <r>
    <x v="6"/>
    <x v="1"/>
    <n v="314"/>
    <n v="56"/>
    <n v="151"/>
  </r>
  <r>
    <x v="7"/>
    <x v="1"/>
    <n v="316"/>
    <n v="77"/>
    <n v="122"/>
  </r>
  <r>
    <x v="8"/>
    <x v="1"/>
    <n v="314"/>
    <n v="72"/>
    <n v="126"/>
  </r>
  <r>
    <x v="9"/>
    <x v="1"/>
    <n v="314"/>
    <n v="47"/>
    <n v="158"/>
  </r>
  <r>
    <x v="10"/>
    <x v="2"/>
    <n v="316"/>
    <n v="51"/>
    <n v="150"/>
  </r>
  <r>
    <x v="11"/>
    <x v="2"/>
    <n v="310"/>
    <n v="55"/>
    <n v="137"/>
  </r>
  <r>
    <x v="12"/>
    <x v="2"/>
    <n v="339"/>
    <n v="61"/>
    <n v="154"/>
  </r>
  <r>
    <x v="13"/>
    <x v="2"/>
    <n v="330"/>
    <n v="64"/>
    <n v="154"/>
  </r>
  <r>
    <x v="14"/>
    <x v="2"/>
    <n v="324"/>
    <n v="46"/>
    <n v="176"/>
  </r>
  <r>
    <x v="15"/>
    <x v="3"/>
    <n v="310"/>
    <n v="38"/>
    <n v="172"/>
  </r>
  <r>
    <x v="16"/>
    <x v="3"/>
    <n v="336"/>
    <n v="68"/>
    <n v="166"/>
  </r>
  <r>
    <x v="17"/>
    <x v="3"/>
    <n v="355"/>
    <n v="79"/>
    <n v="164"/>
  </r>
  <r>
    <x v="18"/>
    <x v="3"/>
    <n v="364"/>
    <n v="87"/>
    <n v="159"/>
  </r>
  <r>
    <x v="19"/>
    <x v="3"/>
    <n v="362"/>
    <n v="64"/>
    <n v="184"/>
  </r>
  <r>
    <x v="20"/>
    <x v="4"/>
    <n v="355"/>
    <n v="73"/>
    <n v="177"/>
  </r>
  <r>
    <x v="21"/>
    <x v="4"/>
    <n v="368"/>
    <n v="82"/>
    <n v="174"/>
  </r>
  <r>
    <x v="22"/>
    <x v="4"/>
    <n v="349"/>
    <n v="87"/>
    <n v="148"/>
  </r>
  <r>
    <x v="23"/>
    <x v="4"/>
    <n v="352"/>
    <n v="94"/>
    <n v="149"/>
  </r>
  <r>
    <x v="24"/>
    <x v="4"/>
    <n v="337"/>
    <n v="77"/>
    <n v="150"/>
  </r>
  <r>
    <x v="25"/>
    <x v="5"/>
    <n v="320"/>
    <n v="97"/>
    <n v="120"/>
  </r>
  <r>
    <x v="26"/>
    <x v="5"/>
    <n v="320"/>
    <n v="75"/>
    <n v="141"/>
  </r>
  <r>
    <x v="27"/>
    <x v="5"/>
    <n v="341"/>
    <n v="82"/>
    <n v="155"/>
  </r>
  <r>
    <x v="28"/>
    <x v="5"/>
    <n v="346"/>
    <n v="76"/>
    <n v="170"/>
  </r>
  <r>
    <x v="29"/>
    <x v="5"/>
    <n v="358"/>
    <n v="65"/>
    <n v="193"/>
  </r>
  <r>
    <x v="30"/>
    <x v="6"/>
    <n v="361"/>
    <n v="76"/>
    <n v="186"/>
  </r>
  <r>
    <x v="31"/>
    <x v="6"/>
    <n v="388"/>
    <n v="90"/>
    <n v="191"/>
  </r>
  <r>
    <x v="32"/>
    <x v="6"/>
    <n v="381"/>
    <n v="93"/>
    <n v="176"/>
  </r>
  <r>
    <x v="33"/>
    <x v="6"/>
    <n v="360"/>
    <n v="86"/>
    <n v="175"/>
  </r>
  <r>
    <x v="34"/>
    <x v="6"/>
    <n v="343"/>
    <n v="79"/>
    <n v="175"/>
  </r>
  <r>
    <x v="35"/>
    <x v="7"/>
    <n v="383"/>
    <n v="162"/>
    <n v="134"/>
  </r>
  <r>
    <x v="36"/>
    <x v="7"/>
    <n v="364"/>
    <n v="158"/>
    <n v="121"/>
  </r>
  <r>
    <x v="37"/>
    <x v="7"/>
    <n v="373"/>
    <n v="154"/>
    <n v="137"/>
  </r>
  <r>
    <x v="38"/>
    <x v="7"/>
    <n v="381"/>
    <n v="151"/>
    <n v="151"/>
  </r>
  <r>
    <x v="39"/>
    <x v="8"/>
    <n v="392"/>
    <n v="155"/>
    <n v="152"/>
  </r>
  <r>
    <x v="40"/>
    <x v="8"/>
    <n v="402"/>
    <n v="146"/>
    <n v="164"/>
  </r>
  <r>
    <x v="41"/>
    <x v="8"/>
    <n v="377"/>
    <n v="138"/>
    <n v="149"/>
  </r>
  <r>
    <x v="42"/>
    <x v="8"/>
    <n v="390"/>
    <n v="171"/>
    <n v="139"/>
  </r>
  <r>
    <x v="43"/>
    <x v="8"/>
    <n v="383"/>
    <n v="153"/>
    <n v="148"/>
  </r>
  <r>
    <x v="44"/>
    <x v="9"/>
    <n v="386"/>
    <n v="166"/>
    <n v="138"/>
  </r>
  <r>
    <x v="45"/>
    <x v="9"/>
    <n v="384"/>
    <n v="152"/>
    <n v="147"/>
  </r>
  <r>
    <x v="46"/>
    <x v="9"/>
    <n v="367"/>
    <n v="136"/>
    <n v="144"/>
  </r>
  <r>
    <x v="47"/>
    <x v="9"/>
    <n v="369"/>
    <n v="135"/>
    <n v="150"/>
  </r>
  <r>
    <x v="48"/>
    <x v="9"/>
    <n v="338"/>
    <n v="117"/>
    <n v="150"/>
  </r>
  <r>
    <x v="49"/>
    <x v="10"/>
    <n v="370"/>
    <n v="165"/>
    <n v="133"/>
  </r>
  <r>
    <x v="50"/>
    <x v="10"/>
    <n v="382"/>
    <n v="172"/>
    <n v="143"/>
  </r>
  <r>
    <x v="51"/>
    <x v="10"/>
    <n v="382"/>
    <n v="164"/>
    <n v="150"/>
  </r>
  <r>
    <x v="52"/>
    <x v="10"/>
    <n v="376"/>
    <n v="141"/>
    <n v="162"/>
  </r>
  <r>
    <x v="53"/>
    <x v="11"/>
    <n v="346"/>
    <n v="117"/>
    <n v="154"/>
  </r>
  <r>
    <x v="54"/>
    <x v="11"/>
    <n v="343"/>
    <n v="122"/>
    <n v="144"/>
  </r>
  <r>
    <x v="55"/>
    <x v="11"/>
    <n v="349"/>
    <n v="118"/>
    <n v="150"/>
  </r>
  <r>
    <x v="56"/>
    <x v="11"/>
    <n v="346"/>
    <n v="110"/>
    <n v="157"/>
  </r>
  <r>
    <x v="57"/>
    <x v="11"/>
    <n v="359"/>
    <n v="98"/>
    <n v="0"/>
  </r>
  <r>
    <x v="58"/>
    <x v="12"/>
    <n v="364"/>
    <n v="110"/>
    <n v="163"/>
  </r>
  <r>
    <x v="59"/>
    <x v="12"/>
    <n v="368"/>
    <n v="126"/>
    <n v="161"/>
  </r>
  <r>
    <x v="60"/>
    <x v="12"/>
    <n v="357"/>
    <n v="111"/>
    <n v="159"/>
  </r>
  <r>
    <x v="61"/>
    <x v="12"/>
    <n v="366"/>
    <n v="120"/>
    <n v="159"/>
  </r>
  <r>
    <x v="62"/>
    <x v="12"/>
    <n v="349"/>
    <n v="105"/>
    <n v="157"/>
  </r>
  <r>
    <x v="63"/>
    <x v="13"/>
    <n v="312"/>
    <n v="55"/>
    <n v="168"/>
  </r>
  <r>
    <x v="64"/>
    <x v="13"/>
    <n v="305"/>
    <n v="66"/>
    <n v="162"/>
  </r>
  <r>
    <x v="65"/>
    <x v="13"/>
    <n v="306"/>
    <n v="73"/>
    <n v="162"/>
  </r>
  <r>
    <x v="66"/>
    <x v="13"/>
    <n v="302"/>
    <n v="81"/>
    <n v="153"/>
  </r>
  <r>
    <x v="67"/>
    <x v="14"/>
    <n v="315"/>
    <n v="126"/>
    <n v="122"/>
  </r>
  <r>
    <x v="68"/>
    <x v="14"/>
    <n v="299"/>
    <n v="115"/>
    <n v="119"/>
  </r>
  <r>
    <x v="69"/>
    <x v="14"/>
    <n v="305"/>
    <n v="104"/>
    <n v="139"/>
  </r>
  <r>
    <x v="70"/>
    <x v="14"/>
    <n v="298"/>
    <n v="91"/>
    <n v="0"/>
  </r>
  <r>
    <x v="71"/>
    <x v="14"/>
    <n v="353"/>
    <n v="91"/>
    <n v="198"/>
  </r>
  <r>
    <x v="72"/>
    <x v="15"/>
    <n v="351"/>
    <n v="97"/>
    <n v="188"/>
  </r>
  <r>
    <x v="73"/>
    <x v="15"/>
    <n v="381"/>
    <n v="118"/>
    <n v="194"/>
  </r>
  <r>
    <x v="74"/>
    <x v="15"/>
    <n v="375"/>
    <n v="142"/>
    <n v="163"/>
  </r>
  <r>
    <x v="75"/>
    <x v="15"/>
    <n v="395"/>
    <n v="153"/>
    <n v="171"/>
  </r>
  <r>
    <x v="76"/>
    <x v="16"/>
    <n v="401"/>
    <n v="168"/>
    <n v="154"/>
  </r>
  <r>
    <x v="77"/>
    <x v="16"/>
    <n v="384"/>
    <n v="163"/>
    <n v="140"/>
  </r>
  <r>
    <x v="78"/>
    <x v="16"/>
    <n v="380"/>
    <n v="156"/>
    <n v="149"/>
  </r>
  <r>
    <x v="79"/>
    <x v="16"/>
    <n v="378"/>
    <n v="166"/>
    <n v="142"/>
  </r>
  <r>
    <x v="80"/>
    <x v="16"/>
    <n v="400"/>
    <n v="145"/>
    <n v="177"/>
  </r>
  <r>
    <x v="81"/>
    <x v="17"/>
    <n v="381"/>
    <n v="120"/>
    <n v="171"/>
  </r>
  <r>
    <x v="82"/>
    <x v="17"/>
    <n v="369"/>
    <n v="117"/>
    <n v="159"/>
  </r>
  <r>
    <x v="83"/>
    <x v="17"/>
    <n v="368"/>
    <n v="123"/>
    <n v="161"/>
  </r>
  <r>
    <x v="84"/>
    <x v="17"/>
    <n v="376"/>
    <n v="142"/>
    <n v="144"/>
  </r>
  <r>
    <x v="85"/>
    <x v="17"/>
    <n v="374"/>
    <n v="136"/>
    <n v="149"/>
  </r>
  <r>
    <x v="86"/>
    <x v="18"/>
    <n v="366"/>
    <n v="120"/>
    <n v="145"/>
  </r>
  <r>
    <x v="87"/>
    <x v="18"/>
    <n v="360"/>
    <n v="111"/>
    <n v="153"/>
  </r>
  <r>
    <x v="88"/>
    <x v="18"/>
    <n v="369"/>
    <n v="81"/>
    <n v="201"/>
  </r>
  <r>
    <x v="89"/>
    <x v="18"/>
    <n v="360"/>
    <n v="42"/>
    <n v="232"/>
  </r>
  <r>
    <x v="90"/>
    <x v="18"/>
    <n v="369"/>
    <n v="116"/>
    <n v="163"/>
  </r>
  <r>
    <x v="91"/>
    <x v="19"/>
    <n v="353"/>
    <n v="117"/>
    <n v="138"/>
  </r>
  <r>
    <x v="92"/>
    <x v="19"/>
    <n v="337"/>
    <n v="112"/>
    <n v="138"/>
  </r>
  <r>
    <x v="93"/>
    <x v="19"/>
    <n v="338"/>
    <n v="113"/>
    <n v="139"/>
  </r>
  <r>
    <x v="94"/>
    <x v="20"/>
    <n v="319"/>
    <n v="121"/>
    <n v="118"/>
  </r>
  <r>
    <x v="95"/>
    <x v="20"/>
    <n v="317"/>
    <n v="122"/>
    <n v="117"/>
  </r>
  <r>
    <x v="96"/>
    <x v="20"/>
    <n v="300"/>
    <n v="81"/>
    <n v="155"/>
  </r>
  <r>
    <x v="97"/>
    <x v="20"/>
    <n v="317"/>
    <n v="112"/>
    <n v="136"/>
  </r>
  <r>
    <x v="98"/>
    <x v="20"/>
    <n v="316"/>
    <n v="101"/>
    <n v="139"/>
  </r>
  <r>
    <x v="99"/>
    <x v="21"/>
    <n v="343"/>
    <n v="120"/>
    <n v="138"/>
  </r>
  <r>
    <x v="100"/>
    <x v="21"/>
    <n v="362"/>
    <n v="132"/>
    <n v="147"/>
  </r>
  <r>
    <x v="101"/>
    <x v="21"/>
    <n v="369"/>
    <n v="117"/>
    <n v="166"/>
  </r>
  <r>
    <x v="102"/>
    <x v="21"/>
    <n v="351"/>
    <n v="93"/>
    <n v="178"/>
  </r>
  <r>
    <x v="103"/>
    <x v="21"/>
    <n v="360"/>
    <n v="118"/>
    <n v="149"/>
  </r>
  <r>
    <x v="104"/>
    <x v="22"/>
    <n v="333"/>
    <n v="134"/>
    <n v="123"/>
  </r>
  <r>
    <x v="105"/>
    <x v="22"/>
    <n v="359"/>
    <n v="139"/>
    <n v="138"/>
  </r>
  <r>
    <x v="106"/>
    <x v="22"/>
    <n v="367"/>
    <n v="116"/>
    <n v="164"/>
  </r>
  <r>
    <x v="107"/>
    <x v="22"/>
    <n v="367"/>
    <n v="94"/>
    <n v="190"/>
  </r>
  <r>
    <x v="108"/>
    <x v="22"/>
    <n v="376"/>
    <n v="90"/>
    <n v="203"/>
  </r>
  <r>
    <x v="109"/>
    <x v="23"/>
    <n v="386"/>
    <n v="135"/>
    <n v="158"/>
  </r>
  <r>
    <x v="110"/>
    <x v="23"/>
    <n v="384"/>
    <n v="140"/>
    <n v="170"/>
  </r>
  <r>
    <x v="111"/>
    <x v="23"/>
    <n v="389"/>
    <n v="119"/>
    <n v="182"/>
  </r>
  <r>
    <x v="112"/>
    <x v="23"/>
    <n v="388"/>
    <n v="118"/>
    <n v="183"/>
  </r>
  <r>
    <x v="113"/>
    <x v="23"/>
    <n v="379"/>
    <n v="139"/>
    <n v="151"/>
  </r>
  <r>
    <x v="114"/>
    <x v="24"/>
    <n v="356"/>
    <n v="159"/>
    <n v="108"/>
  </r>
  <r>
    <x v="115"/>
    <x v="24"/>
    <n v="363"/>
    <n v="161"/>
    <n v="116"/>
  </r>
  <r>
    <x v="116"/>
    <x v="24"/>
    <n v="352"/>
    <n v="134"/>
    <n v="132"/>
  </r>
  <r>
    <x v="117"/>
    <x v="24"/>
    <n v="350"/>
    <n v="149"/>
    <n v="116"/>
  </r>
  <r>
    <x v="118"/>
    <x v="24"/>
    <n v="332"/>
    <n v="123"/>
    <n v="130"/>
  </r>
  <r>
    <x v="119"/>
    <x v="25"/>
    <m/>
    <m/>
    <m/>
  </r>
  <r>
    <x v="119"/>
    <x v="25"/>
    <m/>
    <m/>
    <m/>
  </r>
  <r>
    <x v="119"/>
    <x v="25"/>
    <m/>
    <m/>
    <m/>
  </r>
  <r>
    <x v="119"/>
    <x v="25"/>
    <m/>
    <m/>
    <m/>
  </r>
  <r>
    <x v="119"/>
    <x v="25"/>
    <m/>
    <m/>
    <m/>
  </r>
  <r>
    <x v="119"/>
    <x v="25"/>
    <m/>
    <m/>
    <m/>
  </r>
  <r>
    <x v="119"/>
    <x v="25"/>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5">
  <r>
    <x v="0"/>
    <x v="0"/>
    <x v="0"/>
    <n v="267"/>
  </r>
  <r>
    <x v="0"/>
    <x v="0"/>
    <x v="1"/>
    <n v="4"/>
  </r>
  <r>
    <x v="0"/>
    <x v="0"/>
    <x v="2"/>
    <n v="64"/>
  </r>
  <r>
    <x v="0"/>
    <x v="0"/>
    <x v="3"/>
    <n v="14"/>
  </r>
  <r>
    <x v="0"/>
    <x v="0"/>
    <x v="4"/>
    <n v="14"/>
  </r>
  <r>
    <x v="0"/>
    <x v="0"/>
    <x v="5"/>
    <n v="0"/>
  </r>
  <r>
    <x v="1"/>
    <x v="0"/>
    <x v="0"/>
    <n v="276"/>
  </r>
  <r>
    <x v="1"/>
    <x v="0"/>
    <x v="1"/>
    <n v="5"/>
  </r>
  <r>
    <x v="1"/>
    <x v="0"/>
    <x v="2"/>
    <n v="67"/>
  </r>
  <r>
    <x v="1"/>
    <x v="0"/>
    <x v="3"/>
    <n v="15"/>
  </r>
  <r>
    <x v="1"/>
    <x v="0"/>
    <x v="4"/>
    <n v="15"/>
  </r>
  <r>
    <x v="1"/>
    <x v="0"/>
    <x v="5"/>
    <n v="0"/>
  </r>
  <r>
    <x v="2"/>
    <x v="0"/>
    <x v="0"/>
    <n v="262"/>
  </r>
  <r>
    <x v="2"/>
    <x v="0"/>
    <x v="1"/>
    <n v="6"/>
  </r>
  <r>
    <x v="2"/>
    <x v="0"/>
    <x v="2"/>
    <n v="66"/>
  </r>
  <r>
    <x v="2"/>
    <x v="0"/>
    <x v="3"/>
    <n v="14"/>
  </r>
  <r>
    <x v="2"/>
    <x v="0"/>
    <x v="4"/>
    <n v="13"/>
  </r>
  <r>
    <x v="2"/>
    <x v="0"/>
    <x v="5"/>
    <n v="0"/>
  </r>
  <r>
    <x v="3"/>
    <x v="0"/>
    <x v="0"/>
    <n v="264"/>
  </r>
  <r>
    <x v="3"/>
    <x v="0"/>
    <x v="1"/>
    <n v="7"/>
  </r>
  <r>
    <x v="3"/>
    <x v="0"/>
    <x v="2"/>
    <n v="73"/>
  </r>
  <r>
    <x v="3"/>
    <x v="0"/>
    <x v="3"/>
    <n v="12"/>
  </r>
  <r>
    <x v="3"/>
    <x v="0"/>
    <x v="4"/>
    <n v="11"/>
  </r>
  <r>
    <x v="3"/>
    <x v="0"/>
    <x v="5"/>
    <n v="1"/>
  </r>
  <r>
    <x v="4"/>
    <x v="0"/>
    <x v="0"/>
    <n v="263"/>
  </r>
  <r>
    <x v="4"/>
    <x v="0"/>
    <x v="1"/>
    <n v="7"/>
  </r>
  <r>
    <x v="4"/>
    <x v="0"/>
    <x v="2"/>
    <n v="70"/>
  </r>
  <r>
    <x v="4"/>
    <x v="0"/>
    <x v="3"/>
    <n v="11"/>
  </r>
  <r>
    <x v="4"/>
    <x v="0"/>
    <x v="4"/>
    <n v="11"/>
  </r>
  <r>
    <x v="4"/>
    <x v="0"/>
    <x v="5"/>
    <n v="1"/>
  </r>
  <r>
    <x v="5"/>
    <x v="1"/>
    <x v="0"/>
    <n v="232"/>
  </r>
  <r>
    <x v="5"/>
    <x v="1"/>
    <x v="1"/>
    <n v="7"/>
  </r>
  <r>
    <x v="5"/>
    <x v="1"/>
    <x v="2"/>
    <n v="58"/>
  </r>
  <r>
    <x v="5"/>
    <x v="1"/>
    <x v="3"/>
    <n v="11"/>
  </r>
  <r>
    <x v="5"/>
    <x v="1"/>
    <x v="4"/>
    <n v="11"/>
  </r>
  <r>
    <x v="5"/>
    <x v="1"/>
    <x v="5"/>
    <n v="1"/>
  </r>
  <r>
    <x v="6"/>
    <x v="1"/>
    <x v="0"/>
    <n v="243"/>
  </r>
  <r>
    <x v="6"/>
    <x v="1"/>
    <x v="1"/>
    <n v="5"/>
  </r>
  <r>
    <x v="6"/>
    <x v="1"/>
    <x v="2"/>
    <n v="57"/>
  </r>
  <r>
    <x v="6"/>
    <x v="1"/>
    <x v="3"/>
    <n v="12"/>
  </r>
  <r>
    <x v="6"/>
    <x v="1"/>
    <x v="4"/>
    <n v="11"/>
  </r>
  <r>
    <x v="6"/>
    <x v="1"/>
    <x v="5"/>
    <n v="1"/>
  </r>
  <r>
    <x v="7"/>
    <x v="1"/>
    <x v="0"/>
    <n v="243"/>
  </r>
  <r>
    <x v="7"/>
    <x v="1"/>
    <x v="1"/>
    <n v="6"/>
  </r>
  <r>
    <x v="7"/>
    <x v="1"/>
    <x v="2"/>
    <n v="50"/>
  </r>
  <r>
    <x v="7"/>
    <x v="1"/>
    <x v="3"/>
    <n v="12"/>
  </r>
  <r>
    <x v="7"/>
    <x v="1"/>
    <x v="4"/>
    <n v="11"/>
  </r>
  <r>
    <x v="7"/>
    <x v="1"/>
    <x v="5"/>
    <n v="1"/>
  </r>
  <r>
    <x v="8"/>
    <x v="1"/>
    <x v="0"/>
    <n v="233"/>
  </r>
  <r>
    <x v="8"/>
    <x v="1"/>
    <x v="1"/>
    <n v="7"/>
  </r>
  <r>
    <x v="8"/>
    <x v="1"/>
    <x v="2"/>
    <n v="52"/>
  </r>
  <r>
    <x v="8"/>
    <x v="1"/>
    <x v="3"/>
    <n v="12"/>
  </r>
  <r>
    <x v="8"/>
    <x v="1"/>
    <x v="4"/>
    <n v="13"/>
  </r>
  <r>
    <x v="8"/>
    <x v="1"/>
    <x v="5"/>
    <n v="1"/>
  </r>
  <r>
    <x v="9"/>
    <x v="1"/>
    <x v="0"/>
    <n v="234"/>
  </r>
  <r>
    <x v="9"/>
    <x v="1"/>
    <x v="1"/>
    <n v="6"/>
  </r>
  <r>
    <x v="9"/>
    <x v="1"/>
    <x v="2"/>
    <n v="55"/>
  </r>
  <r>
    <x v="9"/>
    <x v="1"/>
    <x v="3"/>
    <n v="10"/>
  </r>
  <r>
    <x v="9"/>
    <x v="1"/>
    <x v="4"/>
    <n v="14"/>
  </r>
  <r>
    <x v="9"/>
    <x v="1"/>
    <x v="5"/>
    <n v="1"/>
  </r>
  <r>
    <x v="10"/>
    <x v="2"/>
    <x v="0"/>
    <n v="233"/>
  </r>
  <r>
    <x v="10"/>
    <x v="2"/>
    <x v="1"/>
    <n v="6"/>
  </r>
  <r>
    <x v="10"/>
    <x v="2"/>
    <x v="2"/>
    <n v="54"/>
  </r>
  <r>
    <x v="10"/>
    <x v="2"/>
    <x v="3"/>
    <n v="12"/>
  </r>
  <r>
    <x v="10"/>
    <x v="2"/>
    <x v="4"/>
    <n v="14"/>
  </r>
  <r>
    <x v="10"/>
    <x v="2"/>
    <x v="5"/>
    <n v="1"/>
  </r>
  <r>
    <x v="11"/>
    <x v="2"/>
    <x v="0"/>
    <n v="254"/>
  </r>
  <r>
    <x v="11"/>
    <x v="2"/>
    <x v="1"/>
    <n v="6"/>
  </r>
  <r>
    <x v="11"/>
    <x v="2"/>
    <x v="2"/>
    <n v="57"/>
  </r>
  <r>
    <x v="11"/>
    <x v="2"/>
    <x v="3"/>
    <n v="13"/>
  </r>
  <r>
    <x v="11"/>
    <x v="2"/>
    <x v="4"/>
    <n v="14"/>
  </r>
  <r>
    <x v="11"/>
    <x v="2"/>
    <x v="5"/>
    <n v="1"/>
  </r>
  <r>
    <x v="12"/>
    <x v="2"/>
    <x v="0"/>
    <n v="245"/>
  </r>
  <r>
    <x v="12"/>
    <x v="2"/>
    <x v="1"/>
    <n v="6"/>
  </r>
  <r>
    <x v="12"/>
    <x v="2"/>
    <x v="2"/>
    <n v="66"/>
  </r>
  <r>
    <x v="12"/>
    <x v="2"/>
    <x v="3"/>
    <n v="12"/>
  </r>
  <r>
    <x v="12"/>
    <x v="2"/>
    <x v="4"/>
    <n v="14"/>
  </r>
  <r>
    <x v="12"/>
    <x v="2"/>
    <x v="5"/>
    <n v="1"/>
  </r>
  <r>
    <x v="13"/>
    <x v="2"/>
    <x v="0"/>
    <n v="248"/>
  </r>
  <r>
    <x v="13"/>
    <x v="2"/>
    <x v="1"/>
    <n v="3"/>
  </r>
  <r>
    <x v="13"/>
    <x v="2"/>
    <x v="2"/>
    <n v="65"/>
  </r>
  <r>
    <x v="13"/>
    <x v="2"/>
    <x v="3"/>
    <n v="14"/>
  </r>
  <r>
    <x v="13"/>
    <x v="2"/>
    <x v="4"/>
    <n v="13"/>
  </r>
  <r>
    <x v="13"/>
    <x v="2"/>
    <x v="5"/>
    <n v="1"/>
  </r>
  <r>
    <x v="14"/>
    <x v="2"/>
    <x v="0"/>
    <n v="241"/>
  </r>
  <r>
    <x v="14"/>
    <x v="2"/>
    <x v="1"/>
    <n v="3"/>
  </r>
  <r>
    <x v="14"/>
    <x v="2"/>
    <x v="2"/>
    <n v="64"/>
  </r>
  <r>
    <x v="14"/>
    <x v="2"/>
    <x v="3"/>
    <n v="18"/>
  </r>
  <r>
    <x v="14"/>
    <x v="2"/>
    <x v="4"/>
    <n v="13"/>
  </r>
  <r>
    <x v="14"/>
    <x v="2"/>
    <x v="5"/>
    <n v="2"/>
  </r>
  <r>
    <x v="15"/>
    <x v="3"/>
    <x v="0"/>
    <n v="228"/>
  </r>
  <r>
    <x v="15"/>
    <x v="3"/>
    <x v="1"/>
    <n v="3"/>
  </r>
  <r>
    <x v="15"/>
    <x v="3"/>
    <x v="2"/>
    <n v="57"/>
  </r>
  <r>
    <x v="15"/>
    <x v="3"/>
    <x v="3"/>
    <n v="18"/>
  </r>
  <r>
    <x v="15"/>
    <x v="3"/>
    <x v="4"/>
    <n v="12"/>
  </r>
  <r>
    <x v="15"/>
    <x v="3"/>
    <x v="5"/>
    <n v="2"/>
  </r>
  <r>
    <x v="16"/>
    <x v="3"/>
    <x v="0"/>
    <n v="252"/>
  </r>
  <r>
    <x v="16"/>
    <x v="3"/>
    <x v="1"/>
    <n v="3"/>
  </r>
  <r>
    <x v="16"/>
    <x v="3"/>
    <x v="2"/>
    <n v="60"/>
  </r>
  <r>
    <x v="16"/>
    <x v="3"/>
    <x v="3"/>
    <n v="18"/>
  </r>
  <r>
    <x v="16"/>
    <x v="3"/>
    <x v="4"/>
    <n v="12"/>
  </r>
  <r>
    <x v="16"/>
    <x v="3"/>
    <x v="5"/>
    <n v="1"/>
  </r>
  <r>
    <x v="17"/>
    <x v="3"/>
    <x v="0"/>
    <n v="262"/>
  </r>
  <r>
    <x v="17"/>
    <x v="3"/>
    <x v="1"/>
    <n v="5"/>
  </r>
  <r>
    <x v="17"/>
    <x v="3"/>
    <x v="2"/>
    <n v="61"/>
  </r>
  <r>
    <x v="17"/>
    <x v="3"/>
    <x v="3"/>
    <n v="22"/>
  </r>
  <r>
    <x v="17"/>
    <x v="3"/>
    <x v="4"/>
    <n v="12"/>
  </r>
  <r>
    <x v="17"/>
    <x v="3"/>
    <x v="5"/>
    <n v="1"/>
  </r>
  <r>
    <x v="18"/>
    <x v="3"/>
    <x v="0"/>
    <n v="278"/>
  </r>
  <r>
    <x v="18"/>
    <x v="3"/>
    <x v="1"/>
    <n v="6"/>
  </r>
  <r>
    <x v="18"/>
    <x v="3"/>
    <x v="2"/>
    <n v="60"/>
  </r>
  <r>
    <x v="18"/>
    <x v="3"/>
    <x v="3"/>
    <n v="22"/>
  </r>
  <r>
    <x v="18"/>
    <x v="3"/>
    <x v="4"/>
    <n v="12"/>
  </r>
  <r>
    <x v="18"/>
    <x v="3"/>
    <x v="5"/>
    <n v="1"/>
  </r>
  <r>
    <x v="19"/>
    <x v="3"/>
    <x v="0"/>
    <n v="274"/>
  </r>
  <r>
    <x v="19"/>
    <x v="3"/>
    <x v="1"/>
    <n v="4"/>
  </r>
  <r>
    <x v="19"/>
    <x v="3"/>
    <x v="2"/>
    <n v="57"/>
  </r>
  <r>
    <x v="19"/>
    <x v="3"/>
    <x v="3"/>
    <n v="23"/>
  </r>
  <r>
    <x v="19"/>
    <x v="3"/>
    <x v="4"/>
    <n v="12"/>
  </r>
  <r>
    <x v="19"/>
    <x v="3"/>
    <x v="5"/>
    <n v="1"/>
  </r>
  <r>
    <x v="20"/>
    <x v="4"/>
    <x v="0"/>
    <n v="275"/>
  </r>
  <r>
    <x v="20"/>
    <x v="4"/>
    <x v="1"/>
    <n v="4"/>
  </r>
  <r>
    <x v="20"/>
    <x v="4"/>
    <x v="2"/>
    <n v="54"/>
  </r>
  <r>
    <x v="20"/>
    <x v="4"/>
    <x v="3"/>
    <n v="19"/>
  </r>
  <r>
    <x v="20"/>
    <x v="4"/>
    <x v="4"/>
    <n v="12"/>
  </r>
  <r>
    <x v="20"/>
    <x v="4"/>
    <x v="5"/>
    <n v="1"/>
  </r>
  <r>
    <x v="21"/>
    <x v="4"/>
    <x v="0"/>
    <n v="281"/>
  </r>
  <r>
    <x v="21"/>
    <x v="4"/>
    <x v="1"/>
    <n v="4"/>
  </r>
  <r>
    <x v="21"/>
    <x v="4"/>
    <x v="2"/>
    <n v="56"/>
  </r>
  <r>
    <x v="21"/>
    <x v="4"/>
    <x v="3"/>
    <n v="17"/>
  </r>
  <r>
    <x v="21"/>
    <x v="4"/>
    <x v="4"/>
    <n v="11"/>
  </r>
  <r>
    <x v="21"/>
    <x v="4"/>
    <x v="5"/>
    <n v="1"/>
  </r>
  <r>
    <x v="22"/>
    <x v="4"/>
    <x v="0"/>
    <n v="300"/>
  </r>
  <r>
    <x v="22"/>
    <x v="4"/>
    <x v="1"/>
    <n v="4"/>
  </r>
  <r>
    <x v="22"/>
    <x v="4"/>
    <x v="2"/>
    <n v="60"/>
  </r>
  <r>
    <x v="22"/>
    <x v="4"/>
    <x v="3"/>
    <n v="18"/>
  </r>
  <r>
    <x v="22"/>
    <x v="4"/>
    <x v="4"/>
    <n v="11"/>
  </r>
  <r>
    <x v="22"/>
    <x v="4"/>
    <x v="5"/>
    <n v="1"/>
  </r>
  <r>
    <x v="23"/>
    <x v="4"/>
    <x v="0"/>
    <n v="267"/>
  </r>
  <r>
    <x v="23"/>
    <x v="4"/>
    <x v="1"/>
    <n v="4"/>
  </r>
  <r>
    <x v="23"/>
    <x v="4"/>
    <x v="2"/>
    <n v="59"/>
  </r>
  <r>
    <x v="23"/>
    <x v="4"/>
    <x v="3"/>
    <n v="17"/>
  </r>
  <r>
    <x v="23"/>
    <x v="4"/>
    <x v="4"/>
    <n v="13"/>
  </r>
  <r>
    <x v="23"/>
    <x v="4"/>
    <x v="5"/>
    <n v="1"/>
  </r>
  <r>
    <x v="24"/>
    <x v="4"/>
    <x v="0"/>
    <n v="253"/>
  </r>
  <r>
    <x v="24"/>
    <x v="4"/>
    <x v="1"/>
    <n v="3"/>
  </r>
  <r>
    <x v="24"/>
    <x v="4"/>
    <x v="2"/>
    <n v="61"/>
  </r>
  <r>
    <x v="24"/>
    <x v="4"/>
    <x v="3"/>
    <n v="13"/>
  </r>
  <r>
    <x v="24"/>
    <x v="4"/>
    <x v="4"/>
    <n v="12"/>
  </r>
  <r>
    <x v="24"/>
    <x v="4"/>
    <x v="5"/>
    <n v="1"/>
  </r>
  <r>
    <x v="25"/>
    <x v="5"/>
    <x v="0"/>
    <n v="237"/>
  </r>
  <r>
    <x v="25"/>
    <x v="5"/>
    <x v="1"/>
    <n v="1"/>
  </r>
  <r>
    <x v="25"/>
    <x v="5"/>
    <x v="2"/>
    <n v="59"/>
  </r>
  <r>
    <x v="25"/>
    <x v="5"/>
    <x v="3"/>
    <n v="13"/>
  </r>
  <r>
    <x v="25"/>
    <x v="5"/>
    <x v="4"/>
    <n v="13"/>
  </r>
  <r>
    <x v="25"/>
    <x v="5"/>
    <x v="5"/>
    <n v="1"/>
  </r>
  <r>
    <x v="26"/>
    <x v="5"/>
    <x v="0"/>
    <n v="238"/>
  </r>
  <r>
    <x v="26"/>
    <x v="5"/>
    <x v="1"/>
    <n v="1"/>
  </r>
  <r>
    <x v="26"/>
    <x v="5"/>
    <x v="2"/>
    <n v="60"/>
  </r>
  <r>
    <x v="26"/>
    <x v="5"/>
    <x v="3"/>
    <n v="13"/>
  </r>
  <r>
    <x v="26"/>
    <x v="5"/>
    <x v="4"/>
    <n v="13"/>
  </r>
  <r>
    <x v="26"/>
    <x v="5"/>
    <x v="5"/>
    <n v="0"/>
  </r>
  <r>
    <x v="27"/>
    <x v="5"/>
    <x v="0"/>
    <n v="256"/>
  </r>
  <r>
    <x v="27"/>
    <x v="5"/>
    <x v="1"/>
    <n v="1"/>
  </r>
  <r>
    <x v="27"/>
    <x v="5"/>
    <x v="2"/>
    <n v="66"/>
  </r>
  <r>
    <x v="27"/>
    <x v="5"/>
    <x v="3"/>
    <n v="14"/>
  </r>
  <r>
    <x v="27"/>
    <x v="5"/>
    <x v="4"/>
    <n v="13"/>
  </r>
  <r>
    <x v="27"/>
    <x v="5"/>
    <x v="5"/>
    <n v="0"/>
  </r>
  <r>
    <x v="28"/>
    <x v="5"/>
    <x v="0"/>
    <n v="255"/>
  </r>
  <r>
    <x v="28"/>
    <x v="5"/>
    <x v="1"/>
    <n v="1"/>
  </r>
  <r>
    <x v="28"/>
    <x v="5"/>
    <x v="2"/>
    <n v="68"/>
  </r>
  <r>
    <x v="28"/>
    <x v="5"/>
    <x v="3"/>
    <n v="14"/>
  </r>
  <r>
    <x v="28"/>
    <x v="5"/>
    <x v="4"/>
    <n v="13"/>
  </r>
  <r>
    <x v="28"/>
    <x v="5"/>
    <x v="5"/>
    <n v="0"/>
  </r>
  <r>
    <x v="29"/>
    <x v="5"/>
    <x v="0"/>
    <n v="268"/>
  </r>
  <r>
    <x v="29"/>
    <x v="5"/>
    <x v="1"/>
    <n v="1"/>
  </r>
  <r>
    <x v="29"/>
    <x v="5"/>
    <x v="2"/>
    <n v="68"/>
  </r>
  <r>
    <x v="29"/>
    <x v="5"/>
    <x v="3"/>
    <n v="14"/>
  </r>
  <r>
    <x v="29"/>
    <x v="5"/>
    <x v="4"/>
    <n v="12"/>
  </r>
  <r>
    <x v="29"/>
    <x v="5"/>
    <x v="5"/>
    <n v="0"/>
  </r>
  <r>
    <x v="30"/>
    <x v="6"/>
    <x v="0"/>
    <n v="273"/>
  </r>
  <r>
    <x v="30"/>
    <x v="6"/>
    <x v="1"/>
    <n v="1"/>
  </r>
  <r>
    <x v="30"/>
    <x v="6"/>
    <x v="2"/>
    <n v="68"/>
  </r>
  <r>
    <x v="30"/>
    <x v="6"/>
    <x v="3"/>
    <n v="13"/>
  </r>
  <r>
    <x v="30"/>
    <x v="6"/>
    <x v="4"/>
    <n v="11"/>
  </r>
  <r>
    <x v="30"/>
    <x v="6"/>
    <x v="5"/>
    <n v="0"/>
  </r>
  <r>
    <x v="31"/>
    <x v="6"/>
    <x v="0"/>
    <n v="287"/>
  </r>
  <r>
    <x v="31"/>
    <x v="6"/>
    <x v="1"/>
    <n v="1"/>
  </r>
  <r>
    <x v="31"/>
    <x v="6"/>
    <x v="2"/>
    <n v="80"/>
  </r>
  <r>
    <x v="31"/>
    <x v="6"/>
    <x v="3"/>
    <n v="15"/>
  </r>
  <r>
    <x v="31"/>
    <x v="6"/>
    <x v="4"/>
    <n v="11"/>
  </r>
  <r>
    <x v="31"/>
    <x v="6"/>
    <x v="5"/>
    <n v="1"/>
  </r>
  <r>
    <x v="32"/>
    <x v="6"/>
    <x v="0"/>
    <n v="276"/>
  </r>
  <r>
    <x v="32"/>
    <x v="6"/>
    <x v="1"/>
    <n v="1"/>
  </r>
  <r>
    <x v="32"/>
    <x v="6"/>
    <x v="2"/>
    <n v="80"/>
  </r>
  <r>
    <x v="32"/>
    <x v="6"/>
    <x v="3"/>
    <n v="14"/>
  </r>
  <r>
    <x v="32"/>
    <x v="6"/>
    <x v="4"/>
    <n v="11"/>
  </r>
  <r>
    <x v="32"/>
    <x v="6"/>
    <x v="5"/>
    <n v="1"/>
  </r>
  <r>
    <x v="33"/>
    <x v="6"/>
    <x v="0"/>
    <n v="253"/>
  </r>
  <r>
    <x v="33"/>
    <x v="6"/>
    <x v="1"/>
    <n v="1"/>
  </r>
  <r>
    <x v="33"/>
    <x v="6"/>
    <x v="2"/>
    <n v="85"/>
  </r>
  <r>
    <x v="33"/>
    <x v="6"/>
    <x v="3"/>
    <n v="15"/>
  </r>
  <r>
    <x v="33"/>
    <x v="6"/>
    <x v="4"/>
    <n v="8"/>
  </r>
  <r>
    <x v="33"/>
    <x v="6"/>
    <x v="5"/>
    <n v="1"/>
  </r>
  <r>
    <x v="34"/>
    <x v="6"/>
    <x v="0"/>
    <n v="253"/>
  </r>
  <r>
    <x v="34"/>
    <x v="6"/>
    <x v="1"/>
    <n v="1"/>
  </r>
  <r>
    <x v="34"/>
    <x v="6"/>
    <x v="2"/>
    <n v="72"/>
  </r>
  <r>
    <x v="34"/>
    <x v="6"/>
    <x v="3"/>
    <n v="16"/>
  </r>
  <r>
    <x v="34"/>
    <x v="6"/>
    <x v="4"/>
    <n v="7"/>
  </r>
  <r>
    <x v="34"/>
    <x v="6"/>
    <x v="5"/>
    <n v="1"/>
  </r>
  <r>
    <x v="35"/>
    <x v="7"/>
    <x v="0"/>
    <n v="274"/>
  </r>
  <r>
    <x v="35"/>
    <x v="7"/>
    <x v="1"/>
    <n v="1"/>
  </r>
  <r>
    <x v="35"/>
    <x v="7"/>
    <x v="2"/>
    <n v="82"/>
  </r>
  <r>
    <x v="35"/>
    <x v="7"/>
    <x v="3"/>
    <n v="20"/>
  </r>
  <r>
    <x v="35"/>
    <x v="7"/>
    <x v="4"/>
    <n v="8"/>
  </r>
  <r>
    <x v="35"/>
    <x v="7"/>
    <x v="5"/>
    <n v="1"/>
  </r>
  <r>
    <x v="36"/>
    <x v="7"/>
    <x v="0"/>
    <n v="276"/>
  </r>
  <r>
    <x v="36"/>
    <x v="7"/>
    <x v="1"/>
    <n v="1"/>
  </r>
  <r>
    <x v="36"/>
    <x v="7"/>
    <x v="2"/>
    <n v="78"/>
  </r>
  <r>
    <x v="36"/>
    <x v="7"/>
    <x v="3"/>
    <n v="17"/>
  </r>
  <r>
    <x v="36"/>
    <x v="7"/>
    <x v="4"/>
    <n v="9"/>
  </r>
  <r>
    <x v="36"/>
    <x v="7"/>
    <x v="5"/>
    <n v="1"/>
  </r>
  <r>
    <x v="37"/>
    <x v="7"/>
    <x v="0"/>
    <n v="278"/>
  </r>
  <r>
    <x v="37"/>
    <x v="7"/>
    <x v="1"/>
    <n v="0"/>
  </r>
  <r>
    <x v="37"/>
    <x v="7"/>
    <x v="2"/>
    <n v="81"/>
  </r>
  <r>
    <x v="37"/>
    <x v="7"/>
    <x v="3"/>
    <n v="18"/>
  </r>
  <r>
    <x v="37"/>
    <x v="7"/>
    <x v="4"/>
    <n v="8"/>
  </r>
  <r>
    <x v="37"/>
    <x v="7"/>
    <x v="5"/>
    <n v="1"/>
  </r>
  <r>
    <x v="38"/>
    <x v="7"/>
    <x v="0"/>
    <n v="285"/>
  </r>
  <r>
    <x v="38"/>
    <x v="7"/>
    <x v="1"/>
    <n v="0"/>
  </r>
  <r>
    <x v="38"/>
    <x v="7"/>
    <x v="2"/>
    <n v="76"/>
  </r>
  <r>
    <x v="38"/>
    <x v="7"/>
    <x v="3"/>
    <n v="18"/>
  </r>
  <r>
    <x v="38"/>
    <x v="7"/>
    <x v="4"/>
    <n v="6"/>
  </r>
  <r>
    <x v="38"/>
    <x v="7"/>
    <x v="5"/>
    <n v="1"/>
  </r>
  <r>
    <x v="39"/>
    <x v="8"/>
    <x v="0"/>
    <n v="290"/>
  </r>
  <r>
    <x v="39"/>
    <x v="8"/>
    <x v="1"/>
    <n v="0"/>
  </r>
  <r>
    <x v="39"/>
    <x v="8"/>
    <x v="2"/>
    <n v="81"/>
  </r>
  <r>
    <x v="39"/>
    <x v="8"/>
    <x v="3"/>
    <n v="18"/>
  </r>
  <r>
    <x v="39"/>
    <x v="8"/>
    <x v="4"/>
    <n v="6"/>
  </r>
  <r>
    <x v="39"/>
    <x v="8"/>
    <x v="5"/>
    <n v="0"/>
  </r>
  <r>
    <x v="40"/>
    <x v="8"/>
    <x v="0"/>
    <n v="309"/>
  </r>
  <r>
    <x v="40"/>
    <x v="8"/>
    <x v="1"/>
    <n v="0"/>
  </r>
  <r>
    <x v="40"/>
    <x v="8"/>
    <x v="2"/>
    <n v="81"/>
  </r>
  <r>
    <x v="40"/>
    <x v="8"/>
    <x v="3"/>
    <n v="17"/>
  </r>
  <r>
    <x v="40"/>
    <x v="8"/>
    <x v="4"/>
    <n v="8"/>
  </r>
  <r>
    <x v="40"/>
    <x v="8"/>
    <x v="5"/>
    <n v="0"/>
  </r>
  <r>
    <x v="41"/>
    <x v="8"/>
    <x v="0"/>
    <n v="278"/>
  </r>
  <r>
    <x v="41"/>
    <x v="8"/>
    <x v="1"/>
    <n v="1"/>
  </r>
  <r>
    <x v="41"/>
    <x v="8"/>
    <x v="2"/>
    <n v="77"/>
  </r>
  <r>
    <x v="41"/>
    <x v="8"/>
    <x v="3"/>
    <n v="16"/>
  </r>
  <r>
    <x v="41"/>
    <x v="8"/>
    <x v="4"/>
    <n v="10"/>
  </r>
  <r>
    <x v="41"/>
    <x v="8"/>
    <x v="5"/>
    <n v="0"/>
  </r>
  <r>
    <x v="42"/>
    <x v="8"/>
    <x v="0"/>
    <n v="282"/>
  </r>
  <r>
    <x v="42"/>
    <x v="8"/>
    <x v="1"/>
    <n v="1"/>
  </r>
  <r>
    <x v="42"/>
    <x v="8"/>
    <x v="2"/>
    <n v="80"/>
  </r>
  <r>
    <x v="42"/>
    <x v="8"/>
    <x v="3"/>
    <n v="17"/>
  </r>
  <r>
    <x v="42"/>
    <x v="8"/>
    <x v="4"/>
    <n v="10"/>
  </r>
  <r>
    <x v="42"/>
    <x v="8"/>
    <x v="5"/>
    <n v="0"/>
  </r>
  <r>
    <x v="43"/>
    <x v="8"/>
    <x v="0"/>
    <n v="280"/>
  </r>
  <r>
    <x v="43"/>
    <x v="8"/>
    <x v="1"/>
    <n v="1"/>
  </r>
  <r>
    <x v="43"/>
    <x v="8"/>
    <x v="2"/>
    <n v="80"/>
  </r>
  <r>
    <x v="43"/>
    <x v="8"/>
    <x v="3"/>
    <n v="16"/>
  </r>
  <r>
    <x v="43"/>
    <x v="8"/>
    <x v="4"/>
    <n v="9"/>
  </r>
  <r>
    <x v="43"/>
    <x v="8"/>
    <x v="5"/>
    <n v="0"/>
  </r>
  <r>
    <x v="44"/>
    <x v="9"/>
    <x v="0"/>
    <n v="291"/>
  </r>
  <r>
    <x v="44"/>
    <x v="9"/>
    <x v="1"/>
    <n v="1"/>
  </r>
  <r>
    <x v="44"/>
    <x v="9"/>
    <x v="2"/>
    <n v="80"/>
  </r>
  <r>
    <x v="44"/>
    <x v="9"/>
    <x v="3"/>
    <n v="19"/>
  </r>
  <r>
    <x v="44"/>
    <x v="9"/>
    <x v="4"/>
    <n v="8"/>
  </r>
  <r>
    <x v="44"/>
    <x v="9"/>
    <x v="5"/>
    <n v="0"/>
  </r>
  <r>
    <x v="45"/>
    <x v="9"/>
    <x v="0"/>
    <n v="282"/>
  </r>
  <r>
    <x v="45"/>
    <x v="9"/>
    <x v="1"/>
    <n v="1"/>
  </r>
  <r>
    <x v="45"/>
    <x v="9"/>
    <x v="2"/>
    <n v="81"/>
  </r>
  <r>
    <x v="45"/>
    <x v="9"/>
    <x v="3"/>
    <n v="18"/>
  </r>
  <r>
    <x v="45"/>
    <x v="9"/>
    <x v="4"/>
    <n v="9"/>
  </r>
  <r>
    <x v="45"/>
    <x v="9"/>
    <x v="5"/>
    <n v="0"/>
  </r>
  <r>
    <x v="46"/>
    <x v="9"/>
    <x v="0"/>
    <n v="269"/>
  </r>
  <r>
    <x v="46"/>
    <x v="9"/>
    <x v="1"/>
    <n v="1"/>
  </r>
  <r>
    <x v="46"/>
    <x v="9"/>
    <x v="2"/>
    <n v="77"/>
  </r>
  <r>
    <x v="46"/>
    <x v="9"/>
    <x v="3"/>
    <n v="19"/>
  </r>
  <r>
    <x v="46"/>
    <x v="9"/>
    <x v="4"/>
    <n v="7"/>
  </r>
  <r>
    <x v="46"/>
    <x v="9"/>
    <x v="5"/>
    <n v="0"/>
  </r>
  <r>
    <x v="47"/>
    <x v="9"/>
    <x v="0"/>
    <n v="271"/>
  </r>
  <r>
    <x v="47"/>
    <x v="9"/>
    <x v="1"/>
    <n v="1"/>
  </r>
  <r>
    <x v="47"/>
    <x v="9"/>
    <x v="2"/>
    <n v="77"/>
  </r>
  <r>
    <x v="47"/>
    <x v="9"/>
    <x v="3"/>
    <n v="20"/>
  </r>
  <r>
    <x v="47"/>
    <x v="9"/>
    <x v="4"/>
    <n v="8"/>
  </r>
  <r>
    <x v="47"/>
    <x v="9"/>
    <x v="5"/>
    <n v="0"/>
  </r>
  <r>
    <x v="48"/>
    <x v="9"/>
    <x v="0"/>
    <n v="269"/>
  </r>
  <r>
    <x v="48"/>
    <x v="9"/>
    <x v="1"/>
    <n v="2"/>
  </r>
  <r>
    <x v="48"/>
    <x v="9"/>
    <x v="2"/>
    <n v="64"/>
  </r>
  <r>
    <x v="48"/>
    <x v="9"/>
    <x v="3"/>
    <n v="20"/>
  </r>
  <r>
    <x v="48"/>
    <x v="9"/>
    <x v="4"/>
    <n v="9"/>
  </r>
  <r>
    <x v="48"/>
    <x v="9"/>
    <x v="5"/>
    <n v="0"/>
  </r>
  <r>
    <x v="49"/>
    <x v="10"/>
    <x v="0"/>
    <n v="275"/>
  </r>
  <r>
    <x v="49"/>
    <x v="10"/>
    <x v="1"/>
    <n v="3"/>
  </r>
  <r>
    <x v="49"/>
    <x v="10"/>
    <x v="2"/>
    <n v="64"/>
  </r>
  <r>
    <x v="49"/>
    <x v="10"/>
    <x v="3"/>
    <n v="22"/>
  </r>
  <r>
    <x v="49"/>
    <x v="10"/>
    <x v="4"/>
    <n v="11"/>
  </r>
  <r>
    <x v="49"/>
    <x v="10"/>
    <x v="5"/>
    <n v="0"/>
  </r>
  <r>
    <x v="50"/>
    <x v="10"/>
    <x v="0"/>
    <n v="300"/>
  </r>
  <r>
    <x v="50"/>
    <x v="10"/>
    <x v="1"/>
    <n v="3"/>
  </r>
  <r>
    <x v="50"/>
    <x v="10"/>
    <x v="2"/>
    <n v="71"/>
  </r>
  <r>
    <x v="50"/>
    <x v="10"/>
    <x v="3"/>
    <n v="24"/>
  </r>
  <r>
    <x v="50"/>
    <x v="10"/>
    <x v="4"/>
    <n v="12"/>
  </r>
  <r>
    <x v="50"/>
    <x v="10"/>
    <x v="5"/>
    <n v="0"/>
  </r>
  <r>
    <x v="51"/>
    <x v="10"/>
    <x v="0"/>
    <n v="288"/>
  </r>
  <r>
    <x v="51"/>
    <x v="10"/>
    <x v="1"/>
    <n v="3"/>
  </r>
  <r>
    <x v="51"/>
    <x v="10"/>
    <x v="2"/>
    <n v="64"/>
  </r>
  <r>
    <x v="51"/>
    <x v="10"/>
    <x v="3"/>
    <n v="21"/>
  </r>
  <r>
    <x v="51"/>
    <x v="10"/>
    <x v="4"/>
    <n v="9"/>
  </r>
  <r>
    <x v="51"/>
    <x v="10"/>
    <x v="5"/>
    <n v="0"/>
  </r>
  <r>
    <x v="52"/>
    <x v="10"/>
    <x v="0"/>
    <n v="277"/>
  </r>
  <r>
    <x v="52"/>
    <x v="10"/>
    <x v="1"/>
    <n v="4"/>
  </r>
  <r>
    <x v="52"/>
    <x v="10"/>
    <x v="2"/>
    <n v="73"/>
  </r>
  <r>
    <x v="52"/>
    <x v="10"/>
    <x v="3"/>
    <n v="21"/>
  </r>
  <r>
    <x v="52"/>
    <x v="10"/>
    <x v="4"/>
    <n v="8"/>
  </r>
  <r>
    <x v="52"/>
    <x v="10"/>
    <x v="5"/>
    <n v="0"/>
  </r>
  <r>
    <x v="53"/>
    <x v="11"/>
    <x v="0"/>
    <n v="253"/>
  </r>
  <r>
    <x v="53"/>
    <x v="11"/>
    <x v="1"/>
    <n v="3"/>
  </r>
  <r>
    <x v="53"/>
    <x v="11"/>
    <x v="2"/>
    <n v="68"/>
  </r>
  <r>
    <x v="53"/>
    <x v="11"/>
    <x v="3"/>
    <n v="21"/>
  </r>
  <r>
    <x v="53"/>
    <x v="11"/>
    <x v="4"/>
    <n v="8"/>
  </r>
  <r>
    <x v="53"/>
    <x v="11"/>
    <x v="5"/>
    <n v="0"/>
  </r>
  <r>
    <x v="54"/>
    <x v="11"/>
    <x v="0"/>
    <n v="254"/>
  </r>
  <r>
    <x v="54"/>
    <x v="11"/>
    <x v="1"/>
    <n v="2"/>
  </r>
  <r>
    <x v="54"/>
    <x v="11"/>
    <x v="2"/>
    <n v="72"/>
  </r>
  <r>
    <x v="54"/>
    <x v="11"/>
    <x v="3"/>
    <n v="20"/>
  </r>
  <r>
    <x v="54"/>
    <x v="11"/>
    <x v="4"/>
    <n v="8"/>
  </r>
  <r>
    <x v="54"/>
    <x v="11"/>
    <x v="5"/>
    <n v="0"/>
  </r>
  <r>
    <x v="55"/>
    <x v="11"/>
    <x v="0"/>
    <n v="253"/>
  </r>
  <r>
    <x v="55"/>
    <x v="11"/>
    <x v="1"/>
    <n v="4"/>
  </r>
  <r>
    <x v="55"/>
    <x v="11"/>
    <x v="2"/>
    <n v="71"/>
  </r>
  <r>
    <x v="55"/>
    <x v="11"/>
    <x v="3"/>
    <n v="19"/>
  </r>
  <r>
    <x v="55"/>
    <x v="11"/>
    <x v="4"/>
    <n v="6"/>
  </r>
  <r>
    <x v="55"/>
    <x v="11"/>
    <x v="5"/>
    <n v="0"/>
  </r>
  <r>
    <x v="56"/>
    <x v="11"/>
    <x v="0"/>
    <n v="264"/>
  </r>
  <r>
    <x v="56"/>
    <x v="11"/>
    <x v="1"/>
    <n v="2"/>
  </r>
  <r>
    <x v="56"/>
    <x v="11"/>
    <x v="2"/>
    <n v="63"/>
  </r>
  <r>
    <x v="56"/>
    <x v="11"/>
    <x v="3"/>
    <n v="20"/>
  </r>
  <r>
    <x v="56"/>
    <x v="11"/>
    <x v="4"/>
    <n v="5"/>
  </r>
  <r>
    <x v="56"/>
    <x v="11"/>
    <x v="5"/>
    <n v="0"/>
  </r>
  <r>
    <x v="57"/>
    <x v="11"/>
    <x v="0"/>
    <n v="272"/>
  </r>
  <r>
    <x v="57"/>
    <x v="11"/>
    <x v="1"/>
    <n v="2"/>
  </r>
  <r>
    <x v="57"/>
    <x v="11"/>
    <x v="2"/>
    <n v="69"/>
  </r>
  <r>
    <x v="57"/>
    <x v="11"/>
    <x v="3"/>
    <n v="19"/>
  </r>
  <r>
    <x v="57"/>
    <x v="11"/>
    <x v="4"/>
    <n v="5"/>
  </r>
  <r>
    <x v="57"/>
    <x v="11"/>
    <x v="5"/>
    <n v="0"/>
  </r>
  <r>
    <x v="58"/>
    <x v="12"/>
    <x v="0"/>
    <n v="267"/>
  </r>
  <r>
    <x v="58"/>
    <x v="12"/>
    <x v="1"/>
    <n v="2"/>
  </r>
  <r>
    <x v="58"/>
    <x v="12"/>
    <x v="2"/>
    <n v="72"/>
  </r>
  <r>
    <x v="58"/>
    <x v="12"/>
    <x v="3"/>
    <n v="19"/>
  </r>
  <r>
    <x v="58"/>
    <x v="12"/>
    <x v="4"/>
    <n v="5"/>
  </r>
  <r>
    <x v="58"/>
    <x v="12"/>
    <x v="5"/>
    <n v="0"/>
  </r>
  <r>
    <x v="59"/>
    <x v="12"/>
    <x v="0"/>
    <n v="267"/>
  </r>
  <r>
    <x v="59"/>
    <x v="12"/>
    <x v="1"/>
    <n v="2"/>
  </r>
  <r>
    <x v="59"/>
    <x v="12"/>
    <x v="2"/>
    <n v="74"/>
  </r>
  <r>
    <x v="59"/>
    <x v="12"/>
    <x v="3"/>
    <n v="22"/>
  </r>
  <r>
    <x v="59"/>
    <x v="12"/>
    <x v="4"/>
    <n v="6"/>
  </r>
  <r>
    <x v="59"/>
    <x v="12"/>
    <x v="5"/>
    <n v="0"/>
  </r>
  <r>
    <x v="60"/>
    <x v="12"/>
    <x v="0"/>
    <n v="260"/>
  </r>
  <r>
    <x v="60"/>
    <x v="12"/>
    <x v="1"/>
    <n v="4"/>
  </r>
  <r>
    <x v="60"/>
    <x v="12"/>
    <x v="2"/>
    <n v="70"/>
  </r>
  <r>
    <x v="60"/>
    <x v="12"/>
    <x v="3"/>
    <n v="21"/>
  </r>
  <r>
    <x v="60"/>
    <x v="12"/>
    <x v="4"/>
    <n v="7"/>
  </r>
  <r>
    <x v="60"/>
    <x v="12"/>
    <x v="5"/>
    <n v="0"/>
  </r>
  <r>
    <x v="61"/>
    <x v="12"/>
    <x v="0"/>
    <n v="267"/>
  </r>
  <r>
    <x v="61"/>
    <x v="12"/>
    <x v="1"/>
    <n v="4"/>
  </r>
  <r>
    <x v="61"/>
    <x v="12"/>
    <x v="2"/>
    <n v="63"/>
  </r>
  <r>
    <x v="61"/>
    <x v="12"/>
    <x v="3"/>
    <n v="25"/>
  </r>
  <r>
    <x v="61"/>
    <x v="12"/>
    <x v="4"/>
    <n v="8"/>
  </r>
  <r>
    <x v="61"/>
    <x v="12"/>
    <x v="5"/>
    <n v="0"/>
  </r>
  <r>
    <x v="62"/>
    <x v="12"/>
    <x v="0"/>
    <n v="255"/>
  </r>
  <r>
    <x v="62"/>
    <x v="12"/>
    <x v="1"/>
    <n v="4"/>
  </r>
  <r>
    <x v="62"/>
    <x v="12"/>
    <x v="2"/>
    <n v="60"/>
  </r>
  <r>
    <x v="62"/>
    <x v="12"/>
    <x v="3"/>
    <n v="24"/>
  </r>
  <r>
    <x v="62"/>
    <x v="12"/>
    <x v="4"/>
    <n v="8"/>
  </r>
  <r>
    <x v="62"/>
    <x v="12"/>
    <x v="5"/>
    <n v="0"/>
  </r>
  <r>
    <x v="63"/>
    <x v="13"/>
    <x v="0"/>
    <n v="266"/>
  </r>
  <r>
    <x v="63"/>
    <x v="13"/>
    <x v="1"/>
    <n v="1"/>
  </r>
  <r>
    <x v="63"/>
    <x v="13"/>
    <x v="2"/>
    <n v="50"/>
  </r>
  <r>
    <x v="63"/>
    <x v="13"/>
    <x v="3"/>
    <n v="18"/>
  </r>
  <r>
    <x v="63"/>
    <x v="13"/>
    <x v="4"/>
    <n v="7"/>
  </r>
  <r>
    <x v="63"/>
    <x v="13"/>
    <x v="5"/>
    <n v="1"/>
  </r>
  <r>
    <x v="64"/>
    <x v="13"/>
    <x v="0"/>
    <n v="234"/>
  </r>
  <r>
    <x v="64"/>
    <x v="13"/>
    <x v="1"/>
    <n v="2"/>
  </r>
  <r>
    <x v="64"/>
    <x v="13"/>
    <x v="2"/>
    <n v="48"/>
  </r>
  <r>
    <x v="64"/>
    <x v="13"/>
    <x v="3"/>
    <n v="19"/>
  </r>
  <r>
    <x v="64"/>
    <x v="13"/>
    <x v="4"/>
    <n v="8"/>
  </r>
  <r>
    <x v="64"/>
    <x v="13"/>
    <x v="5"/>
    <n v="1"/>
  </r>
  <r>
    <x v="65"/>
    <x v="13"/>
    <x v="0"/>
    <n v="233"/>
  </r>
  <r>
    <x v="65"/>
    <x v="13"/>
    <x v="1"/>
    <n v="2"/>
  </r>
  <r>
    <x v="65"/>
    <x v="13"/>
    <x v="2"/>
    <n v="45"/>
  </r>
  <r>
    <x v="65"/>
    <x v="13"/>
    <x v="3"/>
    <n v="19"/>
  </r>
  <r>
    <x v="65"/>
    <x v="13"/>
    <x v="4"/>
    <n v="9"/>
  </r>
  <r>
    <x v="65"/>
    <x v="13"/>
    <x v="5"/>
    <n v="0"/>
  </r>
  <r>
    <x v="66"/>
    <x v="13"/>
    <x v="0"/>
    <n v="232"/>
  </r>
  <r>
    <x v="66"/>
    <x v="13"/>
    <x v="1"/>
    <n v="2"/>
  </r>
  <r>
    <x v="66"/>
    <x v="13"/>
    <x v="2"/>
    <n v="42"/>
  </r>
  <r>
    <x v="66"/>
    <x v="13"/>
    <x v="3"/>
    <n v="19"/>
  </r>
  <r>
    <x v="66"/>
    <x v="13"/>
    <x v="4"/>
    <n v="9"/>
  </r>
  <r>
    <x v="66"/>
    <x v="13"/>
    <x v="5"/>
    <n v="0"/>
  </r>
  <r>
    <x v="67"/>
    <x v="14"/>
    <x v="0"/>
    <n v="239"/>
  </r>
  <r>
    <x v="67"/>
    <x v="14"/>
    <x v="1"/>
    <n v="2"/>
  </r>
  <r>
    <x v="67"/>
    <x v="14"/>
    <x v="2"/>
    <n v="49"/>
  </r>
  <r>
    <x v="67"/>
    <x v="14"/>
    <x v="3"/>
    <n v="21"/>
  </r>
  <r>
    <x v="67"/>
    <x v="14"/>
    <x v="4"/>
    <n v="13"/>
  </r>
  <r>
    <x v="67"/>
    <x v="14"/>
    <x v="5"/>
    <n v="0"/>
  </r>
  <r>
    <x v="68"/>
    <x v="14"/>
    <x v="0"/>
    <n v="231"/>
  </r>
  <r>
    <x v="68"/>
    <x v="14"/>
    <x v="1"/>
    <n v="2"/>
  </r>
  <r>
    <x v="68"/>
    <x v="14"/>
    <x v="2"/>
    <n v="44"/>
  </r>
  <r>
    <x v="68"/>
    <x v="14"/>
    <x v="3"/>
    <n v="20"/>
  </r>
  <r>
    <x v="68"/>
    <x v="14"/>
    <x v="4"/>
    <n v="14"/>
  </r>
  <r>
    <x v="68"/>
    <x v="14"/>
    <x v="5"/>
    <n v="0"/>
  </r>
  <r>
    <x v="69"/>
    <x v="14"/>
    <x v="0"/>
    <n v="232"/>
  </r>
  <r>
    <x v="69"/>
    <x v="14"/>
    <x v="1"/>
    <n v="2"/>
  </r>
  <r>
    <x v="69"/>
    <x v="14"/>
    <x v="2"/>
    <n v="43"/>
  </r>
  <r>
    <x v="69"/>
    <x v="14"/>
    <x v="3"/>
    <n v="22"/>
  </r>
  <r>
    <x v="69"/>
    <x v="14"/>
    <x v="4"/>
    <n v="11"/>
  </r>
  <r>
    <x v="69"/>
    <x v="14"/>
    <x v="5"/>
    <n v="0"/>
  </r>
  <r>
    <x v="70"/>
    <x v="14"/>
    <x v="0"/>
    <n v="222"/>
  </r>
  <r>
    <x v="70"/>
    <x v="14"/>
    <x v="1"/>
    <n v="2"/>
  </r>
  <r>
    <x v="70"/>
    <x v="14"/>
    <x v="2"/>
    <n v="42"/>
  </r>
  <r>
    <x v="70"/>
    <x v="14"/>
    <x v="3"/>
    <n v="24"/>
  </r>
  <r>
    <x v="70"/>
    <x v="14"/>
    <x v="4"/>
    <n v="10"/>
  </r>
  <r>
    <x v="70"/>
    <x v="14"/>
    <x v="5"/>
    <n v="0"/>
  </r>
  <r>
    <x v="71"/>
    <x v="14"/>
    <x v="0"/>
    <n v="238"/>
  </r>
  <r>
    <x v="71"/>
    <x v="14"/>
    <x v="1"/>
    <n v="32"/>
  </r>
  <r>
    <x v="71"/>
    <x v="14"/>
    <x v="2"/>
    <n v="49"/>
  </r>
  <r>
    <x v="71"/>
    <x v="14"/>
    <x v="3"/>
    <n v="23"/>
  </r>
  <r>
    <x v="71"/>
    <x v="14"/>
    <x v="4"/>
    <n v="12"/>
  </r>
  <r>
    <x v="71"/>
    <x v="14"/>
    <x v="5"/>
    <n v="0"/>
  </r>
  <r>
    <x v="72"/>
    <x v="15"/>
    <x v="0"/>
    <n v="239"/>
  </r>
  <r>
    <x v="72"/>
    <x v="15"/>
    <x v="1"/>
    <n v="33"/>
  </r>
  <r>
    <x v="72"/>
    <x v="15"/>
    <x v="2"/>
    <n v="46"/>
  </r>
  <r>
    <x v="72"/>
    <x v="15"/>
    <x v="3"/>
    <n v="22"/>
  </r>
  <r>
    <x v="72"/>
    <x v="15"/>
    <x v="4"/>
    <n v="12"/>
  </r>
  <r>
    <x v="72"/>
    <x v="15"/>
    <x v="5"/>
    <n v="0"/>
  </r>
  <r>
    <x v="73"/>
    <x v="15"/>
    <x v="0"/>
    <n v="263"/>
  </r>
  <r>
    <x v="73"/>
    <x v="15"/>
    <x v="1"/>
    <n v="33"/>
  </r>
  <r>
    <x v="73"/>
    <x v="15"/>
    <x v="2"/>
    <n v="51"/>
  </r>
  <r>
    <x v="73"/>
    <x v="15"/>
    <x v="3"/>
    <n v="23"/>
  </r>
  <r>
    <x v="73"/>
    <x v="15"/>
    <x v="4"/>
    <n v="11"/>
  </r>
  <r>
    <x v="73"/>
    <x v="15"/>
    <x v="5"/>
    <n v="0"/>
  </r>
  <r>
    <x v="74"/>
    <x v="15"/>
    <x v="0"/>
    <n v="260"/>
  </r>
  <r>
    <x v="74"/>
    <x v="15"/>
    <x v="1"/>
    <n v="33"/>
  </r>
  <r>
    <x v="74"/>
    <x v="15"/>
    <x v="2"/>
    <n v="51"/>
  </r>
  <r>
    <x v="74"/>
    <x v="15"/>
    <x v="3"/>
    <n v="23"/>
  </r>
  <r>
    <x v="74"/>
    <x v="15"/>
    <x v="4"/>
    <n v="10"/>
  </r>
  <r>
    <x v="74"/>
    <x v="15"/>
    <x v="5"/>
    <n v="0"/>
  </r>
  <r>
    <x v="75"/>
    <x v="15"/>
    <x v="0"/>
    <n v="274"/>
  </r>
  <r>
    <x v="75"/>
    <x v="15"/>
    <x v="1"/>
    <n v="33"/>
  </r>
  <r>
    <x v="75"/>
    <x v="15"/>
    <x v="2"/>
    <n v="53"/>
  </r>
  <r>
    <x v="75"/>
    <x v="15"/>
    <x v="3"/>
    <n v="24"/>
  </r>
  <r>
    <x v="75"/>
    <x v="15"/>
    <x v="4"/>
    <n v="11"/>
  </r>
  <r>
    <x v="75"/>
    <x v="15"/>
    <x v="5"/>
    <n v="0"/>
  </r>
  <r>
    <x v="76"/>
    <x v="16"/>
    <x v="0"/>
    <n v="275"/>
  </r>
  <r>
    <x v="76"/>
    <x v="16"/>
    <x v="1"/>
    <n v="34"/>
  </r>
  <r>
    <x v="76"/>
    <x v="16"/>
    <x v="2"/>
    <n v="57"/>
  </r>
  <r>
    <x v="76"/>
    <x v="16"/>
    <x v="3"/>
    <n v="23"/>
  </r>
  <r>
    <x v="76"/>
    <x v="16"/>
    <x v="4"/>
    <n v="12"/>
  </r>
  <r>
    <x v="76"/>
    <x v="16"/>
    <x v="5"/>
    <n v="0"/>
  </r>
  <r>
    <x v="77"/>
    <x v="16"/>
    <x v="0"/>
    <n v="307"/>
  </r>
  <r>
    <x v="77"/>
    <x v="16"/>
    <x v="1"/>
    <n v="35"/>
  </r>
  <r>
    <x v="77"/>
    <x v="16"/>
    <x v="2"/>
    <n v="64"/>
  </r>
  <r>
    <x v="77"/>
    <x v="16"/>
    <x v="3"/>
    <n v="23"/>
  </r>
  <r>
    <x v="77"/>
    <x v="16"/>
    <x v="4"/>
    <n v="12"/>
  </r>
  <r>
    <x v="77"/>
    <x v="16"/>
    <x v="5"/>
    <n v="0"/>
  </r>
  <r>
    <x v="78"/>
    <x v="16"/>
    <x v="0"/>
    <n v="259"/>
  </r>
  <r>
    <x v="78"/>
    <x v="16"/>
    <x v="1"/>
    <n v="31"/>
  </r>
  <r>
    <x v="78"/>
    <x v="16"/>
    <x v="2"/>
    <n v="59"/>
  </r>
  <r>
    <x v="78"/>
    <x v="16"/>
    <x v="3"/>
    <n v="21"/>
  </r>
  <r>
    <x v="78"/>
    <x v="16"/>
    <x v="4"/>
    <n v="10"/>
  </r>
  <r>
    <x v="78"/>
    <x v="16"/>
    <x v="5"/>
    <n v="0"/>
  </r>
  <r>
    <x v="79"/>
    <x v="16"/>
    <x v="0"/>
    <n v="266"/>
  </r>
  <r>
    <x v="79"/>
    <x v="16"/>
    <x v="1"/>
    <n v="19"/>
  </r>
  <r>
    <x v="79"/>
    <x v="16"/>
    <x v="2"/>
    <n v="65"/>
  </r>
  <r>
    <x v="79"/>
    <x v="16"/>
    <x v="3"/>
    <n v="21"/>
  </r>
  <r>
    <x v="79"/>
    <x v="16"/>
    <x v="4"/>
    <n v="10"/>
  </r>
  <r>
    <x v="79"/>
    <x v="16"/>
    <x v="5"/>
    <n v="0"/>
  </r>
  <r>
    <x v="80"/>
    <x v="16"/>
    <x v="0"/>
    <n v="284"/>
  </r>
  <r>
    <x v="80"/>
    <x v="16"/>
    <x v="1"/>
    <n v="13"/>
  </r>
  <r>
    <x v="80"/>
    <x v="16"/>
    <x v="2"/>
    <n v="67"/>
  </r>
  <r>
    <x v="80"/>
    <x v="16"/>
    <x v="3"/>
    <n v="25"/>
  </r>
  <r>
    <x v="80"/>
    <x v="16"/>
    <x v="4"/>
    <n v="11"/>
  </r>
  <r>
    <x v="80"/>
    <x v="16"/>
    <x v="5"/>
    <n v="0"/>
  </r>
  <r>
    <x v="81"/>
    <x v="17"/>
    <x v="0"/>
    <n v="274"/>
  </r>
  <r>
    <x v="81"/>
    <x v="17"/>
    <x v="1"/>
    <n v="11"/>
  </r>
  <r>
    <x v="81"/>
    <x v="17"/>
    <x v="2"/>
    <n v="65"/>
  </r>
  <r>
    <x v="81"/>
    <x v="17"/>
    <x v="3"/>
    <n v="25"/>
  </r>
  <r>
    <x v="81"/>
    <x v="17"/>
    <x v="4"/>
    <n v="10"/>
  </r>
  <r>
    <x v="81"/>
    <x v="17"/>
    <x v="5"/>
    <n v="0"/>
  </r>
  <r>
    <x v="82"/>
    <x v="17"/>
    <x v="0"/>
    <n v="270"/>
  </r>
  <r>
    <x v="82"/>
    <x v="17"/>
    <x v="1"/>
    <n v="12"/>
  </r>
  <r>
    <x v="82"/>
    <x v="17"/>
    <x v="2"/>
    <n v="61"/>
  </r>
  <r>
    <x v="82"/>
    <x v="17"/>
    <x v="3"/>
    <n v="22"/>
  </r>
  <r>
    <x v="82"/>
    <x v="17"/>
    <x v="4"/>
    <n v="11"/>
  </r>
  <r>
    <x v="82"/>
    <x v="17"/>
    <x v="5"/>
    <n v="0"/>
  </r>
  <r>
    <x v="83"/>
    <x v="17"/>
    <x v="0"/>
    <n v="273"/>
  </r>
  <r>
    <x v="83"/>
    <x v="17"/>
    <x v="1"/>
    <n v="6"/>
  </r>
  <r>
    <x v="83"/>
    <x v="17"/>
    <x v="2"/>
    <n v="57"/>
  </r>
  <r>
    <x v="83"/>
    <x v="17"/>
    <x v="3"/>
    <n v="22"/>
  </r>
  <r>
    <x v="83"/>
    <x v="17"/>
    <x v="4"/>
    <n v="14"/>
  </r>
  <r>
    <x v="83"/>
    <x v="17"/>
    <x v="5"/>
    <n v="0"/>
  </r>
  <r>
    <x v="84"/>
    <x v="17"/>
    <x v="0"/>
    <n v="278"/>
  </r>
  <r>
    <x v="84"/>
    <x v="17"/>
    <x v="1"/>
    <n v="6"/>
  </r>
  <r>
    <x v="84"/>
    <x v="17"/>
    <x v="2"/>
    <n v="58"/>
  </r>
  <r>
    <x v="84"/>
    <x v="17"/>
    <x v="3"/>
    <n v="21"/>
  </r>
  <r>
    <x v="84"/>
    <x v="17"/>
    <x v="4"/>
    <n v="14"/>
  </r>
  <r>
    <x v="84"/>
    <x v="17"/>
    <x v="5"/>
    <n v="1"/>
  </r>
  <r>
    <x v="85"/>
    <x v="17"/>
    <x v="0"/>
    <n v="272"/>
  </r>
  <r>
    <x v="85"/>
    <x v="17"/>
    <x v="1"/>
    <n v="6"/>
  </r>
  <r>
    <x v="85"/>
    <x v="17"/>
    <x v="2"/>
    <n v="62"/>
  </r>
  <r>
    <x v="85"/>
    <x v="17"/>
    <x v="3"/>
    <n v="21"/>
  </r>
  <r>
    <x v="85"/>
    <x v="17"/>
    <x v="4"/>
    <n v="14"/>
  </r>
  <r>
    <x v="85"/>
    <x v="17"/>
    <x v="5"/>
    <n v="1"/>
  </r>
  <r>
    <x v="86"/>
    <x v="18"/>
    <x v="0"/>
    <n v="271"/>
  </r>
  <r>
    <x v="86"/>
    <x v="18"/>
    <x v="1"/>
    <n v="6"/>
  </r>
  <r>
    <x v="86"/>
    <x v="18"/>
    <x v="2"/>
    <n v="58"/>
  </r>
  <r>
    <x v="86"/>
    <x v="18"/>
    <x v="3"/>
    <n v="21"/>
  </r>
  <r>
    <x v="86"/>
    <x v="18"/>
    <x v="4"/>
    <n v="13"/>
  </r>
  <r>
    <x v="86"/>
    <x v="18"/>
    <x v="5"/>
    <n v="1"/>
  </r>
  <r>
    <x v="87"/>
    <x v="18"/>
    <x v="0"/>
    <n v="267"/>
  </r>
  <r>
    <x v="87"/>
    <x v="18"/>
    <x v="1"/>
    <n v="6"/>
  </r>
  <r>
    <x v="87"/>
    <x v="18"/>
    <x v="2"/>
    <n v="61"/>
  </r>
  <r>
    <x v="87"/>
    <x v="18"/>
    <x v="3"/>
    <n v="19"/>
  </r>
  <r>
    <x v="87"/>
    <x v="18"/>
    <x v="4"/>
    <n v="11"/>
  </r>
  <r>
    <x v="87"/>
    <x v="18"/>
    <x v="5"/>
    <n v="1"/>
  </r>
  <r>
    <x v="88"/>
    <x v="18"/>
    <x v="0"/>
    <n v="268"/>
  </r>
  <r>
    <x v="88"/>
    <x v="18"/>
    <x v="1"/>
    <n v="6"/>
  </r>
  <r>
    <x v="88"/>
    <x v="18"/>
    <x v="2"/>
    <n v="65"/>
  </r>
  <r>
    <x v="88"/>
    <x v="18"/>
    <x v="3"/>
    <n v="19"/>
  </r>
  <r>
    <x v="88"/>
    <x v="18"/>
    <x v="4"/>
    <n v="12"/>
  </r>
  <r>
    <x v="88"/>
    <x v="18"/>
    <x v="5"/>
    <n v="1"/>
  </r>
  <r>
    <x v="89"/>
    <x v="18"/>
    <x v="0"/>
    <n v="265"/>
  </r>
  <r>
    <x v="89"/>
    <x v="18"/>
    <x v="1"/>
    <n v="5"/>
  </r>
  <r>
    <x v="89"/>
    <x v="18"/>
    <x v="2"/>
    <n v="59"/>
  </r>
  <r>
    <x v="89"/>
    <x v="18"/>
    <x v="3"/>
    <n v="18"/>
  </r>
  <r>
    <x v="89"/>
    <x v="18"/>
    <x v="4"/>
    <n v="13"/>
  </r>
  <r>
    <x v="89"/>
    <x v="18"/>
    <x v="5"/>
    <n v="1"/>
  </r>
  <r>
    <x v="90"/>
    <x v="18"/>
    <x v="0"/>
    <n v="276"/>
  </r>
  <r>
    <x v="90"/>
    <x v="18"/>
    <x v="1"/>
    <n v="4"/>
  </r>
  <r>
    <x v="90"/>
    <x v="18"/>
    <x v="2"/>
    <n v="60"/>
  </r>
  <r>
    <x v="90"/>
    <x v="18"/>
    <x v="3"/>
    <n v="18"/>
  </r>
  <r>
    <x v="90"/>
    <x v="18"/>
    <x v="4"/>
    <n v="14"/>
  </r>
  <r>
    <x v="90"/>
    <x v="18"/>
    <x v="5"/>
    <n v="1"/>
  </r>
  <r>
    <x v="91"/>
    <x v="19"/>
    <x v="0"/>
    <n v="267"/>
  </r>
  <r>
    <x v="91"/>
    <x v="19"/>
    <x v="1"/>
    <n v="4"/>
  </r>
  <r>
    <x v="91"/>
    <x v="19"/>
    <x v="2"/>
    <n v="56"/>
  </r>
  <r>
    <x v="91"/>
    <x v="19"/>
    <x v="3"/>
    <n v="19"/>
  </r>
  <r>
    <x v="91"/>
    <x v="19"/>
    <x v="4"/>
    <n v="10"/>
  </r>
  <r>
    <x v="91"/>
    <x v="19"/>
    <x v="5"/>
    <n v="1"/>
  </r>
  <r>
    <x v="92"/>
    <x v="19"/>
    <x v="0"/>
    <n v="252"/>
  </r>
  <r>
    <x v="92"/>
    <x v="19"/>
    <x v="1"/>
    <n v="3"/>
  </r>
  <r>
    <x v="92"/>
    <x v="19"/>
    <x v="2"/>
    <n v="60"/>
  </r>
  <r>
    <x v="92"/>
    <x v="19"/>
    <x v="3"/>
    <n v="18"/>
  </r>
  <r>
    <x v="92"/>
    <x v="19"/>
    <x v="4"/>
    <n v="11"/>
  </r>
  <r>
    <x v="92"/>
    <x v="19"/>
    <x v="5"/>
    <n v="1"/>
  </r>
  <r>
    <x v="93"/>
    <x v="19"/>
    <x v="0"/>
    <n v="280"/>
  </r>
  <r>
    <x v="93"/>
    <x v="19"/>
    <x v="1"/>
    <n v="2"/>
  </r>
  <r>
    <x v="93"/>
    <x v="19"/>
    <x v="2"/>
    <n v="60"/>
  </r>
  <r>
    <x v="93"/>
    <x v="19"/>
    <x v="3"/>
    <n v="18"/>
  </r>
  <r>
    <x v="93"/>
    <x v="19"/>
    <x v="4"/>
    <n v="11"/>
  </r>
  <r>
    <x v="93"/>
    <x v="19"/>
    <x v="5"/>
    <n v="1"/>
  </r>
  <r>
    <x v="94"/>
    <x v="20"/>
    <x v="0"/>
    <n v="237"/>
  </r>
  <r>
    <x v="94"/>
    <x v="20"/>
    <x v="1"/>
    <n v="1"/>
  </r>
  <r>
    <x v="94"/>
    <x v="20"/>
    <x v="2"/>
    <n v="52"/>
  </r>
  <r>
    <x v="94"/>
    <x v="20"/>
    <x v="3"/>
    <n v="20"/>
  </r>
  <r>
    <x v="94"/>
    <x v="20"/>
    <x v="4"/>
    <n v="14"/>
  </r>
  <r>
    <x v="94"/>
    <x v="20"/>
    <x v="5"/>
    <n v="1"/>
  </r>
  <r>
    <x v="95"/>
    <x v="20"/>
    <x v="0"/>
    <n v="232"/>
  </r>
  <r>
    <x v="95"/>
    <x v="20"/>
    <x v="1"/>
    <n v="0"/>
  </r>
  <r>
    <x v="95"/>
    <x v="20"/>
    <x v="2"/>
    <n v="56"/>
  </r>
  <r>
    <x v="95"/>
    <x v="20"/>
    <x v="3"/>
    <n v="19"/>
  </r>
  <r>
    <x v="95"/>
    <x v="20"/>
    <x v="4"/>
    <n v="13"/>
  </r>
  <r>
    <x v="95"/>
    <x v="20"/>
    <x v="5"/>
    <n v="1"/>
  </r>
  <r>
    <x v="96"/>
    <x v="20"/>
    <x v="0"/>
    <n v="222"/>
  </r>
  <r>
    <x v="96"/>
    <x v="20"/>
    <x v="1"/>
    <n v="0"/>
  </r>
  <r>
    <x v="96"/>
    <x v="20"/>
    <x v="2"/>
    <n v="55"/>
  </r>
  <r>
    <x v="96"/>
    <x v="20"/>
    <x v="3"/>
    <n v="18"/>
  </r>
  <r>
    <x v="96"/>
    <x v="20"/>
    <x v="4"/>
    <n v="13"/>
  </r>
  <r>
    <x v="96"/>
    <x v="20"/>
    <x v="5"/>
    <n v="1"/>
  </r>
  <r>
    <x v="97"/>
    <x v="20"/>
    <x v="0"/>
    <n v="234"/>
  </r>
  <r>
    <x v="97"/>
    <x v="20"/>
    <x v="1"/>
    <n v="1"/>
  </r>
  <r>
    <x v="97"/>
    <x v="20"/>
    <x v="2"/>
    <n v="58"/>
  </r>
  <r>
    <x v="97"/>
    <x v="20"/>
    <x v="3"/>
    <n v="17"/>
  </r>
  <r>
    <x v="97"/>
    <x v="20"/>
    <x v="4"/>
    <n v="13"/>
  </r>
  <r>
    <x v="97"/>
    <x v="20"/>
    <x v="5"/>
    <n v="1"/>
  </r>
  <r>
    <x v="98"/>
    <x v="20"/>
    <x v="0"/>
    <n v="226"/>
  </r>
  <r>
    <x v="98"/>
    <x v="20"/>
    <x v="1"/>
    <n v="1"/>
  </r>
  <r>
    <x v="98"/>
    <x v="20"/>
    <x v="2"/>
    <n v="60"/>
  </r>
  <r>
    <x v="98"/>
    <x v="20"/>
    <x v="3"/>
    <n v="18"/>
  </r>
  <r>
    <x v="98"/>
    <x v="20"/>
    <x v="4"/>
    <n v="13"/>
  </r>
  <r>
    <x v="98"/>
    <x v="20"/>
    <x v="5"/>
    <n v="1"/>
  </r>
  <r>
    <x v="99"/>
    <x v="21"/>
    <x v="0"/>
    <n v="247"/>
  </r>
  <r>
    <x v="99"/>
    <x v="21"/>
    <x v="1"/>
    <n v="1"/>
  </r>
  <r>
    <x v="99"/>
    <x v="21"/>
    <x v="2"/>
    <n v="66"/>
  </r>
  <r>
    <x v="99"/>
    <x v="21"/>
    <x v="3"/>
    <n v="19"/>
  </r>
  <r>
    <x v="99"/>
    <x v="21"/>
    <x v="4"/>
    <n v="13"/>
  </r>
  <r>
    <x v="99"/>
    <x v="21"/>
    <x v="5"/>
    <n v="1"/>
  </r>
  <r>
    <x v="100"/>
    <x v="21"/>
    <x v="0"/>
    <n v="268"/>
  </r>
  <r>
    <x v="100"/>
    <x v="21"/>
    <x v="1"/>
    <n v="1"/>
  </r>
  <r>
    <x v="100"/>
    <x v="21"/>
    <x v="2"/>
    <n v="64"/>
  </r>
  <r>
    <x v="100"/>
    <x v="21"/>
    <x v="3"/>
    <n v="18"/>
  </r>
  <r>
    <x v="100"/>
    <x v="21"/>
    <x v="4"/>
    <n v="14"/>
  </r>
  <r>
    <x v="100"/>
    <x v="21"/>
    <x v="5"/>
    <n v="0"/>
  </r>
  <r>
    <x v="101"/>
    <x v="21"/>
    <x v="0"/>
    <n v="273"/>
  </r>
  <r>
    <x v="101"/>
    <x v="21"/>
    <x v="1"/>
    <n v="1"/>
  </r>
  <r>
    <x v="101"/>
    <x v="21"/>
    <x v="2"/>
    <n v="69"/>
  </r>
  <r>
    <x v="101"/>
    <x v="21"/>
    <x v="3"/>
    <n v="18"/>
  </r>
  <r>
    <x v="101"/>
    <x v="21"/>
    <x v="4"/>
    <n v="10"/>
  </r>
  <r>
    <x v="101"/>
    <x v="21"/>
    <x v="5"/>
    <n v="0"/>
  </r>
  <r>
    <x v="102"/>
    <x v="21"/>
    <x v="0"/>
    <n v="262"/>
  </r>
  <r>
    <x v="102"/>
    <x v="21"/>
    <x v="1"/>
    <n v="1"/>
  </r>
  <r>
    <x v="102"/>
    <x v="21"/>
    <x v="2"/>
    <n v="69"/>
  </r>
  <r>
    <x v="102"/>
    <x v="21"/>
    <x v="3"/>
    <n v="17"/>
  </r>
  <r>
    <x v="102"/>
    <x v="21"/>
    <x v="4"/>
    <n v="9"/>
  </r>
  <r>
    <x v="102"/>
    <x v="21"/>
    <x v="5"/>
    <n v="0"/>
  </r>
  <r>
    <x v="103"/>
    <x v="21"/>
    <x v="0"/>
    <n v="266"/>
  </r>
  <r>
    <x v="103"/>
    <x v="21"/>
    <x v="1"/>
    <n v="2"/>
  </r>
  <r>
    <x v="103"/>
    <x v="21"/>
    <x v="2"/>
    <n v="68"/>
  </r>
  <r>
    <x v="103"/>
    <x v="21"/>
    <x v="3"/>
    <n v="18"/>
  </r>
  <r>
    <x v="103"/>
    <x v="21"/>
    <x v="4"/>
    <n v="7"/>
  </r>
  <r>
    <x v="103"/>
    <x v="21"/>
    <x v="5"/>
    <n v="0"/>
  </r>
  <r>
    <x v="104"/>
    <x v="22"/>
    <x v="0"/>
    <n v="285"/>
  </r>
  <r>
    <x v="104"/>
    <x v="22"/>
    <x v="1"/>
    <n v="2"/>
  </r>
  <r>
    <x v="104"/>
    <x v="22"/>
    <x v="2"/>
    <n v="72"/>
  </r>
  <r>
    <x v="104"/>
    <x v="22"/>
    <x v="3"/>
    <n v="18"/>
  </r>
  <r>
    <x v="104"/>
    <x v="22"/>
    <x v="4"/>
    <n v="7"/>
  </r>
  <r>
    <x v="104"/>
    <x v="22"/>
    <x v="5"/>
    <n v="0"/>
  </r>
  <r>
    <x v="105"/>
    <x v="22"/>
    <x v="0"/>
    <n v="266"/>
  </r>
  <r>
    <x v="105"/>
    <x v="22"/>
    <x v="1"/>
    <n v="2"/>
  </r>
  <r>
    <x v="105"/>
    <x v="22"/>
    <x v="2"/>
    <n v="69"/>
  </r>
  <r>
    <x v="105"/>
    <x v="22"/>
    <x v="3"/>
    <n v="17"/>
  </r>
  <r>
    <x v="105"/>
    <x v="22"/>
    <x v="4"/>
    <n v="7"/>
  </r>
  <r>
    <x v="105"/>
    <x v="22"/>
    <x v="5"/>
    <n v="0"/>
  </r>
  <r>
    <x v="106"/>
    <x v="22"/>
    <x v="0"/>
    <n v="280"/>
  </r>
  <r>
    <x v="106"/>
    <x v="22"/>
    <x v="1"/>
    <n v="1"/>
  </r>
  <r>
    <x v="106"/>
    <x v="22"/>
    <x v="2"/>
    <n v="65"/>
  </r>
  <r>
    <x v="106"/>
    <x v="22"/>
    <x v="3"/>
    <n v="16"/>
  </r>
  <r>
    <x v="106"/>
    <x v="22"/>
    <x v="4"/>
    <n v="8"/>
  </r>
  <r>
    <x v="106"/>
    <x v="22"/>
    <x v="5"/>
    <n v="0"/>
  </r>
  <r>
    <x v="107"/>
    <x v="22"/>
    <x v="0"/>
    <n v="279"/>
  </r>
  <r>
    <x v="107"/>
    <x v="22"/>
    <x v="1"/>
    <n v="2"/>
  </r>
  <r>
    <x v="107"/>
    <x v="22"/>
    <x v="2"/>
    <n v="64"/>
  </r>
  <r>
    <x v="107"/>
    <x v="22"/>
    <x v="3"/>
    <n v="16"/>
  </r>
  <r>
    <x v="107"/>
    <x v="22"/>
    <x v="4"/>
    <n v="7"/>
  </r>
  <r>
    <x v="107"/>
    <x v="22"/>
    <x v="5"/>
    <n v="0"/>
  </r>
  <r>
    <x v="108"/>
    <x v="22"/>
    <x v="0"/>
    <n v="290"/>
  </r>
  <r>
    <x v="108"/>
    <x v="22"/>
    <x v="1"/>
    <n v="2"/>
  </r>
  <r>
    <x v="108"/>
    <x v="22"/>
    <x v="2"/>
    <n v="64"/>
  </r>
  <r>
    <x v="108"/>
    <x v="22"/>
    <x v="3"/>
    <n v="15"/>
  </r>
  <r>
    <x v="108"/>
    <x v="22"/>
    <x v="4"/>
    <n v="7"/>
  </r>
  <r>
    <x v="108"/>
    <x v="22"/>
    <x v="5"/>
    <n v="0"/>
  </r>
  <r>
    <x v="109"/>
    <x v="23"/>
    <x v="0"/>
    <n v="302"/>
  </r>
  <r>
    <x v="109"/>
    <x v="23"/>
    <x v="1"/>
    <n v="2"/>
  </r>
  <r>
    <x v="109"/>
    <x v="23"/>
    <x v="2"/>
    <n v="65"/>
  </r>
  <r>
    <x v="109"/>
    <x v="23"/>
    <x v="3"/>
    <n v="15"/>
  </r>
  <r>
    <x v="109"/>
    <x v="23"/>
    <x v="4"/>
    <n v="6"/>
  </r>
  <r>
    <x v="109"/>
    <x v="23"/>
    <x v="5"/>
    <n v="0"/>
  </r>
  <r>
    <x v="110"/>
    <x v="23"/>
    <x v="0"/>
    <n v="306"/>
  </r>
  <r>
    <x v="110"/>
    <x v="23"/>
    <x v="1"/>
    <n v="2"/>
  </r>
  <r>
    <x v="110"/>
    <x v="23"/>
    <x v="2"/>
    <n v="60"/>
  </r>
  <r>
    <x v="110"/>
    <x v="23"/>
    <x v="3"/>
    <n v="15"/>
  </r>
  <r>
    <x v="110"/>
    <x v="23"/>
    <x v="4"/>
    <n v="6"/>
  </r>
  <r>
    <x v="110"/>
    <x v="23"/>
    <x v="5"/>
    <n v="0"/>
  </r>
  <r>
    <x v="111"/>
    <x v="23"/>
    <x v="0"/>
    <n v="319"/>
  </r>
  <r>
    <x v="111"/>
    <x v="23"/>
    <x v="1"/>
    <n v="2"/>
  </r>
  <r>
    <x v="111"/>
    <x v="23"/>
    <x v="2"/>
    <n v="60"/>
  </r>
  <r>
    <x v="111"/>
    <x v="23"/>
    <x v="3"/>
    <n v="17"/>
  </r>
  <r>
    <x v="111"/>
    <x v="23"/>
    <x v="4"/>
    <n v="7"/>
  </r>
  <r>
    <x v="111"/>
    <x v="23"/>
    <x v="5"/>
    <n v="0"/>
  </r>
  <r>
    <x v="112"/>
    <x v="23"/>
    <x v="0"/>
    <n v="343"/>
  </r>
  <r>
    <x v="112"/>
    <x v="23"/>
    <x v="1"/>
    <n v="2"/>
  </r>
  <r>
    <x v="112"/>
    <x v="23"/>
    <x v="2"/>
    <n v="65"/>
  </r>
  <r>
    <x v="112"/>
    <x v="23"/>
    <x v="3"/>
    <n v="19"/>
  </r>
  <r>
    <x v="112"/>
    <x v="23"/>
    <x v="4"/>
    <n v="7"/>
  </r>
  <r>
    <x v="112"/>
    <x v="23"/>
    <x v="5"/>
    <n v="0"/>
  </r>
  <r>
    <x v="113"/>
    <x v="23"/>
    <x v="0"/>
    <n v="361"/>
  </r>
  <r>
    <x v="113"/>
    <x v="23"/>
    <x v="1"/>
    <n v="2"/>
  </r>
  <r>
    <x v="113"/>
    <x v="23"/>
    <x v="2"/>
    <n v="68"/>
  </r>
  <r>
    <x v="113"/>
    <x v="23"/>
    <x v="3"/>
    <n v="20"/>
  </r>
  <r>
    <x v="113"/>
    <x v="23"/>
    <x v="4"/>
    <n v="10"/>
  </r>
  <r>
    <x v="113"/>
    <x v="23"/>
    <x v="5"/>
    <n v="0"/>
  </r>
  <r>
    <x v="114"/>
    <x v="24"/>
    <x v="0"/>
    <n v="370"/>
  </r>
  <r>
    <x v="114"/>
    <x v="24"/>
    <x v="1"/>
    <n v="2"/>
  </r>
  <r>
    <x v="114"/>
    <x v="24"/>
    <x v="2"/>
    <n v="70"/>
  </r>
  <r>
    <x v="114"/>
    <x v="24"/>
    <x v="3"/>
    <n v="20"/>
  </r>
  <r>
    <x v="114"/>
    <x v="24"/>
    <x v="4"/>
    <n v="10"/>
  </r>
  <r>
    <x v="114"/>
    <x v="24"/>
    <x v="5"/>
    <n v="0"/>
  </r>
  <r>
    <x v="115"/>
    <x v="24"/>
    <x v="0"/>
    <n v="285"/>
  </r>
  <r>
    <x v="115"/>
    <x v="24"/>
    <x v="1"/>
    <n v="2"/>
  </r>
  <r>
    <x v="115"/>
    <x v="24"/>
    <x v="2"/>
    <n v="56"/>
  </r>
  <r>
    <x v="115"/>
    <x v="24"/>
    <x v="3"/>
    <n v="20"/>
  </r>
  <r>
    <x v="115"/>
    <x v="24"/>
    <x v="4"/>
    <n v="7"/>
  </r>
  <r>
    <x v="115"/>
    <x v="24"/>
    <x v="5"/>
    <n v="0"/>
  </r>
  <r>
    <x v="116"/>
    <x v="24"/>
    <x v="0"/>
    <n v="276"/>
  </r>
  <r>
    <x v="116"/>
    <x v="24"/>
    <x v="1"/>
    <n v="2"/>
  </r>
  <r>
    <x v="116"/>
    <x v="24"/>
    <x v="2"/>
    <n v="52"/>
  </r>
  <r>
    <x v="116"/>
    <x v="24"/>
    <x v="3"/>
    <n v="18"/>
  </r>
  <r>
    <x v="116"/>
    <x v="24"/>
    <x v="4"/>
    <n v="7"/>
  </r>
  <r>
    <x v="116"/>
    <x v="24"/>
    <x v="5"/>
    <n v="0"/>
  </r>
  <r>
    <x v="117"/>
    <x v="24"/>
    <x v="0"/>
    <n v="303"/>
  </r>
  <r>
    <x v="117"/>
    <x v="24"/>
    <x v="1"/>
    <n v="2"/>
  </r>
  <r>
    <x v="117"/>
    <x v="24"/>
    <x v="2"/>
    <n v="58"/>
  </r>
  <r>
    <x v="117"/>
    <x v="24"/>
    <x v="3"/>
    <n v="19"/>
  </r>
  <r>
    <x v="117"/>
    <x v="24"/>
    <x v="4"/>
    <n v="8"/>
  </r>
  <r>
    <x v="117"/>
    <x v="24"/>
    <x v="5"/>
    <n v="0"/>
  </r>
  <r>
    <x v="118"/>
    <x v="24"/>
    <x v="0"/>
    <n v="264"/>
  </r>
  <r>
    <x v="118"/>
    <x v="24"/>
    <x v="1"/>
    <n v="0"/>
  </r>
  <r>
    <x v="118"/>
    <x v="24"/>
    <x v="2"/>
    <n v="53"/>
  </r>
  <r>
    <x v="118"/>
    <x v="24"/>
    <x v="3"/>
    <n v="19"/>
  </r>
  <r>
    <x v="118"/>
    <x v="24"/>
    <x v="4"/>
    <n v="8"/>
  </r>
  <r>
    <x v="118"/>
    <x v="24"/>
    <x v="5"/>
    <n v="0"/>
  </r>
  <r>
    <x v="119"/>
    <x v="25"/>
    <x v="6"/>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
  <r>
    <x v="0"/>
    <x v="0"/>
    <x v="0"/>
    <n v="91"/>
  </r>
  <r>
    <x v="0"/>
    <x v="0"/>
    <x v="1"/>
    <n v="126"/>
  </r>
  <r>
    <x v="0"/>
    <x v="0"/>
    <x v="2"/>
    <n v="74"/>
  </r>
  <r>
    <x v="0"/>
    <x v="0"/>
    <x v="3"/>
    <n v="20"/>
  </r>
  <r>
    <x v="0"/>
    <x v="0"/>
    <x v="4"/>
    <n v="90"/>
  </r>
  <r>
    <x v="0"/>
    <x v="0"/>
    <x v="5"/>
    <n v="110"/>
  </r>
  <r>
    <x v="0"/>
    <x v="0"/>
    <x v="6"/>
    <n v="73"/>
  </r>
  <r>
    <x v="0"/>
    <x v="0"/>
    <x v="7"/>
    <n v="1"/>
  </r>
  <r>
    <x v="0"/>
    <x v="0"/>
    <x v="8"/>
    <n v="21"/>
  </r>
  <r>
    <x v="0"/>
    <x v="0"/>
    <x v="9"/>
    <n v="25"/>
  </r>
  <r>
    <x v="0"/>
    <x v="0"/>
    <x v="10"/>
    <n v="16"/>
  </r>
  <r>
    <x v="0"/>
    <x v="0"/>
    <x v="11"/>
    <n v="12"/>
  </r>
  <r>
    <x v="0"/>
    <x v="0"/>
    <x v="12"/>
    <n v="1"/>
  </r>
  <r>
    <x v="0"/>
    <x v="0"/>
    <x v="13"/>
    <n v="4"/>
  </r>
  <r>
    <x v="0"/>
    <x v="0"/>
    <x v="14"/>
    <n v="14"/>
  </r>
  <r>
    <x v="0"/>
    <x v="0"/>
    <x v="15"/>
    <n v="1"/>
  </r>
  <r>
    <x v="0"/>
    <x v="0"/>
    <x v="16"/>
    <n v="12"/>
  </r>
  <r>
    <x v="0"/>
    <x v="0"/>
    <x v="17"/>
    <n v="4"/>
  </r>
  <r>
    <x v="0"/>
    <x v="0"/>
    <x v="18"/>
    <n v="10"/>
  </r>
  <r>
    <x v="0"/>
    <x v="0"/>
    <x v="19"/>
    <n v="5"/>
  </r>
  <r>
    <x v="0"/>
    <x v="0"/>
    <x v="20"/>
    <n v="3"/>
  </r>
  <r>
    <x v="0"/>
    <x v="0"/>
    <x v="21"/>
    <n v="16"/>
  </r>
  <r>
    <x v="0"/>
    <x v="0"/>
    <x v="22"/>
    <n v="3"/>
  </r>
  <r>
    <x v="0"/>
    <x v="0"/>
    <x v="23"/>
    <n v="3"/>
  </r>
  <r>
    <x v="0"/>
    <x v="0"/>
    <x v="24"/>
    <n v="3"/>
  </r>
  <r>
    <x v="0"/>
    <x v="0"/>
    <x v="25"/>
    <n v="17"/>
  </r>
  <r>
    <x v="0"/>
    <x v="0"/>
    <x v="26"/>
    <n v="1"/>
  </r>
  <r>
    <x v="0"/>
    <x v="0"/>
    <x v="27"/>
    <n v="1"/>
  </r>
  <r>
    <x v="0"/>
    <x v="0"/>
    <x v="28"/>
    <n v="20"/>
  </r>
  <r>
    <x v="0"/>
    <x v="0"/>
    <x v="29"/>
    <n v="1"/>
  </r>
  <r>
    <x v="0"/>
    <x v="0"/>
    <x v="30"/>
    <n v="5"/>
  </r>
  <r>
    <x v="0"/>
    <x v="0"/>
    <x v="31"/>
    <n v="4"/>
  </r>
  <r>
    <x v="0"/>
    <x v="0"/>
    <x v="32"/>
    <n v="4"/>
  </r>
  <r>
    <x v="0"/>
    <x v="0"/>
    <x v="33"/>
    <n v="1"/>
  </r>
  <r>
    <x v="0"/>
    <x v="0"/>
    <x v="34"/>
    <n v="2"/>
  </r>
  <r>
    <x v="0"/>
    <x v="0"/>
    <x v="35"/>
    <n v="2"/>
  </r>
  <r>
    <x v="0"/>
    <x v="0"/>
    <x v="36"/>
    <n v="2"/>
  </r>
  <r>
    <x v="0"/>
    <x v="0"/>
    <x v="37"/>
    <n v="4"/>
  </r>
  <r>
    <x v="0"/>
    <x v="0"/>
    <x v="38"/>
    <n v="1"/>
  </r>
  <r>
    <x v="0"/>
    <x v="0"/>
    <x v="39"/>
    <n v="1"/>
  </r>
  <r>
    <x v="0"/>
    <x v="0"/>
    <x v="40"/>
    <n v="1"/>
  </r>
  <r>
    <x v="0"/>
    <x v="0"/>
    <x v="41"/>
    <n v="22"/>
  </r>
  <r>
    <x v="0"/>
    <x v="0"/>
    <x v="42"/>
    <n v="2"/>
  </r>
  <r>
    <x v="0"/>
    <x v="0"/>
    <x v="43"/>
    <n v="8"/>
  </r>
  <r>
    <x v="0"/>
    <x v="0"/>
    <x v="44"/>
    <n v="10"/>
  </r>
  <r>
    <x v="0"/>
    <x v="0"/>
    <x v="45"/>
    <n v="1"/>
  </r>
  <r>
    <x v="0"/>
    <x v="0"/>
    <x v="46"/>
    <n v="4"/>
  </r>
  <r>
    <x v="0"/>
    <x v="0"/>
    <x v="47"/>
    <n v="9"/>
  </r>
  <r>
    <x v="0"/>
    <x v="0"/>
    <x v="48"/>
    <n v="2"/>
  </r>
  <r>
    <x v="0"/>
    <x v="0"/>
    <x v="49"/>
    <n v="7"/>
  </r>
  <r>
    <x v="0"/>
    <x v="0"/>
    <x v="50"/>
    <n v="3"/>
  </r>
  <r>
    <x v="0"/>
    <x v="0"/>
    <x v="51"/>
    <n v="2"/>
  </r>
  <r>
    <x v="0"/>
    <x v="0"/>
    <x v="52"/>
    <n v="3"/>
  </r>
  <r>
    <x v="0"/>
    <x v="0"/>
    <x v="53"/>
    <n v="3"/>
  </r>
  <r>
    <x v="0"/>
    <x v="0"/>
    <x v="54"/>
    <n v="2"/>
  </r>
  <r>
    <x v="0"/>
    <x v="0"/>
    <x v="55"/>
    <n v="6"/>
  </r>
  <r>
    <x v="0"/>
    <x v="0"/>
    <x v="56"/>
    <n v="2"/>
  </r>
  <r>
    <x v="0"/>
    <x v="0"/>
    <x v="57"/>
    <n v="1"/>
  </r>
  <r>
    <x v="1"/>
    <x v="1"/>
    <x v="0"/>
    <n v="89"/>
  </r>
  <r>
    <x v="1"/>
    <x v="1"/>
    <x v="1"/>
    <n v="121"/>
  </r>
  <r>
    <x v="1"/>
    <x v="1"/>
    <x v="2"/>
    <n v="76"/>
  </r>
  <r>
    <x v="1"/>
    <x v="1"/>
    <x v="3"/>
    <n v="13"/>
  </r>
  <r>
    <x v="1"/>
    <x v="1"/>
    <x v="4"/>
    <n v="94"/>
  </r>
  <r>
    <x v="1"/>
    <x v="1"/>
    <x v="5"/>
    <n v="105"/>
  </r>
  <r>
    <x v="1"/>
    <x v="1"/>
    <x v="6"/>
    <n v="65"/>
  </r>
  <r>
    <x v="1"/>
    <x v="1"/>
    <x v="7"/>
    <n v="1"/>
  </r>
  <r>
    <x v="1"/>
    <x v="1"/>
    <x v="8"/>
    <n v="25"/>
  </r>
  <r>
    <x v="1"/>
    <x v="1"/>
    <x v="9"/>
    <n v="21"/>
  </r>
  <r>
    <x v="1"/>
    <x v="1"/>
    <x v="10"/>
    <n v="13"/>
  </r>
  <r>
    <x v="1"/>
    <x v="1"/>
    <x v="11"/>
    <n v="6"/>
  </r>
  <r>
    <x v="1"/>
    <x v="1"/>
    <x v="12"/>
    <n v="1"/>
  </r>
  <r>
    <x v="1"/>
    <x v="1"/>
    <x v="13"/>
    <n v="7"/>
  </r>
  <r>
    <x v="1"/>
    <x v="1"/>
    <x v="14"/>
    <n v="12"/>
  </r>
  <r>
    <x v="1"/>
    <x v="1"/>
    <x v="16"/>
    <n v="12"/>
  </r>
  <r>
    <x v="1"/>
    <x v="1"/>
    <x v="17"/>
    <n v="4"/>
  </r>
  <r>
    <x v="1"/>
    <x v="1"/>
    <x v="18"/>
    <n v="14"/>
  </r>
  <r>
    <x v="1"/>
    <x v="1"/>
    <x v="19"/>
    <n v="7"/>
  </r>
  <r>
    <x v="1"/>
    <x v="1"/>
    <x v="20"/>
    <n v="1"/>
  </r>
  <r>
    <x v="1"/>
    <x v="1"/>
    <x v="21"/>
    <n v="11"/>
  </r>
  <r>
    <x v="1"/>
    <x v="1"/>
    <x v="22"/>
    <n v="2"/>
  </r>
  <r>
    <x v="1"/>
    <x v="1"/>
    <x v="23"/>
    <n v="2"/>
  </r>
  <r>
    <x v="1"/>
    <x v="1"/>
    <x v="24"/>
    <n v="5"/>
  </r>
  <r>
    <x v="1"/>
    <x v="1"/>
    <x v="25"/>
    <n v="12"/>
  </r>
  <r>
    <x v="1"/>
    <x v="1"/>
    <x v="26"/>
    <n v="2"/>
  </r>
  <r>
    <x v="1"/>
    <x v="1"/>
    <x v="27"/>
    <n v="1"/>
  </r>
  <r>
    <x v="1"/>
    <x v="1"/>
    <x v="28"/>
    <n v="16"/>
  </r>
  <r>
    <x v="1"/>
    <x v="1"/>
    <x v="29"/>
    <n v="1"/>
  </r>
  <r>
    <x v="1"/>
    <x v="1"/>
    <x v="30"/>
    <n v="8"/>
  </r>
  <r>
    <x v="1"/>
    <x v="1"/>
    <x v="31"/>
    <n v="4"/>
  </r>
  <r>
    <x v="1"/>
    <x v="1"/>
    <x v="32"/>
    <n v="4"/>
  </r>
  <r>
    <x v="1"/>
    <x v="1"/>
    <x v="34"/>
    <n v="1"/>
  </r>
  <r>
    <x v="1"/>
    <x v="1"/>
    <x v="35"/>
    <n v="2"/>
  </r>
  <r>
    <x v="1"/>
    <x v="1"/>
    <x v="36"/>
    <n v="3"/>
  </r>
  <r>
    <x v="1"/>
    <x v="1"/>
    <x v="37"/>
    <n v="3"/>
  </r>
  <r>
    <x v="1"/>
    <x v="1"/>
    <x v="38"/>
    <n v="1"/>
  </r>
  <r>
    <x v="1"/>
    <x v="1"/>
    <x v="39"/>
    <n v="1"/>
  </r>
  <r>
    <x v="1"/>
    <x v="1"/>
    <x v="41"/>
    <n v="22"/>
  </r>
  <r>
    <x v="1"/>
    <x v="1"/>
    <x v="42"/>
    <n v="2"/>
  </r>
  <r>
    <x v="1"/>
    <x v="1"/>
    <x v="43"/>
    <n v="9"/>
  </r>
  <r>
    <x v="1"/>
    <x v="1"/>
    <x v="44"/>
    <n v="4"/>
  </r>
  <r>
    <x v="1"/>
    <x v="1"/>
    <x v="45"/>
    <n v="1"/>
  </r>
  <r>
    <x v="1"/>
    <x v="1"/>
    <x v="46"/>
    <n v="3"/>
  </r>
  <r>
    <x v="1"/>
    <x v="1"/>
    <x v="47"/>
    <n v="12"/>
  </r>
  <r>
    <x v="1"/>
    <x v="1"/>
    <x v="48"/>
    <n v="1"/>
  </r>
  <r>
    <x v="1"/>
    <x v="1"/>
    <x v="49"/>
    <n v="5"/>
  </r>
  <r>
    <x v="1"/>
    <x v="1"/>
    <x v="50"/>
    <n v="3"/>
  </r>
  <r>
    <x v="1"/>
    <x v="1"/>
    <x v="51"/>
    <n v="2"/>
  </r>
  <r>
    <x v="1"/>
    <x v="1"/>
    <x v="52"/>
    <n v="2"/>
  </r>
  <r>
    <x v="1"/>
    <x v="1"/>
    <x v="53"/>
    <n v="2"/>
  </r>
  <r>
    <x v="1"/>
    <x v="1"/>
    <x v="54"/>
    <n v="2"/>
  </r>
  <r>
    <x v="1"/>
    <x v="1"/>
    <x v="58"/>
    <n v="1"/>
  </r>
  <r>
    <x v="1"/>
    <x v="1"/>
    <x v="55"/>
    <n v="5"/>
  </r>
  <r>
    <x v="1"/>
    <x v="1"/>
    <x v="56"/>
    <n v="2"/>
  </r>
  <r>
    <x v="2"/>
    <x v="2"/>
    <x v="59"/>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n v="361"/>
    <n v="48"/>
    <n v="173"/>
  </r>
  <r>
    <x v="1"/>
    <x v="0"/>
    <n v="365"/>
    <n v="65"/>
    <n v="161"/>
  </r>
  <r>
    <x v="2"/>
    <x v="0"/>
    <n v="349"/>
    <n v="61"/>
    <n v="154"/>
  </r>
  <r>
    <x v="3"/>
    <x v="0"/>
    <n v="356"/>
    <n v="54"/>
    <n v="173"/>
  </r>
  <r>
    <x v="4"/>
    <x v="0"/>
    <n v="350"/>
    <n v="57"/>
    <n v="177"/>
  </r>
  <r>
    <x v="5"/>
    <x v="1"/>
    <m/>
    <m/>
    <m/>
  </r>
  <r>
    <x v="5"/>
    <x v="1"/>
    <m/>
    <m/>
    <m/>
  </r>
  <r>
    <x v="5"/>
    <x v="1"/>
    <m/>
    <m/>
    <m/>
  </r>
  <r>
    <x v="5"/>
    <x v="1"/>
    <m/>
    <m/>
    <m/>
  </r>
  <r>
    <x v="5"/>
    <x v="1"/>
    <m/>
    <m/>
    <m/>
  </r>
  <r>
    <x v="5"/>
    <x v="1"/>
    <m/>
    <m/>
    <m/>
  </r>
  <r>
    <x v="5"/>
    <x v="1"/>
    <m/>
    <m/>
    <m/>
  </r>
  <r>
    <x v="5"/>
    <x v="1"/>
    <m/>
    <m/>
    <m/>
  </r>
  <r>
    <x v="5"/>
    <x v="1"/>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528AC2-9979-4CF7-83A3-7AF31337064F}"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T51:BA60" firstHeaderRow="1" firstDataRow="2" firstDataCol="1"/>
  <pivotFields count="4">
    <pivotField showAll="0">
      <items count="12">
        <item x="0"/>
        <item x="1"/>
        <item x="2"/>
        <item x="3"/>
        <item x="4"/>
        <item x="5"/>
        <item x="6"/>
        <item x="7"/>
        <item x="8"/>
        <item x="9"/>
        <item x="10"/>
        <item t="default"/>
      </items>
    </pivotField>
    <pivotField dataField="1" multipleItemSelectionAllowed="1" showAll="0">
      <items count="4">
        <item x="0"/>
        <item h="1" x="2"/>
        <item x="1"/>
        <item t="default"/>
      </items>
    </pivotField>
    <pivotField axis="axisRow" showAll="0">
      <items count="8">
        <item x="3"/>
        <item x="0"/>
        <item x="2"/>
        <item x="4"/>
        <item x="1"/>
        <item x="5"/>
        <item x="6"/>
        <item t="default"/>
      </items>
    </pivotField>
    <pivotField axis="axisCol" showAll="0">
      <items count="33">
        <item x="4"/>
        <item x="18"/>
        <item x="1"/>
        <item x="6"/>
        <item x="10"/>
        <item x="14"/>
        <item x="30"/>
        <item x="17"/>
        <item x="16"/>
        <item x="12"/>
        <item x="3"/>
        <item x="8"/>
        <item x="25"/>
        <item x="27"/>
        <item x="29"/>
        <item x="24"/>
        <item x="22"/>
        <item x="2"/>
        <item x="11"/>
        <item x="7"/>
        <item x="20"/>
        <item x="15"/>
        <item x="21"/>
        <item x="26"/>
        <item x="28"/>
        <item x="23"/>
        <item x="9"/>
        <item x="19"/>
        <item x="13"/>
        <item x="0"/>
        <item x="5"/>
        <item x="31"/>
        <item t="default"/>
      </items>
    </pivotField>
  </pivotFields>
  <rowFields count="1">
    <field x="2"/>
  </rowFields>
  <rowItems count="8">
    <i>
      <x/>
    </i>
    <i>
      <x v="1"/>
    </i>
    <i>
      <x v="2"/>
    </i>
    <i>
      <x v="3"/>
    </i>
    <i>
      <x v="4"/>
    </i>
    <i>
      <x v="5"/>
    </i>
    <i>
      <x v="6"/>
    </i>
    <i t="grand">
      <x/>
    </i>
  </rowItems>
  <colFields count="1">
    <field x="3"/>
  </colFields>
  <col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colItems>
  <dataFields count="1">
    <dataField name="Sum of Week" fld="1" baseField="0" baseItem="0"/>
  </dataFields>
  <chartFormats count="39">
    <chartFormat chart="1" format="25" series="1">
      <pivotArea type="data" outline="0" fieldPosition="0">
        <references count="1">
          <reference field="4294967294" count="1" selected="0">
            <x v="0"/>
          </reference>
        </references>
      </pivotArea>
    </chartFormat>
    <chartFormat chart="1" format="26" series="1">
      <pivotArea type="data" outline="0" fieldPosition="0">
        <references count="2">
          <reference field="4294967294" count="1" selected="0">
            <x v="0"/>
          </reference>
          <reference field="2" count="1" selected="0">
            <x v="1"/>
          </reference>
        </references>
      </pivotArea>
    </chartFormat>
    <chartFormat chart="1" format="27" series="1">
      <pivotArea type="data" outline="0" fieldPosition="0">
        <references count="2">
          <reference field="4294967294" count="1" selected="0">
            <x v="0"/>
          </reference>
          <reference field="2" count="1" selected="0">
            <x v="2"/>
          </reference>
        </references>
      </pivotArea>
    </chartFormat>
    <chartFormat chart="1" format="28" series="1">
      <pivotArea type="data" outline="0" fieldPosition="0">
        <references count="2">
          <reference field="4294967294" count="1" selected="0">
            <x v="0"/>
          </reference>
          <reference field="2" count="1" selected="0">
            <x v="3"/>
          </reference>
        </references>
      </pivotArea>
    </chartFormat>
    <chartFormat chart="1" format="29" series="1">
      <pivotArea type="data" outline="0" fieldPosition="0">
        <references count="2">
          <reference field="4294967294" count="1" selected="0">
            <x v="0"/>
          </reference>
          <reference field="2" count="1" selected="0">
            <x v="4"/>
          </reference>
        </references>
      </pivotArea>
    </chartFormat>
    <chartFormat chart="1" format="30" series="1">
      <pivotArea type="data" outline="0" fieldPosition="0">
        <references count="2">
          <reference field="4294967294" count="1" selected="0">
            <x v="0"/>
          </reference>
          <reference field="2" count="1" selected="0">
            <x v="5"/>
          </reference>
        </references>
      </pivotArea>
    </chartFormat>
    <chartFormat chart="1" format="31" series="1">
      <pivotArea type="data" outline="0" fieldPosition="0">
        <references count="2">
          <reference field="4294967294" count="1" selected="0">
            <x v="0"/>
          </reference>
          <reference field="2" count="1" selected="0">
            <x v="0"/>
          </reference>
        </references>
      </pivotArea>
    </chartFormat>
    <chartFormat chart="1" format="32" series="1">
      <pivotArea type="data" outline="0" fieldPosition="0">
        <references count="2">
          <reference field="4294967294" count="1" selected="0">
            <x v="0"/>
          </reference>
          <reference field="3" count="1" selected="0">
            <x v="1"/>
          </reference>
        </references>
      </pivotArea>
    </chartFormat>
    <chartFormat chart="1" format="33" series="1">
      <pivotArea type="data" outline="0" fieldPosition="0">
        <references count="2">
          <reference field="4294967294" count="1" selected="0">
            <x v="0"/>
          </reference>
          <reference field="3" count="1" selected="0">
            <x v="2"/>
          </reference>
        </references>
      </pivotArea>
    </chartFormat>
    <chartFormat chart="1" format="34" series="1">
      <pivotArea type="data" outline="0" fieldPosition="0">
        <references count="2">
          <reference field="4294967294" count="1" selected="0">
            <x v="0"/>
          </reference>
          <reference field="3" count="1" selected="0">
            <x v="3"/>
          </reference>
        </references>
      </pivotArea>
    </chartFormat>
    <chartFormat chart="1" format="35" series="1">
      <pivotArea type="data" outline="0" fieldPosition="0">
        <references count="2">
          <reference field="4294967294" count="1" selected="0">
            <x v="0"/>
          </reference>
          <reference field="3" count="1" selected="0">
            <x v="4"/>
          </reference>
        </references>
      </pivotArea>
    </chartFormat>
    <chartFormat chart="1" format="36" series="1">
      <pivotArea type="data" outline="0" fieldPosition="0">
        <references count="2">
          <reference field="4294967294" count="1" selected="0">
            <x v="0"/>
          </reference>
          <reference field="3" count="1" selected="0">
            <x v="5"/>
          </reference>
        </references>
      </pivotArea>
    </chartFormat>
    <chartFormat chart="1" format="37" series="1">
      <pivotArea type="data" outline="0" fieldPosition="0">
        <references count="2">
          <reference field="4294967294" count="1" selected="0">
            <x v="0"/>
          </reference>
          <reference field="3" count="1" selected="0">
            <x v="6"/>
          </reference>
        </references>
      </pivotArea>
    </chartFormat>
    <chartFormat chart="1" format="38" series="1">
      <pivotArea type="data" outline="0" fieldPosition="0">
        <references count="2">
          <reference field="4294967294" count="1" selected="0">
            <x v="0"/>
          </reference>
          <reference field="3" count="1" selected="0">
            <x v="7"/>
          </reference>
        </references>
      </pivotArea>
    </chartFormat>
    <chartFormat chart="1" format="39" series="1">
      <pivotArea type="data" outline="0" fieldPosition="0">
        <references count="2">
          <reference field="4294967294" count="1" selected="0">
            <x v="0"/>
          </reference>
          <reference field="3" count="1" selected="0">
            <x v="8"/>
          </reference>
        </references>
      </pivotArea>
    </chartFormat>
    <chartFormat chart="1" format="40" series="1">
      <pivotArea type="data" outline="0" fieldPosition="0">
        <references count="2">
          <reference field="4294967294" count="1" selected="0">
            <x v="0"/>
          </reference>
          <reference field="3" count="1" selected="0">
            <x v="9"/>
          </reference>
        </references>
      </pivotArea>
    </chartFormat>
    <chartFormat chart="1" format="41" series="1">
      <pivotArea type="data" outline="0" fieldPosition="0">
        <references count="2">
          <reference field="4294967294" count="1" selected="0">
            <x v="0"/>
          </reference>
          <reference field="3" count="1" selected="0">
            <x v="10"/>
          </reference>
        </references>
      </pivotArea>
    </chartFormat>
    <chartFormat chart="1" format="42" series="1">
      <pivotArea type="data" outline="0" fieldPosition="0">
        <references count="2">
          <reference field="4294967294" count="1" selected="0">
            <x v="0"/>
          </reference>
          <reference field="3" count="1" selected="0">
            <x v="11"/>
          </reference>
        </references>
      </pivotArea>
    </chartFormat>
    <chartFormat chart="1" format="43" series="1">
      <pivotArea type="data" outline="0" fieldPosition="0">
        <references count="2">
          <reference field="4294967294" count="1" selected="0">
            <x v="0"/>
          </reference>
          <reference field="3" count="1" selected="0">
            <x v="12"/>
          </reference>
        </references>
      </pivotArea>
    </chartFormat>
    <chartFormat chart="1" format="44" series="1">
      <pivotArea type="data" outline="0" fieldPosition="0">
        <references count="2">
          <reference field="4294967294" count="1" selected="0">
            <x v="0"/>
          </reference>
          <reference field="3" count="1" selected="0">
            <x v="13"/>
          </reference>
        </references>
      </pivotArea>
    </chartFormat>
    <chartFormat chart="1" format="45" series="1">
      <pivotArea type="data" outline="0" fieldPosition="0">
        <references count="2">
          <reference field="4294967294" count="1" selected="0">
            <x v="0"/>
          </reference>
          <reference field="3" count="1" selected="0">
            <x v="14"/>
          </reference>
        </references>
      </pivotArea>
    </chartFormat>
    <chartFormat chart="1" format="46" series="1">
      <pivotArea type="data" outline="0" fieldPosition="0">
        <references count="2">
          <reference field="4294967294" count="1" selected="0">
            <x v="0"/>
          </reference>
          <reference field="3" count="1" selected="0">
            <x v="15"/>
          </reference>
        </references>
      </pivotArea>
    </chartFormat>
    <chartFormat chart="1" format="47" series="1">
      <pivotArea type="data" outline="0" fieldPosition="0">
        <references count="2">
          <reference field="4294967294" count="1" selected="0">
            <x v="0"/>
          </reference>
          <reference field="3" count="1" selected="0">
            <x v="16"/>
          </reference>
        </references>
      </pivotArea>
    </chartFormat>
    <chartFormat chart="1" format="48" series="1">
      <pivotArea type="data" outline="0" fieldPosition="0">
        <references count="2">
          <reference field="4294967294" count="1" selected="0">
            <x v="0"/>
          </reference>
          <reference field="3" count="1" selected="0">
            <x v="17"/>
          </reference>
        </references>
      </pivotArea>
    </chartFormat>
    <chartFormat chart="1" format="49" series="1">
      <pivotArea type="data" outline="0" fieldPosition="0">
        <references count="2">
          <reference field="4294967294" count="1" selected="0">
            <x v="0"/>
          </reference>
          <reference field="3" count="1" selected="0">
            <x v="18"/>
          </reference>
        </references>
      </pivotArea>
    </chartFormat>
    <chartFormat chart="1" format="50" series="1">
      <pivotArea type="data" outline="0" fieldPosition="0">
        <references count="2">
          <reference field="4294967294" count="1" selected="0">
            <x v="0"/>
          </reference>
          <reference field="3" count="1" selected="0">
            <x v="19"/>
          </reference>
        </references>
      </pivotArea>
    </chartFormat>
    <chartFormat chart="1" format="51" series="1">
      <pivotArea type="data" outline="0" fieldPosition="0">
        <references count="2">
          <reference field="4294967294" count="1" selected="0">
            <x v="0"/>
          </reference>
          <reference field="3" count="1" selected="0">
            <x v="20"/>
          </reference>
        </references>
      </pivotArea>
    </chartFormat>
    <chartFormat chart="1" format="52" series="1">
      <pivotArea type="data" outline="0" fieldPosition="0">
        <references count="2">
          <reference field="4294967294" count="1" selected="0">
            <x v="0"/>
          </reference>
          <reference field="3" count="1" selected="0">
            <x v="21"/>
          </reference>
        </references>
      </pivotArea>
    </chartFormat>
    <chartFormat chart="1" format="53" series="1">
      <pivotArea type="data" outline="0" fieldPosition="0">
        <references count="2">
          <reference field="4294967294" count="1" selected="0">
            <x v="0"/>
          </reference>
          <reference field="3" count="1" selected="0">
            <x v="22"/>
          </reference>
        </references>
      </pivotArea>
    </chartFormat>
    <chartFormat chart="1" format="54" series="1">
      <pivotArea type="data" outline="0" fieldPosition="0">
        <references count="2">
          <reference field="4294967294" count="1" selected="0">
            <x v="0"/>
          </reference>
          <reference field="3" count="1" selected="0">
            <x v="23"/>
          </reference>
        </references>
      </pivotArea>
    </chartFormat>
    <chartFormat chart="1" format="55" series="1">
      <pivotArea type="data" outline="0" fieldPosition="0">
        <references count="2">
          <reference field="4294967294" count="1" selected="0">
            <x v="0"/>
          </reference>
          <reference field="3" count="1" selected="0">
            <x v="24"/>
          </reference>
        </references>
      </pivotArea>
    </chartFormat>
    <chartFormat chart="1" format="56" series="1">
      <pivotArea type="data" outline="0" fieldPosition="0">
        <references count="2">
          <reference field="4294967294" count="1" selected="0">
            <x v="0"/>
          </reference>
          <reference field="3" count="1" selected="0">
            <x v="25"/>
          </reference>
        </references>
      </pivotArea>
    </chartFormat>
    <chartFormat chart="1" format="57" series="1">
      <pivotArea type="data" outline="0" fieldPosition="0">
        <references count="2">
          <reference field="4294967294" count="1" selected="0">
            <x v="0"/>
          </reference>
          <reference field="3" count="1" selected="0">
            <x v="26"/>
          </reference>
        </references>
      </pivotArea>
    </chartFormat>
    <chartFormat chart="1" format="58" series="1">
      <pivotArea type="data" outline="0" fieldPosition="0">
        <references count="2">
          <reference field="4294967294" count="1" selected="0">
            <x v="0"/>
          </reference>
          <reference field="3" count="1" selected="0">
            <x v="27"/>
          </reference>
        </references>
      </pivotArea>
    </chartFormat>
    <chartFormat chart="1" format="59" series="1">
      <pivotArea type="data" outline="0" fieldPosition="0">
        <references count="2">
          <reference field="4294967294" count="1" selected="0">
            <x v="0"/>
          </reference>
          <reference field="3" count="1" selected="0">
            <x v="28"/>
          </reference>
        </references>
      </pivotArea>
    </chartFormat>
    <chartFormat chart="1" format="60" series="1">
      <pivotArea type="data" outline="0" fieldPosition="0">
        <references count="2">
          <reference field="4294967294" count="1" selected="0">
            <x v="0"/>
          </reference>
          <reference field="3" count="1" selected="0">
            <x v="29"/>
          </reference>
        </references>
      </pivotArea>
    </chartFormat>
    <chartFormat chart="1" format="61" series="1">
      <pivotArea type="data" outline="0" fieldPosition="0">
        <references count="2">
          <reference field="4294967294" count="1" selected="0">
            <x v="0"/>
          </reference>
          <reference field="3" count="1" selected="0">
            <x v="30"/>
          </reference>
        </references>
      </pivotArea>
    </chartFormat>
    <chartFormat chart="1" format="62" series="1">
      <pivotArea type="data" outline="0" fieldPosition="0">
        <references count="2">
          <reference field="4294967294" count="1" selected="0">
            <x v="0"/>
          </reference>
          <reference field="3" count="1" selected="0">
            <x v="31"/>
          </reference>
        </references>
      </pivotArea>
    </chartFormat>
    <chartFormat chart="1" format="63"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6B9160-FCB7-4F44-8795-F2BDB76FE505}"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C6:F57" firstHeaderRow="0" firstDataRow="1" firstDataCol="1"/>
  <pivotFields count="5">
    <pivotField axis="axisRow" showAll="0">
      <items count="122">
        <item x="0"/>
        <item x="1"/>
        <item x="2"/>
        <item x="3"/>
        <item x="4"/>
        <item x="119"/>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m="1" x="120"/>
        <item x="58"/>
        <item x="59"/>
        <item x="60"/>
        <item x="61"/>
        <item x="62"/>
        <item x="57"/>
        <item x="63"/>
        <item x="64"/>
        <item x="65"/>
        <item x="66"/>
        <item x="67"/>
        <item x="68"/>
        <item x="69"/>
        <item x="79"/>
        <item x="71"/>
        <item x="70"/>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axis="axisRow" showAll="0">
      <items count="28">
        <item h="1" x="0"/>
        <item h="1" x="25"/>
        <item h="1" x="1"/>
        <item h="1" x="2"/>
        <item h="1" x="3"/>
        <item h="1" x="4"/>
        <item h="1" x="5"/>
        <item h="1" x="6"/>
        <item h="1" x="7"/>
        <item h="1" x="8"/>
        <item h="1" x="9"/>
        <item h="1" x="10"/>
        <item h="1" x="11"/>
        <item h="1" m="1" x="26"/>
        <item h="1" x="12"/>
        <item h="1" x="13"/>
        <item h="1" x="14"/>
        <item h="1" x="16"/>
        <item h="1" x="15"/>
        <item h="1" x="17"/>
        <item h="1" x="18"/>
        <item h="1" x="19"/>
        <item x="20"/>
        <item x="21"/>
        <item x="22"/>
        <item x="23"/>
        <item x="24"/>
        <item t="default"/>
      </items>
    </pivotField>
    <pivotField dataField="1" showAll="0"/>
    <pivotField dataField="1" showAll="0"/>
    <pivotField dataField="1" showAll="0"/>
  </pivotFields>
  <rowFields count="2">
    <field x="0"/>
    <field x="1"/>
  </rowFields>
  <rowItems count="51">
    <i>
      <x v="96"/>
    </i>
    <i r="1">
      <x v="22"/>
    </i>
    <i>
      <x v="97"/>
    </i>
    <i r="1">
      <x v="22"/>
    </i>
    <i>
      <x v="98"/>
    </i>
    <i r="1">
      <x v="22"/>
    </i>
    <i>
      <x v="99"/>
    </i>
    <i r="1">
      <x v="22"/>
    </i>
    <i>
      <x v="100"/>
    </i>
    <i r="1">
      <x v="22"/>
    </i>
    <i>
      <x v="101"/>
    </i>
    <i r="1">
      <x v="23"/>
    </i>
    <i>
      <x v="102"/>
    </i>
    <i r="1">
      <x v="23"/>
    </i>
    <i>
      <x v="103"/>
    </i>
    <i r="1">
      <x v="23"/>
    </i>
    <i>
      <x v="104"/>
    </i>
    <i r="1">
      <x v="23"/>
    </i>
    <i>
      <x v="105"/>
    </i>
    <i r="1">
      <x v="23"/>
    </i>
    <i>
      <x v="106"/>
    </i>
    <i r="1">
      <x v="24"/>
    </i>
    <i>
      <x v="107"/>
    </i>
    <i r="1">
      <x v="24"/>
    </i>
    <i>
      <x v="108"/>
    </i>
    <i r="1">
      <x v="24"/>
    </i>
    <i>
      <x v="109"/>
    </i>
    <i r="1">
      <x v="24"/>
    </i>
    <i>
      <x v="110"/>
    </i>
    <i r="1">
      <x v="24"/>
    </i>
    <i>
      <x v="111"/>
    </i>
    <i r="1">
      <x v="25"/>
    </i>
    <i>
      <x v="112"/>
    </i>
    <i r="1">
      <x v="25"/>
    </i>
    <i>
      <x v="113"/>
    </i>
    <i r="1">
      <x v="25"/>
    </i>
    <i>
      <x v="114"/>
    </i>
    <i r="1">
      <x v="25"/>
    </i>
    <i>
      <x v="115"/>
    </i>
    <i r="1">
      <x v="25"/>
    </i>
    <i>
      <x v="116"/>
    </i>
    <i r="1">
      <x v="26"/>
    </i>
    <i>
      <x v="117"/>
    </i>
    <i r="1">
      <x v="26"/>
    </i>
    <i>
      <x v="118"/>
    </i>
    <i r="1">
      <x v="26"/>
    </i>
    <i>
      <x v="119"/>
    </i>
    <i r="1">
      <x v="26"/>
    </i>
    <i>
      <x v="120"/>
    </i>
    <i r="1">
      <x v="26"/>
    </i>
    <i t="grand">
      <x/>
    </i>
  </rowItems>
  <colFields count="1">
    <field x="-2"/>
  </colFields>
  <colItems count="3">
    <i>
      <x/>
    </i>
    <i i="1">
      <x v="1"/>
    </i>
    <i i="2">
      <x v="2"/>
    </i>
  </colItems>
  <dataFields count="3">
    <dataField name="Sum of Open" fld="2" baseField="0" baseItem="0"/>
    <dataField name="Sum of Coyol/YES" fld="3" baseField="0" baseItem="0"/>
    <dataField name="Sum of Coyol/NO" fld="4"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1"/>
          </reference>
        </references>
      </pivotArea>
    </chartFormat>
    <chartFormat chart="3"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382254E-9D21-4ADC-899A-EBCE7EC04E6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C82:I89" firstHeaderRow="0" firstDataRow="1" firstDataCol="1"/>
  <pivotFields count="1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4">
        <item h="1" x="0"/>
        <item x="1"/>
        <item h="1" x="2"/>
        <item t="default"/>
      </items>
    </pivotField>
    <pivotField showAll="0"/>
    <pivotField dataField="1" showAll="0"/>
    <pivotField dataField="1" showAll="0"/>
    <pivotField dataField="1" showAll="0"/>
    <pivotField dataField="1" showAll="0"/>
    <pivotField dataField="1" showAll="0"/>
    <pivotField dataField="1" showAll="0"/>
    <pivotField axis="axisRow" showAll="0">
      <items count="15">
        <item x="0"/>
        <item x="1"/>
        <item x="2"/>
        <item x="3"/>
        <item x="4"/>
        <item x="5"/>
        <item x="6"/>
        <item x="7"/>
        <item x="8"/>
        <item x="9"/>
        <item x="10"/>
        <item x="11"/>
        <item x="12"/>
        <item x="13"/>
        <item t="default"/>
      </items>
    </pivotField>
  </pivotFields>
  <rowFields count="3">
    <field x="9"/>
    <field x="1"/>
    <field x="0"/>
  </rowFields>
  <rowItems count="7">
    <i>
      <x v="6"/>
    </i>
    <i r="1">
      <x v="1"/>
    </i>
    <i r="2">
      <x v="157"/>
    </i>
    <i r="2">
      <x v="158"/>
    </i>
    <i r="2">
      <x v="159"/>
    </i>
    <i r="2">
      <x v="160"/>
    </i>
    <i t="grand">
      <x/>
    </i>
  </rowItems>
  <colFields count="1">
    <field x="-2"/>
  </colFields>
  <colItems count="6">
    <i>
      <x/>
    </i>
    <i i="1">
      <x v="1"/>
    </i>
    <i i="2">
      <x v="2"/>
    </i>
    <i i="3">
      <x v="3"/>
    </i>
    <i i="4">
      <x v="4"/>
    </i>
    <i i="5">
      <x v="5"/>
    </i>
  </colItems>
  <dataFields count="6">
    <dataField name="Sum of 15-7 Aging" fld="5" baseField="0" baseItem="0"/>
    <dataField name="Sum of SFMD 45-50 Aging" fld="6" baseField="0" baseItem="0"/>
    <dataField name="Sum of Over 30" fld="7" baseField="0" baseItem="0"/>
    <dataField name="Sum of SFMD Over Aging" fld="8" baseField="0" baseItem="0"/>
    <dataField name="Sum of 15-19 Aging" fld="4" baseField="0" baseItem="0"/>
    <dataField name="Sum of 20-30 Aging" fld="3" baseField="0" baseItem="0"/>
  </dataFields>
  <chartFormats count="24">
    <chartFormat chart="0" format="14"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3"/>
          </reference>
        </references>
      </pivotArea>
    </chartFormat>
    <chartFormat chart="0" format="18" series="1">
      <pivotArea type="data" outline="0" fieldPosition="0">
        <references count="1">
          <reference field="4294967294" count="1" selected="0">
            <x v="4"/>
          </reference>
        </references>
      </pivotArea>
    </chartFormat>
    <chartFormat chart="0" format="19" series="1">
      <pivotArea type="data" outline="0" fieldPosition="0">
        <references count="1">
          <reference field="4294967294" count="1" selected="0">
            <x v="5"/>
          </reference>
        </references>
      </pivotArea>
    </chartFormat>
    <chartFormat chart="0" format="20" series="1">
      <pivotArea type="data" outline="0" fieldPosition="0">
        <references count="1">
          <reference field="4294967294" count="1" selected="0">
            <x v="2"/>
          </reference>
        </references>
      </pivotArea>
    </chartFormat>
    <chartFormat chart="0" format="22" series="1">
      <pivotArea type="data" outline="0" fieldPosition="0">
        <references count="2">
          <reference field="4294967294" count="1" selected="0">
            <x v="1"/>
          </reference>
          <reference field="0" count="1" selected="0">
            <x v="159"/>
          </reference>
        </references>
      </pivotArea>
    </chartFormat>
    <chartFormat chart="0" format="23" series="1">
      <pivotArea type="data" outline="0" fieldPosition="0">
        <references count="2">
          <reference field="4294967294" count="1" selected="0">
            <x v="1"/>
          </reference>
          <reference field="0" count="1" selected="0">
            <x v="160"/>
          </reference>
        </references>
      </pivotArea>
    </chartFormat>
    <chartFormat chart="0" format="24" series="1">
      <pivotArea type="data" outline="0" fieldPosition="0">
        <references count="2">
          <reference field="4294967294" count="1" selected="0">
            <x v="2"/>
          </reference>
          <reference field="0" count="1" selected="0">
            <x v="157"/>
          </reference>
        </references>
      </pivotArea>
    </chartFormat>
    <chartFormat chart="0" format="25" series="1">
      <pivotArea type="data" outline="0" fieldPosition="0">
        <references count="2">
          <reference field="4294967294" count="1" selected="0">
            <x v="2"/>
          </reference>
          <reference field="0" count="1" selected="0">
            <x v="158"/>
          </reference>
        </references>
      </pivotArea>
    </chartFormat>
    <chartFormat chart="0" format="26" series="1">
      <pivotArea type="data" outline="0" fieldPosition="0">
        <references count="2">
          <reference field="4294967294" count="1" selected="0">
            <x v="2"/>
          </reference>
          <reference field="0" count="1" selected="0">
            <x v="159"/>
          </reference>
        </references>
      </pivotArea>
    </chartFormat>
    <chartFormat chart="0" format="27" series="1">
      <pivotArea type="data" outline="0" fieldPosition="0">
        <references count="2">
          <reference field="4294967294" count="1" selected="0">
            <x v="2"/>
          </reference>
          <reference field="0" count="1" selected="0">
            <x v="160"/>
          </reference>
        </references>
      </pivotArea>
    </chartFormat>
    <chartFormat chart="0" format="28" series="1">
      <pivotArea type="data" outline="0" fieldPosition="0">
        <references count="2">
          <reference field="4294967294" count="1" selected="0">
            <x v="3"/>
          </reference>
          <reference field="0" count="1" selected="0">
            <x v="157"/>
          </reference>
        </references>
      </pivotArea>
    </chartFormat>
    <chartFormat chart="0" format="29" series="1">
      <pivotArea type="data" outline="0" fieldPosition="0">
        <references count="2">
          <reference field="4294967294" count="1" selected="0">
            <x v="3"/>
          </reference>
          <reference field="0" count="1" selected="0">
            <x v="158"/>
          </reference>
        </references>
      </pivotArea>
    </chartFormat>
    <chartFormat chart="0" format="30" series="1">
      <pivotArea type="data" outline="0" fieldPosition="0">
        <references count="2">
          <reference field="4294967294" count="1" selected="0">
            <x v="3"/>
          </reference>
          <reference field="0" count="1" selected="0">
            <x v="159"/>
          </reference>
        </references>
      </pivotArea>
    </chartFormat>
    <chartFormat chart="0" format="31" series="1">
      <pivotArea type="data" outline="0" fieldPosition="0">
        <references count="2">
          <reference field="4294967294" count="1" selected="0">
            <x v="3"/>
          </reference>
          <reference field="0" count="1" selected="0">
            <x v="160"/>
          </reference>
        </references>
      </pivotArea>
    </chartFormat>
    <chartFormat chart="0" format="32" series="1">
      <pivotArea type="data" outline="0" fieldPosition="0">
        <references count="2">
          <reference field="4294967294" count="1" selected="0">
            <x v="4"/>
          </reference>
          <reference field="0" count="1" selected="0">
            <x v="157"/>
          </reference>
        </references>
      </pivotArea>
    </chartFormat>
    <chartFormat chart="0" format="33" series="1">
      <pivotArea type="data" outline="0" fieldPosition="0">
        <references count="2">
          <reference field="4294967294" count="1" selected="0">
            <x v="4"/>
          </reference>
          <reference field="0" count="1" selected="0">
            <x v="158"/>
          </reference>
        </references>
      </pivotArea>
    </chartFormat>
    <chartFormat chart="0" format="34" series="1">
      <pivotArea type="data" outline="0" fieldPosition="0">
        <references count="2">
          <reference field="4294967294" count="1" selected="0">
            <x v="4"/>
          </reference>
          <reference field="0" count="1" selected="0">
            <x v="159"/>
          </reference>
        </references>
      </pivotArea>
    </chartFormat>
    <chartFormat chart="0" format="35" series="1">
      <pivotArea type="data" outline="0" fieldPosition="0">
        <references count="2">
          <reference field="4294967294" count="1" selected="0">
            <x v="4"/>
          </reference>
          <reference field="0" count="1" selected="0">
            <x v="160"/>
          </reference>
        </references>
      </pivotArea>
    </chartFormat>
    <chartFormat chart="0" format="36" series="1">
      <pivotArea type="data" outline="0" fieldPosition="0">
        <references count="2">
          <reference field="4294967294" count="1" selected="0">
            <x v="5"/>
          </reference>
          <reference field="0" count="1" selected="0">
            <x v="157"/>
          </reference>
        </references>
      </pivotArea>
    </chartFormat>
    <chartFormat chart="0" format="37" series="1">
      <pivotArea type="data" outline="0" fieldPosition="0">
        <references count="2">
          <reference field="4294967294" count="1" selected="0">
            <x v="5"/>
          </reference>
          <reference field="0" count="1" selected="0">
            <x v="158"/>
          </reference>
        </references>
      </pivotArea>
    </chartFormat>
    <chartFormat chart="0" format="38" series="1">
      <pivotArea type="data" outline="0" fieldPosition="0">
        <references count="2">
          <reference field="4294967294" count="1" selected="0">
            <x v="5"/>
          </reference>
          <reference field="0" count="1" selected="0">
            <x v="159"/>
          </reference>
        </references>
      </pivotArea>
    </chartFormat>
    <chartFormat chart="0" format="39" series="1">
      <pivotArea type="data" outline="0" fieldPosition="0">
        <references count="2">
          <reference field="4294967294" count="1" selected="0">
            <x v="5"/>
          </reference>
          <reference field="0" count="1" selected="0">
            <x v="16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2EE0132-1900-4648-A310-CA99D4AB5FC7}" name="PivotTable7"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I11:BJ62" firstHeaderRow="1" firstDataRow="1" firstDataCol="1"/>
  <pivotFields count="4">
    <pivotField axis="axisRow" showAll="0">
      <items count="121">
        <item x="0"/>
        <item x="1"/>
        <item x="2"/>
        <item x="3"/>
        <item x="4"/>
        <item x="5"/>
        <item x="6"/>
        <item x="7"/>
        <item x="8"/>
        <item x="9"/>
        <item x="11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9"/>
        <item x="71"/>
        <item x="70"/>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showAll="0">
      <items count="27">
        <item h="1" x="0"/>
        <item h="1" x="1"/>
        <item h="1" x="2"/>
        <item h="1" x="3"/>
        <item h="1" x="4"/>
        <item h="1" x="5"/>
        <item h="1" x="6"/>
        <item h="1" x="7"/>
        <item h="1" x="8"/>
        <item h="1" x="9"/>
        <item h="1" x="10"/>
        <item h="1" x="11"/>
        <item h="1" x="12"/>
        <item h="1" x="13"/>
        <item h="1" x="14"/>
        <item h="1" x="15"/>
        <item h="1" x="16"/>
        <item h="1" x="17"/>
        <item h="1" x="18"/>
        <item h="1" x="19"/>
        <item x="20"/>
        <item x="21"/>
        <item x="22"/>
        <item x="23"/>
        <item x="24"/>
        <item h="1" x="25"/>
        <item t="default"/>
      </items>
    </pivotField>
    <pivotField axis="axisRow" showAll="0">
      <items count="8">
        <item x="3"/>
        <item h="1" x="0"/>
        <item h="1" x="2"/>
        <item h="1" x="4"/>
        <item h="1" x="1"/>
        <item h="1" x="5"/>
        <item h="1" x="6"/>
        <item t="default"/>
      </items>
    </pivotField>
    <pivotField dataField="1" showAll="0"/>
  </pivotFields>
  <rowFields count="2">
    <field x="0"/>
    <field x="2"/>
  </rowFields>
  <rowItems count="51">
    <i>
      <x v="95"/>
    </i>
    <i r="1">
      <x/>
    </i>
    <i>
      <x v="96"/>
    </i>
    <i r="1">
      <x/>
    </i>
    <i>
      <x v="97"/>
    </i>
    <i r="1">
      <x/>
    </i>
    <i>
      <x v="98"/>
    </i>
    <i r="1">
      <x/>
    </i>
    <i>
      <x v="99"/>
    </i>
    <i r="1">
      <x/>
    </i>
    <i>
      <x v="100"/>
    </i>
    <i r="1">
      <x/>
    </i>
    <i>
      <x v="101"/>
    </i>
    <i r="1">
      <x/>
    </i>
    <i>
      <x v="102"/>
    </i>
    <i r="1">
      <x/>
    </i>
    <i>
      <x v="103"/>
    </i>
    <i r="1">
      <x/>
    </i>
    <i>
      <x v="104"/>
    </i>
    <i r="1">
      <x/>
    </i>
    <i>
      <x v="105"/>
    </i>
    <i r="1">
      <x/>
    </i>
    <i>
      <x v="106"/>
    </i>
    <i r="1">
      <x/>
    </i>
    <i>
      <x v="107"/>
    </i>
    <i r="1">
      <x/>
    </i>
    <i>
      <x v="108"/>
    </i>
    <i r="1">
      <x/>
    </i>
    <i>
      <x v="109"/>
    </i>
    <i r="1">
      <x/>
    </i>
    <i>
      <x v="110"/>
    </i>
    <i r="1">
      <x/>
    </i>
    <i>
      <x v="111"/>
    </i>
    <i r="1">
      <x/>
    </i>
    <i>
      <x v="112"/>
    </i>
    <i r="1">
      <x/>
    </i>
    <i>
      <x v="113"/>
    </i>
    <i r="1">
      <x/>
    </i>
    <i>
      <x v="114"/>
    </i>
    <i r="1">
      <x/>
    </i>
    <i>
      <x v="115"/>
    </i>
    <i r="1">
      <x/>
    </i>
    <i>
      <x v="116"/>
    </i>
    <i r="1">
      <x/>
    </i>
    <i>
      <x v="117"/>
    </i>
    <i r="1">
      <x/>
    </i>
    <i>
      <x v="118"/>
    </i>
    <i r="1">
      <x/>
    </i>
    <i>
      <x v="119"/>
    </i>
    <i r="1">
      <x/>
    </i>
    <i t="grand">
      <x/>
    </i>
  </rowItems>
  <colItems count="1">
    <i/>
  </colItems>
  <dataFields count="1">
    <dataField name="Sum of Total" fld="3" baseField="0" baseItem="0"/>
  </dataFields>
  <chartFormats count="4">
    <chartFormat chart="1" format="1"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CA604D66-1D48-4CC3-B2FA-D8DBA1B1DFCF}" sourceName="Week">
  <data>
    <tabular pivotCacheId="436116239">
      <items count="4">
        <i x="3"/>
        <i x="0"/>
        <i x="2"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3" xr10:uid="{C01E3A59-3B72-4982-ACAB-22595DBD0DD5}" sourceName="Week">
  <data>
    <tabular pivotCacheId="530792802">
      <items count="3">
        <i x="0" s="1"/>
        <i x="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2" xr10:uid="{4B2FC34C-6AAF-4CA4-9225-905EEA66CFAC}" sourceName="Week">
  <pivotTables>
    <pivotTable tabId="9" name="PivotTable5"/>
  </pivotTables>
  <data>
    <tabular pivotCacheId="1103870055">
      <items count="27">
        <i x="0"/>
        <i x="1"/>
        <i x="2"/>
        <i x="3"/>
        <i x="4"/>
        <i x="5"/>
        <i x="6"/>
        <i x="7"/>
        <i x="8"/>
        <i x="9"/>
        <i x="10"/>
        <i x="11"/>
        <i x="12"/>
        <i x="13"/>
        <i x="14"/>
        <i x="15"/>
        <i x="16"/>
        <i x="17"/>
        <i x="18"/>
        <i x="19"/>
        <i x="20" s="1"/>
        <i x="21" s="1"/>
        <i x="22" s="1"/>
        <i x="23" s="1"/>
        <i x="24" s="1"/>
        <i x="26" nd="1"/>
        <i x="2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CC176EAB-07AD-47C7-AEB0-44DDF43FB814}" sourceName="Week">
  <pivotTables>
    <pivotTable tabId="9" name="PivotTable7"/>
  </pivotTables>
  <data>
    <tabular pivotCacheId="1654186819">
      <items count="26">
        <i x="0"/>
        <i x="1"/>
        <i x="2"/>
        <i x="3"/>
        <i x="4"/>
        <i x="5"/>
        <i x="6"/>
        <i x="7"/>
        <i x="8"/>
        <i x="9"/>
        <i x="10"/>
        <i x="11"/>
        <i x="12"/>
        <i x="13"/>
        <i x="14"/>
        <i x="15"/>
        <i x="16"/>
        <i x="17"/>
        <i x="18"/>
        <i x="19"/>
        <i x="20" s="1"/>
        <i x="21" s="1"/>
        <i x="22" s="1"/>
        <i x="23" s="1"/>
        <i x="24" s="1"/>
        <i x="25"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vice" xr10:uid="{55B99BB6-2CED-4451-856E-26FF7002F547}" sourceName="Device">
  <pivotTables>
    <pivotTable tabId="9" name="PivotTable7"/>
  </pivotTables>
  <data>
    <tabular pivotCacheId="1654186819">
      <items count="7">
        <i x="3" s="1"/>
        <i x="0"/>
        <i x="2"/>
        <i x="4"/>
        <i x="1"/>
        <i x="5"/>
        <i x="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1" xr10:uid="{486B736A-B310-4465-BF8D-7FD1BEF8E79C}" cache="Slicer_Week2" caption="Week" startItem="18"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2" xr10:uid="{A5B68D85-0184-47CB-B48B-06D3C98761D5}" cache="Slicer_Week1" caption="Week" startItem="18" rowHeight="241300"/>
  <slicer name="Device" xr10:uid="{25D992EE-06BB-4266-A153-A812C3D555BE}" cache="Slicer_Device" caption="Devic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xr10:uid="{D9AFC368-4F4D-4212-85F6-779636F0A01F}" cache="Slicer_Week" caption="Week" rowHeight="241300"/>
  <slicer name="Week 3" xr10:uid="{B0A409D9-CB32-4D25-895C-4264535575B6}" cache="Slicer_Week3" caption="Week"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3.xml"/><Relationship Id="rId5" Type="http://schemas.openxmlformats.org/officeDocument/2006/relationships/drawing" Target="../drawings/drawing4.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123A8-458F-4953-BEDE-929695690240}">
  <sheetPr codeName="Sheet1"/>
  <dimension ref="AA1:AB2"/>
  <sheetViews>
    <sheetView topLeftCell="B1" zoomScaleNormal="100" workbookViewId="0">
      <selection activeCell="X16" sqref="X16"/>
    </sheetView>
  </sheetViews>
  <sheetFormatPr defaultRowHeight="15" x14ac:dyDescent="0.25"/>
  <cols>
    <col min="27" max="27" width="20.5703125" bestFit="1" customWidth="1"/>
  </cols>
  <sheetData>
    <row r="1" spans="27:28" x14ac:dyDescent="0.25">
      <c r="AA1" s="14">
        <v>6</v>
      </c>
      <c r="AB1" s="4"/>
    </row>
    <row r="2" spans="27:28" x14ac:dyDescent="0.25">
      <c r="AA2" s="14" t="s">
        <v>2425</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04F7E-8B02-4E65-B44C-4FE2731B0433}">
  <sheetPr codeName="Sheet10"/>
  <dimension ref="A1"/>
  <sheetViews>
    <sheetView zoomScale="70" zoomScaleNormal="70" workbookViewId="0">
      <selection activeCell="AD37" sqref="AD37"/>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FED0E-266D-4CF5-A4FC-9FCE77E2CF39}">
  <sheetPr codeName="Sheet12"/>
  <dimension ref="X1:AI24"/>
  <sheetViews>
    <sheetView tabSelected="1" topLeftCell="C1" zoomScale="85" zoomScaleNormal="85" workbookViewId="0">
      <selection activeCell="Z27" sqref="Z27"/>
    </sheetView>
  </sheetViews>
  <sheetFormatPr defaultRowHeight="15" x14ac:dyDescent="0.25"/>
  <cols>
    <col min="24" max="24" width="40.42578125" bestFit="1" customWidth="1"/>
    <col min="26" max="26" width="50.5703125" bestFit="1" customWidth="1"/>
    <col min="28" max="28" width="46.42578125" bestFit="1" customWidth="1"/>
    <col min="30" max="30" width="40.42578125" bestFit="1" customWidth="1"/>
    <col min="32" max="32" width="41.42578125" bestFit="1" customWidth="1"/>
    <col min="34" max="34" width="48.42578125" bestFit="1" customWidth="1"/>
  </cols>
  <sheetData>
    <row r="1" spans="24:35" x14ac:dyDescent="0.25">
      <c r="X1" s="30" t="s">
        <v>2280</v>
      </c>
      <c r="Y1" s="30"/>
      <c r="Z1" s="30" t="s">
        <v>2281</v>
      </c>
      <c r="AA1" s="30"/>
      <c r="AB1" s="30" t="s">
        <v>2398</v>
      </c>
      <c r="AC1" s="30"/>
      <c r="AD1" s="30" t="s">
        <v>2399</v>
      </c>
      <c r="AE1" s="30"/>
      <c r="AF1" s="30" t="s">
        <v>2457</v>
      </c>
      <c r="AG1" s="30"/>
      <c r="AH1" s="19" t="s">
        <v>2262</v>
      </c>
      <c r="AI1" s="19"/>
    </row>
    <row r="2" spans="24:35" x14ac:dyDescent="0.25">
      <c r="X2" s="19" t="s">
        <v>2261</v>
      </c>
      <c r="Y2" s="19" t="s">
        <v>2279</v>
      </c>
      <c r="Z2" s="19" t="s">
        <v>2261</v>
      </c>
      <c r="AA2" s="19" t="s">
        <v>2279</v>
      </c>
      <c r="AB2" s="19" t="s">
        <v>2261</v>
      </c>
      <c r="AC2" s="19" t="s">
        <v>2279</v>
      </c>
      <c r="AD2" s="19" t="s">
        <v>2261</v>
      </c>
      <c r="AE2" s="19" t="s">
        <v>2279</v>
      </c>
      <c r="AF2" s="19" t="s">
        <v>2261</v>
      </c>
      <c r="AG2" s="19" t="s">
        <v>2279</v>
      </c>
      <c r="AH2" s="19" t="s">
        <v>2261</v>
      </c>
      <c r="AI2" s="19" t="s">
        <v>2279</v>
      </c>
    </row>
    <row r="3" spans="24:35" x14ac:dyDescent="0.25">
      <c r="X3" t="s">
        <v>31</v>
      </c>
      <c r="Y3" s="19">
        <v>108</v>
      </c>
      <c r="Z3" t="s">
        <v>31</v>
      </c>
      <c r="AA3">
        <v>127</v>
      </c>
      <c r="AB3" t="s">
        <v>31</v>
      </c>
      <c r="AC3">
        <v>129</v>
      </c>
      <c r="AD3" t="s">
        <v>31</v>
      </c>
      <c r="AE3">
        <v>162</v>
      </c>
      <c r="AF3" t="s">
        <v>31</v>
      </c>
      <c r="AG3">
        <v>113</v>
      </c>
      <c r="AH3" t="s">
        <v>31</v>
      </c>
      <c r="AI3" s="20">
        <f>Y3+AA3+AC3+AE3+AG3</f>
        <v>639</v>
      </c>
    </row>
    <row r="4" spans="24:35" x14ac:dyDescent="0.25">
      <c r="X4" t="s">
        <v>7</v>
      </c>
      <c r="Y4" s="19">
        <v>80</v>
      </c>
      <c r="Z4" t="s">
        <v>7</v>
      </c>
      <c r="AA4">
        <v>99</v>
      </c>
      <c r="AB4" t="s">
        <v>2</v>
      </c>
      <c r="AC4">
        <v>105</v>
      </c>
      <c r="AD4" t="s">
        <v>2</v>
      </c>
      <c r="AE4">
        <v>136</v>
      </c>
      <c r="AF4" t="s">
        <v>2</v>
      </c>
      <c r="AG4">
        <v>90</v>
      </c>
      <c r="AH4" t="s">
        <v>7</v>
      </c>
      <c r="AI4" s="20">
        <f>Y4+AA4+AC6+AE6+AG6</f>
        <v>479</v>
      </c>
    </row>
    <row r="5" spans="24:35" x14ac:dyDescent="0.25">
      <c r="X5" t="s">
        <v>2</v>
      </c>
      <c r="Y5" s="19">
        <v>74</v>
      </c>
      <c r="Z5" t="s">
        <v>2</v>
      </c>
      <c r="AA5">
        <v>94</v>
      </c>
      <c r="AB5" t="s">
        <v>5</v>
      </c>
      <c r="AC5">
        <v>97</v>
      </c>
      <c r="AD5" t="s">
        <v>5</v>
      </c>
      <c r="AE5">
        <v>128</v>
      </c>
      <c r="AF5" t="s">
        <v>5</v>
      </c>
      <c r="AG5">
        <v>82</v>
      </c>
      <c r="AH5" t="s">
        <v>9</v>
      </c>
      <c r="AI5" s="20">
        <f>Y8+AA7+AC7+AE7+AG7</f>
        <v>398</v>
      </c>
    </row>
    <row r="6" spans="24:35" x14ac:dyDescent="0.25">
      <c r="X6" t="s">
        <v>8</v>
      </c>
      <c r="Y6" s="19">
        <v>73</v>
      </c>
      <c r="Z6" t="s">
        <v>5</v>
      </c>
      <c r="AA6">
        <v>87</v>
      </c>
      <c r="AB6" t="s">
        <v>7</v>
      </c>
      <c r="AC6">
        <v>93</v>
      </c>
      <c r="AD6" t="s">
        <v>7</v>
      </c>
      <c r="AE6">
        <v>125</v>
      </c>
      <c r="AF6" t="s">
        <v>7</v>
      </c>
      <c r="AG6">
        <v>82</v>
      </c>
      <c r="AH6" t="s">
        <v>2</v>
      </c>
      <c r="AI6" s="20">
        <f>Y5+AA5+AC4+AE4+AG4</f>
        <v>499</v>
      </c>
    </row>
    <row r="7" spans="24:35" x14ac:dyDescent="0.25">
      <c r="X7" t="s">
        <v>5</v>
      </c>
      <c r="Y7" s="19">
        <v>70</v>
      </c>
      <c r="Z7" t="s">
        <v>9</v>
      </c>
      <c r="AA7">
        <v>74</v>
      </c>
      <c r="AB7" t="s">
        <v>9</v>
      </c>
      <c r="AC7">
        <v>74</v>
      </c>
      <c r="AD7" t="s">
        <v>9</v>
      </c>
      <c r="AE7">
        <v>102</v>
      </c>
      <c r="AF7" t="s">
        <v>9</v>
      </c>
      <c r="AG7">
        <v>81</v>
      </c>
      <c r="AH7" t="s">
        <v>5</v>
      </c>
      <c r="AI7" s="20">
        <f>Y7+AA6+AC5+AE5+AG5</f>
        <v>464</v>
      </c>
    </row>
    <row r="8" spans="24:35" x14ac:dyDescent="0.25">
      <c r="X8" t="s">
        <v>9</v>
      </c>
      <c r="Y8" s="19">
        <v>67</v>
      </c>
      <c r="Z8" t="s">
        <v>8</v>
      </c>
      <c r="AA8">
        <v>66</v>
      </c>
      <c r="AB8" t="s">
        <v>8</v>
      </c>
      <c r="AC8">
        <v>51</v>
      </c>
      <c r="AD8" t="s">
        <v>8</v>
      </c>
      <c r="AE8">
        <v>77</v>
      </c>
      <c r="AF8" t="s">
        <v>8</v>
      </c>
      <c r="AG8">
        <v>63</v>
      </c>
      <c r="AH8" t="s">
        <v>8</v>
      </c>
      <c r="AI8" s="20">
        <f>Y6+AA8+AC8+AE8+AG8</f>
        <v>330</v>
      </c>
    </row>
    <row r="9" spans="24:35" x14ac:dyDescent="0.25">
      <c r="X9" t="s">
        <v>38</v>
      </c>
      <c r="Y9" s="19">
        <v>24</v>
      </c>
      <c r="Z9" t="s">
        <v>61</v>
      </c>
      <c r="AA9">
        <v>27</v>
      </c>
      <c r="AB9" t="s">
        <v>61</v>
      </c>
      <c r="AC9">
        <v>31</v>
      </c>
      <c r="AD9" t="s">
        <v>18</v>
      </c>
      <c r="AE9">
        <v>35</v>
      </c>
      <c r="AF9" t="s">
        <v>18</v>
      </c>
      <c r="AG9">
        <v>23</v>
      </c>
      <c r="AH9" t="s">
        <v>1</v>
      </c>
      <c r="AI9" s="21">
        <f>Y11+AA12+AE12+AG12</f>
        <v>63</v>
      </c>
    </row>
    <row r="10" spans="24:35" x14ac:dyDescent="0.25">
      <c r="X10" t="s">
        <v>61</v>
      </c>
      <c r="Y10" s="19">
        <v>19</v>
      </c>
      <c r="Z10" t="s">
        <v>38</v>
      </c>
      <c r="AA10">
        <v>19</v>
      </c>
      <c r="AB10" t="s">
        <v>18</v>
      </c>
      <c r="AC10">
        <v>27</v>
      </c>
      <c r="AD10" t="s">
        <v>61</v>
      </c>
      <c r="AE10">
        <v>32</v>
      </c>
      <c r="AF10" t="s">
        <v>61</v>
      </c>
      <c r="AG10">
        <v>19</v>
      </c>
      <c r="AH10" t="s">
        <v>61</v>
      </c>
      <c r="AI10" s="21">
        <f>Y10+AA9+AC9+AE10+AG10</f>
        <v>128</v>
      </c>
    </row>
    <row r="11" spans="24:35" x14ac:dyDescent="0.25">
      <c r="X11" t="s">
        <v>1</v>
      </c>
      <c r="Y11" s="19">
        <v>15</v>
      </c>
      <c r="Z11" t="s">
        <v>18</v>
      </c>
      <c r="AA11">
        <v>19</v>
      </c>
      <c r="AB11" t="s">
        <v>38</v>
      </c>
      <c r="AC11">
        <v>22</v>
      </c>
      <c r="AD11" t="s">
        <v>38</v>
      </c>
      <c r="AE11">
        <v>27</v>
      </c>
      <c r="AF11" t="s">
        <v>38</v>
      </c>
      <c r="AG11">
        <v>17</v>
      </c>
      <c r="AH11" t="s">
        <v>38</v>
      </c>
      <c r="AI11" s="21">
        <f>AC11+AE11+Y9+AA10+AG11</f>
        <v>109</v>
      </c>
    </row>
    <row r="12" spans="24:35" x14ac:dyDescent="0.25">
      <c r="X12" t="s">
        <v>12</v>
      </c>
      <c r="Y12" s="19">
        <v>14</v>
      </c>
      <c r="Z12" t="s">
        <v>1</v>
      </c>
      <c r="AA12">
        <v>14</v>
      </c>
      <c r="AB12" t="s">
        <v>19</v>
      </c>
      <c r="AC12">
        <v>16</v>
      </c>
      <c r="AD12" t="s">
        <v>1</v>
      </c>
      <c r="AE12">
        <v>18</v>
      </c>
      <c r="AF12" t="s">
        <v>1</v>
      </c>
      <c r="AG12">
        <v>16</v>
      </c>
      <c r="AH12" t="s">
        <v>5</v>
      </c>
      <c r="AI12">
        <f>Y7+AA6+AC5+AE5+AG5</f>
        <v>464</v>
      </c>
    </row>
    <row r="13" spans="24:35" x14ac:dyDescent="0.25">
      <c r="X13" s="20"/>
      <c r="Y13" s="20"/>
      <c r="Z13" s="20"/>
      <c r="AA13" s="20"/>
      <c r="AB13" s="20"/>
      <c r="AC13" s="20"/>
      <c r="AD13" s="20"/>
      <c r="AE13" s="20"/>
      <c r="AF13" s="20"/>
      <c r="AG13" s="20"/>
    </row>
    <row r="14" spans="24:35" x14ac:dyDescent="0.25">
      <c r="X14" s="20"/>
      <c r="Y14" s="20"/>
      <c r="Z14" s="20"/>
      <c r="AA14" s="20"/>
      <c r="AB14" s="20"/>
      <c r="AC14" s="20"/>
      <c r="AD14" s="20"/>
      <c r="AE14" s="20"/>
      <c r="AF14" s="20"/>
      <c r="AG14" s="20"/>
    </row>
    <row r="15" spans="24:35" x14ac:dyDescent="0.25">
      <c r="X15" s="20"/>
      <c r="Y15" s="20"/>
      <c r="Z15" s="20"/>
      <c r="AA15" s="20"/>
      <c r="AB15" s="20"/>
      <c r="AC15" s="20"/>
      <c r="AD15" s="20"/>
      <c r="AE15" s="20"/>
      <c r="AF15" s="20"/>
      <c r="AG15" s="20"/>
    </row>
    <row r="16" spans="24:35" x14ac:dyDescent="0.25">
      <c r="X16" s="20"/>
      <c r="Y16" s="20"/>
      <c r="Z16" s="20"/>
      <c r="AA16" s="20"/>
      <c r="AB16" s="20"/>
      <c r="AC16" s="20"/>
      <c r="AD16" s="20"/>
      <c r="AE16" s="20"/>
      <c r="AF16" s="20"/>
      <c r="AG16" s="20"/>
    </row>
    <row r="17" spans="24:33" x14ac:dyDescent="0.25">
      <c r="X17" s="20"/>
      <c r="Y17" s="20"/>
      <c r="Z17" s="20"/>
      <c r="AA17" s="20"/>
      <c r="AB17" s="20"/>
      <c r="AC17" s="20"/>
      <c r="AD17" s="20"/>
      <c r="AE17" s="20"/>
      <c r="AF17" s="20"/>
      <c r="AG17" s="20"/>
    </row>
    <row r="18" spans="24:33" x14ac:dyDescent="0.25">
      <c r="X18" s="20"/>
      <c r="Y18" s="20"/>
      <c r="Z18" s="20"/>
      <c r="AA18" s="20"/>
      <c r="AB18" s="20"/>
      <c r="AC18" s="20"/>
      <c r="AD18" s="20"/>
      <c r="AE18" s="20"/>
      <c r="AF18" s="20"/>
      <c r="AG18" s="20"/>
    </row>
    <row r="19" spans="24:33" x14ac:dyDescent="0.25">
      <c r="X19" s="20"/>
      <c r="Y19" s="20"/>
      <c r="Z19" s="20"/>
      <c r="AA19" s="20"/>
      <c r="AB19" s="20"/>
      <c r="AC19" s="20"/>
      <c r="AD19" s="20"/>
      <c r="AE19" s="20"/>
      <c r="AF19" s="20"/>
      <c r="AG19" s="20"/>
    </row>
    <row r="20" spans="24:33" x14ac:dyDescent="0.25">
      <c r="X20" s="20"/>
      <c r="Y20" s="20"/>
      <c r="Z20" s="20"/>
      <c r="AA20" s="20"/>
      <c r="AB20" s="20"/>
      <c r="AC20" s="20"/>
      <c r="AD20" s="20"/>
      <c r="AE20" s="20"/>
      <c r="AF20" s="20"/>
      <c r="AG20" s="20"/>
    </row>
    <row r="21" spans="24:33" x14ac:dyDescent="0.25">
      <c r="X21" s="20"/>
      <c r="Y21" s="20"/>
      <c r="Z21" s="20"/>
      <c r="AA21" s="20"/>
      <c r="AB21" s="20"/>
      <c r="AC21" s="20"/>
      <c r="AD21" s="20"/>
      <c r="AE21" s="20"/>
      <c r="AF21" s="20"/>
      <c r="AG21" s="20"/>
    </row>
    <row r="22" spans="24:33" x14ac:dyDescent="0.25">
      <c r="X22" s="20"/>
      <c r="Y22" s="20"/>
      <c r="Z22" s="20"/>
      <c r="AA22" s="20"/>
      <c r="AB22" s="20"/>
      <c r="AC22" s="20"/>
      <c r="AD22" s="20"/>
      <c r="AE22" s="20"/>
      <c r="AF22" s="20"/>
      <c r="AG22" s="20"/>
    </row>
    <row r="23" spans="24:33" x14ac:dyDescent="0.25">
      <c r="X23" s="20"/>
      <c r="Y23" s="20"/>
      <c r="Z23" s="20"/>
      <c r="AA23" s="20"/>
      <c r="AB23" s="20"/>
      <c r="AC23" s="20"/>
      <c r="AD23" s="20"/>
      <c r="AE23" s="20"/>
      <c r="AF23" s="20"/>
      <c r="AG23" s="20"/>
    </row>
    <row r="24" spans="24:33" x14ac:dyDescent="0.25">
      <c r="X24" s="20"/>
      <c r="Y24" s="20"/>
      <c r="Z24" s="20"/>
      <c r="AA24" s="20"/>
      <c r="AB24" s="20"/>
      <c r="AC24" s="20"/>
      <c r="AD24" s="20"/>
      <c r="AE24" s="20"/>
      <c r="AF24" s="20"/>
      <c r="AG24" s="20"/>
    </row>
  </sheetData>
  <sortState xmlns:xlrd2="http://schemas.microsoft.com/office/spreadsheetml/2017/richdata2" ref="X3:AE12">
    <sortCondition descending="1" ref="AE3:AE12"/>
  </sortState>
  <mergeCells count="5">
    <mergeCell ref="X1:Y1"/>
    <mergeCell ref="Z1:AA1"/>
    <mergeCell ref="AB1:AC1"/>
    <mergeCell ref="AD1:AE1"/>
    <mergeCell ref="AF1:AG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86B1E-0F51-47CE-BD9E-DA69F54F01CF}">
  <sheetPr codeName="Sheet2"/>
  <dimension ref="A1:H2214"/>
  <sheetViews>
    <sheetView workbookViewId="0">
      <selection activeCell="G2" sqref="G2:G11"/>
    </sheetView>
  </sheetViews>
  <sheetFormatPr defaultRowHeight="15" x14ac:dyDescent="0.25"/>
  <cols>
    <col min="1" max="1" width="111.5703125" bestFit="1" customWidth="1"/>
    <col min="2" max="2" width="113.7109375" bestFit="1" customWidth="1"/>
    <col min="3" max="4" width="15.85546875" bestFit="1" customWidth="1"/>
    <col min="5" max="5" width="19.28515625" bestFit="1" customWidth="1"/>
    <col min="6" max="6" width="16.7109375" bestFit="1" customWidth="1"/>
    <col min="7" max="7" width="14.140625" bestFit="1" customWidth="1"/>
    <col min="8" max="8" width="11" bestFit="1" customWidth="1"/>
  </cols>
  <sheetData>
    <row r="1" spans="1:8" x14ac:dyDescent="0.25">
      <c r="A1" t="s">
        <v>34</v>
      </c>
      <c r="B1" t="s">
        <v>2215</v>
      </c>
      <c r="C1" t="s">
        <v>2216</v>
      </c>
      <c r="D1" t="s">
        <v>2217</v>
      </c>
      <c r="E1" t="s">
        <v>2218</v>
      </c>
      <c r="F1" t="s">
        <v>2219</v>
      </c>
      <c r="G1" t="s">
        <v>2220</v>
      </c>
      <c r="H1" t="s">
        <v>2226</v>
      </c>
    </row>
    <row r="2" spans="1:8" x14ac:dyDescent="0.25">
      <c r="A2" s="5" t="s">
        <v>31</v>
      </c>
      <c r="B2" t="str">
        <f>"*"&amp;A2&amp;"*"</f>
        <v>*2168: Oversensing*</v>
      </c>
      <c r="C2">
        <f>COUNTIF(Monday!I:I, B2)</f>
        <v>165</v>
      </c>
      <c r="D2">
        <f>COUNTIF(Tuesday!I:I, B2)</f>
        <v>125</v>
      </c>
      <c r="E2">
        <f>COUNTIF(Wednesday!I:I, B2)</f>
        <v>111</v>
      </c>
      <c r="F2">
        <f>COUNTIF(Thursday!I:I, B2)</f>
        <v>128</v>
      </c>
      <c r="G2">
        <f>COUNTIF(Friday!I:I, B2)</f>
        <v>113</v>
      </c>
      <c r="H2">
        <f>SUM(C2:G2)</f>
        <v>642</v>
      </c>
    </row>
    <row r="3" spans="1:8" x14ac:dyDescent="0.25">
      <c r="A3" s="5" t="s">
        <v>2</v>
      </c>
      <c r="B3" t="str">
        <f>"*"&amp;A3&amp;"*"</f>
        <v>*2233: Premature Discharge Of Battery*</v>
      </c>
      <c r="C3">
        <f>COUNTIF(Monday!I:I, B3)</f>
        <v>142</v>
      </c>
      <c r="D3">
        <f>COUNTIF(Tuesday!I:I, B3)</f>
        <v>92</v>
      </c>
      <c r="E3">
        <f>COUNTIF(Wednesday!I:I, B3)</f>
        <v>89</v>
      </c>
      <c r="F3">
        <f>COUNTIF(Thursday!I:I, B3)</f>
        <v>100</v>
      </c>
      <c r="G3">
        <f>COUNTIF(Friday!I:I, B3)</f>
        <v>90</v>
      </c>
      <c r="H3">
        <f>SUM(C3:G3)</f>
        <v>513</v>
      </c>
    </row>
    <row r="4" spans="1:8" x14ac:dyDescent="0.25">
      <c r="A4" s="5" t="s">
        <v>5</v>
      </c>
      <c r="B4" t="str">
        <f>"*"&amp;A4&amp;"*"</f>
        <v>*1224: Device Displays Error Message*</v>
      </c>
      <c r="C4">
        <f>COUNTIF(Monday!I:I, B4)</f>
        <v>134</v>
      </c>
      <c r="D4">
        <f>COUNTIF(Tuesday!I:I, B4)</f>
        <v>94</v>
      </c>
      <c r="E4">
        <f>COUNTIF(Wednesday!I:I, B4)</f>
        <v>88</v>
      </c>
      <c r="F4">
        <f>COUNTIF(Thursday!I:I, B4)</f>
        <v>93</v>
      </c>
      <c r="G4">
        <f>COUNTIF(Friday!I:I, B4)</f>
        <v>82</v>
      </c>
      <c r="H4">
        <f>SUM(C4:G4)</f>
        <v>491</v>
      </c>
    </row>
    <row r="5" spans="1:8" x14ac:dyDescent="0.25">
      <c r="A5" s="5" t="s">
        <v>7</v>
      </c>
      <c r="B5" t="str">
        <f>"*"&amp;A5&amp;"*"</f>
        <v>*1698: Inappropriate Shock*</v>
      </c>
      <c r="C5">
        <f>COUNTIF(Monday!I:I, B5)</f>
        <v>127</v>
      </c>
      <c r="D5">
        <f>COUNTIF(Tuesday!I:I, B5)</f>
        <v>92</v>
      </c>
      <c r="E5">
        <f>COUNTIF(Wednesday!I:I, B5)</f>
        <v>77</v>
      </c>
      <c r="F5">
        <f>COUNTIF(Thursday!I:I, B5)</f>
        <v>89</v>
      </c>
      <c r="G5">
        <f>COUNTIF(Friday!I:I, B5)</f>
        <v>82</v>
      </c>
      <c r="H5">
        <f>SUM(C5:G5)</f>
        <v>467</v>
      </c>
    </row>
    <row r="6" spans="1:8" x14ac:dyDescent="0.25">
      <c r="A6" s="5" t="s">
        <v>9</v>
      </c>
      <c r="B6" t="str">
        <f>"*"&amp;A6&amp;"*"</f>
        <v>*2124: Noisy Signals*</v>
      </c>
      <c r="C6">
        <f>COUNTIF(Monday!I:I, B6)</f>
        <v>105</v>
      </c>
      <c r="D6">
        <f>COUNTIF(Tuesday!I:I, B6)</f>
        <v>86</v>
      </c>
      <c r="E6">
        <f>COUNTIF(Wednesday!I:I, B6)</f>
        <v>77</v>
      </c>
      <c r="F6">
        <f>COUNTIF(Thursday!I:I, B6)</f>
        <v>85</v>
      </c>
      <c r="G6">
        <f>COUNTIF(Friday!I:I, B6)</f>
        <v>81</v>
      </c>
      <c r="H6">
        <f>SUM(C6:G6)</f>
        <v>434</v>
      </c>
    </row>
    <row r="7" spans="1:8" x14ac:dyDescent="0.25">
      <c r="A7" s="5" t="s">
        <v>8</v>
      </c>
      <c r="B7" t="str">
        <f>"*"&amp;A7&amp;"*"</f>
        <v>*1807: Low Amplitude Or Poor Morphology*</v>
      </c>
      <c r="C7">
        <f>COUNTIF(Monday!I:I, B7)</f>
        <v>78</v>
      </c>
      <c r="D7">
        <f>COUNTIF(Tuesday!I:I, B7)</f>
        <v>60</v>
      </c>
      <c r="E7">
        <f>COUNTIF(Wednesday!I:I, B7)</f>
        <v>64</v>
      </c>
      <c r="F7">
        <f>COUNTIF(Thursday!I:I, B7)</f>
        <v>74</v>
      </c>
      <c r="G7">
        <f>COUNTIF(Friday!I:I, B7)</f>
        <v>63</v>
      </c>
      <c r="H7">
        <f>SUM(C7:G7)</f>
        <v>339</v>
      </c>
    </row>
    <row r="8" spans="1:8" x14ac:dyDescent="0.25">
      <c r="A8" s="5" t="s">
        <v>18</v>
      </c>
      <c r="B8" t="str">
        <f>"*"&amp;A8&amp;"*"</f>
        <v>*2869: Gas Gauge/Longevity Not As Expected*</v>
      </c>
      <c r="C8">
        <f>COUNTIF(Monday!I:I, B8)</f>
        <v>35</v>
      </c>
      <c r="D8">
        <f>COUNTIF(Tuesday!I:I, B8)</f>
        <v>22</v>
      </c>
      <c r="E8">
        <f>COUNTIF(Wednesday!I:I, B8)</f>
        <v>21</v>
      </c>
      <c r="F8">
        <f>COUNTIF(Thursday!I:I, B8)</f>
        <v>26</v>
      </c>
      <c r="G8">
        <f>COUNTIF(Friday!I:I, B8)</f>
        <v>23</v>
      </c>
      <c r="H8">
        <f>SUM(C8:G8)</f>
        <v>127</v>
      </c>
    </row>
    <row r="9" spans="1:8" x14ac:dyDescent="0.25">
      <c r="A9" s="5" t="s">
        <v>61</v>
      </c>
      <c r="B9" t="str">
        <f>"*"&amp;A9&amp;"*"</f>
        <v>*2873: Sense B Artifact Noise*</v>
      </c>
      <c r="C9">
        <f>COUNTIF(Monday!I:I, B9)</f>
        <v>32</v>
      </c>
      <c r="D9">
        <f>COUNTIF(Tuesday!I:I, B9)</f>
        <v>21</v>
      </c>
      <c r="E9">
        <f>COUNTIF(Wednesday!I:I, B9)</f>
        <v>16</v>
      </c>
      <c r="F9">
        <f>COUNTIF(Thursday!I:I, B9)</f>
        <v>19</v>
      </c>
      <c r="G9">
        <f>COUNTIF(Friday!I:I, B9)</f>
        <v>19</v>
      </c>
      <c r="H9">
        <f>SUM(C9:G9)</f>
        <v>107</v>
      </c>
    </row>
    <row r="10" spans="1:8" x14ac:dyDescent="0.25">
      <c r="A10" s="5" t="s">
        <v>38</v>
      </c>
      <c r="B10" t="str">
        <f>"*"&amp;A10&amp;"*"</f>
        <v>*2434: Undersensing*</v>
      </c>
      <c r="C10">
        <f>COUNTIF(Monday!I:I, B10)</f>
        <v>27</v>
      </c>
      <c r="D10">
        <f>COUNTIF(Tuesday!I:I, B10)</f>
        <v>23</v>
      </c>
      <c r="E10">
        <f>COUNTIF(Wednesday!I:I, B10)</f>
        <v>23</v>
      </c>
      <c r="F10">
        <f>COUNTIF(Thursday!I:I, B10)</f>
        <v>23</v>
      </c>
      <c r="G10">
        <f>COUNTIF(Friday!I:I, B10)</f>
        <v>17</v>
      </c>
      <c r="H10">
        <f>SUM(C10:G10)</f>
        <v>113</v>
      </c>
    </row>
    <row r="11" spans="1:8" x14ac:dyDescent="0.25">
      <c r="A11" s="5" t="s">
        <v>1</v>
      </c>
      <c r="B11" t="str">
        <f>"*"&amp;A11&amp;"*"</f>
        <v>*2099: No Known Device Problem*</v>
      </c>
      <c r="C11">
        <f>COUNTIF(Monday!I:I, B11)</f>
        <v>18</v>
      </c>
      <c r="D11">
        <f>COUNTIF(Tuesday!I:I, B11)</f>
        <v>17</v>
      </c>
      <c r="E11">
        <f>COUNTIF(Wednesday!I:I, B11)</f>
        <v>16</v>
      </c>
      <c r="F11">
        <f>COUNTIF(Thursday!I:I, B11)</f>
        <v>17</v>
      </c>
      <c r="G11">
        <f>COUNTIF(Friday!I:I, B11)</f>
        <v>16</v>
      </c>
      <c r="H11">
        <f>SUM(C11:G11)</f>
        <v>84</v>
      </c>
    </row>
    <row r="12" spans="1:8" x14ac:dyDescent="0.25">
      <c r="A12" s="5" t="s">
        <v>19</v>
      </c>
      <c r="B12" t="str">
        <f>"*"&amp;A12&amp;"*"</f>
        <v>*1166: Data Issue*</v>
      </c>
      <c r="C12">
        <f>COUNTIF(Monday!I:I, B12)</f>
        <v>17</v>
      </c>
      <c r="D12">
        <f>COUNTIF(Tuesday!I:I, B12)</f>
        <v>15</v>
      </c>
      <c r="E12">
        <f>COUNTIF(Wednesday!I:I, B12)</f>
        <v>15</v>
      </c>
      <c r="F12">
        <f>COUNTIF(Thursday!I:I, B12)</f>
        <v>16</v>
      </c>
      <c r="G12">
        <f>COUNTIF(Friday!I:I, B12)</f>
        <v>13</v>
      </c>
      <c r="H12">
        <f>SUM(C12:G12)</f>
        <v>76</v>
      </c>
    </row>
    <row r="13" spans="1:8" x14ac:dyDescent="0.25">
      <c r="A13" s="5" t="s">
        <v>12</v>
      </c>
      <c r="B13" t="str">
        <f>"*"&amp;A13&amp;"*"</f>
        <v>*2319: Shock Impedance High Within Normal Limits*</v>
      </c>
      <c r="C13">
        <f>COUNTIF(Monday!I:I, B13)</f>
        <v>9</v>
      </c>
      <c r="D13">
        <f>COUNTIF(Tuesday!I:I, B13)</f>
        <v>10</v>
      </c>
      <c r="E13">
        <f>COUNTIF(Wednesday!I:I, B13)</f>
        <v>12</v>
      </c>
      <c r="F13">
        <f>COUNTIF(Thursday!I:I, B13)</f>
        <v>13</v>
      </c>
      <c r="G13">
        <f>COUNTIF(Friday!I:I, B13)</f>
        <v>11</v>
      </c>
      <c r="H13">
        <f>SUM(C13:G13)</f>
        <v>55</v>
      </c>
    </row>
    <row r="14" spans="1:8" x14ac:dyDescent="0.25">
      <c r="A14" s="5" t="s">
        <v>6</v>
      </c>
      <c r="B14" t="str">
        <f>"*"&amp;A14&amp;"*"</f>
        <v>*2867: Non Specific Product Performance Allegation*</v>
      </c>
      <c r="C14">
        <f>COUNTIF(Monday!I:I, B14)</f>
        <v>6</v>
      </c>
      <c r="D14">
        <f>COUNTIF(Tuesday!I:I, B14)</f>
        <v>7</v>
      </c>
      <c r="E14">
        <f>COUNTIF(Wednesday!I:I, B14)</f>
        <v>8</v>
      </c>
      <c r="F14">
        <f>COUNTIF(Thursday!I:I, B14)</f>
        <v>8</v>
      </c>
      <c r="G14">
        <f>COUNTIF(Friday!I:I, B14)</f>
        <v>8</v>
      </c>
      <c r="H14">
        <f>SUM(C14:G14)</f>
        <v>37</v>
      </c>
    </row>
    <row r="15" spans="1:8" x14ac:dyDescent="0.25">
      <c r="A15" s="5" t="s">
        <v>22</v>
      </c>
      <c r="B15" t="str">
        <f>"*"&amp;A15&amp;"*"</f>
        <v>*1322: Difficult To Interrogate/Telemetry (Wand)*</v>
      </c>
      <c r="C15">
        <f>COUNTIF(Monday!I:I, B15)</f>
        <v>8</v>
      </c>
      <c r="D15">
        <f>COUNTIF(Tuesday!I:I, B15)</f>
        <v>6</v>
      </c>
      <c r="E15">
        <f>COUNTIF(Wednesday!I:I, B15)</f>
        <v>7</v>
      </c>
      <c r="F15">
        <f>COUNTIF(Thursday!I:I, B15)</f>
        <v>7</v>
      </c>
      <c r="G15">
        <f>COUNTIF(Friday!I:I, B15)</f>
        <v>7</v>
      </c>
      <c r="H15">
        <f>SUM(C15:G15)</f>
        <v>35</v>
      </c>
    </row>
    <row r="16" spans="1:8" x14ac:dyDescent="0.25">
      <c r="A16" s="5" t="s">
        <v>48</v>
      </c>
      <c r="B16" t="str">
        <f>"*"&amp;A16&amp;"*"</f>
        <v>*2250: Programmed Parameters Different Than Expected*</v>
      </c>
      <c r="C16">
        <f>COUNTIF(Monday!I:I, B16)</f>
        <v>7</v>
      </c>
      <c r="D16">
        <f>COUNTIF(Tuesday!I:I, B16)</f>
        <v>7</v>
      </c>
      <c r="E16">
        <f>COUNTIF(Wednesday!I:I, B16)</f>
        <v>7</v>
      </c>
      <c r="F16">
        <f>COUNTIF(Thursday!I:I, B16)</f>
        <v>8</v>
      </c>
      <c r="G16">
        <f>COUNTIF(Friday!I:I, B16)</f>
        <v>7</v>
      </c>
      <c r="H16">
        <f>SUM(C16:G16)</f>
        <v>36</v>
      </c>
    </row>
    <row r="17" spans="1:8" x14ac:dyDescent="0.25">
      <c r="A17" s="5" t="s">
        <v>3</v>
      </c>
      <c r="B17" t="str">
        <f>"*"&amp;A17&amp;"*"</f>
        <v>*1504: Failure To Convert Rhythm*</v>
      </c>
      <c r="C17">
        <f>COUNTIF(Monday!I:I, B17)</f>
        <v>7</v>
      </c>
      <c r="D17">
        <f>COUNTIF(Tuesday!I:I, B17)</f>
        <v>6</v>
      </c>
      <c r="E17">
        <f>COUNTIF(Wednesday!I:I, B17)</f>
        <v>7</v>
      </c>
      <c r="F17">
        <f>COUNTIF(Thursday!I:I, B17)</f>
        <v>7</v>
      </c>
      <c r="G17">
        <f>COUNTIF(Friday!I:I, B17)</f>
        <v>6</v>
      </c>
      <c r="H17">
        <f>SUM(C17:G17)</f>
        <v>33</v>
      </c>
    </row>
    <row r="18" spans="1:8" x14ac:dyDescent="0.25">
      <c r="A18" s="5" t="s">
        <v>21</v>
      </c>
      <c r="B18" t="str">
        <f>"*"&amp;A18&amp;"*"</f>
        <v>*1321: Difficult To Interrogate/Telemetry (RF)*</v>
      </c>
      <c r="C18">
        <f>COUNTIF(Monday!I:I, B18)</f>
        <v>6</v>
      </c>
      <c r="D18">
        <f>COUNTIF(Tuesday!I:I, B18)</f>
        <v>5</v>
      </c>
      <c r="E18">
        <f>COUNTIF(Wednesday!I:I, B18)</f>
        <v>6</v>
      </c>
      <c r="F18">
        <f>COUNTIF(Thursday!I:I, B18)</f>
        <v>6</v>
      </c>
      <c r="G18">
        <f>COUNTIF(Friday!I:I, B18)</f>
        <v>6</v>
      </c>
      <c r="H18">
        <f>SUM(C18:G18)</f>
        <v>29</v>
      </c>
    </row>
    <row r="19" spans="1:8" x14ac:dyDescent="0.25">
      <c r="A19" s="5" t="s">
        <v>1164</v>
      </c>
      <c r="B19" t="str">
        <f>"*"&amp;A19&amp;"*"</f>
        <v>*1812: Malposition Of Device*</v>
      </c>
      <c r="C19">
        <f>COUNTIF(Monday!I:I, B19)</f>
        <v>6</v>
      </c>
      <c r="D19">
        <f>COUNTIF(Tuesday!I:I, B19)</f>
        <v>6</v>
      </c>
      <c r="E19">
        <f>COUNTIF(Wednesday!I:I, B19)</f>
        <v>8</v>
      </c>
      <c r="F19">
        <f>COUNTIF(Thursday!I:I, B19)</f>
        <v>8</v>
      </c>
      <c r="G19">
        <f>COUNTIF(Friday!I:I, B19)</f>
        <v>6</v>
      </c>
      <c r="H19">
        <f>SUM(C19:G19)</f>
        <v>34</v>
      </c>
    </row>
    <row r="20" spans="1:8" x14ac:dyDescent="0.25">
      <c r="A20" s="6" t="s">
        <v>29</v>
      </c>
      <c r="B20" t="str">
        <f>"*"&amp;A20&amp;"*"</f>
        <v>*2405: Therapy Delivery/Effectiveness Problem*</v>
      </c>
      <c r="C20">
        <f>COUNTIF(Monday!I:I, B20)</f>
        <v>4</v>
      </c>
      <c r="D20">
        <f>COUNTIF(Tuesday!I:I, B20)</f>
        <v>3</v>
      </c>
      <c r="E20">
        <f>COUNTIF(Wednesday!I:I, B20)</f>
        <v>5</v>
      </c>
      <c r="F20">
        <f>COUNTIF(Thursday!I:I, B20)</f>
        <v>5</v>
      </c>
      <c r="G20">
        <f>COUNTIF(Friday!I:I, B20)</f>
        <v>6</v>
      </c>
      <c r="H20">
        <f>SUM(C20:G20)</f>
        <v>23</v>
      </c>
    </row>
    <row r="21" spans="1:8" x14ac:dyDescent="0.25">
      <c r="A21" s="5" t="s">
        <v>13</v>
      </c>
      <c r="B21" t="str">
        <f>"*"&amp;A21&amp;"*"</f>
        <v>*2409: Tone Pattern As Expected*</v>
      </c>
      <c r="C21">
        <f>COUNTIF(Monday!I:I, B21)</f>
        <v>17</v>
      </c>
      <c r="D21">
        <f>COUNTIF(Tuesday!I:I, B21)</f>
        <v>6</v>
      </c>
      <c r="E21">
        <f>COUNTIF(Wednesday!I:I, B21)</f>
        <v>5</v>
      </c>
      <c r="F21">
        <f>COUNTIF(Thursday!I:I, B21)</f>
        <v>5</v>
      </c>
      <c r="G21">
        <f>COUNTIF(Friday!I:I, B21)</f>
        <v>5</v>
      </c>
      <c r="H21">
        <f>SUM(C21:G21)</f>
        <v>38</v>
      </c>
    </row>
    <row r="22" spans="1:8" x14ac:dyDescent="0.25">
      <c r="A22" s="5" t="s">
        <v>1909</v>
      </c>
      <c r="B22" t="str">
        <f>"*"&amp;A22&amp;"*"</f>
        <v>*2871: Difficulty Converting Rhythm (Induced)*</v>
      </c>
      <c r="C22">
        <f>COUNTIF(Monday!I:I, B22)</f>
        <v>7</v>
      </c>
      <c r="D22">
        <f>COUNTIF(Tuesday!I:I, B22)</f>
        <v>7</v>
      </c>
      <c r="E22">
        <f>COUNTIF(Wednesday!I:I, B22)</f>
        <v>7</v>
      </c>
      <c r="F22">
        <f>COUNTIF(Thursday!I:I, B22)</f>
        <v>7</v>
      </c>
      <c r="G22">
        <f>COUNTIF(Friday!I:I, B22)</f>
        <v>5</v>
      </c>
      <c r="H22">
        <f>SUM(C22:G22)</f>
        <v>33</v>
      </c>
    </row>
    <row r="23" spans="1:8" x14ac:dyDescent="0.25">
      <c r="A23" s="5" t="s">
        <v>42</v>
      </c>
      <c r="B23" t="str">
        <f>"*"&amp;A23&amp;"*"</f>
        <v>*1636: Fracture*</v>
      </c>
      <c r="C23">
        <f>COUNTIF(Monday!I:I, B23)</f>
        <v>6</v>
      </c>
      <c r="D23">
        <f>COUNTIF(Tuesday!I:I, B23)</f>
        <v>7</v>
      </c>
      <c r="E23">
        <f>COUNTIF(Wednesday!I:I, B23)</f>
        <v>7</v>
      </c>
      <c r="F23">
        <f>COUNTIF(Thursday!I:I, B23)</f>
        <v>7</v>
      </c>
      <c r="G23">
        <f>COUNTIF(Friday!I:I, B23)</f>
        <v>5</v>
      </c>
      <c r="H23">
        <f>SUM(C23:G23)</f>
        <v>32</v>
      </c>
    </row>
    <row r="24" spans="1:8" x14ac:dyDescent="0.25">
      <c r="A24" s="5" t="s">
        <v>39</v>
      </c>
      <c r="B24" t="str">
        <f>"*"&amp;A24&amp;"*"</f>
        <v>*1163: Damaged/Defective**</v>
      </c>
      <c r="C24">
        <f>COUNTIF(Monday!I:I, B24)</f>
        <v>4</v>
      </c>
      <c r="D24">
        <f>COUNTIF(Tuesday!I:I, B24)</f>
        <v>5</v>
      </c>
      <c r="E24">
        <f>COUNTIF(Wednesday!I:I, B24)</f>
        <v>5</v>
      </c>
      <c r="F24">
        <f>COUNTIF(Thursday!I:I, B24)</f>
        <v>5</v>
      </c>
      <c r="G24">
        <f>COUNTIF(Friday!I:I, B24)</f>
        <v>5</v>
      </c>
      <c r="H24">
        <f>SUM(C24:G24)</f>
        <v>24</v>
      </c>
    </row>
    <row r="25" spans="1:8" x14ac:dyDescent="0.25">
      <c r="A25" s="5" t="s">
        <v>4</v>
      </c>
      <c r="B25" t="str">
        <f>"*"&amp;A25&amp;"*"</f>
        <v>*2318: Shock Impedance High Out Of Range*</v>
      </c>
      <c r="C25">
        <f>COUNTIF(Monday!I:I, B25)</f>
        <v>14</v>
      </c>
      <c r="D25">
        <f>COUNTIF(Tuesday!I:I, B25)</f>
        <v>8</v>
      </c>
      <c r="E25">
        <f>COUNTIF(Wednesday!I:I, B25)</f>
        <v>5</v>
      </c>
      <c r="F25">
        <f>COUNTIF(Thursday!I:I, B25)</f>
        <v>5</v>
      </c>
      <c r="G25">
        <f>COUNTIF(Friday!I:I, B25)</f>
        <v>4</v>
      </c>
      <c r="H25">
        <f>SUM(C25:G25)</f>
        <v>36</v>
      </c>
    </row>
    <row r="26" spans="1:8" x14ac:dyDescent="0.25">
      <c r="A26" s="5" t="s">
        <v>25</v>
      </c>
      <c r="B26" t="str">
        <f>"*"&amp;A26&amp;"*"</f>
        <v>*2868: EGM Issue*</v>
      </c>
      <c r="C26">
        <f>COUNTIF(Monday!I:I, B26)</f>
        <v>7</v>
      </c>
      <c r="D26">
        <f>COUNTIF(Tuesday!I:I, B26)</f>
        <v>4</v>
      </c>
      <c r="E26">
        <f>COUNTIF(Wednesday!I:I, B26)</f>
        <v>4</v>
      </c>
      <c r="F26">
        <f>COUNTIF(Thursday!I:I, B26)</f>
        <v>4</v>
      </c>
      <c r="G26">
        <f>COUNTIF(Friday!I:I, B26)</f>
        <v>4</v>
      </c>
      <c r="H26">
        <f>SUM(C26:G26)</f>
        <v>23</v>
      </c>
    </row>
    <row r="27" spans="1:8" x14ac:dyDescent="0.25">
      <c r="A27" s="5" t="s">
        <v>16</v>
      </c>
      <c r="B27" t="str">
        <f>"*"&amp;A27&amp;"*"</f>
        <v>*2317: Shock Impedance High*</v>
      </c>
      <c r="C27">
        <f>COUNTIF(Monday!I:I, B27)</f>
        <v>2</v>
      </c>
      <c r="D27">
        <f>COUNTIF(Tuesday!I:I, B27)</f>
        <v>2</v>
      </c>
      <c r="E27">
        <f>COUNTIF(Wednesday!I:I, B27)</f>
        <v>2</v>
      </c>
      <c r="F27">
        <f>COUNTIF(Thursday!I:I, B27)</f>
        <v>3</v>
      </c>
      <c r="G27">
        <f>COUNTIF(Friday!I:I, B27)</f>
        <v>4</v>
      </c>
      <c r="H27">
        <f>SUM(C27:G27)</f>
        <v>13</v>
      </c>
    </row>
    <row r="28" spans="1:8" x14ac:dyDescent="0.25">
      <c r="A28" s="5" t="s">
        <v>32</v>
      </c>
      <c r="B28" t="str">
        <f>"*"&amp;A28&amp;"*"</f>
        <v>*1261: Device Sensing Issue*</v>
      </c>
      <c r="C28">
        <f>COUNTIF(Monday!I:I, B28)</f>
        <v>5</v>
      </c>
      <c r="D28">
        <f>COUNTIF(Tuesday!I:I, B28)</f>
        <v>3</v>
      </c>
      <c r="E28">
        <f>COUNTIF(Wednesday!I:I, B28)</f>
        <v>3</v>
      </c>
      <c r="F28">
        <f>COUNTIF(Thursday!I:I, B28)</f>
        <v>3</v>
      </c>
      <c r="G28">
        <f>COUNTIF(Friday!I:I, B28)</f>
        <v>3</v>
      </c>
      <c r="H28">
        <f>SUM(C28:G28)</f>
        <v>17</v>
      </c>
    </row>
    <row r="29" spans="1:8" x14ac:dyDescent="0.25">
      <c r="A29" s="5" t="s">
        <v>14</v>
      </c>
      <c r="B29" t="str">
        <f>"*"&amp;A29&amp;"*"</f>
        <v>*2064: Migration*</v>
      </c>
      <c r="C29">
        <f>COUNTIF(Monday!I:I, B29)</f>
        <v>4</v>
      </c>
      <c r="D29">
        <f>COUNTIF(Tuesday!I:I, B29)</f>
        <v>3</v>
      </c>
      <c r="E29">
        <f>COUNTIF(Wednesday!I:I, B29)</f>
        <v>2</v>
      </c>
      <c r="F29">
        <f>COUNTIF(Thursday!I:I, B29)</f>
        <v>5</v>
      </c>
      <c r="G29">
        <f>COUNTIF(Friday!I:I, B29)</f>
        <v>3</v>
      </c>
      <c r="H29">
        <f>SUM(C29:G29)</f>
        <v>17</v>
      </c>
    </row>
    <row r="30" spans="1:8" x14ac:dyDescent="0.25">
      <c r="A30" s="5" t="s">
        <v>107</v>
      </c>
      <c r="B30" t="str">
        <f>"*"&amp;A30&amp;"*"</f>
        <v>*1589: Failure To Shock Or Properly Shock*</v>
      </c>
      <c r="C30">
        <f>COUNTIF(Monday!I:I, B30)</f>
        <v>3</v>
      </c>
      <c r="D30">
        <f>COUNTIF(Tuesday!I:I, B30)</f>
        <v>3</v>
      </c>
      <c r="E30">
        <f>COUNTIF(Wednesday!I:I, B30)</f>
        <v>3</v>
      </c>
      <c r="F30">
        <f>COUNTIF(Thursday!I:I, B30)</f>
        <v>3</v>
      </c>
      <c r="G30">
        <f>COUNTIF(Friday!I:I, B30)</f>
        <v>3</v>
      </c>
      <c r="H30">
        <f>SUM(C30:G30)</f>
        <v>15</v>
      </c>
    </row>
    <row r="31" spans="1:8" x14ac:dyDescent="0.25">
      <c r="A31" s="5" t="s">
        <v>41</v>
      </c>
      <c r="B31" t="str">
        <f>"*"&amp;A31&amp;"*"</f>
        <v>*1604: Feature Unavailable Or Intermittent*</v>
      </c>
      <c r="C31">
        <f>COUNTIF(Monday!I:I, B31)</f>
        <v>3</v>
      </c>
      <c r="D31">
        <f>COUNTIF(Tuesday!I:I, B31)</f>
        <v>3</v>
      </c>
      <c r="E31">
        <f>COUNTIF(Wednesday!I:I, B31)</f>
        <v>3</v>
      </c>
      <c r="F31">
        <f>COUNTIF(Thursday!I:I, B31)</f>
        <v>3</v>
      </c>
      <c r="G31">
        <f>COUNTIF(Friday!I:I, B31)</f>
        <v>3</v>
      </c>
      <c r="H31">
        <f>SUM(C31:G31)</f>
        <v>15</v>
      </c>
    </row>
    <row r="32" spans="1:8" x14ac:dyDescent="0.25">
      <c r="A32" s="5" t="s">
        <v>102</v>
      </c>
      <c r="B32" t="str">
        <f>"*"&amp;A32&amp;"*"</f>
        <v>*1022: ATP Delivered When Not Required*</v>
      </c>
      <c r="C32">
        <f>COUNTIF(Monday!I:I, B32)</f>
        <v>2</v>
      </c>
      <c r="D32">
        <f>COUNTIF(Tuesday!I:I, B32)</f>
        <v>3</v>
      </c>
      <c r="E32">
        <f>COUNTIF(Wednesday!I:I, B32)</f>
        <v>3</v>
      </c>
      <c r="F32">
        <f>COUNTIF(Thursday!I:I, B32)</f>
        <v>3</v>
      </c>
      <c r="G32">
        <f>COUNTIF(Friday!I:I, B32)</f>
        <v>3</v>
      </c>
      <c r="H32">
        <f>SUM(C32:G32)</f>
        <v>14</v>
      </c>
    </row>
    <row r="33" spans="1:8" x14ac:dyDescent="0.25">
      <c r="A33" s="5" t="s">
        <v>55</v>
      </c>
      <c r="B33" t="str">
        <f>"*"&amp;A33&amp;"*"</f>
        <v>*1133: Connection Issue*</v>
      </c>
      <c r="C33">
        <f>COUNTIF(Monday!I:I, B33)</f>
        <v>2</v>
      </c>
      <c r="D33">
        <f>COUNTIF(Tuesday!I:I, B33)</f>
        <v>2</v>
      </c>
      <c r="E33">
        <f>COUNTIF(Wednesday!I:I, B33)</f>
        <v>4</v>
      </c>
      <c r="F33">
        <f>COUNTIF(Thursday!I:I, B33)</f>
        <v>2</v>
      </c>
      <c r="G33">
        <f>COUNTIF(Friday!I:I, B33)</f>
        <v>3</v>
      </c>
      <c r="H33">
        <f>SUM(C33:G33)</f>
        <v>13</v>
      </c>
    </row>
    <row r="34" spans="1:8" x14ac:dyDescent="0.25">
      <c r="A34" s="5" t="s">
        <v>24</v>
      </c>
      <c r="B34" t="str">
        <f>"*"&amp;A34&amp;"*"</f>
        <v>*2872: Difficult To Induce An Arrhythmia During Induction/DFT Testing.*</v>
      </c>
      <c r="C34">
        <f>COUNTIF(Monday!I:I, B34)</f>
        <v>1</v>
      </c>
      <c r="D34">
        <f>COUNTIF(Tuesday!I:I, B34)</f>
        <v>3</v>
      </c>
      <c r="E34">
        <f>COUNTIF(Wednesday!I:I, B34)</f>
        <v>3</v>
      </c>
      <c r="F34">
        <f>COUNTIF(Thursday!I:I, B34)</f>
        <v>3</v>
      </c>
      <c r="G34">
        <f>COUNTIF(Friday!I:I, B34)</f>
        <v>3</v>
      </c>
      <c r="H34">
        <f>SUM(C34:G34)</f>
        <v>13</v>
      </c>
    </row>
    <row r="35" spans="1:8" x14ac:dyDescent="0.25">
      <c r="A35" s="5" t="s">
        <v>72</v>
      </c>
      <c r="B35" t="str">
        <f>"*"&amp;A35&amp;"*"</f>
        <v>*1683: Impedance Issue*</v>
      </c>
      <c r="C35">
        <f>COUNTIF(Monday!I:I, B35)</f>
        <v>8</v>
      </c>
      <c r="D35">
        <f>COUNTIF(Tuesday!I:I, B35)</f>
        <v>6</v>
      </c>
      <c r="E35">
        <f>COUNTIF(Wednesday!I:I, B35)</f>
        <v>4</v>
      </c>
      <c r="F35">
        <f>COUNTIF(Thursday!I:I, B35)</f>
        <v>4</v>
      </c>
      <c r="G35">
        <f>COUNTIF(Friday!I:I, B35)</f>
        <v>2</v>
      </c>
      <c r="H35">
        <f>SUM(C35:G35)</f>
        <v>24</v>
      </c>
    </row>
    <row r="36" spans="1:8" x14ac:dyDescent="0.25">
      <c r="A36" s="5" t="s">
        <v>78</v>
      </c>
      <c r="B36" t="str">
        <f>"*"&amp;A36&amp;"*"</f>
        <v>*2321: Shock Impedance Low Out Of Range*</v>
      </c>
      <c r="C36">
        <f>COUNTIF(Monday!I:I, B36)</f>
        <v>4</v>
      </c>
      <c r="D36">
        <f>COUNTIF(Tuesday!I:I, B36)</f>
        <v>3</v>
      </c>
      <c r="E36">
        <f>COUNTIF(Wednesday!I:I, B36)</f>
        <v>2</v>
      </c>
      <c r="F36">
        <f>COUNTIF(Thursday!I:I, B36)</f>
        <v>2</v>
      </c>
      <c r="G36">
        <f>COUNTIF(Friday!I:I, B36)</f>
        <v>2</v>
      </c>
      <c r="H36">
        <f>SUM(C36:G36)</f>
        <v>13</v>
      </c>
    </row>
    <row r="37" spans="1:8" x14ac:dyDescent="0.25">
      <c r="A37" s="5" t="s">
        <v>60</v>
      </c>
      <c r="B37" t="str">
        <f>"*"&amp;A37&amp;"*"</f>
        <v>*2173: Pacing Impedance High Within Normal Limits*</v>
      </c>
      <c r="C37">
        <f>COUNTIF(Monday!I:I, B37)</f>
        <v>2</v>
      </c>
      <c r="D37">
        <f>COUNTIF(Tuesday!I:I, B37)</f>
        <v>2</v>
      </c>
      <c r="E37">
        <f>COUNTIF(Wednesday!I:I, B37)</f>
        <v>2</v>
      </c>
      <c r="F37">
        <f>COUNTIF(Thursday!I:I, B37)</f>
        <v>2</v>
      </c>
      <c r="G37">
        <f>COUNTIF(Friday!I:I, B37)</f>
        <v>2</v>
      </c>
      <c r="H37">
        <f>SUM(C37:G37)</f>
        <v>10</v>
      </c>
    </row>
    <row r="38" spans="1:8" x14ac:dyDescent="0.25">
      <c r="A38" s="5" t="s">
        <v>113</v>
      </c>
      <c r="B38" t="str">
        <f>"*"&amp;A38&amp;"*"</f>
        <v>*1697: Inappropriate Or Unexpected Reset*</v>
      </c>
      <c r="C38">
        <f>COUNTIF(Monday!I:I, B38)</f>
        <v>1</v>
      </c>
      <c r="D38">
        <f>COUNTIF(Tuesday!I:I, B38)</f>
        <v>1</v>
      </c>
      <c r="E38">
        <f>COUNTIF(Wednesday!I:I, B38)</f>
        <v>2</v>
      </c>
      <c r="F38">
        <f>COUNTIF(Thursday!I:I, B38)</f>
        <v>2</v>
      </c>
      <c r="G38">
        <f>COUNTIF(Friday!I:I, B38)</f>
        <v>2</v>
      </c>
      <c r="H38">
        <f>SUM(C38:G38)</f>
        <v>8</v>
      </c>
    </row>
    <row r="39" spans="1:8" x14ac:dyDescent="0.25">
      <c r="A39" s="5" t="s">
        <v>11</v>
      </c>
      <c r="B39" t="str">
        <f>"*"&amp;A39&amp;"*"</f>
        <v>*2322: Shock Impedance Low Within Normal Limits*</v>
      </c>
      <c r="C39">
        <f>COUNTIF(Monday!I:I, B39)</f>
        <v>7</v>
      </c>
      <c r="D39">
        <f>COUNTIF(Tuesday!I:I, B39)</f>
        <v>5</v>
      </c>
      <c r="E39">
        <f>COUNTIF(Wednesday!I:I, B39)</f>
        <v>5</v>
      </c>
      <c r="F39">
        <f>COUNTIF(Thursday!I:I, B39)</f>
        <v>5</v>
      </c>
      <c r="G39">
        <f>COUNTIF(Friday!I:I, B39)</f>
        <v>1</v>
      </c>
      <c r="H39">
        <f>SUM(C39:G39)</f>
        <v>23</v>
      </c>
    </row>
    <row r="40" spans="1:8" x14ac:dyDescent="0.25">
      <c r="A40" s="5" t="s">
        <v>126</v>
      </c>
      <c r="B40" t="str">
        <f>"*"&amp;A40&amp;"*"</f>
        <v>*2870: Difficulty Converting Rhythm (Ambulatory)*</v>
      </c>
      <c r="C40">
        <f>COUNTIF(Monday!I:I, B40)</f>
        <v>4</v>
      </c>
      <c r="D40">
        <f>COUNTIF(Tuesday!I:I, B40)</f>
        <v>4</v>
      </c>
      <c r="E40">
        <f>COUNTIF(Wednesday!I:I, B40)</f>
        <v>4</v>
      </c>
      <c r="F40">
        <f>COUNTIF(Thursday!I:I, B40)</f>
        <v>4</v>
      </c>
      <c r="G40">
        <f>COUNTIF(Friday!I:I, B40)</f>
        <v>1</v>
      </c>
      <c r="H40">
        <f>SUM(C40:G40)</f>
        <v>17</v>
      </c>
    </row>
    <row r="41" spans="1:8" x14ac:dyDescent="0.25">
      <c r="A41" s="5" t="s">
        <v>15</v>
      </c>
      <c r="B41" t="str">
        <f>"*"&amp;A41&amp;"*"</f>
        <v>*2410: Tone Pattern Not As Expected*</v>
      </c>
      <c r="C41">
        <f>COUNTIF(Monday!I:I, B41)</f>
        <v>2</v>
      </c>
      <c r="D41">
        <f>COUNTIF(Tuesday!I:I, B41)</f>
        <v>2</v>
      </c>
      <c r="E41">
        <f>COUNTIF(Wednesday!I:I, B41)</f>
        <v>2</v>
      </c>
      <c r="F41">
        <f>COUNTIF(Thursday!I:I, B41)</f>
        <v>2</v>
      </c>
      <c r="G41">
        <f>COUNTIF(Friday!I:I, B41)</f>
        <v>1</v>
      </c>
      <c r="H41">
        <f>SUM(C41:G41)</f>
        <v>9</v>
      </c>
    </row>
    <row r="42" spans="1:8" x14ac:dyDescent="0.25">
      <c r="A42" s="5" t="s">
        <v>27</v>
      </c>
      <c r="B42" t="str">
        <f>"*"&amp;A42&amp;"*"</f>
        <v>*1176: Delayed Charge Time*</v>
      </c>
      <c r="C42">
        <f>COUNTIF(Monday!I:I, B42)</f>
        <v>2</v>
      </c>
      <c r="D42">
        <f>COUNTIF(Tuesday!I:I, B42)</f>
        <v>2</v>
      </c>
      <c r="E42">
        <f>COUNTIF(Wednesday!I:I, B42)</f>
        <v>2</v>
      </c>
      <c r="F42">
        <f>COUNTIF(Thursday!I:I, B42)</f>
        <v>2</v>
      </c>
      <c r="G42">
        <f>COUNTIF(Friday!I:I, B42)</f>
        <v>1</v>
      </c>
      <c r="H42">
        <f>SUM(C42:G42)</f>
        <v>9</v>
      </c>
    </row>
    <row r="43" spans="1:8" x14ac:dyDescent="0.25">
      <c r="A43" s="5" t="s">
        <v>17</v>
      </c>
      <c r="B43" t="str">
        <f>"*"&amp;A43&amp;"*"</f>
        <v>*1414: Dislodged Or Dislocated*</v>
      </c>
      <c r="C43">
        <f>COUNTIF(Monday!I:I, B43)</f>
        <v>1</v>
      </c>
      <c r="D43">
        <f>COUNTIF(Tuesday!I:I, B43)</f>
        <v>1</v>
      </c>
      <c r="E43">
        <f>COUNTIF(Wednesday!I:I, B43)</f>
        <v>1</v>
      </c>
      <c r="F43">
        <f>COUNTIF(Thursday!I:I, B43)</f>
        <v>1</v>
      </c>
      <c r="G43">
        <f>COUNTIF(Friday!I:I, B43)</f>
        <v>1</v>
      </c>
      <c r="H43">
        <f>SUM(C43:G43)</f>
        <v>5</v>
      </c>
    </row>
    <row r="44" spans="1:8" x14ac:dyDescent="0.25">
      <c r="A44" s="5" t="s">
        <v>23</v>
      </c>
      <c r="B44" t="str">
        <f>"*"&amp;A44&amp;"*"</f>
        <v>*1336: Difficult To Position*</v>
      </c>
      <c r="C44">
        <f>COUNTIF(Monday!I:I, B44)</f>
        <v>1</v>
      </c>
      <c r="D44">
        <f>COUNTIF(Tuesday!I:I, B44)</f>
        <v>1</v>
      </c>
      <c r="E44">
        <f>COUNTIF(Wednesday!I:I, B44)</f>
        <v>1</v>
      </c>
      <c r="F44">
        <f>COUNTIF(Thursday!I:I, B44)</f>
        <v>1</v>
      </c>
      <c r="G44">
        <f>COUNTIF(Friday!I:I, B44)</f>
        <v>1</v>
      </c>
      <c r="H44">
        <f>SUM(C44:G44)</f>
        <v>5</v>
      </c>
    </row>
    <row r="45" spans="1:8" x14ac:dyDescent="0.25">
      <c r="A45" s="5" t="s">
        <v>1904</v>
      </c>
      <c r="B45" t="str">
        <f>"*"&amp;A45&amp;"*"</f>
        <v>*1584: Failure To Sense*</v>
      </c>
      <c r="C45">
        <f>COUNTIF(Monday!I:I, B45)</f>
        <v>1</v>
      </c>
      <c r="D45">
        <f>COUNTIF(Tuesday!I:I, B45)</f>
        <v>1</v>
      </c>
      <c r="E45">
        <f>COUNTIF(Wednesday!I:I, B45)</f>
        <v>1</v>
      </c>
      <c r="F45">
        <f>COUNTIF(Thursday!I:I, B45)</f>
        <v>1</v>
      </c>
      <c r="G45">
        <f>COUNTIF(Friday!I:I, B45)</f>
        <v>1</v>
      </c>
      <c r="H45">
        <f>SUM(C45:G45)</f>
        <v>5</v>
      </c>
    </row>
    <row r="46" spans="1:8" x14ac:dyDescent="0.25">
      <c r="A46" s="5" t="s">
        <v>85</v>
      </c>
      <c r="B46" t="str">
        <f>"*"&amp;A46&amp;"*"</f>
        <v>*1122: Communication Or Transmission Issue*</v>
      </c>
      <c r="C46">
        <f>COUNTIF(Monday!I:I, B46)</f>
        <v>1</v>
      </c>
      <c r="D46">
        <f>COUNTIF(Tuesday!I:I, B46)</f>
        <v>1</v>
      </c>
      <c r="E46">
        <f>COUNTIF(Wednesday!I:I, B46)</f>
        <v>1</v>
      </c>
      <c r="F46">
        <f>COUNTIF(Thursday!I:I, B46)</f>
        <v>1</v>
      </c>
      <c r="G46">
        <f>COUNTIF(Friday!I:I, B46)</f>
        <v>1</v>
      </c>
      <c r="H46">
        <f>SUM(C46:G46)</f>
        <v>5</v>
      </c>
    </row>
    <row r="47" spans="1:8" x14ac:dyDescent="0.25">
      <c r="A47" s="6" t="s">
        <v>93</v>
      </c>
      <c r="B47" t="str">
        <f>"*"&amp;A47&amp;"*"</f>
        <v>*1141: Contamination Issue At User Location*</v>
      </c>
      <c r="C47">
        <f>COUNTIF(Monday!I:I, B47)</f>
        <v>0</v>
      </c>
      <c r="D47">
        <f>COUNTIF(Tuesday!I:I, B47)</f>
        <v>0</v>
      </c>
      <c r="E47">
        <f>COUNTIF(Wednesday!I:I, B47)</f>
        <v>0</v>
      </c>
      <c r="F47">
        <f>COUNTIF(Thursday!I:I, B47)</f>
        <v>1</v>
      </c>
      <c r="G47">
        <f>COUNTIF(Friday!I:I, B47)</f>
        <v>1</v>
      </c>
      <c r="H47">
        <f>SUM(C47:G47)</f>
        <v>2</v>
      </c>
    </row>
    <row r="48" spans="1:8" x14ac:dyDescent="0.25">
      <c r="A48" s="5" t="s">
        <v>122</v>
      </c>
      <c r="B48" t="str">
        <f>"*"&amp;A48&amp;"*"</f>
        <v>*2207: Pocket Stimulation*</v>
      </c>
      <c r="C48">
        <f>COUNTIF(Monday!I:I, B48)</f>
        <v>0</v>
      </c>
      <c r="D48">
        <f>COUNTIF(Tuesday!I:I, B48)</f>
        <v>1</v>
      </c>
      <c r="E48">
        <f>COUNTIF(Wednesday!I:I, B48)</f>
        <v>1</v>
      </c>
      <c r="F48">
        <f>COUNTIF(Thursday!I:I, B48)</f>
        <v>1</v>
      </c>
      <c r="G48">
        <f>COUNTIF(Friday!I:I, B48)</f>
        <v>1</v>
      </c>
      <c r="H48">
        <f>SUM(C48:G48)</f>
        <v>4</v>
      </c>
    </row>
    <row r="49" spans="1:8" x14ac:dyDescent="0.25">
      <c r="A49" s="5" t="s">
        <v>73</v>
      </c>
      <c r="B49" t="str">
        <f>"*"&amp;A49&amp;"*"</f>
        <v>*2698: Air Bubble Noise Or Oversensing*</v>
      </c>
      <c r="C49">
        <f>COUNTIF(Monday!I:I, B49)</f>
        <v>2</v>
      </c>
      <c r="D49">
        <f>COUNTIF(Tuesday!I:I, B49)</f>
        <v>2</v>
      </c>
      <c r="E49">
        <f>COUNTIF(Wednesday!I:I, B49)</f>
        <v>2</v>
      </c>
      <c r="F49">
        <f>COUNTIF(Thursday!I:I, B49)</f>
        <v>2</v>
      </c>
      <c r="G49">
        <f>COUNTIF(Friday!I:I, B49)</f>
        <v>0</v>
      </c>
      <c r="H49">
        <f>SUM(C49:G49)</f>
        <v>8</v>
      </c>
    </row>
    <row r="50" spans="1:8" x14ac:dyDescent="0.25">
      <c r="A50" s="5" t="s">
        <v>37</v>
      </c>
      <c r="B50" t="str">
        <f>"*"&amp;A50&amp;"*"</f>
        <v>*2716: Message - Error Code 1003*</v>
      </c>
      <c r="C50">
        <f>COUNTIF(Monday!I:I, B50)</f>
        <v>0</v>
      </c>
      <c r="D50">
        <f>COUNTIF(Tuesday!I:I, B50)</f>
        <v>0</v>
      </c>
      <c r="E50">
        <f>COUNTIF(Wednesday!I:I, B50)</f>
        <v>0</v>
      </c>
      <c r="F50">
        <f>COUNTIF(Thursday!I:I, B50)</f>
        <v>0</v>
      </c>
      <c r="G50">
        <f>COUNTIF(Friday!I:I, B50)</f>
        <v>0</v>
      </c>
      <c r="H50">
        <f>SUM(C50:G50)</f>
        <v>0</v>
      </c>
    </row>
    <row r="51" spans="1:8" x14ac:dyDescent="0.25">
      <c r="A51" s="5" t="s">
        <v>88</v>
      </c>
      <c r="B51" t="str">
        <f>"*"&amp;A51&amp;"*"</f>
        <v>*2406: Therapy Induced Arrhythmia*</v>
      </c>
      <c r="C51">
        <f>COUNTIF(Monday!I:I, B51)</f>
        <v>0</v>
      </c>
      <c r="D51">
        <f>COUNTIF(Tuesday!I:I, B51)</f>
        <v>0</v>
      </c>
      <c r="E51">
        <f>COUNTIF(Wednesday!I:I, B51)</f>
        <v>0</v>
      </c>
      <c r="F51">
        <f>COUNTIF(Thursday!I:I, B51)</f>
        <v>0</v>
      </c>
      <c r="G51">
        <f>COUNTIF(Friday!I:I, B51)</f>
        <v>0</v>
      </c>
      <c r="H51">
        <f>SUM(C51:G51)</f>
        <v>0</v>
      </c>
    </row>
    <row r="52" spans="1:8" x14ac:dyDescent="0.25">
      <c r="A52" s="5" t="s">
        <v>125</v>
      </c>
      <c r="B52" t="str">
        <f>"*"&amp;A52&amp;"*"</f>
        <v>*2111: No Tones When Expected*</v>
      </c>
      <c r="C52">
        <f>COUNTIF(Monday!I:I, B52)</f>
        <v>0</v>
      </c>
      <c r="D52">
        <f>COUNTIF(Tuesday!I:I, B52)</f>
        <v>0</v>
      </c>
      <c r="E52">
        <f>COUNTIF(Wednesday!I:I, B52)</f>
        <v>0</v>
      </c>
      <c r="F52">
        <f>COUNTIF(Thursday!I:I, B52)</f>
        <v>0</v>
      </c>
      <c r="G52">
        <f>COUNTIF(Friday!I:I, B52)</f>
        <v>0</v>
      </c>
      <c r="H52">
        <f>SUM(C52:G52)</f>
        <v>0</v>
      </c>
    </row>
    <row r="53" spans="1:8" x14ac:dyDescent="0.25">
      <c r="A53" s="5" t="s">
        <v>94</v>
      </c>
      <c r="B53" t="str">
        <f>"*"&amp;A53&amp;"*"</f>
        <v>*2278: Rhythm Acceleration*</v>
      </c>
      <c r="C53">
        <f>COUNTIF(Monday!I:I, B53)</f>
        <v>0</v>
      </c>
      <c r="D53">
        <f>COUNTIF(Tuesday!I:I, B53)</f>
        <v>0</v>
      </c>
      <c r="E53">
        <f>COUNTIF(Wednesday!I:I, B53)</f>
        <v>0</v>
      </c>
      <c r="F53">
        <f>COUNTIF(Thursday!I:I, B53)</f>
        <v>0</v>
      </c>
      <c r="G53">
        <f>COUNTIF(Friday!I:I, B53)</f>
        <v>0</v>
      </c>
      <c r="H53">
        <f>SUM(C53:G53)</f>
        <v>0</v>
      </c>
    </row>
    <row r="54" spans="1:8" x14ac:dyDescent="0.25">
      <c r="A54" s="5" t="s">
        <v>68</v>
      </c>
      <c r="B54" t="str">
        <f>"*"&amp;A54&amp;"*"</f>
        <v>*2457: Use Of Device Issue - User Error*</v>
      </c>
      <c r="C54">
        <f>COUNTIF(Monday!I:I, B54)</f>
        <v>0</v>
      </c>
      <c r="D54">
        <f>COUNTIF(Tuesday!I:I, B54)</f>
        <v>0</v>
      </c>
      <c r="E54">
        <f>COUNTIF(Wednesday!I:I, B54)</f>
        <v>0</v>
      </c>
      <c r="F54">
        <f>COUNTIF(Thursday!I:I, B54)</f>
        <v>0</v>
      </c>
      <c r="G54">
        <f>COUNTIF(Friday!I:I, B54)</f>
        <v>0</v>
      </c>
      <c r="H54">
        <f>SUM(C54:G54)</f>
        <v>0</v>
      </c>
    </row>
    <row r="55" spans="1:8" x14ac:dyDescent="0.25">
      <c r="A55" s="5" t="s">
        <v>1068</v>
      </c>
      <c r="B55" t="str">
        <f>"*"&amp;A55&amp;"*"</f>
        <v>*1835: Mechanical Issue*</v>
      </c>
      <c r="C55">
        <f>COUNTIF(Monday!I:I, B55)</f>
        <v>0</v>
      </c>
      <c r="D55">
        <f>COUNTIF(Tuesday!I:I, B55)</f>
        <v>0</v>
      </c>
      <c r="E55">
        <f>COUNTIF(Wednesday!I:I, B55)</f>
        <v>0</v>
      </c>
      <c r="F55">
        <f>COUNTIF(Thursday!I:I, B55)</f>
        <v>0</v>
      </c>
      <c r="G55">
        <f>COUNTIF(Friday!I:I, B55)</f>
        <v>0</v>
      </c>
      <c r="H55">
        <f>SUM(C55:G55)</f>
        <v>0</v>
      </c>
    </row>
    <row r="56" spans="1:8" x14ac:dyDescent="0.25">
      <c r="A56" s="5" t="s">
        <v>1901</v>
      </c>
      <c r="B56" t="str">
        <f>"*"&amp;A56&amp;"*"</f>
        <v>*1011: Application Program Issue*</v>
      </c>
      <c r="C56">
        <f>COUNTIF(Monday!I:I, B56)</f>
        <v>0</v>
      </c>
      <c r="D56">
        <f>COUNTIF(Tuesday!I:I, B56)</f>
        <v>0</v>
      </c>
      <c r="E56">
        <f>COUNTIF(Wednesday!I:I, B56)</f>
        <v>0</v>
      </c>
      <c r="F56">
        <f>COUNTIF(Thursday!I:I, B56)</f>
        <v>0</v>
      </c>
      <c r="G56">
        <f>COUNTIF(Friday!I:I, B56)</f>
        <v>0</v>
      </c>
      <c r="H56">
        <f>SUM(C56:G56)</f>
        <v>0</v>
      </c>
    </row>
    <row r="57" spans="1:8" x14ac:dyDescent="0.25">
      <c r="A57" s="5" t="s">
        <v>35</v>
      </c>
      <c r="B57" t="str">
        <f>"*"&amp;A57&amp;"*"</f>
        <v>*2104: No Reported Allegation*</v>
      </c>
      <c r="C57">
        <f>COUNTIF(Monday!I:I, B57)</f>
        <v>0</v>
      </c>
      <c r="D57">
        <f>COUNTIF(Tuesday!I:I, B57)</f>
        <v>0</v>
      </c>
      <c r="E57">
        <f>COUNTIF(Wednesday!I:I, B57)</f>
        <v>0</v>
      </c>
      <c r="F57">
        <f>COUNTIF(Thursday!I:I, B57)</f>
        <v>0</v>
      </c>
      <c r="G57">
        <f>COUNTIF(Friday!I:I, B57)</f>
        <v>0</v>
      </c>
      <c r="H57">
        <f>SUM(C57:G57)</f>
        <v>0</v>
      </c>
    </row>
    <row r="58" spans="1:8" x14ac:dyDescent="0.25">
      <c r="A58" s="5" t="s">
        <v>20</v>
      </c>
      <c r="B58" t="str">
        <f>"*"&amp;A58&amp;"*"</f>
        <v>*1666: High Capture Threshold*</v>
      </c>
      <c r="C58">
        <f>COUNTIF(Monday!I:I, B58)</f>
        <v>0</v>
      </c>
      <c r="D58">
        <f>COUNTIF(Tuesday!I:I, B58)</f>
        <v>0</v>
      </c>
      <c r="E58">
        <f>COUNTIF(Wednesday!I:I, B58)</f>
        <v>0</v>
      </c>
      <c r="F58">
        <f>COUNTIF(Thursday!I:I, B58)</f>
        <v>0</v>
      </c>
      <c r="G58">
        <f>COUNTIF(Friday!I:I, B58)</f>
        <v>0</v>
      </c>
      <c r="H58">
        <f>SUM(C58:G58)</f>
        <v>0</v>
      </c>
    </row>
    <row r="59" spans="1:8" x14ac:dyDescent="0.25">
      <c r="A59" s="5" t="s">
        <v>64</v>
      </c>
      <c r="B59" t="str">
        <f>"*"&amp;A59&amp;"*"</f>
        <v>*2460: User Used Incorrect Product For Intended Use*</v>
      </c>
      <c r="C59">
        <f>COUNTIF(Monday!I:I, B59)</f>
        <v>0</v>
      </c>
      <c r="D59">
        <f>COUNTIF(Tuesday!I:I, B59)</f>
        <v>0</v>
      </c>
      <c r="E59">
        <f>COUNTIF(Wednesday!I:I, B59)</f>
        <v>0</v>
      </c>
      <c r="F59">
        <f>COUNTIF(Thursday!I:I, B59)</f>
        <v>0</v>
      </c>
      <c r="G59">
        <f>COUNTIF(Friday!I:I, B59)</f>
        <v>0</v>
      </c>
      <c r="H59">
        <f>SUM(C59:G59)</f>
        <v>0</v>
      </c>
    </row>
    <row r="60" spans="1:8" x14ac:dyDescent="0.25">
      <c r="A60" s="5" t="s">
        <v>109</v>
      </c>
      <c r="B60" t="str">
        <f>"*"&amp;A60&amp;"*"</f>
        <v>*2455: Use Of Device Issue*</v>
      </c>
      <c r="C60">
        <f>COUNTIF(Monday!I:I, B60)</f>
        <v>0</v>
      </c>
      <c r="D60">
        <f>COUNTIF(Tuesday!I:I, B60)</f>
        <v>0</v>
      </c>
      <c r="E60">
        <f>COUNTIF(Wednesday!I:I, B60)</f>
        <v>0</v>
      </c>
      <c r="F60">
        <f>COUNTIF(Thursday!I:I, B60)</f>
        <v>0</v>
      </c>
      <c r="G60">
        <f>COUNTIF(Friday!I:I, B60)</f>
        <v>0</v>
      </c>
      <c r="H60">
        <f>SUM(C60:G60)</f>
        <v>0</v>
      </c>
    </row>
    <row r="61" spans="1:8" x14ac:dyDescent="0.25">
      <c r="A61" s="5" t="s">
        <v>10</v>
      </c>
      <c r="B61" t="str">
        <f>"*"&amp;A61&amp;"*"</f>
        <v>*2320: Shock Impedance Low*</v>
      </c>
      <c r="C61">
        <f>COUNTIF(Monday!I:I, B61)</f>
        <v>0</v>
      </c>
      <c r="D61">
        <f>COUNTIF(Tuesday!I:I, B61)</f>
        <v>0</v>
      </c>
      <c r="E61">
        <f>COUNTIF(Wednesday!I:I, B61)</f>
        <v>0</v>
      </c>
      <c r="F61">
        <f>COUNTIF(Thursday!I:I, B61)</f>
        <v>0</v>
      </c>
      <c r="G61">
        <f>COUNTIF(Friday!I:I, B61)</f>
        <v>0</v>
      </c>
      <c r="H61">
        <f>SUM(C61:G61)</f>
        <v>0</v>
      </c>
    </row>
    <row r="62" spans="1:8" x14ac:dyDescent="0.25">
      <c r="A62" s="5" t="s">
        <v>50</v>
      </c>
      <c r="B62" t="str">
        <f>"*"&amp;A62&amp;"*"</f>
        <v>*1046: Brady Pacing Not Delivered When Required*</v>
      </c>
      <c r="C62">
        <f>COUNTIF(Monday!I:I, B62)</f>
        <v>0</v>
      </c>
      <c r="D62">
        <f>COUNTIF(Tuesday!I:I, B62)</f>
        <v>0</v>
      </c>
      <c r="E62">
        <f>COUNTIF(Wednesday!I:I, B62)</f>
        <v>0</v>
      </c>
      <c r="F62">
        <f>COUNTIF(Thursday!I:I, B62)</f>
        <v>0</v>
      </c>
      <c r="G62">
        <f>COUNTIF(Friday!I:I, B62)</f>
        <v>0</v>
      </c>
      <c r="H62">
        <f>SUM(C62:G62)</f>
        <v>0</v>
      </c>
    </row>
    <row r="63" spans="1:8" x14ac:dyDescent="0.25">
      <c r="A63" s="5" t="s">
        <v>76</v>
      </c>
      <c r="B63" t="str">
        <f>"*"&amp;A63&amp;"*"</f>
        <v>*1307: Difficult To Insert*</v>
      </c>
      <c r="C63">
        <f>COUNTIF(Monday!I:I, B63)</f>
        <v>0</v>
      </c>
      <c r="D63">
        <f>COUNTIF(Tuesday!I:I, B63)</f>
        <v>0</v>
      </c>
      <c r="E63">
        <f>COUNTIF(Wednesday!I:I, B63)</f>
        <v>0</v>
      </c>
      <c r="F63">
        <f>COUNTIF(Thursday!I:I, B63)</f>
        <v>0</v>
      </c>
      <c r="G63">
        <f>COUNTIF(Friday!I:I, B63)</f>
        <v>0</v>
      </c>
      <c r="H63">
        <f>SUM(C63:G63)</f>
        <v>0</v>
      </c>
    </row>
    <row r="64" spans="1:8" x14ac:dyDescent="0.25">
      <c r="A64" s="5" t="s">
        <v>781</v>
      </c>
      <c r="B64" t="str">
        <f>"*"&amp;A64&amp;"*"</f>
        <v>*1686: Improper Or Incorrect Procedure Or Method*</v>
      </c>
      <c r="C64">
        <f>COUNTIF(Monday!I:I, B64)</f>
        <v>0</v>
      </c>
      <c r="D64">
        <f>COUNTIF(Tuesday!I:I, B64)</f>
        <v>0</v>
      </c>
      <c r="E64">
        <f>COUNTIF(Wednesday!I:I, B64)</f>
        <v>0</v>
      </c>
      <c r="F64">
        <f>COUNTIF(Thursday!I:I, B64)</f>
        <v>0</v>
      </c>
      <c r="G64">
        <f>COUNTIF(Friday!I:I, B64)</f>
        <v>0</v>
      </c>
      <c r="H64">
        <f>SUM(C64:G64)</f>
        <v>0</v>
      </c>
    </row>
    <row r="65" spans="1:8" x14ac:dyDescent="0.25">
      <c r="A65" s="5" t="s">
        <v>86</v>
      </c>
      <c r="B65" t="str">
        <f>"*"&amp;A65&amp;"*"</f>
        <v>*1047: Brady Pacing Rate Not As Expected*</v>
      </c>
      <c r="C65">
        <f>COUNTIF(Monday!I:I, B65)</f>
        <v>0</v>
      </c>
      <c r="D65">
        <f>COUNTIF(Tuesday!I:I, B65)</f>
        <v>0</v>
      </c>
      <c r="E65">
        <f>COUNTIF(Wednesday!I:I, B65)</f>
        <v>0</v>
      </c>
      <c r="F65">
        <f>COUNTIF(Thursday!I:I, B65)</f>
        <v>0</v>
      </c>
      <c r="G65">
        <f>COUNTIF(Friday!I:I, B65)</f>
        <v>0</v>
      </c>
      <c r="H65">
        <f>SUM(C65:G65)</f>
        <v>0</v>
      </c>
    </row>
    <row r="66" spans="1:8" x14ac:dyDescent="0.25">
      <c r="A66" s="5" t="s">
        <v>273</v>
      </c>
      <c r="B66" t="str">
        <f>"*"&amp;A66&amp;"*"</f>
        <v>*1796: Loose Or Intermittent Connection*</v>
      </c>
      <c r="C66">
        <f>COUNTIF(Monday!I:I, B66)</f>
        <v>0</v>
      </c>
      <c r="D66">
        <f>COUNTIF(Tuesday!I:I, B66)</f>
        <v>0</v>
      </c>
      <c r="E66">
        <f>COUNTIF(Wednesday!I:I, B66)</f>
        <v>0</v>
      </c>
      <c r="F66">
        <f>COUNTIF(Thursday!I:I, B66)</f>
        <v>0</v>
      </c>
      <c r="G66">
        <f>COUNTIF(Friday!I:I, B66)</f>
        <v>0</v>
      </c>
      <c r="H66">
        <f>SUM(C66:G66)</f>
        <v>0</v>
      </c>
    </row>
    <row r="67" spans="1:8" x14ac:dyDescent="0.25">
      <c r="A67" s="5" t="s">
        <v>1902</v>
      </c>
      <c r="B67" t="str">
        <f>"*"&amp;A67&amp;"*"</f>
        <v>*1023: ATP Not Delivered When Required*</v>
      </c>
      <c r="C67">
        <f>COUNTIF(Monday!I:I, B67)</f>
        <v>0</v>
      </c>
      <c r="D67">
        <f>COUNTIF(Tuesday!I:I, B67)</f>
        <v>0</v>
      </c>
      <c r="E67">
        <f>COUNTIF(Wednesday!I:I, B67)</f>
        <v>0</v>
      </c>
      <c r="F67">
        <f>COUNTIF(Thursday!I:I, B67)</f>
        <v>0</v>
      </c>
      <c r="G67">
        <f>COUNTIF(Friday!I:I, B67)</f>
        <v>0</v>
      </c>
      <c r="H67">
        <f>SUM(C67:G67)</f>
        <v>0</v>
      </c>
    </row>
    <row r="68" spans="1:8" x14ac:dyDescent="0.25">
      <c r="A68" s="5" t="s">
        <v>1903</v>
      </c>
      <c r="B68" t="str">
        <f>"*"&amp;A68&amp;"*"</f>
        <v>*1339: Difficult To Program Or Calibrate*</v>
      </c>
      <c r="C68">
        <f>COUNTIF(Monday!I:I, B68)</f>
        <v>0</v>
      </c>
      <c r="D68">
        <f>COUNTIF(Tuesday!I:I, B68)</f>
        <v>0</v>
      </c>
      <c r="E68">
        <f>COUNTIF(Wednesday!I:I, B68)</f>
        <v>0</v>
      </c>
      <c r="F68">
        <f>COUNTIF(Thursday!I:I, B68)</f>
        <v>0</v>
      </c>
      <c r="G68">
        <f>COUNTIF(Friday!I:I, B68)</f>
        <v>0</v>
      </c>
      <c r="H68">
        <f>SUM(C68:G68)</f>
        <v>0</v>
      </c>
    </row>
    <row r="69" spans="1:8" x14ac:dyDescent="0.25">
      <c r="A69" s="5" t="s">
        <v>26</v>
      </c>
      <c r="B69" t="str">
        <f>"*"&amp;A69&amp;"*"</f>
        <v>*2398: Tear, Rip Or Hole In Device Packaging*</v>
      </c>
      <c r="C69">
        <f>COUNTIF(Monday!I:I, B69)</f>
        <v>0</v>
      </c>
      <c r="D69">
        <f>COUNTIF(Tuesday!I:I, B69)</f>
        <v>0</v>
      </c>
      <c r="E69">
        <f>COUNTIF(Wednesday!I:I, B69)</f>
        <v>0</v>
      </c>
      <c r="F69">
        <f>COUNTIF(Thursday!I:I, B69)</f>
        <v>0</v>
      </c>
      <c r="G69">
        <f>COUNTIF(Friday!I:I, B69)</f>
        <v>0</v>
      </c>
      <c r="H69">
        <f>SUM(C69:G69)</f>
        <v>0</v>
      </c>
    </row>
    <row r="70" spans="1:8" x14ac:dyDescent="0.25">
      <c r="A70" s="5" t="s">
        <v>1705</v>
      </c>
      <c r="B70" t="str">
        <f>"*"&amp;A70&amp;"*"</f>
        <v>*1118: Communication - RF Interference*</v>
      </c>
      <c r="C70">
        <f>COUNTIF(Monday!I:I, B70)</f>
        <v>0</v>
      </c>
      <c r="D70">
        <f>COUNTIF(Tuesday!I:I, B70)</f>
        <v>0</v>
      </c>
      <c r="E70">
        <f>COUNTIF(Wednesday!I:I, B70)</f>
        <v>0</v>
      </c>
      <c r="F70">
        <f>COUNTIF(Thursday!I:I, B70)</f>
        <v>0</v>
      </c>
      <c r="G70">
        <f>COUNTIF(Friday!I:I, B70)</f>
        <v>0</v>
      </c>
      <c r="H70">
        <f>SUM(C70:G70)</f>
        <v>0</v>
      </c>
    </row>
    <row r="71" spans="1:8" x14ac:dyDescent="0.25">
      <c r="A71" s="5" t="s">
        <v>44</v>
      </c>
      <c r="B71" t="str">
        <f>"*"&amp;A71&amp;"*"</f>
        <v>*1491: Failure To Capture*</v>
      </c>
      <c r="C71">
        <f>COUNTIF(Monday!I:I, B71)</f>
        <v>0</v>
      </c>
      <c r="D71">
        <f>COUNTIF(Tuesday!I:I, B71)</f>
        <v>0</v>
      </c>
      <c r="E71">
        <f>COUNTIF(Wednesday!I:I, B71)</f>
        <v>0</v>
      </c>
      <c r="F71">
        <f>COUNTIF(Thursday!I:I, B71)</f>
        <v>0</v>
      </c>
      <c r="G71">
        <f>COUNTIF(Friday!I:I, B71)</f>
        <v>0</v>
      </c>
      <c r="H71">
        <f>SUM(C71:G71)</f>
        <v>0</v>
      </c>
    </row>
    <row r="72" spans="1:8" x14ac:dyDescent="0.25">
      <c r="A72" s="5" t="s">
        <v>36</v>
      </c>
      <c r="B72" t="str">
        <f>"*"&amp;A72&amp;"*"</f>
        <v>*2172: Pacing Impedance High Out Of Range*</v>
      </c>
      <c r="C72">
        <f>COUNTIF(Monday!I:I, B72)</f>
        <v>0</v>
      </c>
      <c r="D72">
        <f>COUNTIF(Tuesday!I:I, B72)</f>
        <v>0</v>
      </c>
      <c r="E72">
        <f>COUNTIF(Wednesday!I:I, B72)</f>
        <v>0</v>
      </c>
      <c r="F72">
        <f>COUNTIF(Thursday!I:I, B72)</f>
        <v>0</v>
      </c>
      <c r="G72">
        <f>COUNTIF(Friday!I:I, B72)</f>
        <v>0</v>
      </c>
      <c r="H72">
        <f>SUM(C72:G72)</f>
        <v>0</v>
      </c>
    </row>
    <row r="73" spans="1:8" x14ac:dyDescent="0.25">
      <c r="A73" s="5" t="s">
        <v>43</v>
      </c>
      <c r="B73" t="str">
        <f>"*"&amp;A73&amp;"*"</f>
        <v>*2797: Error During Interrogation*</v>
      </c>
      <c r="C73">
        <f>COUNTIF(Monday!I:I, B73)</f>
        <v>0</v>
      </c>
      <c r="D73">
        <f>COUNTIF(Tuesday!I:I, B73)</f>
        <v>0</v>
      </c>
      <c r="E73">
        <f>COUNTIF(Wednesday!I:I, B73)</f>
        <v>0</v>
      </c>
      <c r="F73">
        <f>COUNTIF(Thursday!I:I, B73)</f>
        <v>0</v>
      </c>
      <c r="G73">
        <f>COUNTIF(Friday!I:I, B73)</f>
        <v>0</v>
      </c>
      <c r="H73">
        <f>SUM(C73:G73)</f>
        <v>0</v>
      </c>
    </row>
    <row r="74" spans="1:8" x14ac:dyDescent="0.25">
      <c r="A74" s="5" t="s">
        <v>45</v>
      </c>
      <c r="B74" t="str">
        <f>"*"&amp;A74&amp;"*"</f>
        <v>*2338: Software Upgrade Issue*</v>
      </c>
      <c r="C74">
        <f>COUNTIF(Monday!I:I, B74)</f>
        <v>0</v>
      </c>
      <c r="D74">
        <f>COUNTIF(Tuesday!I:I, B74)</f>
        <v>0</v>
      </c>
      <c r="E74">
        <f>COUNTIF(Wednesday!I:I, B74)</f>
        <v>0</v>
      </c>
      <c r="F74">
        <f>COUNTIF(Thursday!I:I, B74)</f>
        <v>0</v>
      </c>
      <c r="G74">
        <f>COUNTIF(Friday!I:I, B74)</f>
        <v>0</v>
      </c>
      <c r="H74">
        <f>SUM(C74:G74)</f>
        <v>0</v>
      </c>
    </row>
    <row r="75" spans="1:8" x14ac:dyDescent="0.25">
      <c r="A75" s="5" t="s">
        <v>46</v>
      </c>
      <c r="B75" t="str">
        <f>"*"&amp;A75&amp;"*"</f>
        <v>*2447: Unresponsive*</v>
      </c>
      <c r="C75">
        <f>COUNTIF(Monday!I:I, B75)</f>
        <v>0</v>
      </c>
      <c r="D75">
        <f>COUNTIF(Tuesday!I:I, B75)</f>
        <v>0</v>
      </c>
      <c r="E75">
        <f>COUNTIF(Wednesday!I:I, B75)</f>
        <v>0</v>
      </c>
      <c r="F75">
        <f>COUNTIF(Thursday!I:I, B75)</f>
        <v>0</v>
      </c>
      <c r="G75">
        <f>COUNTIF(Friday!I:I, B75)</f>
        <v>0</v>
      </c>
      <c r="H75">
        <f>SUM(C75:G75)</f>
        <v>0</v>
      </c>
    </row>
    <row r="76" spans="1:8" x14ac:dyDescent="0.25">
      <c r="A76" s="5" t="s">
        <v>47</v>
      </c>
      <c r="B76" t="str">
        <f>"*"&amp;A76&amp;"*"</f>
        <v>*1160: Damaged*</v>
      </c>
      <c r="C76">
        <f>COUNTIF(Monday!I:I, B76)</f>
        <v>0</v>
      </c>
      <c r="D76">
        <f>COUNTIF(Tuesday!I:I, B76)</f>
        <v>0</v>
      </c>
      <c r="E76">
        <f>COUNTIF(Wednesday!I:I, B76)</f>
        <v>0</v>
      </c>
      <c r="F76">
        <f>COUNTIF(Thursday!I:I, B76)</f>
        <v>0</v>
      </c>
      <c r="G76">
        <f>COUNTIF(Friday!I:I, B76)</f>
        <v>0</v>
      </c>
      <c r="H76">
        <f>SUM(C76:G76)</f>
        <v>0</v>
      </c>
    </row>
    <row r="77" spans="1:8" x14ac:dyDescent="0.25">
      <c r="A77" s="5" t="s">
        <v>49</v>
      </c>
      <c r="B77" t="str">
        <f>"*"&amp;A77&amp;"*"</f>
        <v>*2266: Reports/Data Issue*</v>
      </c>
      <c r="C77">
        <f>COUNTIF(Monday!I:I, B77)</f>
        <v>0</v>
      </c>
      <c r="D77">
        <f>COUNTIF(Tuesday!I:I, B77)</f>
        <v>0</v>
      </c>
      <c r="E77">
        <f>COUNTIF(Wednesday!I:I, B77)</f>
        <v>0</v>
      </c>
      <c r="F77">
        <f>COUNTIF(Thursday!I:I, B77)</f>
        <v>0</v>
      </c>
      <c r="G77">
        <f>COUNTIF(Friday!I:I, B77)</f>
        <v>0</v>
      </c>
      <c r="H77">
        <f>SUM(C77:G77)</f>
        <v>0</v>
      </c>
    </row>
    <row r="78" spans="1:8" x14ac:dyDescent="0.25">
      <c r="A78" s="5" t="s">
        <v>51</v>
      </c>
      <c r="B78" t="str">
        <f>"*"&amp;A78&amp;"*"</f>
        <v>*2712: MV/RRT Noise Or Oversensing*</v>
      </c>
      <c r="C78">
        <f>COUNTIF(Monday!I:I, B78)</f>
        <v>0</v>
      </c>
      <c r="D78">
        <f>COUNTIF(Tuesday!I:I, B78)</f>
        <v>0</v>
      </c>
      <c r="E78">
        <f>COUNTIF(Wednesday!I:I, B78)</f>
        <v>0</v>
      </c>
      <c r="F78">
        <f>COUNTIF(Thursday!I:I, B78)</f>
        <v>0</v>
      </c>
      <c r="G78">
        <f>COUNTIF(Friday!I:I, B78)</f>
        <v>0</v>
      </c>
      <c r="H78">
        <f>SUM(C78:G78)</f>
        <v>0</v>
      </c>
    </row>
    <row r="79" spans="1:8" x14ac:dyDescent="0.25">
      <c r="A79" s="5" t="s">
        <v>52</v>
      </c>
      <c r="B79" t="str">
        <f>"*"&amp;A79&amp;"*"</f>
        <v>*2799: Error During Interrogation - Resolved*</v>
      </c>
      <c r="C79">
        <f>COUNTIF(Monday!I:I, B79)</f>
        <v>0</v>
      </c>
      <c r="D79">
        <f>COUNTIF(Tuesday!I:I, B79)</f>
        <v>0</v>
      </c>
      <c r="E79">
        <f>COUNTIF(Wednesday!I:I, B79)</f>
        <v>0</v>
      </c>
      <c r="F79">
        <f>COUNTIF(Thursday!I:I, B79)</f>
        <v>0</v>
      </c>
      <c r="G79">
        <f>COUNTIF(Friday!I:I, B79)</f>
        <v>0</v>
      </c>
      <c r="H79">
        <f>SUM(C79:G79)</f>
        <v>0</v>
      </c>
    </row>
    <row r="80" spans="1:8" x14ac:dyDescent="0.25">
      <c r="A80" s="5" t="s">
        <v>53</v>
      </c>
      <c r="B80" t="str">
        <f>"*"&amp;A80&amp;"*"</f>
        <v>*2798: Error During Interrogation - Unable To Resolve*</v>
      </c>
      <c r="C80">
        <f>COUNTIF(Monday!I:I, B80)</f>
        <v>0</v>
      </c>
      <c r="D80">
        <f>COUNTIF(Tuesday!I:I, B80)</f>
        <v>0</v>
      </c>
      <c r="E80">
        <f>COUNTIF(Wednesday!I:I, B80)</f>
        <v>0</v>
      </c>
      <c r="F80">
        <f>COUNTIF(Thursday!I:I, B80)</f>
        <v>0</v>
      </c>
      <c r="G80">
        <f>COUNTIF(Friday!I:I, B80)</f>
        <v>0</v>
      </c>
      <c r="H80">
        <f>SUM(C80:G80)</f>
        <v>0</v>
      </c>
    </row>
    <row r="81" spans="1:8" x14ac:dyDescent="0.25">
      <c r="A81" s="5" t="s">
        <v>54</v>
      </c>
      <c r="B81" t="str">
        <f>"*"&amp;A81&amp;"*"</f>
        <v>*2800: Error During Upgrade*</v>
      </c>
      <c r="C81">
        <f>COUNTIF(Monday!I:I, B81)</f>
        <v>0</v>
      </c>
      <c r="D81">
        <f>COUNTIF(Tuesday!I:I, B81)</f>
        <v>0</v>
      </c>
      <c r="E81">
        <f>COUNTIF(Wednesday!I:I, B81)</f>
        <v>0</v>
      </c>
      <c r="F81">
        <f>COUNTIF(Thursday!I:I, B81)</f>
        <v>0</v>
      </c>
      <c r="G81">
        <f>COUNTIF(Friday!I:I, B81)</f>
        <v>0</v>
      </c>
      <c r="H81">
        <f>SUM(C81:G81)</f>
        <v>0</v>
      </c>
    </row>
    <row r="82" spans="1:8" x14ac:dyDescent="0.25">
      <c r="A82" s="5" t="s">
        <v>56</v>
      </c>
      <c r="B82" t="str">
        <f>"*"&amp;A82&amp;"*"</f>
        <v>*1134: Connection Issue - Cellular*</v>
      </c>
      <c r="C82">
        <f>COUNTIF(Monday!I:I, B82)</f>
        <v>0</v>
      </c>
      <c r="D82">
        <f>COUNTIF(Tuesday!I:I, B82)</f>
        <v>0</v>
      </c>
      <c r="E82">
        <f>COUNTIF(Wednesday!I:I, B82)</f>
        <v>0</v>
      </c>
      <c r="F82">
        <f>COUNTIF(Thursday!I:I, B82)</f>
        <v>0</v>
      </c>
      <c r="G82">
        <f>COUNTIF(Friday!I:I, B82)</f>
        <v>0</v>
      </c>
      <c r="H82">
        <f>SUM(C82:G82)</f>
        <v>0</v>
      </c>
    </row>
    <row r="83" spans="1:8" x14ac:dyDescent="0.25">
      <c r="A83" s="5" t="s">
        <v>57</v>
      </c>
      <c r="B83" t="str">
        <f>"*"&amp;A83&amp;"*"</f>
        <v>*2092: No Display Or Display Failure*</v>
      </c>
      <c r="C83">
        <f>COUNTIF(Monday!I:I, B83)</f>
        <v>0</v>
      </c>
      <c r="D83">
        <f>COUNTIF(Tuesday!I:I, B83)</f>
        <v>0</v>
      </c>
      <c r="E83">
        <f>COUNTIF(Wednesday!I:I, B83)</f>
        <v>0</v>
      </c>
      <c r="F83">
        <f>COUNTIF(Thursday!I:I, B83)</f>
        <v>0</v>
      </c>
      <c r="G83">
        <f>COUNTIF(Friday!I:I, B83)</f>
        <v>0</v>
      </c>
      <c r="H83">
        <f>SUM(C83:G83)</f>
        <v>0</v>
      </c>
    </row>
    <row r="84" spans="1:8" x14ac:dyDescent="0.25">
      <c r="A84" s="5" t="s">
        <v>58</v>
      </c>
      <c r="B84" t="str">
        <f>"*"&amp;A84&amp;"*"</f>
        <v>*2794: Error At Startup*</v>
      </c>
      <c r="C84">
        <f>COUNTIF(Monday!I:I, B84)</f>
        <v>0</v>
      </c>
      <c r="D84">
        <f>COUNTIF(Tuesday!I:I, B84)</f>
        <v>0</v>
      </c>
      <c r="E84">
        <f>COUNTIF(Wednesday!I:I, B84)</f>
        <v>0</v>
      </c>
      <c r="F84">
        <f>COUNTIF(Thursday!I:I, B84)</f>
        <v>0</v>
      </c>
      <c r="G84">
        <f>COUNTIF(Friday!I:I, B84)</f>
        <v>0</v>
      </c>
      <c r="H84">
        <f>SUM(C84:G84)</f>
        <v>0</v>
      </c>
    </row>
    <row r="85" spans="1:8" x14ac:dyDescent="0.25">
      <c r="A85" s="5" t="s">
        <v>59</v>
      </c>
      <c r="B85" t="str">
        <f>"*"&amp;A85&amp;"*"</f>
        <v>*1167: Date-Related Software Issue*</v>
      </c>
      <c r="C85">
        <f>COUNTIF(Monday!I:I, B85)</f>
        <v>0</v>
      </c>
      <c r="D85">
        <f>COUNTIF(Tuesday!I:I, B85)</f>
        <v>0</v>
      </c>
      <c r="E85">
        <f>COUNTIF(Wednesday!I:I, B85)</f>
        <v>0</v>
      </c>
      <c r="F85">
        <f>COUNTIF(Thursday!I:I, B85)</f>
        <v>0</v>
      </c>
      <c r="G85">
        <f>COUNTIF(Friday!I:I, B85)</f>
        <v>0</v>
      </c>
      <c r="H85">
        <f>SUM(C85:G85)</f>
        <v>0</v>
      </c>
    </row>
    <row r="86" spans="1:8" x14ac:dyDescent="0.25">
      <c r="A86" s="5" t="s">
        <v>62</v>
      </c>
      <c r="B86" t="str">
        <f>"*"&amp;A86&amp;"*"</f>
        <v>*2795: Error At Startup - Unable To Resolve*</v>
      </c>
      <c r="C86">
        <f>COUNTIF(Monday!I:I, B86)</f>
        <v>0</v>
      </c>
      <c r="D86">
        <f>COUNTIF(Tuesday!I:I, B86)</f>
        <v>0</v>
      </c>
      <c r="E86">
        <f>COUNTIF(Wednesday!I:I, B86)</f>
        <v>0</v>
      </c>
      <c r="F86">
        <f>COUNTIF(Thursday!I:I, B86)</f>
        <v>0</v>
      </c>
      <c r="G86">
        <f>COUNTIF(Friday!I:I, B86)</f>
        <v>0</v>
      </c>
      <c r="H86">
        <f>SUM(C86:G86)</f>
        <v>0</v>
      </c>
    </row>
    <row r="87" spans="1:8" x14ac:dyDescent="0.25">
      <c r="A87" s="5" t="s">
        <v>63</v>
      </c>
      <c r="B87" t="str">
        <f>"*"&amp;A87&amp;"*"</f>
        <v>**1555: Failure To Power-Up**</v>
      </c>
      <c r="C87">
        <f>COUNTIF(Monday!I:I, B87)</f>
        <v>0</v>
      </c>
      <c r="D87">
        <f>COUNTIF(Tuesday!I:I, B87)</f>
        <v>0</v>
      </c>
      <c r="E87">
        <f>COUNTIF(Wednesday!I:I, B87)</f>
        <v>0</v>
      </c>
      <c r="F87">
        <f>COUNTIF(Thursday!I:I, B87)</f>
        <v>0</v>
      </c>
      <c r="G87">
        <f>COUNTIF(Friday!I:I, B87)</f>
        <v>0</v>
      </c>
      <c r="H87">
        <f>SUM(C87:G87)</f>
        <v>0</v>
      </c>
    </row>
    <row r="88" spans="1:8" x14ac:dyDescent="0.25">
      <c r="A88" s="5" t="s">
        <v>65</v>
      </c>
      <c r="B88" t="str">
        <f>"*"&amp;A88&amp;"*"</f>
        <v>*2802: Error During Upgrade - Resolved*</v>
      </c>
      <c r="C88">
        <f>COUNTIF(Monday!I:I, B88)</f>
        <v>0</v>
      </c>
      <c r="D88">
        <f>COUNTIF(Tuesday!I:I, B88)</f>
        <v>0</v>
      </c>
      <c r="E88">
        <f>COUNTIF(Wednesday!I:I, B88)</f>
        <v>0</v>
      </c>
      <c r="F88">
        <f>COUNTIF(Thursday!I:I, B88)</f>
        <v>0</v>
      </c>
      <c r="G88">
        <f>COUNTIF(Friday!I:I, B88)</f>
        <v>0</v>
      </c>
      <c r="H88">
        <f>SUM(C88:G88)</f>
        <v>0</v>
      </c>
    </row>
    <row r="89" spans="1:8" x14ac:dyDescent="0.25">
      <c r="A89" s="5" t="s">
        <v>66</v>
      </c>
      <c r="B89" t="str">
        <f>"*"&amp;A89&amp;"*"</f>
        <v>*1346: Difficult To Remove*</v>
      </c>
      <c r="C89">
        <f>COUNTIF(Monday!I:I, B89)</f>
        <v>0</v>
      </c>
      <c r="D89">
        <f>COUNTIF(Tuesday!I:I, B89)</f>
        <v>0</v>
      </c>
      <c r="E89">
        <f>COUNTIF(Wednesday!I:I, B89)</f>
        <v>0</v>
      </c>
      <c r="F89">
        <f>COUNTIF(Thursday!I:I, B89)</f>
        <v>0</v>
      </c>
      <c r="G89">
        <f>COUNTIF(Friday!I:I, B89)</f>
        <v>0</v>
      </c>
      <c r="H89">
        <f>SUM(C89:G89)</f>
        <v>0</v>
      </c>
    </row>
    <row r="90" spans="1:8" x14ac:dyDescent="0.25">
      <c r="A90" s="5" t="s">
        <v>67</v>
      </c>
      <c r="B90" t="str">
        <f>"*"&amp;A90&amp;"*"</f>
        <v>*3146: Difficult To Interrogate/Telemetry (Telemetry Unknown)*</v>
      </c>
      <c r="C90">
        <f>COUNTIF(Monday!I:I, B90)</f>
        <v>0</v>
      </c>
      <c r="D90">
        <f>COUNTIF(Tuesday!I:I, B90)</f>
        <v>0</v>
      </c>
      <c r="E90">
        <f>COUNTIF(Wednesday!I:I, B90)</f>
        <v>0</v>
      </c>
      <c r="F90">
        <f>COUNTIF(Thursday!I:I, B90)</f>
        <v>0</v>
      </c>
      <c r="G90">
        <f>COUNTIF(Friday!I:I, B90)</f>
        <v>0</v>
      </c>
      <c r="H90">
        <f>SUM(C90:G90)</f>
        <v>0</v>
      </c>
    </row>
    <row r="91" spans="1:8" x14ac:dyDescent="0.25">
      <c r="A91" s="5" t="s">
        <v>69</v>
      </c>
      <c r="B91" t="str">
        <f>"*"&amp;A91&amp;"*"</f>
        <v>*1722: Incorrect Software Version*</v>
      </c>
      <c r="C91">
        <f>COUNTIF(Monday!I:I, B91)</f>
        <v>0</v>
      </c>
      <c r="D91">
        <f>COUNTIF(Tuesday!I:I, B91)</f>
        <v>0</v>
      </c>
      <c r="E91">
        <f>COUNTIF(Wednesday!I:I, B91)</f>
        <v>0</v>
      </c>
      <c r="F91">
        <f>COUNTIF(Thursday!I:I, B91)</f>
        <v>0</v>
      </c>
      <c r="G91">
        <f>COUNTIF(Friday!I:I, B91)</f>
        <v>0</v>
      </c>
      <c r="H91">
        <f>SUM(C91:G91)</f>
        <v>0</v>
      </c>
    </row>
    <row r="92" spans="1:8" x14ac:dyDescent="0.25">
      <c r="A92" s="5" t="s">
        <v>70</v>
      </c>
      <c r="B92" t="str">
        <f>"*"&amp;A92&amp;"*"</f>
        <v>*2801: Error During Upgrade - Unable To Resolve*</v>
      </c>
      <c r="C92">
        <f>COUNTIF(Monday!I:I, B92)</f>
        <v>0</v>
      </c>
      <c r="D92">
        <f>COUNTIF(Tuesday!I:I, B92)</f>
        <v>0</v>
      </c>
      <c r="E92">
        <f>COUNTIF(Wednesday!I:I, B92)</f>
        <v>0</v>
      </c>
      <c r="F92">
        <f>COUNTIF(Thursday!I:I, B92)</f>
        <v>0</v>
      </c>
      <c r="G92">
        <f>COUNTIF(Friday!I:I, B92)</f>
        <v>0</v>
      </c>
      <c r="H92">
        <f>SUM(C92:G92)</f>
        <v>0</v>
      </c>
    </row>
    <row r="93" spans="1:8" x14ac:dyDescent="0.25">
      <c r="A93" s="5" t="s">
        <v>71</v>
      </c>
      <c r="B93" t="str">
        <f>"*"&amp;A93&amp;"*"</f>
        <v>*2239: Printing Issues*</v>
      </c>
      <c r="C93">
        <f>COUNTIF(Monday!I:I, B93)</f>
        <v>0</v>
      </c>
      <c r="D93">
        <f>COUNTIF(Tuesday!I:I, B93)</f>
        <v>0</v>
      </c>
      <c r="E93">
        <f>COUNTIF(Wednesday!I:I, B93)</f>
        <v>0</v>
      </c>
      <c r="F93">
        <f>COUNTIF(Thursday!I:I, B93)</f>
        <v>0</v>
      </c>
      <c r="G93">
        <f>COUNTIF(Friday!I:I, B93)</f>
        <v>0</v>
      </c>
      <c r="H93">
        <f>SUM(C93:G93)</f>
        <v>0</v>
      </c>
    </row>
    <row r="94" spans="1:8" x14ac:dyDescent="0.25">
      <c r="A94" s="5" t="s">
        <v>74</v>
      </c>
      <c r="B94" t="str">
        <f>"*"&amp;A94&amp;"*"</f>
        <v>*2809: Unresponsive During Threshold Test*</v>
      </c>
      <c r="C94">
        <f>COUNTIF(Monday!I:I, B94)</f>
        <v>0</v>
      </c>
      <c r="D94">
        <f>COUNTIF(Tuesday!I:I, B94)</f>
        <v>0</v>
      </c>
      <c r="E94">
        <f>COUNTIF(Wednesday!I:I, B94)</f>
        <v>0</v>
      </c>
      <c r="F94">
        <f>COUNTIF(Thursday!I:I, B94)</f>
        <v>0</v>
      </c>
      <c r="G94">
        <f>COUNTIF(Friday!I:I, B94)</f>
        <v>0</v>
      </c>
      <c r="H94">
        <f>SUM(C94:G94)</f>
        <v>0</v>
      </c>
    </row>
    <row r="95" spans="1:8" x14ac:dyDescent="0.25">
      <c r="A95" s="5" t="s">
        <v>75</v>
      </c>
      <c r="B95" t="str">
        <f>"*"&amp;A95&amp;"*"</f>
        <v>*2171: Pacing Impedance High*</v>
      </c>
      <c r="C95">
        <f>COUNTIF(Monday!I:I, B95)</f>
        <v>0</v>
      </c>
      <c r="D95">
        <f>COUNTIF(Tuesday!I:I, B95)</f>
        <v>0</v>
      </c>
      <c r="E95">
        <f>COUNTIF(Wednesday!I:I, B95)</f>
        <v>0</v>
      </c>
      <c r="F95">
        <f>COUNTIF(Thursday!I:I, B95)</f>
        <v>0</v>
      </c>
      <c r="G95">
        <f>COUNTIF(Friday!I:I, B95)</f>
        <v>0</v>
      </c>
      <c r="H95">
        <f>SUM(C95:G95)</f>
        <v>0</v>
      </c>
    </row>
    <row r="96" spans="1:8" x14ac:dyDescent="0.25">
      <c r="A96" s="5" t="s">
        <v>77</v>
      </c>
      <c r="B96" t="str">
        <f>"*"&amp;A96&amp;"*"</f>
        <v>*2071: Missing*</v>
      </c>
      <c r="C96">
        <f>COUNTIF(Monday!I:I, B96)</f>
        <v>0</v>
      </c>
      <c r="D96">
        <f>COUNTIF(Tuesday!I:I, B96)</f>
        <v>0</v>
      </c>
      <c r="E96">
        <f>COUNTIF(Wednesday!I:I, B96)</f>
        <v>0</v>
      </c>
      <c r="F96">
        <f>COUNTIF(Thursday!I:I, B96)</f>
        <v>0</v>
      </c>
      <c r="G96">
        <f>COUNTIF(Friday!I:I, B96)</f>
        <v>0</v>
      </c>
      <c r="H96">
        <f>SUM(C96:G96)</f>
        <v>0</v>
      </c>
    </row>
    <row r="97" spans="1:8" x14ac:dyDescent="0.25">
      <c r="A97" s="5" t="s">
        <v>79</v>
      </c>
      <c r="B97" t="str">
        <f>"*"&amp;A97&amp;"*"</f>
        <v>*2121: Noise, Audible*</v>
      </c>
      <c r="C97">
        <f>COUNTIF(Monday!I:I, B97)</f>
        <v>0</v>
      </c>
      <c r="D97">
        <f>COUNTIF(Tuesday!I:I, B97)</f>
        <v>0</v>
      </c>
      <c r="E97">
        <f>COUNTIF(Wednesday!I:I, B97)</f>
        <v>0</v>
      </c>
      <c r="F97">
        <f>COUNTIF(Thursday!I:I, B97)</f>
        <v>0</v>
      </c>
      <c r="G97">
        <f>COUNTIF(Friday!I:I, B97)</f>
        <v>0</v>
      </c>
      <c r="H97">
        <f>SUM(C97:G97)</f>
        <v>0</v>
      </c>
    </row>
    <row r="98" spans="1:8" x14ac:dyDescent="0.25">
      <c r="A98" s="5" t="s">
        <v>80</v>
      </c>
      <c r="B98" t="str">
        <f>"*"&amp;A98&amp;"*"</f>
        <v>*2814: Threshold Issue*</v>
      </c>
      <c r="C98">
        <f>COUNTIF(Monday!I:I, B98)</f>
        <v>0</v>
      </c>
      <c r="D98">
        <f>COUNTIF(Tuesday!I:I, B98)</f>
        <v>0</v>
      </c>
      <c r="E98">
        <f>COUNTIF(Wednesday!I:I, B98)</f>
        <v>0</v>
      </c>
      <c r="F98">
        <f>COUNTIF(Thursday!I:I, B98)</f>
        <v>0</v>
      </c>
      <c r="G98">
        <f>COUNTIF(Friday!I:I, B98)</f>
        <v>0</v>
      </c>
      <c r="H98">
        <f>SUM(C98:G98)</f>
        <v>0</v>
      </c>
    </row>
    <row r="99" spans="1:8" x14ac:dyDescent="0.25">
      <c r="A99" s="5" t="s">
        <v>81</v>
      </c>
      <c r="B99" t="str">
        <f>"*"&amp;A99&amp;"*"</f>
        <v>*2782: Cellular Connection Issue*</v>
      </c>
      <c r="C99">
        <f>COUNTIF(Monday!I:I, B99)</f>
        <v>0</v>
      </c>
      <c r="D99">
        <f>COUNTIF(Tuesday!I:I, B99)</f>
        <v>0</v>
      </c>
      <c r="E99">
        <f>COUNTIF(Wednesday!I:I, B99)</f>
        <v>0</v>
      </c>
      <c r="F99">
        <f>COUNTIF(Thursday!I:I, B99)</f>
        <v>0</v>
      </c>
      <c r="G99">
        <f>COUNTIF(Friday!I:I, B99)</f>
        <v>0</v>
      </c>
      <c r="H99">
        <f>SUM(C99:G99)</f>
        <v>0</v>
      </c>
    </row>
    <row r="100" spans="1:8" x14ac:dyDescent="0.25">
      <c r="A100" s="5" t="s">
        <v>82</v>
      </c>
      <c r="B100" t="str">
        <f>"*"&amp;A100&amp;"*"</f>
        <v>*2785: Poor Cellular Quality/Connection Quality*</v>
      </c>
      <c r="C100">
        <f>COUNTIF(Monday!I:I, B100)</f>
        <v>0</v>
      </c>
      <c r="D100">
        <f>COUNTIF(Tuesday!I:I, B100)</f>
        <v>0</v>
      </c>
      <c r="E100">
        <f>COUNTIF(Wednesday!I:I, B100)</f>
        <v>0</v>
      </c>
      <c r="F100">
        <f>COUNTIF(Thursday!I:I, B100)</f>
        <v>0</v>
      </c>
      <c r="G100">
        <f>COUNTIF(Friday!I:I, B100)</f>
        <v>0</v>
      </c>
      <c r="H100">
        <f>SUM(C100:G100)</f>
        <v>0</v>
      </c>
    </row>
    <row r="101" spans="1:8" x14ac:dyDescent="0.25">
      <c r="A101" s="5" t="s">
        <v>83</v>
      </c>
      <c r="B101" t="str">
        <f>"*"&amp;A101&amp;"*"</f>
        <v>*3142: Software Upgrade Issue Using Cellular*</v>
      </c>
      <c r="C101">
        <f>COUNTIF(Monday!I:I, B101)</f>
        <v>0</v>
      </c>
      <c r="D101">
        <f>COUNTIF(Tuesday!I:I, B101)</f>
        <v>0</v>
      </c>
      <c r="E101">
        <f>COUNTIF(Wednesday!I:I, B101)</f>
        <v>0</v>
      </c>
      <c r="F101">
        <f>COUNTIF(Thursday!I:I, B101)</f>
        <v>0</v>
      </c>
      <c r="G101">
        <f>COUNTIF(Friday!I:I, B101)</f>
        <v>0</v>
      </c>
      <c r="H101">
        <f>SUM(C101:G101)</f>
        <v>0</v>
      </c>
    </row>
    <row r="102" spans="1:8" x14ac:dyDescent="0.25">
      <c r="A102" s="5" t="s">
        <v>84</v>
      </c>
      <c r="B102" t="str">
        <f>"*"&amp;A102&amp;"*"</f>
        <v>*3145: Unable To Make/Receive Call*</v>
      </c>
      <c r="C102">
        <f>COUNTIF(Monday!I:I, B102)</f>
        <v>0</v>
      </c>
      <c r="D102">
        <f>COUNTIF(Tuesday!I:I, B102)</f>
        <v>0</v>
      </c>
      <c r="E102">
        <f>COUNTIF(Wednesday!I:I, B102)</f>
        <v>0</v>
      </c>
      <c r="F102">
        <f>COUNTIF(Thursday!I:I, B102)</f>
        <v>0</v>
      </c>
      <c r="G102">
        <f>COUNTIF(Friday!I:I, B102)</f>
        <v>0</v>
      </c>
      <c r="H102">
        <f>SUM(C102:G102)</f>
        <v>0</v>
      </c>
    </row>
    <row r="103" spans="1:8" x14ac:dyDescent="0.25">
      <c r="A103" s="5" t="s">
        <v>87</v>
      </c>
      <c r="B103" t="str">
        <f>"*"&amp;A103&amp;"*"</f>
        <v>*2176: Pacing Impedance Low Within Normal Limits*</v>
      </c>
      <c r="C103">
        <f>COUNTIF(Monday!I:I, B103)</f>
        <v>0</v>
      </c>
      <c r="D103">
        <f>COUNTIF(Tuesday!I:I, B103)</f>
        <v>0</v>
      </c>
      <c r="E103">
        <f>COUNTIF(Wednesday!I:I, B103)</f>
        <v>0</v>
      </c>
      <c r="F103">
        <f>COUNTIF(Thursday!I:I, B103)</f>
        <v>0</v>
      </c>
      <c r="G103">
        <f>COUNTIF(Friday!I:I, B103)</f>
        <v>0</v>
      </c>
      <c r="H103">
        <f>SUM(C103:G103)</f>
        <v>0</v>
      </c>
    </row>
    <row r="104" spans="1:8" x14ac:dyDescent="0.25">
      <c r="A104" s="5" t="s">
        <v>89</v>
      </c>
      <c r="B104" t="str">
        <f>"*"&amp;A104&amp;"*"</f>
        <v>*2767: Telemetry Noise*</v>
      </c>
      <c r="C104">
        <f>COUNTIF(Monday!I:I, B104)</f>
        <v>0</v>
      </c>
      <c r="D104">
        <f>COUNTIF(Tuesday!I:I, B104)</f>
        <v>0</v>
      </c>
      <c r="E104">
        <f>COUNTIF(Wednesday!I:I, B104)</f>
        <v>0</v>
      </c>
      <c r="F104">
        <f>COUNTIF(Thursday!I:I, B104)</f>
        <v>0</v>
      </c>
      <c r="G104">
        <f>COUNTIF(Friday!I:I, B104)</f>
        <v>0</v>
      </c>
      <c r="H104">
        <f>SUM(C104:G104)</f>
        <v>0</v>
      </c>
    </row>
    <row r="105" spans="1:8" x14ac:dyDescent="0.25">
      <c r="A105" s="5" t="s">
        <v>90</v>
      </c>
      <c r="B105" t="str">
        <f>"*"&amp;A105&amp;"*"</f>
        <v>*2776: Wi-Fi Connection Issue*</v>
      </c>
      <c r="C105">
        <f>COUNTIF(Monday!I:I, B105)</f>
        <v>0</v>
      </c>
      <c r="D105">
        <f>COUNTIF(Tuesday!I:I, B105)</f>
        <v>0</v>
      </c>
      <c r="E105">
        <f>COUNTIF(Wednesday!I:I, B105)</f>
        <v>0</v>
      </c>
      <c r="F105">
        <f>COUNTIF(Thursday!I:I, B105)</f>
        <v>0</v>
      </c>
      <c r="G105">
        <f>COUNTIF(Friday!I:I, B105)</f>
        <v>0</v>
      </c>
      <c r="H105">
        <f>SUM(C105:G105)</f>
        <v>0</v>
      </c>
    </row>
    <row r="106" spans="1:8" x14ac:dyDescent="0.25">
      <c r="A106" s="5" t="s">
        <v>91</v>
      </c>
      <c r="B106" t="str">
        <f>"*"&amp;A106&amp;"*"</f>
        <v>*1025: Audio Issue*</v>
      </c>
      <c r="C106">
        <f>COUNTIF(Monday!I:I, B106)</f>
        <v>0</v>
      </c>
      <c r="D106">
        <f>COUNTIF(Tuesday!I:I, B106)</f>
        <v>0</v>
      </c>
      <c r="E106">
        <f>COUNTIF(Wednesday!I:I, B106)</f>
        <v>0</v>
      </c>
      <c r="F106">
        <f>COUNTIF(Thursday!I:I, B106)</f>
        <v>0</v>
      </c>
      <c r="G106">
        <f>COUNTIF(Friday!I:I, B106)</f>
        <v>0</v>
      </c>
      <c r="H106">
        <f>SUM(C106:G106)</f>
        <v>0</v>
      </c>
    </row>
    <row r="107" spans="1:8" x14ac:dyDescent="0.25">
      <c r="A107" s="5" t="s">
        <v>92</v>
      </c>
      <c r="B107" t="str">
        <f>"*"&amp;A107&amp;"*"</f>
        <v>*2796: Error At Startup - Resolved*</v>
      </c>
      <c r="C107">
        <f>COUNTIF(Monday!I:I, B107)</f>
        <v>0</v>
      </c>
      <c r="D107">
        <f>COUNTIF(Tuesday!I:I, B107)</f>
        <v>0</v>
      </c>
      <c r="E107">
        <f>COUNTIF(Wednesday!I:I, B107)</f>
        <v>0</v>
      </c>
      <c r="F107">
        <f>COUNTIF(Thursday!I:I, B107)</f>
        <v>0</v>
      </c>
      <c r="G107">
        <f>COUNTIF(Friday!I:I, B107)</f>
        <v>0</v>
      </c>
      <c r="H107">
        <f>SUM(C107:G107)</f>
        <v>0</v>
      </c>
    </row>
    <row r="108" spans="1:8" x14ac:dyDescent="0.25">
      <c r="A108" s="5" t="s">
        <v>28</v>
      </c>
      <c r="B108" t="str">
        <f>"*"&amp;A108&amp;"*"</f>
        <v>*2175: Pacing Impedance Low Out Of Range*</v>
      </c>
      <c r="C108">
        <f>COUNTIF(Monday!I:I, B108)</f>
        <v>0</v>
      </c>
      <c r="D108">
        <f>COUNTIF(Tuesday!I:I, B108)</f>
        <v>0</v>
      </c>
      <c r="E108">
        <f>COUNTIF(Wednesday!I:I, B108)</f>
        <v>0</v>
      </c>
      <c r="F108">
        <f>COUNTIF(Thursday!I:I, B108)</f>
        <v>0</v>
      </c>
      <c r="G108">
        <f>COUNTIF(Friday!I:I, B108)</f>
        <v>0</v>
      </c>
      <c r="H108">
        <f>SUM(C108:G108)</f>
        <v>0</v>
      </c>
    </row>
    <row r="109" spans="1:8" x14ac:dyDescent="0.25">
      <c r="A109" s="5" t="s">
        <v>95</v>
      </c>
      <c r="B109" t="str">
        <f>"*"&amp;A109&amp;"*"</f>
        <v>*3143: Difficulty Updating Implantable Device Software*</v>
      </c>
      <c r="C109">
        <f>COUNTIF(Monday!I:I, B109)</f>
        <v>0</v>
      </c>
      <c r="D109">
        <f>COUNTIF(Tuesday!I:I, B109)</f>
        <v>0</v>
      </c>
      <c r="E109">
        <f>COUNTIF(Wednesday!I:I, B109)</f>
        <v>0</v>
      </c>
      <c r="F109">
        <f>COUNTIF(Thursday!I:I, B109)</f>
        <v>0</v>
      </c>
      <c r="G109">
        <f>COUNTIF(Friday!I:I, B109)</f>
        <v>0</v>
      </c>
      <c r="H109">
        <f>SUM(C109:G109)</f>
        <v>0</v>
      </c>
    </row>
    <row r="110" spans="1:8" x14ac:dyDescent="0.25">
      <c r="A110" s="5" t="s">
        <v>96</v>
      </c>
      <c r="B110" t="str">
        <f>"*"&amp;A110&amp;"*"</f>
        <v>*1496: Failure To Charge*</v>
      </c>
      <c r="C110">
        <f>COUNTIF(Monday!I:I, B110)</f>
        <v>0</v>
      </c>
      <c r="D110">
        <f>COUNTIF(Tuesday!I:I, B110)</f>
        <v>0</v>
      </c>
      <c r="E110">
        <f>COUNTIF(Wednesday!I:I, B110)</f>
        <v>0</v>
      </c>
      <c r="F110">
        <f>COUNTIF(Thursday!I:I, B110)</f>
        <v>0</v>
      </c>
      <c r="G110">
        <f>COUNTIF(Friday!I:I, B110)</f>
        <v>0</v>
      </c>
      <c r="H110">
        <f>SUM(C110:G110)</f>
        <v>0</v>
      </c>
    </row>
    <row r="111" spans="1:8" x14ac:dyDescent="0.25">
      <c r="A111" s="5" t="s">
        <v>97</v>
      </c>
      <c r="B111" t="str">
        <f>"*"&amp;A111&amp;"*"</f>
        <v>*1135: Connection Issue - Ethernet*</v>
      </c>
      <c r="C111">
        <f>COUNTIF(Monday!I:I, B111)</f>
        <v>0</v>
      </c>
      <c r="D111">
        <f>COUNTIF(Tuesday!I:I, B111)</f>
        <v>0</v>
      </c>
      <c r="E111">
        <f>COUNTIF(Wednesday!I:I, B111)</f>
        <v>0</v>
      </c>
      <c r="F111">
        <f>COUNTIF(Thursday!I:I, B111)</f>
        <v>0</v>
      </c>
      <c r="G111">
        <f>COUNTIF(Friday!I:I, B111)</f>
        <v>0</v>
      </c>
      <c r="H111">
        <f>SUM(C111:G111)</f>
        <v>0</v>
      </c>
    </row>
    <row r="112" spans="1:8" x14ac:dyDescent="0.25">
      <c r="A112" s="5" t="s">
        <v>98</v>
      </c>
      <c r="B112" t="str">
        <f>"*"&amp;A112&amp;"*"</f>
        <v>*2811: Software Upgrade Issue Using Wi-Fi*</v>
      </c>
      <c r="C112">
        <f>COUNTIF(Monday!I:I, B112)</f>
        <v>0</v>
      </c>
      <c r="D112">
        <f>COUNTIF(Tuesday!I:I, B112)</f>
        <v>0</v>
      </c>
      <c r="E112">
        <f>COUNTIF(Wednesday!I:I, B112)</f>
        <v>0</v>
      </c>
      <c r="F112">
        <f>COUNTIF(Thursday!I:I, B112)</f>
        <v>0</v>
      </c>
      <c r="G112">
        <f>COUNTIF(Friday!I:I, B112)</f>
        <v>0</v>
      </c>
      <c r="H112">
        <f>SUM(C112:G112)</f>
        <v>0</v>
      </c>
    </row>
    <row r="113" spans="1:8" x14ac:dyDescent="0.25">
      <c r="A113" s="5" t="s">
        <v>99</v>
      </c>
      <c r="B113" t="str">
        <f>"*"&amp;A113&amp;"*"</f>
        <v>*2822: Egram Clarity/Marker Issue*</v>
      </c>
      <c r="C113">
        <f>COUNTIF(Monday!I:I, B113)</f>
        <v>0</v>
      </c>
      <c r="D113">
        <f>COUNTIF(Tuesday!I:I, B113)</f>
        <v>0</v>
      </c>
      <c r="E113">
        <f>COUNTIF(Wednesday!I:I, B113)</f>
        <v>0</v>
      </c>
      <c r="F113">
        <f>COUNTIF(Thursday!I:I, B113)</f>
        <v>0</v>
      </c>
      <c r="G113">
        <f>COUNTIF(Friday!I:I, B113)</f>
        <v>0</v>
      </c>
      <c r="H113">
        <f>SUM(C113:G113)</f>
        <v>0</v>
      </c>
    </row>
    <row r="114" spans="1:8" x14ac:dyDescent="0.25">
      <c r="A114" s="5" t="s">
        <v>100</v>
      </c>
      <c r="B114" t="str">
        <f>"*"&amp;A114&amp;"*"</f>
        <v>*2778: Unable To Connect To Wi-Fi Network*</v>
      </c>
      <c r="C114">
        <f>COUNTIF(Monday!I:I, B114)</f>
        <v>0</v>
      </c>
      <c r="D114">
        <f>COUNTIF(Tuesday!I:I, B114)</f>
        <v>0</v>
      </c>
      <c r="E114">
        <f>COUNTIF(Wednesday!I:I, B114)</f>
        <v>0</v>
      </c>
      <c r="F114">
        <f>COUNTIF(Thursday!I:I, B114)</f>
        <v>0</v>
      </c>
      <c r="G114">
        <f>COUNTIF(Friday!I:I, B114)</f>
        <v>0</v>
      </c>
      <c r="H114">
        <f>SUM(C114:G114)</f>
        <v>0</v>
      </c>
    </row>
    <row r="115" spans="1:8" x14ac:dyDescent="0.25">
      <c r="A115" s="5" t="s">
        <v>101</v>
      </c>
      <c r="B115" t="str">
        <f>"*"&amp;A115&amp;"*"</f>
        <v>*1632: Foreign Material Present In Device*</v>
      </c>
      <c r="C115">
        <f>COUNTIF(Monday!I:I, B115)</f>
        <v>0</v>
      </c>
      <c r="D115">
        <f>COUNTIF(Tuesday!I:I, B115)</f>
        <v>0</v>
      </c>
      <c r="E115">
        <f>COUNTIF(Wednesday!I:I, B115)</f>
        <v>0</v>
      </c>
      <c r="F115">
        <f>COUNTIF(Thursday!I:I, B115)</f>
        <v>0</v>
      </c>
      <c r="G115">
        <f>COUNTIF(Friday!I:I, B115)</f>
        <v>0</v>
      </c>
      <c r="H115">
        <f>SUM(C115:G115)</f>
        <v>0</v>
      </c>
    </row>
    <row r="116" spans="1:8" x14ac:dyDescent="0.25">
      <c r="A116" s="5" t="s">
        <v>103</v>
      </c>
      <c r="B116" t="str">
        <f>"*"&amp;A116&amp;"*"</f>
        <v>*2789: Battery Does Not Fully Charge*</v>
      </c>
      <c r="C116">
        <f>COUNTIF(Monday!I:I, B116)</f>
        <v>0</v>
      </c>
      <c r="D116">
        <f>COUNTIF(Tuesday!I:I, B116)</f>
        <v>0</v>
      </c>
      <c r="E116">
        <f>COUNTIF(Wednesday!I:I, B116)</f>
        <v>0</v>
      </c>
      <c r="F116">
        <f>COUNTIF(Thursday!I:I, B116)</f>
        <v>0</v>
      </c>
      <c r="G116">
        <f>COUNTIF(Friday!I:I, B116)</f>
        <v>0</v>
      </c>
      <c r="H116">
        <f>SUM(C116:G116)</f>
        <v>0</v>
      </c>
    </row>
    <row r="117" spans="1:8" x14ac:dyDescent="0.25">
      <c r="A117" s="5" t="s">
        <v>104</v>
      </c>
      <c r="B117" t="str">
        <f>"*"&amp;A117&amp;"*"</f>
        <v>*1116: Communication - Incomplete Interrogation*</v>
      </c>
      <c r="C117">
        <f>COUNTIF(Monday!I:I, B117)</f>
        <v>0</v>
      </c>
      <c r="D117">
        <f>COUNTIF(Tuesday!I:I, B117)</f>
        <v>0</v>
      </c>
      <c r="E117">
        <f>COUNTIF(Wednesday!I:I, B117)</f>
        <v>0</v>
      </c>
      <c r="F117">
        <f>COUNTIF(Thursday!I:I, B117)</f>
        <v>0</v>
      </c>
      <c r="G117">
        <f>COUNTIF(Friday!I:I, B117)</f>
        <v>0</v>
      </c>
      <c r="H117">
        <f>SUM(C117:G117)</f>
        <v>0</v>
      </c>
    </row>
    <row r="118" spans="1:8" x14ac:dyDescent="0.25">
      <c r="A118" s="5" t="s">
        <v>105</v>
      </c>
      <c r="B118" t="str">
        <f>"*"&amp;A118&amp;"*"</f>
        <v>*2068: Miscellaneous/Other*</v>
      </c>
      <c r="C118">
        <f>COUNTIF(Monday!I:I, B118)</f>
        <v>0</v>
      </c>
      <c r="D118">
        <f>COUNTIF(Tuesday!I:I, B118)</f>
        <v>0</v>
      </c>
      <c r="E118">
        <f>COUNTIF(Wednesday!I:I, B118)</f>
        <v>0</v>
      </c>
      <c r="F118">
        <f>COUNTIF(Thursday!I:I, B118)</f>
        <v>0</v>
      </c>
      <c r="G118">
        <f>COUNTIF(Friday!I:I, B118)</f>
        <v>0</v>
      </c>
      <c r="H118">
        <f>SUM(C118:G118)</f>
        <v>0</v>
      </c>
    </row>
    <row r="119" spans="1:8" x14ac:dyDescent="0.25">
      <c r="A119" s="5" t="s">
        <v>106</v>
      </c>
      <c r="B119" t="str">
        <f>"*"&amp;A119&amp;"*"</f>
        <v>*2300: Sending Issue*</v>
      </c>
      <c r="C119">
        <f>COUNTIF(Monday!I:I, B119)</f>
        <v>0</v>
      </c>
      <c r="D119">
        <f>COUNTIF(Tuesday!I:I, B119)</f>
        <v>0</v>
      </c>
      <c r="E119">
        <f>COUNTIF(Wednesday!I:I, B119)</f>
        <v>0</v>
      </c>
      <c r="F119">
        <f>COUNTIF(Thursday!I:I, B119)</f>
        <v>0</v>
      </c>
      <c r="G119">
        <f>COUNTIF(Friday!I:I, B119)</f>
        <v>0</v>
      </c>
      <c r="H119">
        <f>SUM(C119:G119)</f>
        <v>0</v>
      </c>
    </row>
    <row r="120" spans="1:8" x14ac:dyDescent="0.25">
      <c r="A120" s="5" t="s">
        <v>108</v>
      </c>
      <c r="B120" t="str">
        <f>"*"&amp;A120&amp;"*"</f>
        <v>*2771: Unable To Connect To USB Printer*</v>
      </c>
      <c r="C120">
        <f>COUNTIF(Monday!I:I, B120)</f>
        <v>0</v>
      </c>
      <c r="D120">
        <f>COUNTIF(Tuesday!I:I, B120)</f>
        <v>0</v>
      </c>
      <c r="E120">
        <f>COUNTIF(Wednesday!I:I, B120)</f>
        <v>0</v>
      </c>
      <c r="F120">
        <f>COUNTIF(Thursday!I:I, B120)</f>
        <v>0</v>
      </c>
      <c r="G120">
        <f>COUNTIF(Friday!I:I, B120)</f>
        <v>0</v>
      </c>
      <c r="H120">
        <f>SUM(C120:G120)</f>
        <v>0</v>
      </c>
    </row>
    <row r="121" spans="1:8" x14ac:dyDescent="0.25">
      <c r="A121" s="5" t="s">
        <v>110</v>
      </c>
      <c r="B121" t="str">
        <f>"*"&amp;A121&amp;"*"</f>
        <v>*2781: Poor Wi-Fi Quality/Connection Quality*</v>
      </c>
      <c r="C121">
        <f>COUNTIF(Monday!I:I, B121)</f>
        <v>0</v>
      </c>
      <c r="D121">
        <f>COUNTIF(Tuesday!I:I, B121)</f>
        <v>0</v>
      </c>
      <c r="E121">
        <f>COUNTIF(Wednesday!I:I, B121)</f>
        <v>0</v>
      </c>
      <c r="F121">
        <f>COUNTIF(Thursday!I:I, B121)</f>
        <v>0</v>
      </c>
      <c r="G121">
        <f>COUNTIF(Friday!I:I, B121)</f>
        <v>0</v>
      </c>
      <c r="H121">
        <f>SUM(C121:G121)</f>
        <v>0</v>
      </c>
    </row>
    <row r="122" spans="1:8" x14ac:dyDescent="0.25">
      <c r="A122" s="5" t="s">
        <v>111</v>
      </c>
      <c r="B122" t="str">
        <f>"*"&amp;A122&amp;"*"</f>
        <v>*2784: Unable To Connect To Cell Adapter*</v>
      </c>
      <c r="C122">
        <f>COUNTIF(Monday!I:I, B122)</f>
        <v>0</v>
      </c>
      <c r="D122">
        <f>COUNTIF(Tuesday!I:I, B122)</f>
        <v>0</v>
      </c>
      <c r="E122">
        <f>COUNTIF(Wednesday!I:I, B122)</f>
        <v>0</v>
      </c>
      <c r="F122">
        <f>COUNTIF(Thursday!I:I, B122)</f>
        <v>0</v>
      </c>
      <c r="G122">
        <f>COUNTIF(Friday!I:I, B122)</f>
        <v>0</v>
      </c>
      <c r="H122">
        <f>SUM(C122:G122)</f>
        <v>0</v>
      </c>
    </row>
    <row r="123" spans="1:8" x14ac:dyDescent="0.25">
      <c r="A123" s="5" t="s">
        <v>112</v>
      </c>
      <c r="B123" t="str">
        <f>"*"&amp;A123&amp;"*"</f>
        <v>*2818: Impedance Different Than Competitor*</v>
      </c>
      <c r="C123">
        <f>COUNTIF(Monday!I:I, B123)</f>
        <v>0</v>
      </c>
      <c r="D123">
        <f>COUNTIF(Tuesday!I:I, B123)</f>
        <v>0</v>
      </c>
      <c r="E123">
        <f>COUNTIF(Wednesday!I:I, B123)</f>
        <v>0</v>
      </c>
      <c r="F123">
        <f>COUNTIF(Thursday!I:I, B123)</f>
        <v>0</v>
      </c>
      <c r="G123">
        <f>COUNTIF(Friday!I:I, B123)</f>
        <v>0</v>
      </c>
      <c r="H123">
        <f>SUM(C123:G123)</f>
        <v>0</v>
      </c>
    </row>
    <row r="124" spans="1:8" x14ac:dyDescent="0.25">
      <c r="A124" s="5" t="s">
        <v>114</v>
      </c>
      <c r="B124" t="str">
        <f>"*"&amp;A124&amp;"*"</f>
        <v>*2769: Unable To Connect To Printer*</v>
      </c>
      <c r="C124">
        <f>COUNTIF(Monday!I:I, B124)</f>
        <v>0</v>
      </c>
      <c r="D124">
        <f>COUNTIF(Tuesday!I:I, B124)</f>
        <v>0</v>
      </c>
      <c r="E124">
        <f>COUNTIF(Wednesday!I:I, B124)</f>
        <v>0</v>
      </c>
      <c r="F124">
        <f>COUNTIF(Thursday!I:I, B124)</f>
        <v>0</v>
      </c>
      <c r="G124">
        <f>COUNTIF(Friday!I:I, B124)</f>
        <v>0</v>
      </c>
      <c r="H124">
        <f>SUM(C124:G124)</f>
        <v>0</v>
      </c>
    </row>
    <row r="125" spans="1:8" x14ac:dyDescent="0.25">
      <c r="A125" s="5" t="s">
        <v>115</v>
      </c>
      <c r="B125" t="str">
        <f>"*"&amp;A125&amp;"*"</f>
        <v>*1127: Component Missing*</v>
      </c>
      <c r="C125">
        <f>COUNTIF(Monday!I:I, B125)</f>
        <v>0</v>
      </c>
      <c r="D125">
        <f>COUNTIF(Tuesday!I:I, B125)</f>
        <v>0</v>
      </c>
      <c r="E125">
        <f>COUNTIF(Wednesday!I:I, B125)</f>
        <v>0</v>
      </c>
      <c r="F125">
        <f>COUNTIF(Thursday!I:I, B125)</f>
        <v>0</v>
      </c>
      <c r="G125">
        <f>COUNTIF(Friday!I:I, B125)</f>
        <v>0</v>
      </c>
      <c r="H125">
        <f>SUM(C125:G125)</f>
        <v>0</v>
      </c>
    </row>
    <row r="126" spans="1:8" x14ac:dyDescent="0.25">
      <c r="A126" s="5" t="s">
        <v>116</v>
      </c>
      <c r="B126" t="str">
        <f>"*"&amp;A126&amp;"*"</f>
        <v>*2774: Unable To Pair To Bluetooth Device*</v>
      </c>
      <c r="C126">
        <f>COUNTIF(Monday!I:I, B126)</f>
        <v>0</v>
      </c>
      <c r="D126">
        <f>COUNTIF(Tuesday!I:I, B126)</f>
        <v>0</v>
      </c>
      <c r="E126">
        <f>COUNTIF(Wednesday!I:I, B126)</f>
        <v>0</v>
      </c>
      <c r="F126">
        <f>COUNTIF(Thursday!I:I, B126)</f>
        <v>0</v>
      </c>
      <c r="G126">
        <f>COUNTIF(Friday!I:I, B126)</f>
        <v>0</v>
      </c>
      <c r="H126">
        <f>SUM(C126:G126)</f>
        <v>0</v>
      </c>
    </row>
    <row r="127" spans="1:8" x14ac:dyDescent="0.25">
      <c r="A127" s="5" t="s">
        <v>117</v>
      </c>
      <c r="B127" t="str">
        <f>"*"&amp;A127&amp;"*"</f>
        <v>*2174: Pacing Impedance Low*</v>
      </c>
      <c r="C127">
        <f>COUNTIF(Monday!I:I, B127)</f>
        <v>0</v>
      </c>
      <c r="D127">
        <f>COUNTIF(Tuesday!I:I, B127)</f>
        <v>0</v>
      </c>
      <c r="E127">
        <f>COUNTIF(Wednesday!I:I, B127)</f>
        <v>0</v>
      </c>
      <c r="F127">
        <f>COUNTIF(Thursday!I:I, B127)</f>
        <v>0</v>
      </c>
      <c r="G127">
        <f>COUNTIF(Friday!I:I, B127)</f>
        <v>0</v>
      </c>
      <c r="H127">
        <f>SUM(C127:G127)</f>
        <v>0</v>
      </c>
    </row>
    <row r="128" spans="1:8" x14ac:dyDescent="0.25">
      <c r="A128" s="5" t="s">
        <v>118</v>
      </c>
      <c r="B128" t="str">
        <f>"*"&amp;A128&amp;"*"</f>
        <v>*2772: Bluetooth Connection Issue*</v>
      </c>
      <c r="C128">
        <f>COUNTIF(Monday!I:I, B128)</f>
        <v>0</v>
      </c>
      <c r="D128">
        <f>COUNTIF(Tuesday!I:I, B128)</f>
        <v>0</v>
      </c>
      <c r="E128">
        <f>COUNTIF(Wednesday!I:I, B128)</f>
        <v>0</v>
      </c>
      <c r="F128">
        <f>COUNTIF(Thursday!I:I, B128)</f>
        <v>0</v>
      </c>
      <c r="G128">
        <f>COUNTIF(Friday!I:I, B128)</f>
        <v>0</v>
      </c>
      <c r="H128">
        <f>SUM(C128:G128)</f>
        <v>0</v>
      </c>
    </row>
    <row r="129" spans="1:8" x14ac:dyDescent="0.25">
      <c r="A129" s="5" t="s">
        <v>119</v>
      </c>
      <c r="B129" t="str">
        <f>"*"&amp;A129&amp;"*"</f>
        <v>*2783: Unable To Recognize Cell Adapter*</v>
      </c>
      <c r="C129">
        <f>COUNTIF(Monday!I:I, B129)</f>
        <v>0</v>
      </c>
      <c r="D129">
        <f>COUNTIF(Tuesday!I:I, B129)</f>
        <v>0</v>
      </c>
      <c r="E129">
        <f>COUNTIF(Wednesday!I:I, B129)</f>
        <v>0</v>
      </c>
      <c r="F129">
        <f>COUNTIF(Thursday!I:I, B129)</f>
        <v>0</v>
      </c>
      <c r="G129">
        <f>COUNTIF(Friday!I:I, B129)</f>
        <v>0</v>
      </c>
      <c r="H129">
        <f>SUM(C129:G129)</f>
        <v>0</v>
      </c>
    </row>
    <row r="130" spans="1:8" x14ac:dyDescent="0.25">
      <c r="A130" s="5" t="s">
        <v>120</v>
      </c>
      <c r="B130" t="str">
        <f>"*"&amp;A130&amp;"*"</f>
        <v>*3144: Unable To Select/Find Contact*</v>
      </c>
      <c r="C130">
        <f>COUNTIF(Monday!I:I, B130)</f>
        <v>0</v>
      </c>
      <c r="D130">
        <f>COUNTIF(Tuesday!I:I, B130)</f>
        <v>0</v>
      </c>
      <c r="E130">
        <f>COUNTIF(Wednesday!I:I, B130)</f>
        <v>0</v>
      </c>
      <c r="F130">
        <f>COUNTIF(Thursday!I:I, B130)</f>
        <v>0</v>
      </c>
      <c r="G130">
        <f>COUNTIF(Friday!I:I, B130)</f>
        <v>0</v>
      </c>
      <c r="H130">
        <f>SUM(C130:G130)</f>
        <v>0</v>
      </c>
    </row>
    <row r="131" spans="1:8" x14ac:dyDescent="0.25">
      <c r="A131" s="5" t="s">
        <v>121</v>
      </c>
      <c r="B131" t="str">
        <f>"*"&amp;A131&amp;"*"</f>
        <v>*2339: Software User Interface Issue*</v>
      </c>
      <c r="C131">
        <f>COUNTIF(Monday!I:I, B131)</f>
        <v>0</v>
      </c>
      <c r="D131">
        <f>COUNTIF(Tuesday!I:I, B131)</f>
        <v>0</v>
      </c>
      <c r="E131">
        <f>COUNTIF(Wednesday!I:I, B131)</f>
        <v>0</v>
      </c>
      <c r="F131">
        <f>COUNTIF(Thursday!I:I, B131)</f>
        <v>0</v>
      </c>
      <c r="G131">
        <f>COUNTIF(Friday!I:I, B131)</f>
        <v>0</v>
      </c>
      <c r="H131">
        <f>SUM(C131:G131)</f>
        <v>0</v>
      </c>
    </row>
    <row r="132" spans="1:8" x14ac:dyDescent="0.25">
      <c r="A132" s="5" t="s">
        <v>123</v>
      </c>
      <c r="B132" t="str">
        <f>"*"&amp;A132&amp;"*"</f>
        <v>*1789: Literature/Manual/Handbook Issue*</v>
      </c>
      <c r="C132">
        <f>COUNTIF(Monday!I:I, B132)</f>
        <v>0</v>
      </c>
      <c r="D132">
        <f>COUNTIF(Tuesday!I:I, B132)</f>
        <v>0</v>
      </c>
      <c r="E132">
        <f>COUNTIF(Wednesday!I:I, B132)</f>
        <v>0</v>
      </c>
      <c r="F132">
        <f>COUNTIF(Thursday!I:I, B132)</f>
        <v>0</v>
      </c>
      <c r="G132">
        <f>COUNTIF(Friday!I:I, B132)</f>
        <v>0</v>
      </c>
      <c r="H132">
        <f>SUM(C132:G132)</f>
        <v>0</v>
      </c>
    </row>
    <row r="133" spans="1:8" x14ac:dyDescent="0.25">
      <c r="A133" s="5" t="s">
        <v>124</v>
      </c>
      <c r="B133" t="str">
        <f>"*"&amp;A133&amp;"*"</f>
        <v>*1045: Brady Pacing Delivered When Not Required*</v>
      </c>
      <c r="C133">
        <f>COUNTIF(Monday!I:I, B133)</f>
        <v>0</v>
      </c>
      <c r="D133">
        <f>COUNTIF(Tuesday!I:I, B133)</f>
        <v>0</v>
      </c>
      <c r="E133">
        <f>COUNTIF(Wednesday!I:I, B133)</f>
        <v>0</v>
      </c>
      <c r="F133">
        <f>COUNTIF(Thursday!I:I, B133)</f>
        <v>0</v>
      </c>
      <c r="G133">
        <f>COUNTIF(Friday!I:I, B133)</f>
        <v>0</v>
      </c>
      <c r="H133">
        <f>SUM(C133:G133)</f>
        <v>0</v>
      </c>
    </row>
    <row r="134" spans="1:8" x14ac:dyDescent="0.25">
      <c r="A134" s="5" t="s">
        <v>30</v>
      </c>
      <c r="B134" t="str">
        <f>"*"&amp;A134&amp;"*"</f>
        <v>*2719: False Positive Detection Of AFIB/AFLUTTER*</v>
      </c>
      <c r="C134">
        <f>COUNTIF(Monday!I:I, B134)</f>
        <v>0</v>
      </c>
      <c r="D134">
        <f>COUNTIF(Tuesday!I:I, B134)</f>
        <v>0</v>
      </c>
      <c r="E134">
        <f>COUNTIF(Wednesday!I:I, B134)</f>
        <v>0</v>
      </c>
      <c r="F134">
        <f>COUNTIF(Thursday!I:I, B134)</f>
        <v>0</v>
      </c>
      <c r="G134">
        <f>COUNTIF(Friday!I:I, B134)</f>
        <v>0</v>
      </c>
      <c r="H134">
        <f>SUM(C134:G134)</f>
        <v>0</v>
      </c>
    </row>
    <row r="135" spans="1:8" x14ac:dyDescent="0.25">
      <c r="A135" s="5" t="s">
        <v>127</v>
      </c>
      <c r="B135" t="str">
        <f>"*"&amp;A135&amp;"*"</f>
        <v>*2768: Unable To Find Printer*</v>
      </c>
      <c r="C135">
        <f>COUNTIF(Monday!I:I, B135)</f>
        <v>0</v>
      </c>
      <c r="D135">
        <f>COUNTIF(Tuesday!I:I, B135)</f>
        <v>0</v>
      </c>
      <c r="E135">
        <f>COUNTIF(Wednesday!I:I, B135)</f>
        <v>0</v>
      </c>
      <c r="F135">
        <f>COUNTIF(Thursday!I:I, B135)</f>
        <v>0</v>
      </c>
      <c r="G135">
        <f>COUNTIF(Friday!I:I, B135)</f>
        <v>0</v>
      </c>
      <c r="H135">
        <f>SUM(C135:G135)</f>
        <v>0</v>
      </c>
    </row>
    <row r="136" spans="1:8" x14ac:dyDescent="0.25">
      <c r="A136" s="5" t="s">
        <v>128</v>
      </c>
      <c r="B136" t="str">
        <f>"*"&amp;A136&amp;"*"</f>
        <v>*2775: Unable To Send Data To Bluetooth Device*</v>
      </c>
      <c r="C136">
        <f>COUNTIF(Monday!I:I, B136)</f>
        <v>0</v>
      </c>
      <c r="D136">
        <f>COUNTIF(Tuesday!I:I, B136)</f>
        <v>0</v>
      </c>
      <c r="E136">
        <f>COUNTIF(Wednesday!I:I, B136)</f>
        <v>0</v>
      </c>
      <c r="F136">
        <f>COUNTIF(Thursday!I:I, B136)</f>
        <v>0</v>
      </c>
      <c r="G136">
        <f>COUNTIF(Friday!I:I, B136)</f>
        <v>0</v>
      </c>
      <c r="H136">
        <f>SUM(C136:G136)</f>
        <v>0</v>
      </c>
    </row>
    <row r="137" spans="1:8" x14ac:dyDescent="0.25">
      <c r="A137" s="5" t="s">
        <v>129</v>
      </c>
      <c r="B137" t="str">
        <f>"*"&amp;A137&amp;"*"</f>
        <v>*2780: IT Will Not Allow Wi-Fi Connection*</v>
      </c>
      <c r="C137">
        <f>COUNTIF(Monday!I:I, B137)</f>
        <v>0</v>
      </c>
      <c r="D137">
        <f>COUNTIF(Tuesday!I:I, B137)</f>
        <v>0</v>
      </c>
      <c r="E137">
        <f>COUNTIF(Wednesday!I:I, B137)</f>
        <v>0</v>
      </c>
      <c r="F137">
        <f>COUNTIF(Thursday!I:I, B137)</f>
        <v>0</v>
      </c>
      <c r="G137">
        <f>COUNTIF(Friday!I:I, B137)</f>
        <v>0</v>
      </c>
      <c r="H137">
        <f>SUM(C137:G137)</f>
        <v>0</v>
      </c>
    </row>
    <row r="138" spans="1:8" x14ac:dyDescent="0.25">
      <c r="A138" s="5" t="s">
        <v>130</v>
      </c>
      <c r="B138" t="str">
        <f>"*"&amp;A138&amp;"*"</f>
        <v>*2812: Software Upgrade Issue Using Pen Drive*</v>
      </c>
      <c r="C138">
        <f>COUNTIF(Monday!I:I, B138)</f>
        <v>0</v>
      </c>
      <c r="D138">
        <f>COUNTIF(Tuesday!I:I, B138)</f>
        <v>0</v>
      </c>
      <c r="E138">
        <f>COUNTIF(Wednesday!I:I, B138)</f>
        <v>0</v>
      </c>
      <c r="F138">
        <f>COUNTIF(Thursday!I:I, B138)</f>
        <v>0</v>
      </c>
      <c r="G138">
        <f>COUNTIF(Friday!I:I, B138)</f>
        <v>0</v>
      </c>
      <c r="H138">
        <f>SUM(C138:G138)</f>
        <v>0</v>
      </c>
    </row>
    <row r="139" spans="1:8" x14ac:dyDescent="0.25">
      <c r="A139" s="5" t="s">
        <v>131</v>
      </c>
      <c r="B139" t="str">
        <f>"*"&amp;A139&amp;"*"</f>
        <v>*2456: Use Of Device Issue - Misuse*</v>
      </c>
      <c r="C139">
        <f>COUNTIF(Monday!I:I, B139)</f>
        <v>0</v>
      </c>
      <c r="D139">
        <f>COUNTIF(Tuesday!I:I, B139)</f>
        <v>0</v>
      </c>
      <c r="E139">
        <f>COUNTIF(Wednesday!I:I, B139)</f>
        <v>0</v>
      </c>
      <c r="F139">
        <f>COUNTIF(Thursday!I:I, B139)</f>
        <v>0</v>
      </c>
      <c r="G139">
        <f>COUNTIF(Friday!I:I, B139)</f>
        <v>0</v>
      </c>
      <c r="H139">
        <f>SUM(C139:G139)</f>
        <v>0</v>
      </c>
    </row>
    <row r="140" spans="1:8" x14ac:dyDescent="0.25">
      <c r="A140" s="5" t="s">
        <v>132</v>
      </c>
      <c r="B140" t="str">
        <f>"*"&amp;A140&amp;"*"</f>
        <v>*2101: No Power*</v>
      </c>
      <c r="C140">
        <f>COUNTIF(Monday!I:I, B140)</f>
        <v>0</v>
      </c>
      <c r="D140">
        <f>COUNTIF(Tuesday!I:I, B140)</f>
        <v>0</v>
      </c>
      <c r="E140">
        <f>COUNTIF(Wednesday!I:I, B140)</f>
        <v>0</v>
      </c>
      <c r="F140">
        <f>COUNTIF(Thursday!I:I, B140)</f>
        <v>0</v>
      </c>
      <c r="G140">
        <f>COUNTIF(Friday!I:I, B140)</f>
        <v>0</v>
      </c>
      <c r="H140">
        <f>SUM(C140:G140)</f>
        <v>0</v>
      </c>
    </row>
    <row r="141" spans="1:8" x14ac:dyDescent="0.25">
      <c r="A141" s="5" t="s">
        <v>133</v>
      </c>
      <c r="B141" t="str">
        <f>"*"&amp;A141&amp;"*"</f>
        <v>*2479: Difficult To Connect*</v>
      </c>
      <c r="C141">
        <f>COUNTIF(Monday!I:I, B141)</f>
        <v>0</v>
      </c>
      <c r="D141">
        <f>COUNTIF(Tuesday!I:I, B141)</f>
        <v>0</v>
      </c>
      <c r="E141">
        <f>COUNTIF(Wednesday!I:I, B141)</f>
        <v>0</v>
      </c>
      <c r="F141">
        <f>COUNTIF(Thursday!I:I, B141)</f>
        <v>0</v>
      </c>
      <c r="G141">
        <f>COUNTIF(Friday!I:I, B141)</f>
        <v>0</v>
      </c>
      <c r="H141">
        <f>SUM(C141:G141)</f>
        <v>0</v>
      </c>
    </row>
    <row r="142" spans="1:8" x14ac:dyDescent="0.25">
      <c r="A142" s="5" t="s">
        <v>134</v>
      </c>
      <c r="B142" t="str">
        <f>"*"&amp;A142&amp;"*"</f>
        <v>*1554: Failure To Power-Off*</v>
      </c>
      <c r="C142">
        <f>COUNTIF(Monday!I:I, B142)</f>
        <v>0</v>
      </c>
      <c r="D142">
        <f>COUNTIF(Tuesday!I:I, B142)</f>
        <v>0</v>
      </c>
      <c r="E142">
        <f>COUNTIF(Wednesday!I:I, B142)</f>
        <v>0</v>
      </c>
      <c r="F142">
        <f>COUNTIF(Thursday!I:I, B142)</f>
        <v>0</v>
      </c>
      <c r="G142">
        <f>COUNTIF(Friday!I:I, B142)</f>
        <v>0</v>
      </c>
      <c r="H142">
        <f>SUM(C142:G142)</f>
        <v>0</v>
      </c>
    </row>
    <row r="143" spans="1:8" x14ac:dyDescent="0.25">
      <c r="A143" s="5" t="s">
        <v>135</v>
      </c>
      <c r="B143" t="str">
        <f>"*"&amp;A143&amp;"*"</f>
        <v>*2808: Touch Screen Calibration Issue*</v>
      </c>
      <c r="C143">
        <f>COUNTIF(Monday!I:I, B143)</f>
        <v>0</v>
      </c>
      <c r="D143">
        <f>COUNTIF(Tuesday!I:I, B143)</f>
        <v>0</v>
      </c>
      <c r="E143">
        <f>COUNTIF(Wednesday!I:I, B143)</f>
        <v>0</v>
      </c>
      <c r="F143">
        <f>COUNTIF(Thursday!I:I, B143)</f>
        <v>0</v>
      </c>
      <c r="G143">
        <f>COUNTIF(Friday!I:I, B143)</f>
        <v>0</v>
      </c>
      <c r="H143">
        <f>SUM(C143:G143)</f>
        <v>0</v>
      </c>
    </row>
    <row r="144" spans="1:8" x14ac:dyDescent="0.25">
      <c r="A144" s="5" t="s">
        <v>136</v>
      </c>
      <c r="B144" t="str">
        <f>"*"&amp;A144&amp;"*"</f>
        <v>*1662: Hardware Issue*</v>
      </c>
      <c r="C144">
        <f>COUNTIF(Monday!I:I, B144)</f>
        <v>0</v>
      </c>
      <c r="D144">
        <f>COUNTIF(Tuesday!I:I, B144)</f>
        <v>0</v>
      </c>
      <c r="E144">
        <f>COUNTIF(Wednesday!I:I, B144)</f>
        <v>0</v>
      </c>
      <c r="F144">
        <f>COUNTIF(Thursday!I:I, B144)</f>
        <v>0</v>
      </c>
      <c r="G144">
        <f>COUNTIF(Friday!I:I, B144)</f>
        <v>0</v>
      </c>
      <c r="H144">
        <f>SUM(C144:G144)</f>
        <v>0</v>
      </c>
    </row>
    <row r="145" spans="1:8" x14ac:dyDescent="0.25">
      <c r="A145" s="5" t="s">
        <v>137</v>
      </c>
      <c r="B145" t="str">
        <f>"*"&amp;A145&amp;"*"</f>
        <v>*1455: Enrollment Issue*</v>
      </c>
      <c r="C145">
        <f>COUNTIF(Monday!I:I, B145)</f>
        <v>0</v>
      </c>
      <c r="D145">
        <f>COUNTIF(Tuesday!I:I, B145)</f>
        <v>0</v>
      </c>
      <c r="E145">
        <f>COUNTIF(Wednesday!I:I, B145)</f>
        <v>0</v>
      </c>
      <c r="F145">
        <f>COUNTIF(Thursday!I:I, B145)</f>
        <v>0</v>
      </c>
      <c r="G145">
        <f>COUNTIF(Friday!I:I, B145)</f>
        <v>0</v>
      </c>
      <c r="H145">
        <f>SUM(C145:G145)</f>
        <v>0</v>
      </c>
    </row>
    <row r="146" spans="1:8" x14ac:dyDescent="0.25">
      <c r="A146" s="5" t="s">
        <v>40</v>
      </c>
      <c r="B146" t="str">
        <f>"*"&amp;A146&amp;"*"</f>
        <v>*2699: Difficult/Unable to Extend/Retract Helix*</v>
      </c>
      <c r="C146">
        <f>COUNTIF(Monday!I:I, B146)</f>
        <v>0</v>
      </c>
      <c r="D146">
        <f>COUNTIF(Tuesday!I:I, B146)</f>
        <v>0</v>
      </c>
      <c r="E146">
        <f>COUNTIF(Wednesday!I:I, B146)</f>
        <v>0</v>
      </c>
      <c r="F146">
        <f>COUNTIF(Thursday!I:I, B146)</f>
        <v>0</v>
      </c>
      <c r="G146">
        <f>COUNTIF(Friday!I:I, B146)</f>
        <v>0</v>
      </c>
      <c r="H146">
        <f>SUM(C146:G146)</f>
        <v>0</v>
      </c>
    </row>
    <row r="147" spans="1:8" x14ac:dyDescent="0.25">
      <c r="A147" s="5" t="s">
        <v>138</v>
      </c>
      <c r="B147" t="str">
        <f>"*"&amp;A147&amp;"*"</f>
        <v>*2786: Battery Discharge Quickly During Use*</v>
      </c>
      <c r="C147">
        <f>COUNTIF(Monday!I:I, B147)</f>
        <v>0</v>
      </c>
      <c r="D147">
        <f>COUNTIF(Tuesday!I:I, B147)</f>
        <v>0</v>
      </c>
      <c r="E147">
        <f>COUNTIF(Wednesday!I:I, B147)</f>
        <v>0</v>
      </c>
      <c r="F147">
        <f>COUNTIF(Thursday!I:I, B147)</f>
        <v>0</v>
      </c>
      <c r="G147">
        <f>COUNTIF(Friday!I:I, B147)</f>
        <v>0</v>
      </c>
      <c r="H147">
        <f>SUM(C147:G147)</f>
        <v>0</v>
      </c>
    </row>
    <row r="148" spans="1:8" x14ac:dyDescent="0.25">
      <c r="A148" s="5" t="s">
        <v>139</v>
      </c>
      <c r="B148" t="str">
        <f>"*"&amp;A148&amp;"*"</f>
        <v>*2788: Battery Charges Slowly*</v>
      </c>
      <c r="C148">
        <f>COUNTIF(Monday!I:I, B148)</f>
        <v>0</v>
      </c>
      <c r="D148">
        <f>COUNTIF(Tuesday!I:I, B148)</f>
        <v>0</v>
      </c>
      <c r="E148">
        <f>COUNTIF(Wednesday!I:I, B148)</f>
        <v>0</v>
      </c>
      <c r="F148">
        <f>COUNTIF(Thursday!I:I, B148)</f>
        <v>0</v>
      </c>
      <c r="G148">
        <f>COUNTIF(Friday!I:I, B148)</f>
        <v>0</v>
      </c>
      <c r="H148">
        <f>SUM(C148:G148)</f>
        <v>0</v>
      </c>
    </row>
    <row r="149" spans="1:8" x14ac:dyDescent="0.25">
      <c r="A149" s="5" t="s">
        <v>140</v>
      </c>
      <c r="B149" t="str">
        <f>"*"&amp;A149&amp;"*"</f>
        <v>*2790: Failure To Power-Up Using AC Power*</v>
      </c>
      <c r="C149">
        <f>COUNTIF(Monday!I:I, B149)</f>
        <v>0</v>
      </c>
      <c r="D149">
        <f>COUNTIF(Tuesday!I:I, B149)</f>
        <v>0</v>
      </c>
      <c r="E149">
        <f>COUNTIF(Wednesday!I:I, B149)</f>
        <v>0</v>
      </c>
      <c r="F149">
        <f>COUNTIF(Thursday!I:I, B149)</f>
        <v>0</v>
      </c>
      <c r="G149">
        <f>COUNTIF(Friday!I:I, B149)</f>
        <v>0</v>
      </c>
      <c r="H149">
        <f>SUM(C149:G149)</f>
        <v>0</v>
      </c>
    </row>
    <row r="150" spans="1:8" x14ac:dyDescent="0.25">
      <c r="A150" s="5" t="s">
        <v>141</v>
      </c>
      <c r="B150" t="str">
        <f>"*"&amp;A150&amp;"*"</f>
        <v>*2807: Delayed Response*</v>
      </c>
      <c r="C150">
        <f>COUNTIF(Monday!I:I, B150)</f>
        <v>0</v>
      </c>
      <c r="D150">
        <f>COUNTIF(Tuesday!I:I, B150)</f>
        <v>0</v>
      </c>
      <c r="E150">
        <f>COUNTIF(Wednesday!I:I, B150)</f>
        <v>0</v>
      </c>
      <c r="F150">
        <f>COUNTIF(Thursday!I:I, B150)</f>
        <v>0</v>
      </c>
      <c r="G150">
        <f>COUNTIF(Friday!I:I, B150)</f>
        <v>0</v>
      </c>
      <c r="H150">
        <f>SUM(C150:G150)</f>
        <v>0</v>
      </c>
    </row>
    <row r="151" spans="1:8" x14ac:dyDescent="0.25">
      <c r="A151" s="5" t="s">
        <v>142</v>
      </c>
      <c r="B151" t="str">
        <f>"*"&amp;A151&amp;"*"</f>
        <v>*2816: Threshold Different Than PG*</v>
      </c>
      <c r="C151">
        <f>COUNTIF(Monday!I:I, B151)</f>
        <v>0</v>
      </c>
      <c r="D151">
        <f>COUNTIF(Tuesday!I:I, B151)</f>
        <v>0</v>
      </c>
      <c r="E151">
        <f>COUNTIF(Wednesday!I:I, B151)</f>
        <v>0</v>
      </c>
      <c r="F151">
        <f>COUNTIF(Thursday!I:I, B151)</f>
        <v>0</v>
      </c>
      <c r="G151">
        <f>COUNTIF(Friday!I:I, B151)</f>
        <v>0</v>
      </c>
      <c r="H151">
        <f>SUM(C151:G151)</f>
        <v>0</v>
      </c>
    </row>
    <row r="152" spans="1:8" x14ac:dyDescent="0.25">
      <c r="A152" s="5" t="s">
        <v>143</v>
      </c>
      <c r="B152" t="str">
        <f>"*"&amp;A152&amp;"*"</f>
        <v>*2817: Current Of Injury (COI) Issue*</v>
      </c>
      <c r="C152">
        <f>COUNTIF(Monday!I:I, B152)</f>
        <v>0</v>
      </c>
      <c r="D152">
        <f>COUNTIF(Tuesday!I:I, B152)</f>
        <v>0</v>
      </c>
      <c r="E152">
        <f>COUNTIF(Wednesday!I:I, B152)</f>
        <v>0</v>
      </c>
      <c r="F152">
        <f>COUNTIF(Thursday!I:I, B152)</f>
        <v>0</v>
      </c>
      <c r="G152">
        <f>COUNTIF(Friday!I:I, B152)</f>
        <v>0</v>
      </c>
      <c r="H152">
        <f>SUM(C152:G152)</f>
        <v>0</v>
      </c>
    </row>
    <row r="153" spans="1:8" x14ac:dyDescent="0.25">
      <c r="A153" s="5" t="s">
        <v>144</v>
      </c>
      <c r="B153" t="str">
        <f>"*"&amp;A153&amp;"*"</f>
        <v>*2819: Impedance Different Than PG*</v>
      </c>
      <c r="C153">
        <f>COUNTIF(Monday!I:I, B153)</f>
        <v>0</v>
      </c>
      <c r="D153">
        <f>COUNTIF(Tuesday!I:I, B153)</f>
        <v>0</v>
      </c>
      <c r="E153">
        <f>COUNTIF(Wednesday!I:I, B153)</f>
        <v>0</v>
      </c>
      <c r="F153">
        <f>COUNTIF(Thursday!I:I, B153)</f>
        <v>0</v>
      </c>
      <c r="G153">
        <f>COUNTIF(Friday!I:I, B153)</f>
        <v>0</v>
      </c>
      <c r="H153">
        <f>SUM(C153:G153)</f>
        <v>0</v>
      </c>
    </row>
    <row r="154" spans="1:8" x14ac:dyDescent="0.25">
      <c r="A154" s="5" t="s">
        <v>145</v>
      </c>
      <c r="B154" t="str">
        <f>"*"&amp;A154&amp;"*"</f>
        <v>*2821: Sensing Different Than PG*</v>
      </c>
      <c r="C154">
        <f>COUNTIF(Monday!I:I, B154)</f>
        <v>0</v>
      </c>
      <c r="D154">
        <f>COUNTIF(Tuesday!I:I, B154)</f>
        <v>0</v>
      </c>
      <c r="E154">
        <f>COUNTIF(Wednesday!I:I, B154)</f>
        <v>0</v>
      </c>
      <c r="F154">
        <f>COUNTIF(Thursday!I:I, B154)</f>
        <v>0</v>
      </c>
      <c r="G154">
        <f>COUNTIF(Friday!I:I, B154)</f>
        <v>0</v>
      </c>
      <c r="H154">
        <f>SUM(C154:G154)</f>
        <v>0</v>
      </c>
    </row>
    <row r="155" spans="1:8" x14ac:dyDescent="0.25">
      <c r="A155" s="5" t="s">
        <v>146</v>
      </c>
      <c r="B155" t="str">
        <f>"*"&amp;A155&amp;"*"</f>
        <v>*1335: Difficult To Open Or Remove Packaging Material*</v>
      </c>
      <c r="C155">
        <f>COUNTIF(Monday!I:I, B155)</f>
        <v>0</v>
      </c>
      <c r="D155">
        <f>COUNTIF(Tuesday!I:I, B155)</f>
        <v>0</v>
      </c>
      <c r="E155">
        <f>COUNTIF(Wednesday!I:I, B155)</f>
        <v>0</v>
      </c>
      <c r="F155">
        <f>COUNTIF(Thursday!I:I, B155)</f>
        <v>0</v>
      </c>
      <c r="G155">
        <f>COUNTIF(Friday!I:I, B155)</f>
        <v>0</v>
      </c>
      <c r="H155">
        <f>SUM(C155:G155)</f>
        <v>0</v>
      </c>
    </row>
    <row r="156" spans="1:8" x14ac:dyDescent="0.25">
      <c r="A156" s="5" t="s">
        <v>147</v>
      </c>
      <c r="B156" t="str">
        <f>"*"&amp;A156&amp;"*"</f>
        <v>*1821: Material Integrity Issue*</v>
      </c>
      <c r="C156">
        <f>COUNTIF(Monday!I:I, B156)</f>
        <v>0</v>
      </c>
      <c r="D156">
        <f>COUNTIF(Tuesday!I:I, B156)</f>
        <v>0</v>
      </c>
      <c r="E156">
        <f>COUNTIF(Wednesday!I:I, B156)</f>
        <v>0</v>
      </c>
      <c r="F156">
        <f>COUNTIF(Thursday!I:I, B156)</f>
        <v>0</v>
      </c>
      <c r="G156">
        <f>COUNTIF(Friday!I:I, B156)</f>
        <v>0</v>
      </c>
      <c r="H156">
        <f>SUM(C156:G156)</f>
        <v>0</v>
      </c>
    </row>
    <row r="157" spans="1:8" x14ac:dyDescent="0.25">
      <c r="A157" s="5" t="s">
        <v>148</v>
      </c>
      <c r="B157" t="str">
        <f>"*"&amp;A157&amp;"*"</f>
        <v>*1408: Discolored*</v>
      </c>
      <c r="C157">
        <f>COUNTIF(Monday!I:I, B157)</f>
        <v>0</v>
      </c>
      <c r="D157">
        <f>COUNTIF(Tuesday!I:I, B157)</f>
        <v>0</v>
      </c>
      <c r="E157">
        <f>COUNTIF(Wednesday!I:I, B157)</f>
        <v>0</v>
      </c>
      <c r="F157">
        <f>COUNTIF(Thursday!I:I, B157)</f>
        <v>0</v>
      </c>
      <c r="G157">
        <f>COUNTIF(Friday!I:I, B157)</f>
        <v>0</v>
      </c>
      <c r="H157">
        <f>SUM(C157:G157)</f>
        <v>0</v>
      </c>
    </row>
    <row r="158" spans="1:8" x14ac:dyDescent="0.25">
      <c r="A158" s="5" t="s">
        <v>149</v>
      </c>
      <c r="B158" t="str">
        <f>"*"&amp;A158&amp;"*"</f>
        <v>*1013: Application Security Issue*</v>
      </c>
      <c r="C158">
        <f>COUNTIF(Monday!I:I, B158)</f>
        <v>0</v>
      </c>
      <c r="D158">
        <f>COUNTIF(Tuesday!I:I, B158)</f>
        <v>0</v>
      </c>
      <c r="E158">
        <f>COUNTIF(Wednesday!I:I, B158)</f>
        <v>0</v>
      </c>
      <c r="F158">
        <f>COUNTIF(Thursday!I:I, B158)</f>
        <v>0</v>
      </c>
      <c r="G158">
        <f>COUNTIF(Friday!I:I, B158)</f>
        <v>0</v>
      </c>
      <c r="H158">
        <f>SUM(C158:G158)</f>
        <v>0</v>
      </c>
    </row>
    <row r="159" spans="1:8" x14ac:dyDescent="0.25">
      <c r="A159" s="5" t="s">
        <v>150</v>
      </c>
      <c r="B159" t="str">
        <f>"*"&amp;A159&amp;"*"</f>
        <v>*1126: Complaint Rescinded By User*</v>
      </c>
      <c r="C159">
        <f>COUNTIF(Monday!I:I, B159)</f>
        <v>0</v>
      </c>
      <c r="D159">
        <f>COUNTIF(Tuesday!I:I, B159)</f>
        <v>0</v>
      </c>
      <c r="E159">
        <f>COUNTIF(Wednesday!I:I, B159)</f>
        <v>0</v>
      </c>
      <c r="F159">
        <f>COUNTIF(Thursday!I:I, B159)</f>
        <v>0</v>
      </c>
      <c r="G159">
        <f>COUNTIF(Friday!I:I, B159)</f>
        <v>0</v>
      </c>
      <c r="H159">
        <f>SUM(C159:G159)</f>
        <v>0</v>
      </c>
    </row>
    <row r="160" spans="1:8" x14ac:dyDescent="0.25">
      <c r="A160" s="5" t="s">
        <v>151</v>
      </c>
      <c r="B160" t="str">
        <f>"*"&amp;A160&amp;"*"</f>
        <v>*1131: Computer System Security Issue*</v>
      </c>
      <c r="C160">
        <f>COUNTIF(Monday!I:I, B160)</f>
        <v>0</v>
      </c>
      <c r="D160">
        <f>COUNTIF(Tuesday!I:I, B160)</f>
        <v>0</v>
      </c>
      <c r="E160">
        <f>COUNTIF(Wednesday!I:I, B160)</f>
        <v>0</v>
      </c>
      <c r="F160">
        <f>COUNTIF(Thursday!I:I, B160)</f>
        <v>0</v>
      </c>
      <c r="G160">
        <f>COUNTIF(Friday!I:I, B160)</f>
        <v>0</v>
      </c>
      <c r="H160">
        <f>SUM(C160:G160)</f>
        <v>0</v>
      </c>
    </row>
    <row r="161" spans="1:8" x14ac:dyDescent="0.25">
      <c r="A161" s="5" t="s">
        <v>152</v>
      </c>
      <c r="B161" t="str">
        <f>"*"&amp;A161&amp;"*"</f>
        <v>*1140: Contamination During Use*</v>
      </c>
      <c r="C161">
        <f>COUNTIF(Monday!I:I, B161)</f>
        <v>0</v>
      </c>
      <c r="D161">
        <f>COUNTIF(Tuesday!I:I, B161)</f>
        <v>0</v>
      </c>
      <c r="E161">
        <f>COUNTIF(Wednesday!I:I, B161)</f>
        <v>0</v>
      </c>
      <c r="F161">
        <f>COUNTIF(Thursday!I:I, B161)</f>
        <v>0</v>
      </c>
      <c r="G161">
        <f>COUNTIF(Friday!I:I, B161)</f>
        <v>0</v>
      </c>
      <c r="H161">
        <f>SUM(C161:G161)</f>
        <v>0</v>
      </c>
    </row>
    <row r="162" spans="1:8" x14ac:dyDescent="0.25">
      <c r="A162" s="5" t="s">
        <v>153</v>
      </c>
      <c r="B162" t="str">
        <f>"*"&amp;A162&amp;"*"</f>
        <v>*1150: Cosmetic/Appearance Problem*</v>
      </c>
      <c r="C162">
        <f>COUNTIF(Monday!I:I, B162)</f>
        <v>0</v>
      </c>
      <c r="D162">
        <f>COUNTIF(Tuesday!I:I, B162)</f>
        <v>0</v>
      </c>
      <c r="E162">
        <f>COUNTIF(Wednesday!I:I, B162)</f>
        <v>0</v>
      </c>
      <c r="F162">
        <f>COUNTIF(Thursday!I:I, B162)</f>
        <v>0</v>
      </c>
      <c r="G162">
        <f>COUNTIF(Friday!I:I, B162)</f>
        <v>0</v>
      </c>
      <c r="H162">
        <f>SUM(C162:G162)</f>
        <v>0</v>
      </c>
    </row>
    <row r="163" spans="1:8" x14ac:dyDescent="0.25">
      <c r="A163" s="5" t="s">
        <v>154</v>
      </c>
      <c r="B163" t="str">
        <f>"*"&amp;A163&amp;"*"</f>
        <v>*1192: Device Difficult To Setup Or Prepare*</v>
      </c>
      <c r="C163">
        <f>COUNTIF(Monday!I:I, B163)</f>
        <v>0</v>
      </c>
      <c r="D163">
        <f>COUNTIF(Tuesday!I:I, B163)</f>
        <v>0</v>
      </c>
      <c r="E163">
        <f>COUNTIF(Wednesday!I:I, B163)</f>
        <v>0</v>
      </c>
      <c r="F163">
        <f>COUNTIF(Thursday!I:I, B163)</f>
        <v>0</v>
      </c>
      <c r="G163">
        <f>COUNTIF(Friday!I:I, B163)</f>
        <v>0</v>
      </c>
      <c r="H163">
        <f>SUM(C163:G163)</f>
        <v>0</v>
      </c>
    </row>
    <row r="164" spans="1:8" x14ac:dyDescent="0.25">
      <c r="A164" s="5" t="s">
        <v>155</v>
      </c>
      <c r="B164" t="str">
        <f>"*"&amp;A164&amp;"*"</f>
        <v>*1254: Device Interaction With Another Device*</v>
      </c>
      <c r="C164">
        <f>COUNTIF(Monday!I:I, B164)</f>
        <v>0</v>
      </c>
      <c r="D164">
        <f>COUNTIF(Tuesday!I:I, B164)</f>
        <v>0</v>
      </c>
      <c r="E164">
        <f>COUNTIF(Wednesday!I:I, B164)</f>
        <v>0</v>
      </c>
      <c r="F164">
        <f>COUNTIF(Thursday!I:I, B164)</f>
        <v>0</v>
      </c>
      <c r="G164">
        <f>COUNTIF(Friday!I:I, B164)</f>
        <v>0</v>
      </c>
      <c r="H164">
        <f>SUM(C164:G164)</f>
        <v>0</v>
      </c>
    </row>
    <row r="165" spans="1:8" x14ac:dyDescent="0.25">
      <c r="A165" s="5" t="s">
        <v>156</v>
      </c>
      <c r="B165" t="str">
        <f>"*"&amp;A165&amp;"*"</f>
        <v>*1257: Device Misassembled During Manufacturing Or Shipping*</v>
      </c>
      <c r="C165">
        <f>COUNTIF(Monday!I:I, B165)</f>
        <v>0</v>
      </c>
      <c r="D165">
        <f>COUNTIF(Tuesday!I:I, B165)</f>
        <v>0</v>
      </c>
      <c r="E165">
        <f>COUNTIF(Wednesday!I:I, B165)</f>
        <v>0</v>
      </c>
      <c r="F165">
        <f>COUNTIF(Thursday!I:I, B165)</f>
        <v>0</v>
      </c>
      <c r="G165">
        <f>COUNTIF(Friday!I:I, B165)</f>
        <v>0</v>
      </c>
      <c r="H165">
        <f>SUM(C165:G165)</f>
        <v>0</v>
      </c>
    </row>
    <row r="166" spans="1:8" x14ac:dyDescent="0.25">
      <c r="A166" s="5" t="s">
        <v>157</v>
      </c>
      <c r="B166" t="str">
        <f>"*"&amp;A166&amp;"*"</f>
        <v>*1258: Device Operates Differently Than Expected*</v>
      </c>
      <c r="C166">
        <f>COUNTIF(Monday!I:I, B166)</f>
        <v>0</v>
      </c>
      <c r="D166">
        <f>COUNTIF(Tuesday!I:I, B166)</f>
        <v>0</v>
      </c>
      <c r="E166">
        <f>COUNTIF(Wednesday!I:I, B166)</f>
        <v>0</v>
      </c>
      <c r="F166">
        <f>COUNTIF(Thursday!I:I, B166)</f>
        <v>0</v>
      </c>
      <c r="G166">
        <f>COUNTIF(Friday!I:I, B166)</f>
        <v>0</v>
      </c>
      <c r="H166">
        <f>SUM(C166:G166)</f>
        <v>0</v>
      </c>
    </row>
    <row r="167" spans="1:8" x14ac:dyDescent="0.25">
      <c r="A167" s="5" t="s">
        <v>158</v>
      </c>
      <c r="B167" t="str">
        <f>"*"&amp;A167&amp;"*"</f>
        <v>*1278: Difficult To Advance Guidewire*</v>
      </c>
      <c r="C167">
        <f>COUNTIF(Monday!I:I, B167)</f>
        <v>0</v>
      </c>
      <c r="D167">
        <f>COUNTIF(Tuesday!I:I, B167)</f>
        <v>0</v>
      </c>
      <c r="E167">
        <f>COUNTIF(Wednesday!I:I, B167)</f>
        <v>0</v>
      </c>
      <c r="F167">
        <f>COUNTIF(Thursday!I:I, B167)</f>
        <v>0</v>
      </c>
      <c r="G167">
        <f>COUNTIF(Friday!I:I, B167)</f>
        <v>0</v>
      </c>
      <c r="H167">
        <f>SUM(C167:G167)</f>
        <v>0</v>
      </c>
    </row>
    <row r="168" spans="1:8" x14ac:dyDescent="0.25">
      <c r="A168" s="5" t="s">
        <v>159</v>
      </c>
      <c r="B168" t="str">
        <f>"*"&amp;A168&amp;"*"</f>
        <v>*1302: Difficult To Engage Target Vessel*</v>
      </c>
      <c r="C168">
        <f>COUNTIF(Monday!I:I, B168)</f>
        <v>0</v>
      </c>
      <c r="D168">
        <f>COUNTIF(Tuesday!I:I, B168)</f>
        <v>0</v>
      </c>
      <c r="E168">
        <f>COUNTIF(Wednesday!I:I, B168)</f>
        <v>0</v>
      </c>
      <c r="F168">
        <f>COUNTIF(Thursday!I:I, B168)</f>
        <v>0</v>
      </c>
      <c r="G168">
        <f>COUNTIF(Friday!I:I, B168)</f>
        <v>0</v>
      </c>
      <c r="H168">
        <f>SUM(C168:G168)</f>
        <v>0</v>
      </c>
    </row>
    <row r="169" spans="1:8" x14ac:dyDescent="0.25">
      <c r="A169" s="5" t="s">
        <v>160</v>
      </c>
      <c r="B169" t="str">
        <f>"*"&amp;A169&amp;"*"</f>
        <v>*1304: Difficult To Flush*</v>
      </c>
      <c r="C169">
        <f>COUNTIF(Monday!I:I, B169)</f>
        <v>0</v>
      </c>
      <c r="D169">
        <f>COUNTIF(Tuesday!I:I, B169)</f>
        <v>0</v>
      </c>
      <c r="E169">
        <f>COUNTIF(Wednesday!I:I, B169)</f>
        <v>0</v>
      </c>
      <c r="F169">
        <f>COUNTIF(Thursday!I:I, B169)</f>
        <v>0</v>
      </c>
      <c r="G169">
        <f>COUNTIF(Friday!I:I, B169)</f>
        <v>0</v>
      </c>
      <c r="H169">
        <f>SUM(C169:G169)</f>
        <v>0</v>
      </c>
    </row>
    <row r="170" spans="1:8" x14ac:dyDescent="0.25">
      <c r="A170" s="5" t="s">
        <v>161</v>
      </c>
      <c r="B170" t="str">
        <f>"*"&amp;A170&amp;"*"</f>
        <v>*1367: Difficult To Track Over Wire*</v>
      </c>
      <c r="C170">
        <f>COUNTIF(Monday!I:I, B170)</f>
        <v>0</v>
      </c>
      <c r="D170">
        <f>COUNTIF(Tuesday!I:I, B170)</f>
        <v>0</v>
      </c>
      <c r="E170">
        <f>COUNTIF(Wednesday!I:I, B170)</f>
        <v>0</v>
      </c>
      <c r="F170">
        <f>COUNTIF(Thursday!I:I, B170)</f>
        <v>0</v>
      </c>
      <c r="G170">
        <f>COUNTIF(Friday!I:I, B170)</f>
        <v>0</v>
      </c>
      <c r="H170">
        <f>SUM(C170:G170)</f>
        <v>0</v>
      </c>
    </row>
    <row r="171" spans="1:8" x14ac:dyDescent="0.25">
      <c r="A171" s="5" t="s">
        <v>162</v>
      </c>
      <c r="B171" t="str">
        <f>"*"&amp;A171&amp;"*"</f>
        <v>*1381: Difficult To Withdraw Guidewire*</v>
      </c>
      <c r="C171">
        <f>COUNTIF(Monday!I:I, B171)</f>
        <v>0</v>
      </c>
      <c r="D171">
        <f>COUNTIF(Tuesday!I:I, B171)</f>
        <v>0</v>
      </c>
      <c r="E171">
        <f>COUNTIF(Wednesday!I:I, B171)</f>
        <v>0</v>
      </c>
      <c r="F171">
        <f>COUNTIF(Thursday!I:I, B171)</f>
        <v>0</v>
      </c>
      <c r="G171">
        <f>COUNTIF(Friday!I:I, B171)</f>
        <v>0</v>
      </c>
      <c r="H171">
        <f>SUM(C171:G171)</f>
        <v>0</v>
      </c>
    </row>
    <row r="172" spans="1:8" x14ac:dyDescent="0.25">
      <c r="A172" s="5" t="s">
        <v>163</v>
      </c>
      <c r="B172" t="str">
        <f>"*"&amp;A172&amp;"*"</f>
        <v>*1467: Explanted*</v>
      </c>
      <c r="C172">
        <f>COUNTIF(Monday!I:I, B172)</f>
        <v>0</v>
      </c>
      <c r="D172">
        <f>COUNTIF(Tuesday!I:I, B172)</f>
        <v>0</v>
      </c>
      <c r="E172">
        <f>COUNTIF(Wednesday!I:I, B172)</f>
        <v>0</v>
      </c>
      <c r="F172">
        <f>COUNTIF(Thursday!I:I, B172)</f>
        <v>0</v>
      </c>
      <c r="G172">
        <f>COUNTIF(Friday!I:I, B172)</f>
        <v>0</v>
      </c>
      <c r="H172">
        <f>SUM(C172:G172)</f>
        <v>0</v>
      </c>
    </row>
    <row r="173" spans="1:8" x14ac:dyDescent="0.25">
      <c r="A173" s="5" t="s">
        <v>164</v>
      </c>
      <c r="B173" t="str">
        <f>"*"&amp;A173&amp;"*"</f>
        <v>*1655: Guidewire Stuck*</v>
      </c>
      <c r="C173">
        <f>COUNTIF(Monday!I:I, B173)</f>
        <v>0</v>
      </c>
      <c r="D173">
        <f>COUNTIF(Tuesday!I:I, B173)</f>
        <v>0</v>
      </c>
      <c r="E173">
        <f>COUNTIF(Wednesday!I:I, B173)</f>
        <v>0</v>
      </c>
      <c r="F173">
        <f>COUNTIF(Thursday!I:I, B173)</f>
        <v>0</v>
      </c>
      <c r="G173">
        <f>COUNTIF(Friday!I:I, B173)</f>
        <v>0</v>
      </c>
      <c r="H173">
        <f>SUM(C173:G173)</f>
        <v>0</v>
      </c>
    </row>
    <row r="174" spans="1:8" x14ac:dyDescent="0.25">
      <c r="A174" s="5" t="s">
        <v>165</v>
      </c>
      <c r="B174" t="str">
        <f>"*"&amp;A174&amp;"*"</f>
        <v>*1699: Incident Not Product Related*</v>
      </c>
      <c r="C174">
        <f>COUNTIF(Monday!I:I, B174)</f>
        <v>0</v>
      </c>
      <c r="D174">
        <f>COUNTIF(Tuesday!I:I, B174)</f>
        <v>0</v>
      </c>
      <c r="E174">
        <f>COUNTIF(Wednesday!I:I, B174)</f>
        <v>0</v>
      </c>
      <c r="F174">
        <f>COUNTIF(Thursday!I:I, B174)</f>
        <v>0</v>
      </c>
      <c r="G174">
        <f>COUNTIF(Friday!I:I, B174)</f>
        <v>0</v>
      </c>
      <c r="H174">
        <f>SUM(C174:G174)</f>
        <v>0</v>
      </c>
    </row>
    <row r="175" spans="1:8" x14ac:dyDescent="0.25">
      <c r="A175" s="5" t="s">
        <v>166</v>
      </c>
      <c r="B175" t="str">
        <f>"*"&amp;A175&amp;"*"</f>
        <v>*1766: Labeling Damage*</v>
      </c>
      <c r="C175">
        <f>COUNTIF(Monday!I:I, B175)</f>
        <v>0</v>
      </c>
      <c r="D175">
        <f>COUNTIF(Tuesday!I:I, B175)</f>
        <v>0</v>
      </c>
      <c r="E175">
        <f>COUNTIF(Wednesday!I:I, B175)</f>
        <v>0</v>
      </c>
      <c r="F175">
        <f>COUNTIF(Thursday!I:I, B175)</f>
        <v>0</v>
      </c>
      <c r="G175">
        <f>COUNTIF(Friday!I:I, B175)</f>
        <v>0</v>
      </c>
      <c r="H175">
        <f>SUM(C175:G175)</f>
        <v>0</v>
      </c>
    </row>
    <row r="176" spans="1:8" x14ac:dyDescent="0.25">
      <c r="A176" s="5" t="s">
        <v>167</v>
      </c>
      <c r="B176" t="str">
        <f>"*"&amp;A176&amp;"*"</f>
        <v>*1767: Labeling Issue*</v>
      </c>
      <c r="C176">
        <f>COUNTIF(Monday!I:I, B176)</f>
        <v>0</v>
      </c>
      <c r="D176">
        <f>COUNTIF(Tuesday!I:I, B176)</f>
        <v>0</v>
      </c>
      <c r="E176">
        <f>COUNTIF(Wednesday!I:I, B176)</f>
        <v>0</v>
      </c>
      <c r="F176">
        <f>COUNTIF(Thursday!I:I, B176)</f>
        <v>0</v>
      </c>
      <c r="G176">
        <f>COUNTIF(Friday!I:I, B176)</f>
        <v>0</v>
      </c>
      <c r="H176">
        <f>SUM(C176:G176)</f>
        <v>0</v>
      </c>
    </row>
    <row r="177" spans="1:8" x14ac:dyDescent="0.25">
      <c r="A177" s="5" t="s">
        <v>168</v>
      </c>
      <c r="B177" t="str">
        <f>"*"&amp;A177&amp;"*"</f>
        <v>*1813: Malware*</v>
      </c>
      <c r="C177">
        <f>COUNTIF(Monday!I:I, B177)</f>
        <v>0</v>
      </c>
      <c r="D177">
        <f>COUNTIF(Tuesday!I:I, B177)</f>
        <v>0</v>
      </c>
      <c r="E177">
        <f>COUNTIF(Wednesday!I:I, B177)</f>
        <v>0</v>
      </c>
      <c r="F177">
        <f>COUNTIF(Thursday!I:I, B177)</f>
        <v>0</v>
      </c>
      <c r="G177">
        <f>COUNTIF(Friday!I:I, B177)</f>
        <v>0</v>
      </c>
      <c r="H177">
        <f>SUM(C177:G177)</f>
        <v>0</v>
      </c>
    </row>
    <row r="178" spans="1:8" x14ac:dyDescent="0.25">
      <c r="A178" s="5" t="s">
        <v>169</v>
      </c>
      <c r="B178" t="str">
        <f>"*"&amp;A178&amp;"*"</f>
        <v>*1828: Material Separation*</v>
      </c>
      <c r="C178">
        <f>COUNTIF(Monday!I:I, B178)</f>
        <v>0</v>
      </c>
      <c r="D178">
        <f>COUNTIF(Tuesday!I:I, B178)</f>
        <v>0</v>
      </c>
      <c r="E178">
        <f>COUNTIF(Wednesday!I:I, B178)</f>
        <v>0</v>
      </c>
      <c r="F178">
        <f>COUNTIF(Thursday!I:I, B178)</f>
        <v>0</v>
      </c>
      <c r="G178">
        <f>COUNTIF(Friday!I:I, B178)</f>
        <v>0</v>
      </c>
      <c r="H178">
        <f>SUM(C178:G178)</f>
        <v>0</v>
      </c>
    </row>
    <row r="179" spans="1:8" x14ac:dyDescent="0.25">
      <c r="A179" s="5" t="s">
        <v>170</v>
      </c>
      <c r="B179" t="str">
        <f>"*"&amp;A179&amp;"*"</f>
        <v>*2090: No Code Available*</v>
      </c>
      <c r="C179">
        <f>COUNTIF(Monday!I:I, B179)</f>
        <v>0</v>
      </c>
      <c r="D179">
        <f>COUNTIF(Tuesday!I:I, B179)</f>
        <v>0</v>
      </c>
      <c r="E179">
        <f>COUNTIF(Wednesday!I:I, B179)</f>
        <v>0</v>
      </c>
      <c r="F179">
        <f>COUNTIF(Thursday!I:I, B179)</f>
        <v>0</v>
      </c>
      <c r="G179">
        <f>COUNTIF(Friday!I:I, B179)</f>
        <v>0</v>
      </c>
      <c r="H179">
        <f>SUM(C179:G179)</f>
        <v>0</v>
      </c>
    </row>
    <row r="180" spans="1:8" x14ac:dyDescent="0.25">
      <c r="A180" s="5" t="s">
        <v>171</v>
      </c>
      <c r="B180" t="str">
        <f>"*"&amp;A180&amp;"*"</f>
        <v>*2096: No Information*</v>
      </c>
      <c r="C180">
        <f>COUNTIF(Monday!I:I, B180)</f>
        <v>0</v>
      </c>
      <c r="D180">
        <f>COUNTIF(Tuesday!I:I, B180)</f>
        <v>0</v>
      </c>
      <c r="E180">
        <f>COUNTIF(Wednesday!I:I, B180)</f>
        <v>0</v>
      </c>
      <c r="F180">
        <f>COUNTIF(Thursday!I:I, B180)</f>
        <v>0</v>
      </c>
      <c r="G180">
        <f>COUNTIF(Friday!I:I, B180)</f>
        <v>0</v>
      </c>
      <c r="H180">
        <f>SUM(C180:G180)</f>
        <v>0</v>
      </c>
    </row>
    <row r="181" spans="1:8" x14ac:dyDescent="0.25">
      <c r="A181" s="5" t="s">
        <v>172</v>
      </c>
      <c r="B181" t="str">
        <f>"*"&amp;A181&amp;"*"</f>
        <v>*2140: Not Sterile*</v>
      </c>
      <c r="C181">
        <f>COUNTIF(Monday!I:I, B181)</f>
        <v>0</v>
      </c>
      <c r="D181">
        <f>COUNTIF(Tuesday!I:I, B181)</f>
        <v>0</v>
      </c>
      <c r="E181">
        <f>COUNTIF(Wednesday!I:I, B181)</f>
        <v>0</v>
      </c>
      <c r="F181">
        <f>COUNTIF(Thursday!I:I, B181)</f>
        <v>0</v>
      </c>
      <c r="G181">
        <f>COUNTIF(Friday!I:I, B181)</f>
        <v>0</v>
      </c>
      <c r="H181">
        <f>SUM(C181:G181)</f>
        <v>0</v>
      </c>
    </row>
    <row r="182" spans="1:8" x14ac:dyDescent="0.25">
      <c r="A182" s="5" t="s">
        <v>173</v>
      </c>
      <c r="B182" t="str">
        <f>"*"&amp;A182&amp;"*"</f>
        <v>*2146: Obstruction Within Device*</v>
      </c>
      <c r="C182">
        <f>COUNTIF(Monday!I:I, B182)</f>
        <v>0</v>
      </c>
      <c r="D182">
        <f>COUNTIF(Tuesday!I:I, B182)</f>
        <v>0</v>
      </c>
      <c r="E182">
        <f>COUNTIF(Wednesday!I:I, B182)</f>
        <v>0</v>
      </c>
      <c r="F182">
        <f>COUNTIF(Thursday!I:I, B182)</f>
        <v>0</v>
      </c>
      <c r="G182">
        <f>COUNTIF(Friday!I:I, B182)</f>
        <v>0</v>
      </c>
      <c r="H182">
        <f>SUM(C182:G182)</f>
        <v>0</v>
      </c>
    </row>
    <row r="183" spans="1:8" x14ac:dyDescent="0.25">
      <c r="A183" s="5" t="s">
        <v>174</v>
      </c>
      <c r="B183" t="str">
        <f>"*"&amp;A183&amp;"*"</f>
        <v>*2157: Out Of Specification*</v>
      </c>
      <c r="C183">
        <f>COUNTIF(Monday!I:I, B183)</f>
        <v>0</v>
      </c>
      <c r="D183">
        <f>COUNTIF(Tuesday!I:I, B183)</f>
        <v>0</v>
      </c>
      <c r="E183">
        <f>COUNTIF(Wednesday!I:I, B183)</f>
        <v>0</v>
      </c>
      <c r="F183">
        <f>COUNTIF(Thursday!I:I, B183)</f>
        <v>0</v>
      </c>
      <c r="G183">
        <f>COUNTIF(Friday!I:I, B183)</f>
        <v>0</v>
      </c>
      <c r="H183">
        <f>SUM(C183:G183)</f>
        <v>0</v>
      </c>
    </row>
    <row r="184" spans="1:8" x14ac:dyDescent="0.25">
      <c r="A184" s="5" t="s">
        <v>175</v>
      </c>
      <c r="B184" t="str">
        <f>"*"&amp;A184&amp;"*"</f>
        <v>*2248: Product Returned For Unknown Reason*</v>
      </c>
      <c r="C184">
        <f>COUNTIF(Monday!I:I, B184)</f>
        <v>0</v>
      </c>
      <c r="D184">
        <f>COUNTIF(Tuesday!I:I, B184)</f>
        <v>0</v>
      </c>
      <c r="E184">
        <f>COUNTIF(Wednesday!I:I, B184)</f>
        <v>0</v>
      </c>
      <c r="F184">
        <f>COUNTIF(Thursday!I:I, B184)</f>
        <v>0</v>
      </c>
      <c r="G184">
        <f>COUNTIF(Friday!I:I, B184)</f>
        <v>0</v>
      </c>
      <c r="H184">
        <f>SUM(C184:G184)</f>
        <v>0</v>
      </c>
    </row>
    <row r="185" spans="1:8" x14ac:dyDescent="0.25">
      <c r="A185" s="5" t="s">
        <v>176</v>
      </c>
      <c r="B185" t="str">
        <f>"*"&amp;A185&amp;"*"</f>
        <v>*2312: Shelf Life Exceeded*</v>
      </c>
      <c r="C185">
        <f>COUNTIF(Monday!I:I, B185)</f>
        <v>0</v>
      </c>
      <c r="D185">
        <f>COUNTIF(Tuesday!I:I, B185)</f>
        <v>0</v>
      </c>
      <c r="E185">
        <f>COUNTIF(Wednesday!I:I, B185)</f>
        <v>0</v>
      </c>
      <c r="F185">
        <f>COUNTIF(Thursday!I:I, B185)</f>
        <v>0</v>
      </c>
      <c r="G185">
        <f>COUNTIF(Friday!I:I, B185)</f>
        <v>0</v>
      </c>
      <c r="H185">
        <f>SUM(C185:G185)</f>
        <v>0</v>
      </c>
    </row>
    <row r="186" spans="1:8" x14ac:dyDescent="0.25">
      <c r="A186" s="5" t="s">
        <v>177</v>
      </c>
      <c r="B186" t="str">
        <f>"*"&amp;A186&amp;"*"</f>
        <v>*2313: Shifted In Package*</v>
      </c>
      <c r="C186">
        <f>COUNTIF(Monday!I:I, B186)</f>
        <v>0</v>
      </c>
      <c r="D186">
        <f>COUNTIF(Tuesday!I:I, B186)</f>
        <v>0</v>
      </c>
      <c r="E186">
        <f>COUNTIF(Wednesday!I:I, B186)</f>
        <v>0</v>
      </c>
      <c r="F186">
        <f>COUNTIF(Thursday!I:I, B186)</f>
        <v>0</v>
      </c>
      <c r="G186">
        <f>COUNTIF(Friday!I:I, B186)</f>
        <v>0</v>
      </c>
      <c r="H186">
        <f>SUM(C186:G186)</f>
        <v>0</v>
      </c>
    </row>
    <row r="187" spans="1:8" x14ac:dyDescent="0.25">
      <c r="A187" s="5" t="s">
        <v>178</v>
      </c>
      <c r="B187" t="str">
        <f>"*"&amp;A187&amp;"*"</f>
        <v>*2315: Shipping Damage Or Problem*</v>
      </c>
      <c r="C187">
        <f>COUNTIF(Monday!I:I, B187)</f>
        <v>0</v>
      </c>
      <c r="D187">
        <f>COUNTIF(Tuesday!I:I, B187)</f>
        <v>0</v>
      </c>
      <c r="E187">
        <f>COUNTIF(Wednesday!I:I, B187)</f>
        <v>0</v>
      </c>
      <c r="F187">
        <f>COUNTIF(Thursday!I:I, B187)</f>
        <v>0</v>
      </c>
      <c r="G187">
        <f>COUNTIF(Friday!I:I, B187)</f>
        <v>0</v>
      </c>
      <c r="H187">
        <f>SUM(C187:G187)</f>
        <v>0</v>
      </c>
    </row>
    <row r="188" spans="1:8" x14ac:dyDescent="0.25">
      <c r="A188" s="5" t="s">
        <v>179</v>
      </c>
      <c r="B188" t="str">
        <f>"*"&amp;A188&amp;"*"</f>
        <v>*2875: Unauthorized Access to Computer System*</v>
      </c>
      <c r="C188">
        <f>COUNTIF(Monday!I:I, B188)</f>
        <v>0</v>
      </c>
      <c r="D188">
        <f>COUNTIF(Tuesday!I:I, B188)</f>
        <v>0</v>
      </c>
      <c r="E188">
        <f>COUNTIF(Wednesday!I:I, B188)</f>
        <v>0</v>
      </c>
      <c r="F188">
        <f>COUNTIF(Thursday!I:I, B188)</f>
        <v>0</v>
      </c>
      <c r="G188">
        <f>COUNTIF(Friday!I:I, B188)</f>
        <v>0</v>
      </c>
      <c r="H188">
        <f>SUM(C188:G188)</f>
        <v>0</v>
      </c>
    </row>
    <row r="189" spans="1:8" x14ac:dyDescent="0.25">
      <c r="A189" s="5" t="s">
        <v>180</v>
      </c>
      <c r="B189" t="str">
        <f>"*"&amp;A189&amp;"*"</f>
        <v>*1690: Inadequate Instructions For Healthcare Professional*</v>
      </c>
      <c r="C189">
        <f>COUNTIF(Monday!I:I, B189)</f>
        <v>0</v>
      </c>
      <c r="D189">
        <f>COUNTIF(Tuesday!I:I, B189)</f>
        <v>0</v>
      </c>
      <c r="E189">
        <f>COUNTIF(Wednesday!I:I, B189)</f>
        <v>0</v>
      </c>
      <c r="F189">
        <f>COUNTIF(Thursday!I:I, B189)</f>
        <v>0</v>
      </c>
      <c r="G189">
        <f>COUNTIF(Friday!I:I, B189)</f>
        <v>0</v>
      </c>
      <c r="H189">
        <f>SUM(C189:G189)</f>
        <v>0</v>
      </c>
    </row>
    <row r="190" spans="1:8" x14ac:dyDescent="0.25">
      <c r="A190" s="5" t="s">
        <v>181</v>
      </c>
      <c r="B190" t="str">
        <f>"*"&amp;A190&amp;"*"</f>
        <v>*1718: Incorrect One Used*</v>
      </c>
      <c r="C190">
        <f>COUNTIF(Monday!I:I, B190)</f>
        <v>0</v>
      </c>
      <c r="D190">
        <f>COUNTIF(Tuesday!I:I, B190)</f>
        <v>0</v>
      </c>
      <c r="E190">
        <f>COUNTIF(Wednesday!I:I, B190)</f>
        <v>0</v>
      </c>
      <c r="F190">
        <f>COUNTIF(Thursday!I:I, B190)</f>
        <v>0</v>
      </c>
      <c r="G190">
        <f>COUNTIF(Friday!I:I, B190)</f>
        <v>0</v>
      </c>
      <c r="H190">
        <f>SUM(C190:G190)</f>
        <v>0</v>
      </c>
    </row>
    <row r="191" spans="1:8" x14ac:dyDescent="0.25">
      <c r="A191" s="5" t="s">
        <v>182</v>
      </c>
      <c r="B191" t="str">
        <f>"*"&amp;A191&amp;"*"</f>
        <v>*2295: Seal Compromised*</v>
      </c>
      <c r="C191">
        <f>COUNTIF(Monday!I:I, B191)</f>
        <v>0</v>
      </c>
      <c r="D191">
        <f>COUNTIF(Tuesday!I:I, B191)</f>
        <v>0</v>
      </c>
      <c r="E191">
        <f>COUNTIF(Wednesday!I:I, B191)</f>
        <v>0</v>
      </c>
      <c r="F191">
        <f>COUNTIF(Thursday!I:I, B191)</f>
        <v>0</v>
      </c>
      <c r="G191">
        <f>COUNTIF(Friday!I:I, B191)</f>
        <v>0</v>
      </c>
      <c r="H191">
        <f>SUM(C191:G191)</f>
        <v>0</v>
      </c>
    </row>
    <row r="192" spans="1:8" x14ac:dyDescent="0.25">
      <c r="A192" s="5" t="s">
        <v>183</v>
      </c>
      <c r="B192" t="str">
        <f>"*"&amp;A192&amp;"*"</f>
        <v>*1723: Incorrect/Inadequate Contents*</v>
      </c>
      <c r="C192">
        <f>COUNTIF(Monday!I:I, B192)</f>
        <v>0</v>
      </c>
      <c r="D192">
        <f>COUNTIF(Tuesday!I:I, B192)</f>
        <v>0</v>
      </c>
      <c r="E192">
        <f>COUNTIF(Wednesday!I:I, B192)</f>
        <v>0</v>
      </c>
      <c r="F192">
        <f>COUNTIF(Thursday!I:I, B192)</f>
        <v>0</v>
      </c>
      <c r="G192">
        <f>COUNTIF(Friday!I:I, B192)</f>
        <v>0</v>
      </c>
      <c r="H192">
        <f>SUM(C192:G192)</f>
        <v>0</v>
      </c>
    </row>
    <row r="193" spans="1:8" x14ac:dyDescent="0.25">
      <c r="A193" s="5" t="s">
        <v>184</v>
      </c>
      <c r="B193" t="str">
        <f>"*"&amp;A193&amp;"*"</f>
        <v>*2065: Misaligned*</v>
      </c>
      <c r="C193">
        <f>COUNTIF(Monday!I:I, B193)</f>
        <v>0</v>
      </c>
      <c r="D193">
        <f>COUNTIF(Tuesday!I:I, B193)</f>
        <v>0</v>
      </c>
      <c r="E193">
        <f>COUNTIF(Wednesday!I:I, B193)</f>
        <v>0</v>
      </c>
      <c r="F193">
        <f>COUNTIF(Thursday!I:I, B193)</f>
        <v>0</v>
      </c>
      <c r="G193">
        <f>COUNTIF(Friday!I:I, B193)</f>
        <v>0</v>
      </c>
      <c r="H193">
        <f>SUM(C193:G193)</f>
        <v>0</v>
      </c>
    </row>
    <row r="194" spans="1:8" x14ac:dyDescent="0.25">
      <c r="A194" s="5" t="s">
        <v>185</v>
      </c>
      <c r="B194" t="str">
        <f>"*"&amp;A194&amp;"*"</f>
        <v>*1450: Empty*</v>
      </c>
      <c r="C194">
        <f>COUNTIF(Monday!I:I, B194)</f>
        <v>0</v>
      </c>
      <c r="D194">
        <f>COUNTIF(Tuesday!I:I, B194)</f>
        <v>0</v>
      </c>
      <c r="E194">
        <f>COUNTIF(Wednesday!I:I, B194)</f>
        <v>0</v>
      </c>
      <c r="F194">
        <f>COUNTIF(Thursday!I:I, B194)</f>
        <v>0</v>
      </c>
      <c r="G194">
        <f>COUNTIF(Friday!I:I, B194)</f>
        <v>0</v>
      </c>
      <c r="H194">
        <f>SUM(C194:G194)</f>
        <v>0</v>
      </c>
    </row>
    <row r="195" spans="1:8" x14ac:dyDescent="0.25">
      <c r="A195" s="5" t="s">
        <v>186</v>
      </c>
      <c r="B195" t="str">
        <f>"*"&amp;A195&amp;"*"</f>
        <v>*1576: Failure To Remove*</v>
      </c>
      <c r="C195">
        <f>COUNTIF(Monday!I:I, B195)</f>
        <v>0</v>
      </c>
      <c r="D195">
        <f>COUNTIF(Tuesday!I:I, B195)</f>
        <v>0</v>
      </c>
      <c r="E195">
        <f>COUNTIF(Wednesday!I:I, B195)</f>
        <v>0</v>
      </c>
      <c r="F195">
        <f>COUNTIF(Thursday!I:I, B195)</f>
        <v>0</v>
      </c>
      <c r="G195">
        <f>COUNTIF(Friday!I:I, B195)</f>
        <v>0</v>
      </c>
      <c r="H195">
        <f>SUM(C195:G195)</f>
        <v>0</v>
      </c>
    </row>
    <row r="196" spans="1:8" x14ac:dyDescent="0.25">
      <c r="A196" s="5" t="s">
        <v>187</v>
      </c>
      <c r="B196" t="str">
        <f>"*"&amp;A196&amp;"*"</f>
        <v>*1633: Foreign Matter*</v>
      </c>
      <c r="C196">
        <f>COUNTIF(Monday!I:I, B196)</f>
        <v>0</v>
      </c>
      <c r="D196">
        <f>COUNTIF(Tuesday!I:I, B196)</f>
        <v>0</v>
      </c>
      <c r="E196">
        <f>COUNTIF(Wednesday!I:I, B196)</f>
        <v>0</v>
      </c>
      <c r="F196">
        <f>COUNTIF(Thursday!I:I, B196)</f>
        <v>0</v>
      </c>
      <c r="G196">
        <f>COUNTIF(Friday!I:I, B196)</f>
        <v>0</v>
      </c>
      <c r="H196">
        <f>SUM(C196:G196)</f>
        <v>0</v>
      </c>
    </row>
    <row r="197" spans="1:8" x14ac:dyDescent="0.25">
      <c r="A197" s="5" t="s">
        <v>188</v>
      </c>
      <c r="B197" t="str">
        <f>"*"&amp;A197&amp;"*"</f>
        <v>*1706: Incomplete Or Missing Packaging*</v>
      </c>
      <c r="C197">
        <f>COUNTIF(Monday!I:I, B197)</f>
        <v>0</v>
      </c>
      <c r="D197">
        <f>COUNTIF(Tuesday!I:I, B197)</f>
        <v>0</v>
      </c>
      <c r="E197">
        <f>COUNTIF(Wednesday!I:I, B197)</f>
        <v>0</v>
      </c>
      <c r="F197">
        <f>COUNTIF(Thursday!I:I, B197)</f>
        <v>0</v>
      </c>
      <c r="G197">
        <f>COUNTIF(Friday!I:I, B197)</f>
        <v>0</v>
      </c>
      <c r="H197">
        <f>SUM(C197:G197)</f>
        <v>0</v>
      </c>
    </row>
    <row r="198" spans="1:8" x14ac:dyDescent="0.25">
      <c r="A198" s="5" t="s">
        <v>189</v>
      </c>
      <c r="B198" t="str">
        <f>"*"&amp;A198&amp;"*"</f>
        <v>*1707: Incomplete Seal*</v>
      </c>
      <c r="C198">
        <f>COUNTIF(Monday!I:I, B198)</f>
        <v>0</v>
      </c>
      <c r="D198">
        <f>COUNTIF(Tuesday!I:I, B198)</f>
        <v>0</v>
      </c>
      <c r="E198">
        <f>COUNTIF(Wednesday!I:I, B198)</f>
        <v>0</v>
      </c>
      <c r="F198">
        <f>COUNTIF(Thursday!I:I, B198)</f>
        <v>0</v>
      </c>
      <c r="G198">
        <f>COUNTIF(Friday!I:I, B198)</f>
        <v>0</v>
      </c>
      <c r="H198">
        <f>SUM(C198:G198)</f>
        <v>0</v>
      </c>
    </row>
    <row r="199" spans="1:8" x14ac:dyDescent="0.25">
      <c r="A199" s="5" t="s">
        <v>190</v>
      </c>
      <c r="B199" t="str">
        <f>"*"&amp;A199&amp;"*"</f>
        <v>*1712: Incorrect Device Or Component Shipped*</v>
      </c>
      <c r="C199">
        <f>COUNTIF(Monday!I:I, B199)</f>
        <v>0</v>
      </c>
      <c r="D199">
        <f>COUNTIF(Tuesday!I:I, B199)</f>
        <v>0</v>
      </c>
      <c r="E199">
        <f>COUNTIF(Wednesday!I:I, B199)</f>
        <v>0</v>
      </c>
      <c r="F199">
        <f>COUNTIF(Thursday!I:I, B199)</f>
        <v>0</v>
      </c>
      <c r="G199">
        <f>COUNTIF(Friday!I:I, B199)</f>
        <v>0</v>
      </c>
      <c r="H199">
        <f>SUM(C199:G199)</f>
        <v>0</v>
      </c>
    </row>
    <row r="200" spans="1:8" x14ac:dyDescent="0.25">
      <c r="A200" s="5" t="s">
        <v>191</v>
      </c>
      <c r="B200" t="str">
        <f>"*"&amp;A200&amp;"*"</f>
        <v>*1713: Incorrect Device Quantity*</v>
      </c>
      <c r="C200">
        <f>COUNTIF(Monday!I:I, B200)</f>
        <v>0</v>
      </c>
      <c r="D200">
        <f>COUNTIF(Tuesday!I:I, B200)</f>
        <v>0</v>
      </c>
      <c r="E200">
        <f>COUNTIF(Wednesday!I:I, B200)</f>
        <v>0</v>
      </c>
      <c r="F200">
        <f>COUNTIF(Thursday!I:I, B200)</f>
        <v>0</v>
      </c>
      <c r="G200">
        <f>COUNTIF(Friday!I:I, B200)</f>
        <v>0</v>
      </c>
      <c r="H200">
        <f>SUM(C200:G200)</f>
        <v>0</v>
      </c>
    </row>
    <row r="201" spans="1:8" x14ac:dyDescent="0.25">
      <c r="A201" s="5" t="s">
        <v>192</v>
      </c>
      <c r="B201" t="str">
        <f>"*"&amp;A201&amp;"*"</f>
        <v>*1833: MBI (Master Brand Issue)*</v>
      </c>
      <c r="C201">
        <f>COUNTIF(Monday!I:I, B201)</f>
        <v>0</v>
      </c>
      <c r="D201">
        <f>COUNTIF(Tuesday!I:I, B201)</f>
        <v>0</v>
      </c>
      <c r="E201">
        <f>COUNTIF(Wednesday!I:I, B201)</f>
        <v>0</v>
      </c>
      <c r="F201">
        <f>COUNTIF(Thursday!I:I, B201)</f>
        <v>0</v>
      </c>
      <c r="G201">
        <f>COUNTIF(Friday!I:I, B201)</f>
        <v>0</v>
      </c>
      <c r="H201">
        <f>SUM(C201:G201)</f>
        <v>0</v>
      </c>
    </row>
    <row r="202" spans="1:8" x14ac:dyDescent="0.25">
      <c r="A202" s="5" t="s">
        <v>193</v>
      </c>
      <c r="B202" t="str">
        <f>"*"&amp;A202&amp;"*"</f>
        <v>*2106: No Seal*</v>
      </c>
      <c r="C202">
        <f>COUNTIF(Monday!I:I, B202)</f>
        <v>0</v>
      </c>
      <c r="D202">
        <f>COUNTIF(Tuesday!I:I, B202)</f>
        <v>0</v>
      </c>
      <c r="E202">
        <f>COUNTIF(Wednesday!I:I, B202)</f>
        <v>0</v>
      </c>
      <c r="F202">
        <f>COUNTIF(Thursday!I:I, B202)</f>
        <v>0</v>
      </c>
      <c r="G202">
        <f>COUNTIF(Friday!I:I, B202)</f>
        <v>0</v>
      </c>
      <c r="H202">
        <f>SUM(C202:G202)</f>
        <v>0</v>
      </c>
    </row>
    <row r="203" spans="1:8" x14ac:dyDescent="0.25">
      <c r="A203" s="5" t="s">
        <v>194</v>
      </c>
      <c r="B203" t="str">
        <f>"*"&amp;A203&amp;"*"</f>
        <v>*2400: Temperature Indicator Red*</v>
      </c>
      <c r="C203">
        <f>COUNTIF(Monday!I:I, B203)</f>
        <v>0</v>
      </c>
      <c r="D203">
        <f>COUNTIF(Tuesday!I:I, B203)</f>
        <v>0</v>
      </c>
      <c r="E203">
        <f>COUNTIF(Wednesday!I:I, B203)</f>
        <v>0</v>
      </c>
      <c r="F203">
        <f>COUNTIF(Thursday!I:I, B203)</f>
        <v>0</v>
      </c>
      <c r="G203">
        <f>COUNTIF(Friday!I:I, B203)</f>
        <v>0</v>
      </c>
      <c r="H203">
        <f>SUM(C203:G203)</f>
        <v>0</v>
      </c>
    </row>
    <row r="204" spans="1:8" x14ac:dyDescent="0.25">
      <c r="A204" s="5" t="s">
        <v>195</v>
      </c>
      <c r="B204" t="str">
        <f>"*"&amp;A204&amp;"*"</f>
        <v>*2448: Unsealed Device Packaging*</v>
      </c>
      <c r="C204">
        <f>COUNTIF(Monday!I:I, B204)</f>
        <v>0</v>
      </c>
      <c r="D204">
        <f>COUNTIF(Tuesday!I:I, B204)</f>
        <v>0</v>
      </c>
      <c r="E204">
        <f>COUNTIF(Wednesday!I:I, B204)</f>
        <v>0</v>
      </c>
      <c r="F204">
        <f>COUNTIF(Thursday!I:I, B204)</f>
        <v>0</v>
      </c>
      <c r="G204">
        <f>COUNTIF(Friday!I:I, B204)</f>
        <v>0</v>
      </c>
      <c r="H204">
        <f>SUM(C204:G204)</f>
        <v>0</v>
      </c>
    </row>
    <row r="205" spans="1:8" x14ac:dyDescent="0.25">
      <c r="A205" s="5" t="s">
        <v>196</v>
      </c>
      <c r="B205" t="str">
        <f>"*"&amp;A205&amp;"*"</f>
        <v>*2075: Mix-Up*</v>
      </c>
      <c r="C205">
        <f>COUNTIF(Monday!I:I, B205)</f>
        <v>0</v>
      </c>
      <c r="D205">
        <f>COUNTIF(Tuesday!I:I, B205)</f>
        <v>0</v>
      </c>
      <c r="E205">
        <f>COUNTIF(Wednesday!I:I, B205)</f>
        <v>0</v>
      </c>
      <c r="F205">
        <f>COUNTIF(Thursday!I:I, B205)</f>
        <v>0</v>
      </c>
      <c r="G205">
        <f>COUNTIF(Friday!I:I, B205)</f>
        <v>0</v>
      </c>
      <c r="H205">
        <f>SUM(C205:G205)</f>
        <v>0</v>
      </c>
    </row>
    <row r="206" spans="1:8" x14ac:dyDescent="0.25">
      <c r="A206" s="5" t="s">
        <v>197</v>
      </c>
      <c r="B206" t="str">
        <f>"*"&amp;A206&amp;"*"</f>
        <v>*2267: Reprocessed*</v>
      </c>
      <c r="C206">
        <f>COUNTIF(Monday!I:I, B206)</f>
        <v>0</v>
      </c>
      <c r="D206">
        <f>COUNTIF(Tuesday!I:I, B206)</f>
        <v>0</v>
      </c>
      <c r="E206">
        <f>COUNTIF(Wednesday!I:I, B206)</f>
        <v>0</v>
      </c>
      <c r="F206">
        <f>COUNTIF(Thursday!I:I, B206)</f>
        <v>0</v>
      </c>
      <c r="G206">
        <f>COUNTIF(Friday!I:I, B206)</f>
        <v>0</v>
      </c>
      <c r="H206">
        <f>SUM(C206:G206)</f>
        <v>0</v>
      </c>
    </row>
    <row r="207" spans="1:8" x14ac:dyDescent="0.25">
      <c r="A207" s="5" t="s">
        <v>198</v>
      </c>
      <c r="B207" t="str">
        <f>"*"&amp;A207&amp;"*"</f>
        <v>*1010: APM/Switch Box Problems*</v>
      </c>
      <c r="C207">
        <f>COUNTIF(Monday!I:I, B207)</f>
        <v>0</v>
      </c>
      <c r="D207">
        <f>COUNTIF(Tuesday!I:I, B207)</f>
        <v>0</v>
      </c>
      <c r="E207">
        <f>COUNTIF(Wednesday!I:I, B207)</f>
        <v>0</v>
      </c>
      <c r="F207">
        <f>COUNTIF(Thursday!I:I, B207)</f>
        <v>0</v>
      </c>
      <c r="G207">
        <f>COUNTIF(Friday!I:I, B207)</f>
        <v>0</v>
      </c>
      <c r="H207">
        <f>SUM(C207:G207)</f>
        <v>0</v>
      </c>
    </row>
    <row r="208" spans="1:8" x14ac:dyDescent="0.25">
      <c r="A208" s="5" t="s">
        <v>199</v>
      </c>
      <c r="B208" t="str">
        <f>"*"&amp;A208&amp;"*"</f>
        <v>*1068: Cable Problems*</v>
      </c>
      <c r="C208">
        <f>COUNTIF(Monday!I:I, B208)</f>
        <v>0</v>
      </c>
      <c r="D208">
        <f>COUNTIF(Tuesday!I:I, B208)</f>
        <v>0</v>
      </c>
      <c r="E208">
        <f>COUNTIF(Wednesday!I:I, B208)</f>
        <v>0</v>
      </c>
      <c r="F208">
        <f>COUNTIF(Thursday!I:I, B208)</f>
        <v>0</v>
      </c>
      <c r="G208">
        <f>COUNTIF(Friday!I:I, B208)</f>
        <v>0</v>
      </c>
      <c r="H208">
        <f>SUM(C208:G208)</f>
        <v>0</v>
      </c>
    </row>
    <row r="209" spans="1:8" x14ac:dyDescent="0.25">
      <c r="A209" s="5" t="s">
        <v>200</v>
      </c>
      <c r="B209" t="str">
        <f>"*"&amp;A209&amp;"*"</f>
        <v>*1440: Electrical Issue*</v>
      </c>
      <c r="C209">
        <f>COUNTIF(Monday!I:I, B209)</f>
        <v>0</v>
      </c>
      <c r="D209">
        <f>COUNTIF(Tuesday!I:I, B209)</f>
        <v>0</v>
      </c>
      <c r="E209">
        <f>COUNTIF(Wednesday!I:I, B209)</f>
        <v>0</v>
      </c>
      <c r="F209">
        <f>COUNTIF(Thursday!I:I, B209)</f>
        <v>0</v>
      </c>
      <c r="G209">
        <f>COUNTIF(Friday!I:I, B209)</f>
        <v>0</v>
      </c>
      <c r="H209">
        <f>SUM(C209:G209)</f>
        <v>0</v>
      </c>
    </row>
    <row r="210" spans="1:8" x14ac:dyDescent="0.25">
      <c r="A210" s="5" t="s">
        <v>201</v>
      </c>
      <c r="B210" t="str">
        <f>"*"&amp;A210&amp;"*"</f>
        <v>*1188: Detachment of Device or Device Component*</v>
      </c>
      <c r="C210">
        <f>COUNTIF(Monday!I:I, B210)</f>
        <v>0</v>
      </c>
      <c r="D210">
        <f>COUNTIF(Tuesday!I:I, B210)</f>
        <v>0</v>
      </c>
      <c r="E210">
        <f>COUNTIF(Wednesday!I:I, B210)</f>
        <v>0</v>
      </c>
      <c r="F210">
        <f>COUNTIF(Thursday!I:I, B210)</f>
        <v>0</v>
      </c>
      <c r="G210">
        <f>COUNTIF(Friday!I:I, B210)</f>
        <v>0</v>
      </c>
      <c r="H210">
        <f>SUM(C210:G210)</f>
        <v>0</v>
      </c>
    </row>
    <row r="211" spans="1:8" x14ac:dyDescent="0.25">
      <c r="A211" s="5" t="s">
        <v>202</v>
      </c>
      <c r="B211" t="str">
        <f>"*"&amp;A211&amp;"*"</f>
        <v>*1682: Impedance High*</v>
      </c>
      <c r="C211">
        <f>COUNTIF(Monday!I:I, B211)</f>
        <v>0</v>
      </c>
      <c r="D211">
        <f>COUNTIF(Tuesday!I:I, B211)</f>
        <v>0</v>
      </c>
      <c r="E211">
        <f>COUNTIF(Wednesday!I:I, B211)</f>
        <v>0</v>
      </c>
      <c r="F211">
        <f>COUNTIF(Thursday!I:I, B211)</f>
        <v>0</v>
      </c>
      <c r="G211">
        <f>COUNTIF(Friday!I:I, B211)</f>
        <v>0</v>
      </c>
      <c r="H211">
        <f>SUM(C211:G211)</f>
        <v>0</v>
      </c>
    </row>
    <row r="212" spans="1:8" x14ac:dyDescent="0.25">
      <c r="A212" s="5" t="s">
        <v>203</v>
      </c>
      <c r="B212" t="str">
        <f>"*"&amp;A212&amp;"*"</f>
        <v>*1684: Impedance Low*</v>
      </c>
      <c r="C212">
        <f>COUNTIF(Monday!I:I, B212)</f>
        <v>0</v>
      </c>
      <c r="D212">
        <f>COUNTIF(Tuesday!I:I, B212)</f>
        <v>0</v>
      </c>
      <c r="E212">
        <f>COUNTIF(Wednesday!I:I, B212)</f>
        <v>0</v>
      </c>
      <c r="F212">
        <f>COUNTIF(Thursday!I:I, B212)</f>
        <v>0</v>
      </c>
      <c r="G212">
        <f>COUNTIF(Friday!I:I, B212)</f>
        <v>0</v>
      </c>
      <c r="H212">
        <f>SUM(C212:G212)</f>
        <v>0</v>
      </c>
    </row>
    <row r="213" spans="1:8" x14ac:dyDescent="0.25">
      <c r="A213" s="5" t="s">
        <v>204</v>
      </c>
      <c r="B213" t="str">
        <f>"*"&amp;A213&amp;"*"</f>
        <v>*2107: No Signal*</v>
      </c>
      <c r="C213">
        <f>COUNTIF(Monday!I:I, B213)</f>
        <v>0</v>
      </c>
      <c r="D213">
        <f>COUNTIF(Tuesday!I:I, B213)</f>
        <v>0</v>
      </c>
      <c r="E213">
        <f>COUNTIF(Wednesday!I:I, B213)</f>
        <v>0</v>
      </c>
      <c r="F213">
        <f>COUNTIF(Thursday!I:I, B213)</f>
        <v>0</v>
      </c>
      <c r="G213">
        <f>COUNTIF(Friday!I:I, B213)</f>
        <v>0</v>
      </c>
      <c r="H213">
        <f>SUM(C213:G213)</f>
        <v>0</v>
      </c>
    </row>
    <row r="214" spans="1:8" x14ac:dyDescent="0.25">
      <c r="A214" s="5" t="s">
        <v>205</v>
      </c>
      <c r="B214" t="str">
        <f>"*"&amp;A214&amp;"*"</f>
        <v>*2422: Tracking/Accuracy Issue*</v>
      </c>
      <c r="C214">
        <f>COUNTIF(Monday!I:I, B214)</f>
        <v>0</v>
      </c>
      <c r="D214">
        <f>COUNTIF(Tuesday!I:I, B214)</f>
        <v>0</v>
      </c>
      <c r="E214">
        <f>COUNTIF(Wednesday!I:I, B214)</f>
        <v>0</v>
      </c>
      <c r="F214">
        <f>COUNTIF(Thursday!I:I, B214)</f>
        <v>0</v>
      </c>
      <c r="G214">
        <f>COUNTIF(Friday!I:I, B214)</f>
        <v>0</v>
      </c>
      <c r="H214">
        <f>SUM(C214:G214)</f>
        <v>0</v>
      </c>
    </row>
    <row r="215" spans="1:8" x14ac:dyDescent="0.25">
      <c r="A215" s="5" t="s">
        <v>206</v>
      </c>
      <c r="B215" t="str">
        <f>"*"&amp;A215&amp;"*"</f>
        <v>*1162: Damaged Cable*</v>
      </c>
      <c r="C215">
        <f>COUNTIF(Monday!I:I, B215)</f>
        <v>0</v>
      </c>
      <c r="D215">
        <f>COUNTIF(Tuesday!I:I, B215)</f>
        <v>0</v>
      </c>
      <c r="E215">
        <f>COUNTIF(Wednesday!I:I, B215)</f>
        <v>0</v>
      </c>
      <c r="F215">
        <f>COUNTIF(Thursday!I:I, B215)</f>
        <v>0</v>
      </c>
      <c r="G215">
        <f>COUNTIF(Friday!I:I, B215)</f>
        <v>0</v>
      </c>
      <c r="H215">
        <f>SUM(C215:G215)</f>
        <v>0</v>
      </c>
    </row>
    <row r="216" spans="1:8" x14ac:dyDescent="0.25">
      <c r="A216" s="5" t="s">
        <v>207</v>
      </c>
      <c r="B216" t="str">
        <f>"*"&amp;A216&amp;"*"</f>
        <v>*1527: Failure To Function Properly*</v>
      </c>
      <c r="C216">
        <f>COUNTIF(Monday!I:I, B216)</f>
        <v>0</v>
      </c>
      <c r="D216">
        <f>COUNTIF(Tuesday!I:I, B216)</f>
        <v>0</v>
      </c>
      <c r="E216">
        <f>COUNTIF(Wednesday!I:I, B216)</f>
        <v>0</v>
      </c>
      <c r="F216">
        <f>COUNTIF(Thursday!I:I, B216)</f>
        <v>0</v>
      </c>
      <c r="G216">
        <f>COUNTIF(Friday!I:I, B216)</f>
        <v>0</v>
      </c>
      <c r="H216">
        <f>SUM(C216:G216)</f>
        <v>0</v>
      </c>
    </row>
    <row r="217" spans="1:8" x14ac:dyDescent="0.25">
      <c r="A217" s="5" t="s">
        <v>208</v>
      </c>
      <c r="B217" t="str">
        <f>"*"&amp;A217&amp;"*"</f>
        <v>*1048: Break*</v>
      </c>
      <c r="C217">
        <f>COUNTIF(Monday!I:I, B217)</f>
        <v>0</v>
      </c>
      <c r="D217">
        <f>COUNTIF(Tuesday!I:I, B217)</f>
        <v>0</v>
      </c>
      <c r="E217">
        <f>COUNTIF(Wednesday!I:I, B217)</f>
        <v>0</v>
      </c>
      <c r="F217">
        <f>COUNTIF(Thursday!I:I, B217)</f>
        <v>0</v>
      </c>
      <c r="G217">
        <f>COUNTIF(Friday!I:I, B217)</f>
        <v>0</v>
      </c>
      <c r="H217">
        <f>SUM(C217:G217)</f>
        <v>0</v>
      </c>
    </row>
    <row r="218" spans="1:8" x14ac:dyDescent="0.25">
      <c r="A218" s="5" t="s">
        <v>209</v>
      </c>
      <c r="B218" t="str">
        <f>"*"&amp;A218&amp;"*"</f>
        <v>*2112: No Video*</v>
      </c>
      <c r="C218">
        <f>COUNTIF(Monday!I:I, B218)</f>
        <v>0</v>
      </c>
      <c r="D218">
        <f>COUNTIF(Tuesday!I:I, B218)</f>
        <v>0</v>
      </c>
      <c r="E218">
        <f>COUNTIF(Wednesday!I:I, B218)</f>
        <v>0</v>
      </c>
      <c r="F218">
        <f>COUNTIF(Thursday!I:I, B218)</f>
        <v>0</v>
      </c>
      <c r="G218">
        <f>COUNTIF(Friday!I:I, B218)</f>
        <v>0</v>
      </c>
      <c r="H218">
        <f>SUM(C218:G218)</f>
        <v>0</v>
      </c>
    </row>
    <row r="219" spans="1:8" x14ac:dyDescent="0.25">
      <c r="A219" s="5" t="s">
        <v>210</v>
      </c>
      <c r="B219" t="str">
        <f>"*"&amp;A219&amp;"*"</f>
        <v>*1039: Blood Pressure Signal Issue*</v>
      </c>
      <c r="C219">
        <f>COUNTIF(Monday!I:I, B219)</f>
        <v>0</v>
      </c>
      <c r="D219">
        <f>COUNTIF(Tuesday!I:I, B219)</f>
        <v>0</v>
      </c>
      <c r="E219">
        <f>COUNTIF(Wednesday!I:I, B219)</f>
        <v>0</v>
      </c>
      <c r="F219">
        <f>COUNTIF(Thursday!I:I, B219)</f>
        <v>0</v>
      </c>
      <c r="G219">
        <f>COUNTIF(Friday!I:I, B219)</f>
        <v>0</v>
      </c>
      <c r="H219">
        <f>SUM(C219:G219)</f>
        <v>0</v>
      </c>
    </row>
    <row r="220" spans="1:8" x14ac:dyDescent="0.25">
      <c r="A220" s="5" t="s">
        <v>211</v>
      </c>
      <c r="B220" t="str">
        <f>"*"&amp;A220&amp;"*"</f>
        <v>*1121: Communication Loss With PC*</v>
      </c>
      <c r="C220">
        <f>COUNTIF(Monday!I:I, B220)</f>
        <v>0</v>
      </c>
      <c r="D220">
        <f>COUNTIF(Tuesday!I:I, B220)</f>
        <v>0</v>
      </c>
      <c r="E220">
        <f>COUNTIF(Wednesday!I:I, B220)</f>
        <v>0</v>
      </c>
      <c r="F220">
        <f>COUNTIF(Thursday!I:I, B220)</f>
        <v>0</v>
      </c>
      <c r="G220">
        <f>COUNTIF(Friday!I:I, B220)</f>
        <v>0</v>
      </c>
      <c r="H220">
        <f>SUM(C220:G220)</f>
        <v>0</v>
      </c>
    </row>
    <row r="221" spans="1:8" x14ac:dyDescent="0.25">
      <c r="A221" s="5" t="s">
        <v>212</v>
      </c>
      <c r="B221" t="str">
        <f>"*"&amp;A221&amp;"*"</f>
        <v>*1435: ECG Signal Issue*</v>
      </c>
      <c r="C221">
        <f>COUNTIF(Monday!I:I, B221)</f>
        <v>0</v>
      </c>
      <c r="D221">
        <f>COUNTIF(Tuesday!I:I, B221)</f>
        <v>0</v>
      </c>
      <c r="E221">
        <f>COUNTIF(Wednesday!I:I, B221)</f>
        <v>0</v>
      </c>
      <c r="F221">
        <f>COUNTIF(Thursday!I:I, B221)</f>
        <v>0</v>
      </c>
      <c r="G221">
        <f>COUNTIF(Friday!I:I, B221)</f>
        <v>0</v>
      </c>
      <c r="H221">
        <f>SUM(C221:G221)</f>
        <v>0</v>
      </c>
    </row>
    <row r="222" spans="1:8" x14ac:dyDescent="0.25">
      <c r="A222" s="5" t="s">
        <v>213</v>
      </c>
      <c r="B222" t="str">
        <f>"*"&amp;A222&amp;"*"</f>
        <v>*1778: LED Indicators Do Not Turn On*</v>
      </c>
      <c r="C222">
        <f>COUNTIF(Monday!I:I, B222)</f>
        <v>0</v>
      </c>
      <c r="D222">
        <f>COUNTIF(Tuesday!I:I, B222)</f>
        <v>0</v>
      </c>
      <c r="E222">
        <f>COUNTIF(Wednesday!I:I, B222)</f>
        <v>0</v>
      </c>
      <c r="F222">
        <f>COUNTIF(Thursday!I:I, B222)</f>
        <v>0</v>
      </c>
      <c r="G222">
        <f>COUNTIF(Friday!I:I, B222)</f>
        <v>0</v>
      </c>
      <c r="H222">
        <f>SUM(C222:G222)</f>
        <v>0</v>
      </c>
    </row>
    <row r="223" spans="1:8" x14ac:dyDescent="0.25">
      <c r="A223" s="5" t="s">
        <v>214</v>
      </c>
      <c r="B223" t="str">
        <f>"*"&amp;A223&amp;"*"</f>
        <v>*2120: Noise Issue*</v>
      </c>
      <c r="C223">
        <f>COUNTIF(Monday!I:I, B223)</f>
        <v>0</v>
      </c>
      <c r="D223">
        <f>COUNTIF(Tuesday!I:I, B223)</f>
        <v>0</v>
      </c>
      <c r="E223">
        <f>COUNTIF(Wednesday!I:I, B223)</f>
        <v>0</v>
      </c>
      <c r="F223">
        <f>COUNTIF(Thursday!I:I, B223)</f>
        <v>0</v>
      </c>
      <c r="G223">
        <f>COUNTIF(Friday!I:I, B223)</f>
        <v>0</v>
      </c>
      <c r="H223">
        <f>SUM(C223:G223)</f>
        <v>0</v>
      </c>
    </row>
    <row r="224" spans="1:8" x14ac:dyDescent="0.25">
      <c r="A224" s="5" t="s">
        <v>215</v>
      </c>
      <c r="B224" t="str">
        <f>"*"&amp;A224&amp;"*"</f>
        <v>*2439: Unexpected Shutdown*</v>
      </c>
      <c r="C224">
        <f>COUNTIF(Monday!I:I, B224)</f>
        <v>0</v>
      </c>
      <c r="D224">
        <f>COUNTIF(Tuesday!I:I, B224)</f>
        <v>0</v>
      </c>
      <c r="E224">
        <f>COUNTIF(Wednesday!I:I, B224)</f>
        <v>0</v>
      </c>
      <c r="F224">
        <f>COUNTIF(Thursday!I:I, B224)</f>
        <v>0</v>
      </c>
      <c r="G224">
        <f>COUNTIF(Friday!I:I, B224)</f>
        <v>0</v>
      </c>
      <c r="H224">
        <f>SUM(C224:G224)</f>
        <v>0</v>
      </c>
    </row>
    <row r="225" spans="1:8" x14ac:dyDescent="0.25">
      <c r="A225" s="5" t="s">
        <v>216</v>
      </c>
      <c r="B225" t="str">
        <f>"*"&amp;A225&amp;"*"</f>
        <v>*1744: Internal Rattle*</v>
      </c>
      <c r="C225">
        <f>COUNTIF(Monday!I:I, B225)</f>
        <v>0</v>
      </c>
      <c r="D225">
        <f>COUNTIF(Tuesday!I:I, B225)</f>
        <v>0</v>
      </c>
      <c r="E225">
        <f>COUNTIF(Wednesday!I:I, B225)</f>
        <v>0</v>
      </c>
      <c r="F225">
        <f>COUNTIF(Thursday!I:I, B225)</f>
        <v>0</v>
      </c>
      <c r="G225">
        <f>COUNTIF(Friday!I:I, B225)</f>
        <v>0</v>
      </c>
      <c r="H225">
        <f>SUM(C225:G225)</f>
        <v>0</v>
      </c>
    </row>
    <row r="226" spans="1:8" x14ac:dyDescent="0.25">
      <c r="A226" s="5" t="s">
        <v>217</v>
      </c>
      <c r="B226" t="str">
        <f>"*"&amp;A226&amp;"*"</f>
        <v>*1994: Message - M01 Limited Output*</v>
      </c>
      <c r="C226">
        <f>COUNTIF(Monday!I:I, B226)</f>
        <v>0</v>
      </c>
      <c r="D226">
        <f>COUNTIF(Tuesday!I:I, B226)</f>
        <v>0</v>
      </c>
      <c r="E226">
        <f>COUNTIF(Wednesday!I:I, B226)</f>
        <v>0</v>
      </c>
      <c r="F226">
        <f>COUNTIF(Thursday!I:I, B226)</f>
        <v>0</v>
      </c>
      <c r="G226">
        <f>COUNTIF(Friday!I:I, B226)</f>
        <v>0</v>
      </c>
      <c r="H226">
        <f>SUM(C226:G226)</f>
        <v>0</v>
      </c>
    </row>
    <row r="227" spans="1:8" x14ac:dyDescent="0.25">
      <c r="A227" s="5" t="s">
        <v>218</v>
      </c>
      <c r="B227" t="str">
        <f>"*"&amp;A227&amp;"*"</f>
        <v>*1549: Failure To Operate*</v>
      </c>
      <c r="C227">
        <f>COUNTIF(Monday!I:I, B227)</f>
        <v>0</v>
      </c>
      <c r="D227">
        <f>COUNTIF(Tuesday!I:I, B227)</f>
        <v>0</v>
      </c>
      <c r="E227">
        <f>COUNTIF(Wednesday!I:I, B227)</f>
        <v>0</v>
      </c>
      <c r="F227">
        <f>COUNTIF(Thursday!I:I, B227)</f>
        <v>0</v>
      </c>
      <c r="G227">
        <f>COUNTIF(Friday!I:I, B227)</f>
        <v>0</v>
      </c>
      <c r="H227">
        <f>SUM(C227:G227)</f>
        <v>0</v>
      </c>
    </row>
    <row r="228" spans="1:8" x14ac:dyDescent="0.25">
      <c r="A228" s="5" t="s">
        <v>219</v>
      </c>
      <c r="B228" t="str">
        <f>"*"&amp;A228&amp;"*"</f>
        <v>*1132: Condition Does Not Match Status Of Door*</v>
      </c>
      <c r="C228">
        <f>COUNTIF(Monday!I:I, B228)</f>
        <v>0</v>
      </c>
      <c r="D228">
        <f>COUNTIF(Tuesday!I:I, B228)</f>
        <v>0</v>
      </c>
      <c r="E228">
        <f>COUNTIF(Wednesday!I:I, B228)</f>
        <v>0</v>
      </c>
      <c r="F228">
        <f>COUNTIF(Thursday!I:I, B228)</f>
        <v>0</v>
      </c>
      <c r="G228">
        <f>COUNTIF(Friday!I:I, B228)</f>
        <v>0</v>
      </c>
      <c r="H228">
        <f>SUM(C228:G228)</f>
        <v>0</v>
      </c>
    </row>
    <row r="229" spans="1:8" x14ac:dyDescent="0.25">
      <c r="A229" s="5" t="s">
        <v>220</v>
      </c>
      <c r="B229" t="str">
        <f>"*"&amp;A229&amp;"*"</f>
        <v>*1000: Ablates Without Ground Pads*</v>
      </c>
      <c r="C229">
        <f>COUNTIF(Monday!I:I, B229)</f>
        <v>0</v>
      </c>
      <c r="D229">
        <f>COUNTIF(Tuesday!I:I, B229)</f>
        <v>0</v>
      </c>
      <c r="E229">
        <f>COUNTIF(Wednesday!I:I, B229)</f>
        <v>0</v>
      </c>
      <c r="F229">
        <f>COUNTIF(Thursday!I:I, B229)</f>
        <v>0</v>
      </c>
      <c r="G229">
        <f>COUNTIF(Friday!I:I, B229)</f>
        <v>0</v>
      </c>
      <c r="H229">
        <f>SUM(C229:G229)</f>
        <v>0</v>
      </c>
    </row>
    <row r="230" spans="1:8" x14ac:dyDescent="0.25">
      <c r="A230" s="5" t="s">
        <v>221</v>
      </c>
      <c r="B230" t="str">
        <f>"*"&amp;A230&amp;"*"</f>
        <v>*1410: Discontinued Product*</v>
      </c>
      <c r="C230">
        <f>COUNTIF(Monday!I:I, B230)</f>
        <v>0</v>
      </c>
      <c r="D230">
        <f>COUNTIF(Tuesday!I:I, B230)</f>
        <v>0</v>
      </c>
      <c r="E230">
        <f>COUNTIF(Wednesday!I:I, B230)</f>
        <v>0</v>
      </c>
      <c r="F230">
        <f>COUNTIF(Thursday!I:I, B230)</f>
        <v>0</v>
      </c>
      <c r="G230">
        <f>COUNTIF(Friday!I:I, B230)</f>
        <v>0</v>
      </c>
      <c r="H230">
        <f>SUM(C230:G230)</f>
        <v>0</v>
      </c>
    </row>
    <row r="231" spans="1:8" x14ac:dyDescent="0.25">
      <c r="A231" s="5" t="s">
        <v>222</v>
      </c>
      <c r="B231" t="str">
        <f>"*"&amp;A231&amp;"*"</f>
        <v>*1529: Failure To Halt RF Delivery*</v>
      </c>
      <c r="C231">
        <f>COUNTIF(Monday!I:I, B231)</f>
        <v>0</v>
      </c>
      <c r="D231">
        <f>COUNTIF(Tuesday!I:I, B231)</f>
        <v>0</v>
      </c>
      <c r="E231">
        <f>COUNTIF(Wednesday!I:I, B231)</f>
        <v>0</v>
      </c>
      <c r="F231">
        <f>COUNTIF(Thursday!I:I, B231)</f>
        <v>0</v>
      </c>
      <c r="G231">
        <f>COUNTIF(Friday!I:I, B231)</f>
        <v>0</v>
      </c>
      <c r="H231">
        <f>SUM(C231:G231)</f>
        <v>0</v>
      </c>
    </row>
    <row r="232" spans="1:8" x14ac:dyDescent="0.25">
      <c r="A232" s="5" t="s">
        <v>223</v>
      </c>
      <c r="B232" t="str">
        <f>"*"&amp;A232&amp;"*"</f>
        <v>*1696: Inadvertent RF Delivery*</v>
      </c>
      <c r="C232">
        <f>COUNTIF(Monday!I:I, B232)</f>
        <v>0</v>
      </c>
      <c r="D232">
        <f>COUNTIF(Tuesday!I:I, B232)</f>
        <v>0</v>
      </c>
      <c r="E232">
        <f>COUNTIF(Wednesday!I:I, B232)</f>
        <v>0</v>
      </c>
      <c r="F232">
        <f>COUNTIF(Thursday!I:I, B232)</f>
        <v>0</v>
      </c>
      <c r="G232">
        <f>COUNTIF(Friday!I:I, B232)</f>
        <v>0</v>
      </c>
      <c r="H232">
        <f>SUM(C232:G232)</f>
        <v>0</v>
      </c>
    </row>
    <row r="233" spans="1:8" x14ac:dyDescent="0.25">
      <c r="A233" s="5" t="s">
        <v>224</v>
      </c>
      <c r="B233" t="str">
        <f>"*"&amp;A233&amp;"*"</f>
        <v>*1794: Loose*</v>
      </c>
      <c r="C233">
        <f>COUNTIF(Monday!I:I, B233)</f>
        <v>0</v>
      </c>
      <c r="D233">
        <f>COUNTIF(Tuesday!I:I, B233)</f>
        <v>0</v>
      </c>
      <c r="E233">
        <f>COUNTIF(Wednesday!I:I, B233)</f>
        <v>0</v>
      </c>
      <c r="F233">
        <f>COUNTIF(Thursday!I:I, B233)</f>
        <v>0</v>
      </c>
      <c r="G233">
        <f>COUNTIF(Friday!I:I, B233)</f>
        <v>0</v>
      </c>
      <c r="H233">
        <f>SUM(C233:G233)</f>
        <v>0</v>
      </c>
    </row>
    <row r="234" spans="1:8" x14ac:dyDescent="0.25">
      <c r="A234" s="5" t="s">
        <v>225</v>
      </c>
      <c r="B234" t="str">
        <f>"*"&amp;A234&amp;"*"</f>
        <v>*1808: Low Power*</v>
      </c>
      <c r="C234">
        <f>COUNTIF(Monday!I:I, B234)</f>
        <v>0</v>
      </c>
      <c r="D234">
        <f>COUNTIF(Tuesday!I:I, B234)</f>
        <v>0</v>
      </c>
      <c r="E234">
        <f>COUNTIF(Wednesday!I:I, B234)</f>
        <v>0</v>
      </c>
      <c r="F234">
        <f>COUNTIF(Thursday!I:I, B234)</f>
        <v>0</v>
      </c>
      <c r="G234">
        <f>COUNTIF(Friday!I:I, B234)</f>
        <v>0</v>
      </c>
      <c r="H234">
        <f>SUM(C234:G234)</f>
        <v>0</v>
      </c>
    </row>
    <row r="235" spans="1:8" x14ac:dyDescent="0.25">
      <c r="A235" s="5" t="s">
        <v>226</v>
      </c>
      <c r="B235" t="str">
        <f>"*"&amp;A235&amp;"*"</f>
        <v>*1905: Message - D01 Low Impedance*</v>
      </c>
      <c r="C235">
        <f>COUNTIF(Monday!I:I, B235)</f>
        <v>0</v>
      </c>
      <c r="D235">
        <f>COUNTIF(Tuesday!I:I, B235)</f>
        <v>0</v>
      </c>
      <c r="E235">
        <f>COUNTIF(Wednesday!I:I, B235)</f>
        <v>0</v>
      </c>
      <c r="F235">
        <f>COUNTIF(Thursday!I:I, B235)</f>
        <v>0</v>
      </c>
      <c r="G235">
        <f>COUNTIF(Friday!I:I, B235)</f>
        <v>0</v>
      </c>
      <c r="H235">
        <f>SUM(C235:G235)</f>
        <v>0</v>
      </c>
    </row>
    <row r="236" spans="1:8" x14ac:dyDescent="0.25">
      <c r="A236" s="5" t="s">
        <v>227</v>
      </c>
      <c r="B236" t="str">
        <f>"*"&amp;A236&amp;"*"</f>
        <v>*1907: Message - D02 High Impedance*</v>
      </c>
      <c r="C236">
        <f>COUNTIF(Monday!I:I, B236)</f>
        <v>0</v>
      </c>
      <c r="D236">
        <f>COUNTIF(Tuesday!I:I, B236)</f>
        <v>0</v>
      </c>
      <c r="E236">
        <f>COUNTIF(Wednesday!I:I, B236)</f>
        <v>0</v>
      </c>
      <c r="F236">
        <f>COUNTIF(Thursday!I:I, B236)</f>
        <v>0</v>
      </c>
      <c r="G236">
        <f>COUNTIF(Friday!I:I, B236)</f>
        <v>0</v>
      </c>
      <c r="H236">
        <f>SUM(C236:G236)</f>
        <v>0</v>
      </c>
    </row>
    <row r="237" spans="1:8" x14ac:dyDescent="0.25">
      <c r="A237" s="5" t="s">
        <v>228</v>
      </c>
      <c r="B237" t="str">
        <f>"*"&amp;A237&amp;"*"</f>
        <v>*1909: Message - D03 Limit Exceeded/Restart Generator*</v>
      </c>
      <c r="C237">
        <f>COUNTIF(Monday!I:I, B237)</f>
        <v>0</v>
      </c>
      <c r="D237">
        <f>COUNTIF(Tuesday!I:I, B237)</f>
        <v>0</v>
      </c>
      <c r="E237">
        <f>COUNTIF(Wednesday!I:I, B237)</f>
        <v>0</v>
      </c>
      <c r="F237">
        <f>COUNTIF(Thursday!I:I, B237)</f>
        <v>0</v>
      </c>
      <c r="G237">
        <f>COUNTIF(Friday!I:I, B237)</f>
        <v>0</v>
      </c>
      <c r="H237">
        <f>SUM(C237:G237)</f>
        <v>0</v>
      </c>
    </row>
    <row r="238" spans="1:8" x14ac:dyDescent="0.25">
      <c r="A238" s="5" t="s">
        <v>229</v>
      </c>
      <c r="B238" t="str">
        <f>"*"&amp;A238&amp;"*"</f>
        <v>*1910: Message - D04 Temp Above Set Point/Check Catheter*</v>
      </c>
      <c r="C238">
        <f>COUNTIF(Monday!I:I, B238)</f>
        <v>0</v>
      </c>
      <c r="D238">
        <f>COUNTIF(Tuesday!I:I, B238)</f>
        <v>0</v>
      </c>
      <c r="E238">
        <f>COUNTIF(Wednesday!I:I, B238)</f>
        <v>0</v>
      </c>
      <c r="F238">
        <f>COUNTIF(Thursday!I:I, B238)</f>
        <v>0</v>
      </c>
      <c r="G238">
        <f>COUNTIF(Friday!I:I, B238)</f>
        <v>0</v>
      </c>
      <c r="H238">
        <f>SUM(C238:G238)</f>
        <v>0</v>
      </c>
    </row>
    <row r="239" spans="1:8" x14ac:dyDescent="0.25">
      <c r="A239" s="5" t="s">
        <v>230</v>
      </c>
      <c r="B239" t="str">
        <f>"*"&amp;A239&amp;"*"</f>
        <v>*1911: Message - D05 Excessive Temperature*</v>
      </c>
      <c r="C239">
        <f>COUNTIF(Monday!I:I, B239)</f>
        <v>0</v>
      </c>
      <c r="D239">
        <f>COUNTIF(Tuesday!I:I, B239)</f>
        <v>0</v>
      </c>
      <c r="E239">
        <f>COUNTIF(Wednesday!I:I, B239)</f>
        <v>0</v>
      </c>
      <c r="F239">
        <f>COUNTIF(Thursday!I:I, B239)</f>
        <v>0</v>
      </c>
      <c r="G239">
        <f>COUNTIF(Friday!I:I, B239)</f>
        <v>0</v>
      </c>
      <c r="H239">
        <f>SUM(C239:G239)</f>
        <v>0</v>
      </c>
    </row>
    <row r="240" spans="1:8" x14ac:dyDescent="0.25">
      <c r="A240" s="5" t="s">
        <v>231</v>
      </c>
      <c r="B240" t="str">
        <f>"*"&amp;A240&amp;"*"</f>
        <v>*1914: Message - D06 Temp Out Of Range*</v>
      </c>
      <c r="C240">
        <f>COUNTIF(Monday!I:I, B240)</f>
        <v>0</v>
      </c>
      <c r="D240">
        <f>COUNTIF(Tuesday!I:I, B240)</f>
        <v>0</v>
      </c>
      <c r="E240">
        <f>COUNTIF(Wednesday!I:I, B240)</f>
        <v>0</v>
      </c>
      <c r="F240">
        <f>COUNTIF(Thursday!I:I, B240)</f>
        <v>0</v>
      </c>
      <c r="G240">
        <f>COUNTIF(Friday!I:I, B240)</f>
        <v>0</v>
      </c>
      <c r="H240">
        <f>SUM(C240:G240)</f>
        <v>0</v>
      </c>
    </row>
    <row r="241" spans="1:8" x14ac:dyDescent="0.25">
      <c r="A241" s="5" t="s">
        <v>232</v>
      </c>
      <c r="B241" t="str">
        <f>"*"&amp;A241&amp;"*"</f>
        <v>*1916: Message - D07 Temperature Too High*</v>
      </c>
      <c r="C241">
        <f>COUNTIF(Monday!I:I, B241)</f>
        <v>0</v>
      </c>
      <c r="D241">
        <f>COUNTIF(Tuesday!I:I, B241)</f>
        <v>0</v>
      </c>
      <c r="E241">
        <f>COUNTIF(Wednesday!I:I, B241)</f>
        <v>0</v>
      </c>
      <c r="F241">
        <f>COUNTIF(Thursday!I:I, B241)</f>
        <v>0</v>
      </c>
      <c r="G241">
        <f>COUNTIF(Friday!I:I, B241)</f>
        <v>0</v>
      </c>
      <c r="H241">
        <f>SUM(C241:G241)</f>
        <v>0</v>
      </c>
    </row>
    <row r="242" spans="1:8" x14ac:dyDescent="0.25">
      <c r="A242" s="5" t="s">
        <v>233</v>
      </c>
      <c r="B242" t="str">
        <f>"*"&amp;A242&amp;"*"</f>
        <v>*1917: Message - D08 Check Pod*</v>
      </c>
      <c r="C242">
        <f>COUNTIF(Monday!I:I, B242)</f>
        <v>0</v>
      </c>
      <c r="D242">
        <f>COUNTIF(Tuesday!I:I, B242)</f>
        <v>0</v>
      </c>
      <c r="E242">
        <f>COUNTIF(Wednesday!I:I, B242)</f>
        <v>0</v>
      </c>
      <c r="F242">
        <f>COUNTIF(Thursday!I:I, B242)</f>
        <v>0</v>
      </c>
      <c r="G242">
        <f>COUNTIF(Friday!I:I, B242)</f>
        <v>0</v>
      </c>
      <c r="H242">
        <f>SUM(C242:G242)</f>
        <v>0</v>
      </c>
    </row>
    <row r="243" spans="1:8" x14ac:dyDescent="0.25">
      <c r="A243" s="5" t="s">
        <v>234</v>
      </c>
      <c r="B243" t="str">
        <f>"*"&amp;A243&amp;"*"</f>
        <v>*1918: Message - D09 Multisense Sensor Failure*</v>
      </c>
      <c r="C243">
        <f>COUNTIF(Monday!I:I, B243)</f>
        <v>0</v>
      </c>
      <c r="D243">
        <f>COUNTIF(Tuesday!I:I, B243)</f>
        <v>0</v>
      </c>
      <c r="E243">
        <f>COUNTIF(Wednesday!I:I, B243)</f>
        <v>0</v>
      </c>
      <c r="F243">
        <f>COUNTIF(Thursday!I:I, B243)</f>
        <v>0</v>
      </c>
      <c r="G243">
        <f>COUNTIF(Friday!I:I, B243)</f>
        <v>0</v>
      </c>
      <c r="H243">
        <f>SUM(C243:G243)</f>
        <v>0</v>
      </c>
    </row>
    <row r="244" spans="1:8" x14ac:dyDescent="0.25">
      <c r="A244" s="5" t="s">
        <v>235</v>
      </c>
      <c r="B244" t="str">
        <f>"*"&amp;A244&amp;"*"</f>
        <v>*1919: Message - D10 Invalid Catheter ID*</v>
      </c>
      <c r="C244">
        <f>COUNTIF(Monday!I:I, B244)</f>
        <v>0</v>
      </c>
      <c r="D244">
        <f>COUNTIF(Tuesday!I:I, B244)</f>
        <v>0</v>
      </c>
      <c r="E244">
        <f>COUNTIF(Wednesday!I:I, B244)</f>
        <v>0</v>
      </c>
      <c r="F244">
        <f>COUNTIF(Thursday!I:I, B244)</f>
        <v>0</v>
      </c>
      <c r="G244">
        <f>COUNTIF(Friday!I:I, B244)</f>
        <v>0</v>
      </c>
      <c r="H244">
        <f>SUM(C244:G244)</f>
        <v>0</v>
      </c>
    </row>
    <row r="245" spans="1:8" x14ac:dyDescent="0.25">
      <c r="A245" s="5" t="s">
        <v>236</v>
      </c>
      <c r="B245" t="str">
        <f>"*"&amp;A245&amp;"*"</f>
        <v>*1921: Message - D12 Check Pump*</v>
      </c>
      <c r="C245">
        <f>COUNTIF(Monday!I:I, B245)</f>
        <v>0</v>
      </c>
      <c r="D245">
        <f>COUNTIF(Tuesday!I:I, B245)</f>
        <v>0</v>
      </c>
      <c r="E245">
        <f>COUNTIF(Wednesday!I:I, B245)</f>
        <v>0</v>
      </c>
      <c r="F245">
        <f>COUNTIF(Thursday!I:I, B245)</f>
        <v>0</v>
      </c>
      <c r="G245">
        <f>COUNTIF(Friday!I:I, B245)</f>
        <v>0</v>
      </c>
      <c r="H245">
        <f>SUM(C245:G245)</f>
        <v>0</v>
      </c>
    </row>
    <row r="246" spans="1:8" x14ac:dyDescent="0.25">
      <c r="A246" s="5" t="s">
        <v>237</v>
      </c>
      <c r="B246" t="str">
        <f>"*"&amp;A246&amp;"*"</f>
        <v>*1961: Message - Gen-Fails Pwr-On Self-Test*</v>
      </c>
      <c r="C246">
        <f>COUNTIF(Monday!I:I, B246)</f>
        <v>0</v>
      </c>
      <c r="D246">
        <f>COUNTIF(Tuesday!I:I, B246)</f>
        <v>0</v>
      </c>
      <c r="E246">
        <f>COUNTIF(Wednesday!I:I, B246)</f>
        <v>0</v>
      </c>
      <c r="F246">
        <f>COUNTIF(Thursday!I:I, B246)</f>
        <v>0</v>
      </c>
      <c r="G246">
        <f>COUNTIF(Friday!I:I, B246)</f>
        <v>0</v>
      </c>
      <c r="H246">
        <f>SUM(C246:G246)</f>
        <v>0</v>
      </c>
    </row>
    <row r="247" spans="1:8" x14ac:dyDescent="0.25">
      <c r="A247" s="5" t="s">
        <v>238</v>
      </c>
      <c r="B247" t="str">
        <f>"*"&amp;A247&amp;"*"</f>
        <v>*1995: Message - M02 Power Limited, Power Setting*</v>
      </c>
      <c r="C247">
        <f>COUNTIF(Monday!I:I, B247)</f>
        <v>0</v>
      </c>
      <c r="D247">
        <f>COUNTIF(Tuesday!I:I, B247)</f>
        <v>0</v>
      </c>
      <c r="E247">
        <f>COUNTIF(Wednesday!I:I, B247)</f>
        <v>0</v>
      </c>
      <c r="F247">
        <f>COUNTIF(Thursday!I:I, B247)</f>
        <v>0</v>
      </c>
      <c r="G247">
        <f>COUNTIF(Friday!I:I, B247)</f>
        <v>0</v>
      </c>
      <c r="H247">
        <f>SUM(C247:G247)</f>
        <v>0</v>
      </c>
    </row>
    <row r="248" spans="1:8" x14ac:dyDescent="0.25">
      <c r="A248" s="5" t="s">
        <v>239</v>
      </c>
      <c r="B248" t="str">
        <f>"*"&amp;A248&amp;"*"</f>
        <v>*1996: Message - M03 Power Limited, Low Impedance*</v>
      </c>
      <c r="C248">
        <f>COUNTIF(Monday!I:I, B248)</f>
        <v>0</v>
      </c>
      <c r="D248">
        <f>COUNTIF(Tuesday!I:I, B248)</f>
        <v>0</v>
      </c>
      <c r="E248">
        <f>COUNTIF(Wednesday!I:I, B248)</f>
        <v>0</v>
      </c>
      <c r="F248">
        <f>COUNTIF(Thursday!I:I, B248)</f>
        <v>0</v>
      </c>
      <c r="G248">
        <f>COUNTIF(Friday!I:I, B248)</f>
        <v>0</v>
      </c>
      <c r="H248">
        <f>SUM(C248:G248)</f>
        <v>0</v>
      </c>
    </row>
    <row r="249" spans="1:8" x14ac:dyDescent="0.25">
      <c r="A249" s="5" t="s">
        <v>240</v>
      </c>
      <c r="B249" t="str">
        <f>"*"&amp;A249&amp;"*"</f>
        <v>*1997: Message - M05 Wait For Pump*</v>
      </c>
      <c r="C249">
        <f>COUNTIF(Monday!I:I, B249)</f>
        <v>0</v>
      </c>
      <c r="D249">
        <f>COUNTIF(Tuesday!I:I, B249)</f>
        <v>0</v>
      </c>
      <c r="E249">
        <f>COUNTIF(Wednesday!I:I, B249)</f>
        <v>0</v>
      </c>
      <c r="F249">
        <f>COUNTIF(Thursday!I:I, B249)</f>
        <v>0</v>
      </c>
      <c r="G249">
        <f>COUNTIF(Friday!I:I, B249)</f>
        <v>0</v>
      </c>
      <c r="H249">
        <f>SUM(C249:G249)</f>
        <v>0</v>
      </c>
    </row>
    <row r="250" spans="1:8" x14ac:dyDescent="0.25">
      <c r="A250" s="5" t="s">
        <v>241</v>
      </c>
      <c r="B250" t="str">
        <f>"*"&amp;A250&amp;"*"</f>
        <v>*2009: Message - Other Error Code*</v>
      </c>
      <c r="C250">
        <f>COUNTIF(Monday!I:I, B250)</f>
        <v>0</v>
      </c>
      <c r="D250">
        <f>COUNTIF(Tuesday!I:I, B250)</f>
        <v>0</v>
      </c>
      <c r="E250">
        <f>COUNTIF(Wednesday!I:I, B250)</f>
        <v>0</v>
      </c>
      <c r="F250">
        <f>COUNTIF(Thursday!I:I, B250)</f>
        <v>0</v>
      </c>
      <c r="G250">
        <f>COUNTIF(Friday!I:I, B250)</f>
        <v>0</v>
      </c>
      <c r="H250">
        <f>SUM(C250:G250)</f>
        <v>0</v>
      </c>
    </row>
    <row r="251" spans="1:8" x14ac:dyDescent="0.25">
      <c r="A251" s="5" t="s">
        <v>242</v>
      </c>
      <c r="B251" t="str">
        <f>"*"&amp;A251&amp;"*"</f>
        <v>*2052: Message - System Fault*</v>
      </c>
      <c r="C251">
        <f>COUNTIF(Monday!I:I, B251)</f>
        <v>0</v>
      </c>
      <c r="D251">
        <f>COUNTIF(Tuesday!I:I, B251)</f>
        <v>0</v>
      </c>
      <c r="E251">
        <f>COUNTIF(Wednesday!I:I, B251)</f>
        <v>0</v>
      </c>
      <c r="F251">
        <f>COUNTIF(Thursday!I:I, B251)</f>
        <v>0</v>
      </c>
      <c r="G251">
        <f>COUNTIF(Friday!I:I, B251)</f>
        <v>0</v>
      </c>
      <c r="H251">
        <f>SUM(C251:G251)</f>
        <v>0</v>
      </c>
    </row>
    <row r="252" spans="1:8" x14ac:dyDescent="0.25">
      <c r="A252" s="5" t="s">
        <v>243</v>
      </c>
      <c r="B252" t="str">
        <f>"*"&amp;A252&amp;"*"</f>
        <v>*2220: Poor Temperature Control*</v>
      </c>
      <c r="C252">
        <f>COUNTIF(Monday!I:I, B252)</f>
        <v>0</v>
      </c>
      <c r="D252">
        <f>COUNTIF(Tuesday!I:I, B252)</f>
        <v>0</v>
      </c>
      <c r="E252">
        <f>COUNTIF(Wednesday!I:I, B252)</f>
        <v>0</v>
      </c>
      <c r="F252">
        <f>COUNTIF(Thursday!I:I, B252)</f>
        <v>0</v>
      </c>
      <c r="G252">
        <f>COUNTIF(Friday!I:I, B252)</f>
        <v>0</v>
      </c>
      <c r="H252">
        <f>SUM(C252:G252)</f>
        <v>0</v>
      </c>
    </row>
    <row r="253" spans="1:8" x14ac:dyDescent="0.25">
      <c r="A253" s="5" t="s">
        <v>244</v>
      </c>
      <c r="B253" t="str">
        <f>"*"&amp;A253&amp;"*"</f>
        <v>*2118: No Voltage Output*</v>
      </c>
      <c r="C253">
        <f>COUNTIF(Monday!I:I, B253)</f>
        <v>0</v>
      </c>
      <c r="D253">
        <f>COUNTIF(Tuesday!I:I, B253)</f>
        <v>0</v>
      </c>
      <c r="E253">
        <f>COUNTIF(Wednesday!I:I, B253)</f>
        <v>0</v>
      </c>
      <c r="F253">
        <f>COUNTIF(Thursday!I:I, B253)</f>
        <v>0</v>
      </c>
      <c r="G253">
        <f>COUNTIF(Friday!I:I, B253)</f>
        <v>0</v>
      </c>
      <c r="H253">
        <f>SUM(C253:G253)</f>
        <v>0</v>
      </c>
    </row>
    <row r="254" spans="1:8" x14ac:dyDescent="0.25">
      <c r="A254" s="5" t="s">
        <v>245</v>
      </c>
      <c r="B254" t="str">
        <f>"*"&amp;A254&amp;"*"</f>
        <v>*2167: Overheating Of Device Or Device Component*</v>
      </c>
      <c r="C254">
        <f>COUNTIF(Monday!I:I, B254)</f>
        <v>0</v>
      </c>
      <c r="D254">
        <f>COUNTIF(Tuesday!I:I, B254)</f>
        <v>0</v>
      </c>
      <c r="E254">
        <f>COUNTIF(Wednesday!I:I, B254)</f>
        <v>0</v>
      </c>
      <c r="F254">
        <f>COUNTIF(Thursday!I:I, B254)</f>
        <v>0</v>
      </c>
      <c r="G254">
        <f>COUNTIF(Friday!I:I, B254)</f>
        <v>0</v>
      </c>
      <c r="H254">
        <f>SUM(C254:G254)</f>
        <v>0</v>
      </c>
    </row>
    <row r="255" spans="1:8" x14ac:dyDescent="0.25">
      <c r="A255" s="5" t="s">
        <v>246</v>
      </c>
      <c r="B255" t="str">
        <f>"*"&amp;A255&amp;"*"</f>
        <v>*2070: Missed Key Presses*</v>
      </c>
      <c r="C255">
        <f>COUNTIF(Monday!I:I, B255)</f>
        <v>0</v>
      </c>
      <c r="D255">
        <f>COUNTIF(Tuesday!I:I, B255)</f>
        <v>0</v>
      </c>
      <c r="E255">
        <f>COUNTIF(Wednesday!I:I, B255)</f>
        <v>0</v>
      </c>
      <c r="F255">
        <f>COUNTIF(Thursday!I:I, B255)</f>
        <v>0</v>
      </c>
      <c r="G255">
        <f>COUNTIF(Friday!I:I, B255)</f>
        <v>0</v>
      </c>
      <c r="H255">
        <f>SUM(C255:G255)</f>
        <v>0</v>
      </c>
    </row>
    <row r="256" spans="1:8" x14ac:dyDescent="0.25">
      <c r="A256" s="5" t="s">
        <v>247</v>
      </c>
      <c r="B256" t="str">
        <f>"*"&amp;A256&amp;"*"</f>
        <v>*1810: Magnetic Window Attachment Issue*</v>
      </c>
      <c r="C256">
        <f>COUNTIF(Monday!I:I, B256)</f>
        <v>0</v>
      </c>
      <c r="D256">
        <f>COUNTIF(Tuesday!I:I, B256)</f>
        <v>0</v>
      </c>
      <c r="E256">
        <f>COUNTIF(Wednesday!I:I, B256)</f>
        <v>0</v>
      </c>
      <c r="F256">
        <f>COUNTIF(Thursday!I:I, B256)</f>
        <v>0</v>
      </c>
      <c r="G256">
        <f>COUNTIF(Friday!I:I, B256)</f>
        <v>0</v>
      </c>
      <c r="H256">
        <f>SUM(C256:G256)</f>
        <v>0</v>
      </c>
    </row>
    <row r="257" spans="1:8" x14ac:dyDescent="0.25">
      <c r="A257" s="5" t="s">
        <v>248</v>
      </c>
      <c r="B257" t="str">
        <f>"*"&amp;A257&amp;"*"</f>
        <v>*1094: Check Generator*</v>
      </c>
      <c r="C257">
        <f>COUNTIF(Monday!I:I, B257)</f>
        <v>0</v>
      </c>
      <c r="D257">
        <f>COUNTIF(Tuesday!I:I, B257)</f>
        <v>0</v>
      </c>
      <c r="E257">
        <f>COUNTIF(Wednesday!I:I, B257)</f>
        <v>0</v>
      </c>
      <c r="F257">
        <f>COUNTIF(Thursday!I:I, B257)</f>
        <v>0</v>
      </c>
      <c r="G257">
        <f>COUNTIF(Friday!I:I, B257)</f>
        <v>0</v>
      </c>
      <c r="H257">
        <f>SUM(C257:G257)</f>
        <v>0</v>
      </c>
    </row>
    <row r="258" spans="1:8" x14ac:dyDescent="0.25">
      <c r="A258" s="5" t="s">
        <v>249</v>
      </c>
      <c r="B258" t="str">
        <f>"*"&amp;A258&amp;"*"</f>
        <v>*1129: Component Problem*</v>
      </c>
      <c r="C258">
        <f>COUNTIF(Monday!I:I, B258)</f>
        <v>0</v>
      </c>
      <c r="D258">
        <f>COUNTIF(Tuesday!I:I, B258)</f>
        <v>0</v>
      </c>
      <c r="E258">
        <f>COUNTIF(Wednesday!I:I, B258)</f>
        <v>0</v>
      </c>
      <c r="F258">
        <f>COUNTIF(Thursday!I:I, B258)</f>
        <v>0</v>
      </c>
      <c r="G258">
        <f>COUNTIF(Friday!I:I, B258)</f>
        <v>0</v>
      </c>
      <c r="H258">
        <f>SUM(C258:G258)</f>
        <v>0</v>
      </c>
    </row>
    <row r="259" spans="1:8" x14ac:dyDescent="0.25">
      <c r="A259" s="5" t="s">
        <v>250</v>
      </c>
      <c r="B259" t="str">
        <f>"*"&amp;A259&amp;"*"</f>
        <v>*1409: Disconnection*</v>
      </c>
      <c r="C259">
        <f>COUNTIF(Monday!I:I, B259)</f>
        <v>0</v>
      </c>
      <c r="D259">
        <f>COUNTIF(Tuesday!I:I, B259)</f>
        <v>0</v>
      </c>
      <c r="E259">
        <f>COUNTIF(Wednesday!I:I, B259)</f>
        <v>0</v>
      </c>
      <c r="F259">
        <f>COUNTIF(Thursday!I:I, B259)</f>
        <v>0</v>
      </c>
      <c r="G259">
        <f>COUNTIF(Friday!I:I, B259)</f>
        <v>0</v>
      </c>
      <c r="H259">
        <f>SUM(C259:G259)</f>
        <v>0</v>
      </c>
    </row>
    <row r="260" spans="1:8" x14ac:dyDescent="0.25">
      <c r="A260" s="5" t="s">
        <v>251</v>
      </c>
      <c r="B260" t="str">
        <f>"*"&amp;A260&amp;"*"</f>
        <v>*1558: Failure To Pump*</v>
      </c>
      <c r="C260">
        <f>COUNTIF(Monday!I:I, B260)</f>
        <v>0</v>
      </c>
      <c r="D260">
        <f>COUNTIF(Tuesday!I:I, B260)</f>
        <v>0</v>
      </c>
      <c r="E260">
        <f>COUNTIF(Wednesday!I:I, B260)</f>
        <v>0</v>
      </c>
      <c r="F260">
        <f>COUNTIF(Thursday!I:I, B260)</f>
        <v>0</v>
      </c>
      <c r="G260">
        <f>COUNTIF(Friday!I:I, B260)</f>
        <v>0</v>
      </c>
      <c r="H260">
        <f>SUM(C260:G260)</f>
        <v>0</v>
      </c>
    </row>
    <row r="261" spans="1:8" x14ac:dyDescent="0.25">
      <c r="A261" s="5" t="s">
        <v>252</v>
      </c>
      <c r="B261" t="str">
        <f>"*"&amp;A261&amp;"*"</f>
        <v>*2011: Message - P01 - Bubble Detected*</v>
      </c>
      <c r="C261">
        <f>COUNTIF(Monday!I:I, B261)</f>
        <v>0</v>
      </c>
      <c r="D261">
        <f>COUNTIF(Tuesday!I:I, B261)</f>
        <v>0</v>
      </c>
      <c r="E261">
        <f>COUNTIF(Wednesday!I:I, B261)</f>
        <v>0</v>
      </c>
      <c r="F261">
        <f>COUNTIF(Thursday!I:I, B261)</f>
        <v>0</v>
      </c>
      <c r="G261">
        <f>COUNTIF(Friday!I:I, B261)</f>
        <v>0</v>
      </c>
      <c r="H261">
        <f>SUM(C261:G261)</f>
        <v>0</v>
      </c>
    </row>
    <row r="262" spans="1:8" x14ac:dyDescent="0.25">
      <c r="A262" s="5" t="s">
        <v>253</v>
      </c>
      <c r="B262" t="str">
        <f>"*"&amp;A262&amp;"*"</f>
        <v>*2012: Message - P04 - Cover Open*</v>
      </c>
      <c r="C262">
        <f>COUNTIF(Monday!I:I, B262)</f>
        <v>0</v>
      </c>
      <c r="D262">
        <f>COUNTIF(Tuesday!I:I, B262)</f>
        <v>0</v>
      </c>
      <c r="E262">
        <f>COUNTIF(Wednesday!I:I, B262)</f>
        <v>0</v>
      </c>
      <c r="F262">
        <f>COUNTIF(Thursday!I:I, B262)</f>
        <v>0</v>
      </c>
      <c r="G262">
        <f>COUNTIF(Friday!I:I, B262)</f>
        <v>0</v>
      </c>
      <c r="H262">
        <f>SUM(C262:G262)</f>
        <v>0</v>
      </c>
    </row>
    <row r="263" spans="1:8" x14ac:dyDescent="0.25">
      <c r="A263" s="5" t="s">
        <v>254</v>
      </c>
      <c r="B263" t="str">
        <f>"*"&amp;A263&amp;"*"</f>
        <v>*2013: Message - P05 - Check Standby Flow*</v>
      </c>
      <c r="C263">
        <f>COUNTIF(Monday!I:I, B263)</f>
        <v>0</v>
      </c>
      <c r="D263">
        <f>COUNTIF(Tuesday!I:I, B263)</f>
        <v>0</v>
      </c>
      <c r="E263">
        <f>COUNTIF(Wednesday!I:I, B263)</f>
        <v>0</v>
      </c>
      <c r="F263">
        <f>COUNTIF(Thursday!I:I, B263)</f>
        <v>0</v>
      </c>
      <c r="G263">
        <f>COUNTIF(Friday!I:I, B263)</f>
        <v>0</v>
      </c>
      <c r="H263">
        <f>SUM(C263:G263)</f>
        <v>0</v>
      </c>
    </row>
    <row r="264" spans="1:8" x14ac:dyDescent="0.25">
      <c r="A264" s="5" t="s">
        <v>255</v>
      </c>
      <c r="B264" t="str">
        <f>"*"&amp;A264&amp;"*"</f>
        <v>*2014: Message - P06 - Comm Error*</v>
      </c>
      <c r="C264">
        <f>COUNTIF(Monday!I:I, B264)</f>
        <v>0</v>
      </c>
      <c r="D264">
        <f>COUNTIF(Tuesday!I:I, B264)</f>
        <v>0</v>
      </c>
      <c r="E264">
        <f>COUNTIF(Wednesday!I:I, B264)</f>
        <v>0</v>
      </c>
      <c r="F264">
        <f>COUNTIF(Thursday!I:I, B264)</f>
        <v>0</v>
      </c>
      <c r="G264">
        <f>COUNTIF(Friday!I:I, B264)</f>
        <v>0</v>
      </c>
      <c r="H264">
        <f>SUM(C264:G264)</f>
        <v>0</v>
      </c>
    </row>
    <row r="265" spans="1:8" x14ac:dyDescent="0.25">
      <c r="A265" s="5" t="s">
        <v>256</v>
      </c>
      <c r="B265" t="str">
        <f>"*"&amp;A265&amp;"*"</f>
        <v>*2169: P03 - No Temp Drop*</v>
      </c>
      <c r="C265">
        <f>COUNTIF(Monday!I:I, B265)</f>
        <v>0</v>
      </c>
      <c r="D265">
        <f>COUNTIF(Tuesday!I:I, B265)</f>
        <v>0</v>
      </c>
      <c r="E265">
        <f>COUNTIF(Wednesday!I:I, B265)</f>
        <v>0</v>
      </c>
      <c r="F265">
        <f>COUNTIF(Thursday!I:I, B265)</f>
        <v>0</v>
      </c>
      <c r="G265">
        <f>COUNTIF(Friday!I:I, B265)</f>
        <v>0</v>
      </c>
      <c r="H265">
        <f>SUM(C265:G265)</f>
        <v>0</v>
      </c>
    </row>
    <row r="266" spans="1:8" x14ac:dyDescent="0.25">
      <c r="A266" s="5" t="s">
        <v>257</v>
      </c>
      <c r="B266" t="str">
        <f>"*"&amp;A266&amp;"*"</f>
        <v>*2708: Message - P02 - Occlusion Detected*</v>
      </c>
      <c r="C266">
        <f>COUNTIF(Monday!I:I, B266)</f>
        <v>0</v>
      </c>
      <c r="D266">
        <f>COUNTIF(Tuesday!I:I, B266)</f>
        <v>0</v>
      </c>
      <c r="E266">
        <f>COUNTIF(Wednesday!I:I, B266)</f>
        <v>0</v>
      </c>
      <c r="F266">
        <f>COUNTIF(Thursday!I:I, B266)</f>
        <v>0</v>
      </c>
      <c r="G266">
        <f>COUNTIF(Friday!I:I, B266)</f>
        <v>0</v>
      </c>
      <c r="H266">
        <f>SUM(C266:G266)</f>
        <v>0</v>
      </c>
    </row>
    <row r="267" spans="1:8" x14ac:dyDescent="0.25">
      <c r="A267" s="5" t="s">
        <v>258</v>
      </c>
      <c r="B267" t="str">
        <f>"*"&amp;A267&amp;"*"</f>
        <v>*3131: Message - P07 - Pump Speed Error*</v>
      </c>
      <c r="C267">
        <f>COUNTIF(Monday!I:I, B267)</f>
        <v>0</v>
      </c>
      <c r="D267">
        <f>COUNTIF(Tuesday!I:I, B267)</f>
        <v>0</v>
      </c>
      <c r="E267">
        <f>COUNTIF(Wednesday!I:I, B267)</f>
        <v>0</v>
      </c>
      <c r="F267">
        <f>COUNTIF(Thursday!I:I, B267)</f>
        <v>0</v>
      </c>
      <c r="G267">
        <f>COUNTIF(Friday!I:I, B267)</f>
        <v>0</v>
      </c>
      <c r="H267">
        <f>SUM(C267:G267)</f>
        <v>0</v>
      </c>
    </row>
    <row r="268" spans="1:8" x14ac:dyDescent="0.25">
      <c r="A268" s="5" t="s">
        <v>259</v>
      </c>
      <c r="B268" t="str">
        <f>"*"&amp;A268&amp;"*"</f>
        <v>*1740: Intermittent Image/Display*</v>
      </c>
      <c r="C268">
        <f>COUNTIF(Monday!I:I, B268)</f>
        <v>0</v>
      </c>
      <c r="D268">
        <f>COUNTIF(Tuesday!I:I, B268)</f>
        <v>0</v>
      </c>
      <c r="E268">
        <f>COUNTIF(Wednesday!I:I, B268)</f>
        <v>0</v>
      </c>
      <c r="F268">
        <f>COUNTIF(Thursday!I:I, B268)</f>
        <v>0</v>
      </c>
      <c r="G268">
        <f>COUNTIF(Friday!I:I, B268)</f>
        <v>0</v>
      </c>
      <c r="H268">
        <f>SUM(C268:G268)</f>
        <v>0</v>
      </c>
    </row>
    <row r="269" spans="1:8" x14ac:dyDescent="0.25">
      <c r="A269" s="5" t="s">
        <v>260</v>
      </c>
      <c r="B269" t="str">
        <f>"*"&amp;A269&amp;"*"</f>
        <v>*2073: Missing Segments/Video*</v>
      </c>
      <c r="C269">
        <f>COUNTIF(Monday!I:I, B269)</f>
        <v>0</v>
      </c>
      <c r="D269">
        <f>COUNTIF(Tuesday!I:I, B269)</f>
        <v>0</v>
      </c>
      <c r="E269">
        <f>COUNTIF(Wednesday!I:I, B269)</f>
        <v>0</v>
      </c>
      <c r="F269">
        <f>COUNTIF(Thursday!I:I, B269)</f>
        <v>0</v>
      </c>
      <c r="G269">
        <f>COUNTIF(Friday!I:I, B269)</f>
        <v>0</v>
      </c>
      <c r="H269">
        <f>SUM(C269:G269)</f>
        <v>0</v>
      </c>
    </row>
    <row r="270" spans="1:8" x14ac:dyDescent="0.25">
      <c r="A270" s="5" t="s">
        <v>261</v>
      </c>
      <c r="B270" t="str">
        <f>"*"&amp;A270&amp;"*"</f>
        <v>*1501: Failure to Control Cursor*</v>
      </c>
      <c r="C270">
        <f>COUNTIF(Monday!I:I, B270)</f>
        <v>0</v>
      </c>
      <c r="D270">
        <f>COUNTIF(Tuesday!I:I, B270)</f>
        <v>0</v>
      </c>
      <c r="E270">
        <f>COUNTIF(Wednesday!I:I, B270)</f>
        <v>0</v>
      </c>
      <c r="F270">
        <f>COUNTIF(Thursday!I:I, B270)</f>
        <v>0</v>
      </c>
      <c r="G270">
        <f>COUNTIF(Friday!I:I, B270)</f>
        <v>0</v>
      </c>
      <c r="H270">
        <f>SUM(C270:G270)</f>
        <v>0</v>
      </c>
    </row>
    <row r="271" spans="1:8" x14ac:dyDescent="0.25">
      <c r="A271" s="5" t="s">
        <v>262</v>
      </c>
      <c r="B271" t="str">
        <f>"*"&amp;A271&amp;"*"</f>
        <v>*1579: Failure To Respond*</v>
      </c>
      <c r="C271">
        <f>COUNTIF(Monday!I:I, B271)</f>
        <v>0</v>
      </c>
      <c r="D271">
        <f>COUNTIF(Tuesday!I:I, B271)</f>
        <v>0</v>
      </c>
      <c r="E271">
        <f>COUNTIF(Wednesday!I:I, B271)</f>
        <v>0</v>
      </c>
      <c r="F271">
        <f>COUNTIF(Thursday!I:I, B271)</f>
        <v>0</v>
      </c>
      <c r="G271">
        <f>COUNTIF(Friday!I:I, B271)</f>
        <v>0</v>
      </c>
      <c r="H271">
        <f>SUM(C271:G271)</f>
        <v>0</v>
      </c>
    </row>
    <row r="272" spans="1:8" x14ac:dyDescent="0.25">
      <c r="A272" s="5" t="s">
        <v>263</v>
      </c>
      <c r="B272" t="str">
        <f>"*"&amp;A272&amp;"*"</f>
        <v>*1089: CD/DVD Drive Issue*</v>
      </c>
      <c r="C272">
        <f>COUNTIF(Monday!I:I, B272)</f>
        <v>0</v>
      </c>
      <c r="D272">
        <f>COUNTIF(Tuesday!I:I, B272)</f>
        <v>0</v>
      </c>
      <c r="E272">
        <f>COUNTIF(Wednesday!I:I, B272)</f>
        <v>0</v>
      </c>
      <c r="F272">
        <f>COUNTIF(Thursday!I:I, B272)</f>
        <v>0</v>
      </c>
      <c r="G272">
        <f>COUNTIF(Friday!I:I, B272)</f>
        <v>0</v>
      </c>
      <c r="H272">
        <f>SUM(C272:G272)</f>
        <v>0</v>
      </c>
    </row>
    <row r="273" spans="1:8" x14ac:dyDescent="0.25">
      <c r="A273" s="5" t="s">
        <v>264</v>
      </c>
      <c r="B273" t="str">
        <f>"*"&amp;A273&amp;"*"</f>
        <v>*1120: Communication Loss*</v>
      </c>
      <c r="C273">
        <f>COUNTIF(Monday!I:I, B273)</f>
        <v>0</v>
      </c>
      <c r="D273">
        <f>COUNTIF(Tuesday!I:I, B273)</f>
        <v>0</v>
      </c>
      <c r="E273">
        <f>COUNTIF(Wednesday!I:I, B273)</f>
        <v>0</v>
      </c>
      <c r="F273">
        <f>COUNTIF(Thursday!I:I, B273)</f>
        <v>0</v>
      </c>
      <c r="G273">
        <f>COUNTIF(Friday!I:I, B273)</f>
        <v>0</v>
      </c>
      <c r="H273">
        <f>SUM(C273:G273)</f>
        <v>0</v>
      </c>
    </row>
    <row r="274" spans="1:8" x14ac:dyDescent="0.25">
      <c r="A274" s="5" t="s">
        <v>265</v>
      </c>
      <c r="B274" t="str">
        <f>"*"&amp;A274&amp;"*"</f>
        <v>*1488: Failure To Boot Into Software Application*</v>
      </c>
      <c r="C274">
        <f>COUNTIF(Monday!I:I, B274)</f>
        <v>0</v>
      </c>
      <c r="D274">
        <f>COUNTIF(Tuesday!I:I, B274)</f>
        <v>0</v>
      </c>
      <c r="E274">
        <f>COUNTIF(Wednesday!I:I, B274)</f>
        <v>0</v>
      </c>
      <c r="F274">
        <f>COUNTIF(Thursday!I:I, B274)</f>
        <v>0</v>
      </c>
      <c r="G274">
        <f>COUNTIF(Friday!I:I, B274)</f>
        <v>0</v>
      </c>
      <c r="H274">
        <f>SUM(C274:G274)</f>
        <v>0</v>
      </c>
    </row>
    <row r="275" spans="1:8" x14ac:dyDescent="0.25">
      <c r="A275" s="5" t="s">
        <v>266</v>
      </c>
      <c r="B275" t="str">
        <f>"*"&amp;A275&amp;"*"</f>
        <v>*2184: Patient Data Archive Issue*</v>
      </c>
      <c r="C275">
        <f>COUNTIF(Monday!I:I, B275)</f>
        <v>0</v>
      </c>
      <c r="D275">
        <f>COUNTIF(Tuesday!I:I, B275)</f>
        <v>0</v>
      </c>
      <c r="E275">
        <f>COUNTIF(Wednesday!I:I, B275)</f>
        <v>0</v>
      </c>
      <c r="F275">
        <f>COUNTIF(Thursday!I:I, B275)</f>
        <v>0</v>
      </c>
      <c r="G275">
        <f>COUNTIF(Friday!I:I, B275)</f>
        <v>0</v>
      </c>
      <c r="H275">
        <f>SUM(C275:G275)</f>
        <v>0</v>
      </c>
    </row>
    <row r="276" spans="1:8" x14ac:dyDescent="0.25">
      <c r="A276" s="5" t="s">
        <v>267</v>
      </c>
      <c r="B276" t="str">
        <f>"*"&amp;A276&amp;"*"</f>
        <v>*2362: Storage/Space Issue*</v>
      </c>
      <c r="C276">
        <f>COUNTIF(Monday!I:I, B276)</f>
        <v>0</v>
      </c>
      <c r="D276">
        <f>COUNTIF(Tuesday!I:I, B276)</f>
        <v>0</v>
      </c>
      <c r="E276">
        <f>COUNTIF(Wednesday!I:I, B276)</f>
        <v>0</v>
      </c>
      <c r="F276">
        <f>COUNTIF(Thursday!I:I, B276)</f>
        <v>0</v>
      </c>
      <c r="G276">
        <f>COUNTIF(Friday!I:I, B276)</f>
        <v>0</v>
      </c>
      <c r="H276">
        <f>SUM(C276:G276)</f>
        <v>0</v>
      </c>
    </row>
    <row r="277" spans="1:8" x14ac:dyDescent="0.25">
      <c r="A277" s="5" t="s">
        <v>268</v>
      </c>
      <c r="B277" t="str">
        <f>"*"&amp;A277&amp;"*"</f>
        <v>*2230: Power Source Issue*</v>
      </c>
      <c r="C277">
        <f>COUNTIF(Monday!I:I, B277)</f>
        <v>0</v>
      </c>
      <c r="D277">
        <f>COUNTIF(Tuesday!I:I, B277)</f>
        <v>0</v>
      </c>
      <c r="E277">
        <f>COUNTIF(Wednesday!I:I, B277)</f>
        <v>0</v>
      </c>
      <c r="F277">
        <f>COUNTIF(Thursday!I:I, B277)</f>
        <v>0</v>
      </c>
      <c r="G277">
        <f>COUNTIF(Friday!I:I, B277)</f>
        <v>0</v>
      </c>
      <c r="H277">
        <f>SUM(C277:G277)</f>
        <v>0</v>
      </c>
    </row>
    <row r="278" spans="1:8" x14ac:dyDescent="0.25">
      <c r="A278" s="5" t="s">
        <v>269</v>
      </c>
      <c r="B278" t="str">
        <f>"*"&amp;A278&amp;"*"</f>
        <v>*2216: Poor Quality Image*</v>
      </c>
      <c r="C278">
        <f>COUNTIF(Monday!I:I, B278)</f>
        <v>0</v>
      </c>
      <c r="D278">
        <f>COUNTIF(Tuesday!I:I, B278)</f>
        <v>0</v>
      </c>
      <c r="E278">
        <f>COUNTIF(Wednesday!I:I, B278)</f>
        <v>0</v>
      </c>
      <c r="F278">
        <f>COUNTIF(Thursday!I:I, B278)</f>
        <v>0</v>
      </c>
      <c r="G278">
        <f>COUNTIF(Friday!I:I, B278)</f>
        <v>0</v>
      </c>
      <c r="H278">
        <f>SUM(C278:G278)</f>
        <v>0</v>
      </c>
    </row>
    <row r="279" spans="1:8" x14ac:dyDescent="0.25">
      <c r="A279" s="5" t="s">
        <v>270</v>
      </c>
      <c r="B279" t="str">
        <f>"*"&amp;A279&amp;"*"</f>
        <v>*1777: LED Flashing Green For More Than 2 Minutes*</v>
      </c>
      <c r="C279">
        <f>COUNTIF(Monday!I:I, B279)</f>
        <v>0</v>
      </c>
      <c r="D279">
        <f>COUNTIF(Tuesday!I:I, B279)</f>
        <v>0</v>
      </c>
      <c r="E279">
        <f>COUNTIF(Wednesday!I:I, B279)</f>
        <v>0</v>
      </c>
      <c r="F279">
        <f>COUNTIF(Thursday!I:I, B279)</f>
        <v>0</v>
      </c>
      <c r="G279">
        <f>COUNTIF(Friday!I:I, B279)</f>
        <v>0</v>
      </c>
      <c r="H279">
        <f>SUM(C279:G279)</f>
        <v>0</v>
      </c>
    </row>
    <row r="280" spans="1:8" x14ac:dyDescent="0.25">
      <c r="A280" s="5" t="s">
        <v>271</v>
      </c>
      <c r="B280" t="str">
        <f>"*"&amp;A280&amp;"*"</f>
        <v>*1779: LED Intermittent Blinking Blue*</v>
      </c>
      <c r="C280">
        <f>COUNTIF(Monday!I:I, B280)</f>
        <v>0</v>
      </c>
      <c r="D280">
        <f>COUNTIF(Tuesday!I:I, B280)</f>
        <v>0</v>
      </c>
      <c r="E280">
        <f>COUNTIF(Wednesday!I:I, B280)</f>
        <v>0</v>
      </c>
      <c r="F280">
        <f>COUNTIF(Thursday!I:I, B280)</f>
        <v>0</v>
      </c>
      <c r="G280">
        <f>COUNTIF(Friday!I:I, B280)</f>
        <v>0</v>
      </c>
      <c r="H280">
        <f>SUM(C280:G280)</f>
        <v>0</v>
      </c>
    </row>
    <row r="281" spans="1:8" x14ac:dyDescent="0.25">
      <c r="A281" s="5" t="s">
        <v>272</v>
      </c>
      <c r="B281" t="str">
        <f>"*"&amp;A281&amp;"*"</f>
        <v>*1781: LED Solid Yellow*</v>
      </c>
      <c r="C281">
        <f>COUNTIF(Monday!I:I, B281)</f>
        <v>0</v>
      </c>
      <c r="D281">
        <f>COUNTIF(Tuesday!I:I, B281)</f>
        <v>0</v>
      </c>
      <c r="E281">
        <f>COUNTIF(Wednesday!I:I, B281)</f>
        <v>0</v>
      </c>
      <c r="F281">
        <f>COUNTIF(Thursday!I:I, B281)</f>
        <v>0</v>
      </c>
      <c r="G281">
        <f>COUNTIF(Friday!I:I, B281)</f>
        <v>0</v>
      </c>
      <c r="H281">
        <f>SUM(C281:G281)</f>
        <v>0</v>
      </c>
    </row>
    <row r="282" spans="1:8" x14ac:dyDescent="0.25">
      <c r="A282" s="5" t="s">
        <v>274</v>
      </c>
      <c r="B282" t="str">
        <f>"*"&amp;A282&amp;"*"</f>
        <v>*2326: Signal Station Issue*</v>
      </c>
      <c r="C282">
        <f>COUNTIF(Monday!I:I, B282)</f>
        <v>0</v>
      </c>
      <c r="D282">
        <f>COUNTIF(Tuesday!I:I, B282)</f>
        <v>0</v>
      </c>
      <c r="E282">
        <f>COUNTIF(Wednesday!I:I, B282)</f>
        <v>0</v>
      </c>
      <c r="F282">
        <f>COUNTIF(Thursday!I:I, B282)</f>
        <v>0</v>
      </c>
      <c r="G282">
        <f>COUNTIF(Friday!I:I, B282)</f>
        <v>0</v>
      </c>
      <c r="H282">
        <f>SUM(C282:G282)</f>
        <v>0</v>
      </c>
    </row>
    <row r="283" spans="1:8" x14ac:dyDescent="0.25">
      <c r="A283" s="5" t="s">
        <v>275</v>
      </c>
      <c r="B283" t="str">
        <f>"*"&amp;A283&amp;"*"</f>
        <v>*2428: Unable To Condition Orion Catheter*</v>
      </c>
      <c r="C283">
        <f>COUNTIF(Monday!I:I, B283)</f>
        <v>0</v>
      </c>
      <c r="D283">
        <f>COUNTIF(Tuesday!I:I, B283)</f>
        <v>0</v>
      </c>
      <c r="E283">
        <f>COUNTIF(Wednesday!I:I, B283)</f>
        <v>0</v>
      </c>
      <c r="F283">
        <f>COUNTIF(Thursday!I:I, B283)</f>
        <v>0</v>
      </c>
      <c r="G283">
        <f>COUNTIF(Friday!I:I, B283)</f>
        <v>0</v>
      </c>
      <c r="H283">
        <f>SUM(C283:G283)</f>
        <v>0</v>
      </c>
    </row>
    <row r="284" spans="1:8" x14ac:dyDescent="0.25">
      <c r="A284" s="5" t="s">
        <v>276</v>
      </c>
      <c r="B284" t="str">
        <f>"*"&amp;A284&amp;"*"</f>
        <v>*1154: CT Import/Segmentation Issues*</v>
      </c>
      <c r="C284">
        <f>COUNTIF(Monday!I:I, B284)</f>
        <v>0</v>
      </c>
      <c r="D284">
        <f>COUNTIF(Tuesday!I:I, B284)</f>
        <v>0</v>
      </c>
      <c r="E284">
        <f>COUNTIF(Wednesday!I:I, B284)</f>
        <v>0</v>
      </c>
      <c r="F284">
        <f>COUNTIF(Thursday!I:I, B284)</f>
        <v>0</v>
      </c>
      <c r="G284">
        <f>COUNTIF(Friday!I:I, B284)</f>
        <v>0</v>
      </c>
      <c r="H284">
        <f>SUM(C284:G284)</f>
        <v>0</v>
      </c>
    </row>
    <row r="285" spans="1:8" x14ac:dyDescent="0.25">
      <c r="A285" s="5" t="s">
        <v>277</v>
      </c>
      <c r="B285" t="str">
        <f>"*"&amp;A285&amp;"*"</f>
        <v>*2243: Problem With Software Installation*</v>
      </c>
      <c r="C285">
        <f>COUNTIF(Monday!I:I, B285)</f>
        <v>0</v>
      </c>
      <c r="D285">
        <f>COUNTIF(Tuesday!I:I, B285)</f>
        <v>0</v>
      </c>
      <c r="E285">
        <f>COUNTIF(Wednesday!I:I, B285)</f>
        <v>0</v>
      </c>
      <c r="F285">
        <f>COUNTIF(Thursday!I:I, B285)</f>
        <v>0</v>
      </c>
      <c r="G285">
        <f>COUNTIF(Friday!I:I, B285)</f>
        <v>0</v>
      </c>
      <c r="H285">
        <f>SUM(C285:G285)</f>
        <v>0</v>
      </c>
    </row>
    <row r="286" spans="1:8" x14ac:dyDescent="0.25">
      <c r="A286" s="5" t="s">
        <v>278</v>
      </c>
      <c r="B286" t="str">
        <f>"*"&amp;A286&amp;"*"</f>
        <v>*2585: Import/Export Issue*</v>
      </c>
      <c r="C286">
        <f>COUNTIF(Monday!I:I, B286)</f>
        <v>0</v>
      </c>
      <c r="D286">
        <f>COUNTIF(Tuesday!I:I, B286)</f>
        <v>0</v>
      </c>
      <c r="E286">
        <f>COUNTIF(Wednesday!I:I, B286)</f>
        <v>0</v>
      </c>
      <c r="F286">
        <f>COUNTIF(Thursday!I:I, B286)</f>
        <v>0</v>
      </c>
      <c r="G286">
        <f>COUNTIF(Friday!I:I, B286)</f>
        <v>0</v>
      </c>
      <c r="H286">
        <f>SUM(C286:G286)</f>
        <v>0</v>
      </c>
    </row>
    <row r="287" spans="1:8" x14ac:dyDescent="0.25">
      <c r="A287" s="5" t="s">
        <v>279</v>
      </c>
      <c r="B287" t="str">
        <f>"*"&amp;A287&amp;"*"</f>
        <v>*2586: LUMIPOINT Issue*</v>
      </c>
      <c r="C287">
        <f>COUNTIF(Monday!I:I, B287)</f>
        <v>0</v>
      </c>
      <c r="D287">
        <f>COUNTIF(Tuesday!I:I, B287)</f>
        <v>0</v>
      </c>
      <c r="E287">
        <f>COUNTIF(Wednesday!I:I, B287)</f>
        <v>0</v>
      </c>
      <c r="F287">
        <f>COUNTIF(Thursday!I:I, B287)</f>
        <v>0</v>
      </c>
      <c r="G287">
        <f>COUNTIF(Friday!I:I, B287)</f>
        <v>0</v>
      </c>
      <c r="H287">
        <f>SUM(C287:G287)</f>
        <v>0</v>
      </c>
    </row>
    <row r="288" spans="1:8" x14ac:dyDescent="0.25">
      <c r="A288" s="5" t="s">
        <v>280</v>
      </c>
      <c r="B288" t="str">
        <f>"*"&amp;A288&amp;"*"</f>
        <v>*2587: Software Licensing Issue*</v>
      </c>
      <c r="C288">
        <f>COUNTIF(Monday!I:I, B288)</f>
        <v>0</v>
      </c>
      <c r="D288">
        <f>COUNTIF(Tuesday!I:I, B288)</f>
        <v>0</v>
      </c>
      <c r="E288">
        <f>COUNTIF(Wednesday!I:I, B288)</f>
        <v>0</v>
      </c>
      <c r="F288">
        <f>COUNTIF(Thursday!I:I, B288)</f>
        <v>0</v>
      </c>
      <c r="G288">
        <f>COUNTIF(Friday!I:I, B288)</f>
        <v>0</v>
      </c>
      <c r="H288">
        <f>SUM(C288:G288)</f>
        <v>0</v>
      </c>
    </row>
    <row r="289" spans="1:8" x14ac:dyDescent="0.25">
      <c r="A289" s="5" t="s">
        <v>281</v>
      </c>
      <c r="B289" t="str">
        <f>"*"&amp;A289&amp;"*"</f>
        <v>*2760: DirectSense Feature Issue*</v>
      </c>
      <c r="C289">
        <f>COUNTIF(Monday!I:I, B289)</f>
        <v>0</v>
      </c>
      <c r="D289">
        <f>COUNTIF(Tuesday!I:I, B289)</f>
        <v>0</v>
      </c>
      <c r="E289">
        <f>COUNTIF(Wednesday!I:I, B289)</f>
        <v>0</v>
      </c>
      <c r="F289">
        <f>COUNTIF(Thursday!I:I, B289)</f>
        <v>0</v>
      </c>
      <c r="G289">
        <f>COUNTIF(Friday!I:I, B289)</f>
        <v>0</v>
      </c>
      <c r="H289">
        <f>SUM(C289:G289)</f>
        <v>0</v>
      </c>
    </row>
    <row r="290" spans="1:8" x14ac:dyDescent="0.25">
      <c r="A290" s="5" t="s">
        <v>282</v>
      </c>
      <c r="B290" t="str">
        <f>"*"&amp;A290&amp;"*"</f>
        <v>*2761: ForceSensing Feature Issue*</v>
      </c>
      <c r="C290">
        <f>COUNTIF(Monday!I:I, B290)</f>
        <v>0</v>
      </c>
      <c r="D290">
        <f>COUNTIF(Tuesday!I:I, B290)</f>
        <v>0</v>
      </c>
      <c r="E290">
        <f>COUNTIF(Wednesday!I:I, B290)</f>
        <v>0</v>
      </c>
      <c r="F290">
        <f>COUNTIF(Thursday!I:I, B290)</f>
        <v>0</v>
      </c>
      <c r="G290">
        <f>COUNTIF(Friday!I:I, B290)</f>
        <v>0</v>
      </c>
      <c r="H290">
        <f>SUM(C290:G290)</f>
        <v>0</v>
      </c>
    </row>
    <row r="291" spans="1:8" x14ac:dyDescent="0.25">
      <c r="A291" s="5" t="s">
        <v>283</v>
      </c>
      <c r="B291" t="str">
        <f>"*"&amp;A291&amp;"*"</f>
        <v>*2762: AutoTag Feature Issue*</v>
      </c>
      <c r="C291">
        <f>COUNTIF(Monday!I:I, B291)</f>
        <v>0</v>
      </c>
      <c r="D291">
        <f>COUNTIF(Tuesday!I:I, B291)</f>
        <v>0</v>
      </c>
      <c r="E291">
        <f>COUNTIF(Wednesday!I:I, B291)</f>
        <v>0</v>
      </c>
      <c r="F291">
        <f>COUNTIF(Thursday!I:I, B291)</f>
        <v>0</v>
      </c>
      <c r="G291">
        <f>COUNTIF(Friday!I:I, B291)</f>
        <v>0</v>
      </c>
      <c r="H291">
        <f>SUM(C291:G291)</f>
        <v>0</v>
      </c>
    </row>
    <row r="292" spans="1:8" x14ac:dyDescent="0.25">
      <c r="A292" s="5" t="s">
        <v>284</v>
      </c>
      <c r="B292" t="str">
        <f>"*"&amp;A292&amp;"*"</f>
        <v>*2763: Study Log Issue*</v>
      </c>
      <c r="C292">
        <f>COUNTIF(Monday!I:I, B292)</f>
        <v>0</v>
      </c>
      <c r="D292">
        <f>COUNTIF(Tuesday!I:I, B292)</f>
        <v>0</v>
      </c>
      <c r="E292">
        <f>COUNTIF(Wednesday!I:I, B292)</f>
        <v>0</v>
      </c>
      <c r="F292">
        <f>COUNTIF(Thursday!I:I, B292)</f>
        <v>0</v>
      </c>
      <c r="G292">
        <f>COUNTIF(Friday!I:I, B292)</f>
        <v>0</v>
      </c>
      <c r="H292">
        <f>SUM(C292:G292)</f>
        <v>0</v>
      </c>
    </row>
    <row r="293" spans="1:8" x14ac:dyDescent="0.25">
      <c r="A293" s="5" t="s">
        <v>285</v>
      </c>
      <c r="B293" t="str">
        <f>"*"&amp;A293&amp;"*"</f>
        <v>*2764: Slow/Fast Graph Issue*</v>
      </c>
      <c r="C293">
        <f>COUNTIF(Monday!I:I, B293)</f>
        <v>0</v>
      </c>
      <c r="D293">
        <f>COUNTIF(Tuesday!I:I, B293)</f>
        <v>0</v>
      </c>
      <c r="E293">
        <f>COUNTIF(Wednesday!I:I, B293)</f>
        <v>0</v>
      </c>
      <c r="F293">
        <f>COUNTIF(Thursday!I:I, B293)</f>
        <v>0</v>
      </c>
      <c r="G293">
        <f>COUNTIF(Friday!I:I, B293)</f>
        <v>0</v>
      </c>
      <c r="H293">
        <f>SUM(C293:G293)</f>
        <v>0</v>
      </c>
    </row>
    <row r="294" spans="1:8" x14ac:dyDescent="0.25">
      <c r="A294" s="5" t="s">
        <v>286</v>
      </c>
      <c r="B294" t="str">
        <f>"*"&amp;A294&amp;"*"</f>
        <v>*1782: LED(s) Does Not Turn On*</v>
      </c>
      <c r="C294">
        <f>COUNTIF(Monday!I:I, B294)</f>
        <v>0</v>
      </c>
      <c r="D294">
        <f>COUNTIF(Tuesday!I:I, B294)</f>
        <v>0</v>
      </c>
      <c r="E294">
        <f>COUNTIF(Wednesday!I:I, B294)</f>
        <v>0</v>
      </c>
      <c r="F294">
        <f>COUNTIF(Thursday!I:I, B294)</f>
        <v>0</v>
      </c>
      <c r="G294">
        <f>COUNTIF(Friday!I:I, B294)</f>
        <v>0</v>
      </c>
      <c r="H294">
        <f>SUM(C294:G294)</f>
        <v>0</v>
      </c>
    </row>
    <row r="295" spans="1:8" x14ac:dyDescent="0.25">
      <c r="A295" s="5" t="s">
        <v>287</v>
      </c>
      <c r="B295" t="str">
        <f>"*"&amp;A295&amp;"*"</f>
        <v>*1001: Ablation Related Issue*</v>
      </c>
      <c r="C295">
        <f>COUNTIF(Monday!I:I, B295)</f>
        <v>0</v>
      </c>
      <c r="D295">
        <f>COUNTIF(Tuesday!I:I, B295)</f>
        <v>0</v>
      </c>
      <c r="E295">
        <f>COUNTIF(Wednesday!I:I, B295)</f>
        <v>0</v>
      </c>
      <c r="F295">
        <f>COUNTIF(Thursday!I:I, B295)</f>
        <v>0</v>
      </c>
      <c r="G295">
        <f>COUNTIF(Friday!I:I, B295)</f>
        <v>0</v>
      </c>
      <c r="H295">
        <f>SUM(C295:G295)</f>
        <v>0</v>
      </c>
    </row>
    <row r="296" spans="1:8" x14ac:dyDescent="0.25">
      <c r="A296" s="5" t="s">
        <v>288</v>
      </c>
      <c r="B296" t="str">
        <f>"*"&amp;A296&amp;"*"</f>
        <v>*1028: Before Continuing You Must Reset The Amplifier*</v>
      </c>
      <c r="C296">
        <f>COUNTIF(Monday!I:I, B296)</f>
        <v>0</v>
      </c>
      <c r="D296">
        <f>COUNTIF(Tuesday!I:I, B296)</f>
        <v>0</v>
      </c>
      <c r="E296">
        <f>COUNTIF(Wednesday!I:I, B296)</f>
        <v>0</v>
      </c>
      <c r="F296">
        <f>COUNTIF(Thursday!I:I, B296)</f>
        <v>0</v>
      </c>
      <c r="G296">
        <f>COUNTIF(Friday!I:I, B296)</f>
        <v>0</v>
      </c>
      <c r="H296">
        <f>SUM(C296:G296)</f>
        <v>0</v>
      </c>
    </row>
    <row r="297" spans="1:8" x14ac:dyDescent="0.25">
      <c r="A297" s="6" t="s">
        <v>289</v>
      </c>
      <c r="B297" t="str">
        <f>"*"&amp;A297&amp;"*"</f>
        <v>*1059: Burning Smell*</v>
      </c>
      <c r="C297">
        <f>COUNTIF(Monday!I:I, B297)</f>
        <v>0</v>
      </c>
      <c r="D297">
        <f>COUNTIF(Tuesday!I:I, B297)</f>
        <v>0</v>
      </c>
      <c r="E297">
        <f>COUNTIF(Wednesday!I:I, B297)</f>
        <v>0</v>
      </c>
      <c r="F297">
        <f>COUNTIF(Thursday!I:I, B297)</f>
        <v>0</v>
      </c>
      <c r="G297">
        <f>COUNTIF(Friday!I:I, B297)</f>
        <v>0</v>
      </c>
      <c r="H297">
        <f>SUM(C297:G297)</f>
        <v>0</v>
      </c>
    </row>
    <row r="298" spans="1:8" x14ac:dyDescent="0.25">
      <c r="A298" s="5" t="s">
        <v>290</v>
      </c>
      <c r="B298" t="str">
        <f>"*"&amp;A298&amp;"*"</f>
        <v>*1065: Button/Knob Issues*</v>
      </c>
      <c r="C298">
        <f>COUNTIF(Monday!I:I, B298)</f>
        <v>0</v>
      </c>
      <c r="D298">
        <f>COUNTIF(Tuesday!I:I, B298)</f>
        <v>0</v>
      </c>
      <c r="E298">
        <f>COUNTIF(Wednesday!I:I, B298)</f>
        <v>0</v>
      </c>
      <c r="F298">
        <f>COUNTIF(Thursday!I:I, B298)</f>
        <v>0</v>
      </c>
      <c r="G298">
        <f>COUNTIF(Friday!I:I, B298)</f>
        <v>0</v>
      </c>
      <c r="H298">
        <f>SUM(C298:G298)</f>
        <v>0</v>
      </c>
    </row>
    <row r="299" spans="1:8" x14ac:dyDescent="0.25">
      <c r="A299" s="5" t="s">
        <v>291</v>
      </c>
      <c r="B299" t="str">
        <f>"*"&amp;A299&amp;"*"</f>
        <v>*1079: Catheter Deployment Detection Issue*</v>
      </c>
      <c r="C299">
        <f>COUNTIF(Monday!I:I, B299)</f>
        <v>0</v>
      </c>
      <c r="D299">
        <f>COUNTIF(Tuesday!I:I, B299)</f>
        <v>0</v>
      </c>
      <c r="E299">
        <f>COUNTIF(Wednesday!I:I, B299)</f>
        <v>0</v>
      </c>
      <c r="F299">
        <f>COUNTIF(Thursday!I:I, B299)</f>
        <v>0</v>
      </c>
      <c r="G299">
        <f>COUNTIF(Friday!I:I, B299)</f>
        <v>0</v>
      </c>
      <c r="H299">
        <f>SUM(C299:G299)</f>
        <v>0</v>
      </c>
    </row>
    <row r="300" spans="1:8" x14ac:dyDescent="0.25">
      <c r="A300" s="5" t="s">
        <v>292</v>
      </c>
      <c r="B300" t="str">
        <f>"*"&amp;A300&amp;"*"</f>
        <v>*1550: Failure To Pace Or Properly Pace*</v>
      </c>
      <c r="C300">
        <f>COUNTIF(Monday!I:I, B300)</f>
        <v>0</v>
      </c>
      <c r="D300">
        <f>COUNTIF(Tuesday!I:I, B300)</f>
        <v>0</v>
      </c>
      <c r="E300">
        <f>COUNTIF(Wednesday!I:I, B300)</f>
        <v>0</v>
      </c>
      <c r="F300">
        <f>COUNTIF(Thursday!I:I, B300)</f>
        <v>0</v>
      </c>
      <c r="G300">
        <f>COUNTIF(Friday!I:I, B300)</f>
        <v>0</v>
      </c>
      <c r="H300">
        <f>SUM(C300:G300)</f>
        <v>0</v>
      </c>
    </row>
    <row r="301" spans="1:8" x14ac:dyDescent="0.25">
      <c r="A301" s="5" t="s">
        <v>293</v>
      </c>
      <c r="B301" t="str">
        <f>"*"&amp;A301&amp;"*"</f>
        <v>*1557: Failure To Program Amplifier*</v>
      </c>
      <c r="C301">
        <f>COUNTIF(Monday!I:I, B301)</f>
        <v>0</v>
      </c>
      <c r="D301">
        <f>COUNTIF(Tuesday!I:I, B301)</f>
        <v>0</v>
      </c>
      <c r="E301">
        <f>COUNTIF(Wednesday!I:I, B301)</f>
        <v>0</v>
      </c>
      <c r="F301">
        <f>COUNTIF(Thursday!I:I, B301)</f>
        <v>0</v>
      </c>
      <c r="G301">
        <f>COUNTIF(Friday!I:I, B301)</f>
        <v>0</v>
      </c>
      <c r="H301">
        <f>SUM(C301:G301)</f>
        <v>0</v>
      </c>
    </row>
    <row r="302" spans="1:8" x14ac:dyDescent="0.25">
      <c r="A302" s="5" t="s">
        <v>294</v>
      </c>
      <c r="B302" t="str">
        <f>"*"&amp;A302&amp;"*"</f>
        <v>*1561: Failure To Read Data From The Amplifier*</v>
      </c>
      <c r="C302">
        <f>COUNTIF(Monday!I:I, B302)</f>
        <v>0</v>
      </c>
      <c r="D302">
        <f>COUNTIF(Tuesday!I:I, B302)</f>
        <v>0</v>
      </c>
      <c r="E302">
        <f>COUNTIF(Wednesday!I:I, B302)</f>
        <v>0</v>
      </c>
      <c r="F302">
        <f>COUNTIF(Thursday!I:I, B302)</f>
        <v>0</v>
      </c>
      <c r="G302">
        <f>COUNTIF(Friday!I:I, B302)</f>
        <v>0</v>
      </c>
      <c r="H302">
        <f>SUM(C302:G302)</f>
        <v>0</v>
      </c>
    </row>
    <row r="303" spans="1:8" x14ac:dyDescent="0.25">
      <c r="A303" s="5" t="s">
        <v>295</v>
      </c>
      <c r="B303" t="str">
        <f>"*"&amp;A303&amp;"*"</f>
        <v>*1814: Map Quality Issue*</v>
      </c>
      <c r="C303">
        <f>COUNTIF(Monday!I:I, B303)</f>
        <v>0</v>
      </c>
      <c r="D303">
        <f>COUNTIF(Tuesday!I:I, B303)</f>
        <v>0</v>
      </c>
      <c r="E303">
        <f>COUNTIF(Wednesday!I:I, B303)</f>
        <v>0</v>
      </c>
      <c r="F303">
        <f>COUNTIF(Thursday!I:I, B303)</f>
        <v>0</v>
      </c>
      <c r="G303">
        <f>COUNTIF(Friday!I:I, B303)</f>
        <v>0</v>
      </c>
      <c r="H303">
        <f>SUM(C303:G303)</f>
        <v>0</v>
      </c>
    </row>
    <row r="304" spans="1:8" x14ac:dyDescent="0.25">
      <c r="A304" s="5" t="s">
        <v>296</v>
      </c>
      <c r="B304" t="str">
        <f>"*"&amp;A304&amp;"*"</f>
        <v>*1841: Message - _ d c _ E r r(DC Error)*</v>
      </c>
      <c r="C304">
        <f>COUNTIF(Monday!I:I, B304)</f>
        <v>0</v>
      </c>
      <c r="D304">
        <f>COUNTIF(Tuesday!I:I, B304)</f>
        <v>0</v>
      </c>
      <c r="E304">
        <f>COUNTIF(Wednesday!I:I, B304)</f>
        <v>0</v>
      </c>
      <c r="F304">
        <f>COUNTIF(Thursday!I:I, B304)</f>
        <v>0</v>
      </c>
      <c r="G304">
        <f>COUNTIF(Friday!I:I, B304)</f>
        <v>0</v>
      </c>
      <c r="H304">
        <f>SUM(C304:G304)</f>
        <v>0</v>
      </c>
    </row>
    <row r="305" spans="1:8" x14ac:dyDescent="0.25">
      <c r="A305" s="5" t="s">
        <v>297</v>
      </c>
      <c r="B305" t="str">
        <f>"*"&amp;A305&amp;"*"</f>
        <v>*1842: Message - 0001 Internal System Error*</v>
      </c>
      <c r="C305">
        <f>COUNTIF(Monday!I:I, B305)</f>
        <v>0</v>
      </c>
      <c r="D305">
        <f>COUNTIF(Tuesday!I:I, B305)</f>
        <v>0</v>
      </c>
      <c r="E305">
        <f>COUNTIF(Wednesday!I:I, B305)</f>
        <v>0</v>
      </c>
      <c r="F305">
        <f>COUNTIF(Thursday!I:I, B305)</f>
        <v>0</v>
      </c>
      <c r="G305">
        <f>COUNTIF(Friday!I:I, B305)</f>
        <v>0</v>
      </c>
      <c r="H305">
        <f>SUM(C305:G305)</f>
        <v>0</v>
      </c>
    </row>
    <row r="306" spans="1:8" x14ac:dyDescent="0.25">
      <c r="A306" s="5" t="s">
        <v>298</v>
      </c>
      <c r="B306" t="str">
        <f>"*"&amp;A306&amp;"*"</f>
        <v>*1843: Message - 1001 Unable To Receive Data From Signal Station*</v>
      </c>
      <c r="C306">
        <f>COUNTIF(Monday!I:I, B306)</f>
        <v>0</v>
      </c>
      <c r="D306">
        <f>COUNTIF(Tuesday!I:I, B306)</f>
        <v>0</v>
      </c>
      <c r="E306">
        <f>COUNTIF(Wednesday!I:I, B306)</f>
        <v>0</v>
      </c>
      <c r="F306">
        <f>COUNTIF(Thursday!I:I, B306)</f>
        <v>0</v>
      </c>
      <c r="G306">
        <f>COUNTIF(Friday!I:I, B306)</f>
        <v>0</v>
      </c>
      <c r="H306">
        <f>SUM(C306:G306)</f>
        <v>0</v>
      </c>
    </row>
    <row r="307" spans="1:8" x14ac:dyDescent="0.25">
      <c r="A307" s="5" t="s">
        <v>299</v>
      </c>
      <c r="B307" t="str">
        <f>"*"&amp;A307&amp;"*"</f>
        <v>*1844: Message - 1002 Cannot Establish Connection To The Signal Station*</v>
      </c>
      <c r="C307">
        <f>COUNTIF(Monday!I:I, B307)</f>
        <v>0</v>
      </c>
      <c r="D307">
        <f>COUNTIF(Tuesday!I:I, B307)</f>
        <v>0</v>
      </c>
      <c r="E307">
        <f>COUNTIF(Wednesday!I:I, B307)</f>
        <v>0</v>
      </c>
      <c r="F307">
        <f>COUNTIF(Thursday!I:I, B307)</f>
        <v>0</v>
      </c>
      <c r="G307">
        <f>COUNTIF(Friday!I:I, B307)</f>
        <v>0</v>
      </c>
      <c r="H307">
        <f>SUM(C307:G307)</f>
        <v>0</v>
      </c>
    </row>
    <row r="308" spans="1:8" x14ac:dyDescent="0.25">
      <c r="A308" s="5" t="s">
        <v>300</v>
      </c>
      <c r="B308" t="str">
        <f>"*"&amp;A308&amp;"*"</f>
        <v>*1845: Message - 1003 Data Flow From The Signal Station Has Been Interrupted*</v>
      </c>
      <c r="C308">
        <f>COUNTIF(Monday!I:I, B308)</f>
        <v>0</v>
      </c>
      <c r="D308">
        <f>COUNTIF(Tuesday!I:I, B308)</f>
        <v>0</v>
      </c>
      <c r="E308">
        <f>COUNTIF(Wednesday!I:I, B308)</f>
        <v>0</v>
      </c>
      <c r="F308">
        <f>COUNTIF(Thursday!I:I, B308)</f>
        <v>0</v>
      </c>
      <c r="G308">
        <f>COUNTIF(Friday!I:I, B308)</f>
        <v>0</v>
      </c>
      <c r="H308">
        <f>SUM(C308:G308)</f>
        <v>0</v>
      </c>
    </row>
    <row r="309" spans="1:8" x14ac:dyDescent="0.25">
      <c r="A309" s="5" t="s">
        <v>301</v>
      </c>
      <c r="B309" t="str">
        <f>"*"&amp;A309&amp;"*"</f>
        <v>*1846: Message - 1004 Internal Error Detected*</v>
      </c>
      <c r="C309">
        <f>COUNTIF(Monday!I:I, B309)</f>
        <v>0</v>
      </c>
      <c r="D309">
        <f>COUNTIF(Tuesday!I:I, B309)</f>
        <v>0</v>
      </c>
      <c r="E309">
        <f>COUNTIF(Wednesday!I:I, B309)</f>
        <v>0</v>
      </c>
      <c r="F309">
        <f>COUNTIF(Thursday!I:I, B309)</f>
        <v>0</v>
      </c>
      <c r="G309">
        <f>COUNTIF(Friday!I:I, B309)</f>
        <v>0</v>
      </c>
      <c r="H309">
        <f>SUM(C309:G309)</f>
        <v>0</v>
      </c>
    </row>
    <row r="310" spans="1:8" x14ac:dyDescent="0.25">
      <c r="A310" s="5" t="s">
        <v>302</v>
      </c>
      <c r="B310" t="str">
        <f>"*"&amp;A310&amp;"*"</f>
        <v>*1847: Message - 1005 Internal Error Detected*</v>
      </c>
      <c r="C310">
        <f>COUNTIF(Monday!I:I, B310)</f>
        <v>0</v>
      </c>
      <c r="D310">
        <f>COUNTIF(Tuesday!I:I, B310)</f>
        <v>0</v>
      </c>
      <c r="E310">
        <f>COUNTIF(Wednesday!I:I, B310)</f>
        <v>0</v>
      </c>
      <c r="F310">
        <f>COUNTIF(Thursday!I:I, B310)</f>
        <v>0</v>
      </c>
      <c r="G310">
        <f>COUNTIF(Friday!I:I, B310)</f>
        <v>0</v>
      </c>
      <c r="H310">
        <f>SUM(C310:G310)</f>
        <v>0</v>
      </c>
    </row>
    <row r="311" spans="1:8" x14ac:dyDescent="0.25">
      <c r="A311" s="5" t="s">
        <v>303</v>
      </c>
      <c r="B311" t="str">
        <f>"*"&amp;A311&amp;"*"</f>
        <v>*1848: Message - 1006 Internal Error Timestamps*</v>
      </c>
      <c r="C311">
        <f>COUNTIF(Monday!I:I, B311)</f>
        <v>0</v>
      </c>
      <c r="D311">
        <f>COUNTIF(Tuesday!I:I, B311)</f>
        <v>0</v>
      </c>
      <c r="E311">
        <f>COUNTIF(Wednesday!I:I, B311)</f>
        <v>0</v>
      </c>
      <c r="F311">
        <f>COUNTIF(Thursday!I:I, B311)</f>
        <v>0</v>
      </c>
      <c r="G311">
        <f>COUNTIF(Friday!I:I, B311)</f>
        <v>0</v>
      </c>
      <c r="H311">
        <f>SUM(C311:G311)</f>
        <v>0</v>
      </c>
    </row>
    <row r="312" spans="1:8" x14ac:dyDescent="0.25">
      <c r="A312" s="5" t="s">
        <v>304</v>
      </c>
      <c r="B312" t="str">
        <f>"*"&amp;A312&amp;"*"</f>
        <v>*1849: Message - 1007 Signal Latency Of Over [Sec] Detected Due To Filtering*</v>
      </c>
      <c r="C312">
        <f>COUNTIF(Monday!I:I, B312)</f>
        <v>0</v>
      </c>
      <c r="D312">
        <f>COUNTIF(Tuesday!I:I, B312)</f>
        <v>0</v>
      </c>
      <c r="E312">
        <f>COUNTIF(Wednesday!I:I, B312)</f>
        <v>0</v>
      </c>
      <c r="F312">
        <f>COUNTIF(Thursday!I:I, B312)</f>
        <v>0</v>
      </c>
      <c r="G312">
        <f>COUNTIF(Friday!I:I, B312)</f>
        <v>0</v>
      </c>
      <c r="H312">
        <f>SUM(C312:G312)</f>
        <v>0</v>
      </c>
    </row>
    <row r="313" spans="1:8" x14ac:dyDescent="0.25">
      <c r="A313" s="5" t="s">
        <v>305</v>
      </c>
      <c r="B313" t="str">
        <f>"*"&amp;A313&amp;"*"</f>
        <v>*1850: Message - 1008 Signal Latency Of Over [Sec] Detected Due To Impedance*</v>
      </c>
      <c r="C313">
        <f>COUNTIF(Monday!I:I, B313)</f>
        <v>0</v>
      </c>
      <c r="D313">
        <f>COUNTIF(Tuesday!I:I, B313)</f>
        <v>0</v>
      </c>
      <c r="E313">
        <f>COUNTIF(Wednesday!I:I, B313)</f>
        <v>0</v>
      </c>
      <c r="F313">
        <f>COUNTIF(Thursday!I:I, B313)</f>
        <v>0</v>
      </c>
      <c r="G313">
        <f>COUNTIF(Friday!I:I, B313)</f>
        <v>0</v>
      </c>
      <c r="H313">
        <f>SUM(C313:G313)</f>
        <v>0</v>
      </c>
    </row>
    <row r="314" spans="1:8" x14ac:dyDescent="0.25">
      <c r="A314" s="5" t="s">
        <v>306</v>
      </c>
      <c r="B314" t="str">
        <f>"*"&amp;A314&amp;"*"</f>
        <v>*1851: Message - 1009 Beat Latency Of Over [Sec] Detected*</v>
      </c>
      <c r="C314">
        <f>COUNTIF(Monday!I:I, B314)</f>
        <v>0</v>
      </c>
      <c r="D314">
        <f>COUNTIF(Tuesday!I:I, B314)</f>
        <v>0</v>
      </c>
      <c r="E314">
        <f>COUNTIF(Wednesday!I:I, B314)</f>
        <v>0</v>
      </c>
      <c r="F314">
        <f>COUNTIF(Thursday!I:I, B314)</f>
        <v>0</v>
      </c>
      <c r="G314">
        <f>COUNTIF(Friday!I:I, B314)</f>
        <v>0</v>
      </c>
      <c r="H314">
        <f>SUM(C314:G314)</f>
        <v>0</v>
      </c>
    </row>
    <row r="315" spans="1:8" x14ac:dyDescent="0.25">
      <c r="A315" s="5" t="s">
        <v>307</v>
      </c>
      <c r="B315" t="str">
        <f>"*"&amp;A315&amp;"*"</f>
        <v>*1852: Message - 1101 Internal Error Detected*</v>
      </c>
      <c r="C315">
        <f>COUNTIF(Monday!I:I, B315)</f>
        <v>0</v>
      </c>
      <c r="D315">
        <f>COUNTIF(Tuesday!I:I, B315)</f>
        <v>0</v>
      </c>
      <c r="E315">
        <f>COUNTIF(Wednesday!I:I, B315)</f>
        <v>0</v>
      </c>
      <c r="F315">
        <f>COUNTIF(Thursday!I:I, B315)</f>
        <v>0</v>
      </c>
      <c r="G315">
        <f>COUNTIF(Friday!I:I, B315)</f>
        <v>0</v>
      </c>
      <c r="H315">
        <f>SUM(C315:G315)</f>
        <v>0</v>
      </c>
    </row>
    <row r="316" spans="1:8" x14ac:dyDescent="0.25">
      <c r="A316" s="5" t="s">
        <v>308</v>
      </c>
      <c r="B316" t="str">
        <f>"*"&amp;A316&amp;"*"</f>
        <v>*1853: Message - 1103 Internal Error Detected*</v>
      </c>
      <c r="C316">
        <f>COUNTIF(Monday!I:I, B316)</f>
        <v>0</v>
      </c>
      <c r="D316">
        <f>COUNTIF(Tuesday!I:I, B316)</f>
        <v>0</v>
      </c>
      <c r="E316">
        <f>COUNTIF(Wednesday!I:I, B316)</f>
        <v>0</v>
      </c>
      <c r="F316">
        <f>COUNTIF(Thursday!I:I, B316)</f>
        <v>0</v>
      </c>
      <c r="G316">
        <f>COUNTIF(Friday!I:I, B316)</f>
        <v>0</v>
      </c>
      <c r="H316">
        <f>SUM(C316:G316)</f>
        <v>0</v>
      </c>
    </row>
    <row r="317" spans="1:8" x14ac:dyDescent="0.25">
      <c r="A317" s="5" t="s">
        <v>309</v>
      </c>
      <c r="B317" t="str">
        <f>"*"&amp;A317&amp;"*"</f>
        <v>*1854: Message - 1104 Internal Error Detected*</v>
      </c>
      <c r="C317">
        <f>COUNTIF(Monday!I:I, B317)</f>
        <v>0</v>
      </c>
      <c r="D317">
        <f>COUNTIF(Tuesday!I:I, B317)</f>
        <v>0</v>
      </c>
      <c r="E317">
        <f>COUNTIF(Wednesday!I:I, B317)</f>
        <v>0</v>
      </c>
      <c r="F317">
        <f>COUNTIF(Thursday!I:I, B317)</f>
        <v>0</v>
      </c>
      <c r="G317">
        <f>COUNTIF(Friday!I:I, B317)</f>
        <v>0</v>
      </c>
      <c r="H317">
        <f>SUM(C317:G317)</f>
        <v>0</v>
      </c>
    </row>
    <row r="318" spans="1:8" x14ac:dyDescent="0.25">
      <c r="A318" s="5" t="s">
        <v>310</v>
      </c>
      <c r="B318" t="str">
        <f>"*"&amp;A318&amp;"*"</f>
        <v>*1855: Message - 1105 Not Connected To Magnetic Localization System*</v>
      </c>
      <c r="C318">
        <f>COUNTIF(Monday!I:I, B318)</f>
        <v>0</v>
      </c>
      <c r="D318">
        <f>COUNTIF(Tuesday!I:I, B318)</f>
        <v>0</v>
      </c>
      <c r="E318">
        <f>COUNTIF(Wednesday!I:I, B318)</f>
        <v>0</v>
      </c>
      <c r="F318">
        <f>COUNTIF(Thursday!I:I, B318)</f>
        <v>0</v>
      </c>
      <c r="G318">
        <f>COUNTIF(Friday!I:I, B318)</f>
        <v>0</v>
      </c>
      <c r="H318">
        <f>SUM(C318:G318)</f>
        <v>0</v>
      </c>
    </row>
    <row r="319" spans="1:8" x14ac:dyDescent="0.25">
      <c r="A319" s="5" t="s">
        <v>311</v>
      </c>
      <c r="B319" t="str">
        <f>"*"&amp;A319&amp;"*"</f>
        <v>*1856: Message - 1106 Signal Station Overheating Detected*</v>
      </c>
      <c r="C319">
        <f>COUNTIF(Monday!I:I, B319)</f>
        <v>0</v>
      </c>
      <c r="D319">
        <f>COUNTIF(Tuesday!I:I, B319)</f>
        <v>0</v>
      </c>
      <c r="E319">
        <f>COUNTIF(Wednesday!I:I, B319)</f>
        <v>0</v>
      </c>
      <c r="F319">
        <f>COUNTIF(Thursday!I:I, B319)</f>
        <v>0</v>
      </c>
      <c r="G319">
        <f>COUNTIF(Friday!I:I, B319)</f>
        <v>0</v>
      </c>
      <c r="H319">
        <f>SUM(C319:G319)</f>
        <v>0</v>
      </c>
    </row>
    <row r="320" spans="1:8" x14ac:dyDescent="0.25">
      <c r="A320" s="5" t="s">
        <v>312</v>
      </c>
      <c r="B320" t="str">
        <f>"*"&amp;A320&amp;"*"</f>
        <v>*1857: Message - 1107 Signal Station Reached Critical Temperature Levels*</v>
      </c>
      <c r="C320">
        <f>COUNTIF(Monday!I:I, B320)</f>
        <v>0</v>
      </c>
      <c r="D320">
        <f>COUNTIF(Tuesday!I:I, B320)</f>
        <v>0</v>
      </c>
      <c r="E320">
        <f>COUNTIF(Wednesday!I:I, B320)</f>
        <v>0</v>
      </c>
      <c r="F320">
        <f>COUNTIF(Thursday!I:I, B320)</f>
        <v>0</v>
      </c>
      <c r="G320">
        <f>COUNTIF(Friday!I:I, B320)</f>
        <v>0</v>
      </c>
      <c r="H320">
        <f>SUM(C320:G320)</f>
        <v>0</v>
      </c>
    </row>
    <row r="321" spans="1:8" x14ac:dyDescent="0.25">
      <c r="A321" s="5" t="s">
        <v>313</v>
      </c>
      <c r="B321" t="str">
        <f>"*"&amp;A321&amp;"*"</f>
        <v>*1858: Message - 1108 Signal Station Hardware Error Detected*</v>
      </c>
      <c r="C321">
        <f>COUNTIF(Monday!I:I, B321)</f>
        <v>0</v>
      </c>
      <c r="D321">
        <f>COUNTIF(Tuesday!I:I, B321)</f>
        <v>0</v>
      </c>
      <c r="E321">
        <f>COUNTIF(Wednesday!I:I, B321)</f>
        <v>0</v>
      </c>
      <c r="F321">
        <f>COUNTIF(Thursday!I:I, B321)</f>
        <v>0</v>
      </c>
      <c r="G321">
        <f>COUNTIF(Friday!I:I, B321)</f>
        <v>0</v>
      </c>
      <c r="H321">
        <f>SUM(C321:G321)</f>
        <v>0</v>
      </c>
    </row>
    <row r="322" spans="1:8" x14ac:dyDescent="0.25">
      <c r="A322" s="5" t="s">
        <v>314</v>
      </c>
      <c r="B322" t="str">
        <f>"*"&amp;A322&amp;"*"</f>
        <v>*1859: Message - 1109 Critical Signal Station Hardware Error Detected*</v>
      </c>
      <c r="C322">
        <f>COUNTIF(Monday!I:I, B322)</f>
        <v>0</v>
      </c>
      <c r="D322">
        <f>COUNTIF(Tuesday!I:I, B322)</f>
        <v>0</v>
      </c>
      <c r="E322">
        <f>COUNTIF(Wednesday!I:I, B322)</f>
        <v>0</v>
      </c>
      <c r="F322">
        <f>COUNTIF(Thursday!I:I, B322)</f>
        <v>0</v>
      </c>
      <c r="G322">
        <f>COUNTIF(Friday!I:I, B322)</f>
        <v>0</v>
      </c>
      <c r="H322">
        <f>SUM(C322:G322)</f>
        <v>0</v>
      </c>
    </row>
    <row r="323" spans="1:8" x14ac:dyDescent="0.25">
      <c r="A323" s="5" t="s">
        <v>315</v>
      </c>
      <c r="B323" t="str">
        <f>"*"&amp;A323&amp;"*"</f>
        <v>*1860: Message - 1110 Critical Signal Station Hardware Error Detected*</v>
      </c>
      <c r="C323">
        <f>COUNTIF(Monday!I:I, B323)</f>
        <v>0</v>
      </c>
      <c r="D323">
        <f>COUNTIF(Tuesday!I:I, B323)</f>
        <v>0</v>
      </c>
      <c r="E323">
        <f>COUNTIF(Wednesday!I:I, B323)</f>
        <v>0</v>
      </c>
      <c r="F323">
        <f>COUNTIF(Thursday!I:I, B323)</f>
        <v>0</v>
      </c>
      <c r="G323">
        <f>COUNTIF(Friday!I:I, B323)</f>
        <v>0</v>
      </c>
      <c r="H323">
        <f>SUM(C323:G323)</f>
        <v>0</v>
      </c>
    </row>
    <row r="324" spans="1:8" x14ac:dyDescent="0.25">
      <c r="A324" s="5" t="s">
        <v>316</v>
      </c>
      <c r="B324" t="str">
        <f>"*"&amp;A324&amp;"*"</f>
        <v>*1861: Message - 1112 Incorrect Hardware*</v>
      </c>
      <c r="C324">
        <f>COUNTIF(Monday!I:I, B324)</f>
        <v>0</v>
      </c>
      <c r="D324">
        <f>COUNTIF(Tuesday!I:I, B324)</f>
        <v>0</v>
      </c>
      <c r="E324">
        <f>COUNTIF(Wednesday!I:I, B324)</f>
        <v>0</v>
      </c>
      <c r="F324">
        <f>COUNTIF(Thursday!I:I, B324)</f>
        <v>0</v>
      </c>
      <c r="G324">
        <f>COUNTIF(Friday!I:I, B324)</f>
        <v>0</v>
      </c>
      <c r="H324">
        <f>SUM(C324:G324)</f>
        <v>0</v>
      </c>
    </row>
    <row r="325" spans="1:8" x14ac:dyDescent="0.25">
      <c r="A325" s="5" t="s">
        <v>317</v>
      </c>
      <c r="B325" t="str">
        <f>"*"&amp;A325&amp;"*"</f>
        <v>*1862: Message - 1113 Localization Generator Is Disconnected*</v>
      </c>
      <c r="C325">
        <f>COUNTIF(Monday!I:I, B325)</f>
        <v>0</v>
      </c>
      <c r="D325">
        <f>COUNTIF(Tuesday!I:I, B325)</f>
        <v>0</v>
      </c>
      <c r="E325">
        <f>COUNTIF(Wednesday!I:I, B325)</f>
        <v>0</v>
      </c>
      <c r="F325">
        <f>COUNTIF(Thursday!I:I, B325)</f>
        <v>0</v>
      </c>
      <c r="G325">
        <f>COUNTIF(Friday!I:I, B325)</f>
        <v>0</v>
      </c>
      <c r="H325">
        <f>SUM(C325:G325)</f>
        <v>0</v>
      </c>
    </row>
    <row r="326" spans="1:8" x14ac:dyDescent="0.25">
      <c r="A326" s="5" t="s">
        <v>318</v>
      </c>
      <c r="B326" t="str">
        <f>"*"&amp;A326&amp;"*"</f>
        <v>*1863: Message - 1114 Error Detected With The [Device Name(s)] Magnetic Sensor Coil*</v>
      </c>
      <c r="C326">
        <f>COUNTIF(Monday!I:I, B326)</f>
        <v>0</v>
      </c>
      <c r="D326">
        <f>COUNTIF(Tuesday!I:I, B326)</f>
        <v>0</v>
      </c>
      <c r="E326">
        <f>COUNTIF(Wednesday!I:I, B326)</f>
        <v>0</v>
      </c>
      <c r="F326">
        <f>COUNTIF(Thursday!I:I, B326)</f>
        <v>0</v>
      </c>
      <c r="G326">
        <f>COUNTIF(Friday!I:I, B326)</f>
        <v>0</v>
      </c>
      <c r="H326">
        <f>SUM(C326:G326)</f>
        <v>0</v>
      </c>
    </row>
    <row r="327" spans="1:8" x14ac:dyDescent="0.25">
      <c r="A327" s="5" t="s">
        <v>319</v>
      </c>
      <c r="B327" t="str">
        <f>"*"&amp;A327&amp;"*"</f>
        <v>*1864: Message - 1201 Communication Error While Reading Device Information - [Device Name(s)]*</v>
      </c>
      <c r="C327">
        <f>COUNTIF(Monday!I:I, B327)</f>
        <v>0</v>
      </c>
      <c r="D327">
        <f>COUNTIF(Tuesday!I:I, B327)</f>
        <v>0</v>
      </c>
      <c r="E327">
        <f>COUNTIF(Wednesday!I:I, B327)</f>
        <v>0</v>
      </c>
      <c r="F327">
        <f>COUNTIF(Thursday!I:I, B327)</f>
        <v>0</v>
      </c>
      <c r="G327">
        <f>COUNTIF(Friday!I:I, B327)</f>
        <v>0</v>
      </c>
      <c r="H327">
        <f>SUM(C327:G327)</f>
        <v>0</v>
      </c>
    </row>
    <row r="328" spans="1:8" x14ac:dyDescent="0.25">
      <c r="A328" s="5" t="s">
        <v>320</v>
      </c>
      <c r="B328" t="str">
        <f>"*"&amp;A328&amp;"*"</f>
        <v>*1865: Message - 1203 Cannot Read Device Information While Ablation Is On - [Device Name(s)]*</v>
      </c>
      <c r="C328">
        <f>COUNTIF(Monday!I:I, B328)</f>
        <v>0</v>
      </c>
      <c r="D328">
        <f>COUNTIF(Tuesday!I:I, B328)</f>
        <v>0</v>
      </c>
      <c r="E328">
        <f>COUNTIF(Wednesday!I:I, B328)</f>
        <v>0</v>
      </c>
      <c r="F328">
        <f>COUNTIF(Thursday!I:I, B328)</f>
        <v>0</v>
      </c>
      <c r="G328">
        <f>COUNTIF(Friday!I:I, B328)</f>
        <v>0</v>
      </c>
      <c r="H328">
        <f>SUM(C328:G328)</f>
        <v>0</v>
      </c>
    </row>
    <row r="329" spans="1:8" x14ac:dyDescent="0.25">
      <c r="A329" s="5" t="s">
        <v>321</v>
      </c>
      <c r="B329" t="str">
        <f>"*"&amp;A329&amp;"*"</f>
        <v>*1866: Message - 1204 Invalid Device Connected To - [Device Name(s)]*</v>
      </c>
      <c r="C329">
        <f>COUNTIF(Monday!I:I, B329)</f>
        <v>0</v>
      </c>
      <c r="D329">
        <f>COUNTIF(Tuesday!I:I, B329)</f>
        <v>0</v>
      </c>
      <c r="E329">
        <f>COUNTIF(Wednesday!I:I, B329)</f>
        <v>0</v>
      </c>
      <c r="F329">
        <f>COUNTIF(Thursday!I:I, B329)</f>
        <v>0</v>
      </c>
      <c r="G329">
        <f>COUNTIF(Friday!I:I, B329)</f>
        <v>0</v>
      </c>
      <c r="H329">
        <f>SUM(C329:G329)</f>
        <v>0</v>
      </c>
    </row>
    <row r="330" spans="1:8" x14ac:dyDescent="0.25">
      <c r="A330" s="5" t="s">
        <v>322</v>
      </c>
      <c r="B330" t="str">
        <f>"*"&amp;A330&amp;"*"</f>
        <v>*1867: Message - 1205 The Following Device(s) Have Expired - [Device Name(s)]*</v>
      </c>
      <c r="C330">
        <f>COUNTIF(Monday!I:I, B330)</f>
        <v>0</v>
      </c>
      <c r="D330">
        <f>COUNTIF(Tuesday!I:I, B330)</f>
        <v>0</v>
      </c>
      <c r="E330">
        <f>COUNTIF(Wednesday!I:I, B330)</f>
        <v>0</v>
      </c>
      <c r="F330">
        <f>COUNTIF(Thursday!I:I, B330)</f>
        <v>0</v>
      </c>
      <c r="G330">
        <f>COUNTIF(Friday!I:I, B330)</f>
        <v>0</v>
      </c>
      <c r="H330">
        <f>SUM(C330:G330)</f>
        <v>0</v>
      </c>
    </row>
    <row r="331" spans="1:8" x14ac:dyDescent="0.25">
      <c r="A331" s="5" t="s">
        <v>323</v>
      </c>
      <c r="B331" t="str">
        <f>"*"&amp;A331&amp;"*"</f>
        <v>*1868: Message - 1206 The Following Device(s) Are Not For Human Use - [Device Name(s)]*</v>
      </c>
      <c r="C331">
        <f>COUNTIF(Monday!I:I, B331)</f>
        <v>0</v>
      </c>
      <c r="D331">
        <f>COUNTIF(Tuesday!I:I, B331)</f>
        <v>0</v>
      </c>
      <c r="E331">
        <f>COUNTIF(Wednesday!I:I, B331)</f>
        <v>0</v>
      </c>
      <c r="F331">
        <f>COUNTIF(Thursday!I:I, B331)</f>
        <v>0</v>
      </c>
      <c r="G331">
        <f>COUNTIF(Friday!I:I, B331)</f>
        <v>0</v>
      </c>
      <c r="H331">
        <f>SUM(C331:G331)</f>
        <v>0</v>
      </c>
    </row>
    <row r="332" spans="1:8" x14ac:dyDescent="0.25">
      <c r="A332" s="5" t="s">
        <v>324</v>
      </c>
      <c r="B332" t="str">
        <f>"*"&amp;A332&amp;"*"</f>
        <v>*1869: Message - 1207 Mismatch Between Input And Output Cables*</v>
      </c>
      <c r="C332">
        <f>COUNTIF(Monday!I:I, B332)</f>
        <v>0</v>
      </c>
      <c r="D332">
        <f>COUNTIF(Tuesday!I:I, B332)</f>
        <v>0</v>
      </c>
      <c r="E332">
        <f>COUNTIF(Wednesday!I:I, B332)</f>
        <v>0</v>
      </c>
      <c r="F332">
        <f>COUNTIF(Thursday!I:I, B332)</f>
        <v>0</v>
      </c>
      <c r="G332">
        <f>COUNTIF(Friday!I:I, B332)</f>
        <v>0</v>
      </c>
      <c r="H332">
        <f>SUM(C332:G332)</f>
        <v>0</v>
      </c>
    </row>
    <row r="333" spans="1:8" x14ac:dyDescent="0.25">
      <c r="A333" s="5" t="s">
        <v>325</v>
      </c>
      <c r="B333" t="str">
        <f>"*"&amp;A333&amp;"*"</f>
        <v>*1870: Message - 1208 Channels 33-40 On A IN Are Not Being Sent To The Recording System*</v>
      </c>
      <c r="C333">
        <f>COUNTIF(Monday!I:I, B333)</f>
        <v>0</v>
      </c>
      <c r="D333">
        <f>COUNTIF(Tuesday!I:I, B333)</f>
        <v>0</v>
      </c>
      <c r="E333">
        <f>COUNTIF(Wednesday!I:I, B333)</f>
        <v>0</v>
      </c>
      <c r="F333">
        <f>COUNTIF(Thursday!I:I, B333)</f>
        <v>0</v>
      </c>
      <c r="G333">
        <f>COUNTIF(Friday!I:I, B333)</f>
        <v>0</v>
      </c>
      <c r="H333">
        <f>SUM(C333:G333)</f>
        <v>0</v>
      </c>
    </row>
    <row r="334" spans="1:8" x14ac:dyDescent="0.25">
      <c r="A334" s="5" t="s">
        <v>326</v>
      </c>
      <c r="B334" t="str">
        <f>"*"&amp;A334&amp;"*"</f>
        <v>*1871: Message - 1301 Intellamap Orion Catheter Is Outside Of The Magnetic Field Or There Is Distortion*</v>
      </c>
      <c r="C334">
        <f>COUNTIF(Monday!I:I, B334)</f>
        <v>0</v>
      </c>
      <c r="D334">
        <f>COUNTIF(Tuesday!I:I, B334)</f>
        <v>0</v>
      </c>
      <c r="E334">
        <f>COUNTIF(Wednesday!I:I, B334)</f>
        <v>0</v>
      </c>
      <c r="F334">
        <f>COUNTIF(Thursday!I:I, B334)</f>
        <v>0</v>
      </c>
      <c r="G334">
        <f>COUNTIF(Friday!I:I, B334)</f>
        <v>0</v>
      </c>
      <c r="H334">
        <f>SUM(C334:G334)</f>
        <v>0</v>
      </c>
    </row>
    <row r="335" spans="1:8" x14ac:dyDescent="0.25">
      <c r="A335" s="5" t="s">
        <v>327</v>
      </c>
      <c r="B335" t="str">
        <f>"*"&amp;A335&amp;"*"</f>
        <v>*1872: Message - 1302 Intellamap Orion Catheter Deployment Detection Failed*</v>
      </c>
      <c r="C335">
        <f>COUNTIF(Monday!I:I, B335)</f>
        <v>0</v>
      </c>
      <c r="D335">
        <f>COUNTIF(Tuesday!I:I, B335)</f>
        <v>0</v>
      </c>
      <c r="E335">
        <f>COUNTIF(Wednesday!I:I, B335)</f>
        <v>0</v>
      </c>
      <c r="F335">
        <f>COUNTIF(Thursday!I:I, B335)</f>
        <v>0</v>
      </c>
      <c r="G335">
        <f>COUNTIF(Friday!I:I, B335)</f>
        <v>0</v>
      </c>
      <c r="H335">
        <f>SUM(C335:G335)</f>
        <v>0</v>
      </c>
    </row>
    <row r="336" spans="1:8" x14ac:dyDescent="0.25">
      <c r="A336" s="5" t="s">
        <v>328</v>
      </c>
      <c r="B336" t="str">
        <f>"*"&amp;A336&amp;"*"</f>
        <v>*1873: Message - 1303 Too Many Catheters Are Being Visualized*</v>
      </c>
      <c r="C336">
        <f>COUNTIF(Monday!I:I, B336)</f>
        <v>0</v>
      </c>
      <c r="D336">
        <f>COUNTIF(Tuesday!I:I, B336)</f>
        <v>0</v>
      </c>
      <c r="E336">
        <f>COUNTIF(Wednesday!I:I, B336)</f>
        <v>0</v>
      </c>
      <c r="F336">
        <f>COUNTIF(Thursday!I:I, B336)</f>
        <v>0</v>
      </c>
      <c r="G336">
        <f>COUNTIF(Friday!I:I, B336)</f>
        <v>0</v>
      </c>
      <c r="H336">
        <f>SUM(C336:G336)</f>
        <v>0</v>
      </c>
    </row>
    <row r="337" spans="1:8" x14ac:dyDescent="0.25">
      <c r="A337" s="5" t="s">
        <v>329</v>
      </c>
      <c r="B337" t="str">
        <f>"*"&amp;A337&amp;"*"</f>
        <v>*1875: Message - 1307 The Following Electrodes Have Poor Signal Quality - [Electrode Label]*</v>
      </c>
      <c r="C337">
        <f>COUNTIF(Monday!I:I, B337)</f>
        <v>0</v>
      </c>
      <c r="D337">
        <f>COUNTIF(Tuesday!I:I, B337)</f>
        <v>0</v>
      </c>
      <c r="E337">
        <f>COUNTIF(Wednesday!I:I, B337)</f>
        <v>0</v>
      </c>
      <c r="F337">
        <f>COUNTIF(Thursday!I:I, B337)</f>
        <v>0</v>
      </c>
      <c r="G337">
        <f>COUNTIF(Friday!I:I, B337)</f>
        <v>0</v>
      </c>
      <c r="H337">
        <f>SUM(C337:G337)</f>
        <v>0</v>
      </c>
    </row>
    <row r="338" spans="1:8" x14ac:dyDescent="0.25">
      <c r="A338" s="5" t="s">
        <v>330</v>
      </c>
      <c r="B338" t="str">
        <f>"*"&amp;A338&amp;"*"</f>
        <v>*1876: Message - 1308 The Following Electrodes Have Poor Location Quality Accuracy - [Electrode Label]*</v>
      </c>
      <c r="C338">
        <f>COUNTIF(Monday!I:I, B338)</f>
        <v>0</v>
      </c>
      <c r="D338">
        <f>COUNTIF(Tuesday!I:I, B338)</f>
        <v>0</v>
      </c>
      <c r="E338">
        <f>COUNTIF(Wednesday!I:I, B338)</f>
        <v>0</v>
      </c>
      <c r="F338">
        <f>COUNTIF(Thursday!I:I, B338)</f>
        <v>0</v>
      </c>
      <c r="G338">
        <f>COUNTIF(Friday!I:I, B338)</f>
        <v>0</v>
      </c>
      <c r="H338">
        <f>SUM(C338:G338)</f>
        <v>0</v>
      </c>
    </row>
    <row r="339" spans="1:8" x14ac:dyDescent="0.25">
      <c r="A339" s="5" t="s">
        <v>331</v>
      </c>
      <c r="B339" t="str">
        <f>"*"&amp;A339&amp;"*"</f>
        <v>*1877: Message - 1310 The Selected Mapping Catheter Cannot Be Used To Create A Field Map*</v>
      </c>
      <c r="C339">
        <f>COUNTIF(Monday!I:I, B339)</f>
        <v>0</v>
      </c>
      <c r="D339">
        <f>COUNTIF(Tuesday!I:I, B339)</f>
        <v>0</v>
      </c>
      <c r="E339">
        <f>COUNTIF(Wednesday!I:I, B339)</f>
        <v>0</v>
      </c>
      <c r="F339">
        <f>COUNTIF(Thursday!I:I, B339)</f>
        <v>0</v>
      </c>
      <c r="G339">
        <f>COUNTIF(Friday!I:I, B339)</f>
        <v>0</v>
      </c>
      <c r="H339">
        <f>SUM(C339:G339)</f>
        <v>0</v>
      </c>
    </row>
    <row r="340" spans="1:8" x14ac:dyDescent="0.25">
      <c r="A340" s="5" t="s">
        <v>332</v>
      </c>
      <c r="B340" t="str">
        <f>"*"&amp;A340&amp;"*"</f>
        <v>*1878: Message - 1312 High Noise Detected On The Rl And/Or Ref Possible Due To Bad Connections*</v>
      </c>
      <c r="C340">
        <f>COUNTIF(Monday!I:I, B340)</f>
        <v>0</v>
      </c>
      <c r="D340">
        <f>COUNTIF(Tuesday!I:I, B340)</f>
        <v>0</v>
      </c>
      <c r="E340">
        <f>COUNTIF(Wednesday!I:I, B340)</f>
        <v>0</v>
      </c>
      <c r="F340">
        <f>COUNTIF(Thursday!I:I, B340)</f>
        <v>0</v>
      </c>
      <c r="G340">
        <f>COUNTIF(Friday!I:I, B340)</f>
        <v>0</v>
      </c>
      <c r="H340">
        <f>SUM(C340:G340)</f>
        <v>0</v>
      </c>
    </row>
    <row r="341" spans="1:8" x14ac:dyDescent="0.25">
      <c r="A341" s="5" t="s">
        <v>333</v>
      </c>
      <c r="B341" t="str">
        <f>"*"&amp;A341&amp;"*"</f>
        <v>*1879: Message - 1313 Magnetic Positions Are Not Available For The Following Catheters - [Catheter Name(s)]*</v>
      </c>
      <c r="C341">
        <f>COUNTIF(Monday!I:I, B341)</f>
        <v>0</v>
      </c>
      <c r="D341">
        <f>COUNTIF(Tuesday!I:I, B341)</f>
        <v>0</v>
      </c>
      <c r="E341">
        <f>COUNTIF(Wednesday!I:I, B341)</f>
        <v>0</v>
      </c>
      <c r="F341">
        <f>COUNTIF(Thursday!I:I, B341)</f>
        <v>0</v>
      </c>
      <c r="G341">
        <f>COUNTIF(Friday!I:I, B341)</f>
        <v>0</v>
      </c>
      <c r="H341">
        <f>SUM(C341:G341)</f>
        <v>0</v>
      </c>
    </row>
    <row r="342" spans="1:8" x14ac:dyDescent="0.25">
      <c r="A342" s="5" t="s">
        <v>334</v>
      </c>
      <c r="B342" t="str">
        <f>"*"&amp;A342&amp;"*"</f>
        <v>*1880: Message - 1314 The Following Electrodes Appear To Have High Impedance - [Electrode Label]*</v>
      </c>
      <c r="C342">
        <f>COUNTIF(Monday!I:I, B342)</f>
        <v>0</v>
      </c>
      <c r="D342">
        <f>COUNTIF(Tuesday!I:I, B342)</f>
        <v>0</v>
      </c>
      <c r="E342">
        <f>COUNTIF(Wednesday!I:I, B342)</f>
        <v>0</v>
      </c>
      <c r="F342">
        <f>COUNTIF(Thursday!I:I, B342)</f>
        <v>0</v>
      </c>
      <c r="G342">
        <f>COUNTIF(Friday!I:I, B342)</f>
        <v>0</v>
      </c>
      <c r="H342">
        <f>SUM(C342:G342)</f>
        <v>0</v>
      </c>
    </row>
    <row r="343" spans="1:8" x14ac:dyDescent="0.25">
      <c r="A343" s="5" t="s">
        <v>335</v>
      </c>
      <c r="B343" t="str">
        <f>"*"&amp;A343&amp;"*"</f>
        <v>*1881: Message - 1315 Ablation Generator Connection Problem Encountered*</v>
      </c>
      <c r="C343">
        <f>COUNTIF(Monday!I:I, B343)</f>
        <v>0</v>
      </c>
      <c r="D343">
        <f>COUNTIF(Tuesday!I:I, B343)</f>
        <v>0</v>
      </c>
      <c r="E343">
        <f>COUNTIF(Wednesday!I:I, B343)</f>
        <v>0</v>
      </c>
      <c r="F343">
        <f>COUNTIF(Thursday!I:I, B343)</f>
        <v>0</v>
      </c>
      <c r="G343">
        <f>COUNTIF(Friday!I:I, B343)</f>
        <v>0</v>
      </c>
      <c r="H343">
        <f>SUM(C343:G343)</f>
        <v>0</v>
      </c>
    </row>
    <row r="344" spans="1:8" x14ac:dyDescent="0.25">
      <c r="A344" s="5" t="s">
        <v>336</v>
      </c>
      <c r="B344" t="str">
        <f>"*"&amp;A344&amp;"*"</f>
        <v>*1882: Message - 1317 - The Following ECG Leads Are Poorly Connected, " "*</v>
      </c>
      <c r="C344">
        <f>COUNTIF(Monday!I:I, B344)</f>
        <v>0</v>
      </c>
      <c r="D344">
        <f>COUNTIF(Tuesday!I:I, B344)</f>
        <v>0</v>
      </c>
      <c r="E344">
        <f>COUNTIF(Wednesday!I:I, B344)</f>
        <v>0</v>
      </c>
      <c r="F344">
        <f>COUNTIF(Thursday!I:I, B344)</f>
        <v>0</v>
      </c>
      <c r="G344">
        <f>COUNTIF(Friday!I:I, B344)</f>
        <v>0</v>
      </c>
      <c r="H344">
        <f>SUM(C344:G344)</f>
        <v>0</v>
      </c>
    </row>
    <row r="345" spans="1:8" x14ac:dyDescent="0.25">
      <c r="A345" s="5" t="s">
        <v>337</v>
      </c>
      <c r="B345" t="str">
        <f>"*"&amp;A345&amp;"*"</f>
        <v>*1883: Message - 1318 The Back Patch Is Poorly Connected*</v>
      </c>
      <c r="C345">
        <f>COUNTIF(Monday!I:I, B345)</f>
        <v>0</v>
      </c>
      <c r="D345">
        <f>COUNTIF(Tuesday!I:I, B345)</f>
        <v>0</v>
      </c>
      <c r="E345">
        <f>COUNTIF(Wednesday!I:I, B345)</f>
        <v>0</v>
      </c>
      <c r="F345">
        <f>COUNTIF(Thursday!I:I, B345)</f>
        <v>0</v>
      </c>
      <c r="G345">
        <f>COUNTIF(Friday!I:I, B345)</f>
        <v>0</v>
      </c>
      <c r="H345">
        <f>SUM(C345:G345)</f>
        <v>0</v>
      </c>
    </row>
    <row r="346" spans="1:8" x14ac:dyDescent="0.25">
      <c r="A346" s="5" t="s">
        <v>338</v>
      </c>
      <c r="B346" t="str">
        <f>"*"&amp;A346&amp;"*"</f>
        <v>*1884: Message - 1319-1 Intellamap Orion Catheter Magnetic Sensor Is Not Connec*</v>
      </c>
      <c r="C346">
        <f>COUNTIF(Monday!I:I, B346)</f>
        <v>0</v>
      </c>
      <c r="D346">
        <f>COUNTIF(Tuesday!I:I, B346)</f>
        <v>0</v>
      </c>
      <c r="E346">
        <f>COUNTIF(Wednesday!I:I, B346)</f>
        <v>0</v>
      </c>
      <c r="F346">
        <f>COUNTIF(Thursday!I:I, B346)</f>
        <v>0</v>
      </c>
      <c r="G346">
        <f>COUNTIF(Friday!I:I, B346)</f>
        <v>0</v>
      </c>
      <c r="H346">
        <f>SUM(C346:G346)</f>
        <v>0</v>
      </c>
    </row>
    <row r="347" spans="1:8" x14ac:dyDescent="0.25">
      <c r="A347" s="5" t="s">
        <v>339</v>
      </c>
      <c r="B347" t="str">
        <f>"*"&amp;A347&amp;"*"</f>
        <v>*1885: Message - 1320 The Connected Intellamap Orion Catheter Is Invalid*</v>
      </c>
      <c r="C347">
        <f>COUNTIF(Monday!I:I, B347)</f>
        <v>0</v>
      </c>
      <c r="D347">
        <f>COUNTIF(Tuesday!I:I, B347)</f>
        <v>0</v>
      </c>
      <c r="E347">
        <f>COUNTIF(Wednesday!I:I, B347)</f>
        <v>0</v>
      </c>
      <c r="F347">
        <f>COUNTIF(Thursday!I:I, B347)</f>
        <v>0</v>
      </c>
      <c r="G347">
        <f>COUNTIF(Friday!I:I, B347)</f>
        <v>0</v>
      </c>
      <c r="H347">
        <f>SUM(C347:G347)</f>
        <v>0</v>
      </c>
    </row>
    <row r="348" spans="1:8" x14ac:dyDescent="0.25">
      <c r="A348" s="5" t="s">
        <v>340</v>
      </c>
      <c r="B348" t="str">
        <f>"*"&amp;A348&amp;"*"</f>
        <v>*1886: Message - 1321 - ECG Leads Are Poorly Connected, " "*</v>
      </c>
      <c r="C348">
        <f>COUNTIF(Monday!I:I, B348)</f>
        <v>0</v>
      </c>
      <c r="D348">
        <f>COUNTIF(Tuesday!I:I, B348)</f>
        <v>0</v>
      </c>
      <c r="E348">
        <f>COUNTIF(Wednesday!I:I, B348)</f>
        <v>0</v>
      </c>
      <c r="F348">
        <f>COUNTIF(Thursday!I:I, B348)</f>
        <v>0</v>
      </c>
      <c r="G348">
        <f>COUNTIF(Friday!I:I, B348)</f>
        <v>0</v>
      </c>
      <c r="H348">
        <f>SUM(C348:G348)</f>
        <v>0</v>
      </c>
    </row>
    <row r="349" spans="1:8" x14ac:dyDescent="0.25">
      <c r="A349" s="5" t="s">
        <v>341</v>
      </c>
      <c r="B349" t="str">
        <f>"*"&amp;A349&amp;"*"</f>
        <v>*1887: Message - 1322-2 DirectSense Impedance Measurement Has Saturated*</v>
      </c>
      <c r="C349">
        <f>COUNTIF(Monday!I:I, B349)</f>
        <v>0</v>
      </c>
      <c r="D349">
        <f>COUNTIF(Tuesday!I:I, B349)</f>
        <v>0</v>
      </c>
      <c r="E349">
        <f>COUNTIF(Wednesday!I:I, B349)</f>
        <v>0</v>
      </c>
      <c r="F349">
        <f>COUNTIF(Thursday!I:I, B349)</f>
        <v>0</v>
      </c>
      <c r="G349">
        <f>COUNTIF(Friday!I:I, B349)</f>
        <v>0</v>
      </c>
      <c r="H349">
        <f>SUM(C349:G349)</f>
        <v>0</v>
      </c>
    </row>
    <row r="350" spans="1:8" x14ac:dyDescent="0.25">
      <c r="A350" s="5" t="s">
        <v>342</v>
      </c>
      <c r="B350" t="str">
        <f>"*"&amp;A350&amp;"*"</f>
        <v>*1888: Message - 1401 Mismatch Detected Between Hardware And Software Stimula*</v>
      </c>
      <c r="C350">
        <f>COUNTIF(Monday!I:I, B350)</f>
        <v>0</v>
      </c>
      <c r="D350">
        <f>COUNTIF(Tuesday!I:I, B350)</f>
        <v>0</v>
      </c>
      <c r="E350">
        <f>COUNTIF(Wednesday!I:I, B350)</f>
        <v>0</v>
      </c>
      <c r="F350">
        <f>COUNTIF(Thursday!I:I, B350)</f>
        <v>0</v>
      </c>
      <c r="G350">
        <f>COUNTIF(Friday!I:I, B350)</f>
        <v>0</v>
      </c>
      <c r="H350">
        <f>SUM(C350:G350)</f>
        <v>0</v>
      </c>
    </row>
    <row r="351" spans="1:8" x14ac:dyDescent="0.25">
      <c r="A351" s="5" t="s">
        <v>343</v>
      </c>
      <c r="B351" t="str">
        <f>"*"&amp;A351&amp;"*"</f>
        <v>*1889: Message - 1403 The Selected Unipolar Reference Is Invalid*</v>
      </c>
      <c r="C351">
        <f>COUNTIF(Monday!I:I, B351)</f>
        <v>0</v>
      </c>
      <c r="D351">
        <f>COUNTIF(Tuesday!I:I, B351)</f>
        <v>0</v>
      </c>
      <c r="E351">
        <f>COUNTIF(Wednesday!I:I, B351)</f>
        <v>0</v>
      </c>
      <c r="F351">
        <f>COUNTIF(Thursday!I:I, B351)</f>
        <v>0</v>
      </c>
      <c r="G351">
        <f>COUNTIF(Friday!I:I, B351)</f>
        <v>0</v>
      </c>
      <c r="H351">
        <f>SUM(C351:G351)</f>
        <v>0</v>
      </c>
    </row>
    <row r="352" spans="1:8" x14ac:dyDescent="0.25">
      <c r="A352" s="5" t="s">
        <v>344</v>
      </c>
      <c r="B352" t="str">
        <f>"*"&amp;A352&amp;"*"</f>
        <v>*1890: Message - 1405 Back Patch Has Not Been Connected Properly*</v>
      </c>
      <c r="C352">
        <f>COUNTIF(Monday!I:I, B352)</f>
        <v>0</v>
      </c>
      <c r="D352">
        <f>COUNTIF(Tuesday!I:I, B352)</f>
        <v>0</v>
      </c>
      <c r="E352">
        <f>COUNTIF(Wednesday!I:I, B352)</f>
        <v>0</v>
      </c>
      <c r="F352">
        <f>COUNTIF(Thursday!I:I, B352)</f>
        <v>0</v>
      </c>
      <c r="G352">
        <f>COUNTIF(Friday!I:I, B352)</f>
        <v>0</v>
      </c>
      <c r="H352">
        <f>SUM(C352:G352)</f>
        <v>0</v>
      </c>
    </row>
    <row r="353" spans="1:8" x14ac:dyDescent="0.25">
      <c r="A353" s="5" t="s">
        <v>345</v>
      </c>
      <c r="B353" t="str">
        <f>"*"&amp;A353&amp;"*"</f>
        <v>*1891: Message - 1407 Back Patch Has Moved*</v>
      </c>
      <c r="C353">
        <f>COUNTIF(Monday!I:I, B353)</f>
        <v>0</v>
      </c>
      <c r="D353">
        <f>COUNTIF(Tuesday!I:I, B353)</f>
        <v>0</v>
      </c>
      <c r="E353">
        <f>COUNTIF(Wednesday!I:I, B353)</f>
        <v>0</v>
      </c>
      <c r="F353">
        <f>COUNTIF(Thursday!I:I, B353)</f>
        <v>0</v>
      </c>
      <c r="G353">
        <f>COUNTIF(Friday!I:I, B353)</f>
        <v>0</v>
      </c>
      <c r="H353">
        <f>SUM(C353:G353)</f>
        <v>0</v>
      </c>
    </row>
    <row r="354" spans="1:8" x14ac:dyDescent="0.25">
      <c r="A354" s="5" t="s">
        <v>346</v>
      </c>
      <c r="B354" t="str">
        <f>"*"&amp;A354&amp;"*"</f>
        <v>*1893: Message - 1501 Low Disk Space*</v>
      </c>
      <c r="C354">
        <f>COUNTIF(Monday!I:I, B354)</f>
        <v>0</v>
      </c>
      <c r="D354">
        <f>COUNTIF(Tuesday!I:I, B354)</f>
        <v>0</v>
      </c>
      <c r="E354">
        <f>COUNTIF(Wednesday!I:I, B354)</f>
        <v>0</v>
      </c>
      <c r="F354">
        <f>COUNTIF(Thursday!I:I, B354)</f>
        <v>0</v>
      </c>
      <c r="G354">
        <f>COUNTIF(Friday!I:I, B354)</f>
        <v>0</v>
      </c>
      <c r="H354">
        <f>SUM(C354:G354)</f>
        <v>0</v>
      </c>
    </row>
    <row r="355" spans="1:8" x14ac:dyDescent="0.25">
      <c r="A355" s="5" t="s">
        <v>347</v>
      </c>
      <c r="B355" t="str">
        <f>"*"&amp;A355&amp;"*"</f>
        <v>*1894: Message - 1503 The System Is Low On Memory (RAM)*</v>
      </c>
      <c r="C355">
        <f>COUNTIF(Monday!I:I, B355)</f>
        <v>0</v>
      </c>
      <c r="D355">
        <f>COUNTIF(Tuesday!I:I, B355)</f>
        <v>0</v>
      </c>
      <c r="E355">
        <f>COUNTIF(Wednesday!I:I, B355)</f>
        <v>0</v>
      </c>
      <c r="F355">
        <f>COUNTIF(Thursday!I:I, B355)</f>
        <v>0</v>
      </c>
      <c r="G355">
        <f>COUNTIF(Friday!I:I, B355)</f>
        <v>0</v>
      </c>
      <c r="H355">
        <f>SUM(C355:G355)</f>
        <v>0</v>
      </c>
    </row>
    <row r="356" spans="1:8" x14ac:dyDescent="0.25">
      <c r="A356" s="5" t="s">
        <v>348</v>
      </c>
      <c r="B356" t="str">
        <f>"*"&amp;A356&amp;"*"</f>
        <v>*1895: Message - 1601 Automatic Initialization Of Beat Metrics Failed*</v>
      </c>
      <c r="C356">
        <f>COUNTIF(Monday!I:I, B356)</f>
        <v>0</v>
      </c>
      <c r="D356">
        <f>COUNTIF(Tuesday!I:I, B356)</f>
        <v>0</v>
      </c>
      <c r="E356">
        <f>COUNTIF(Wednesday!I:I, B356)</f>
        <v>0</v>
      </c>
      <c r="F356">
        <f>COUNTIF(Thursday!I:I, B356)</f>
        <v>0</v>
      </c>
      <c r="G356">
        <f>COUNTIF(Friday!I:I, B356)</f>
        <v>0</v>
      </c>
      <c r="H356">
        <f>SUM(C356:G356)</f>
        <v>0</v>
      </c>
    </row>
    <row r="357" spans="1:8" x14ac:dyDescent="0.25">
      <c r="A357" s="5" t="s">
        <v>349</v>
      </c>
      <c r="B357" t="str">
        <f>"*"&amp;A357&amp;"*"</f>
        <v>*1897: Message - b A t t E r r(Battery Error)*</v>
      </c>
      <c r="C357">
        <f>COUNTIF(Monday!I:I, B357)</f>
        <v>0</v>
      </c>
      <c r="D357">
        <f>COUNTIF(Tuesday!I:I, B357)</f>
        <v>0</v>
      </c>
      <c r="E357">
        <f>COUNTIF(Wednesday!I:I, B357)</f>
        <v>0</v>
      </c>
      <c r="F357">
        <f>COUNTIF(Thursday!I:I, B357)</f>
        <v>0</v>
      </c>
      <c r="G357">
        <f>COUNTIF(Friday!I:I, B357)</f>
        <v>0</v>
      </c>
      <c r="H357">
        <f>SUM(C357:G357)</f>
        <v>0</v>
      </c>
    </row>
    <row r="358" spans="1:8" x14ac:dyDescent="0.25">
      <c r="A358" s="5" t="s">
        <v>350</v>
      </c>
      <c r="B358" t="str">
        <f>"*"&amp;A358&amp;"*"</f>
        <v>*1898: Message - b A t t L O(Battery Low)*</v>
      </c>
      <c r="C358">
        <f>COUNTIF(Monday!I:I, B358)</f>
        <v>0</v>
      </c>
      <c r="D358">
        <f>COUNTIF(Tuesday!I:I, B358)</f>
        <v>0</v>
      </c>
      <c r="E358">
        <f>COUNTIF(Wednesday!I:I, B358)</f>
        <v>0</v>
      </c>
      <c r="F358">
        <f>COUNTIF(Thursday!I:I, B358)</f>
        <v>0</v>
      </c>
      <c r="G358">
        <f>COUNTIF(Friday!I:I, B358)</f>
        <v>0</v>
      </c>
      <c r="H358">
        <f>SUM(C358:G358)</f>
        <v>0</v>
      </c>
    </row>
    <row r="359" spans="1:8" x14ac:dyDescent="0.25">
      <c r="A359" s="5" t="s">
        <v>351</v>
      </c>
      <c r="B359" t="str">
        <f>"*"&amp;A359&amp;"*"</f>
        <v>*1901: Message - C P U _ E r r(CPU Error)*</v>
      </c>
      <c r="C359">
        <f>COUNTIF(Monday!I:I, B359)</f>
        <v>0</v>
      </c>
      <c r="D359">
        <f>COUNTIF(Tuesday!I:I, B359)</f>
        <v>0</v>
      </c>
      <c r="E359">
        <f>COUNTIF(Wednesday!I:I, B359)</f>
        <v>0</v>
      </c>
      <c r="F359">
        <f>COUNTIF(Thursday!I:I, B359)</f>
        <v>0</v>
      </c>
      <c r="G359">
        <f>COUNTIF(Friday!I:I, B359)</f>
        <v>0</v>
      </c>
      <c r="H359">
        <f>SUM(C359:G359)</f>
        <v>0</v>
      </c>
    </row>
    <row r="360" spans="1:8" x14ac:dyDescent="0.25">
      <c r="A360" s="5" t="s">
        <v>352</v>
      </c>
      <c r="B360" t="str">
        <f>"*"&amp;A360&amp;"*"</f>
        <v>*1904: Message - Code 1304 - The Following Leads Are Poorly Connected - [Lead Name(s)]*</v>
      </c>
      <c r="C360">
        <f>COUNTIF(Monday!I:I, B360)</f>
        <v>0</v>
      </c>
      <c r="D360">
        <f>COUNTIF(Tuesday!I:I, B360)</f>
        <v>0</v>
      </c>
      <c r="E360">
        <f>COUNTIF(Wednesday!I:I, B360)</f>
        <v>0</v>
      </c>
      <c r="F360">
        <f>COUNTIF(Thursday!I:I, B360)</f>
        <v>0</v>
      </c>
      <c r="G360">
        <f>COUNTIF(Friday!I:I, B360)</f>
        <v>0</v>
      </c>
      <c r="H360">
        <f>SUM(C360:G360)</f>
        <v>0</v>
      </c>
    </row>
    <row r="361" spans="1:8" x14ac:dyDescent="0.25">
      <c r="A361" s="5" t="s">
        <v>353</v>
      </c>
      <c r="B361" t="str">
        <f>"*"&amp;A361&amp;"*"</f>
        <v>*1926: Message - E b a t E r r(Emerg Battery Error)*</v>
      </c>
      <c r="C361">
        <f>COUNTIF(Monday!I:I, B361)</f>
        <v>0</v>
      </c>
      <c r="D361">
        <f>COUNTIF(Tuesday!I:I, B361)</f>
        <v>0</v>
      </c>
      <c r="E361">
        <f>COUNTIF(Wednesday!I:I, B361)</f>
        <v>0</v>
      </c>
      <c r="F361">
        <f>COUNTIF(Thursday!I:I, B361)</f>
        <v>0</v>
      </c>
      <c r="G361">
        <f>COUNTIF(Friday!I:I, B361)</f>
        <v>0</v>
      </c>
      <c r="H361">
        <f>SUM(C361:G361)</f>
        <v>0</v>
      </c>
    </row>
    <row r="362" spans="1:8" x14ac:dyDescent="0.25">
      <c r="A362" s="5" t="s">
        <v>354</v>
      </c>
      <c r="B362" t="str">
        <f>"*"&amp;A362&amp;"*"</f>
        <v>*2003: Message - N o P C E r r(No PC Error)*</v>
      </c>
      <c r="C362">
        <f>COUNTIF(Monday!I:I, B362)</f>
        <v>0</v>
      </c>
      <c r="D362">
        <f>COUNTIF(Tuesday!I:I, B362)</f>
        <v>0</v>
      </c>
      <c r="E362">
        <f>COUNTIF(Wednesday!I:I, B362)</f>
        <v>0</v>
      </c>
      <c r="F362">
        <f>COUNTIF(Thursday!I:I, B362)</f>
        <v>0</v>
      </c>
      <c r="G362">
        <f>COUNTIF(Friday!I:I, B362)</f>
        <v>0</v>
      </c>
      <c r="H362">
        <f>SUM(C362:G362)</f>
        <v>0</v>
      </c>
    </row>
    <row r="363" spans="1:8" x14ac:dyDescent="0.25">
      <c r="A363" s="5" t="s">
        <v>355</v>
      </c>
      <c r="B363" t="str">
        <f>"*"&amp;A363&amp;"*"</f>
        <v>*2025: Message - S O F t x x x(Software Error)*</v>
      </c>
      <c r="C363">
        <f>COUNTIF(Monday!I:I, B363)</f>
        <v>0</v>
      </c>
      <c r="D363">
        <f>COUNTIF(Tuesday!I:I, B363)</f>
        <v>0</v>
      </c>
      <c r="E363">
        <f>COUNTIF(Wednesday!I:I, B363)</f>
        <v>0</v>
      </c>
      <c r="F363">
        <f>COUNTIF(Thursday!I:I, B363)</f>
        <v>0</v>
      </c>
      <c r="G363">
        <f>COUNTIF(Friday!I:I, B363)</f>
        <v>0</v>
      </c>
      <c r="H363">
        <f>SUM(C363:G363)</f>
        <v>0</v>
      </c>
    </row>
    <row r="364" spans="1:8" x14ac:dyDescent="0.25">
      <c r="A364" s="5" t="s">
        <v>356</v>
      </c>
      <c r="B364" t="str">
        <f>"*"&amp;A364&amp;"*"</f>
        <v>*2026: Message - S09 Self Test Fail: Keypad Stuck On Failure*</v>
      </c>
      <c r="C364">
        <f>COUNTIF(Monday!I:I, B364)</f>
        <v>0</v>
      </c>
      <c r="D364">
        <f>COUNTIF(Tuesday!I:I, B364)</f>
        <v>0</v>
      </c>
      <c r="E364">
        <f>COUNTIF(Wednesday!I:I, B364)</f>
        <v>0</v>
      </c>
      <c r="F364">
        <f>COUNTIF(Thursday!I:I, B364)</f>
        <v>0</v>
      </c>
      <c r="G364">
        <f>COUNTIF(Friday!I:I, B364)</f>
        <v>0</v>
      </c>
      <c r="H364">
        <f>SUM(C364:G364)</f>
        <v>0</v>
      </c>
    </row>
    <row r="365" spans="1:8" x14ac:dyDescent="0.25">
      <c r="A365" s="5" t="s">
        <v>357</v>
      </c>
      <c r="B365" t="str">
        <f>"*"&amp;A365&amp;"*"</f>
        <v>*2053: Message - T E S T E R R(Test Error)*</v>
      </c>
      <c r="C365">
        <f>COUNTIF(Monday!I:I, B365)</f>
        <v>0</v>
      </c>
      <c r="D365">
        <f>COUNTIF(Tuesday!I:I, B365)</f>
        <v>0</v>
      </c>
      <c r="E365">
        <f>COUNTIF(Wednesday!I:I, B365)</f>
        <v>0</v>
      </c>
      <c r="F365">
        <f>COUNTIF(Thursday!I:I, B365)</f>
        <v>0</v>
      </c>
      <c r="G365">
        <f>COUNTIF(Friday!I:I, B365)</f>
        <v>0</v>
      </c>
      <c r="H365">
        <f>SUM(C365:G365)</f>
        <v>0</v>
      </c>
    </row>
    <row r="366" spans="1:8" x14ac:dyDescent="0.25">
      <c r="A366" s="5" t="s">
        <v>358</v>
      </c>
      <c r="B366" t="str">
        <f>"*"&amp;A366&amp;"*"</f>
        <v>*2264: Recording System Compatibility Issue*</v>
      </c>
      <c r="C366">
        <f>COUNTIF(Monday!I:I, B366)</f>
        <v>0</v>
      </c>
      <c r="D366">
        <f>COUNTIF(Tuesday!I:I, B366)</f>
        <v>0</v>
      </c>
      <c r="E366">
        <f>COUNTIF(Wednesday!I:I, B366)</f>
        <v>0</v>
      </c>
      <c r="F366">
        <f>COUNTIF(Thursday!I:I, B366)</f>
        <v>0</v>
      </c>
      <c r="G366">
        <f>COUNTIF(Friday!I:I, B366)</f>
        <v>0</v>
      </c>
      <c r="H366">
        <f>SUM(C366:G366)</f>
        <v>0</v>
      </c>
    </row>
    <row r="367" spans="1:8" x14ac:dyDescent="0.25">
      <c r="A367" s="5" t="s">
        <v>359</v>
      </c>
      <c r="B367" t="str">
        <f>"*"&amp;A367&amp;"*"</f>
        <v>*2325: Signal Quality/Noise Issue*</v>
      </c>
      <c r="C367">
        <f>COUNTIF(Monday!I:I, B367)</f>
        <v>0</v>
      </c>
      <c r="D367">
        <f>COUNTIF(Tuesday!I:I, B367)</f>
        <v>0</v>
      </c>
      <c r="E367">
        <f>COUNTIF(Wednesday!I:I, B367)</f>
        <v>0</v>
      </c>
      <c r="F367">
        <f>COUNTIF(Thursday!I:I, B367)</f>
        <v>0</v>
      </c>
      <c r="G367">
        <f>COUNTIF(Friday!I:I, B367)</f>
        <v>0</v>
      </c>
      <c r="H367">
        <f>SUM(C367:G367)</f>
        <v>0</v>
      </c>
    </row>
    <row r="368" spans="1:8" x14ac:dyDescent="0.25">
      <c r="A368" s="5" t="s">
        <v>360</v>
      </c>
      <c r="B368" t="str">
        <f>"*"&amp;A368&amp;"*"</f>
        <v>*2385: System Has No Blood Pressure Signal*</v>
      </c>
      <c r="C368">
        <f>COUNTIF(Monday!I:I, B368)</f>
        <v>0</v>
      </c>
      <c r="D368">
        <f>COUNTIF(Tuesday!I:I, B368)</f>
        <v>0</v>
      </c>
      <c r="E368">
        <f>COUNTIF(Wednesday!I:I, B368)</f>
        <v>0</v>
      </c>
      <c r="F368">
        <f>COUNTIF(Thursday!I:I, B368)</f>
        <v>0</v>
      </c>
      <c r="G368">
        <f>COUNTIF(Friday!I:I, B368)</f>
        <v>0</v>
      </c>
      <c r="H368">
        <f>SUM(C368:G368)</f>
        <v>0</v>
      </c>
    </row>
    <row r="369" spans="1:8" x14ac:dyDescent="0.25">
      <c r="A369" s="5" t="s">
        <v>361</v>
      </c>
      <c r="B369" t="str">
        <f>"*"&amp;A369&amp;"*"</f>
        <v>*2386: System Has No ECG Signal*</v>
      </c>
      <c r="C369">
        <f>COUNTIF(Monday!I:I, B369)</f>
        <v>0</v>
      </c>
      <c r="D369">
        <f>COUNTIF(Tuesday!I:I, B369)</f>
        <v>0</v>
      </c>
      <c r="E369">
        <f>COUNTIF(Wednesday!I:I, B369)</f>
        <v>0</v>
      </c>
      <c r="F369">
        <f>COUNTIF(Thursday!I:I, B369)</f>
        <v>0</v>
      </c>
      <c r="G369">
        <f>COUNTIF(Friday!I:I, B369)</f>
        <v>0</v>
      </c>
      <c r="H369">
        <f>SUM(C369:G369)</f>
        <v>0</v>
      </c>
    </row>
    <row r="370" spans="1:8" x14ac:dyDescent="0.25">
      <c r="A370" s="5" t="s">
        <v>362</v>
      </c>
      <c r="B370" t="str">
        <f>"*"&amp;A370&amp;"*"</f>
        <v>*2387: System Locks Up/Crashes*</v>
      </c>
      <c r="C370">
        <f>COUNTIF(Monday!I:I, B370)</f>
        <v>0</v>
      </c>
      <c r="D370">
        <f>COUNTIF(Tuesday!I:I, B370)</f>
        <v>0</v>
      </c>
      <c r="E370">
        <f>COUNTIF(Wednesday!I:I, B370)</f>
        <v>0</v>
      </c>
      <c r="F370">
        <f>COUNTIF(Thursday!I:I, B370)</f>
        <v>0</v>
      </c>
      <c r="G370">
        <f>COUNTIF(Friday!I:I, B370)</f>
        <v>0</v>
      </c>
      <c r="H370">
        <f>SUM(C370:G370)</f>
        <v>0</v>
      </c>
    </row>
    <row r="371" spans="1:8" x14ac:dyDescent="0.25">
      <c r="A371" s="5" t="s">
        <v>363</v>
      </c>
      <c r="B371" t="str">
        <f>"*"&amp;A371&amp;"*"</f>
        <v>*2388: System Not Responding*</v>
      </c>
      <c r="C371">
        <f>COUNTIF(Monday!I:I, B371)</f>
        <v>0</v>
      </c>
      <c r="D371">
        <f>COUNTIF(Tuesday!I:I, B371)</f>
        <v>0</v>
      </c>
      <c r="E371">
        <f>COUNTIF(Wednesday!I:I, B371)</f>
        <v>0</v>
      </c>
      <c r="F371">
        <f>COUNTIF(Thursday!I:I, B371)</f>
        <v>0</v>
      </c>
      <c r="G371">
        <f>COUNTIF(Friday!I:I, B371)</f>
        <v>0</v>
      </c>
      <c r="H371">
        <f>SUM(C371:G371)</f>
        <v>0</v>
      </c>
    </row>
    <row r="372" spans="1:8" x14ac:dyDescent="0.25">
      <c r="A372" s="5" t="s">
        <v>364</v>
      </c>
      <c r="B372" t="str">
        <f>"*"&amp;A372&amp;"*"</f>
        <v>*2390: System Speed Issues*</v>
      </c>
      <c r="C372">
        <f>COUNTIF(Monday!I:I, B372)</f>
        <v>0</v>
      </c>
      <c r="D372">
        <f>COUNTIF(Tuesday!I:I, B372)</f>
        <v>0</v>
      </c>
      <c r="E372">
        <f>COUNTIF(Wednesday!I:I, B372)</f>
        <v>0</v>
      </c>
      <c r="F372">
        <f>COUNTIF(Thursday!I:I, B372)</f>
        <v>0</v>
      </c>
      <c r="G372">
        <f>COUNTIF(Friday!I:I, B372)</f>
        <v>0</v>
      </c>
      <c r="H372">
        <f>SUM(C372:G372)</f>
        <v>0</v>
      </c>
    </row>
    <row r="373" spans="1:8" x14ac:dyDescent="0.25">
      <c r="A373" s="5" t="s">
        <v>365</v>
      </c>
      <c r="B373" t="str">
        <f>"*"&amp;A373&amp;"*"</f>
        <v>*2391: System Start Up Issue*</v>
      </c>
      <c r="C373">
        <f>COUNTIF(Monday!I:I, B373)</f>
        <v>0</v>
      </c>
      <c r="D373">
        <f>COUNTIF(Tuesday!I:I, B373)</f>
        <v>0</v>
      </c>
      <c r="E373">
        <f>COUNTIF(Wednesday!I:I, B373)</f>
        <v>0</v>
      </c>
      <c r="F373">
        <f>COUNTIF(Thursday!I:I, B373)</f>
        <v>0</v>
      </c>
      <c r="G373">
        <f>COUNTIF(Friday!I:I, B373)</f>
        <v>0</v>
      </c>
      <c r="H373">
        <f>SUM(C373:G373)</f>
        <v>0</v>
      </c>
    </row>
    <row r="374" spans="1:8" x14ac:dyDescent="0.25">
      <c r="A374" s="5" t="s">
        <v>366</v>
      </c>
      <c r="B374" t="str">
        <f>"*"&amp;A374&amp;"*"</f>
        <v>*2404: The System Is Configured To Use The Amplifier But It Is Not*</v>
      </c>
      <c r="C374">
        <f>COUNTIF(Monday!I:I, B374)</f>
        <v>0</v>
      </c>
      <c r="D374">
        <f>COUNTIF(Tuesday!I:I, B374)</f>
        <v>0</v>
      </c>
      <c r="E374">
        <f>COUNTIF(Wednesday!I:I, B374)</f>
        <v>0</v>
      </c>
      <c r="F374">
        <f>COUNTIF(Thursday!I:I, B374)</f>
        <v>0</v>
      </c>
      <c r="G374">
        <f>COUNTIF(Friday!I:I, B374)</f>
        <v>0</v>
      </c>
      <c r="H374">
        <f>SUM(C374:G374)</f>
        <v>0</v>
      </c>
    </row>
    <row r="375" spans="1:8" x14ac:dyDescent="0.25">
      <c r="A375" s="5" t="s">
        <v>367</v>
      </c>
      <c r="B375" t="str">
        <f>"*"&amp;A375&amp;"*"</f>
        <v>*2443: Unintended Operation/Erratic Motion*</v>
      </c>
      <c r="C375">
        <f>COUNTIF(Monday!I:I, B375)</f>
        <v>0</v>
      </c>
      <c r="D375">
        <f>COUNTIF(Tuesday!I:I, B375)</f>
        <v>0</v>
      </c>
      <c r="E375">
        <f>COUNTIF(Wednesday!I:I, B375)</f>
        <v>0</v>
      </c>
      <c r="F375">
        <f>COUNTIF(Thursday!I:I, B375)</f>
        <v>0</v>
      </c>
      <c r="G375">
        <f>COUNTIF(Friday!I:I, B375)</f>
        <v>0</v>
      </c>
      <c r="H375">
        <f>SUM(C375:G375)</f>
        <v>0</v>
      </c>
    </row>
    <row r="376" spans="1:8" x14ac:dyDescent="0.25">
      <c r="A376" s="5" t="s">
        <v>368</v>
      </c>
      <c r="B376" t="str">
        <f>"*"&amp;A376&amp;"*"</f>
        <v>*2707: Message - 1319-2 Magnetic Localization System Internal Error*</v>
      </c>
      <c r="C376">
        <f>COUNTIF(Monday!I:I, B376)</f>
        <v>0</v>
      </c>
      <c r="D376">
        <f>COUNTIF(Tuesday!I:I, B376)</f>
        <v>0</v>
      </c>
      <c r="E376">
        <f>COUNTIF(Wednesday!I:I, B376)</f>
        <v>0</v>
      </c>
      <c r="F376">
        <f>COUNTIF(Thursday!I:I, B376)</f>
        <v>0</v>
      </c>
      <c r="G376">
        <f>COUNTIF(Friday!I:I, B376)</f>
        <v>0</v>
      </c>
      <c r="H376">
        <f>SUM(C376:G376)</f>
        <v>0</v>
      </c>
    </row>
    <row r="377" spans="1:8" x14ac:dyDescent="0.25">
      <c r="A377" s="5" t="s">
        <v>369</v>
      </c>
      <c r="B377" t="str">
        <f>"*"&amp;A377&amp;"*"</f>
        <v>*2735: Message - 1305 The Following Cateters are not Supported and Cannot be Tracked*</v>
      </c>
      <c r="C377">
        <f>COUNTIF(Monday!I:I, B377)</f>
        <v>0</v>
      </c>
      <c r="D377">
        <f>COUNTIF(Tuesday!I:I, B377)</f>
        <v>0</v>
      </c>
      <c r="E377">
        <f>COUNTIF(Wednesday!I:I, B377)</f>
        <v>0</v>
      </c>
      <c r="F377">
        <f>COUNTIF(Thursday!I:I, B377)</f>
        <v>0</v>
      </c>
      <c r="G377">
        <f>COUNTIF(Friday!I:I, B377)</f>
        <v>0</v>
      </c>
      <c r="H377">
        <f>SUM(C377:G377)</f>
        <v>0</v>
      </c>
    </row>
    <row r="378" spans="1:8" x14ac:dyDescent="0.25">
      <c r="A378" s="5" t="s">
        <v>370</v>
      </c>
      <c r="B378" t="str">
        <f>"*"&amp;A378&amp;"*"</f>
        <v>*2736: Message - 1402 System Error*</v>
      </c>
      <c r="C378">
        <f>COUNTIF(Monday!I:I, B378)</f>
        <v>0</v>
      </c>
      <c r="D378">
        <f>COUNTIF(Tuesday!I:I, B378)</f>
        <v>0</v>
      </c>
      <c r="E378">
        <f>COUNTIF(Wednesday!I:I, B378)</f>
        <v>0</v>
      </c>
      <c r="F378">
        <f>COUNTIF(Thursday!I:I, B378)</f>
        <v>0</v>
      </c>
      <c r="G378">
        <f>COUNTIF(Friday!I:I, B378)</f>
        <v>0</v>
      </c>
      <c r="H378">
        <f>SUM(C378:G378)</f>
        <v>0</v>
      </c>
    </row>
    <row r="379" spans="1:8" x14ac:dyDescent="0.25">
      <c r="A379" s="5" t="s">
        <v>371</v>
      </c>
      <c r="B379" t="str">
        <f>"*"&amp;A379&amp;"*"</f>
        <v>*2737: Message - 1404 More than One Hour of Data Collected for Current Map*</v>
      </c>
      <c r="C379">
        <f>COUNTIF(Monday!I:I, B379)</f>
        <v>0</v>
      </c>
      <c r="D379">
        <f>COUNTIF(Tuesday!I:I, B379)</f>
        <v>0</v>
      </c>
      <c r="E379">
        <f>COUNTIF(Wednesday!I:I, B379)</f>
        <v>0</v>
      </c>
      <c r="F379">
        <f>COUNTIF(Thursday!I:I, B379)</f>
        <v>0</v>
      </c>
      <c r="G379">
        <f>COUNTIF(Friday!I:I, B379)</f>
        <v>0</v>
      </c>
      <c r="H379">
        <f>SUM(C379:G379)</f>
        <v>0</v>
      </c>
    </row>
    <row r="380" spans="1:8" x14ac:dyDescent="0.25">
      <c r="A380" s="5" t="s">
        <v>372</v>
      </c>
      <c r="B380" t="str">
        <f>"*"&amp;A380&amp;"*"</f>
        <v>*2738: Message - 1406 Location Reference Back Patch alingment is not Calibrated*</v>
      </c>
      <c r="C380">
        <f>COUNTIF(Monday!I:I, B380)</f>
        <v>0</v>
      </c>
      <c r="D380">
        <f>COUNTIF(Tuesday!I:I, B380)</f>
        <v>0</v>
      </c>
      <c r="E380">
        <f>COUNTIF(Wednesday!I:I, B380)</f>
        <v>0</v>
      </c>
      <c r="F380">
        <f>COUNTIF(Thursday!I:I, B380)</f>
        <v>0</v>
      </c>
      <c r="G380">
        <f>COUNTIF(Friday!I:I, B380)</f>
        <v>0</v>
      </c>
      <c r="H380">
        <f>SUM(C380:G380)</f>
        <v>0</v>
      </c>
    </row>
    <row r="381" spans="1:8" x14ac:dyDescent="0.25">
      <c r="A381" s="5" t="s">
        <v>373</v>
      </c>
      <c r="B381" t="str">
        <f>"*"&amp;A381&amp;"*"</f>
        <v>*2739: Message - 1502 Critical Disk Space*</v>
      </c>
      <c r="C381">
        <f>COUNTIF(Monday!I:I, B381)</f>
        <v>0</v>
      </c>
      <c r="D381">
        <f>COUNTIF(Tuesday!I:I, B381)</f>
        <v>0</v>
      </c>
      <c r="E381">
        <f>COUNTIF(Wednesday!I:I, B381)</f>
        <v>0</v>
      </c>
      <c r="F381">
        <f>COUNTIF(Thursday!I:I, B381)</f>
        <v>0</v>
      </c>
      <c r="G381">
        <f>COUNTIF(Friday!I:I, B381)</f>
        <v>0</v>
      </c>
      <c r="H381">
        <f>SUM(C381:G381)</f>
        <v>0</v>
      </c>
    </row>
    <row r="382" spans="1:8" x14ac:dyDescent="0.25">
      <c r="A382" s="5" t="s">
        <v>374</v>
      </c>
      <c r="B382" t="str">
        <f>"*"&amp;A382&amp;"*"</f>
        <v>*2740: Message - 1504 The System is Running out of Memory (RAM)*</v>
      </c>
      <c r="C382">
        <f>COUNTIF(Monday!I:I, B382)</f>
        <v>0</v>
      </c>
      <c r="D382">
        <f>COUNTIF(Tuesday!I:I, B382)</f>
        <v>0</v>
      </c>
      <c r="E382">
        <f>COUNTIF(Wednesday!I:I, B382)</f>
        <v>0</v>
      </c>
      <c r="F382">
        <f>COUNTIF(Thursday!I:I, B382)</f>
        <v>0</v>
      </c>
      <c r="G382">
        <f>COUNTIF(Friday!I:I, B382)</f>
        <v>0</v>
      </c>
      <c r="H382">
        <f>SUM(C382:G382)</f>
        <v>0</v>
      </c>
    </row>
    <row r="383" spans="1:8" x14ac:dyDescent="0.25">
      <c r="A383" s="5" t="s">
        <v>375</v>
      </c>
      <c r="B383" t="str">
        <f>"*"&amp;A383&amp;"*"</f>
        <v>*2741: Message - 1602 CPU Time On SiS is out of Sync with WorkStation*</v>
      </c>
      <c r="C383">
        <f>COUNTIF(Monday!I:I, B383)</f>
        <v>0</v>
      </c>
      <c r="D383">
        <f>COUNTIF(Tuesday!I:I, B383)</f>
        <v>0</v>
      </c>
      <c r="E383">
        <f>COUNTIF(Wednesday!I:I, B383)</f>
        <v>0</v>
      </c>
      <c r="F383">
        <f>COUNTIF(Thursday!I:I, B383)</f>
        <v>0</v>
      </c>
      <c r="G383">
        <f>COUNTIF(Friday!I:I, B383)</f>
        <v>0</v>
      </c>
      <c r="H383">
        <f>SUM(C383:G383)</f>
        <v>0</v>
      </c>
    </row>
    <row r="384" spans="1:8" x14ac:dyDescent="0.25">
      <c r="A384" s="5" t="s">
        <v>376</v>
      </c>
      <c r="B384" t="str">
        <f>"*"&amp;A384&amp;"*"</f>
        <v>*2742: Message - 1603 Time Has Been Changed Forward During a Study*</v>
      </c>
      <c r="C384">
        <f>COUNTIF(Monday!I:I, B384)</f>
        <v>0</v>
      </c>
      <c r="D384">
        <f>COUNTIF(Tuesday!I:I, B384)</f>
        <v>0</v>
      </c>
      <c r="E384">
        <f>COUNTIF(Wednesday!I:I, B384)</f>
        <v>0</v>
      </c>
      <c r="F384">
        <f>COUNTIF(Thursday!I:I, B384)</f>
        <v>0</v>
      </c>
      <c r="G384">
        <f>COUNTIF(Friday!I:I, B384)</f>
        <v>0</v>
      </c>
      <c r="H384">
        <f>SUM(C384:G384)</f>
        <v>0</v>
      </c>
    </row>
    <row r="385" spans="1:8" x14ac:dyDescent="0.25">
      <c r="A385" s="5" t="s">
        <v>377</v>
      </c>
      <c r="B385" t="str">
        <f>"*"&amp;A385&amp;"*"</f>
        <v>*2743: Message - 1604 Time Has Been Changed Backward During a Study*</v>
      </c>
      <c r="C385">
        <f>COUNTIF(Monday!I:I, B385)</f>
        <v>0</v>
      </c>
      <c r="D385">
        <f>COUNTIF(Tuesday!I:I, B385)</f>
        <v>0</v>
      </c>
      <c r="E385">
        <f>COUNTIF(Wednesday!I:I, B385)</f>
        <v>0</v>
      </c>
      <c r="F385">
        <f>COUNTIF(Thursday!I:I, B385)</f>
        <v>0</v>
      </c>
      <c r="G385">
        <f>COUNTIF(Friday!I:I, B385)</f>
        <v>0</v>
      </c>
      <c r="H385">
        <f>SUM(C385:G385)</f>
        <v>0</v>
      </c>
    </row>
    <row r="386" spans="1:8" x14ac:dyDescent="0.25">
      <c r="A386" s="5" t="s">
        <v>378</v>
      </c>
      <c r="B386" t="str">
        <f>"*"&amp;A386&amp;"*"</f>
        <v>*2744: Message - 1701-2 Force Connection Box Error Detected*</v>
      </c>
      <c r="C386">
        <f>COUNTIF(Monday!I:I, B386)</f>
        <v>0</v>
      </c>
      <c r="D386">
        <f>COUNTIF(Tuesday!I:I, B386)</f>
        <v>0</v>
      </c>
      <c r="E386">
        <f>COUNTIF(Wednesday!I:I, B386)</f>
        <v>0</v>
      </c>
      <c r="F386">
        <f>COUNTIF(Thursday!I:I, B386)</f>
        <v>0</v>
      </c>
      <c r="G386">
        <f>COUNTIF(Friday!I:I, B386)</f>
        <v>0</v>
      </c>
      <c r="H386">
        <f>SUM(C386:G386)</f>
        <v>0</v>
      </c>
    </row>
    <row r="387" spans="1:8" x14ac:dyDescent="0.25">
      <c r="A387" s="5" t="s">
        <v>379</v>
      </c>
      <c r="B387" t="str">
        <f>"*"&amp;A387&amp;"*"</f>
        <v>*2745: Message - 1702-2 Force Connection Box Error Detected*</v>
      </c>
      <c r="C387">
        <f>COUNTIF(Monday!I:I, B387)</f>
        <v>0</v>
      </c>
      <c r="D387">
        <f>COUNTIF(Tuesday!I:I, B387)</f>
        <v>0</v>
      </c>
      <c r="E387">
        <f>COUNTIF(Wednesday!I:I, B387)</f>
        <v>0</v>
      </c>
      <c r="F387">
        <f>COUNTIF(Thursday!I:I, B387)</f>
        <v>0</v>
      </c>
      <c r="G387">
        <f>COUNTIF(Friday!I:I, B387)</f>
        <v>0</v>
      </c>
      <c r="H387">
        <f>SUM(C387:G387)</f>
        <v>0</v>
      </c>
    </row>
    <row r="388" spans="1:8" x14ac:dyDescent="0.25">
      <c r="A388" s="5" t="s">
        <v>380</v>
      </c>
      <c r="B388" t="str">
        <f>"*"&amp;A388&amp;"*"</f>
        <v>*2746: Message - 1703-2 Force Connection Box Error Detected*</v>
      </c>
      <c r="C388">
        <f>COUNTIF(Monday!I:I, B388)</f>
        <v>0</v>
      </c>
      <c r="D388">
        <f>COUNTIF(Tuesday!I:I, B388)</f>
        <v>0</v>
      </c>
      <c r="E388">
        <f>COUNTIF(Wednesday!I:I, B388)</f>
        <v>0</v>
      </c>
      <c r="F388">
        <f>COUNTIF(Thursday!I:I, B388)</f>
        <v>0</v>
      </c>
      <c r="G388">
        <f>COUNTIF(Friday!I:I, B388)</f>
        <v>0</v>
      </c>
      <c r="H388">
        <f>SUM(C388:G388)</f>
        <v>0</v>
      </c>
    </row>
    <row r="389" spans="1:8" x14ac:dyDescent="0.25">
      <c r="A389" s="5" t="s">
        <v>381</v>
      </c>
      <c r="B389" t="str">
        <f>"*"&amp;A389&amp;"*"</f>
        <v>*2747: Message - 1704-2 Force Catheter Error Dectected*</v>
      </c>
      <c r="C389">
        <f>COUNTIF(Monday!I:I, B389)</f>
        <v>0</v>
      </c>
      <c r="D389">
        <f>COUNTIF(Tuesday!I:I, B389)</f>
        <v>0</v>
      </c>
      <c r="E389">
        <f>COUNTIF(Wednesday!I:I, B389)</f>
        <v>0</v>
      </c>
      <c r="F389">
        <f>COUNTIF(Thursday!I:I, B389)</f>
        <v>0</v>
      </c>
      <c r="G389">
        <f>COUNTIF(Friday!I:I, B389)</f>
        <v>0</v>
      </c>
      <c r="H389">
        <f>SUM(C389:G389)</f>
        <v>0</v>
      </c>
    </row>
    <row r="390" spans="1:8" x14ac:dyDescent="0.25">
      <c r="A390" s="5" t="s">
        <v>382</v>
      </c>
      <c r="B390" t="str">
        <f>"*"&amp;A390&amp;"*"</f>
        <v>*2748: Message - 1705-2 Force Catheter Error Detected*</v>
      </c>
      <c r="C390">
        <f>COUNTIF(Monday!I:I, B390)</f>
        <v>0</v>
      </c>
      <c r="D390">
        <f>COUNTIF(Tuesday!I:I, B390)</f>
        <v>0</v>
      </c>
      <c r="E390">
        <f>COUNTIF(Wednesday!I:I, B390)</f>
        <v>0</v>
      </c>
      <c r="F390">
        <f>COUNTIF(Thursday!I:I, B390)</f>
        <v>0</v>
      </c>
      <c r="G390">
        <f>COUNTIF(Friday!I:I, B390)</f>
        <v>0</v>
      </c>
      <c r="H390">
        <f>SUM(C390:G390)</f>
        <v>0</v>
      </c>
    </row>
    <row r="391" spans="1:8" x14ac:dyDescent="0.25">
      <c r="A391" s="5" t="s">
        <v>383</v>
      </c>
      <c r="B391" t="str">
        <f>"*"&amp;A391&amp;"*"</f>
        <v>*2749: Message - 1706-2 Force Value is Out of Measurement Range*</v>
      </c>
      <c r="C391">
        <f>COUNTIF(Monday!I:I, B391)</f>
        <v>0</v>
      </c>
      <c r="D391">
        <f>COUNTIF(Tuesday!I:I, B391)</f>
        <v>0</v>
      </c>
      <c r="E391">
        <f>COUNTIF(Wednesday!I:I, B391)</f>
        <v>0</v>
      </c>
      <c r="F391">
        <f>COUNTIF(Thursday!I:I, B391)</f>
        <v>0</v>
      </c>
      <c r="G391">
        <f>COUNTIF(Friday!I:I, B391)</f>
        <v>0</v>
      </c>
      <c r="H391">
        <f>SUM(C391:G391)</f>
        <v>0</v>
      </c>
    </row>
    <row r="392" spans="1:8" x14ac:dyDescent="0.25">
      <c r="A392" s="5" t="s">
        <v>384</v>
      </c>
      <c r="B392" t="str">
        <f>"*"&amp;A392&amp;"*"</f>
        <v>*2750: Message - 1707-2 No Force Computation SW Module Detected*</v>
      </c>
      <c r="C392">
        <f>COUNTIF(Monday!I:I, B392)</f>
        <v>0</v>
      </c>
      <c r="D392">
        <f>COUNTIF(Tuesday!I:I, B392)</f>
        <v>0</v>
      </c>
      <c r="E392">
        <f>COUNTIF(Wednesday!I:I, B392)</f>
        <v>0</v>
      </c>
      <c r="F392">
        <f>COUNTIF(Thursday!I:I, B392)</f>
        <v>0</v>
      </c>
      <c r="G392">
        <f>COUNTIF(Friday!I:I, B392)</f>
        <v>0</v>
      </c>
      <c r="H392">
        <f>SUM(C392:G392)</f>
        <v>0</v>
      </c>
    </row>
    <row r="393" spans="1:8" x14ac:dyDescent="0.25">
      <c r="A393" s="5" t="s">
        <v>385</v>
      </c>
      <c r="B393" t="str">
        <f>"*"&amp;A393&amp;"*"</f>
        <v>*2751: Message - 1708-2 Force Catheter is Within the Sheath*</v>
      </c>
      <c r="C393">
        <f>COUNTIF(Monday!I:I, B393)</f>
        <v>0</v>
      </c>
      <c r="D393">
        <f>COUNTIF(Tuesday!I:I, B393)</f>
        <v>0</v>
      </c>
      <c r="E393">
        <f>COUNTIF(Wednesday!I:I, B393)</f>
        <v>0</v>
      </c>
      <c r="F393">
        <f>COUNTIF(Thursday!I:I, B393)</f>
        <v>0</v>
      </c>
      <c r="G393">
        <f>COUNTIF(Friday!I:I, B393)</f>
        <v>0</v>
      </c>
      <c r="H393">
        <f>SUM(C393:G393)</f>
        <v>0</v>
      </c>
    </row>
    <row r="394" spans="1:8" x14ac:dyDescent="0.25">
      <c r="A394" s="5" t="s">
        <v>386</v>
      </c>
      <c r="B394" t="str">
        <f>"*"&amp;A394&amp;"*"</f>
        <v>*2752: Message - 1709-2 Force Data Unavilable Due to Error with Sheath Detection*</v>
      </c>
      <c r="C394">
        <f>COUNTIF(Monday!I:I, B394)</f>
        <v>0</v>
      </c>
      <c r="D394">
        <f>COUNTIF(Tuesday!I:I, B394)</f>
        <v>0</v>
      </c>
      <c r="E394">
        <f>COUNTIF(Wednesday!I:I, B394)</f>
        <v>0</v>
      </c>
      <c r="F394">
        <f>COUNTIF(Thursday!I:I, B394)</f>
        <v>0</v>
      </c>
      <c r="G394">
        <f>COUNTIF(Friday!I:I, B394)</f>
        <v>0</v>
      </c>
      <c r="H394">
        <f>SUM(C394:G394)</f>
        <v>0</v>
      </c>
    </row>
    <row r="395" spans="1:8" x14ac:dyDescent="0.25">
      <c r="A395" s="5" t="s">
        <v>387</v>
      </c>
      <c r="B395" t="str">
        <f>"*"&amp;A395&amp;"*"</f>
        <v>*2753: Message - 1710-2 No Force Signal Detected*</v>
      </c>
      <c r="C395">
        <f>COUNTIF(Monday!I:I, B395)</f>
        <v>0</v>
      </c>
      <c r="D395">
        <f>COUNTIF(Tuesday!I:I, B395)</f>
        <v>0</v>
      </c>
      <c r="E395">
        <f>COUNTIF(Wednesday!I:I, B395)</f>
        <v>0</v>
      </c>
      <c r="F395">
        <f>COUNTIF(Thursday!I:I, B395)</f>
        <v>0</v>
      </c>
      <c r="G395">
        <f>COUNTIF(Friday!I:I, B395)</f>
        <v>0</v>
      </c>
      <c r="H395">
        <f>SUM(C395:G395)</f>
        <v>0</v>
      </c>
    </row>
    <row r="396" spans="1:8" x14ac:dyDescent="0.25">
      <c r="A396" s="5" t="s">
        <v>388</v>
      </c>
      <c r="B396" t="str">
        <f>"*"&amp;A396&amp;"*"</f>
        <v>*2754: Message - 1711-2 Force Data Packet Drop Detected*</v>
      </c>
      <c r="C396">
        <f>COUNTIF(Monday!I:I, B396)</f>
        <v>0</v>
      </c>
      <c r="D396">
        <f>COUNTIF(Tuesday!I:I, B396)</f>
        <v>0</v>
      </c>
      <c r="E396">
        <f>COUNTIF(Wednesday!I:I, B396)</f>
        <v>0</v>
      </c>
      <c r="F396">
        <f>COUNTIF(Thursday!I:I, B396)</f>
        <v>0</v>
      </c>
      <c r="G396">
        <f>COUNTIF(Friday!I:I, B396)</f>
        <v>0</v>
      </c>
      <c r="H396">
        <f>SUM(C396:G396)</f>
        <v>0</v>
      </c>
    </row>
    <row r="397" spans="1:8" x14ac:dyDescent="0.25">
      <c r="A397" s="5" t="s">
        <v>389</v>
      </c>
      <c r="B397" t="str">
        <f>"*"&amp;A397&amp;"*"</f>
        <v>*2755: Message - 1712-2 Cannot Read Force Info from the Force Catheter*</v>
      </c>
      <c r="C397">
        <f>COUNTIF(Monday!I:I, B397)</f>
        <v>0</v>
      </c>
      <c r="D397">
        <f>COUNTIF(Tuesday!I:I, B397)</f>
        <v>0</v>
      </c>
      <c r="E397">
        <f>COUNTIF(Wednesday!I:I, B397)</f>
        <v>0</v>
      </c>
      <c r="F397">
        <f>COUNTIF(Thursday!I:I, B397)</f>
        <v>0</v>
      </c>
      <c r="G397">
        <f>COUNTIF(Friday!I:I, B397)</f>
        <v>0</v>
      </c>
      <c r="H397">
        <f>SUM(C397:G397)</f>
        <v>0</v>
      </c>
    </row>
    <row r="398" spans="1:8" x14ac:dyDescent="0.25">
      <c r="A398" s="5" t="s">
        <v>390</v>
      </c>
      <c r="B398" t="str">
        <f>"*"&amp;A398&amp;"*"</f>
        <v>*2756: Message - 1713-2 Internal Error Detected*</v>
      </c>
      <c r="C398">
        <f>COUNTIF(Monday!I:I, B398)</f>
        <v>0</v>
      </c>
      <c r="D398">
        <f>COUNTIF(Tuesday!I:I, B398)</f>
        <v>0</v>
      </c>
      <c r="E398">
        <f>COUNTIF(Wednesday!I:I, B398)</f>
        <v>0</v>
      </c>
      <c r="F398">
        <f>COUNTIF(Thursday!I:I, B398)</f>
        <v>0</v>
      </c>
      <c r="G398">
        <f>COUNTIF(Friday!I:I, B398)</f>
        <v>0</v>
      </c>
      <c r="H398">
        <f>SUM(C398:G398)</f>
        <v>0</v>
      </c>
    </row>
    <row r="399" spans="1:8" x14ac:dyDescent="0.25">
      <c r="A399" s="5" t="s">
        <v>391</v>
      </c>
      <c r="B399" t="str">
        <f>"*"&amp;A399&amp;"*"</f>
        <v>*2757: Message - 1714-2 Force Catheter May Need to be Re-Zeroed in Blood Pool*</v>
      </c>
      <c r="C399">
        <f>COUNTIF(Monday!I:I, B399)</f>
        <v>0</v>
      </c>
      <c r="D399">
        <f>COUNTIF(Tuesday!I:I, B399)</f>
        <v>0</v>
      </c>
      <c r="E399">
        <f>COUNTIF(Wednesday!I:I, B399)</f>
        <v>0</v>
      </c>
      <c r="F399">
        <f>COUNTIF(Thursday!I:I, B399)</f>
        <v>0</v>
      </c>
      <c r="G399">
        <f>COUNTIF(Friday!I:I, B399)</f>
        <v>0</v>
      </c>
      <c r="H399">
        <f>SUM(C399:G399)</f>
        <v>0</v>
      </c>
    </row>
    <row r="400" spans="1:8" x14ac:dyDescent="0.25">
      <c r="A400" s="5" t="s">
        <v>392</v>
      </c>
      <c r="B400" t="str">
        <f>"*"&amp;A400&amp;"*"</f>
        <v>*2758: Message - 1715-2 Force Connection Box Error Detected*</v>
      </c>
      <c r="C400">
        <f>COUNTIF(Monday!I:I, B400)</f>
        <v>0</v>
      </c>
      <c r="D400">
        <f>COUNTIF(Tuesday!I:I, B400)</f>
        <v>0</v>
      </c>
      <c r="E400">
        <f>COUNTIF(Wednesday!I:I, B400)</f>
        <v>0</v>
      </c>
      <c r="F400">
        <f>COUNTIF(Thursday!I:I, B400)</f>
        <v>0</v>
      </c>
      <c r="G400">
        <f>COUNTIF(Friday!I:I, B400)</f>
        <v>0</v>
      </c>
      <c r="H400">
        <f>SUM(C400:G400)</f>
        <v>0</v>
      </c>
    </row>
    <row r="401" spans="1:8" x14ac:dyDescent="0.25">
      <c r="A401" s="5" t="s">
        <v>393</v>
      </c>
      <c r="B401" t="str">
        <f>"*"&amp;A401&amp;"*"</f>
        <v>*2759: Message - 1716-2 Force Catheter Re-Zero Error*</v>
      </c>
      <c r="C401">
        <f>COUNTIF(Monday!I:I, B401)</f>
        <v>0</v>
      </c>
      <c r="D401">
        <f>COUNTIF(Tuesday!I:I, B401)</f>
        <v>0</v>
      </c>
      <c r="E401">
        <f>COUNTIF(Wednesday!I:I, B401)</f>
        <v>0</v>
      </c>
      <c r="F401">
        <f>COUNTIF(Thursday!I:I, B401)</f>
        <v>0</v>
      </c>
      <c r="G401">
        <f>COUNTIF(Friday!I:I, B401)</f>
        <v>0</v>
      </c>
      <c r="H401">
        <f>SUM(C401:G401)</f>
        <v>0</v>
      </c>
    </row>
    <row r="402" spans="1:8" x14ac:dyDescent="0.25">
      <c r="A402" s="5" t="s">
        <v>394</v>
      </c>
      <c r="B402" t="str">
        <f>"*"&amp;A402&amp;"*"</f>
        <v>*3059: Message - 1115-2 Signal Station Error Detected*</v>
      </c>
      <c r="C402">
        <f>COUNTIF(Monday!I:I, B402)</f>
        <v>0</v>
      </c>
      <c r="D402">
        <f>COUNTIF(Tuesday!I:I, B402)</f>
        <v>0</v>
      </c>
      <c r="E402">
        <f>COUNTIF(Wednesday!I:I, B402)</f>
        <v>0</v>
      </c>
      <c r="F402">
        <f>COUNTIF(Thursday!I:I, B402)</f>
        <v>0</v>
      </c>
      <c r="G402">
        <f>COUNTIF(Friday!I:I, B402)</f>
        <v>0</v>
      </c>
      <c r="H402">
        <f>SUM(C402:G402)</f>
        <v>0</v>
      </c>
    </row>
    <row r="403" spans="1:8" x14ac:dyDescent="0.25">
      <c r="A403" s="6" t="s">
        <v>395</v>
      </c>
      <c r="B403" t="str">
        <f>"*"&amp;A403&amp;"*"</f>
        <v>*3089: Message - 1004-2 Internal Error Detected*</v>
      </c>
      <c r="C403">
        <f>COUNTIF(Monday!I:I, B403)</f>
        <v>0</v>
      </c>
      <c r="D403">
        <f>COUNTIF(Tuesday!I:I, B403)</f>
        <v>0</v>
      </c>
      <c r="E403">
        <f>COUNTIF(Wednesday!I:I, B403)</f>
        <v>0</v>
      </c>
      <c r="F403">
        <f>COUNTIF(Thursday!I:I, B403)</f>
        <v>0</v>
      </c>
      <c r="G403">
        <f>COUNTIF(Friday!I:I, B403)</f>
        <v>0</v>
      </c>
      <c r="H403">
        <f>SUM(C403:G403)</f>
        <v>0</v>
      </c>
    </row>
    <row r="404" spans="1:8" x14ac:dyDescent="0.25">
      <c r="A404" s="6" t="s">
        <v>396</v>
      </c>
      <c r="B404" t="str">
        <f>"*"&amp;A404&amp;"*"</f>
        <v>*3090: Message - 1102 Internal Error Detected*</v>
      </c>
      <c r="C404">
        <f>COUNTIF(Monday!I:I, B404)</f>
        <v>0</v>
      </c>
      <c r="D404">
        <f>COUNTIF(Tuesday!I:I, B404)</f>
        <v>0</v>
      </c>
      <c r="E404">
        <f>COUNTIF(Wednesday!I:I, B404)</f>
        <v>0</v>
      </c>
      <c r="F404">
        <f>COUNTIF(Thursday!I:I, B404)</f>
        <v>0</v>
      </c>
      <c r="G404">
        <f>COUNTIF(Friday!I:I, B404)</f>
        <v>0</v>
      </c>
      <c r="H404">
        <f>SUM(C404:G404)</f>
        <v>0</v>
      </c>
    </row>
    <row r="405" spans="1:8" x14ac:dyDescent="0.25">
      <c r="A405" s="6" t="s">
        <v>397</v>
      </c>
      <c r="B405" t="str">
        <f>"*"&amp;A405&amp;"*"</f>
        <v>*3091: Message - 1105-2 Not Connected To Magnetic Localization System*</v>
      </c>
      <c r="C405">
        <f>COUNTIF(Monday!I:I, B405)</f>
        <v>0</v>
      </c>
      <c r="D405">
        <f>COUNTIF(Tuesday!I:I, B405)</f>
        <v>0</v>
      </c>
      <c r="E405">
        <f>COUNTIF(Wednesday!I:I, B405)</f>
        <v>0</v>
      </c>
      <c r="F405">
        <f>COUNTIF(Thursday!I:I, B405)</f>
        <v>0</v>
      </c>
      <c r="G405">
        <f>COUNTIF(Friday!I:I, B405)</f>
        <v>0</v>
      </c>
      <c r="H405">
        <f>SUM(C405:G405)</f>
        <v>0</v>
      </c>
    </row>
    <row r="406" spans="1:8" x14ac:dyDescent="0.25">
      <c r="A406" s="6" t="s">
        <v>398</v>
      </c>
      <c r="B406" t="str">
        <f>"*"&amp;A406&amp;"*"</f>
        <v>*3092: Message - 1111 Incorrect Hardware Version*</v>
      </c>
      <c r="C406">
        <f>COUNTIF(Monday!I:I, B406)</f>
        <v>0</v>
      </c>
      <c r="D406">
        <f>COUNTIF(Tuesday!I:I, B406)</f>
        <v>0</v>
      </c>
      <c r="E406">
        <f>COUNTIF(Wednesday!I:I, B406)</f>
        <v>0</v>
      </c>
      <c r="F406">
        <f>COUNTIF(Thursday!I:I, B406)</f>
        <v>0</v>
      </c>
      <c r="G406">
        <f>COUNTIF(Friday!I:I, B406)</f>
        <v>0</v>
      </c>
      <c r="H406">
        <f>SUM(C406:G406)</f>
        <v>0</v>
      </c>
    </row>
    <row r="407" spans="1:8" x14ac:dyDescent="0.25">
      <c r="A407" s="6" t="s">
        <v>399</v>
      </c>
      <c r="B407" t="str">
        <f>"*"&amp;A407&amp;"*"</f>
        <v>*3093: Message - 1113-2 Localization Generator Is Disconnected*</v>
      </c>
      <c r="C407">
        <f>COUNTIF(Monday!I:I, B407)</f>
        <v>0</v>
      </c>
      <c r="D407">
        <f>COUNTIF(Tuesday!I:I, B407)</f>
        <v>0</v>
      </c>
      <c r="E407">
        <f>COUNTIF(Wednesday!I:I, B407)</f>
        <v>0</v>
      </c>
      <c r="F407">
        <f>COUNTIF(Thursday!I:I, B407)</f>
        <v>0</v>
      </c>
      <c r="G407">
        <f>COUNTIF(Friday!I:I, B407)</f>
        <v>0</v>
      </c>
      <c r="H407">
        <f>SUM(C407:G407)</f>
        <v>0</v>
      </c>
    </row>
    <row r="408" spans="1:8" x14ac:dyDescent="0.25">
      <c r="A408" s="6" t="s">
        <v>400</v>
      </c>
      <c r="B408" t="str">
        <f>"*"&amp;A408&amp;"*"</f>
        <v>*3094: Message - 1114-2 The [Device Name] Magnetic Sensor Is Either Disconnected Or Broken*</v>
      </c>
      <c r="C408">
        <f>COUNTIF(Monday!I:I, B408)</f>
        <v>0</v>
      </c>
      <c r="D408">
        <f>COUNTIF(Tuesday!I:I, B408)</f>
        <v>0</v>
      </c>
      <c r="E408">
        <f>COUNTIF(Wednesday!I:I, B408)</f>
        <v>0</v>
      </c>
      <c r="F408">
        <f>COUNTIF(Thursday!I:I, B408)</f>
        <v>0</v>
      </c>
      <c r="G408">
        <f>COUNTIF(Friday!I:I, B408)</f>
        <v>0</v>
      </c>
      <c r="H408">
        <f>SUM(C408:G408)</f>
        <v>0</v>
      </c>
    </row>
    <row r="409" spans="1:8" x14ac:dyDescent="0.25">
      <c r="A409" s="6" t="s">
        <v>401</v>
      </c>
      <c r="B409" t="str">
        <f>"*"&amp;A409&amp;"*"</f>
        <v>*3095: Message - 1207-2 Mismatch Between Input And Output Cables*</v>
      </c>
      <c r="C409">
        <f>COUNTIF(Monday!I:I, B409)</f>
        <v>0</v>
      </c>
      <c r="D409">
        <f>COUNTIF(Tuesday!I:I, B409)</f>
        <v>0</v>
      </c>
      <c r="E409">
        <f>COUNTIF(Wednesday!I:I, B409)</f>
        <v>0</v>
      </c>
      <c r="F409">
        <f>COUNTIF(Thursday!I:I, B409)</f>
        <v>0</v>
      </c>
      <c r="G409">
        <f>COUNTIF(Friday!I:I, B409)</f>
        <v>0</v>
      </c>
      <c r="H409">
        <f>SUM(C409:G409)</f>
        <v>0</v>
      </c>
    </row>
    <row r="410" spans="1:8" x14ac:dyDescent="0.25">
      <c r="A410" s="6" t="s">
        <v>402</v>
      </c>
      <c r="B410" t="str">
        <f>"*"&amp;A410&amp;"*"</f>
        <v>*3096: Message - 1208-2 Channels 33-40 On A IN Are Not Being Sent To The Recording System*</v>
      </c>
      <c r="C410">
        <f>COUNTIF(Monday!I:I, B410)</f>
        <v>0</v>
      </c>
      <c r="D410">
        <f>COUNTIF(Tuesday!I:I, B410)</f>
        <v>0</v>
      </c>
      <c r="E410">
        <f>COUNTIF(Wednesday!I:I, B410)</f>
        <v>0</v>
      </c>
      <c r="F410">
        <f>COUNTIF(Thursday!I:I, B410)</f>
        <v>0</v>
      </c>
      <c r="G410">
        <f>COUNTIF(Friday!I:I, B410)</f>
        <v>0</v>
      </c>
      <c r="H410">
        <f>SUM(C410:G410)</f>
        <v>0</v>
      </c>
    </row>
    <row r="411" spans="1:8" x14ac:dyDescent="0.25">
      <c r="A411" s="6" t="s">
        <v>403</v>
      </c>
      <c r="B411" t="str">
        <f>"*"&amp;A411&amp;"*"</f>
        <v>*3097: Message - 1311 System Error*</v>
      </c>
      <c r="C411">
        <f>COUNTIF(Monday!I:I, B411)</f>
        <v>0</v>
      </c>
      <c r="D411">
        <f>COUNTIF(Tuesday!I:I, B411)</f>
        <v>0</v>
      </c>
      <c r="E411">
        <f>COUNTIF(Wednesday!I:I, B411)</f>
        <v>0</v>
      </c>
      <c r="F411">
        <f>COUNTIF(Thursday!I:I, B411)</f>
        <v>0</v>
      </c>
      <c r="G411">
        <f>COUNTIF(Friday!I:I, B411)</f>
        <v>0</v>
      </c>
      <c r="H411">
        <f>SUM(C411:G411)</f>
        <v>0</v>
      </c>
    </row>
    <row r="412" spans="1:8" x14ac:dyDescent="0.25">
      <c r="A412" s="6" t="s">
        <v>404</v>
      </c>
      <c r="B412" t="str">
        <f>"*"&amp;A412&amp;"*"</f>
        <v>*3098: Message - 1313-2 Magnetic Positions Are Not Available For The Following Catheters: [Catheter Name(s)]*</v>
      </c>
      <c r="C412">
        <f>COUNTIF(Monday!I:I, B412)</f>
        <v>0</v>
      </c>
      <c r="D412">
        <f>COUNTIF(Tuesday!I:I, B412)</f>
        <v>0</v>
      </c>
      <c r="E412">
        <f>COUNTIF(Wednesday!I:I, B412)</f>
        <v>0</v>
      </c>
      <c r="F412">
        <f>COUNTIF(Thursday!I:I, B412)</f>
        <v>0</v>
      </c>
      <c r="G412">
        <f>COUNTIF(Friday!I:I, B412)</f>
        <v>0</v>
      </c>
      <c r="H412">
        <f>SUM(C412:G412)</f>
        <v>0</v>
      </c>
    </row>
    <row r="413" spans="1:8" x14ac:dyDescent="0.25">
      <c r="A413" s="6" t="s">
        <v>405</v>
      </c>
      <c r="B413" t="str">
        <f>"*"&amp;A413&amp;"*"</f>
        <v>*3099: Message - 1316 Tracking Has Been Manually Disabled_Catheter Visualization And Mapping Are Currently Unavailable*</v>
      </c>
      <c r="C413">
        <f>COUNTIF(Monday!I:I, B413)</f>
        <v>0</v>
      </c>
      <c r="D413">
        <f>COUNTIF(Tuesday!I:I, B413)</f>
        <v>0</v>
      </c>
      <c r="E413">
        <f>COUNTIF(Wednesday!I:I, B413)</f>
        <v>0</v>
      </c>
      <c r="F413">
        <f>COUNTIF(Thursday!I:I, B413)</f>
        <v>0</v>
      </c>
      <c r="G413">
        <f>COUNTIF(Friday!I:I, B413)</f>
        <v>0</v>
      </c>
      <c r="H413">
        <f>SUM(C413:G413)</f>
        <v>0</v>
      </c>
    </row>
    <row r="414" spans="1:8" x14ac:dyDescent="0.25">
      <c r="A414" s="6" t="s">
        <v>406</v>
      </c>
      <c r="B414" t="str">
        <f>"*"&amp;A414&amp;"*"</f>
        <v>*3100: Message - 1405-2 Location Reference Back Patch Is Not Connected Or Out Of Field*</v>
      </c>
      <c r="C414">
        <f>COUNTIF(Monday!I:I, B414)</f>
        <v>0</v>
      </c>
      <c r="D414">
        <f>COUNTIF(Tuesday!I:I, B414)</f>
        <v>0</v>
      </c>
      <c r="E414">
        <f>COUNTIF(Wednesday!I:I, B414)</f>
        <v>0</v>
      </c>
      <c r="F414">
        <f>COUNTIF(Thursday!I:I, B414)</f>
        <v>0</v>
      </c>
      <c r="G414">
        <f>COUNTIF(Friday!I:I, B414)</f>
        <v>0</v>
      </c>
      <c r="H414">
        <f>SUM(C414:G414)</f>
        <v>0</v>
      </c>
    </row>
    <row r="415" spans="1:8" x14ac:dyDescent="0.25">
      <c r="A415" s="5" t="s">
        <v>407</v>
      </c>
      <c r="B415" t="str">
        <f>"*"&amp;A415&amp;"*"</f>
        <v>*3132: Catheter Not Recognized*</v>
      </c>
      <c r="C415">
        <f>COUNTIF(Monday!I:I, B415)</f>
        <v>0</v>
      </c>
      <c r="D415">
        <f>COUNTIF(Tuesday!I:I, B415)</f>
        <v>0</v>
      </c>
      <c r="E415">
        <f>COUNTIF(Wednesday!I:I, B415)</f>
        <v>0</v>
      </c>
      <c r="F415">
        <f>COUNTIF(Thursday!I:I, B415)</f>
        <v>0</v>
      </c>
      <c r="G415">
        <f>COUNTIF(Friday!I:I, B415)</f>
        <v>0</v>
      </c>
      <c r="H415">
        <f>SUM(C415:G415)</f>
        <v>0</v>
      </c>
    </row>
    <row r="416" spans="1:8" x14ac:dyDescent="0.25">
      <c r="A416" s="5" t="s">
        <v>408</v>
      </c>
      <c r="B416" t="str">
        <f>"*"&amp;A416&amp;"*"</f>
        <v>*2028: Message - Sensor Error*</v>
      </c>
      <c r="C416">
        <f>COUNTIF(Monday!I:I, B416)</f>
        <v>0</v>
      </c>
      <c r="D416">
        <f>COUNTIF(Tuesday!I:I, B416)</f>
        <v>0</v>
      </c>
      <c r="E416">
        <f>COUNTIF(Wednesday!I:I, B416)</f>
        <v>0</v>
      </c>
      <c r="F416">
        <f>COUNTIF(Thursday!I:I, B416)</f>
        <v>0</v>
      </c>
      <c r="G416">
        <f>COUNTIF(Friday!I:I, B416)</f>
        <v>0</v>
      </c>
      <c r="H416">
        <f>SUM(C416:G416)</f>
        <v>0</v>
      </c>
    </row>
    <row r="417" spans="1:8" x14ac:dyDescent="0.25">
      <c r="A417" s="5" t="s">
        <v>409</v>
      </c>
      <c r="B417" t="str">
        <f>"*"&amp;A417&amp;"*"</f>
        <v>*2113: No Video Signal*</v>
      </c>
      <c r="C417">
        <f>COUNTIF(Monday!I:I, B417)</f>
        <v>0</v>
      </c>
      <c r="D417">
        <f>COUNTIF(Tuesday!I:I, B417)</f>
        <v>0</v>
      </c>
      <c r="E417">
        <f>COUNTIF(Wednesday!I:I, B417)</f>
        <v>0</v>
      </c>
      <c r="F417">
        <f>COUNTIF(Thursday!I:I, B417)</f>
        <v>0</v>
      </c>
      <c r="G417">
        <f>COUNTIF(Friday!I:I, B417)</f>
        <v>0</v>
      </c>
      <c r="H417">
        <f>SUM(C417:G417)</f>
        <v>0</v>
      </c>
    </row>
    <row r="418" spans="1:8" x14ac:dyDescent="0.25">
      <c r="A418" s="5" t="s">
        <v>410</v>
      </c>
      <c r="B418" t="str">
        <f>"*"&amp;A418&amp;"*"</f>
        <v>*1102: CMOS Battery*</v>
      </c>
      <c r="C418">
        <f>COUNTIF(Monday!I:I, B418)</f>
        <v>0</v>
      </c>
      <c r="D418">
        <f>COUNTIF(Tuesday!I:I, B418)</f>
        <v>0</v>
      </c>
      <c r="E418">
        <f>COUNTIF(Wednesday!I:I, B418)</f>
        <v>0</v>
      </c>
      <c r="F418">
        <f>COUNTIF(Thursday!I:I, B418)</f>
        <v>0</v>
      </c>
      <c r="G418">
        <f>COUNTIF(Friday!I:I, B418)</f>
        <v>0</v>
      </c>
      <c r="H418">
        <f>SUM(C418:G418)</f>
        <v>0</v>
      </c>
    </row>
    <row r="419" spans="1:8" x14ac:dyDescent="0.25">
      <c r="A419" s="5" t="s">
        <v>411</v>
      </c>
      <c r="B419" t="str">
        <f>"*"&amp;A419&amp;"*"</f>
        <v>*1433: DVD/CD Issue*</v>
      </c>
      <c r="C419">
        <f>COUNTIF(Monday!I:I, B419)</f>
        <v>0</v>
      </c>
      <c r="D419">
        <f>COUNTIF(Tuesday!I:I, B419)</f>
        <v>0</v>
      </c>
      <c r="E419">
        <f>COUNTIF(Wednesday!I:I, B419)</f>
        <v>0</v>
      </c>
      <c r="F419">
        <f>COUNTIF(Thursday!I:I, B419)</f>
        <v>0</v>
      </c>
      <c r="G419">
        <f>COUNTIF(Friday!I:I, B419)</f>
        <v>0</v>
      </c>
      <c r="H419">
        <f>SUM(C419:G419)</f>
        <v>0</v>
      </c>
    </row>
    <row r="420" spans="1:8" x14ac:dyDescent="0.25">
      <c r="A420" s="5" t="s">
        <v>412</v>
      </c>
      <c r="B420" t="str">
        <f>"*"&amp;A420&amp;"*"</f>
        <v>*2108: No Signal From Signal Station*</v>
      </c>
      <c r="C420">
        <f>COUNTIF(Monday!I:I, B420)</f>
        <v>0</v>
      </c>
      <c r="D420">
        <f>COUNTIF(Tuesday!I:I, B420)</f>
        <v>0</v>
      </c>
      <c r="E420">
        <f>COUNTIF(Wednesday!I:I, B420)</f>
        <v>0</v>
      </c>
      <c r="F420">
        <f>COUNTIF(Thursday!I:I, B420)</f>
        <v>0</v>
      </c>
      <c r="G420">
        <f>COUNTIF(Friday!I:I, B420)</f>
        <v>0</v>
      </c>
      <c r="H420">
        <f>SUM(C420:G420)</f>
        <v>0</v>
      </c>
    </row>
    <row r="421" spans="1:8" x14ac:dyDescent="0.25">
      <c r="A421" s="5" t="s">
        <v>413</v>
      </c>
      <c r="B421" t="str">
        <f>"*"&amp;A421&amp;"*"</f>
        <v>*1100: Clotting/Charring On Catheter*</v>
      </c>
      <c r="C421">
        <f>COUNTIF(Monday!I:I, B421)</f>
        <v>0</v>
      </c>
      <c r="D421">
        <f>COUNTIF(Tuesday!I:I, B421)</f>
        <v>0</v>
      </c>
      <c r="E421">
        <f>COUNTIF(Wednesday!I:I, B421)</f>
        <v>0</v>
      </c>
      <c r="F421">
        <f>COUNTIF(Thursday!I:I, B421)</f>
        <v>0</v>
      </c>
      <c r="G421">
        <f>COUNTIF(Friday!I:I, B421)</f>
        <v>0</v>
      </c>
      <c r="H421">
        <f>SUM(C421:G421)</f>
        <v>0</v>
      </c>
    </row>
    <row r="422" spans="1:8" x14ac:dyDescent="0.25">
      <c r="A422" s="5" t="s">
        <v>414</v>
      </c>
      <c r="B422" t="str">
        <f>"*"&amp;A422&amp;"*"</f>
        <v>*1183: Deployment/Undeployment Failure*</v>
      </c>
      <c r="C422">
        <f>COUNTIF(Monday!I:I, B422)</f>
        <v>0</v>
      </c>
      <c r="D422">
        <f>COUNTIF(Tuesday!I:I, B422)</f>
        <v>0</v>
      </c>
      <c r="E422">
        <f>COUNTIF(Wednesday!I:I, B422)</f>
        <v>0</v>
      </c>
      <c r="F422">
        <f>COUNTIF(Thursday!I:I, B422)</f>
        <v>0</v>
      </c>
      <c r="G422">
        <f>COUNTIF(Friday!I:I, B422)</f>
        <v>0</v>
      </c>
      <c r="H422">
        <f>SUM(C422:G422)</f>
        <v>0</v>
      </c>
    </row>
    <row r="423" spans="1:8" x14ac:dyDescent="0.25">
      <c r="A423" s="5" t="s">
        <v>415</v>
      </c>
      <c r="B423" t="str">
        <f>"*"&amp;A423&amp;"*"</f>
        <v>*1274: Difficult To Advance*</v>
      </c>
      <c r="C423">
        <f>COUNTIF(Monday!I:I, B423)</f>
        <v>0</v>
      </c>
      <c r="D423">
        <f>COUNTIF(Tuesday!I:I, B423)</f>
        <v>0</v>
      </c>
      <c r="E423">
        <f>COUNTIF(Wednesday!I:I, B423)</f>
        <v>0</v>
      </c>
      <c r="F423">
        <f>COUNTIF(Thursday!I:I, B423)</f>
        <v>0</v>
      </c>
      <c r="G423">
        <f>COUNTIF(Friday!I:I, B423)</f>
        <v>0</v>
      </c>
      <c r="H423">
        <f>SUM(C423:G423)</f>
        <v>0</v>
      </c>
    </row>
    <row r="424" spans="1:8" x14ac:dyDescent="0.25">
      <c r="A424" s="5" t="s">
        <v>416</v>
      </c>
      <c r="B424" t="str">
        <f>"*"&amp;A424&amp;"*"</f>
        <v>*1323: Difficult To Irrigate*</v>
      </c>
      <c r="C424">
        <f>COUNTIF(Monday!I:I, B424)</f>
        <v>0</v>
      </c>
      <c r="D424">
        <f>COUNTIF(Tuesday!I:I, B424)</f>
        <v>0</v>
      </c>
      <c r="E424">
        <f>COUNTIF(Wednesday!I:I, B424)</f>
        <v>0</v>
      </c>
      <c r="F424">
        <f>COUNTIF(Thursday!I:I, B424)</f>
        <v>0</v>
      </c>
      <c r="G424">
        <f>COUNTIF(Friday!I:I, B424)</f>
        <v>0</v>
      </c>
      <c r="H424">
        <f>SUM(C424:G424)</f>
        <v>0</v>
      </c>
    </row>
    <row r="425" spans="1:8" x14ac:dyDescent="0.25">
      <c r="A425" s="5" t="s">
        <v>417</v>
      </c>
      <c r="B425" t="str">
        <f>"*"&amp;A425&amp;"*"</f>
        <v>*1378: Difficult To View Under Fluoroscopy*</v>
      </c>
      <c r="C425">
        <f>COUNTIF(Monday!I:I, B425)</f>
        <v>0</v>
      </c>
      <c r="D425">
        <f>COUNTIF(Tuesday!I:I, B425)</f>
        <v>0</v>
      </c>
      <c r="E425">
        <f>COUNTIF(Wednesday!I:I, B425)</f>
        <v>0</v>
      </c>
      <c r="F425">
        <f>COUNTIF(Thursday!I:I, B425)</f>
        <v>0</v>
      </c>
      <c r="G425">
        <f>COUNTIF(Friday!I:I, B425)</f>
        <v>0</v>
      </c>
      <c r="H425">
        <f>SUM(C425:G425)</f>
        <v>0</v>
      </c>
    </row>
    <row r="426" spans="1:8" x14ac:dyDescent="0.25">
      <c r="A426" s="5" t="s">
        <v>418</v>
      </c>
      <c r="B426" t="str">
        <f>"*"&amp;A426&amp;"*"</f>
        <v>*1380: Difficult To Withdraw*</v>
      </c>
      <c r="C426">
        <f>COUNTIF(Monday!I:I, B426)</f>
        <v>0</v>
      </c>
      <c r="D426">
        <f>COUNTIF(Tuesday!I:I, B426)</f>
        <v>0</v>
      </c>
      <c r="E426">
        <f>COUNTIF(Wednesday!I:I, B426)</f>
        <v>0</v>
      </c>
      <c r="F426">
        <f>COUNTIF(Thursday!I:I, B426)</f>
        <v>0</v>
      </c>
      <c r="G426">
        <f>COUNTIF(Friday!I:I, B426)</f>
        <v>0</v>
      </c>
      <c r="H426">
        <f>SUM(C426:G426)</f>
        <v>0</v>
      </c>
    </row>
    <row r="427" spans="1:8" x14ac:dyDescent="0.25">
      <c r="A427" s="5" t="s">
        <v>419</v>
      </c>
      <c r="B427" t="str">
        <f>"*"&amp;A427&amp;"*"</f>
        <v>*1397: Difficult/Failure To Read Signals*</v>
      </c>
      <c r="C427">
        <f>COUNTIF(Monday!I:I, B427)</f>
        <v>0</v>
      </c>
      <c r="D427">
        <f>COUNTIF(Tuesday!I:I, B427)</f>
        <v>0</v>
      </c>
      <c r="E427">
        <f>COUNTIF(Wednesday!I:I, B427)</f>
        <v>0</v>
      </c>
      <c r="F427">
        <f>COUNTIF(Thursday!I:I, B427)</f>
        <v>0</v>
      </c>
      <c r="G427">
        <f>COUNTIF(Friday!I:I, B427)</f>
        <v>0</v>
      </c>
      <c r="H427">
        <f>SUM(C427:G427)</f>
        <v>0</v>
      </c>
    </row>
    <row r="428" spans="1:8" x14ac:dyDescent="0.25">
      <c r="A428" s="5" t="s">
        <v>420</v>
      </c>
      <c r="B428" t="str">
        <f>"*"&amp;A428&amp;"*"</f>
        <v>*1586: Failure To Sense/Pace*</v>
      </c>
      <c r="C428">
        <f>COUNTIF(Monday!I:I, B428)</f>
        <v>0</v>
      </c>
      <c r="D428">
        <f>COUNTIF(Tuesday!I:I, B428)</f>
        <v>0</v>
      </c>
      <c r="E428">
        <f>COUNTIF(Wednesday!I:I, B428)</f>
        <v>0</v>
      </c>
      <c r="F428">
        <f>COUNTIF(Thursday!I:I, B428)</f>
        <v>0</v>
      </c>
      <c r="G428">
        <f>COUNTIF(Friday!I:I, B428)</f>
        <v>0</v>
      </c>
      <c r="H428">
        <f>SUM(C428:G428)</f>
        <v>0</v>
      </c>
    </row>
    <row r="429" spans="1:8" x14ac:dyDescent="0.25">
      <c r="A429" s="5" t="s">
        <v>421</v>
      </c>
      <c r="B429" t="str">
        <f>"*"&amp;A429&amp;"*"</f>
        <v>*1660: Handle Leak*</v>
      </c>
      <c r="C429">
        <f>COUNTIF(Monday!I:I, B429)</f>
        <v>0</v>
      </c>
      <c r="D429">
        <f>COUNTIF(Tuesday!I:I, B429)</f>
        <v>0</v>
      </c>
      <c r="E429">
        <f>COUNTIF(Wednesday!I:I, B429)</f>
        <v>0</v>
      </c>
      <c r="F429">
        <f>COUNTIF(Thursday!I:I, B429)</f>
        <v>0</v>
      </c>
      <c r="G429">
        <f>COUNTIF(Friday!I:I, B429)</f>
        <v>0</v>
      </c>
      <c r="H429">
        <f>SUM(C429:G429)</f>
        <v>0</v>
      </c>
    </row>
    <row r="430" spans="1:8" x14ac:dyDescent="0.25">
      <c r="A430" s="5" t="s">
        <v>422</v>
      </c>
      <c r="B430" t="str">
        <f>"*"&amp;A430&amp;"*"</f>
        <v>*1689: Inaccurate Mapping*</v>
      </c>
      <c r="C430">
        <f>COUNTIF(Monday!I:I, B430)</f>
        <v>0</v>
      </c>
      <c r="D430">
        <f>COUNTIF(Tuesday!I:I, B430)</f>
        <v>0</v>
      </c>
      <c r="E430">
        <f>COUNTIF(Wednesday!I:I, B430)</f>
        <v>0</v>
      </c>
      <c r="F430">
        <f>COUNTIF(Thursday!I:I, B430)</f>
        <v>0</v>
      </c>
      <c r="G430">
        <f>COUNTIF(Friday!I:I, B430)</f>
        <v>0</v>
      </c>
      <c r="H430">
        <f>SUM(C430:G430)</f>
        <v>0</v>
      </c>
    </row>
    <row r="431" spans="1:8" x14ac:dyDescent="0.25">
      <c r="A431" s="5" t="s">
        <v>423</v>
      </c>
      <c r="B431" t="str">
        <f>"*"&amp;A431&amp;"*"</f>
        <v>*1776: Leak*</v>
      </c>
      <c r="C431">
        <f>COUNTIF(Monday!I:I, B431)</f>
        <v>0</v>
      </c>
      <c r="D431">
        <f>COUNTIF(Tuesday!I:I, B431)</f>
        <v>0</v>
      </c>
      <c r="E431">
        <f>COUNTIF(Wednesday!I:I, B431)</f>
        <v>0</v>
      </c>
      <c r="F431">
        <f>COUNTIF(Thursday!I:I, B431)</f>
        <v>0</v>
      </c>
      <c r="G431">
        <f>COUNTIF(Friday!I:I, B431)</f>
        <v>0</v>
      </c>
      <c r="H431">
        <f>SUM(C431:G431)</f>
        <v>0</v>
      </c>
    </row>
    <row r="432" spans="1:8" x14ac:dyDescent="0.25">
      <c r="A432" s="5" t="s">
        <v>424</v>
      </c>
      <c r="B432" t="str">
        <f>"*"&amp;A432&amp;"*"</f>
        <v>*3006: Visible Blood/Discoloration in Tip Region*</v>
      </c>
      <c r="C432">
        <f>COUNTIF(Monday!I:I, B432)</f>
        <v>0</v>
      </c>
      <c r="D432">
        <f>COUNTIF(Tuesday!I:I, B432)</f>
        <v>0</v>
      </c>
      <c r="E432">
        <f>COUNTIF(Wednesday!I:I, B432)</f>
        <v>0</v>
      </c>
      <c r="F432">
        <f>COUNTIF(Thursday!I:I, B432)</f>
        <v>0</v>
      </c>
      <c r="G432">
        <f>COUNTIF(Friday!I:I, B432)</f>
        <v>0</v>
      </c>
      <c r="H432">
        <f>SUM(C432:G432)</f>
        <v>0</v>
      </c>
    </row>
    <row r="433" spans="1:8" x14ac:dyDescent="0.25">
      <c r="A433" s="5" t="s">
        <v>425</v>
      </c>
      <c r="B433" t="str">
        <f>"*"&amp;A433&amp;"*"</f>
        <v>*1763: Kinked*</v>
      </c>
      <c r="C433">
        <f>COUNTIF(Monday!I:I, B433)</f>
        <v>0</v>
      </c>
      <c r="D433">
        <f>COUNTIF(Tuesday!I:I, B433)</f>
        <v>0</v>
      </c>
      <c r="E433">
        <f>COUNTIF(Wednesday!I:I, B433)</f>
        <v>0</v>
      </c>
      <c r="F433">
        <f>COUNTIF(Thursday!I:I, B433)</f>
        <v>0</v>
      </c>
      <c r="G433">
        <f>COUNTIF(Friday!I:I, B433)</f>
        <v>0</v>
      </c>
      <c r="H433">
        <f>SUM(C433:G433)</f>
        <v>0</v>
      </c>
    </row>
    <row r="434" spans="1:8" x14ac:dyDescent="0.25">
      <c r="A434" s="5" t="s">
        <v>426</v>
      </c>
      <c r="B434" t="str">
        <f>"*"&amp;A434&amp;"*"</f>
        <v>*2399: Tears/Rips/Holes/Sep Dev Matrl*</v>
      </c>
      <c r="C434">
        <f>COUNTIF(Monday!I:I, B434)</f>
        <v>0</v>
      </c>
      <c r="D434">
        <f>COUNTIF(Tuesday!I:I, B434)</f>
        <v>0</v>
      </c>
      <c r="E434">
        <f>COUNTIF(Wednesday!I:I, B434)</f>
        <v>0</v>
      </c>
      <c r="F434">
        <f>COUNTIF(Thursday!I:I, B434)</f>
        <v>0</v>
      </c>
      <c r="G434">
        <f>COUNTIF(Friday!I:I, B434)</f>
        <v>0</v>
      </c>
      <c r="H434">
        <f>SUM(C434:G434)</f>
        <v>0</v>
      </c>
    </row>
    <row r="435" spans="1:8" x14ac:dyDescent="0.25">
      <c r="A435" s="5" t="s">
        <v>427</v>
      </c>
      <c r="B435" t="str">
        <f>"*"&amp;A435&amp;"*"</f>
        <v>*1029: Bent*</v>
      </c>
      <c r="C435">
        <f>COUNTIF(Monday!I:I, B435)</f>
        <v>0</v>
      </c>
      <c r="D435">
        <f>COUNTIF(Tuesday!I:I, B435)</f>
        <v>0</v>
      </c>
      <c r="E435">
        <f>COUNTIF(Wednesday!I:I, B435)</f>
        <v>0</v>
      </c>
      <c r="F435">
        <f>COUNTIF(Thursday!I:I, B435)</f>
        <v>0</v>
      </c>
      <c r="G435">
        <f>COUNTIF(Friday!I:I, B435)</f>
        <v>0</v>
      </c>
      <c r="H435">
        <f>SUM(C435:G435)</f>
        <v>0</v>
      </c>
    </row>
    <row r="436" spans="1:8" x14ac:dyDescent="0.25">
      <c r="A436" s="5" t="s">
        <v>428</v>
      </c>
      <c r="B436" t="str">
        <f>"*"&amp;A436&amp;"*"</f>
        <v>*1026: Bad/Poor Curve*</v>
      </c>
      <c r="C436">
        <f>COUNTIF(Monday!I:I, B436)</f>
        <v>0</v>
      </c>
      <c r="D436">
        <f>COUNTIF(Tuesday!I:I, B436)</f>
        <v>0</v>
      </c>
      <c r="E436">
        <f>COUNTIF(Wednesday!I:I, B436)</f>
        <v>0</v>
      </c>
      <c r="F436">
        <f>COUNTIF(Thursday!I:I, B436)</f>
        <v>0</v>
      </c>
      <c r="G436">
        <f>COUNTIF(Friday!I:I, B436)</f>
        <v>0</v>
      </c>
      <c r="H436">
        <f>SUM(C436:G436)</f>
        <v>0</v>
      </c>
    </row>
    <row r="437" spans="1:8" x14ac:dyDescent="0.25">
      <c r="A437" s="5" t="s">
        <v>429</v>
      </c>
      <c r="B437" t="str">
        <f>"*"&amp;A437&amp;"*"</f>
        <v>*1156: Curve/Out Of Plane*</v>
      </c>
      <c r="C437">
        <f>COUNTIF(Monday!I:I, B437)</f>
        <v>0</v>
      </c>
      <c r="D437">
        <f>COUNTIF(Tuesday!I:I, B437)</f>
        <v>0</v>
      </c>
      <c r="E437">
        <f>COUNTIF(Wednesday!I:I, B437)</f>
        <v>0</v>
      </c>
      <c r="F437">
        <f>COUNTIF(Thursday!I:I, B437)</f>
        <v>0</v>
      </c>
      <c r="G437">
        <f>COUNTIF(Friday!I:I, B437)</f>
        <v>0</v>
      </c>
      <c r="H437">
        <f>SUM(C437:G437)</f>
        <v>0</v>
      </c>
    </row>
    <row r="438" spans="1:8" x14ac:dyDescent="0.25">
      <c r="A438" s="5" t="s">
        <v>430</v>
      </c>
      <c r="B438" t="str">
        <f>"*"&amp;A438&amp;"*"</f>
        <v>*1174: Deformed/Flattened Tubing*</v>
      </c>
      <c r="C438">
        <f>COUNTIF(Monday!I:I, B438)</f>
        <v>0</v>
      </c>
      <c r="D438">
        <f>COUNTIF(Tuesday!I:I, B438)</f>
        <v>0</v>
      </c>
      <c r="E438">
        <f>COUNTIF(Wednesday!I:I, B438)</f>
        <v>0</v>
      </c>
      <c r="F438">
        <f>COUNTIF(Thursday!I:I, B438)</f>
        <v>0</v>
      </c>
      <c r="G438">
        <f>COUNTIF(Friday!I:I, B438)</f>
        <v>0</v>
      </c>
      <c r="H438">
        <f>SUM(C438:G438)</f>
        <v>0</v>
      </c>
    </row>
    <row r="439" spans="1:8" x14ac:dyDescent="0.25">
      <c r="A439" s="5" t="s">
        <v>431</v>
      </c>
      <c r="B439" t="str">
        <f>"*"&amp;A439&amp;"*"</f>
        <v>*1331: Difficult To Move/Steer*</v>
      </c>
      <c r="C439">
        <f>COUNTIF(Monday!I:I, B439)</f>
        <v>0</v>
      </c>
      <c r="D439">
        <f>COUNTIF(Tuesday!I:I, B439)</f>
        <v>0</v>
      </c>
      <c r="E439">
        <f>COUNTIF(Wednesday!I:I, B439)</f>
        <v>0</v>
      </c>
      <c r="F439">
        <f>COUNTIF(Thursday!I:I, B439)</f>
        <v>0</v>
      </c>
      <c r="G439">
        <f>COUNTIF(Friday!I:I, B439)</f>
        <v>0</v>
      </c>
      <c r="H439">
        <f>SUM(C439:G439)</f>
        <v>0</v>
      </c>
    </row>
    <row r="440" spans="1:8" x14ac:dyDescent="0.25">
      <c r="A440" s="5" t="s">
        <v>432</v>
      </c>
      <c r="B440" t="str">
        <f>"*"&amp;A440&amp;"*"</f>
        <v>*2129: Not Enough Curve*</v>
      </c>
      <c r="C440">
        <f>COUNTIF(Monday!I:I, B440)</f>
        <v>0</v>
      </c>
      <c r="D440">
        <f>COUNTIF(Tuesday!I:I, B440)</f>
        <v>0</v>
      </c>
      <c r="E440">
        <f>COUNTIF(Wednesday!I:I, B440)</f>
        <v>0</v>
      </c>
      <c r="F440">
        <f>COUNTIF(Thursday!I:I, B440)</f>
        <v>0</v>
      </c>
      <c r="G440">
        <f>COUNTIF(Friday!I:I, B440)</f>
        <v>0</v>
      </c>
      <c r="H440">
        <f>SUM(C440:G440)</f>
        <v>0</v>
      </c>
    </row>
    <row r="441" spans="1:8" x14ac:dyDescent="0.25">
      <c r="A441" s="5" t="s">
        <v>433</v>
      </c>
      <c r="B441" t="str">
        <f>"*"&amp;A441&amp;"*"</f>
        <v>*2440: Uni-Directional Curve Only*</v>
      </c>
      <c r="C441">
        <f>COUNTIF(Monday!I:I, B441)</f>
        <v>0</v>
      </c>
      <c r="D441">
        <f>COUNTIF(Tuesday!I:I, B441)</f>
        <v>0</v>
      </c>
      <c r="E441">
        <f>COUNTIF(Wednesday!I:I, B441)</f>
        <v>0</v>
      </c>
      <c r="F441">
        <f>COUNTIF(Thursday!I:I, B441)</f>
        <v>0</v>
      </c>
      <c r="G441">
        <f>COUNTIF(Friday!I:I, B441)</f>
        <v>0</v>
      </c>
      <c r="H441">
        <f>SUM(C441:G441)</f>
        <v>0</v>
      </c>
    </row>
    <row r="442" spans="1:8" x14ac:dyDescent="0.25">
      <c r="A442" s="5" t="s">
        <v>434</v>
      </c>
      <c r="B442" t="str">
        <f>"*"&amp;A442&amp;"*"</f>
        <v>*2604: Stuck In Articulated Position*</v>
      </c>
      <c r="C442">
        <f>COUNTIF(Monday!I:I, B442)</f>
        <v>0</v>
      </c>
      <c r="D442">
        <f>COUNTIF(Tuesday!I:I, B442)</f>
        <v>0</v>
      </c>
      <c r="E442">
        <f>COUNTIF(Wednesday!I:I, B442)</f>
        <v>0</v>
      </c>
      <c r="F442">
        <f>COUNTIF(Thursday!I:I, B442)</f>
        <v>0</v>
      </c>
      <c r="G442">
        <f>COUNTIF(Friday!I:I, B442)</f>
        <v>0</v>
      </c>
      <c r="H442">
        <f>SUM(C442:G442)</f>
        <v>0</v>
      </c>
    </row>
    <row r="443" spans="1:8" x14ac:dyDescent="0.25">
      <c r="A443" s="5" t="s">
        <v>435</v>
      </c>
      <c r="B443" t="str">
        <f>"*"&amp;A443&amp;"*"</f>
        <v>*1831: Material Twisted*</v>
      </c>
      <c r="C443">
        <f>COUNTIF(Monday!I:I, B443)</f>
        <v>0</v>
      </c>
      <c r="D443">
        <f>COUNTIF(Tuesday!I:I, B443)</f>
        <v>0</v>
      </c>
      <c r="E443">
        <f>COUNTIF(Wednesday!I:I, B443)</f>
        <v>0</v>
      </c>
      <c r="F443">
        <f>COUNTIF(Thursday!I:I, B443)</f>
        <v>0</v>
      </c>
      <c r="G443">
        <f>COUNTIF(Friday!I:I, B443)</f>
        <v>0</v>
      </c>
      <c r="H443">
        <f>SUM(C443:G443)</f>
        <v>0</v>
      </c>
    </row>
    <row r="444" spans="1:8" x14ac:dyDescent="0.25">
      <c r="A444" s="5" t="s">
        <v>436</v>
      </c>
      <c r="B444" t="str">
        <f>"*"&amp;A444&amp;"*"</f>
        <v>*1816: Material Deformation*</v>
      </c>
      <c r="C444">
        <f>COUNTIF(Monday!I:I, B444)</f>
        <v>0</v>
      </c>
      <c r="D444">
        <f>COUNTIF(Tuesday!I:I, B444)</f>
        <v>0</v>
      </c>
      <c r="E444">
        <f>COUNTIF(Wednesday!I:I, B444)</f>
        <v>0</v>
      </c>
      <c r="F444">
        <f>COUNTIF(Thursday!I:I, B444)</f>
        <v>0</v>
      </c>
      <c r="G444">
        <f>COUNTIF(Friday!I:I, B444)</f>
        <v>0</v>
      </c>
      <c r="H444">
        <f>SUM(C444:G444)</f>
        <v>0</v>
      </c>
    </row>
    <row r="445" spans="1:8" x14ac:dyDescent="0.25">
      <c r="A445" s="5" t="s">
        <v>437</v>
      </c>
      <c r="B445" t="str">
        <f>"*"&amp;A445&amp;"*"</f>
        <v>*1383: Difficult/Failure To Attach Catheter*</v>
      </c>
      <c r="C445">
        <f>COUNTIF(Monday!I:I, B445)</f>
        <v>0</v>
      </c>
      <c r="D445">
        <f>COUNTIF(Tuesday!I:I, B445)</f>
        <v>0</v>
      </c>
      <c r="E445">
        <f>COUNTIF(Wednesday!I:I, B445)</f>
        <v>0</v>
      </c>
      <c r="F445">
        <f>COUNTIF(Thursday!I:I, B445)</f>
        <v>0</v>
      </c>
      <c r="G445">
        <f>COUNTIF(Friday!I:I, B445)</f>
        <v>0</v>
      </c>
      <c r="H445">
        <f>SUM(C445:G445)</f>
        <v>0</v>
      </c>
    </row>
    <row r="446" spans="1:8" x14ac:dyDescent="0.25">
      <c r="A446" s="5" t="s">
        <v>438</v>
      </c>
      <c r="B446" t="str">
        <f>"*"&amp;A446&amp;"*"</f>
        <v>*1443: Electrical Problem (BK-002)*</v>
      </c>
      <c r="C446">
        <f>COUNTIF(Monday!I:I, B446)</f>
        <v>0</v>
      </c>
      <c r="D446">
        <f>COUNTIF(Tuesday!I:I, B446)</f>
        <v>0</v>
      </c>
      <c r="E446">
        <f>COUNTIF(Wednesday!I:I, B446)</f>
        <v>0</v>
      </c>
      <c r="F446">
        <f>COUNTIF(Thursday!I:I, B446)</f>
        <v>0</v>
      </c>
      <c r="G446">
        <f>COUNTIF(Friday!I:I, B446)</f>
        <v>0</v>
      </c>
      <c r="H446">
        <f>SUM(C446:G446)</f>
        <v>0</v>
      </c>
    </row>
    <row r="447" spans="1:8" x14ac:dyDescent="0.25">
      <c r="A447" s="5" t="s">
        <v>439</v>
      </c>
      <c r="B447" t="str">
        <f>"*"&amp;A447&amp;"*"</f>
        <v>*1475: Failure To Ablate*</v>
      </c>
      <c r="C447">
        <f>COUNTIF(Monday!I:I, B447)</f>
        <v>0</v>
      </c>
      <c r="D447">
        <f>COUNTIF(Tuesday!I:I, B447)</f>
        <v>0</v>
      </c>
      <c r="E447">
        <f>COUNTIF(Wednesday!I:I, B447)</f>
        <v>0</v>
      </c>
      <c r="F447">
        <f>COUNTIF(Thursday!I:I, B447)</f>
        <v>0</v>
      </c>
      <c r="G447">
        <f>COUNTIF(Friday!I:I, B447)</f>
        <v>0</v>
      </c>
      <c r="H447">
        <f>SUM(C447:G447)</f>
        <v>0</v>
      </c>
    </row>
    <row r="448" spans="1:8" x14ac:dyDescent="0.25">
      <c r="A448" s="5" t="s">
        <v>440</v>
      </c>
      <c r="B448" t="str">
        <f>"*"&amp;A448&amp;"*"</f>
        <v>*2029: Message - Signal Error*</v>
      </c>
      <c r="C448">
        <f>COUNTIF(Monday!I:I, B448)</f>
        <v>0</v>
      </c>
      <c r="D448">
        <f>COUNTIF(Tuesday!I:I, B448)</f>
        <v>0</v>
      </c>
      <c r="E448">
        <f>COUNTIF(Wednesday!I:I, B448)</f>
        <v>0</v>
      </c>
      <c r="F448">
        <f>COUNTIF(Thursday!I:I, B448)</f>
        <v>0</v>
      </c>
      <c r="G448">
        <f>COUNTIF(Friday!I:I, B448)</f>
        <v>0</v>
      </c>
      <c r="H448">
        <f>SUM(C448:G448)</f>
        <v>0</v>
      </c>
    </row>
    <row r="449" spans="1:8" x14ac:dyDescent="0.25">
      <c r="A449" s="5" t="s">
        <v>441</v>
      </c>
      <c r="B449" t="str">
        <f>"*"&amp;A449&amp;"*"</f>
        <v>*2122: Noisy Electrogram*</v>
      </c>
      <c r="C449">
        <f>COUNTIF(Monday!I:I, B449)</f>
        <v>0</v>
      </c>
      <c r="D449">
        <f>COUNTIF(Tuesday!I:I, B449)</f>
        <v>0</v>
      </c>
      <c r="E449">
        <f>COUNTIF(Wednesday!I:I, B449)</f>
        <v>0</v>
      </c>
      <c r="F449">
        <f>COUNTIF(Thursday!I:I, B449)</f>
        <v>0</v>
      </c>
      <c r="G449">
        <f>COUNTIF(Friday!I:I, B449)</f>
        <v>0</v>
      </c>
      <c r="H449">
        <f>SUM(C449:G449)</f>
        <v>0</v>
      </c>
    </row>
    <row r="450" spans="1:8" x14ac:dyDescent="0.25">
      <c r="A450" s="5" t="s">
        <v>442</v>
      </c>
      <c r="B450" t="str">
        <f>"*"&amp;A450&amp;"*"</f>
        <v>*2323: Short Circuit*</v>
      </c>
      <c r="C450">
        <f>COUNTIF(Monday!I:I, B450)</f>
        <v>0</v>
      </c>
      <c r="D450">
        <f>COUNTIF(Tuesday!I:I, B450)</f>
        <v>0</v>
      </c>
      <c r="E450">
        <f>COUNTIF(Wednesday!I:I, B450)</f>
        <v>0</v>
      </c>
      <c r="F450">
        <f>COUNTIF(Thursday!I:I, B450)</f>
        <v>0</v>
      </c>
      <c r="G450">
        <f>COUNTIF(Friday!I:I, B450)</f>
        <v>0</v>
      </c>
      <c r="H450">
        <f>SUM(C450:G450)</f>
        <v>0</v>
      </c>
    </row>
    <row r="451" spans="1:8" x14ac:dyDescent="0.25">
      <c r="A451" s="5" t="s">
        <v>443</v>
      </c>
      <c r="B451" t="str">
        <f>"*"&amp;A451&amp;"*"</f>
        <v>*2714: Steam Pop*</v>
      </c>
      <c r="C451">
        <f>COUNTIF(Monday!I:I, B451)</f>
        <v>0</v>
      </c>
      <c r="D451">
        <f>COUNTIF(Tuesday!I:I, B451)</f>
        <v>0</v>
      </c>
      <c r="E451">
        <f>COUNTIF(Wednesday!I:I, B451)</f>
        <v>0</v>
      </c>
      <c r="F451">
        <f>COUNTIF(Thursday!I:I, B451)</f>
        <v>0</v>
      </c>
      <c r="G451">
        <f>COUNTIF(Friday!I:I, B451)</f>
        <v>0</v>
      </c>
      <c r="H451">
        <f>SUM(C451:G451)</f>
        <v>0</v>
      </c>
    </row>
    <row r="452" spans="1:8" x14ac:dyDescent="0.25">
      <c r="A452" s="5" t="s">
        <v>444</v>
      </c>
      <c r="B452" t="str">
        <f>"*"&amp;A452&amp;"*"</f>
        <v>*1646: Glue Lifting/Peeling Off*</v>
      </c>
      <c r="C452">
        <f>COUNTIF(Monday!I:I, B452)</f>
        <v>0</v>
      </c>
      <c r="D452">
        <f>COUNTIF(Tuesday!I:I, B452)</f>
        <v>0</v>
      </c>
      <c r="E452">
        <f>COUNTIF(Wednesday!I:I, B452)</f>
        <v>0</v>
      </c>
      <c r="F452">
        <f>COUNTIF(Thursday!I:I, B452)</f>
        <v>0</v>
      </c>
      <c r="G452">
        <f>COUNTIF(Friday!I:I, B452)</f>
        <v>0</v>
      </c>
      <c r="H452">
        <f>SUM(C452:G452)</f>
        <v>0</v>
      </c>
    </row>
    <row r="453" spans="1:8" x14ac:dyDescent="0.25">
      <c r="A453" s="5" t="s">
        <v>445</v>
      </c>
      <c r="B453" t="str">
        <f>"*"&amp;A453&amp;"*"</f>
        <v>*1500: Failure To Connect*</v>
      </c>
      <c r="C453">
        <f>COUNTIF(Monday!I:I, B453)</f>
        <v>0</v>
      </c>
      <c r="D453">
        <f>COUNTIF(Tuesday!I:I, B453)</f>
        <v>0</v>
      </c>
      <c r="E453">
        <f>COUNTIF(Wednesday!I:I, B453)</f>
        <v>0</v>
      </c>
      <c r="F453">
        <f>COUNTIF(Thursday!I:I, B453)</f>
        <v>0</v>
      </c>
      <c r="G453">
        <f>COUNTIF(Friday!I:I, B453)</f>
        <v>0</v>
      </c>
      <c r="H453">
        <f>SUM(C453:G453)</f>
        <v>0</v>
      </c>
    </row>
    <row r="454" spans="1:8" x14ac:dyDescent="0.25">
      <c r="A454" s="5" t="s">
        <v>446</v>
      </c>
      <c r="B454" t="str">
        <f>"*"&amp;A454&amp;"*"</f>
        <v>*1153: Crack*</v>
      </c>
      <c r="C454">
        <f>COUNTIF(Monday!I:I, B454)</f>
        <v>0</v>
      </c>
      <c r="D454">
        <f>COUNTIF(Tuesday!I:I, B454)</f>
        <v>0</v>
      </c>
      <c r="E454">
        <f>COUNTIF(Wednesday!I:I, B454)</f>
        <v>0</v>
      </c>
      <c r="F454">
        <f>COUNTIF(Thursday!I:I, B454)</f>
        <v>0</v>
      </c>
      <c r="G454">
        <f>COUNTIF(Friday!I:I, B454)</f>
        <v>0</v>
      </c>
      <c r="H454">
        <f>SUM(C454:G454)</f>
        <v>0</v>
      </c>
    </row>
    <row r="455" spans="1:8" x14ac:dyDescent="0.25">
      <c r="A455" s="5" t="s">
        <v>447</v>
      </c>
      <c r="B455" t="str">
        <f>"*"&amp;A455&amp;"*"</f>
        <v>*1530: Failure To Hold Curve W/Tension Knob*</v>
      </c>
      <c r="C455">
        <f>COUNTIF(Monday!I:I, B455)</f>
        <v>0</v>
      </c>
      <c r="D455">
        <f>COUNTIF(Tuesday!I:I, B455)</f>
        <v>0</v>
      </c>
      <c r="E455">
        <f>COUNTIF(Wednesday!I:I, B455)</f>
        <v>0</v>
      </c>
      <c r="F455">
        <f>COUNTIF(Thursday!I:I, B455)</f>
        <v>0</v>
      </c>
      <c r="G455">
        <f>COUNTIF(Friday!I:I, B455)</f>
        <v>0</v>
      </c>
      <c r="H455">
        <f>SUM(C455:G455)</f>
        <v>0</v>
      </c>
    </row>
    <row r="456" spans="1:8" x14ac:dyDescent="0.25">
      <c r="A456" s="5" t="s">
        <v>448</v>
      </c>
      <c r="B456" t="str">
        <f>"*"&amp;A456&amp;"*"</f>
        <v>*1661: Handle Problem*</v>
      </c>
      <c r="C456">
        <f>COUNTIF(Monday!I:I, B456)</f>
        <v>0</v>
      </c>
      <c r="D456">
        <f>COUNTIF(Tuesday!I:I, B456)</f>
        <v>0</v>
      </c>
      <c r="E456">
        <f>COUNTIF(Wednesday!I:I, B456)</f>
        <v>0</v>
      </c>
      <c r="F456">
        <f>COUNTIF(Thursday!I:I, B456)</f>
        <v>0</v>
      </c>
      <c r="G456">
        <f>COUNTIF(Friday!I:I, B456)</f>
        <v>0</v>
      </c>
      <c r="H456">
        <f>SUM(C456:G456)</f>
        <v>0</v>
      </c>
    </row>
    <row r="457" spans="1:8" x14ac:dyDescent="0.25">
      <c r="A457" s="5" t="s">
        <v>449</v>
      </c>
      <c r="B457" t="str">
        <f>"*"&amp;A457&amp;"*"</f>
        <v>*2347: Steering Knob Bond/Weld Failure*</v>
      </c>
      <c r="C457">
        <f>COUNTIF(Monday!I:I, B457)</f>
        <v>0</v>
      </c>
      <c r="D457">
        <f>COUNTIF(Tuesday!I:I, B457)</f>
        <v>0</v>
      </c>
      <c r="E457">
        <f>COUNTIF(Wednesday!I:I, B457)</f>
        <v>0</v>
      </c>
      <c r="F457">
        <f>COUNTIF(Thursday!I:I, B457)</f>
        <v>0</v>
      </c>
      <c r="G457">
        <f>COUNTIF(Friday!I:I, B457)</f>
        <v>0</v>
      </c>
      <c r="H457">
        <f>SUM(C457:G457)</f>
        <v>0</v>
      </c>
    </row>
    <row r="458" spans="1:8" x14ac:dyDescent="0.25">
      <c r="A458" s="5" t="s">
        <v>450</v>
      </c>
      <c r="B458" t="str">
        <f>"*"&amp;A458&amp;"*"</f>
        <v>*2197: Perivac Problems*</v>
      </c>
      <c r="C458">
        <f>COUNTIF(Monday!I:I, B458)</f>
        <v>0</v>
      </c>
      <c r="D458">
        <f>COUNTIF(Tuesday!I:I, B458)</f>
        <v>0</v>
      </c>
      <c r="E458">
        <f>COUNTIF(Wednesday!I:I, B458)</f>
        <v>0</v>
      </c>
      <c r="F458">
        <f>COUNTIF(Thursday!I:I, B458)</f>
        <v>0</v>
      </c>
      <c r="G458">
        <f>COUNTIF(Friday!I:I, B458)</f>
        <v>0</v>
      </c>
      <c r="H458">
        <f>SUM(C458:G458)</f>
        <v>0</v>
      </c>
    </row>
    <row r="459" spans="1:8" x14ac:dyDescent="0.25">
      <c r="A459" s="5" t="s">
        <v>451</v>
      </c>
      <c r="B459" t="str">
        <f>"*"&amp;A459&amp;"*"</f>
        <v>*1559: Failure To Reach Location*</v>
      </c>
      <c r="C459">
        <f>COUNTIF(Monday!I:I, B459)</f>
        <v>0</v>
      </c>
      <c r="D459">
        <f>COUNTIF(Tuesday!I:I, B459)</f>
        <v>0</v>
      </c>
      <c r="E459">
        <f>COUNTIF(Wednesday!I:I, B459)</f>
        <v>0</v>
      </c>
      <c r="F459">
        <f>COUNTIF(Thursday!I:I, B459)</f>
        <v>0</v>
      </c>
      <c r="G459">
        <f>COUNTIF(Friday!I:I, B459)</f>
        <v>0</v>
      </c>
      <c r="H459">
        <f>SUM(C459:G459)</f>
        <v>0</v>
      </c>
    </row>
    <row r="460" spans="1:8" x14ac:dyDescent="0.25">
      <c r="A460" s="5" t="s">
        <v>452</v>
      </c>
      <c r="B460" t="str">
        <f>"*"&amp;A460&amp;"*"</f>
        <v>*1086: Cath-Poor Temperature Control*</v>
      </c>
      <c r="C460">
        <f>COUNTIF(Monday!I:I, B460)</f>
        <v>0</v>
      </c>
      <c r="D460">
        <f>COUNTIF(Tuesday!I:I, B460)</f>
        <v>0</v>
      </c>
      <c r="E460">
        <f>COUNTIF(Wednesday!I:I, B460)</f>
        <v>0</v>
      </c>
      <c r="F460">
        <f>COUNTIF(Thursday!I:I, B460)</f>
        <v>0</v>
      </c>
      <c r="G460">
        <f>COUNTIF(Friday!I:I, B460)</f>
        <v>0</v>
      </c>
      <c r="H460">
        <f>SUM(C460:G460)</f>
        <v>0</v>
      </c>
    </row>
    <row r="461" spans="1:8" x14ac:dyDescent="0.25">
      <c r="A461" s="5" t="s">
        <v>453</v>
      </c>
      <c r="B461" t="str">
        <f>"*"&amp;A461&amp;"*"</f>
        <v>*1087: Cath-Poor Temperature Control - Higher Than Expected*</v>
      </c>
      <c r="C461">
        <f>COUNTIF(Monday!I:I, B461)</f>
        <v>0</v>
      </c>
      <c r="D461">
        <f>COUNTIF(Tuesday!I:I, B461)</f>
        <v>0</v>
      </c>
      <c r="E461">
        <f>COUNTIF(Wednesday!I:I, B461)</f>
        <v>0</v>
      </c>
      <c r="F461">
        <f>COUNTIF(Thursday!I:I, B461)</f>
        <v>0</v>
      </c>
      <c r="G461">
        <f>COUNTIF(Friday!I:I, B461)</f>
        <v>0</v>
      </c>
      <c r="H461">
        <f>SUM(C461:G461)</f>
        <v>0</v>
      </c>
    </row>
    <row r="462" spans="1:8" x14ac:dyDescent="0.25">
      <c r="A462" s="5" t="s">
        <v>454</v>
      </c>
      <c r="B462" t="str">
        <f>"*"&amp;A462&amp;"*"</f>
        <v>*1088: Cath-Poor Temperature Control - Lower Than Expected*</v>
      </c>
      <c r="C462">
        <f>COUNTIF(Monday!I:I, B462)</f>
        <v>0</v>
      </c>
      <c r="D462">
        <f>COUNTIF(Tuesday!I:I, B462)</f>
        <v>0</v>
      </c>
      <c r="E462">
        <f>COUNTIF(Wednesday!I:I, B462)</f>
        <v>0</v>
      </c>
      <c r="F462">
        <f>COUNTIF(Thursday!I:I, B462)</f>
        <v>0</v>
      </c>
      <c r="G462">
        <f>COUNTIF(Friday!I:I, B462)</f>
        <v>0</v>
      </c>
      <c r="H462">
        <f>SUM(C462:G462)</f>
        <v>0</v>
      </c>
    </row>
    <row r="463" spans="1:8" x14ac:dyDescent="0.25">
      <c r="A463" s="5" t="s">
        <v>455</v>
      </c>
      <c r="B463" t="str">
        <f>"*"&amp;A463&amp;"*"</f>
        <v>*2309: Sharp Edges/Burrs/Scratches*</v>
      </c>
      <c r="C463">
        <f>COUNTIF(Monday!I:I, B463)</f>
        <v>0</v>
      </c>
      <c r="D463">
        <f>COUNTIF(Tuesday!I:I, B463)</f>
        <v>0</v>
      </c>
      <c r="E463">
        <f>COUNTIF(Wednesday!I:I, B463)</f>
        <v>0</v>
      </c>
      <c r="F463">
        <f>COUNTIF(Thursday!I:I, B463)</f>
        <v>0</v>
      </c>
      <c r="G463">
        <f>COUNTIF(Friday!I:I, B463)</f>
        <v>0</v>
      </c>
      <c r="H463">
        <f>SUM(C463:G463)</f>
        <v>0</v>
      </c>
    </row>
    <row r="464" spans="1:8" x14ac:dyDescent="0.25">
      <c r="A464" s="5" t="s">
        <v>456</v>
      </c>
      <c r="B464" t="str">
        <f>"*"&amp;A464&amp;"*"</f>
        <v>*1625: Fluid Leak*</v>
      </c>
      <c r="C464">
        <f>COUNTIF(Monday!I:I, B464)</f>
        <v>0</v>
      </c>
      <c r="D464">
        <f>COUNTIF(Tuesday!I:I, B464)</f>
        <v>0</v>
      </c>
      <c r="E464">
        <f>COUNTIF(Wednesday!I:I, B464)</f>
        <v>0</v>
      </c>
      <c r="F464">
        <f>COUNTIF(Thursday!I:I, B464)</f>
        <v>0</v>
      </c>
      <c r="G464">
        <f>COUNTIF(Friday!I:I, B464)</f>
        <v>0</v>
      </c>
      <c r="H464">
        <f>SUM(C464:G464)</f>
        <v>0</v>
      </c>
    </row>
    <row r="465" spans="1:8" x14ac:dyDescent="0.25">
      <c r="A465" s="5" t="s">
        <v>457</v>
      </c>
      <c r="B465" t="str">
        <f>"*"&amp;A465&amp;"*"</f>
        <v>*1710: Incorrect Component*</v>
      </c>
      <c r="C465">
        <f>COUNTIF(Monday!I:I, B465)</f>
        <v>0</v>
      </c>
      <c r="D465">
        <f>COUNTIF(Tuesday!I:I, B465)</f>
        <v>0</v>
      </c>
      <c r="E465">
        <f>COUNTIF(Wednesday!I:I, B465)</f>
        <v>0</v>
      </c>
      <c r="F465">
        <f>COUNTIF(Thursday!I:I, B465)</f>
        <v>0</v>
      </c>
      <c r="G465">
        <f>COUNTIF(Friday!I:I, B465)</f>
        <v>0</v>
      </c>
      <c r="H465">
        <f>SUM(C465:G465)</f>
        <v>0</v>
      </c>
    </row>
    <row r="466" spans="1:8" x14ac:dyDescent="0.25">
      <c r="A466" s="5" t="s">
        <v>458</v>
      </c>
      <c r="B466" t="str">
        <f>"*"&amp;A466&amp;"*"</f>
        <v>*1735: Insufficient Flow Or Underinfusion*</v>
      </c>
      <c r="C466">
        <f>COUNTIF(Monday!I:I, B466)</f>
        <v>0</v>
      </c>
      <c r="D466">
        <f>COUNTIF(Tuesday!I:I, B466)</f>
        <v>0</v>
      </c>
      <c r="E466">
        <f>COUNTIF(Wednesday!I:I, B466)</f>
        <v>0</v>
      </c>
      <c r="F466">
        <f>COUNTIF(Thursday!I:I, B466)</f>
        <v>0</v>
      </c>
      <c r="G466">
        <f>COUNTIF(Friday!I:I, B466)</f>
        <v>0</v>
      </c>
      <c r="H466">
        <f>SUM(C466:G466)</f>
        <v>0</v>
      </c>
    </row>
    <row r="467" spans="1:8" x14ac:dyDescent="0.25">
      <c r="A467" s="5" t="s">
        <v>459</v>
      </c>
      <c r="B467" t="str">
        <f>"*"&amp;A467&amp;"*"</f>
        <v>*2430: Unable to Purge*</v>
      </c>
      <c r="C467">
        <f>COUNTIF(Monday!I:I, B467)</f>
        <v>0</v>
      </c>
      <c r="D467">
        <f>COUNTIF(Tuesday!I:I, B467)</f>
        <v>0</v>
      </c>
      <c r="E467">
        <f>COUNTIF(Wednesday!I:I, B467)</f>
        <v>0</v>
      </c>
      <c r="F467">
        <f>COUNTIF(Thursday!I:I, B467)</f>
        <v>0</v>
      </c>
      <c r="G467">
        <f>COUNTIF(Friday!I:I, B467)</f>
        <v>0</v>
      </c>
      <c r="H467">
        <f>SUM(C467:G467)</f>
        <v>0</v>
      </c>
    </row>
    <row r="468" spans="1:8" x14ac:dyDescent="0.25">
      <c r="A468" s="5" t="s">
        <v>460</v>
      </c>
      <c r="B468" t="str">
        <f>"*"&amp;A468&amp;"*"</f>
        <v>*3224: Incorrect Wiring*</v>
      </c>
      <c r="C468">
        <f>COUNTIF(Monday!I:I, B468)</f>
        <v>0</v>
      </c>
      <c r="D468">
        <f>COUNTIF(Tuesday!I:I, B468)</f>
        <v>0</v>
      </c>
      <c r="E468">
        <f>COUNTIF(Wednesday!I:I, B468)</f>
        <v>0</v>
      </c>
      <c r="F468">
        <f>COUNTIF(Thursday!I:I, B468)</f>
        <v>0</v>
      </c>
      <c r="G468">
        <f>COUNTIF(Friday!I:I, B468)</f>
        <v>0</v>
      </c>
      <c r="H468">
        <f>SUM(C468:G468)</f>
        <v>0</v>
      </c>
    </row>
    <row r="469" spans="1:8" x14ac:dyDescent="0.25">
      <c r="A469" s="5" t="s">
        <v>461</v>
      </c>
      <c r="B469" t="str">
        <f>"*"&amp;A469&amp;"*"</f>
        <v>*1017: Arcing*</v>
      </c>
      <c r="C469">
        <f>COUNTIF(Monday!I:I, B469)</f>
        <v>0</v>
      </c>
      <c r="D469">
        <f>COUNTIF(Tuesday!I:I, B469)</f>
        <v>0</v>
      </c>
      <c r="E469">
        <f>COUNTIF(Wednesday!I:I, B469)</f>
        <v>0</v>
      </c>
      <c r="F469">
        <f>COUNTIF(Thursday!I:I, B469)</f>
        <v>0</v>
      </c>
      <c r="G469">
        <f>COUNTIF(Friday!I:I, B469)</f>
        <v>0</v>
      </c>
      <c r="H469">
        <f>SUM(C469:G469)</f>
        <v>0</v>
      </c>
    </row>
    <row r="470" spans="1:8" x14ac:dyDescent="0.25">
      <c r="A470" s="5" t="s">
        <v>462</v>
      </c>
      <c r="B470" t="str">
        <f>"*"&amp;A470&amp;"*"</f>
        <v>*1299: Difficult To Deploy*</v>
      </c>
      <c r="C470">
        <f>COUNTIF(Monday!I:I, B470)</f>
        <v>0</v>
      </c>
      <c r="D470">
        <f>COUNTIF(Tuesday!I:I, B470)</f>
        <v>0</v>
      </c>
      <c r="E470">
        <f>COUNTIF(Wednesday!I:I, B470)</f>
        <v>0</v>
      </c>
      <c r="F470">
        <f>COUNTIF(Thursday!I:I, B470)</f>
        <v>0</v>
      </c>
      <c r="G470">
        <f>COUNTIF(Friday!I:I, B470)</f>
        <v>0</v>
      </c>
      <c r="H470">
        <f>SUM(C470:G470)</f>
        <v>0</v>
      </c>
    </row>
    <row r="471" spans="1:8" x14ac:dyDescent="0.25">
      <c r="A471" s="5" t="s">
        <v>463</v>
      </c>
      <c r="B471" t="str">
        <f>"*"&amp;A471&amp;"*"</f>
        <v>*1325: Difficult To Load Wire*</v>
      </c>
      <c r="C471">
        <f>COUNTIF(Monday!I:I, B471)</f>
        <v>0</v>
      </c>
      <c r="D471">
        <f>COUNTIF(Tuesday!I:I, B471)</f>
        <v>0</v>
      </c>
      <c r="E471">
        <f>COUNTIF(Wednesday!I:I, B471)</f>
        <v>0</v>
      </c>
      <c r="F471">
        <f>COUNTIF(Thursday!I:I, B471)</f>
        <v>0</v>
      </c>
      <c r="G471">
        <f>COUNTIF(Friday!I:I, B471)</f>
        <v>0</v>
      </c>
      <c r="H471">
        <f>SUM(C471:G471)</f>
        <v>0</v>
      </c>
    </row>
    <row r="472" spans="1:8" x14ac:dyDescent="0.25">
      <c r="A472" s="5" t="s">
        <v>464</v>
      </c>
      <c r="B472" t="str">
        <f>"*"&amp;A472&amp;"*"</f>
        <v>*1513: Failure To Deploy*</v>
      </c>
      <c r="C472">
        <f>COUNTIF(Monday!I:I, B472)</f>
        <v>0</v>
      </c>
      <c r="D472">
        <f>COUNTIF(Tuesday!I:I, B472)</f>
        <v>0</v>
      </c>
      <c r="E472">
        <f>COUNTIF(Wednesday!I:I, B472)</f>
        <v>0</v>
      </c>
      <c r="F472">
        <f>COUNTIF(Thursday!I:I, B472)</f>
        <v>0</v>
      </c>
      <c r="G472">
        <f>COUNTIF(Friday!I:I, B472)</f>
        <v>0</v>
      </c>
      <c r="H472">
        <f>SUM(C472:G472)</f>
        <v>0</v>
      </c>
    </row>
    <row r="473" spans="1:8" x14ac:dyDescent="0.25">
      <c r="A473" s="5" t="s">
        <v>465</v>
      </c>
      <c r="B473" t="str">
        <f>"*"&amp;A473&amp;"*"</f>
        <v>*2865: Visible Air/Bubbles*</v>
      </c>
      <c r="C473">
        <f>COUNTIF(Monday!I:I, B473)</f>
        <v>0</v>
      </c>
      <c r="D473">
        <f>COUNTIF(Tuesday!I:I, B473)</f>
        <v>0</v>
      </c>
      <c r="E473">
        <f>COUNTIF(Wednesday!I:I, B473)</f>
        <v>0</v>
      </c>
      <c r="F473">
        <f>COUNTIF(Thursday!I:I, B473)</f>
        <v>0</v>
      </c>
      <c r="G473">
        <f>COUNTIF(Friday!I:I, B473)</f>
        <v>0</v>
      </c>
      <c r="H473">
        <f>SUM(C473:G473)</f>
        <v>0</v>
      </c>
    </row>
    <row r="474" spans="1:8" x14ac:dyDescent="0.25">
      <c r="A474" s="5" t="s">
        <v>466</v>
      </c>
      <c r="B474" t="str">
        <f>"*"&amp;A474&amp;"*"</f>
        <v>*3181: Audible Sound During Ablation*</v>
      </c>
      <c r="C474">
        <f>COUNTIF(Monday!I:I, B474)</f>
        <v>0</v>
      </c>
      <c r="D474">
        <f>COUNTIF(Tuesday!I:I, B474)</f>
        <v>0</v>
      </c>
      <c r="E474">
        <f>COUNTIF(Wednesday!I:I, B474)</f>
        <v>0</v>
      </c>
      <c r="F474">
        <f>COUNTIF(Thursday!I:I, B474)</f>
        <v>0</v>
      </c>
      <c r="G474">
        <f>COUNTIF(Friday!I:I, B474)</f>
        <v>0</v>
      </c>
      <c r="H474">
        <f>SUM(C474:G474)</f>
        <v>0</v>
      </c>
    </row>
    <row r="475" spans="1:8" x14ac:dyDescent="0.25">
      <c r="A475" s="5" t="s">
        <v>467</v>
      </c>
      <c r="B475" t="str">
        <f>"*"&amp;A475&amp;"*"</f>
        <v>*3182: Blood Aggregate On Catheter*</v>
      </c>
      <c r="C475">
        <f>COUNTIF(Monday!I:I, B475)</f>
        <v>0</v>
      </c>
      <c r="D475">
        <f>COUNTIF(Tuesday!I:I, B475)</f>
        <v>0</v>
      </c>
      <c r="E475">
        <f>COUNTIF(Wednesday!I:I, B475)</f>
        <v>0</v>
      </c>
      <c r="F475">
        <f>COUNTIF(Thursday!I:I, B475)</f>
        <v>0</v>
      </c>
      <c r="G475">
        <f>COUNTIF(Friday!I:I, B475)</f>
        <v>0</v>
      </c>
      <c r="H475">
        <f>SUM(C475:G475)</f>
        <v>0</v>
      </c>
    </row>
    <row r="476" spans="1:8" x14ac:dyDescent="0.25">
      <c r="A476" s="5" t="s">
        <v>468</v>
      </c>
      <c r="B476" t="str">
        <f>"*"&amp;A476&amp;"*"</f>
        <v>*3228: Spline Bunching*</v>
      </c>
      <c r="C476">
        <f>COUNTIF(Monday!I:I, B476)</f>
        <v>0</v>
      </c>
      <c r="D476">
        <f>COUNTIF(Tuesday!I:I, B476)</f>
        <v>0</v>
      </c>
      <c r="E476">
        <f>COUNTIF(Wednesday!I:I, B476)</f>
        <v>0</v>
      </c>
      <c r="F476">
        <f>COUNTIF(Thursday!I:I, B476)</f>
        <v>0</v>
      </c>
      <c r="G476">
        <f>COUNTIF(Friday!I:I, B476)</f>
        <v>0</v>
      </c>
      <c r="H476">
        <f>SUM(C476:G476)</f>
        <v>0</v>
      </c>
    </row>
    <row r="477" spans="1:8" x14ac:dyDescent="0.25">
      <c r="A477" s="5" t="s">
        <v>469</v>
      </c>
      <c r="B477" t="str">
        <f>"*"&amp;A477&amp;"*"</f>
        <v>*3229: Spline Damaged/Defective*</v>
      </c>
      <c r="C477">
        <f>COUNTIF(Monday!I:I, B477)</f>
        <v>0</v>
      </c>
      <c r="D477">
        <f>COUNTIF(Tuesday!I:I, B477)</f>
        <v>0</v>
      </c>
      <c r="E477">
        <f>COUNTIF(Wednesday!I:I, B477)</f>
        <v>0</v>
      </c>
      <c r="F477">
        <f>COUNTIF(Thursday!I:I, B477)</f>
        <v>0</v>
      </c>
      <c r="G477">
        <f>COUNTIF(Friday!I:I, B477)</f>
        <v>0</v>
      </c>
      <c r="H477">
        <f>SUM(C477:G477)</f>
        <v>0</v>
      </c>
    </row>
    <row r="478" spans="1:8" x14ac:dyDescent="0.25">
      <c r="A478" s="5" t="s">
        <v>470</v>
      </c>
      <c r="B478" t="str">
        <f>"*"&amp;A478&amp;"*"</f>
        <v>*3230: Spline Inversion*</v>
      </c>
      <c r="C478">
        <f>COUNTIF(Monday!I:I, B478)</f>
        <v>0</v>
      </c>
      <c r="D478">
        <f>COUNTIF(Tuesday!I:I, B478)</f>
        <v>0</v>
      </c>
      <c r="E478">
        <f>COUNTIF(Wednesday!I:I, B478)</f>
        <v>0</v>
      </c>
      <c r="F478">
        <f>COUNTIF(Thursday!I:I, B478)</f>
        <v>0</v>
      </c>
      <c r="G478">
        <f>COUNTIF(Friday!I:I, B478)</f>
        <v>0</v>
      </c>
      <c r="H478">
        <f>SUM(C478:G478)</f>
        <v>0</v>
      </c>
    </row>
    <row r="479" spans="1:8" x14ac:dyDescent="0.25">
      <c r="A479" s="5" t="s">
        <v>471</v>
      </c>
      <c r="B479" t="str">
        <f>"*"&amp;A479&amp;"*"</f>
        <v>*3231: Spline Planarity Issue*</v>
      </c>
      <c r="C479">
        <f>COUNTIF(Monday!I:I, B479)</f>
        <v>0</v>
      </c>
      <c r="D479">
        <f>COUNTIF(Tuesday!I:I, B479)</f>
        <v>0</v>
      </c>
      <c r="E479">
        <f>COUNTIF(Wednesday!I:I, B479)</f>
        <v>0</v>
      </c>
      <c r="F479">
        <f>COUNTIF(Thursday!I:I, B479)</f>
        <v>0</v>
      </c>
      <c r="G479">
        <f>COUNTIF(Friday!I:I, B479)</f>
        <v>0</v>
      </c>
      <c r="H479">
        <f>SUM(C479:G479)</f>
        <v>0</v>
      </c>
    </row>
    <row r="480" spans="1:8" x14ac:dyDescent="0.25">
      <c r="A480" s="5" t="s">
        <v>472</v>
      </c>
      <c r="B480" t="str">
        <f>"*"&amp;A480&amp;"*"</f>
        <v>*1403: Dilator/Guidewire Fit*</v>
      </c>
      <c r="C480">
        <f>COUNTIF(Monday!I:I, B480)</f>
        <v>0</v>
      </c>
      <c r="D480">
        <f>COUNTIF(Tuesday!I:I, B480)</f>
        <v>0</v>
      </c>
      <c r="E480">
        <f>COUNTIF(Wednesday!I:I, B480)</f>
        <v>0</v>
      </c>
      <c r="F480">
        <f>COUNTIF(Thursday!I:I, B480)</f>
        <v>0</v>
      </c>
      <c r="G480">
        <f>COUNTIF(Friday!I:I, B480)</f>
        <v>0</v>
      </c>
      <c r="H480">
        <f>SUM(C480:G480)</f>
        <v>0</v>
      </c>
    </row>
    <row r="481" spans="1:8" x14ac:dyDescent="0.25">
      <c r="A481" s="5" t="s">
        <v>473</v>
      </c>
      <c r="B481" t="str">
        <f>"*"&amp;A481&amp;"*"</f>
        <v>*3190: Dilator/Needle Fit*</v>
      </c>
      <c r="C481">
        <f>COUNTIF(Monday!I:I, B481)</f>
        <v>0</v>
      </c>
      <c r="D481">
        <f>COUNTIF(Tuesday!I:I, B481)</f>
        <v>0</v>
      </c>
      <c r="E481">
        <f>COUNTIF(Wednesday!I:I, B481)</f>
        <v>0</v>
      </c>
      <c r="F481">
        <f>COUNTIF(Thursday!I:I, B481)</f>
        <v>0</v>
      </c>
      <c r="G481">
        <f>COUNTIF(Friday!I:I, B481)</f>
        <v>0</v>
      </c>
      <c r="H481">
        <f>SUM(C481:G481)</f>
        <v>0</v>
      </c>
    </row>
    <row r="482" spans="1:8" x14ac:dyDescent="0.25">
      <c r="A482" s="5" t="s">
        <v>474</v>
      </c>
      <c r="B482" t="str">
        <f>"*"&amp;A482&amp;"*"</f>
        <v>*1038: Blood In Sheath*</v>
      </c>
      <c r="C482">
        <f>COUNTIF(Monday!I:I, B482)</f>
        <v>0</v>
      </c>
      <c r="D482">
        <f>COUNTIF(Tuesday!I:I, B482)</f>
        <v>0</v>
      </c>
      <c r="E482">
        <f>COUNTIF(Wednesday!I:I, B482)</f>
        <v>0</v>
      </c>
      <c r="F482">
        <f>COUNTIF(Thursday!I:I, B482)</f>
        <v>0</v>
      </c>
      <c r="G482">
        <f>COUNTIF(Friday!I:I, B482)</f>
        <v>0</v>
      </c>
      <c r="H482">
        <f>SUM(C482:G482)</f>
        <v>0</v>
      </c>
    </row>
    <row r="483" spans="1:8" x14ac:dyDescent="0.25">
      <c r="A483" s="5" t="s">
        <v>475</v>
      </c>
      <c r="B483" t="str">
        <f>"*"&amp;A483&amp;"*"</f>
        <v>*1393: Difficult/Failure To Maintain Deflection*</v>
      </c>
      <c r="C483">
        <f>COUNTIF(Monday!I:I, B483)</f>
        <v>0</v>
      </c>
      <c r="D483">
        <f>COUNTIF(Tuesday!I:I, B483)</f>
        <v>0</v>
      </c>
      <c r="E483">
        <f>COUNTIF(Wednesday!I:I, B483)</f>
        <v>0</v>
      </c>
      <c r="F483">
        <f>COUNTIF(Thursday!I:I, B483)</f>
        <v>0</v>
      </c>
      <c r="G483">
        <f>COUNTIF(Friday!I:I, B483)</f>
        <v>0</v>
      </c>
      <c r="H483">
        <f>SUM(C483:G483)</f>
        <v>0</v>
      </c>
    </row>
    <row r="484" spans="1:8" x14ac:dyDescent="0.25">
      <c r="A484" s="5" t="s">
        <v>476</v>
      </c>
      <c r="B484" t="str">
        <f>"*"&amp;A484&amp;"*"</f>
        <v>*1404: Dilator/Sheath Interface Problem*</v>
      </c>
      <c r="C484">
        <f>COUNTIF(Monday!I:I, B484)</f>
        <v>0</v>
      </c>
      <c r="D484">
        <f>COUNTIF(Tuesday!I:I, B484)</f>
        <v>0</v>
      </c>
      <c r="E484">
        <f>COUNTIF(Wednesday!I:I, B484)</f>
        <v>0</v>
      </c>
      <c r="F484">
        <f>COUNTIF(Thursday!I:I, B484)</f>
        <v>0</v>
      </c>
      <c r="G484">
        <f>COUNTIF(Friday!I:I, B484)</f>
        <v>0</v>
      </c>
      <c r="H484">
        <f>SUM(C484:G484)</f>
        <v>0</v>
      </c>
    </row>
    <row r="485" spans="1:8" x14ac:dyDescent="0.25">
      <c r="A485" s="5" t="s">
        <v>477</v>
      </c>
      <c r="B485" t="str">
        <f>"*"&amp;A485&amp;"*"</f>
        <v>*1524: Failure To Flush*</v>
      </c>
      <c r="C485">
        <f>COUNTIF(Monday!I:I, B485)</f>
        <v>0</v>
      </c>
      <c r="D485">
        <f>COUNTIF(Tuesday!I:I, B485)</f>
        <v>0</v>
      </c>
      <c r="E485">
        <f>COUNTIF(Wednesday!I:I, B485)</f>
        <v>0</v>
      </c>
      <c r="F485">
        <f>COUNTIF(Thursday!I:I, B485)</f>
        <v>0</v>
      </c>
      <c r="G485">
        <f>COUNTIF(Friday!I:I, B485)</f>
        <v>0</v>
      </c>
      <c r="H485">
        <f>SUM(C485:G485)</f>
        <v>0</v>
      </c>
    </row>
    <row r="486" spans="1:8" x14ac:dyDescent="0.25">
      <c r="A486" s="5" t="s">
        <v>478</v>
      </c>
      <c r="B486" t="str">
        <f>"*"&amp;A486&amp;"*"</f>
        <v>*1798: Loss Of Aspiration*</v>
      </c>
      <c r="C486">
        <f>COUNTIF(Monday!I:I, B486)</f>
        <v>0</v>
      </c>
      <c r="D486">
        <f>COUNTIF(Tuesday!I:I, B486)</f>
        <v>0</v>
      </c>
      <c r="E486">
        <f>COUNTIF(Wednesday!I:I, B486)</f>
        <v>0</v>
      </c>
      <c r="F486">
        <f>COUNTIF(Thursday!I:I, B486)</f>
        <v>0</v>
      </c>
      <c r="G486">
        <f>COUNTIF(Friday!I:I, B486)</f>
        <v>0</v>
      </c>
      <c r="H486">
        <f>SUM(C486:G486)</f>
        <v>0</v>
      </c>
    </row>
    <row r="487" spans="1:8" x14ac:dyDescent="0.25">
      <c r="A487" s="5" t="s">
        <v>479</v>
      </c>
      <c r="B487" t="str">
        <f>"*"&amp;A487&amp;"*"</f>
        <v>*2718: Failure To Move/Steer*</v>
      </c>
      <c r="C487">
        <f>COUNTIF(Monday!I:I, B487)</f>
        <v>0</v>
      </c>
      <c r="D487">
        <f>COUNTIF(Tuesday!I:I, B487)</f>
        <v>0</v>
      </c>
      <c r="E487">
        <f>COUNTIF(Wednesday!I:I, B487)</f>
        <v>0</v>
      </c>
      <c r="F487">
        <f>COUNTIF(Thursday!I:I, B487)</f>
        <v>0</v>
      </c>
      <c r="G487">
        <f>COUNTIF(Friday!I:I, B487)</f>
        <v>0</v>
      </c>
      <c r="H487">
        <f>SUM(C487:G487)</f>
        <v>0</v>
      </c>
    </row>
    <row r="488" spans="1:8" x14ac:dyDescent="0.25">
      <c r="A488" s="5" t="s">
        <v>480</v>
      </c>
      <c r="B488" t="str">
        <f>"*"&amp;A488&amp;"*"</f>
        <v>*3187: Difficult To Advance Catheter Through Sheath*</v>
      </c>
      <c r="C488">
        <f>COUNTIF(Monday!I:I, B488)</f>
        <v>0</v>
      </c>
      <c r="D488">
        <f>COUNTIF(Tuesday!I:I, B488)</f>
        <v>0</v>
      </c>
      <c r="E488">
        <f>COUNTIF(Wednesday!I:I, B488)</f>
        <v>0</v>
      </c>
      <c r="F488">
        <f>COUNTIF(Thursday!I:I, B488)</f>
        <v>0</v>
      </c>
      <c r="G488">
        <f>COUNTIF(Friday!I:I, B488)</f>
        <v>0</v>
      </c>
      <c r="H488">
        <f>SUM(C488:G488)</f>
        <v>0</v>
      </c>
    </row>
    <row r="489" spans="1:8" x14ac:dyDescent="0.25">
      <c r="A489" s="5" t="s">
        <v>481</v>
      </c>
      <c r="B489" t="str">
        <f>"*"&amp;A489&amp;"*"</f>
        <v>*3188: Difficult To Aspirate*</v>
      </c>
      <c r="C489">
        <f>COUNTIF(Monday!I:I, B489)</f>
        <v>0</v>
      </c>
      <c r="D489">
        <f>COUNTIF(Tuesday!I:I, B489)</f>
        <v>0</v>
      </c>
      <c r="E489">
        <f>COUNTIF(Wednesday!I:I, B489)</f>
        <v>0</v>
      </c>
      <c r="F489">
        <f>COUNTIF(Thursday!I:I, B489)</f>
        <v>0</v>
      </c>
      <c r="G489">
        <f>COUNTIF(Friday!I:I, B489)</f>
        <v>0</v>
      </c>
      <c r="H489">
        <f>SUM(C489:G489)</f>
        <v>0</v>
      </c>
    </row>
    <row r="490" spans="1:8" x14ac:dyDescent="0.25">
      <c r="A490" s="5" t="s">
        <v>482</v>
      </c>
      <c r="B490" t="str">
        <f>"*"&amp;A490&amp;"*"</f>
        <v>*3189: Difficult To Withdraw Catheter Through Sheath*</v>
      </c>
      <c r="C490">
        <f>COUNTIF(Monday!I:I, B490)</f>
        <v>0</v>
      </c>
      <c r="D490">
        <f>COUNTIF(Tuesday!I:I, B490)</f>
        <v>0</v>
      </c>
      <c r="E490">
        <f>COUNTIF(Wednesday!I:I, B490)</f>
        <v>0</v>
      </c>
      <c r="F490">
        <f>COUNTIF(Thursday!I:I, B490)</f>
        <v>0</v>
      </c>
      <c r="G490">
        <f>COUNTIF(Friday!I:I, B490)</f>
        <v>0</v>
      </c>
      <c r="H490">
        <f>SUM(C490:G490)</f>
        <v>0</v>
      </c>
    </row>
    <row r="491" spans="1:8" x14ac:dyDescent="0.25">
      <c r="A491" s="5" t="s">
        <v>483</v>
      </c>
      <c r="B491" t="str">
        <f>"*"&amp;A491&amp;"*"</f>
        <v>*3222: Hemostatic Valve Leak*</v>
      </c>
      <c r="C491">
        <f>COUNTIF(Monday!I:I, B491)</f>
        <v>0</v>
      </c>
      <c r="D491">
        <f>COUNTIF(Tuesday!I:I, B491)</f>
        <v>0</v>
      </c>
      <c r="E491">
        <f>COUNTIF(Wednesday!I:I, B491)</f>
        <v>0</v>
      </c>
      <c r="F491">
        <f>COUNTIF(Thursday!I:I, B491)</f>
        <v>0</v>
      </c>
      <c r="G491">
        <f>COUNTIF(Friday!I:I, B491)</f>
        <v>0</v>
      </c>
      <c r="H491">
        <f>SUM(C491:G491)</f>
        <v>0</v>
      </c>
    </row>
    <row r="492" spans="1:8" x14ac:dyDescent="0.25">
      <c r="A492" s="5" t="s">
        <v>484</v>
      </c>
      <c r="B492" t="str">
        <f>"*"&amp;A492&amp;"*"</f>
        <v>*1084: Catheter ID - Incorrect ID*</v>
      </c>
      <c r="C492">
        <f>COUNTIF(Monday!I:I, B492)</f>
        <v>0</v>
      </c>
      <c r="D492">
        <f>COUNTIF(Tuesday!I:I, B492)</f>
        <v>0</v>
      </c>
      <c r="E492">
        <f>COUNTIF(Wednesday!I:I, B492)</f>
        <v>0</v>
      </c>
      <c r="F492">
        <f>COUNTIF(Thursday!I:I, B492)</f>
        <v>0</v>
      </c>
      <c r="G492">
        <f>COUNTIF(Friday!I:I, B492)</f>
        <v>0</v>
      </c>
      <c r="H492">
        <f>SUM(C492:G492)</f>
        <v>0</v>
      </c>
    </row>
    <row r="493" spans="1:8" x14ac:dyDescent="0.25">
      <c r="A493" s="5" t="s">
        <v>485</v>
      </c>
      <c r="B493" t="str">
        <f>"*"&amp;A493&amp;"*"</f>
        <v>*1732: Installation-Related Problem*</v>
      </c>
      <c r="C493">
        <f>COUNTIF(Monday!I:I, B493)</f>
        <v>0</v>
      </c>
      <c r="D493">
        <f>COUNTIF(Tuesday!I:I, B493)</f>
        <v>0</v>
      </c>
      <c r="E493">
        <f>COUNTIF(Wednesday!I:I, B493)</f>
        <v>0</v>
      </c>
      <c r="F493">
        <f>COUNTIF(Thursday!I:I, B493)</f>
        <v>0</v>
      </c>
      <c r="G493">
        <f>COUNTIF(Friday!I:I, B493)</f>
        <v>0</v>
      </c>
      <c r="H493">
        <f>SUM(C493:G493)</f>
        <v>0</v>
      </c>
    </row>
    <row r="494" spans="1:8" x14ac:dyDescent="0.25">
      <c r="A494" s="5" t="s">
        <v>486</v>
      </c>
      <c r="B494" t="str">
        <f>"*"&amp;A494&amp;"*"</f>
        <v>*3056: Failure to Halt Ablation*</v>
      </c>
      <c r="C494">
        <f>COUNTIF(Monday!I:I, B494)</f>
        <v>0</v>
      </c>
      <c r="D494">
        <f>COUNTIF(Tuesday!I:I, B494)</f>
        <v>0</v>
      </c>
      <c r="E494">
        <f>COUNTIF(Wednesday!I:I, B494)</f>
        <v>0</v>
      </c>
      <c r="F494">
        <f>COUNTIF(Thursday!I:I, B494)</f>
        <v>0</v>
      </c>
      <c r="G494">
        <f>COUNTIF(Friday!I:I, B494)</f>
        <v>0</v>
      </c>
      <c r="H494">
        <f>SUM(C494:G494)</f>
        <v>0</v>
      </c>
    </row>
    <row r="495" spans="1:8" x14ac:dyDescent="0.25">
      <c r="A495" s="5" t="s">
        <v>487</v>
      </c>
      <c r="B495" t="str">
        <f>"*"&amp;A495&amp;"*"</f>
        <v>*3107: Unintended Ablation*</v>
      </c>
      <c r="C495">
        <f>COUNTIF(Monday!I:I, B495)</f>
        <v>0</v>
      </c>
      <c r="D495">
        <f>COUNTIF(Tuesday!I:I, B495)</f>
        <v>0</v>
      </c>
      <c r="E495">
        <f>COUNTIF(Wednesday!I:I, B495)</f>
        <v>0</v>
      </c>
      <c r="F495">
        <f>COUNTIF(Thursday!I:I, B495)</f>
        <v>0</v>
      </c>
      <c r="G495">
        <f>COUNTIF(Friday!I:I, B495)</f>
        <v>0</v>
      </c>
      <c r="H495">
        <f>SUM(C495:G495)</f>
        <v>0</v>
      </c>
    </row>
    <row r="496" spans="1:8" x14ac:dyDescent="0.25">
      <c r="A496" s="5" t="s">
        <v>488</v>
      </c>
      <c r="B496" t="str">
        <f>"*"&amp;A496&amp;"*"</f>
        <v>*3184: Catheter Read As Expired*</v>
      </c>
      <c r="C496">
        <f>COUNTIF(Monday!I:I, B496)</f>
        <v>0</v>
      </c>
      <c r="D496">
        <f>COUNTIF(Tuesday!I:I, B496)</f>
        <v>0</v>
      </c>
      <c r="E496">
        <f>COUNTIF(Wednesday!I:I, B496)</f>
        <v>0</v>
      </c>
      <c r="F496">
        <f>COUNTIF(Thursday!I:I, B496)</f>
        <v>0</v>
      </c>
      <c r="G496">
        <f>COUNTIF(Friday!I:I, B496)</f>
        <v>0</v>
      </c>
      <c r="H496">
        <f>SUM(C496:G496)</f>
        <v>0</v>
      </c>
    </row>
    <row r="497" spans="1:8" x14ac:dyDescent="0.25">
      <c r="A497" s="5" t="s">
        <v>489</v>
      </c>
      <c r="B497" t="str">
        <f>"*"&amp;A497&amp;"*"</f>
        <v>*3191: E-0x301: Pre-Pulse Failure*</v>
      </c>
      <c r="C497">
        <f>COUNTIF(Monday!I:I, B497)</f>
        <v>0</v>
      </c>
      <c r="D497">
        <f>COUNTIF(Tuesday!I:I, B497)</f>
        <v>0</v>
      </c>
      <c r="E497">
        <f>COUNTIF(Wednesday!I:I, B497)</f>
        <v>0</v>
      </c>
      <c r="F497">
        <f>COUNTIF(Thursday!I:I, B497)</f>
        <v>0</v>
      </c>
      <c r="G497">
        <f>COUNTIF(Friday!I:I, B497)</f>
        <v>0</v>
      </c>
      <c r="H497">
        <f>SUM(C497:G497)</f>
        <v>0</v>
      </c>
    </row>
    <row r="498" spans="1:8" x14ac:dyDescent="0.25">
      <c r="A498" s="5" t="s">
        <v>490</v>
      </c>
      <c r="B498" t="str">
        <f>"*"&amp;A498&amp;"*"</f>
        <v>*3192: E-0x302: E-Stop Failure*</v>
      </c>
      <c r="C498">
        <f>COUNTIF(Monday!I:I, B498)</f>
        <v>0</v>
      </c>
      <c r="D498">
        <f>COUNTIF(Tuesday!I:I, B498)</f>
        <v>0</v>
      </c>
      <c r="E498">
        <f>COUNTIF(Wednesday!I:I, B498)</f>
        <v>0</v>
      </c>
      <c r="F498">
        <f>COUNTIF(Thursday!I:I, B498)</f>
        <v>0</v>
      </c>
      <c r="G498">
        <f>COUNTIF(Friday!I:I, B498)</f>
        <v>0</v>
      </c>
      <c r="H498">
        <f>SUM(C498:G498)</f>
        <v>0</v>
      </c>
    </row>
    <row r="499" spans="1:8" x14ac:dyDescent="0.25">
      <c r="A499" s="5" t="s">
        <v>491</v>
      </c>
      <c r="B499" t="str">
        <f>"*"&amp;A499&amp;"*"</f>
        <v>*3193: E-0x303: Arc Detect Failure*</v>
      </c>
      <c r="C499">
        <f>COUNTIF(Monday!I:I, B499)</f>
        <v>0</v>
      </c>
      <c r="D499">
        <f>COUNTIF(Tuesday!I:I, B499)</f>
        <v>0</v>
      </c>
      <c r="E499">
        <f>COUNTIF(Wednesday!I:I, B499)</f>
        <v>0</v>
      </c>
      <c r="F499">
        <f>COUNTIF(Thursday!I:I, B499)</f>
        <v>0</v>
      </c>
      <c r="G499">
        <f>COUNTIF(Friday!I:I, B499)</f>
        <v>0</v>
      </c>
      <c r="H499">
        <f>SUM(C499:G499)</f>
        <v>0</v>
      </c>
    </row>
    <row r="500" spans="1:8" x14ac:dyDescent="0.25">
      <c r="A500" s="5" t="s">
        <v>492</v>
      </c>
      <c r="B500" t="str">
        <f>"*"&amp;A500&amp;"*"</f>
        <v>*3194: E-0x304: Main Controller Calibration Failure*</v>
      </c>
      <c r="C500">
        <f>COUNTIF(Monday!I:I, B500)</f>
        <v>0</v>
      </c>
      <c r="D500">
        <f>COUNTIF(Tuesday!I:I, B500)</f>
        <v>0</v>
      </c>
      <c r="E500">
        <f>COUNTIF(Wednesday!I:I, B500)</f>
        <v>0</v>
      </c>
      <c r="F500">
        <f>COUNTIF(Thursday!I:I, B500)</f>
        <v>0</v>
      </c>
      <c r="G500">
        <f>COUNTIF(Friday!I:I, B500)</f>
        <v>0</v>
      </c>
      <c r="H500">
        <f>SUM(C500:G500)</f>
        <v>0</v>
      </c>
    </row>
    <row r="501" spans="1:8" x14ac:dyDescent="0.25">
      <c r="A501" s="5" t="s">
        <v>493</v>
      </c>
      <c r="B501" t="str">
        <f>"*"&amp;A501&amp;"*"</f>
        <v>*3195: E-0x305: Voltage Failure*</v>
      </c>
      <c r="C501">
        <f>COUNTIF(Monday!I:I, B501)</f>
        <v>0</v>
      </c>
      <c r="D501">
        <f>COUNTIF(Tuesday!I:I, B501)</f>
        <v>0</v>
      </c>
      <c r="E501">
        <f>COUNTIF(Wednesday!I:I, B501)</f>
        <v>0</v>
      </c>
      <c r="F501">
        <f>COUNTIF(Thursday!I:I, B501)</f>
        <v>0</v>
      </c>
      <c r="G501">
        <f>COUNTIF(Friday!I:I, B501)</f>
        <v>0</v>
      </c>
      <c r="H501">
        <f>SUM(C501:G501)</f>
        <v>0</v>
      </c>
    </row>
    <row r="502" spans="1:8" x14ac:dyDescent="0.25">
      <c r="A502" s="5" t="s">
        <v>494</v>
      </c>
      <c r="B502" t="str">
        <f>"*"&amp;A502&amp;"*"</f>
        <v>*3196: E-0x311: Internal Stim Error*</v>
      </c>
      <c r="C502">
        <f>COUNTIF(Monday!I:I, B502)</f>
        <v>0</v>
      </c>
      <c r="D502">
        <f>COUNTIF(Tuesday!I:I, B502)</f>
        <v>0</v>
      </c>
      <c r="E502">
        <f>COUNTIF(Wednesday!I:I, B502)</f>
        <v>0</v>
      </c>
      <c r="F502">
        <f>COUNTIF(Thursday!I:I, B502)</f>
        <v>0</v>
      </c>
      <c r="G502">
        <f>COUNTIF(Friday!I:I, B502)</f>
        <v>0</v>
      </c>
      <c r="H502">
        <f>SUM(C502:G502)</f>
        <v>0</v>
      </c>
    </row>
    <row r="503" spans="1:8" x14ac:dyDescent="0.25">
      <c r="A503" s="5" t="s">
        <v>495</v>
      </c>
      <c r="B503" t="str">
        <f>"*"&amp;A503&amp;"*"</f>
        <v>*3197: E-0x312: Parameter Failure*</v>
      </c>
      <c r="C503">
        <f>COUNTIF(Monday!I:I, B503)</f>
        <v>0</v>
      </c>
      <c r="D503">
        <f>COUNTIF(Tuesday!I:I, B503)</f>
        <v>0</v>
      </c>
      <c r="E503">
        <f>COUNTIF(Wednesday!I:I, B503)</f>
        <v>0</v>
      </c>
      <c r="F503">
        <f>COUNTIF(Thursday!I:I, B503)</f>
        <v>0</v>
      </c>
      <c r="G503">
        <f>COUNTIF(Friday!I:I, B503)</f>
        <v>0</v>
      </c>
      <c r="H503">
        <f>SUM(C503:G503)</f>
        <v>0</v>
      </c>
    </row>
    <row r="504" spans="1:8" x14ac:dyDescent="0.25">
      <c r="A504" s="5" t="s">
        <v>496</v>
      </c>
      <c r="B504" t="str">
        <f>"*"&amp;A504&amp;"*"</f>
        <v>*3198: E-0x322: Power Supply Charge Error*</v>
      </c>
      <c r="C504">
        <f>COUNTIF(Monday!I:I, B504)</f>
        <v>0</v>
      </c>
      <c r="D504">
        <f>COUNTIF(Tuesday!I:I, B504)</f>
        <v>0</v>
      </c>
      <c r="E504">
        <f>COUNTIF(Wednesday!I:I, B504)</f>
        <v>0</v>
      </c>
      <c r="F504">
        <f>COUNTIF(Thursday!I:I, B504)</f>
        <v>0</v>
      </c>
      <c r="G504">
        <f>COUNTIF(Friday!I:I, B504)</f>
        <v>0</v>
      </c>
      <c r="H504">
        <f>SUM(C504:G504)</f>
        <v>0</v>
      </c>
    </row>
    <row r="505" spans="1:8" x14ac:dyDescent="0.25">
      <c r="A505" s="5" t="s">
        <v>497</v>
      </c>
      <c r="B505" t="str">
        <f>"*"&amp;A505&amp;"*"</f>
        <v>*3199: E-0x323: Power Supply Calibration Failure*</v>
      </c>
      <c r="C505">
        <f>COUNTIF(Monday!I:I, B505)</f>
        <v>0</v>
      </c>
      <c r="D505">
        <f>COUNTIF(Tuesday!I:I, B505)</f>
        <v>0</v>
      </c>
      <c r="E505">
        <f>COUNTIF(Wednesday!I:I, B505)</f>
        <v>0</v>
      </c>
      <c r="F505">
        <f>COUNTIF(Thursday!I:I, B505)</f>
        <v>0</v>
      </c>
      <c r="G505">
        <f>COUNTIF(Friday!I:I, B505)</f>
        <v>0</v>
      </c>
      <c r="H505">
        <f>SUM(C505:G505)</f>
        <v>0</v>
      </c>
    </row>
    <row r="506" spans="1:8" x14ac:dyDescent="0.25">
      <c r="A506" s="5" t="s">
        <v>498</v>
      </c>
      <c r="B506" t="str">
        <f>"*"&amp;A506&amp;"*"</f>
        <v>*3200: E-0x371: SD Communication Error*</v>
      </c>
      <c r="C506">
        <f>COUNTIF(Monday!I:I, B506)</f>
        <v>0</v>
      </c>
      <c r="D506">
        <f>COUNTIF(Tuesday!I:I, B506)</f>
        <v>0</v>
      </c>
      <c r="E506">
        <f>COUNTIF(Wednesday!I:I, B506)</f>
        <v>0</v>
      </c>
      <c r="F506">
        <f>COUNTIF(Thursday!I:I, B506)</f>
        <v>0</v>
      </c>
      <c r="G506">
        <f>COUNTIF(Friday!I:I, B506)</f>
        <v>0</v>
      </c>
      <c r="H506">
        <f>SUM(C506:G506)</f>
        <v>0</v>
      </c>
    </row>
    <row r="507" spans="1:8" x14ac:dyDescent="0.25">
      <c r="A507" s="5" t="s">
        <v>499</v>
      </c>
      <c r="B507" t="str">
        <f>"*"&amp;A507&amp;"*"</f>
        <v>*3201: E-0x411: Stim Module Warning*</v>
      </c>
      <c r="C507">
        <f>COUNTIF(Monday!I:I, B507)</f>
        <v>0</v>
      </c>
      <c r="D507">
        <f>COUNTIF(Tuesday!I:I, B507)</f>
        <v>0</v>
      </c>
      <c r="E507">
        <f>COUNTIF(Wednesday!I:I, B507)</f>
        <v>0</v>
      </c>
      <c r="F507">
        <f>COUNTIF(Thursday!I:I, B507)</f>
        <v>0</v>
      </c>
      <c r="G507">
        <f>COUNTIF(Friday!I:I, B507)</f>
        <v>0</v>
      </c>
      <c r="H507">
        <f>SUM(C507:G507)</f>
        <v>0</v>
      </c>
    </row>
    <row r="508" spans="1:8" x14ac:dyDescent="0.25">
      <c r="A508" s="5" t="s">
        <v>500</v>
      </c>
      <c r="B508" t="str">
        <f>"*"&amp;A508&amp;"*"</f>
        <v>*3202: E-0x473: Catheter Disconnected Warning*</v>
      </c>
      <c r="C508">
        <f>COUNTIF(Monday!I:I, B508)</f>
        <v>0</v>
      </c>
      <c r="D508">
        <f>COUNTIF(Tuesday!I:I, B508)</f>
        <v>0</v>
      </c>
      <c r="E508">
        <f>COUNTIF(Wednesday!I:I, B508)</f>
        <v>0</v>
      </c>
      <c r="F508">
        <f>COUNTIF(Thursday!I:I, B508)</f>
        <v>0</v>
      </c>
      <c r="G508">
        <f>COUNTIF(Friday!I:I, B508)</f>
        <v>0</v>
      </c>
      <c r="H508">
        <f>SUM(C508:G508)</f>
        <v>0</v>
      </c>
    </row>
    <row r="509" spans="1:8" x14ac:dyDescent="0.25">
      <c r="A509" s="5" t="s">
        <v>501</v>
      </c>
      <c r="B509" t="str">
        <f>"*"&amp;A509&amp;"*"</f>
        <v>*3204: F-0x201: Main Post Failure*</v>
      </c>
      <c r="C509">
        <f>COUNTIF(Monday!I:I, B509)</f>
        <v>0</v>
      </c>
      <c r="D509">
        <f>COUNTIF(Tuesday!I:I, B509)</f>
        <v>0</v>
      </c>
      <c r="E509">
        <f>COUNTIF(Wednesday!I:I, B509)</f>
        <v>0</v>
      </c>
      <c r="F509">
        <f>COUNTIF(Thursday!I:I, B509)</f>
        <v>0</v>
      </c>
      <c r="G509">
        <f>COUNTIF(Friday!I:I, B509)</f>
        <v>0</v>
      </c>
      <c r="H509">
        <f>SUM(C509:G509)</f>
        <v>0</v>
      </c>
    </row>
    <row r="510" spans="1:8" x14ac:dyDescent="0.25">
      <c r="A510" s="5" t="s">
        <v>502</v>
      </c>
      <c r="B510" t="str">
        <f>"*"&amp;A510&amp;"*"</f>
        <v>*3205: F-0x202: Main-GPU Communication*</v>
      </c>
      <c r="C510">
        <f>COUNTIF(Monday!I:I, B510)</f>
        <v>0</v>
      </c>
      <c r="D510">
        <f>COUNTIF(Tuesday!I:I, B510)</f>
        <v>0</v>
      </c>
      <c r="E510">
        <f>COUNTIF(Wednesday!I:I, B510)</f>
        <v>0</v>
      </c>
      <c r="F510">
        <f>COUNTIF(Thursday!I:I, B510)</f>
        <v>0</v>
      </c>
      <c r="G510">
        <f>COUNTIF(Friday!I:I, B510)</f>
        <v>0</v>
      </c>
      <c r="H510">
        <f>SUM(C510:G510)</f>
        <v>0</v>
      </c>
    </row>
    <row r="511" spans="1:8" x14ac:dyDescent="0.25">
      <c r="A511" s="5" t="s">
        <v>503</v>
      </c>
      <c r="B511" t="str">
        <f>"*"&amp;A511&amp;"*"</f>
        <v>*3206: F-0x203: Main Controller Region Corruption*</v>
      </c>
      <c r="C511">
        <f>COUNTIF(Monday!I:I, B511)</f>
        <v>0</v>
      </c>
      <c r="D511">
        <f>COUNTIF(Tuesday!I:I, B511)</f>
        <v>0</v>
      </c>
      <c r="E511">
        <f>COUNTIF(Wednesday!I:I, B511)</f>
        <v>0</v>
      </c>
      <c r="F511">
        <f>COUNTIF(Thursday!I:I, B511)</f>
        <v>0</v>
      </c>
      <c r="G511">
        <f>COUNTIF(Friday!I:I, B511)</f>
        <v>0</v>
      </c>
      <c r="H511">
        <f>SUM(C511:G511)</f>
        <v>0</v>
      </c>
    </row>
    <row r="512" spans="1:8" x14ac:dyDescent="0.25">
      <c r="A512" s="5" t="s">
        <v>504</v>
      </c>
      <c r="B512" t="str">
        <f>"*"&amp;A512&amp;"*"</f>
        <v>*3207: F-0x211: Pacing Communication Failure*</v>
      </c>
      <c r="C512">
        <f>COUNTIF(Monday!I:I, B512)</f>
        <v>0</v>
      </c>
      <c r="D512">
        <f>COUNTIF(Tuesday!I:I, B512)</f>
        <v>0</v>
      </c>
      <c r="E512">
        <f>COUNTIF(Wednesday!I:I, B512)</f>
        <v>0</v>
      </c>
      <c r="F512">
        <f>COUNTIF(Thursday!I:I, B512)</f>
        <v>0</v>
      </c>
      <c r="G512">
        <f>COUNTIF(Friday!I:I, B512)</f>
        <v>0</v>
      </c>
      <c r="H512">
        <f>SUM(C512:G512)</f>
        <v>0</v>
      </c>
    </row>
    <row r="513" spans="1:8" x14ac:dyDescent="0.25">
      <c r="A513" s="5" t="s">
        <v>505</v>
      </c>
      <c r="B513" t="str">
        <f>"*"&amp;A513&amp;"*"</f>
        <v>*3208: F-0x212: FPGA Communication Failure*</v>
      </c>
      <c r="C513">
        <f>COUNTIF(Monday!I:I, B513)</f>
        <v>0</v>
      </c>
      <c r="D513">
        <f>COUNTIF(Tuesday!I:I, B513)</f>
        <v>0</v>
      </c>
      <c r="E513">
        <f>COUNTIF(Wednesday!I:I, B513)</f>
        <v>0</v>
      </c>
      <c r="F513">
        <f>COUNTIF(Thursday!I:I, B513)</f>
        <v>0</v>
      </c>
      <c r="G513">
        <f>COUNTIF(Friday!I:I, B513)</f>
        <v>0</v>
      </c>
      <c r="H513">
        <f>SUM(C513:G513)</f>
        <v>0</v>
      </c>
    </row>
    <row r="514" spans="1:8" x14ac:dyDescent="0.25">
      <c r="A514" s="5" t="s">
        <v>506</v>
      </c>
      <c r="B514" t="str">
        <f>"*"&amp;A514&amp;"*"</f>
        <v>*3209: F-0x213: Pace Post Failure*</v>
      </c>
      <c r="C514">
        <f>COUNTIF(Monday!I:I, B514)</f>
        <v>0</v>
      </c>
      <c r="D514">
        <f>COUNTIF(Tuesday!I:I, B514)</f>
        <v>0</v>
      </c>
      <c r="E514">
        <f>COUNTIF(Wednesday!I:I, B514)</f>
        <v>0</v>
      </c>
      <c r="F514">
        <f>COUNTIF(Thursday!I:I, B514)</f>
        <v>0</v>
      </c>
      <c r="G514">
        <f>COUNTIF(Friday!I:I, B514)</f>
        <v>0</v>
      </c>
      <c r="H514">
        <f>SUM(C514:G514)</f>
        <v>0</v>
      </c>
    </row>
    <row r="515" spans="1:8" x14ac:dyDescent="0.25">
      <c r="A515" s="5" t="s">
        <v>507</v>
      </c>
      <c r="B515" t="str">
        <f>"*"&amp;A515&amp;"*"</f>
        <v>*3210: F-0x215: Pace FPGA Hardware Failure*</v>
      </c>
      <c r="C515">
        <f>COUNTIF(Monday!I:I, B515)</f>
        <v>0</v>
      </c>
      <c r="D515">
        <f>COUNTIF(Tuesday!I:I, B515)</f>
        <v>0</v>
      </c>
      <c r="E515">
        <f>COUNTIF(Wednesday!I:I, B515)</f>
        <v>0</v>
      </c>
      <c r="F515">
        <f>COUNTIF(Thursday!I:I, B515)</f>
        <v>0</v>
      </c>
      <c r="G515">
        <f>COUNTIF(Friday!I:I, B515)</f>
        <v>0</v>
      </c>
      <c r="H515">
        <f>SUM(C515:G515)</f>
        <v>0</v>
      </c>
    </row>
    <row r="516" spans="1:8" x14ac:dyDescent="0.25">
      <c r="A516" s="5" t="s">
        <v>508</v>
      </c>
      <c r="B516" t="str">
        <f>"*"&amp;A516&amp;"*"</f>
        <v>*3211: F-0x221: Power Supply Communication Failure*</v>
      </c>
      <c r="C516">
        <f>COUNTIF(Monday!I:I, B516)</f>
        <v>0</v>
      </c>
      <c r="D516">
        <f>COUNTIF(Tuesday!I:I, B516)</f>
        <v>0</v>
      </c>
      <c r="E516">
        <f>COUNTIF(Wednesday!I:I, B516)</f>
        <v>0</v>
      </c>
      <c r="F516">
        <f>COUNTIF(Thursday!I:I, B516)</f>
        <v>0</v>
      </c>
      <c r="G516">
        <f>COUNTIF(Friday!I:I, B516)</f>
        <v>0</v>
      </c>
      <c r="H516">
        <f>SUM(C516:G516)</f>
        <v>0</v>
      </c>
    </row>
    <row r="517" spans="1:8" x14ac:dyDescent="0.25">
      <c r="A517" s="5" t="s">
        <v>509</v>
      </c>
      <c r="B517" t="str">
        <f>"*"&amp;A517&amp;"*"</f>
        <v>*3212: F-0x231: Relay Communication Failure*</v>
      </c>
      <c r="C517">
        <f>COUNTIF(Monday!I:I, B517)</f>
        <v>0</v>
      </c>
      <c r="D517">
        <f>COUNTIF(Tuesday!I:I, B517)</f>
        <v>0</v>
      </c>
      <c r="E517">
        <f>COUNTIF(Wednesday!I:I, B517)</f>
        <v>0</v>
      </c>
      <c r="F517">
        <f>COUNTIF(Thursday!I:I, B517)</f>
        <v>0</v>
      </c>
      <c r="G517">
        <f>COUNTIF(Friday!I:I, B517)</f>
        <v>0</v>
      </c>
      <c r="H517">
        <f>SUM(C517:G517)</f>
        <v>0</v>
      </c>
    </row>
    <row r="518" spans="1:8" x14ac:dyDescent="0.25">
      <c r="A518" s="5" t="s">
        <v>510</v>
      </c>
      <c r="B518" t="str">
        <f>"*"&amp;A518&amp;"*"</f>
        <v>*3213: F-0x232: Relay RB Check Failure*</v>
      </c>
      <c r="C518">
        <f>COUNTIF(Monday!I:I, B518)</f>
        <v>0</v>
      </c>
      <c r="D518">
        <f>COUNTIF(Tuesday!I:I, B518)</f>
        <v>0</v>
      </c>
      <c r="E518">
        <f>COUNTIF(Wednesday!I:I, B518)</f>
        <v>0</v>
      </c>
      <c r="F518">
        <f>COUNTIF(Thursday!I:I, B518)</f>
        <v>0</v>
      </c>
      <c r="G518">
        <f>COUNTIF(Friday!I:I, B518)</f>
        <v>0</v>
      </c>
      <c r="H518">
        <f>SUM(C518:G518)</f>
        <v>0</v>
      </c>
    </row>
    <row r="519" spans="1:8" x14ac:dyDescent="0.25">
      <c r="A519" s="5" t="s">
        <v>511</v>
      </c>
      <c r="B519" t="str">
        <f>"*"&amp;A519&amp;"*"</f>
        <v>*3214: F-0x233: Relay MS Check Failure*</v>
      </c>
      <c r="C519">
        <f>COUNTIF(Monday!I:I, B519)</f>
        <v>0</v>
      </c>
      <c r="D519">
        <f>COUNTIF(Tuesday!I:I, B519)</f>
        <v>0</v>
      </c>
      <c r="E519">
        <f>COUNTIF(Wednesday!I:I, B519)</f>
        <v>0</v>
      </c>
      <c r="F519">
        <f>COUNTIF(Thursday!I:I, B519)</f>
        <v>0</v>
      </c>
      <c r="G519">
        <f>COUNTIF(Friday!I:I, B519)</f>
        <v>0</v>
      </c>
      <c r="H519">
        <f>SUM(C519:G519)</f>
        <v>0</v>
      </c>
    </row>
    <row r="520" spans="1:8" x14ac:dyDescent="0.25">
      <c r="A520" s="5" t="s">
        <v>512</v>
      </c>
      <c r="B520" t="str">
        <f>"*"&amp;A520&amp;"*"</f>
        <v>*3215: F-0x234: Relay SS Check Failure*</v>
      </c>
      <c r="C520">
        <f>COUNTIF(Monday!I:I, B520)</f>
        <v>0</v>
      </c>
      <c r="D520">
        <f>COUNTIF(Tuesday!I:I, B520)</f>
        <v>0</v>
      </c>
      <c r="E520">
        <f>COUNTIF(Wednesday!I:I, B520)</f>
        <v>0</v>
      </c>
      <c r="F520">
        <f>COUNTIF(Thursday!I:I, B520)</f>
        <v>0</v>
      </c>
      <c r="G520">
        <f>COUNTIF(Friday!I:I, B520)</f>
        <v>0</v>
      </c>
      <c r="H520">
        <f>SUM(C520:G520)</f>
        <v>0</v>
      </c>
    </row>
    <row r="521" spans="1:8" x14ac:dyDescent="0.25">
      <c r="A521" s="5" t="s">
        <v>513</v>
      </c>
      <c r="B521" t="str">
        <f>"*"&amp;A521&amp;"*"</f>
        <v>*3216: F-0x261: Drive FPGA Communication Failure*</v>
      </c>
      <c r="C521">
        <f>COUNTIF(Monday!I:I, B521)</f>
        <v>0</v>
      </c>
      <c r="D521">
        <f>COUNTIF(Tuesday!I:I, B521)</f>
        <v>0</v>
      </c>
      <c r="E521">
        <f>COUNTIF(Wednesday!I:I, B521)</f>
        <v>0</v>
      </c>
      <c r="F521">
        <f>COUNTIF(Thursday!I:I, B521)</f>
        <v>0</v>
      </c>
      <c r="G521">
        <f>COUNTIF(Friday!I:I, B521)</f>
        <v>0</v>
      </c>
      <c r="H521">
        <f>SUM(C521:G521)</f>
        <v>0</v>
      </c>
    </row>
    <row r="522" spans="1:8" x14ac:dyDescent="0.25">
      <c r="A522" s="5" t="s">
        <v>514</v>
      </c>
      <c r="B522" t="str">
        <f>"*"&amp;A522&amp;"*"</f>
        <v>*3217: F-0x262: Drive Hardware Failure*</v>
      </c>
      <c r="C522">
        <f>COUNTIF(Monday!I:I, B522)</f>
        <v>0</v>
      </c>
      <c r="D522">
        <f>COUNTIF(Tuesday!I:I, B522)</f>
        <v>0</v>
      </c>
      <c r="E522">
        <f>COUNTIF(Wednesday!I:I, B522)</f>
        <v>0</v>
      </c>
      <c r="F522">
        <f>COUNTIF(Thursday!I:I, B522)</f>
        <v>0</v>
      </c>
      <c r="G522">
        <f>COUNTIF(Friday!I:I, B522)</f>
        <v>0</v>
      </c>
      <c r="H522">
        <f>SUM(C522:G522)</f>
        <v>0</v>
      </c>
    </row>
    <row r="523" spans="1:8" x14ac:dyDescent="0.25">
      <c r="A523" s="5" t="s">
        <v>515</v>
      </c>
      <c r="B523" t="str">
        <f>"*"&amp;A523&amp;"*"</f>
        <v>*3218: F-0x271: Graphics Communication Failure*</v>
      </c>
      <c r="C523">
        <f>COUNTIF(Monday!I:I, B523)</f>
        <v>0</v>
      </c>
      <c r="D523">
        <f>COUNTIF(Tuesday!I:I, B523)</f>
        <v>0</v>
      </c>
      <c r="E523">
        <f>COUNTIF(Wednesday!I:I, B523)</f>
        <v>0</v>
      </c>
      <c r="F523">
        <f>COUNTIF(Thursday!I:I, B523)</f>
        <v>0</v>
      </c>
      <c r="G523">
        <f>COUNTIF(Friday!I:I, B523)</f>
        <v>0</v>
      </c>
      <c r="H523">
        <f>SUM(C523:G523)</f>
        <v>0</v>
      </c>
    </row>
    <row r="524" spans="1:8" x14ac:dyDescent="0.25">
      <c r="A524" s="5" t="s">
        <v>516</v>
      </c>
      <c r="B524" t="str">
        <f>"*"&amp;A524&amp;"*"</f>
        <v>*3219: F-0x272: Graphics Checksum Failure*</v>
      </c>
      <c r="C524">
        <f>COUNTIF(Monday!I:I, B524)</f>
        <v>0</v>
      </c>
      <c r="D524">
        <f>COUNTIF(Tuesday!I:I, B524)</f>
        <v>0</v>
      </c>
      <c r="E524">
        <f>COUNTIF(Wednesday!I:I, B524)</f>
        <v>0</v>
      </c>
      <c r="F524">
        <f>COUNTIF(Thursday!I:I, B524)</f>
        <v>0</v>
      </c>
      <c r="G524">
        <f>COUNTIF(Friday!I:I, B524)</f>
        <v>0</v>
      </c>
      <c r="H524">
        <f>SUM(C524:G524)</f>
        <v>0</v>
      </c>
    </row>
    <row r="525" spans="1:8" x14ac:dyDescent="0.25">
      <c r="A525" s="5" t="s">
        <v>517</v>
      </c>
      <c r="B525" t="str">
        <f>"*"&amp;A525&amp;"*"</f>
        <v>*3220: F-0x273: Version Check Failure*</v>
      </c>
      <c r="C525">
        <f>COUNTIF(Monday!I:I, B525)</f>
        <v>0</v>
      </c>
      <c r="D525">
        <f>COUNTIF(Tuesday!I:I, B525)</f>
        <v>0</v>
      </c>
      <c r="E525">
        <f>COUNTIF(Wednesday!I:I, B525)</f>
        <v>0</v>
      </c>
      <c r="F525">
        <f>COUNTIF(Thursday!I:I, B525)</f>
        <v>0</v>
      </c>
      <c r="G525">
        <f>COUNTIF(Friday!I:I, B525)</f>
        <v>0</v>
      </c>
      <c r="H525">
        <f>SUM(C525:G525)</f>
        <v>0</v>
      </c>
    </row>
    <row r="526" spans="1:8" x14ac:dyDescent="0.25">
      <c r="A526" s="5" t="s">
        <v>518</v>
      </c>
      <c r="B526" t="str">
        <f>"*"&amp;A526&amp;"*"</f>
        <v>*3221: F-0x274: Wave Mode Corruption*</v>
      </c>
      <c r="C526">
        <f>COUNTIF(Monday!I:I, B526)</f>
        <v>0</v>
      </c>
      <c r="D526">
        <f>COUNTIF(Tuesday!I:I, B526)</f>
        <v>0</v>
      </c>
      <c r="E526">
        <f>COUNTIF(Wednesday!I:I, B526)</f>
        <v>0</v>
      </c>
      <c r="F526">
        <f>COUNTIF(Thursday!I:I, B526)</f>
        <v>0</v>
      </c>
      <c r="G526">
        <f>COUNTIF(Friday!I:I, B526)</f>
        <v>0</v>
      </c>
      <c r="H526">
        <f>SUM(C526:G526)</f>
        <v>0</v>
      </c>
    </row>
    <row r="527" spans="1:8" x14ac:dyDescent="0.25">
      <c r="A527" s="5" t="s">
        <v>519</v>
      </c>
      <c r="B527" t="str">
        <f>"*"&amp;A527&amp;"*"</f>
        <v>*3225: Mapping System Compatibility Issue*</v>
      </c>
      <c r="C527">
        <f>COUNTIF(Monday!I:I, B527)</f>
        <v>0</v>
      </c>
      <c r="D527">
        <f>COUNTIF(Tuesday!I:I, B527)</f>
        <v>0</v>
      </c>
      <c r="E527">
        <f>COUNTIF(Wednesday!I:I, B527)</f>
        <v>0</v>
      </c>
      <c r="F527">
        <f>COUNTIF(Thursday!I:I, B527)</f>
        <v>0</v>
      </c>
      <c r="G527">
        <f>COUNTIF(Friday!I:I, B527)</f>
        <v>0</v>
      </c>
      <c r="H527">
        <f>SUM(C527:G527)</f>
        <v>0</v>
      </c>
    </row>
    <row r="528" spans="1:8" x14ac:dyDescent="0.25">
      <c r="A528" s="5" t="s">
        <v>520</v>
      </c>
      <c r="B528" t="str">
        <f>"*"&amp;A528&amp;"*"</f>
        <v>*3234: System Has No EGM Signal*</v>
      </c>
      <c r="C528">
        <f>COUNTIF(Monday!I:I, B528)</f>
        <v>0</v>
      </c>
      <c r="D528">
        <f>COUNTIF(Tuesday!I:I, B528)</f>
        <v>0</v>
      </c>
      <c r="E528">
        <f>COUNTIF(Wednesday!I:I, B528)</f>
        <v>0</v>
      </c>
      <c r="F528">
        <f>COUNTIF(Thursday!I:I, B528)</f>
        <v>0</v>
      </c>
      <c r="G528">
        <f>COUNTIF(Friday!I:I, B528)</f>
        <v>0</v>
      </c>
      <c r="H528">
        <f>SUM(C528:G528)</f>
        <v>0</v>
      </c>
    </row>
    <row r="529" spans="1:8" x14ac:dyDescent="0.25">
      <c r="A529" s="5" t="s">
        <v>521</v>
      </c>
      <c r="B529" t="str">
        <f>"*"&amp;A529&amp;"*"</f>
        <v>*3273: F-0x263: Drive FPGA Pre-Pulse I/O Fault*</v>
      </c>
      <c r="C529">
        <f>COUNTIF(Monday!I:I, B529)</f>
        <v>0</v>
      </c>
      <c r="D529">
        <f>COUNTIF(Tuesday!I:I, B529)</f>
        <v>0</v>
      </c>
      <c r="E529">
        <f>COUNTIF(Wednesday!I:I, B529)</f>
        <v>0</v>
      </c>
      <c r="F529">
        <f>COUNTIF(Thursday!I:I, B529)</f>
        <v>0</v>
      </c>
      <c r="G529">
        <f>COUNTIF(Friday!I:I, B529)</f>
        <v>0</v>
      </c>
      <c r="H529">
        <f>SUM(C529:G529)</f>
        <v>0</v>
      </c>
    </row>
    <row r="530" spans="1:8" x14ac:dyDescent="0.25">
      <c r="A530" s="5" t="s">
        <v>522</v>
      </c>
      <c r="B530" t="str">
        <f>"*"&amp;A530&amp;"*"</f>
        <v>*1139: Connector Bent*</v>
      </c>
      <c r="C530">
        <f>COUNTIF(Monday!I:I, B530)</f>
        <v>0</v>
      </c>
      <c r="D530">
        <f>COUNTIF(Tuesday!I:I, B530)</f>
        <v>0</v>
      </c>
      <c r="E530">
        <f>COUNTIF(Wednesday!I:I, B530)</f>
        <v>0</v>
      </c>
      <c r="F530">
        <f>COUNTIF(Thursday!I:I, B530)</f>
        <v>0</v>
      </c>
      <c r="G530">
        <f>COUNTIF(Friday!I:I, B530)</f>
        <v>0</v>
      </c>
      <c r="H530">
        <f>SUM(C530:G530)</f>
        <v>0</v>
      </c>
    </row>
    <row r="531" spans="1:8" x14ac:dyDescent="0.25">
      <c r="A531" s="5" t="s">
        <v>523</v>
      </c>
      <c r="B531" t="str">
        <f>"*"&amp;A531&amp;"*"</f>
        <v>*1780: LED Issue*</v>
      </c>
      <c r="C531">
        <f>COUNTIF(Monday!I:I, B531)</f>
        <v>0</v>
      </c>
      <c r="D531">
        <f>COUNTIF(Tuesday!I:I, B531)</f>
        <v>0</v>
      </c>
      <c r="E531">
        <f>COUNTIF(Wednesday!I:I, B531)</f>
        <v>0</v>
      </c>
      <c r="F531">
        <f>COUNTIF(Thursday!I:I, B531)</f>
        <v>0</v>
      </c>
      <c r="G531">
        <f>COUNTIF(Friday!I:I, B531)</f>
        <v>0</v>
      </c>
      <c r="H531">
        <f>SUM(C531:G531)</f>
        <v>0</v>
      </c>
    </row>
    <row r="532" spans="1:8" x14ac:dyDescent="0.25">
      <c r="A532" s="5" t="s">
        <v>524</v>
      </c>
      <c r="B532" t="str">
        <f>"*"&amp;A532&amp;"*"</f>
        <v>*3203: Error LED*</v>
      </c>
      <c r="C532">
        <f>COUNTIF(Monday!I:I, B532)</f>
        <v>0</v>
      </c>
      <c r="D532">
        <f>COUNTIF(Tuesday!I:I, B532)</f>
        <v>0</v>
      </c>
      <c r="E532">
        <f>COUNTIF(Wednesday!I:I, B532)</f>
        <v>0</v>
      </c>
      <c r="F532">
        <f>COUNTIF(Thursday!I:I, B532)</f>
        <v>0</v>
      </c>
      <c r="G532">
        <f>COUNTIF(Friday!I:I, B532)</f>
        <v>0</v>
      </c>
      <c r="H532">
        <f>SUM(C532:G532)</f>
        <v>0</v>
      </c>
    </row>
    <row r="533" spans="1:8" x14ac:dyDescent="0.25">
      <c r="A533" s="5" t="s">
        <v>525</v>
      </c>
      <c r="B533" t="str">
        <f>"*"&amp;A533&amp;"*"</f>
        <v>*1392: Difficult/Failure To Load Onto Guidewire*</v>
      </c>
      <c r="C533">
        <f>COUNTIF(Monday!I:I, B533)</f>
        <v>0</v>
      </c>
      <c r="D533">
        <f>COUNTIF(Tuesday!I:I, B533)</f>
        <v>0</v>
      </c>
      <c r="E533">
        <f>COUNTIF(Wednesday!I:I, B533)</f>
        <v>0</v>
      </c>
      <c r="F533">
        <f>COUNTIF(Thursday!I:I, B533)</f>
        <v>0</v>
      </c>
      <c r="G533">
        <f>COUNTIF(Friday!I:I, B533)</f>
        <v>0</v>
      </c>
      <c r="H533">
        <f>SUM(C533:G533)</f>
        <v>0</v>
      </c>
    </row>
    <row r="534" spans="1:8" x14ac:dyDescent="0.25">
      <c r="A534" s="5" t="s">
        <v>526</v>
      </c>
      <c r="B534" t="str">
        <f>"*"&amp;A534&amp;"*"</f>
        <v>*1280: Difficult To Advance Into Artery*</v>
      </c>
      <c r="C534">
        <f>COUNTIF(Monday!I:I, B534)</f>
        <v>0</v>
      </c>
      <c r="D534">
        <f>COUNTIF(Tuesday!I:I, B534)</f>
        <v>0</v>
      </c>
      <c r="E534">
        <f>COUNTIF(Wednesday!I:I, B534)</f>
        <v>0</v>
      </c>
      <c r="F534">
        <f>COUNTIF(Thursday!I:I, B534)</f>
        <v>0</v>
      </c>
      <c r="G534">
        <f>COUNTIF(Friday!I:I, B534)</f>
        <v>0</v>
      </c>
      <c r="H534">
        <f>SUM(C534:G534)</f>
        <v>0</v>
      </c>
    </row>
    <row r="535" spans="1:8" x14ac:dyDescent="0.25">
      <c r="A535" s="5" t="s">
        <v>527</v>
      </c>
      <c r="B535" t="str">
        <f>"*"&amp;A535&amp;"*"</f>
        <v>*1282: Difficult To Advance To Treatment Site*</v>
      </c>
      <c r="C535">
        <f>COUNTIF(Monday!I:I, B535)</f>
        <v>0</v>
      </c>
      <c r="D535">
        <f>COUNTIF(Tuesday!I:I, B535)</f>
        <v>0</v>
      </c>
      <c r="E535">
        <f>COUNTIF(Wednesday!I:I, B535)</f>
        <v>0</v>
      </c>
      <c r="F535">
        <f>COUNTIF(Thursday!I:I, B535)</f>
        <v>0</v>
      </c>
      <c r="G535">
        <f>COUNTIF(Friday!I:I, B535)</f>
        <v>0</v>
      </c>
      <c r="H535">
        <f>SUM(C535:G535)</f>
        <v>0</v>
      </c>
    </row>
    <row r="536" spans="1:8" x14ac:dyDescent="0.25">
      <c r="A536" s="5" t="s">
        <v>528</v>
      </c>
      <c r="B536" t="str">
        <f>"*"&amp;A536&amp;"*"</f>
        <v>*1347: Difficult To Remove Balloon*</v>
      </c>
      <c r="C536">
        <f>COUNTIF(Monday!I:I, B536)</f>
        <v>0</v>
      </c>
      <c r="D536">
        <f>COUNTIF(Tuesday!I:I, B536)</f>
        <v>0</v>
      </c>
      <c r="E536">
        <f>COUNTIF(Wednesday!I:I, B536)</f>
        <v>0</v>
      </c>
      <c r="F536">
        <f>COUNTIF(Thursday!I:I, B536)</f>
        <v>0</v>
      </c>
      <c r="G536">
        <f>COUNTIF(Friday!I:I, B536)</f>
        <v>0</v>
      </c>
      <c r="H536">
        <f>SUM(C536:G536)</f>
        <v>0</v>
      </c>
    </row>
    <row r="537" spans="1:8" x14ac:dyDescent="0.25">
      <c r="A537" s="5" t="s">
        <v>529</v>
      </c>
      <c r="B537" t="str">
        <f>"*"&amp;A537&amp;"*"</f>
        <v>*1657: Guidewire/Catheter Fit*</v>
      </c>
      <c r="C537">
        <f>COUNTIF(Monday!I:I, B537)</f>
        <v>0</v>
      </c>
      <c r="D537">
        <f>COUNTIF(Tuesday!I:I, B537)</f>
        <v>0</v>
      </c>
      <c r="E537">
        <f>COUNTIF(Wednesday!I:I, B537)</f>
        <v>0</v>
      </c>
      <c r="F537">
        <f>COUNTIF(Thursday!I:I, B537)</f>
        <v>0</v>
      </c>
      <c r="G537">
        <f>COUNTIF(Friday!I:I, B537)</f>
        <v>0</v>
      </c>
      <c r="H537">
        <f>SUM(C537:G537)</f>
        <v>0</v>
      </c>
    </row>
    <row r="538" spans="1:8" x14ac:dyDescent="0.25">
      <c r="A538" s="5" t="s">
        <v>530</v>
      </c>
      <c r="B538" t="str">
        <f>"*"&amp;A538&amp;"*"</f>
        <v>*1658: Guidewire/Instruments Do Not Fit*</v>
      </c>
      <c r="C538">
        <f>COUNTIF(Monday!I:I, B538)</f>
        <v>0</v>
      </c>
      <c r="D538">
        <f>COUNTIF(Tuesday!I:I, B538)</f>
        <v>0</v>
      </c>
      <c r="E538">
        <f>COUNTIF(Wednesday!I:I, B538)</f>
        <v>0</v>
      </c>
      <c r="F538">
        <f>COUNTIF(Thursday!I:I, B538)</f>
        <v>0</v>
      </c>
      <c r="G538">
        <f>COUNTIF(Friday!I:I, B538)</f>
        <v>0</v>
      </c>
      <c r="H538">
        <f>SUM(C538:G538)</f>
        <v>0</v>
      </c>
    </row>
    <row r="539" spans="1:8" x14ac:dyDescent="0.25">
      <c r="A539" s="5" t="s">
        <v>531</v>
      </c>
      <c r="B539" t="str">
        <f>"*"&amp;A539&amp;"*"</f>
        <v>*1008: Air In System/Component*</v>
      </c>
      <c r="C539">
        <f>COUNTIF(Monday!I:I, B539)</f>
        <v>0</v>
      </c>
      <c r="D539">
        <f>COUNTIF(Tuesday!I:I, B539)</f>
        <v>0</v>
      </c>
      <c r="E539">
        <f>COUNTIF(Wednesday!I:I, B539)</f>
        <v>0</v>
      </c>
      <c r="F539">
        <f>COUNTIF(Thursday!I:I, B539)</f>
        <v>0</v>
      </c>
      <c r="G539">
        <f>COUNTIF(Friday!I:I, B539)</f>
        <v>0</v>
      </c>
      <c r="H539">
        <f>SUM(C539:G539)</f>
        <v>0</v>
      </c>
    </row>
    <row r="540" spans="1:8" x14ac:dyDescent="0.25">
      <c r="A540" s="5" t="s">
        <v>532</v>
      </c>
      <c r="B540" t="str">
        <f>"*"&amp;A540&amp;"*"</f>
        <v>*1266: Device-Device Incompatibility*</v>
      </c>
      <c r="C540">
        <f>COUNTIF(Monday!I:I, B540)</f>
        <v>0</v>
      </c>
      <c r="D540">
        <f>COUNTIF(Tuesday!I:I, B540)</f>
        <v>0</v>
      </c>
      <c r="E540">
        <f>COUNTIF(Wednesday!I:I, B540)</f>
        <v>0</v>
      </c>
      <c r="F540">
        <f>COUNTIF(Thursday!I:I, B540)</f>
        <v>0</v>
      </c>
      <c r="G540">
        <f>COUNTIF(Friday!I:I, B540)</f>
        <v>0</v>
      </c>
      <c r="H540">
        <f>SUM(C540:G540)</f>
        <v>0</v>
      </c>
    </row>
    <row r="541" spans="1:8" x14ac:dyDescent="0.25">
      <c r="A541" s="5" t="s">
        <v>533</v>
      </c>
      <c r="B541" t="str">
        <f>"*"&amp;A541&amp;"*"</f>
        <v>*1387: Difficult/Failure To Deflect*</v>
      </c>
      <c r="C541">
        <f>COUNTIF(Monday!I:I, B541)</f>
        <v>0</v>
      </c>
      <c r="D541">
        <f>COUNTIF(Tuesday!I:I, B541)</f>
        <v>0</v>
      </c>
      <c r="E541">
        <f>COUNTIF(Wednesday!I:I, B541)</f>
        <v>0</v>
      </c>
      <c r="F541">
        <f>COUNTIF(Thursday!I:I, B541)</f>
        <v>0</v>
      </c>
      <c r="G541">
        <f>COUNTIF(Friday!I:I, B541)</f>
        <v>0</v>
      </c>
      <c r="H541">
        <f>SUM(C541:G541)</f>
        <v>0</v>
      </c>
    </row>
    <row r="542" spans="1:8" x14ac:dyDescent="0.25">
      <c r="A542" s="5" t="s">
        <v>534</v>
      </c>
      <c r="B542" t="str">
        <f>"*"&amp;A542&amp;"*"</f>
        <v>*1063: Burst*</v>
      </c>
      <c r="C542">
        <f>COUNTIF(Monday!I:I, B542)</f>
        <v>0</v>
      </c>
      <c r="D542">
        <f>COUNTIF(Tuesday!I:I, B542)</f>
        <v>0</v>
      </c>
      <c r="E542">
        <f>COUNTIF(Wednesday!I:I, B542)</f>
        <v>0</v>
      </c>
      <c r="F542">
        <f>COUNTIF(Thursday!I:I, B542)</f>
        <v>0</v>
      </c>
      <c r="G542">
        <f>COUNTIF(Friday!I:I, B542)</f>
        <v>0</v>
      </c>
      <c r="H542">
        <f>SUM(C542:G542)</f>
        <v>0</v>
      </c>
    </row>
    <row r="543" spans="1:8" x14ac:dyDescent="0.25">
      <c r="A543" s="5" t="s">
        <v>535</v>
      </c>
      <c r="B543" t="str">
        <f>"*"&amp;A543&amp;"*"</f>
        <v>*1510: Failure To Deflate*</v>
      </c>
      <c r="C543">
        <f>COUNTIF(Monday!I:I, B543)</f>
        <v>0</v>
      </c>
      <c r="D543">
        <f>COUNTIF(Tuesday!I:I, B543)</f>
        <v>0</v>
      </c>
      <c r="E543">
        <f>COUNTIF(Wednesday!I:I, B543)</f>
        <v>0</v>
      </c>
      <c r="F543">
        <f>COUNTIF(Thursday!I:I, B543)</f>
        <v>0</v>
      </c>
      <c r="G543">
        <f>COUNTIF(Friday!I:I, B543)</f>
        <v>0</v>
      </c>
      <c r="H543">
        <f>SUM(C543:G543)</f>
        <v>0</v>
      </c>
    </row>
    <row r="544" spans="1:8" x14ac:dyDescent="0.25">
      <c r="A544" s="5" t="s">
        <v>536</v>
      </c>
      <c r="B544" t="str">
        <f>"*"&amp;A544&amp;"*"</f>
        <v>*1727: Inflation Issue*</v>
      </c>
      <c r="C544">
        <f>COUNTIF(Monday!I:I, B544)</f>
        <v>0</v>
      </c>
      <c r="D544">
        <f>COUNTIF(Tuesday!I:I, B544)</f>
        <v>0</v>
      </c>
      <c r="E544">
        <f>COUNTIF(Wednesday!I:I, B544)</f>
        <v>0</v>
      </c>
      <c r="F544">
        <f>COUNTIF(Thursday!I:I, B544)</f>
        <v>0</v>
      </c>
      <c r="G544">
        <f>COUNTIF(Friday!I:I, B544)</f>
        <v>0</v>
      </c>
      <c r="H544">
        <f>SUM(C544:G544)</f>
        <v>0</v>
      </c>
    </row>
    <row r="545" spans="1:8" x14ac:dyDescent="0.25">
      <c r="A545" s="5" t="s">
        <v>537</v>
      </c>
      <c r="B545" t="str">
        <f>"*"&amp;A545&amp;"*"</f>
        <v>*1751: Irregular Shape*</v>
      </c>
      <c r="C545">
        <f>COUNTIF(Monday!I:I, B545)</f>
        <v>0</v>
      </c>
      <c r="D545">
        <f>COUNTIF(Tuesday!I:I, B545)</f>
        <v>0</v>
      </c>
      <c r="E545">
        <f>COUNTIF(Wednesday!I:I, B545)</f>
        <v>0</v>
      </c>
      <c r="F545">
        <f>COUNTIF(Thursday!I:I, B545)</f>
        <v>0</v>
      </c>
      <c r="G545">
        <f>COUNTIF(Friday!I:I, B545)</f>
        <v>0</v>
      </c>
      <c r="H545">
        <f>SUM(C545:G545)</f>
        <v>0</v>
      </c>
    </row>
    <row r="546" spans="1:8" x14ac:dyDescent="0.25">
      <c r="A546" s="5" t="s">
        <v>538</v>
      </c>
      <c r="B546" t="str">
        <f>"*"&amp;A546&amp;"*"</f>
        <v>*2237: Pressure Issue*</v>
      </c>
      <c r="C546">
        <f>COUNTIF(Monday!I:I, B546)</f>
        <v>0</v>
      </c>
      <c r="D546">
        <f>COUNTIF(Tuesday!I:I, B546)</f>
        <v>0</v>
      </c>
      <c r="E546">
        <f>COUNTIF(Wednesday!I:I, B546)</f>
        <v>0</v>
      </c>
      <c r="F546">
        <f>COUNTIF(Thursday!I:I, B546)</f>
        <v>0</v>
      </c>
      <c r="G546">
        <f>COUNTIF(Friday!I:I, B546)</f>
        <v>0</v>
      </c>
      <c r="H546">
        <f>SUM(C546:G546)</f>
        <v>0</v>
      </c>
    </row>
    <row r="547" spans="1:8" x14ac:dyDescent="0.25">
      <c r="A547" s="5" t="s">
        <v>539</v>
      </c>
      <c r="B547" t="str">
        <f>"*"&amp;A547&amp;"*"</f>
        <v>*2830: Double Balloon Damage*</v>
      </c>
      <c r="C547">
        <f>COUNTIF(Monday!I:I, B547)</f>
        <v>0</v>
      </c>
      <c r="D547">
        <f>COUNTIF(Tuesday!I:I, B547)</f>
        <v>0</v>
      </c>
      <c r="E547">
        <f>COUNTIF(Wednesday!I:I, B547)</f>
        <v>0</v>
      </c>
      <c r="F547">
        <f>COUNTIF(Thursday!I:I, B547)</f>
        <v>0</v>
      </c>
      <c r="G547">
        <f>COUNTIF(Friday!I:I, B547)</f>
        <v>0</v>
      </c>
      <c r="H547">
        <f>SUM(C547:G547)</f>
        <v>0</v>
      </c>
    </row>
    <row r="548" spans="1:8" x14ac:dyDescent="0.25">
      <c r="A548" s="5" t="s">
        <v>540</v>
      </c>
      <c r="B548" t="str">
        <f>"*"&amp;A548&amp;"*"</f>
        <v>*2861: Inner Balloon Leak*</v>
      </c>
      <c r="C548">
        <f>COUNTIF(Monday!I:I, B548)</f>
        <v>0</v>
      </c>
      <c r="D548">
        <f>COUNTIF(Tuesday!I:I, B548)</f>
        <v>0</v>
      </c>
      <c r="E548">
        <f>COUNTIF(Wednesday!I:I, B548)</f>
        <v>0</v>
      </c>
      <c r="F548">
        <f>COUNTIF(Thursday!I:I, B548)</f>
        <v>0</v>
      </c>
      <c r="G548">
        <f>COUNTIF(Friday!I:I, B548)</f>
        <v>0</v>
      </c>
      <c r="H548">
        <f>SUM(C548:G548)</f>
        <v>0</v>
      </c>
    </row>
    <row r="549" spans="1:8" x14ac:dyDescent="0.25">
      <c r="A549" s="5" t="s">
        <v>541</v>
      </c>
      <c r="B549" t="str">
        <f>"*"&amp;A549&amp;"*"</f>
        <v>*2863: Outer Balloon Leak*</v>
      </c>
      <c r="C549">
        <f>COUNTIF(Monday!I:I, B549)</f>
        <v>0</v>
      </c>
      <c r="D549">
        <f>COUNTIF(Tuesday!I:I, B549)</f>
        <v>0</v>
      </c>
      <c r="E549">
        <f>COUNTIF(Wednesday!I:I, B549)</f>
        <v>0</v>
      </c>
      <c r="F549">
        <f>COUNTIF(Thursday!I:I, B549)</f>
        <v>0</v>
      </c>
      <c r="G549">
        <f>COUNTIF(Friday!I:I, B549)</f>
        <v>0</v>
      </c>
      <c r="H549">
        <f>SUM(C549:G549)</f>
        <v>0</v>
      </c>
    </row>
    <row r="550" spans="1:8" x14ac:dyDescent="0.25">
      <c r="A550" s="5" t="s">
        <v>542</v>
      </c>
      <c r="B550" t="str">
        <f>"*"&amp;A550&amp;"*"</f>
        <v>*2864: Poor Occlusion*</v>
      </c>
      <c r="C550">
        <f>COUNTIF(Monday!I:I, B550)</f>
        <v>0</v>
      </c>
      <c r="D550">
        <f>COUNTIF(Tuesday!I:I, B550)</f>
        <v>0</v>
      </c>
      <c r="E550">
        <f>COUNTIF(Wednesday!I:I, B550)</f>
        <v>0</v>
      </c>
      <c r="F550">
        <f>COUNTIF(Thursday!I:I, B550)</f>
        <v>0</v>
      </c>
      <c r="G550">
        <f>COUNTIF(Friday!I:I, B550)</f>
        <v>0</v>
      </c>
      <c r="H550">
        <f>SUM(C550:G550)</f>
        <v>0</v>
      </c>
    </row>
    <row r="551" spans="1:8" x14ac:dyDescent="0.25">
      <c r="A551" s="5" t="s">
        <v>543</v>
      </c>
      <c r="B551" t="str">
        <f>"*"&amp;A551&amp;"*"</f>
        <v>*3053: Early/Unintended Deflation*</v>
      </c>
      <c r="C551">
        <f>COUNTIF(Monday!I:I, B551)</f>
        <v>0</v>
      </c>
      <c r="D551">
        <f>COUNTIF(Tuesday!I:I, B551)</f>
        <v>0</v>
      </c>
      <c r="E551">
        <f>COUNTIF(Wednesday!I:I, B551)</f>
        <v>0</v>
      </c>
      <c r="F551">
        <f>COUNTIF(Thursday!I:I, B551)</f>
        <v>0</v>
      </c>
      <c r="G551">
        <f>COUNTIF(Friday!I:I, B551)</f>
        <v>0</v>
      </c>
      <c r="H551">
        <f>SUM(C551:G551)</f>
        <v>0</v>
      </c>
    </row>
    <row r="552" spans="1:8" x14ac:dyDescent="0.25">
      <c r="A552" s="6" t="s">
        <v>544</v>
      </c>
      <c r="B552" t="str">
        <f>"*"&amp;A552&amp;"*"</f>
        <v>*1623: Flow Issue*</v>
      </c>
      <c r="C552">
        <f>COUNTIF(Monday!I:I, B552)</f>
        <v>0</v>
      </c>
      <c r="D552">
        <f>COUNTIF(Tuesday!I:I, B552)</f>
        <v>0</v>
      </c>
      <c r="E552">
        <f>COUNTIF(Wednesday!I:I, B552)</f>
        <v>0</v>
      </c>
      <c r="F552">
        <f>COUNTIF(Thursday!I:I, B552)</f>
        <v>0</v>
      </c>
      <c r="G552">
        <f>COUNTIF(Friday!I:I, B552)</f>
        <v>0</v>
      </c>
      <c r="H552">
        <f>SUM(C552:G552)</f>
        <v>0</v>
      </c>
    </row>
    <row r="553" spans="1:8" x14ac:dyDescent="0.25">
      <c r="A553" s="5" t="s">
        <v>545</v>
      </c>
      <c r="B553" t="str">
        <f>"*"&amp;A553&amp;"*"</f>
        <v>*2866: Visible Blood*</v>
      </c>
      <c r="C553">
        <f>COUNTIF(Monday!I:I, B553)</f>
        <v>0</v>
      </c>
      <c r="D553">
        <f>COUNTIF(Tuesday!I:I, B553)</f>
        <v>0</v>
      </c>
      <c r="E553">
        <f>COUNTIF(Wednesday!I:I, B553)</f>
        <v>0</v>
      </c>
      <c r="F553">
        <f>COUNTIF(Thursday!I:I, B553)</f>
        <v>0</v>
      </c>
      <c r="G553">
        <f>COUNTIF(Friday!I:I, B553)</f>
        <v>0</v>
      </c>
      <c r="H553">
        <f>SUM(C553:G553)</f>
        <v>0</v>
      </c>
    </row>
    <row r="554" spans="1:8" x14ac:dyDescent="0.25">
      <c r="A554" s="5" t="s">
        <v>546</v>
      </c>
      <c r="B554" t="str">
        <f>"*"&amp;A554&amp;"*"</f>
        <v>*1482: Failure To Advance*</v>
      </c>
      <c r="C554">
        <f>COUNTIF(Monday!I:I, B554)</f>
        <v>0</v>
      </c>
      <c r="D554">
        <f>COUNTIF(Tuesday!I:I, B554)</f>
        <v>0</v>
      </c>
      <c r="E554">
        <f>COUNTIF(Wednesday!I:I, B554)</f>
        <v>0</v>
      </c>
      <c r="F554">
        <f>COUNTIF(Thursday!I:I, B554)</f>
        <v>0</v>
      </c>
      <c r="G554">
        <f>COUNTIF(Friday!I:I, B554)</f>
        <v>0</v>
      </c>
      <c r="H554">
        <f>SUM(C554:G554)</f>
        <v>0</v>
      </c>
    </row>
    <row r="555" spans="1:8" x14ac:dyDescent="0.25">
      <c r="A555" s="5" t="s">
        <v>547</v>
      </c>
      <c r="B555" t="str">
        <f>"*"&amp;A555&amp;"*"</f>
        <v>*1733: Insufficient Cooling*</v>
      </c>
      <c r="C555">
        <f>COUNTIF(Monday!I:I, B555)</f>
        <v>0</v>
      </c>
      <c r="D555">
        <f>COUNTIF(Tuesday!I:I, B555)</f>
        <v>0</v>
      </c>
      <c r="E555">
        <f>COUNTIF(Wednesday!I:I, B555)</f>
        <v>0</v>
      </c>
      <c r="F555">
        <f>COUNTIF(Thursday!I:I, B555)</f>
        <v>0</v>
      </c>
      <c r="G555">
        <f>COUNTIF(Friday!I:I, B555)</f>
        <v>0</v>
      </c>
      <c r="H555">
        <f>SUM(C555:G555)</f>
        <v>0</v>
      </c>
    </row>
    <row r="556" spans="1:8" x14ac:dyDescent="0.25">
      <c r="A556" s="5" t="s">
        <v>548</v>
      </c>
      <c r="B556" t="str">
        <f>"*"&amp;A556&amp;"*"</f>
        <v>*2862: Leak Detection Issue*</v>
      </c>
      <c r="C556">
        <f>COUNTIF(Monday!I:I, B556)</f>
        <v>0</v>
      </c>
      <c r="D556">
        <f>COUNTIF(Tuesday!I:I, B556)</f>
        <v>0</v>
      </c>
      <c r="E556">
        <f>COUNTIF(Wednesday!I:I, B556)</f>
        <v>0</v>
      </c>
      <c r="F556">
        <f>COUNTIF(Thursday!I:I, B556)</f>
        <v>0</v>
      </c>
      <c r="G556">
        <f>COUNTIF(Friday!I:I, B556)</f>
        <v>0</v>
      </c>
      <c r="H556">
        <f>SUM(C556:G556)</f>
        <v>0</v>
      </c>
    </row>
    <row r="557" spans="1:8" x14ac:dyDescent="0.25">
      <c r="A557" s="5" t="s">
        <v>549</v>
      </c>
      <c r="B557" t="str">
        <f>"*"&amp;A557&amp;"*"</f>
        <v>*3054: Excess Flow*</v>
      </c>
      <c r="C557">
        <f>COUNTIF(Monday!I:I, B557)</f>
        <v>0</v>
      </c>
      <c r="D557">
        <f>COUNTIF(Tuesday!I:I, B557)</f>
        <v>0</v>
      </c>
      <c r="E557">
        <f>COUNTIF(Wednesday!I:I, B557)</f>
        <v>0</v>
      </c>
      <c r="F557">
        <f>COUNTIF(Thursday!I:I, B557)</f>
        <v>0</v>
      </c>
      <c r="G557">
        <f>COUNTIF(Friday!I:I, B557)</f>
        <v>0</v>
      </c>
      <c r="H557">
        <f>SUM(C557:G557)</f>
        <v>0</v>
      </c>
    </row>
    <row r="558" spans="1:8" x14ac:dyDescent="0.25">
      <c r="A558" s="5" t="s">
        <v>550</v>
      </c>
      <c r="B558" t="str">
        <f>"*"&amp;A558&amp;"*"</f>
        <v>*3057: Inner Balloon Shaft/Guidewire Lumen Deformed*</v>
      </c>
      <c r="C558">
        <f>COUNTIF(Monday!I:I, B558)</f>
        <v>0</v>
      </c>
      <c r="D558">
        <f>COUNTIF(Tuesday!I:I, B558)</f>
        <v>0</v>
      </c>
      <c r="E558">
        <f>COUNTIF(Wednesday!I:I, B558)</f>
        <v>0</v>
      </c>
      <c r="F558">
        <f>COUNTIF(Thursday!I:I, B558)</f>
        <v>0</v>
      </c>
      <c r="G558">
        <f>COUNTIF(Friday!I:I, B558)</f>
        <v>0</v>
      </c>
      <c r="H558">
        <f>SUM(C558:G558)</f>
        <v>0</v>
      </c>
    </row>
    <row r="559" spans="1:8" x14ac:dyDescent="0.25">
      <c r="A559" s="5" t="s">
        <v>551</v>
      </c>
      <c r="B559" t="str">
        <f>"*"&amp;A559&amp;"*"</f>
        <v>*3058: Insufficient Flow*</v>
      </c>
      <c r="C559">
        <f>COUNTIF(Monday!I:I, B559)</f>
        <v>0</v>
      </c>
      <c r="D559">
        <f>COUNTIF(Tuesday!I:I, B559)</f>
        <v>0</v>
      </c>
      <c r="E559">
        <f>COUNTIF(Wednesday!I:I, B559)</f>
        <v>0</v>
      </c>
      <c r="F559">
        <f>COUNTIF(Thursday!I:I, B559)</f>
        <v>0</v>
      </c>
      <c r="G559">
        <f>COUNTIF(Friday!I:I, B559)</f>
        <v>0</v>
      </c>
      <c r="H559">
        <f>SUM(C559:G559)</f>
        <v>0</v>
      </c>
    </row>
    <row r="560" spans="1:8" x14ac:dyDescent="0.25">
      <c r="A560" s="5" t="s">
        <v>552</v>
      </c>
      <c r="B560" t="str">
        <f>"*"&amp;A560&amp;"*"</f>
        <v>*3065: Unable to Withdraw*</v>
      </c>
      <c r="C560">
        <f>COUNTIF(Monday!I:I, B560)</f>
        <v>0</v>
      </c>
      <c r="D560">
        <f>COUNTIF(Tuesday!I:I, B560)</f>
        <v>0</v>
      </c>
      <c r="E560">
        <f>COUNTIF(Wednesday!I:I, B560)</f>
        <v>0</v>
      </c>
      <c r="F560">
        <f>COUNTIF(Thursday!I:I, B560)</f>
        <v>0</v>
      </c>
      <c r="G560">
        <f>COUNTIF(Friday!I:I, B560)</f>
        <v>0</v>
      </c>
      <c r="H560">
        <f>SUM(C560:G560)</f>
        <v>0</v>
      </c>
    </row>
    <row r="561" spans="1:8" x14ac:dyDescent="0.25">
      <c r="A561" s="6" t="s">
        <v>553</v>
      </c>
      <c r="B561" t="str">
        <f>"*"&amp;A561&amp;"*"</f>
        <v>*3075: Expiration Error "Has Been Used For More Than 12 Hours"*</v>
      </c>
      <c r="C561">
        <f>COUNTIF(Monday!I:I, B561)</f>
        <v>0</v>
      </c>
      <c r="D561">
        <f>COUNTIF(Tuesday!I:I, B561)</f>
        <v>0</v>
      </c>
      <c r="E561">
        <f>COUNTIF(Wednesday!I:I, B561)</f>
        <v>0</v>
      </c>
      <c r="F561">
        <f>COUNTIF(Thursday!I:I, B561)</f>
        <v>0</v>
      </c>
      <c r="G561">
        <f>COUNTIF(Friday!I:I, B561)</f>
        <v>0</v>
      </c>
      <c r="H561">
        <f>SUM(C561:G561)</f>
        <v>0</v>
      </c>
    </row>
    <row r="562" spans="1:8" x14ac:dyDescent="0.25">
      <c r="A562" s="5" t="s">
        <v>554</v>
      </c>
      <c r="B562" t="str">
        <f>"*"&amp;A562&amp;"*"</f>
        <v>*2605: Sharp Edges*</v>
      </c>
      <c r="C562">
        <f>COUNTIF(Monday!I:I, B562)</f>
        <v>0</v>
      </c>
      <c r="D562">
        <f>COUNTIF(Tuesday!I:I, B562)</f>
        <v>0</v>
      </c>
      <c r="E562">
        <f>COUNTIF(Wednesday!I:I, B562)</f>
        <v>0</v>
      </c>
      <c r="F562">
        <f>COUNTIF(Thursday!I:I, B562)</f>
        <v>0</v>
      </c>
      <c r="G562">
        <f>COUNTIF(Friday!I:I, B562)</f>
        <v>0</v>
      </c>
      <c r="H562">
        <f>SUM(C562:G562)</f>
        <v>0</v>
      </c>
    </row>
    <row r="563" spans="1:8" x14ac:dyDescent="0.25">
      <c r="A563" s="6" t="s">
        <v>555</v>
      </c>
      <c r="B563" t="str">
        <f>"*"&amp;A563&amp;"*"</f>
        <v>*2401: Temperature Issue*</v>
      </c>
      <c r="C563">
        <f>COUNTIF(Monday!I:I, B563)</f>
        <v>0</v>
      </c>
      <c r="D563">
        <f>COUNTIF(Tuesday!I:I, B563)</f>
        <v>0</v>
      </c>
      <c r="E563">
        <f>COUNTIF(Wednesday!I:I, B563)</f>
        <v>0</v>
      </c>
      <c r="F563">
        <f>COUNTIF(Thursday!I:I, B563)</f>
        <v>0</v>
      </c>
      <c r="G563">
        <f>COUNTIF(Friday!I:I, B563)</f>
        <v>0</v>
      </c>
      <c r="H563">
        <f>SUM(C563:G563)</f>
        <v>0</v>
      </c>
    </row>
    <row r="564" spans="1:8" x14ac:dyDescent="0.25">
      <c r="A564" s="5" t="s">
        <v>556</v>
      </c>
      <c r="B564" t="str">
        <f>"*"&amp;A564&amp;"*"</f>
        <v>*2831: SN 2 - 00000001-1: The Console Has Detected A Hardware Problem*</v>
      </c>
      <c r="C564">
        <f>COUNTIF(Monday!I:I, B564)</f>
        <v>0</v>
      </c>
      <c r="D564">
        <f>COUNTIF(Tuesday!I:I, B564)</f>
        <v>0</v>
      </c>
      <c r="E564">
        <f>COUNTIF(Wednesday!I:I, B564)</f>
        <v>0</v>
      </c>
      <c r="F564">
        <f>COUNTIF(Thursday!I:I, B564)</f>
        <v>0</v>
      </c>
      <c r="G564">
        <f>COUNTIF(Friday!I:I, B564)</f>
        <v>0</v>
      </c>
      <c r="H564">
        <f>SUM(C564:G564)</f>
        <v>0</v>
      </c>
    </row>
    <row r="565" spans="1:8" x14ac:dyDescent="0.25">
      <c r="A565" s="5" t="s">
        <v>557</v>
      </c>
      <c r="B565" t="str">
        <f>"*"&amp;A565&amp;"*"</f>
        <v>*2832: SN 2 - 00000002-1: The Console Has Detected A Hardware Problem*</v>
      </c>
      <c r="C565">
        <f>COUNTIF(Monday!I:I, B565)</f>
        <v>0</v>
      </c>
      <c r="D565">
        <f>COUNTIF(Tuesday!I:I, B565)</f>
        <v>0</v>
      </c>
      <c r="E565">
        <f>COUNTIF(Wednesday!I:I, B565)</f>
        <v>0</v>
      </c>
      <c r="F565">
        <f>COUNTIF(Thursday!I:I, B565)</f>
        <v>0</v>
      </c>
      <c r="G565">
        <f>COUNTIF(Friday!I:I, B565)</f>
        <v>0</v>
      </c>
      <c r="H565">
        <f>SUM(C565:G565)</f>
        <v>0</v>
      </c>
    </row>
    <row r="566" spans="1:8" x14ac:dyDescent="0.25">
      <c r="A566" s="5" t="s">
        <v>558</v>
      </c>
      <c r="B566" t="str">
        <f>"*"&amp;A566&amp;"*"</f>
        <v>*2833: SN 2 - 00000002-2: The Console Has Failed The Self Test*</v>
      </c>
      <c r="C566">
        <f>COUNTIF(Monday!I:I, B566)</f>
        <v>0</v>
      </c>
      <c r="D566">
        <f>COUNTIF(Tuesday!I:I, B566)</f>
        <v>0</v>
      </c>
      <c r="E566">
        <f>COUNTIF(Wednesday!I:I, B566)</f>
        <v>0</v>
      </c>
      <c r="F566">
        <f>COUNTIF(Thursday!I:I, B566)</f>
        <v>0</v>
      </c>
      <c r="G566">
        <f>COUNTIF(Friday!I:I, B566)</f>
        <v>0</v>
      </c>
      <c r="H566">
        <f>SUM(C566:G566)</f>
        <v>0</v>
      </c>
    </row>
    <row r="567" spans="1:8" x14ac:dyDescent="0.25">
      <c r="A567" s="5" t="s">
        <v>559</v>
      </c>
      <c r="B567" t="str">
        <f>"*"&amp;A567&amp;"*"</f>
        <v>*2834: SN 2 - 00000004-1: High Refrigerant Flow Detected*</v>
      </c>
      <c r="C567">
        <f>COUNTIF(Monday!I:I, B567)</f>
        <v>0</v>
      </c>
      <c r="D567">
        <f>COUNTIF(Tuesday!I:I, B567)</f>
        <v>0</v>
      </c>
      <c r="E567">
        <f>COUNTIF(Wednesday!I:I, B567)</f>
        <v>0</v>
      </c>
      <c r="F567">
        <f>COUNTIF(Thursday!I:I, B567)</f>
        <v>0</v>
      </c>
      <c r="G567">
        <f>COUNTIF(Friday!I:I, B567)</f>
        <v>0</v>
      </c>
      <c r="H567">
        <f>SUM(C567:G567)</f>
        <v>0</v>
      </c>
    </row>
    <row r="568" spans="1:8" x14ac:dyDescent="0.25">
      <c r="A568" s="5" t="s">
        <v>560</v>
      </c>
      <c r="B568" t="str">
        <f>"*"&amp;A568&amp;"*"</f>
        <v>*2835: SN 1 - 00000004-2: The Inner Balloon Pressure Is Too High*</v>
      </c>
      <c r="C568">
        <f>COUNTIF(Monday!I:I, B568)</f>
        <v>0</v>
      </c>
      <c r="D568">
        <f>COUNTIF(Tuesday!I:I, B568)</f>
        <v>0</v>
      </c>
      <c r="E568">
        <f>COUNTIF(Wednesday!I:I, B568)</f>
        <v>0</v>
      </c>
      <c r="F568">
        <f>COUNTIF(Thursday!I:I, B568)</f>
        <v>0</v>
      </c>
      <c r="G568">
        <f>COUNTIF(Friday!I:I, B568)</f>
        <v>0</v>
      </c>
      <c r="H568">
        <f>SUM(C568:G568)</f>
        <v>0</v>
      </c>
    </row>
    <row r="569" spans="1:8" x14ac:dyDescent="0.25">
      <c r="A569" s="5" t="s">
        <v>561</v>
      </c>
      <c r="B569" t="str">
        <f>"*"&amp;A569&amp;"*"</f>
        <v>*2836: SN 2 - 00000008-1: Refrigerant Flow Obstruction Detected*</v>
      </c>
      <c r="C569">
        <f>COUNTIF(Monday!I:I, B569)</f>
        <v>0</v>
      </c>
      <c r="D569">
        <f>COUNTIF(Tuesday!I:I, B569)</f>
        <v>0</v>
      </c>
      <c r="E569">
        <f>COUNTIF(Wednesday!I:I, B569)</f>
        <v>0</v>
      </c>
      <c r="F569">
        <f>COUNTIF(Thursday!I:I, B569)</f>
        <v>0</v>
      </c>
      <c r="G569">
        <f>COUNTIF(Friday!I:I, B569)</f>
        <v>0</v>
      </c>
      <c r="H569">
        <f>SUM(C569:G569)</f>
        <v>0</v>
      </c>
    </row>
    <row r="570" spans="1:8" x14ac:dyDescent="0.25">
      <c r="A570" s="5" t="s">
        <v>562</v>
      </c>
      <c r="B570" t="str">
        <f>"*"&amp;A570&amp;"*"</f>
        <v>*2837: SN 2 - 04000000-1: The Console Has Failed The Self Test*</v>
      </c>
      <c r="C570">
        <f>COUNTIF(Monday!I:I, B570)</f>
        <v>0</v>
      </c>
      <c r="D570">
        <f>COUNTIF(Tuesday!I:I, B570)</f>
        <v>0</v>
      </c>
      <c r="E570">
        <f>COUNTIF(Wednesday!I:I, B570)</f>
        <v>0</v>
      </c>
      <c r="F570">
        <f>COUNTIF(Thursday!I:I, B570)</f>
        <v>0</v>
      </c>
      <c r="G570">
        <f>COUNTIF(Friday!I:I, B570)</f>
        <v>0</v>
      </c>
      <c r="H570">
        <f>SUM(C570:G570)</f>
        <v>0</v>
      </c>
    </row>
    <row r="571" spans="1:8" x14ac:dyDescent="0.25">
      <c r="A571" s="5" t="s">
        <v>563</v>
      </c>
      <c r="B571" t="str">
        <f>"*"&amp;A571&amp;"*"</f>
        <v>*2838: SN 1 - 00000008-2: The Inner Balloon Pressure Is Too Low*</v>
      </c>
      <c r="C571">
        <f>COUNTIF(Monday!I:I, B571)</f>
        <v>0</v>
      </c>
      <c r="D571">
        <f>COUNTIF(Tuesday!I:I, B571)</f>
        <v>0</v>
      </c>
      <c r="E571">
        <f>COUNTIF(Wednesday!I:I, B571)</f>
        <v>0</v>
      </c>
      <c r="F571">
        <f>COUNTIF(Thursday!I:I, B571)</f>
        <v>0</v>
      </c>
      <c r="G571">
        <f>COUNTIF(Friday!I:I, B571)</f>
        <v>0</v>
      </c>
      <c r="H571">
        <f>SUM(C571:G571)</f>
        <v>0</v>
      </c>
    </row>
    <row r="572" spans="1:8" x14ac:dyDescent="0.25">
      <c r="A572" s="5" t="s">
        <v>564</v>
      </c>
      <c r="B572" t="str">
        <f>"*"&amp;A572&amp;"*"</f>
        <v>*2839: SN 2 - 00000080-1: The Console Detected That The Vacuum Was Disabled Unexpectedly*</v>
      </c>
      <c r="C572">
        <f>COUNTIF(Monday!I:I, B572)</f>
        <v>0</v>
      </c>
      <c r="D572">
        <f>COUNTIF(Tuesday!I:I, B572)</f>
        <v>0</v>
      </c>
      <c r="E572">
        <f>COUNTIF(Wednesday!I:I, B572)</f>
        <v>0</v>
      </c>
      <c r="F572">
        <f>COUNTIF(Thursday!I:I, B572)</f>
        <v>0</v>
      </c>
      <c r="G572">
        <f>COUNTIF(Friday!I:I, B572)</f>
        <v>0</v>
      </c>
      <c r="H572">
        <f>SUM(C572:G572)</f>
        <v>0</v>
      </c>
    </row>
    <row r="573" spans="1:8" x14ac:dyDescent="0.25">
      <c r="A573" s="5" t="s">
        <v>565</v>
      </c>
      <c r="B573" t="str">
        <f>"*"&amp;A573&amp;"*"</f>
        <v>*2840: SN 2 - 00400000-1: The Scavenging Line Pressure Is Too High*</v>
      </c>
      <c r="C573">
        <f>COUNTIF(Monday!I:I, B573)</f>
        <v>0</v>
      </c>
      <c r="D573">
        <f>COUNTIF(Tuesday!I:I, B573)</f>
        <v>0</v>
      </c>
      <c r="E573">
        <f>COUNTIF(Wednesday!I:I, B573)</f>
        <v>0</v>
      </c>
      <c r="F573">
        <f>COUNTIF(Thursday!I:I, B573)</f>
        <v>0</v>
      </c>
      <c r="G573">
        <f>COUNTIF(Friday!I:I, B573)</f>
        <v>0</v>
      </c>
      <c r="H573">
        <f>SUM(C573:G573)</f>
        <v>0</v>
      </c>
    </row>
    <row r="574" spans="1:8" x14ac:dyDescent="0.25">
      <c r="A574" s="5" t="s">
        <v>566</v>
      </c>
      <c r="B574" t="str">
        <f>"*"&amp;A574&amp;"*"</f>
        <v>*2841: SN 00000020-1: Low Refrigerant Level In The Tank*</v>
      </c>
      <c r="C574">
        <f>COUNTIF(Monday!I:I, B574)</f>
        <v>0</v>
      </c>
      <c r="D574">
        <f>COUNTIF(Tuesday!I:I, B574)</f>
        <v>0</v>
      </c>
      <c r="E574">
        <f>COUNTIF(Wednesday!I:I, B574)</f>
        <v>0</v>
      </c>
      <c r="F574">
        <f>COUNTIF(Thursday!I:I, B574)</f>
        <v>0</v>
      </c>
      <c r="G574">
        <f>COUNTIF(Friday!I:I, B574)</f>
        <v>0</v>
      </c>
      <c r="H574">
        <f>SUM(C574:G574)</f>
        <v>0</v>
      </c>
    </row>
    <row r="575" spans="1:8" x14ac:dyDescent="0.25">
      <c r="A575" s="5" t="s">
        <v>567</v>
      </c>
      <c r="B575" t="str">
        <f>"*"&amp;A575&amp;"*"</f>
        <v>*2842: SN 1 - 00000020-2: The Outer Balloon Pressure Is Too High*</v>
      </c>
      <c r="C575">
        <f>COUNTIF(Monday!I:I, B575)</f>
        <v>0</v>
      </c>
      <c r="D575">
        <f>COUNTIF(Tuesday!I:I, B575)</f>
        <v>0</v>
      </c>
      <c r="E575">
        <f>COUNTIF(Wednesday!I:I, B575)</f>
        <v>0</v>
      </c>
      <c r="F575">
        <f>COUNTIF(Thursday!I:I, B575)</f>
        <v>0</v>
      </c>
      <c r="G575">
        <f>COUNTIF(Friday!I:I, B575)</f>
        <v>0</v>
      </c>
      <c r="H575">
        <f>SUM(C575:G575)</f>
        <v>0</v>
      </c>
    </row>
    <row r="576" spans="1:8" x14ac:dyDescent="0.25">
      <c r="A576" s="5" t="s">
        <v>568</v>
      </c>
      <c r="B576" t="str">
        <f>"*"&amp;A576&amp;"*"</f>
        <v>*2843: SN 2 - 00000040-1: Insufficient Refrigerant Level In Tank To Perform A Procedure*</v>
      </c>
      <c r="C576">
        <f>COUNTIF(Monday!I:I, B576)</f>
        <v>0</v>
      </c>
      <c r="D576">
        <f>COUNTIF(Tuesday!I:I, B576)</f>
        <v>0</v>
      </c>
      <c r="E576">
        <f>COUNTIF(Wednesday!I:I, B576)</f>
        <v>0</v>
      </c>
      <c r="F576">
        <f>COUNTIF(Thursday!I:I, B576)</f>
        <v>0</v>
      </c>
      <c r="G576">
        <f>COUNTIF(Friday!I:I, B576)</f>
        <v>0</v>
      </c>
      <c r="H576">
        <f>SUM(C576:G576)</f>
        <v>0</v>
      </c>
    </row>
    <row r="577" spans="1:8" x14ac:dyDescent="0.25">
      <c r="A577" s="5" t="s">
        <v>569</v>
      </c>
      <c r="B577" t="str">
        <f>"*"&amp;A577&amp;"*"</f>
        <v>*2844: SN 2 - 00000010-1: The Console Detected That The Catheter Was Electrically Disconnected During Treatment*</v>
      </c>
      <c r="C577">
        <f>COUNTIF(Monday!I:I, B577)</f>
        <v>0</v>
      </c>
      <c r="D577">
        <f>COUNTIF(Tuesday!I:I, B577)</f>
        <v>0</v>
      </c>
      <c r="E577">
        <f>COUNTIF(Wednesday!I:I, B577)</f>
        <v>0</v>
      </c>
      <c r="F577">
        <f>COUNTIF(Thursday!I:I, B577)</f>
        <v>0</v>
      </c>
      <c r="G577">
        <f>COUNTIF(Friday!I:I, B577)</f>
        <v>0</v>
      </c>
      <c r="H577">
        <f>SUM(C577:G577)</f>
        <v>0</v>
      </c>
    </row>
    <row r="578" spans="1:8" x14ac:dyDescent="0.25">
      <c r="A578" s="5" t="s">
        <v>570</v>
      </c>
      <c r="B578" t="str">
        <f>"*"&amp;A578&amp;"*"</f>
        <v>*2845: SN 00000200-1: The Tank Pressure Is Too Low*</v>
      </c>
      <c r="C578">
        <f>COUNTIF(Monday!I:I, B578)</f>
        <v>0</v>
      </c>
      <c r="D578">
        <f>COUNTIF(Tuesday!I:I, B578)</f>
        <v>0</v>
      </c>
      <c r="E578">
        <f>COUNTIF(Wednesday!I:I, B578)</f>
        <v>0</v>
      </c>
      <c r="F578">
        <f>COUNTIF(Thursday!I:I, B578)</f>
        <v>0</v>
      </c>
      <c r="G578">
        <f>COUNTIF(Friday!I:I, B578)</f>
        <v>0</v>
      </c>
      <c r="H578">
        <f>SUM(C578:G578)</f>
        <v>0</v>
      </c>
    </row>
    <row r="579" spans="1:8" x14ac:dyDescent="0.25">
      <c r="A579" s="5" t="s">
        <v>571</v>
      </c>
      <c r="B579" t="str">
        <f>"*"&amp;A579&amp;"*"</f>
        <v>*2846: SN 1 - 00001000-2: The Balloon Temperature Is Too Low. The Catheter Might Be Too Deep In The Vein*</v>
      </c>
      <c r="C579">
        <f>COUNTIF(Monday!I:I, B579)</f>
        <v>0</v>
      </c>
      <c r="D579">
        <f>COUNTIF(Tuesday!I:I, B579)</f>
        <v>0</v>
      </c>
      <c r="E579">
        <f>COUNTIF(Wednesday!I:I, B579)</f>
        <v>0</v>
      </c>
      <c r="F579">
        <f>COUNTIF(Thursday!I:I, B579)</f>
        <v>0</v>
      </c>
      <c r="G579">
        <f>COUNTIF(Friday!I:I, B579)</f>
        <v>0</v>
      </c>
      <c r="H579">
        <f>SUM(C579:G579)</f>
        <v>0</v>
      </c>
    </row>
    <row r="580" spans="1:8" x14ac:dyDescent="0.25">
      <c r="A580" s="5" t="s">
        <v>572</v>
      </c>
      <c r="B580" t="str">
        <f>"*"&amp;A580&amp;"*"</f>
        <v>*2847: SN 2 - 00000400-1: The Tank Pressure Is Too High*</v>
      </c>
      <c r="C580">
        <f>COUNTIF(Monday!I:I, B580)</f>
        <v>0</v>
      </c>
      <c r="D580">
        <f>COUNTIF(Tuesday!I:I, B580)</f>
        <v>0</v>
      </c>
      <c r="E580">
        <f>COUNTIF(Wednesday!I:I, B580)</f>
        <v>0</v>
      </c>
      <c r="F580">
        <f>COUNTIF(Thursday!I:I, B580)</f>
        <v>0</v>
      </c>
      <c r="G580">
        <f>COUNTIF(Friday!I:I, B580)</f>
        <v>0</v>
      </c>
      <c r="H580">
        <f>SUM(C580:G580)</f>
        <v>0</v>
      </c>
    </row>
    <row r="581" spans="1:8" x14ac:dyDescent="0.25">
      <c r="A581" s="5" t="s">
        <v>573</v>
      </c>
      <c r="B581" t="str">
        <f>"*"&amp;A581&amp;"*"</f>
        <v>*2848: SN 2 - 00000800-1: The Console Has Detected A Software Problem*</v>
      </c>
      <c r="C581">
        <f>COUNTIF(Monday!I:I, B581)</f>
        <v>0</v>
      </c>
      <c r="D581">
        <f>COUNTIF(Tuesday!I:I, B581)</f>
        <v>0</v>
      </c>
      <c r="E581">
        <f>COUNTIF(Wednesday!I:I, B581)</f>
        <v>0</v>
      </c>
      <c r="F581">
        <f>COUNTIF(Thursday!I:I, B581)</f>
        <v>0</v>
      </c>
      <c r="G581">
        <f>COUNTIF(Friday!I:I, B581)</f>
        <v>0</v>
      </c>
      <c r="H581">
        <f>SUM(C581:G581)</f>
        <v>0</v>
      </c>
    </row>
    <row r="582" spans="1:8" x14ac:dyDescent="0.25">
      <c r="A582" s="5" t="s">
        <v>574</v>
      </c>
      <c r="B582" t="str">
        <f>"*"&amp;A582&amp;"*"</f>
        <v>*2849: SN 2 - 00002000-1: The Console Has Detected A Hardware Problem*</v>
      </c>
      <c r="C582">
        <f>COUNTIF(Monday!I:I, B582)</f>
        <v>0</v>
      </c>
      <c r="D582">
        <f>COUNTIF(Tuesday!I:I, B582)</f>
        <v>0</v>
      </c>
      <c r="E582">
        <f>COUNTIF(Wednesday!I:I, B582)</f>
        <v>0</v>
      </c>
      <c r="F582">
        <f>COUNTIF(Thursday!I:I, B582)</f>
        <v>0</v>
      </c>
      <c r="G582">
        <f>COUNTIF(Friday!I:I, B582)</f>
        <v>0</v>
      </c>
      <c r="H582">
        <f>SUM(C582:G582)</f>
        <v>0</v>
      </c>
    </row>
    <row r="583" spans="1:8" x14ac:dyDescent="0.25">
      <c r="A583" s="5" t="s">
        <v>575</v>
      </c>
      <c r="B583" t="str">
        <f>"*"&amp;A583&amp;"*"</f>
        <v>*2850: SN 1 - 00004000-2: The Console Detected Blood In The Catheter*</v>
      </c>
      <c r="C583">
        <f>COUNTIF(Monday!I:I, B583)</f>
        <v>0</v>
      </c>
      <c r="D583">
        <f>COUNTIF(Tuesday!I:I, B583)</f>
        <v>0</v>
      </c>
      <c r="E583">
        <f>COUNTIF(Wednesday!I:I, B583)</f>
        <v>0</v>
      </c>
      <c r="F583">
        <f>COUNTIF(Thursday!I:I, B583)</f>
        <v>0</v>
      </c>
      <c r="G583">
        <f>COUNTIF(Friday!I:I, B583)</f>
        <v>0</v>
      </c>
      <c r="H583">
        <f>SUM(C583:G583)</f>
        <v>0</v>
      </c>
    </row>
    <row r="584" spans="1:8" x14ac:dyDescent="0.25">
      <c r="A584" s="5" t="s">
        <v>576</v>
      </c>
      <c r="B584" t="str">
        <f>"*"&amp;A584&amp;"*"</f>
        <v>*2851: SN 2 - 00001000-1: The Injection Pressure Is Too High*</v>
      </c>
      <c r="C584">
        <f>COUNTIF(Monday!I:I, B584)</f>
        <v>0</v>
      </c>
      <c r="D584">
        <f>COUNTIF(Tuesday!I:I, B584)</f>
        <v>0</v>
      </c>
      <c r="E584">
        <f>COUNTIF(Wednesday!I:I, B584)</f>
        <v>0</v>
      </c>
      <c r="F584">
        <f>COUNTIF(Thursday!I:I, B584)</f>
        <v>0</v>
      </c>
      <c r="G584">
        <f>COUNTIF(Friday!I:I, B584)</f>
        <v>0</v>
      </c>
      <c r="H584">
        <f>SUM(C584:G584)</f>
        <v>0</v>
      </c>
    </row>
    <row r="585" spans="1:8" x14ac:dyDescent="0.25">
      <c r="A585" s="5" t="s">
        <v>577</v>
      </c>
      <c r="B585" t="str">
        <f>"*"&amp;A585&amp;"*"</f>
        <v>*2852: SN 2 - 00004000-1: Flow Obstruction Detected*</v>
      </c>
      <c r="C585">
        <f>COUNTIF(Monday!I:I, B585)</f>
        <v>0</v>
      </c>
      <c r="D585">
        <f>COUNTIF(Tuesday!I:I, B585)</f>
        <v>0</v>
      </c>
      <c r="E585">
        <f>COUNTIF(Wednesday!I:I, B585)</f>
        <v>0</v>
      </c>
      <c r="F585">
        <f>COUNTIF(Thursday!I:I, B585)</f>
        <v>0</v>
      </c>
      <c r="G585">
        <f>COUNTIF(Friday!I:I, B585)</f>
        <v>0</v>
      </c>
      <c r="H585">
        <f>SUM(C585:G585)</f>
        <v>0</v>
      </c>
    </row>
    <row r="586" spans="1:8" x14ac:dyDescent="0.25">
      <c r="A586" s="5" t="s">
        <v>578</v>
      </c>
      <c r="B586" t="str">
        <f>"*"&amp;A586&amp;"*"</f>
        <v>*2853: SN 2 - 00008000-1: The Console Has Detected A Hardware Problem*</v>
      </c>
      <c r="C586">
        <f>COUNTIF(Monday!I:I, B586)</f>
        <v>0</v>
      </c>
      <c r="D586">
        <f>COUNTIF(Tuesday!I:I, B586)</f>
        <v>0</v>
      </c>
      <c r="E586">
        <f>COUNTIF(Wednesday!I:I, B586)</f>
        <v>0</v>
      </c>
      <c r="F586">
        <f>COUNTIF(Thursday!I:I, B586)</f>
        <v>0</v>
      </c>
      <c r="G586">
        <f>COUNTIF(Friday!I:I, B586)</f>
        <v>0</v>
      </c>
      <c r="H586">
        <f>SUM(C586:G586)</f>
        <v>0</v>
      </c>
    </row>
    <row r="587" spans="1:8" x14ac:dyDescent="0.25">
      <c r="A587" s="5" t="s">
        <v>579</v>
      </c>
      <c r="B587" t="str">
        <f>"*"&amp;A587&amp;"*"</f>
        <v>*2854: SN 2 - 00010000-1: Flow Obstruction Detected*</v>
      </c>
      <c r="C587">
        <f>COUNTIF(Monday!I:I, B587)</f>
        <v>0</v>
      </c>
      <c r="D587">
        <f>COUNTIF(Tuesday!I:I, B587)</f>
        <v>0</v>
      </c>
      <c r="E587">
        <f>COUNTIF(Wednesday!I:I, B587)</f>
        <v>0</v>
      </c>
      <c r="F587">
        <f>COUNTIF(Thursday!I:I, B587)</f>
        <v>0</v>
      </c>
      <c r="G587">
        <f>COUNTIF(Friday!I:I, B587)</f>
        <v>0</v>
      </c>
      <c r="H587">
        <f>SUM(C587:G587)</f>
        <v>0</v>
      </c>
    </row>
    <row r="588" spans="1:8" x14ac:dyDescent="0.25">
      <c r="A588" s="5" t="s">
        <v>580</v>
      </c>
      <c r="B588" t="str">
        <f>"*"&amp;A588&amp;"*"</f>
        <v>*2855: SN 2 - 00020000-1: The Console Has Detected A Hardware Problem*</v>
      </c>
      <c r="C588">
        <f>COUNTIF(Monday!I:I, B588)</f>
        <v>0</v>
      </c>
      <c r="D588">
        <f>COUNTIF(Tuesday!I:I, B588)</f>
        <v>0</v>
      </c>
      <c r="E588">
        <f>COUNTIF(Wednesday!I:I, B588)</f>
        <v>0</v>
      </c>
      <c r="F588">
        <f>COUNTIF(Thursday!I:I, B588)</f>
        <v>0</v>
      </c>
      <c r="G588">
        <f>COUNTIF(Friday!I:I, B588)</f>
        <v>0</v>
      </c>
      <c r="H588">
        <f>SUM(C588:G588)</f>
        <v>0</v>
      </c>
    </row>
    <row r="589" spans="1:8" x14ac:dyDescent="0.25">
      <c r="A589" s="5" t="s">
        <v>581</v>
      </c>
      <c r="B589" t="str">
        <f>"*"&amp;A589&amp;"*"</f>
        <v>*2856: SN 00040000-1: The Subcooler Temperature Is Too High*</v>
      </c>
      <c r="C589">
        <f>COUNTIF(Monday!I:I, B589)</f>
        <v>0</v>
      </c>
      <c r="D589">
        <f>COUNTIF(Tuesday!I:I, B589)</f>
        <v>0</v>
      </c>
      <c r="E589">
        <f>COUNTIF(Wednesday!I:I, B589)</f>
        <v>0</v>
      </c>
      <c r="F589">
        <f>COUNTIF(Thursday!I:I, B589)</f>
        <v>0</v>
      </c>
      <c r="G589">
        <f>COUNTIF(Friday!I:I, B589)</f>
        <v>0</v>
      </c>
      <c r="H589">
        <f>SUM(C589:G589)</f>
        <v>0</v>
      </c>
    </row>
    <row r="590" spans="1:8" x14ac:dyDescent="0.25">
      <c r="A590" s="5" t="s">
        <v>582</v>
      </c>
      <c r="B590" t="str">
        <f>"*"&amp;A590&amp;"*"</f>
        <v>*2858: SN 2 - 00100000-1: The Console Has Detected A Hardware Problem*</v>
      </c>
      <c r="C590">
        <f>COUNTIF(Monday!I:I, B590)</f>
        <v>0</v>
      </c>
      <c r="D590">
        <f>COUNTIF(Tuesday!I:I, B590)</f>
        <v>0</v>
      </c>
      <c r="E590">
        <f>COUNTIF(Wednesday!I:I, B590)</f>
        <v>0</v>
      </c>
      <c r="F590">
        <f>COUNTIF(Thursday!I:I, B590)</f>
        <v>0</v>
      </c>
      <c r="G590">
        <f>COUNTIF(Friday!I:I, B590)</f>
        <v>0</v>
      </c>
      <c r="H590">
        <f>SUM(C590:G590)</f>
        <v>0</v>
      </c>
    </row>
    <row r="591" spans="1:8" x14ac:dyDescent="0.25">
      <c r="A591" s="5" t="s">
        <v>583</v>
      </c>
      <c r="B591" t="str">
        <f>"*"&amp;A591&amp;"*"</f>
        <v>*2859: SN 2 - 0003Fb12: The System Has Detected A Problem With The Communication System*</v>
      </c>
      <c r="C591">
        <f>COUNTIF(Monday!I:I, B591)</f>
        <v>0</v>
      </c>
      <c r="D591">
        <f>COUNTIF(Tuesday!I:I, B591)</f>
        <v>0</v>
      </c>
      <c r="E591">
        <f>COUNTIF(Wednesday!I:I, B591)</f>
        <v>0</v>
      </c>
      <c r="F591">
        <f>COUNTIF(Thursday!I:I, B591)</f>
        <v>0</v>
      </c>
      <c r="G591">
        <f>COUNTIF(Friday!I:I, B591)</f>
        <v>0</v>
      </c>
      <c r="H591">
        <f>SUM(C591:G591)</f>
        <v>0</v>
      </c>
    </row>
    <row r="592" spans="1:8" x14ac:dyDescent="0.25">
      <c r="A592" s="5" t="s">
        <v>584</v>
      </c>
      <c r="B592" t="str">
        <f>"*"&amp;A592&amp;"*"</f>
        <v>*2860: SN 2 - 0003Fb13: The System Has Detected A Problem With The Communication System*</v>
      </c>
      <c r="C592">
        <f>COUNTIF(Monday!I:I, B592)</f>
        <v>0</v>
      </c>
      <c r="D592">
        <f>COUNTIF(Tuesday!I:I, B592)</f>
        <v>0</v>
      </c>
      <c r="E592">
        <f>COUNTIF(Wednesday!I:I, B592)</f>
        <v>0</v>
      </c>
      <c r="F592">
        <f>COUNTIF(Thursday!I:I, B592)</f>
        <v>0</v>
      </c>
      <c r="G592">
        <f>COUNTIF(Friday!I:I, B592)</f>
        <v>0</v>
      </c>
      <c r="H592">
        <f>SUM(C592:G592)</f>
        <v>0</v>
      </c>
    </row>
    <row r="593" spans="1:8" x14ac:dyDescent="0.25">
      <c r="A593" s="5" t="s">
        <v>585</v>
      </c>
      <c r="B593" t="str">
        <f>"*"&amp;A593&amp;"*"</f>
        <v>*3060: N2O Leak*</v>
      </c>
      <c r="C593">
        <f>COUNTIF(Monday!I:I, B593)</f>
        <v>0</v>
      </c>
      <c r="D593">
        <f>COUNTIF(Tuesday!I:I, B593)</f>
        <v>0</v>
      </c>
      <c r="E593">
        <f>COUNTIF(Wednesday!I:I, B593)</f>
        <v>0</v>
      </c>
      <c r="F593">
        <f>COUNTIF(Thursday!I:I, B593)</f>
        <v>0</v>
      </c>
      <c r="G593">
        <f>COUNTIF(Friday!I:I, B593)</f>
        <v>0</v>
      </c>
      <c r="H593">
        <f>SUM(C593:G593)</f>
        <v>0</v>
      </c>
    </row>
    <row r="594" spans="1:8" x14ac:dyDescent="0.25">
      <c r="A594" s="5" t="s">
        <v>586</v>
      </c>
      <c r="B594" t="str">
        <f>"*"&amp;A594&amp;"*"</f>
        <v>*3061: SN 0003FB19: This System Is Running Critically Low On Disk Space*</v>
      </c>
      <c r="C594">
        <f>COUNTIF(Monday!I:I, B594)</f>
        <v>0</v>
      </c>
      <c r="D594">
        <f>COUNTIF(Tuesday!I:I, B594)</f>
        <v>0</v>
      </c>
      <c r="E594">
        <f>COUNTIF(Wednesday!I:I, B594)</f>
        <v>0</v>
      </c>
      <c r="F594">
        <f>COUNTIF(Thursday!I:I, B594)</f>
        <v>0</v>
      </c>
      <c r="G594">
        <f>COUNTIF(Friday!I:I, B594)</f>
        <v>0</v>
      </c>
      <c r="H594">
        <f>SUM(C594:G594)</f>
        <v>0</v>
      </c>
    </row>
    <row r="595" spans="1:8" x14ac:dyDescent="0.25">
      <c r="A595" s="5" t="s">
        <v>587</v>
      </c>
      <c r="B595" t="str">
        <f>"*"&amp;A595&amp;"*"</f>
        <v>*3062: SN 0003FB1B: This system Is Running Low On Disk Space*</v>
      </c>
      <c r="C595">
        <f>COUNTIF(Monday!I:I, B595)</f>
        <v>0</v>
      </c>
      <c r="D595">
        <f>COUNTIF(Tuesday!I:I, B595)</f>
        <v>0</v>
      </c>
      <c r="E595">
        <f>COUNTIF(Wednesday!I:I, B595)</f>
        <v>0</v>
      </c>
      <c r="F595">
        <f>COUNTIF(Thursday!I:I, B595)</f>
        <v>0</v>
      </c>
      <c r="G595">
        <f>COUNTIF(Friday!I:I, B595)</f>
        <v>0</v>
      </c>
      <c r="H595">
        <f>SUM(C595:G595)</f>
        <v>0</v>
      </c>
    </row>
    <row r="596" spans="1:8" x14ac:dyDescent="0.25">
      <c r="A596" s="5" t="s">
        <v>588</v>
      </c>
      <c r="B596" t="str">
        <f>"*"&amp;A596&amp;"*"</f>
        <v>*3063: SN 00200000-1: The system Has Detected A Stuck Command*</v>
      </c>
      <c r="C596">
        <f>COUNTIF(Monday!I:I, B596)</f>
        <v>0</v>
      </c>
      <c r="D596">
        <f>COUNTIF(Tuesday!I:I, B596)</f>
        <v>0</v>
      </c>
      <c r="E596">
        <f>COUNTIF(Wednesday!I:I, B596)</f>
        <v>0</v>
      </c>
      <c r="F596">
        <f>COUNTIF(Thursday!I:I, B596)</f>
        <v>0</v>
      </c>
      <c r="G596">
        <f>COUNTIF(Friday!I:I, B596)</f>
        <v>0</v>
      </c>
      <c r="H596">
        <f>SUM(C596:G596)</f>
        <v>0</v>
      </c>
    </row>
    <row r="597" spans="1:8" x14ac:dyDescent="0.25">
      <c r="A597" s="5" t="s">
        <v>589</v>
      </c>
      <c r="B597" t="str">
        <f>"*"&amp;A597&amp;"*"</f>
        <v>*3064: SN 1 - 00008000-2: The Console Detected A Problem With The Blood Detection Circuit In The Catheter*</v>
      </c>
      <c r="C597">
        <f>COUNTIF(Monday!I:I, B597)</f>
        <v>0</v>
      </c>
      <c r="D597">
        <f>COUNTIF(Tuesday!I:I, B597)</f>
        <v>0</v>
      </c>
      <c r="E597">
        <f>COUNTIF(Wednesday!I:I, B597)</f>
        <v>0</v>
      </c>
      <c r="F597">
        <f>COUNTIF(Thursday!I:I, B597)</f>
        <v>0</v>
      </c>
      <c r="G597">
        <f>COUNTIF(Friday!I:I, B597)</f>
        <v>0</v>
      </c>
      <c r="H597">
        <f>SUM(C597:G597)</f>
        <v>0</v>
      </c>
    </row>
    <row r="598" spans="1:8" x14ac:dyDescent="0.25">
      <c r="A598" s="6" t="s">
        <v>590</v>
      </c>
      <c r="B598" t="str">
        <f>"*"&amp;A598&amp;"*"</f>
        <v>*3079: High Injection Pressure*</v>
      </c>
      <c r="C598">
        <f>COUNTIF(Monday!I:I, B598)</f>
        <v>0</v>
      </c>
      <c r="D598">
        <f>COUNTIF(Tuesday!I:I, B598)</f>
        <v>0</v>
      </c>
      <c r="E598">
        <f>COUNTIF(Wednesday!I:I, B598)</f>
        <v>0</v>
      </c>
      <c r="F598">
        <f>COUNTIF(Thursday!I:I, B598)</f>
        <v>0</v>
      </c>
      <c r="G598">
        <f>COUNTIF(Friday!I:I, B598)</f>
        <v>0</v>
      </c>
      <c r="H598">
        <f>SUM(C598:G598)</f>
        <v>0</v>
      </c>
    </row>
    <row r="599" spans="1:8" x14ac:dyDescent="0.25">
      <c r="A599" s="6" t="s">
        <v>591</v>
      </c>
      <c r="B599" t="str">
        <f>"*"&amp;A599&amp;"*"</f>
        <v>*3083: Low Injection Pressure*</v>
      </c>
      <c r="C599">
        <f>COUNTIF(Monday!I:I, B599)</f>
        <v>0</v>
      </c>
      <c r="D599">
        <f>COUNTIF(Tuesday!I:I, B599)</f>
        <v>0</v>
      </c>
      <c r="E599">
        <f>COUNTIF(Wednesday!I:I, B599)</f>
        <v>0</v>
      </c>
      <c r="F599">
        <f>COUNTIF(Thursday!I:I, B599)</f>
        <v>0</v>
      </c>
      <c r="G599">
        <f>COUNTIF(Friday!I:I, B599)</f>
        <v>0</v>
      </c>
      <c r="H599">
        <f>SUM(C599:G599)</f>
        <v>0</v>
      </c>
    </row>
    <row r="600" spans="1:8" x14ac:dyDescent="0.25">
      <c r="A600" s="6" t="s">
        <v>592</v>
      </c>
      <c r="B600" t="str">
        <f>"*"&amp;A600&amp;"*"</f>
        <v>*3103: Tank Weight Issue*</v>
      </c>
      <c r="C600">
        <f>COUNTIF(Monday!I:I, B600)</f>
        <v>0</v>
      </c>
      <c r="D600">
        <f>COUNTIF(Tuesday!I:I, B600)</f>
        <v>0</v>
      </c>
      <c r="E600">
        <f>COUNTIF(Wednesday!I:I, B600)</f>
        <v>0</v>
      </c>
      <c r="F600">
        <f>COUNTIF(Thursday!I:I, B600)</f>
        <v>0</v>
      </c>
      <c r="G600">
        <f>COUNTIF(Friday!I:I, B600)</f>
        <v>0</v>
      </c>
      <c r="H600">
        <f>SUM(C600:G600)</f>
        <v>0</v>
      </c>
    </row>
    <row r="601" spans="1:8" x14ac:dyDescent="0.25">
      <c r="A601" s="6" t="s">
        <v>593</v>
      </c>
      <c r="B601" t="str">
        <f>"*"&amp;A601&amp;"*"</f>
        <v>*3109: Valve Issue*</v>
      </c>
      <c r="C601">
        <f>COUNTIF(Monday!I:I, B601)</f>
        <v>0</v>
      </c>
      <c r="D601">
        <f>COUNTIF(Tuesday!I:I, B601)</f>
        <v>0</v>
      </c>
      <c r="E601">
        <f>COUNTIF(Wednesday!I:I, B601)</f>
        <v>0</v>
      </c>
      <c r="F601">
        <f>COUNTIF(Thursday!I:I, B601)</f>
        <v>0</v>
      </c>
      <c r="G601">
        <f>COUNTIF(Friday!I:I, B601)</f>
        <v>0</v>
      </c>
      <c r="H601">
        <f>SUM(C601:G601)</f>
        <v>0</v>
      </c>
    </row>
    <row r="602" spans="1:8" x14ac:dyDescent="0.25">
      <c r="A602" s="5" t="s">
        <v>594</v>
      </c>
      <c r="B602" t="str">
        <f>"*"&amp;A602&amp;"*"</f>
        <v>*3055: Extension Switch Issue*</v>
      </c>
      <c r="C602">
        <f>COUNTIF(Monday!I:I, B602)</f>
        <v>0</v>
      </c>
      <c r="D602">
        <f>COUNTIF(Tuesday!I:I, B602)</f>
        <v>0</v>
      </c>
      <c r="E602">
        <f>COUNTIF(Wednesday!I:I, B602)</f>
        <v>0</v>
      </c>
      <c r="F602">
        <f>COUNTIF(Thursday!I:I, B602)</f>
        <v>0</v>
      </c>
      <c r="G602">
        <f>COUNTIF(Friday!I:I, B602)</f>
        <v>0</v>
      </c>
      <c r="H602">
        <f>SUM(C602:G602)</f>
        <v>0</v>
      </c>
    </row>
    <row r="603" spans="1:8" x14ac:dyDescent="0.25">
      <c r="A603" s="5" t="s">
        <v>595</v>
      </c>
      <c r="B603" t="str">
        <f>"*"&amp;A603&amp;"*"</f>
        <v>*2218: Poor Shape Retention*</v>
      </c>
      <c r="C603">
        <f>COUNTIF(Monday!I:I, B603)</f>
        <v>0</v>
      </c>
      <c r="D603">
        <f>COUNTIF(Tuesday!I:I, B603)</f>
        <v>0</v>
      </c>
      <c r="E603">
        <f>COUNTIF(Wednesday!I:I, B603)</f>
        <v>0</v>
      </c>
      <c r="F603">
        <f>COUNTIF(Thursday!I:I, B603)</f>
        <v>0</v>
      </c>
      <c r="G603">
        <f>COUNTIF(Friday!I:I, B603)</f>
        <v>0</v>
      </c>
      <c r="H603">
        <f>SUM(C603:G603)</f>
        <v>0</v>
      </c>
    </row>
    <row r="604" spans="1:8" x14ac:dyDescent="0.25">
      <c r="A604" s="6" t="s">
        <v>596</v>
      </c>
      <c r="B604" t="str">
        <f>"*"&amp;A604&amp;"*"</f>
        <v>*1002: Acq PC Does Not Boot Into Application*</v>
      </c>
      <c r="C604">
        <f>COUNTIF(Monday!I:I, B604)</f>
        <v>0</v>
      </c>
      <c r="D604">
        <f>COUNTIF(Tuesday!I:I, B604)</f>
        <v>0</v>
      </c>
      <c r="E604">
        <f>COUNTIF(Wednesday!I:I, B604)</f>
        <v>0</v>
      </c>
      <c r="F604">
        <f>COUNTIF(Thursday!I:I, B604)</f>
        <v>0</v>
      </c>
      <c r="G604">
        <f>COUNTIF(Friday!I:I, B604)</f>
        <v>0</v>
      </c>
      <c r="H604">
        <f>SUM(C604:G604)</f>
        <v>0</v>
      </c>
    </row>
    <row r="605" spans="1:8" x14ac:dyDescent="0.25">
      <c r="A605" s="5" t="s">
        <v>597</v>
      </c>
      <c r="B605" t="str">
        <f>"*"&amp;A605&amp;"*"</f>
        <v>*1004: Acquisition PC Issue*</v>
      </c>
      <c r="C605">
        <f>COUNTIF(Monday!I:I, B605)</f>
        <v>0</v>
      </c>
      <c r="D605">
        <f>COUNTIF(Tuesday!I:I, B605)</f>
        <v>0</v>
      </c>
      <c r="E605">
        <f>COUNTIF(Wednesday!I:I, B605)</f>
        <v>0</v>
      </c>
      <c r="F605">
        <f>COUNTIF(Thursday!I:I, B605)</f>
        <v>0</v>
      </c>
      <c r="G605">
        <f>COUNTIF(Friday!I:I, B605)</f>
        <v>0</v>
      </c>
      <c r="H605">
        <f>SUM(C605:G605)</f>
        <v>0</v>
      </c>
    </row>
    <row r="606" spans="1:8" x14ac:dyDescent="0.25">
      <c r="A606" s="5" t="s">
        <v>598</v>
      </c>
      <c r="B606" t="str">
        <f>"*"&amp;A606&amp;"*"</f>
        <v>*1005: Acquisition PC Ping Fails*</v>
      </c>
      <c r="C606">
        <f>COUNTIF(Monday!I:I, B606)</f>
        <v>0</v>
      </c>
      <c r="D606">
        <f>COUNTIF(Tuesday!I:I, B606)</f>
        <v>0</v>
      </c>
      <c r="E606">
        <f>COUNTIF(Wednesday!I:I, B606)</f>
        <v>0</v>
      </c>
      <c r="F606">
        <f>COUNTIF(Thursday!I:I, B606)</f>
        <v>0</v>
      </c>
      <c r="G606">
        <f>COUNTIF(Friday!I:I, B606)</f>
        <v>0</v>
      </c>
      <c r="H606">
        <f>SUM(C606:G606)</f>
        <v>0</v>
      </c>
    </row>
    <row r="607" spans="1:8" x14ac:dyDescent="0.25">
      <c r="A607" s="6" t="s">
        <v>599</v>
      </c>
      <c r="B607" t="str">
        <f>"*"&amp;A607&amp;"*"</f>
        <v>*1030: Bios Corrupted/Incorrect settings/BIOS Error*</v>
      </c>
      <c r="C607">
        <f>COUNTIF(Monday!I:I, B607)</f>
        <v>0</v>
      </c>
      <c r="D607">
        <f>COUNTIF(Tuesday!I:I, B607)</f>
        <v>0</v>
      </c>
      <c r="E607">
        <f>COUNTIF(Wednesday!I:I, B607)</f>
        <v>0</v>
      </c>
      <c r="F607">
        <f>COUNTIF(Thursday!I:I, B607)</f>
        <v>0</v>
      </c>
      <c r="G607">
        <f>COUNTIF(Friday!I:I, B607)</f>
        <v>0</v>
      </c>
      <c r="H607">
        <f>SUM(C607:G607)</f>
        <v>0</v>
      </c>
    </row>
    <row r="608" spans="1:8" x14ac:dyDescent="0.25">
      <c r="A608" s="6" t="s">
        <v>600</v>
      </c>
      <c r="B608" t="str">
        <f>"*"&amp;A608&amp;"*"</f>
        <v>*1164: Dark/Poor/Distorted/Intermittent Image*</v>
      </c>
      <c r="C608">
        <f>COUNTIF(Monday!I:I, B608)</f>
        <v>0</v>
      </c>
      <c r="D608">
        <f>COUNTIF(Tuesday!I:I, B608)</f>
        <v>0</v>
      </c>
      <c r="E608">
        <f>COUNTIF(Wednesday!I:I, B608)</f>
        <v>0</v>
      </c>
      <c r="F608">
        <f>COUNTIF(Thursday!I:I, B608)</f>
        <v>0</v>
      </c>
      <c r="G608">
        <f>COUNTIF(Friday!I:I, B608)</f>
        <v>0</v>
      </c>
      <c r="H608">
        <f>SUM(C608:G608)</f>
        <v>0</v>
      </c>
    </row>
    <row r="609" spans="1:8" x14ac:dyDescent="0.25">
      <c r="A609" s="6" t="s">
        <v>601</v>
      </c>
      <c r="B609" t="str">
        <f>"*"&amp;A609&amp;"*"</f>
        <v>*1423: Does Not Connect To DICOM*</v>
      </c>
      <c r="C609">
        <f>COUNTIF(Monday!I:I, B609)</f>
        <v>0</v>
      </c>
      <c r="D609">
        <f>COUNTIF(Tuesday!I:I, B609)</f>
        <v>0</v>
      </c>
      <c r="E609">
        <f>COUNTIF(Wednesday!I:I, B609)</f>
        <v>0</v>
      </c>
      <c r="F609">
        <f>COUNTIF(Thursday!I:I, B609)</f>
        <v>0</v>
      </c>
      <c r="G609">
        <f>COUNTIF(Friday!I:I, B609)</f>
        <v>0</v>
      </c>
      <c r="H609">
        <f>SUM(C609:G609)</f>
        <v>0</v>
      </c>
    </row>
    <row r="610" spans="1:8" x14ac:dyDescent="0.25">
      <c r="A610" s="6" t="s">
        <v>602</v>
      </c>
      <c r="B610" t="str">
        <f>"*"&amp;A610&amp;"*"</f>
        <v>*1424: Does Not Recognize Catheter/Simulator*</v>
      </c>
      <c r="C610">
        <f>COUNTIF(Monday!I:I, B610)</f>
        <v>0</v>
      </c>
      <c r="D610">
        <f>COUNTIF(Tuesday!I:I, B610)</f>
        <v>0</v>
      </c>
      <c r="E610">
        <f>COUNTIF(Wednesday!I:I, B610)</f>
        <v>0</v>
      </c>
      <c r="F610">
        <f>COUNTIF(Thursday!I:I, B610)</f>
        <v>0</v>
      </c>
      <c r="G610">
        <f>COUNTIF(Friday!I:I, B610)</f>
        <v>0</v>
      </c>
      <c r="H610">
        <f>SUM(C610:G610)</f>
        <v>0</v>
      </c>
    </row>
    <row r="611" spans="1:8" x14ac:dyDescent="0.25">
      <c r="A611" s="6" t="s">
        <v>603</v>
      </c>
      <c r="B611" t="str">
        <f>"*"&amp;A611&amp;"*"</f>
        <v>*2194: PDAQ Board Error Message*</v>
      </c>
      <c r="C611">
        <f>COUNTIF(Monday!I:I, B611)</f>
        <v>0</v>
      </c>
      <c r="D611">
        <f>COUNTIF(Tuesday!I:I, B611)</f>
        <v>0</v>
      </c>
      <c r="E611">
        <f>COUNTIF(Wednesday!I:I, B611)</f>
        <v>0</v>
      </c>
      <c r="F611">
        <f>COUNTIF(Thursday!I:I, B611)</f>
        <v>0</v>
      </c>
      <c r="G611">
        <f>COUNTIF(Friday!I:I, B611)</f>
        <v>0</v>
      </c>
      <c r="H611">
        <f>SUM(C611:G611)</f>
        <v>0</v>
      </c>
    </row>
    <row r="612" spans="1:8" x14ac:dyDescent="0.25">
      <c r="A612" s="6" t="s">
        <v>604</v>
      </c>
      <c r="B612" t="str">
        <f>"*"&amp;A612&amp;"*"</f>
        <v>*2195: PDAQ Board Inoperative*</v>
      </c>
      <c r="C612">
        <f>COUNTIF(Monday!I:I, B612)</f>
        <v>0</v>
      </c>
      <c r="D612">
        <f>COUNTIF(Tuesday!I:I, B612)</f>
        <v>0</v>
      </c>
      <c r="E612">
        <f>COUNTIF(Wednesday!I:I, B612)</f>
        <v>0</v>
      </c>
      <c r="F612">
        <f>COUNTIF(Thursday!I:I, B612)</f>
        <v>0</v>
      </c>
      <c r="G612">
        <f>COUNTIF(Friday!I:I, B612)</f>
        <v>0</v>
      </c>
      <c r="H612">
        <f>SUM(C612:G612)</f>
        <v>0</v>
      </c>
    </row>
    <row r="613" spans="1:8" x14ac:dyDescent="0.25">
      <c r="A613" s="5" t="s">
        <v>605</v>
      </c>
      <c r="B613" t="str">
        <f>"*"&amp;A613&amp;"*"</f>
        <v>*3009: ACQ Software Malfunction*</v>
      </c>
      <c r="C613">
        <f>COUNTIF(Monday!I:I, B613)</f>
        <v>0</v>
      </c>
      <c r="D613">
        <f>COUNTIF(Tuesday!I:I, B613)</f>
        <v>0</v>
      </c>
      <c r="E613">
        <f>COUNTIF(Wednesday!I:I, B613)</f>
        <v>0</v>
      </c>
      <c r="F613">
        <f>COUNTIF(Thursday!I:I, B613)</f>
        <v>0</v>
      </c>
      <c r="G613">
        <f>COUNTIF(Friday!I:I, B613)</f>
        <v>0</v>
      </c>
      <c r="H613">
        <f>SUM(C613:G613)</f>
        <v>0</v>
      </c>
    </row>
    <row r="614" spans="1:8" x14ac:dyDescent="0.25">
      <c r="A614" s="5" t="s">
        <v>606</v>
      </c>
      <c r="B614" t="str">
        <f>"*"&amp;A614&amp;"*"</f>
        <v>*3010: Acquisition PC Communication Error*</v>
      </c>
      <c r="C614">
        <f>COUNTIF(Monday!I:I, B614)</f>
        <v>0</v>
      </c>
      <c r="D614">
        <f>COUNTIF(Tuesday!I:I, B614)</f>
        <v>0</v>
      </c>
      <c r="E614">
        <f>COUNTIF(Wednesday!I:I, B614)</f>
        <v>0</v>
      </c>
      <c r="F614">
        <f>COUNTIF(Thursday!I:I, B614)</f>
        <v>0</v>
      </c>
      <c r="G614">
        <f>COUNTIF(Friday!I:I, B614)</f>
        <v>0</v>
      </c>
      <c r="H614">
        <f>SUM(C614:G614)</f>
        <v>0</v>
      </c>
    </row>
    <row r="615" spans="1:8" x14ac:dyDescent="0.25">
      <c r="A615" s="5" t="s">
        <v>607</v>
      </c>
      <c r="B615" t="str">
        <f>"*"&amp;A615&amp;"*"</f>
        <v>*3016: Cath Profile Error*</v>
      </c>
      <c r="C615">
        <f>COUNTIF(Monday!I:I, B615)</f>
        <v>0</v>
      </c>
      <c r="D615">
        <f>COUNTIF(Tuesday!I:I, B615)</f>
        <v>0</v>
      </c>
      <c r="E615">
        <f>COUNTIF(Wednesday!I:I, B615)</f>
        <v>0</v>
      </c>
      <c r="F615">
        <f>COUNTIF(Thursday!I:I, B615)</f>
        <v>0</v>
      </c>
      <c r="G615">
        <f>COUNTIF(Friday!I:I, B615)</f>
        <v>0</v>
      </c>
      <c r="H615">
        <f>SUM(C615:G615)</f>
        <v>0</v>
      </c>
    </row>
    <row r="616" spans="1:8" x14ac:dyDescent="0.25">
      <c r="A616" s="5" t="s">
        <v>608</v>
      </c>
      <c r="B616" t="str">
        <f>"*"&amp;A616&amp;"*"</f>
        <v>*3036: PDAQ PCI Bus Inoperative*</v>
      </c>
      <c r="C616">
        <f>COUNTIF(Monday!I:I, B616)</f>
        <v>0</v>
      </c>
      <c r="D616">
        <f>COUNTIF(Tuesday!I:I, B616)</f>
        <v>0</v>
      </c>
      <c r="E616">
        <f>COUNTIF(Wednesday!I:I, B616)</f>
        <v>0</v>
      </c>
      <c r="F616">
        <f>COUNTIF(Thursday!I:I, B616)</f>
        <v>0</v>
      </c>
      <c r="G616">
        <f>COUNTIF(Friday!I:I, B616)</f>
        <v>0</v>
      </c>
      <c r="H616">
        <f>SUM(C616:G616)</f>
        <v>0</v>
      </c>
    </row>
    <row r="617" spans="1:8" x14ac:dyDescent="0.25">
      <c r="A617" s="5" t="s">
        <v>609</v>
      </c>
      <c r="B617" t="str">
        <f>"*"&amp;A617&amp;"*"</f>
        <v>*3037: PDAQ PCI Interface*</v>
      </c>
      <c r="C617">
        <f>COUNTIF(Monday!I:I, B617)</f>
        <v>0</v>
      </c>
      <c r="D617">
        <f>COUNTIF(Tuesday!I:I, B617)</f>
        <v>0</v>
      </c>
      <c r="E617">
        <f>COUNTIF(Wednesday!I:I, B617)</f>
        <v>0</v>
      </c>
      <c r="F617">
        <f>COUNTIF(Thursday!I:I, B617)</f>
        <v>0</v>
      </c>
      <c r="G617">
        <f>COUNTIF(Friday!I:I, B617)</f>
        <v>0</v>
      </c>
      <c r="H617">
        <f>SUM(C617:G617)</f>
        <v>0</v>
      </c>
    </row>
    <row r="618" spans="1:8" x14ac:dyDescent="0.25">
      <c r="A618" s="5" t="s">
        <v>610</v>
      </c>
      <c r="B618" t="str">
        <f>"*"&amp;A618&amp;"*"</f>
        <v>*3044: Software Is Not Starting/Restarting*</v>
      </c>
      <c r="C618">
        <f>COUNTIF(Monday!I:I, B618)</f>
        <v>0</v>
      </c>
      <c r="D618">
        <f>COUNTIF(Tuesday!I:I, B618)</f>
        <v>0</v>
      </c>
      <c r="E618">
        <f>COUNTIF(Wednesday!I:I, B618)</f>
        <v>0</v>
      </c>
      <c r="F618">
        <f>COUNTIF(Thursday!I:I, B618)</f>
        <v>0</v>
      </c>
      <c r="G618">
        <f>COUNTIF(Friday!I:I, B618)</f>
        <v>0</v>
      </c>
      <c r="H618">
        <f>SUM(C618:G618)</f>
        <v>0</v>
      </c>
    </row>
    <row r="619" spans="1:8" x14ac:dyDescent="0.25">
      <c r="A619" s="5" t="s">
        <v>611</v>
      </c>
      <c r="B619" t="str">
        <f>"*"&amp;A619&amp;"*"</f>
        <v>*1103: Coating Issue*</v>
      </c>
      <c r="C619">
        <f>COUNTIF(Monday!I:I, B619)</f>
        <v>0</v>
      </c>
      <c r="D619">
        <f>COUNTIF(Tuesday!I:I, B619)</f>
        <v>0</v>
      </c>
      <c r="E619">
        <f>COUNTIF(Wednesday!I:I, B619)</f>
        <v>0</v>
      </c>
      <c r="F619">
        <f>COUNTIF(Thursday!I:I, B619)</f>
        <v>0</v>
      </c>
      <c r="G619">
        <f>COUNTIF(Friday!I:I, B619)</f>
        <v>0</v>
      </c>
      <c r="H619">
        <f>SUM(C619:G619)</f>
        <v>0</v>
      </c>
    </row>
    <row r="620" spans="1:8" x14ac:dyDescent="0.25">
      <c r="A620" s="5" t="s">
        <v>612</v>
      </c>
      <c r="B620" t="str">
        <f>"*"&amp;A620&amp;"*"</f>
        <v>*1138: Connection Issue With Sled*</v>
      </c>
      <c r="C620">
        <f>COUNTIF(Monday!I:I, B620)</f>
        <v>0</v>
      </c>
      <c r="D620">
        <f>COUNTIF(Tuesday!I:I, B620)</f>
        <v>0</v>
      </c>
      <c r="E620">
        <f>COUNTIF(Wednesday!I:I, B620)</f>
        <v>0</v>
      </c>
      <c r="F620">
        <f>COUNTIF(Thursday!I:I, B620)</f>
        <v>0</v>
      </c>
      <c r="G620">
        <f>COUNTIF(Friday!I:I, B620)</f>
        <v>0</v>
      </c>
      <c r="H620">
        <f>SUM(C620:G620)</f>
        <v>0</v>
      </c>
    </row>
    <row r="621" spans="1:8" x14ac:dyDescent="0.25">
      <c r="A621" s="5" t="s">
        <v>613</v>
      </c>
      <c r="B621" t="str">
        <f>"*"&amp;A621&amp;"*"</f>
        <v>*1296: Difficult To Cross Lesion*</v>
      </c>
      <c r="C621">
        <f>COUNTIF(Monday!I:I, B621)</f>
        <v>0</v>
      </c>
      <c r="D621">
        <f>COUNTIF(Tuesday!I:I, B621)</f>
        <v>0</v>
      </c>
      <c r="E621">
        <f>COUNTIF(Wednesday!I:I, B621)</f>
        <v>0</v>
      </c>
      <c r="F621">
        <f>COUNTIF(Thursday!I:I, B621)</f>
        <v>0</v>
      </c>
      <c r="G621">
        <f>COUNTIF(Friday!I:I, B621)</f>
        <v>0</v>
      </c>
      <c r="H621">
        <f>SUM(C621:G621)</f>
        <v>0</v>
      </c>
    </row>
    <row r="622" spans="1:8" x14ac:dyDescent="0.25">
      <c r="A622" s="5" t="s">
        <v>614</v>
      </c>
      <c r="B622" t="str">
        <f>"*"&amp;A622&amp;"*"</f>
        <v>*1464: Excessive Epoxy*</v>
      </c>
      <c r="C622">
        <f>COUNTIF(Monday!I:I, B622)</f>
        <v>0</v>
      </c>
      <c r="D622">
        <f>COUNTIF(Tuesday!I:I, B622)</f>
        <v>0</v>
      </c>
      <c r="E622">
        <f>COUNTIF(Wednesday!I:I, B622)</f>
        <v>0</v>
      </c>
      <c r="F622">
        <f>COUNTIF(Thursday!I:I, B622)</f>
        <v>0</v>
      </c>
      <c r="G622">
        <f>COUNTIF(Friday!I:I, B622)</f>
        <v>0</v>
      </c>
      <c r="H622">
        <f>SUM(C622:G622)</f>
        <v>0</v>
      </c>
    </row>
    <row r="623" spans="1:8" x14ac:dyDescent="0.25">
      <c r="A623" s="5" t="s">
        <v>615</v>
      </c>
      <c r="B623" t="str">
        <f>"*"&amp;A623&amp;"*"</f>
        <v>*1753: Issue With Measurements On System*</v>
      </c>
      <c r="C623">
        <f>COUNTIF(Monday!I:I, B623)</f>
        <v>0</v>
      </c>
      <c r="D623">
        <f>COUNTIF(Tuesday!I:I, B623)</f>
        <v>0</v>
      </c>
      <c r="E623">
        <f>COUNTIF(Wednesday!I:I, B623)</f>
        <v>0</v>
      </c>
      <c r="F623">
        <f>COUNTIF(Thursday!I:I, B623)</f>
        <v>0</v>
      </c>
      <c r="G623">
        <f>COUNTIF(Friday!I:I, B623)</f>
        <v>0</v>
      </c>
      <c r="H623">
        <f>SUM(C623:G623)</f>
        <v>0</v>
      </c>
    </row>
    <row r="624" spans="1:8" x14ac:dyDescent="0.25">
      <c r="A624" s="5" t="s">
        <v>616</v>
      </c>
      <c r="B624" t="str">
        <f>"*"&amp;A624&amp;"*"</f>
        <v>*2270: Resistance/Friction*</v>
      </c>
      <c r="C624">
        <f>COUNTIF(Monday!I:I, B624)</f>
        <v>0</v>
      </c>
      <c r="D624">
        <f>COUNTIF(Tuesday!I:I, B624)</f>
        <v>0</v>
      </c>
      <c r="E624">
        <f>COUNTIF(Wednesday!I:I, B624)</f>
        <v>0</v>
      </c>
      <c r="F624">
        <f>COUNTIF(Thursday!I:I, B624)</f>
        <v>0</v>
      </c>
      <c r="G624">
        <f>COUNTIF(Friday!I:I, B624)</f>
        <v>0</v>
      </c>
      <c r="H624">
        <f>SUM(C624:G624)</f>
        <v>0</v>
      </c>
    </row>
    <row r="625" spans="1:8" x14ac:dyDescent="0.25">
      <c r="A625" s="5" t="s">
        <v>617</v>
      </c>
      <c r="B625" t="str">
        <f>"*"&amp;A625&amp;"*"</f>
        <v>*2303: Separated At Hub*</v>
      </c>
      <c r="C625">
        <f>COUNTIF(Monday!I:I, B625)</f>
        <v>0</v>
      </c>
      <c r="D625">
        <f>COUNTIF(Tuesday!I:I, B625)</f>
        <v>0</v>
      </c>
      <c r="E625">
        <f>COUNTIF(Wednesday!I:I, B625)</f>
        <v>0</v>
      </c>
      <c r="F625">
        <f>COUNTIF(Thursday!I:I, B625)</f>
        <v>0</v>
      </c>
      <c r="G625">
        <f>COUNTIF(Friday!I:I, B625)</f>
        <v>0</v>
      </c>
      <c r="H625">
        <f>SUM(C625:G625)</f>
        <v>0</v>
      </c>
    </row>
    <row r="626" spans="1:8" x14ac:dyDescent="0.25">
      <c r="A626" s="5" t="s">
        <v>618</v>
      </c>
      <c r="B626" t="str">
        <f>"*"&amp;A626&amp;"*"</f>
        <v>*2368: Stuck In Lesion*</v>
      </c>
      <c r="C626">
        <f>COUNTIF(Monday!I:I, B626)</f>
        <v>0</v>
      </c>
      <c r="D626">
        <f>COUNTIF(Tuesday!I:I, B626)</f>
        <v>0</v>
      </c>
      <c r="E626">
        <f>COUNTIF(Wednesday!I:I, B626)</f>
        <v>0</v>
      </c>
      <c r="F626">
        <f>COUNTIF(Thursday!I:I, B626)</f>
        <v>0</v>
      </c>
      <c r="G626">
        <f>COUNTIF(Friday!I:I, B626)</f>
        <v>0</v>
      </c>
      <c r="H626">
        <f>SUM(C626:G626)</f>
        <v>0</v>
      </c>
    </row>
    <row r="627" spans="1:8" x14ac:dyDescent="0.25">
      <c r="A627" s="5" t="s">
        <v>619</v>
      </c>
      <c r="B627" t="str">
        <f>"*"&amp;A627&amp;"*"</f>
        <v>*2371: Stuck In Stent*</v>
      </c>
      <c r="C627">
        <f>COUNTIF(Monday!I:I, B627)</f>
        <v>0</v>
      </c>
      <c r="D627">
        <f>COUNTIF(Tuesday!I:I, B627)</f>
        <v>0</v>
      </c>
      <c r="E627">
        <f>COUNTIF(Wednesday!I:I, B627)</f>
        <v>0</v>
      </c>
      <c r="F627">
        <f>COUNTIF(Thursday!I:I, B627)</f>
        <v>0</v>
      </c>
      <c r="G627">
        <f>COUNTIF(Friday!I:I, B627)</f>
        <v>0</v>
      </c>
      <c r="H627">
        <f>SUM(C627:G627)</f>
        <v>0</v>
      </c>
    </row>
    <row r="628" spans="1:8" x14ac:dyDescent="0.25">
      <c r="A628" s="5" t="s">
        <v>620</v>
      </c>
      <c r="B628" t="str">
        <f>"*"&amp;A628&amp;"*"</f>
        <v>*1267: DICOM Issue*</v>
      </c>
      <c r="C628">
        <f>COUNTIF(Monday!I:I, B628)</f>
        <v>0</v>
      </c>
      <c r="D628">
        <f>COUNTIF(Tuesday!I:I, B628)</f>
        <v>0</v>
      </c>
      <c r="E628">
        <f>COUNTIF(Wednesday!I:I, B628)</f>
        <v>0</v>
      </c>
      <c r="F628">
        <f>COUNTIF(Thursday!I:I, B628)</f>
        <v>0</v>
      </c>
      <c r="G628">
        <f>COUNTIF(Friday!I:I, B628)</f>
        <v>0</v>
      </c>
      <c r="H628">
        <f>SUM(C628:G628)</f>
        <v>0</v>
      </c>
    </row>
    <row r="629" spans="1:8" x14ac:dyDescent="0.25">
      <c r="A629" s="5" t="s">
        <v>621</v>
      </c>
      <c r="B629" t="str">
        <f>"*"&amp;A629&amp;"*"</f>
        <v>*1610: File Conversion Issue*</v>
      </c>
      <c r="C629">
        <f>COUNTIF(Monday!I:I, B629)</f>
        <v>0</v>
      </c>
      <c r="D629">
        <f>COUNTIF(Tuesday!I:I, B629)</f>
        <v>0</v>
      </c>
      <c r="E629">
        <f>COUNTIF(Wednesday!I:I, B629)</f>
        <v>0</v>
      </c>
      <c r="F629">
        <f>COUNTIF(Thursday!I:I, B629)</f>
        <v>0</v>
      </c>
      <c r="G629">
        <f>COUNTIF(Friday!I:I, B629)</f>
        <v>0</v>
      </c>
      <c r="H629">
        <f>SUM(C629:G629)</f>
        <v>0</v>
      </c>
    </row>
    <row r="630" spans="1:8" x14ac:dyDescent="0.25">
      <c r="A630" s="5" t="s">
        <v>622</v>
      </c>
      <c r="B630" t="str">
        <f>"*"&amp;A630&amp;"*"</f>
        <v>*2082: Network Connectivity Linking Issue*</v>
      </c>
      <c r="C630">
        <f>COUNTIF(Monday!I:I, B630)</f>
        <v>0</v>
      </c>
      <c r="D630">
        <f>COUNTIF(Tuesday!I:I, B630)</f>
        <v>0</v>
      </c>
      <c r="E630">
        <f>COUNTIF(Wednesday!I:I, B630)</f>
        <v>0</v>
      </c>
      <c r="F630">
        <f>COUNTIF(Thursday!I:I, B630)</f>
        <v>0</v>
      </c>
      <c r="G630">
        <f>COUNTIF(Friday!I:I, B630)</f>
        <v>0</v>
      </c>
      <c r="H630">
        <f>SUM(C630:G630)</f>
        <v>0</v>
      </c>
    </row>
    <row r="631" spans="1:8" x14ac:dyDescent="0.25">
      <c r="A631" s="5" t="s">
        <v>623</v>
      </c>
      <c r="B631" t="str">
        <f>"*"&amp;A631&amp;"*"</f>
        <v>*2083: Network Connectivity Set Up Issue*</v>
      </c>
      <c r="C631">
        <f>COUNTIF(Monday!I:I, B631)</f>
        <v>0</v>
      </c>
      <c r="D631">
        <f>COUNTIF(Tuesday!I:I, B631)</f>
        <v>0</v>
      </c>
      <c r="E631">
        <f>COUNTIF(Wednesday!I:I, B631)</f>
        <v>0</v>
      </c>
      <c r="F631">
        <f>COUNTIF(Thursday!I:I, B631)</f>
        <v>0</v>
      </c>
      <c r="G631">
        <f>COUNTIF(Friday!I:I, B631)</f>
        <v>0</v>
      </c>
      <c r="H631">
        <f>SUM(C631:G631)</f>
        <v>0</v>
      </c>
    </row>
    <row r="632" spans="1:8" x14ac:dyDescent="0.25">
      <c r="A632" s="5" t="s">
        <v>624</v>
      </c>
      <c r="B632" t="str">
        <f>"*"&amp;A632&amp;"*"</f>
        <v>*2085: Network/Archive File Transfer Issue*</v>
      </c>
      <c r="C632">
        <f>COUNTIF(Monday!I:I, B632)</f>
        <v>0</v>
      </c>
      <c r="D632">
        <f>COUNTIF(Tuesday!I:I, B632)</f>
        <v>0</v>
      </c>
      <c r="E632">
        <f>COUNTIF(Wednesday!I:I, B632)</f>
        <v>0</v>
      </c>
      <c r="F632">
        <f>COUNTIF(Thursday!I:I, B632)</f>
        <v>0</v>
      </c>
      <c r="G632">
        <f>COUNTIF(Friday!I:I, B632)</f>
        <v>0</v>
      </c>
      <c r="H632">
        <f>SUM(C632:G632)</f>
        <v>0</v>
      </c>
    </row>
    <row r="633" spans="1:8" x14ac:dyDescent="0.25">
      <c r="A633" s="5" t="s">
        <v>625</v>
      </c>
      <c r="B633" t="str">
        <f>"*"&amp;A633&amp;"*"</f>
        <v>*2306: Settings Lost/Verification Fails*</v>
      </c>
      <c r="C633">
        <f>COUNTIF(Monday!I:I, B633)</f>
        <v>0</v>
      </c>
      <c r="D633">
        <f>COUNTIF(Tuesday!I:I, B633)</f>
        <v>0</v>
      </c>
      <c r="E633">
        <f>COUNTIF(Wednesday!I:I, B633)</f>
        <v>0</v>
      </c>
      <c r="F633">
        <f>COUNTIF(Thursday!I:I, B633)</f>
        <v>0</v>
      </c>
      <c r="G633">
        <f>COUNTIF(Friday!I:I, B633)</f>
        <v>0</v>
      </c>
      <c r="H633">
        <f>SUM(C633:G633)</f>
        <v>0</v>
      </c>
    </row>
    <row r="634" spans="1:8" x14ac:dyDescent="0.25">
      <c r="A634" s="5" t="s">
        <v>626</v>
      </c>
      <c r="B634" t="str">
        <f>"*"&amp;A634&amp;"*"</f>
        <v>*1669: Hole/Perforated*</v>
      </c>
      <c r="C634">
        <f>COUNTIF(Monday!I:I, B634)</f>
        <v>0</v>
      </c>
      <c r="D634">
        <f>COUNTIF(Tuesday!I:I, B634)</f>
        <v>0</v>
      </c>
      <c r="E634">
        <f>COUNTIF(Wednesday!I:I, B634)</f>
        <v>0</v>
      </c>
      <c r="F634">
        <f>COUNTIF(Thursday!I:I, B634)</f>
        <v>0</v>
      </c>
      <c r="G634">
        <f>COUNTIF(Friday!I:I, B634)</f>
        <v>0</v>
      </c>
      <c r="H634">
        <f>SUM(C634:G634)</f>
        <v>0</v>
      </c>
    </row>
    <row r="635" spans="1:8" x14ac:dyDescent="0.25">
      <c r="A635" s="5" t="s">
        <v>627</v>
      </c>
      <c r="B635" t="str">
        <f>"*"&amp;A635&amp;"*"</f>
        <v>*2350: Sterility Issue*</v>
      </c>
      <c r="C635">
        <f>COUNTIF(Monday!I:I, B635)</f>
        <v>0</v>
      </c>
      <c r="D635">
        <f>COUNTIF(Tuesday!I:I, B635)</f>
        <v>0</v>
      </c>
      <c r="E635">
        <f>COUNTIF(Wednesday!I:I, B635)</f>
        <v>0</v>
      </c>
      <c r="F635">
        <f>COUNTIF(Thursday!I:I, B635)</f>
        <v>0</v>
      </c>
      <c r="G635">
        <f>COUNTIF(Friday!I:I, B635)</f>
        <v>0</v>
      </c>
      <c r="H635">
        <f>SUM(C635:G635)</f>
        <v>0</v>
      </c>
    </row>
    <row r="636" spans="1:8" x14ac:dyDescent="0.25">
      <c r="A636" s="6" t="s">
        <v>628</v>
      </c>
      <c r="B636" t="str">
        <f>"*"&amp;A636&amp;"*"</f>
        <v>*1679: Image/Display Issue*</v>
      </c>
      <c r="C636">
        <f>COUNTIF(Monday!I:I, B636)</f>
        <v>0</v>
      </c>
      <c r="D636">
        <f>COUNTIF(Tuesday!I:I, B636)</f>
        <v>0</v>
      </c>
      <c r="E636">
        <f>COUNTIF(Wednesday!I:I, B636)</f>
        <v>0</v>
      </c>
      <c r="F636">
        <f>COUNTIF(Thursday!I:I, B636)</f>
        <v>0</v>
      </c>
      <c r="G636">
        <f>COUNTIF(Friday!I:I, B636)</f>
        <v>0</v>
      </c>
      <c r="H636">
        <f>SUM(C636:G636)</f>
        <v>0</v>
      </c>
    </row>
    <row r="637" spans="1:8" x14ac:dyDescent="0.25">
      <c r="A637" s="5" t="s">
        <v>629</v>
      </c>
      <c r="B637" t="str">
        <f>"*"&amp;A637&amp;"*"</f>
        <v>*1040: Bluetooth Cannot Establish Connection With FFR Link*</v>
      </c>
      <c r="C637">
        <f>COUNTIF(Monday!I:I, B637)</f>
        <v>0</v>
      </c>
      <c r="D637">
        <f>COUNTIF(Tuesday!I:I, B637)</f>
        <v>0</v>
      </c>
      <c r="E637">
        <f>COUNTIF(Wednesday!I:I, B637)</f>
        <v>0</v>
      </c>
      <c r="F637">
        <f>COUNTIF(Thursday!I:I, B637)</f>
        <v>0</v>
      </c>
      <c r="G637">
        <f>COUNTIF(Friday!I:I, B637)</f>
        <v>0</v>
      </c>
      <c r="H637">
        <f>SUM(C637:G637)</f>
        <v>0</v>
      </c>
    </row>
    <row r="638" spans="1:8" x14ac:dyDescent="0.25">
      <c r="A638" s="5" t="s">
        <v>630</v>
      </c>
      <c r="B638" t="str">
        <f>"*"&amp;A638&amp;"*"</f>
        <v>*1067: Cable No Signal*</v>
      </c>
      <c r="C638">
        <f>COUNTIF(Monday!I:I, B638)</f>
        <v>0</v>
      </c>
      <c r="D638">
        <f>COUNTIF(Tuesday!I:I, B638)</f>
        <v>0</v>
      </c>
      <c r="E638">
        <f>COUNTIF(Wednesday!I:I, B638)</f>
        <v>0</v>
      </c>
      <c r="F638">
        <f>COUNTIF(Thursday!I:I, B638)</f>
        <v>0</v>
      </c>
      <c r="G638">
        <f>COUNTIF(Friday!I:I, B638)</f>
        <v>0</v>
      </c>
      <c r="H638">
        <f>SUM(C638:G638)</f>
        <v>0</v>
      </c>
    </row>
    <row r="639" spans="1:8" x14ac:dyDescent="0.25">
      <c r="A639" s="5" t="s">
        <v>631</v>
      </c>
      <c r="B639" t="str">
        <f>"*"&amp;A639&amp;"*"</f>
        <v>*1407: Direct To Hemo*</v>
      </c>
      <c r="C639">
        <f>COUNTIF(Monday!I:I, B639)</f>
        <v>0</v>
      </c>
      <c r="D639">
        <f>COUNTIF(Tuesday!I:I, B639)</f>
        <v>0</v>
      </c>
      <c r="E639">
        <f>COUNTIF(Wednesday!I:I, B639)</f>
        <v>0</v>
      </c>
      <c r="F639">
        <f>COUNTIF(Thursday!I:I, B639)</f>
        <v>0</v>
      </c>
      <c r="G639">
        <f>COUNTIF(Friday!I:I, B639)</f>
        <v>0</v>
      </c>
      <c r="H639">
        <f>SUM(C639:G639)</f>
        <v>0</v>
      </c>
    </row>
    <row r="640" spans="1:8" x14ac:dyDescent="0.25">
      <c r="A640" s="5" t="s">
        <v>632</v>
      </c>
      <c r="B640" t="str">
        <f>"*"&amp;A640&amp;"*"</f>
        <v>*1418: Display Issue*</v>
      </c>
      <c r="C640">
        <f>COUNTIF(Monday!I:I, B640)</f>
        <v>0</v>
      </c>
      <c r="D640">
        <f>COUNTIF(Tuesday!I:I, B640)</f>
        <v>0</v>
      </c>
      <c r="E640">
        <f>COUNTIF(Wednesday!I:I, B640)</f>
        <v>0</v>
      </c>
      <c r="F640">
        <f>COUNTIF(Thursday!I:I, B640)</f>
        <v>0</v>
      </c>
      <c r="G640">
        <f>COUNTIF(Friday!I:I, B640)</f>
        <v>0</v>
      </c>
      <c r="H640">
        <f>SUM(C640:G640)</f>
        <v>0</v>
      </c>
    </row>
    <row r="641" spans="1:8" x14ac:dyDescent="0.25">
      <c r="A641" s="5" t="s">
        <v>633</v>
      </c>
      <c r="B641" t="str">
        <f>"*"&amp;A641&amp;"*"</f>
        <v>*1606: FFR Values Incorrect*</v>
      </c>
      <c r="C641">
        <f>COUNTIF(Monday!I:I, B641)</f>
        <v>0</v>
      </c>
      <c r="D641">
        <f>COUNTIF(Tuesday!I:I, B641)</f>
        <v>0</v>
      </c>
      <c r="E641">
        <f>COUNTIF(Wednesday!I:I, B641)</f>
        <v>0</v>
      </c>
      <c r="F641">
        <f>COUNTIF(Thursday!I:I, B641)</f>
        <v>0</v>
      </c>
      <c r="G641">
        <f>COUNTIF(Friday!I:I, B641)</f>
        <v>0</v>
      </c>
      <c r="H641">
        <f>SUM(C641:G641)</f>
        <v>0</v>
      </c>
    </row>
    <row r="642" spans="1:8" x14ac:dyDescent="0.25">
      <c r="A642" s="5" t="s">
        <v>634</v>
      </c>
      <c r="B642" t="str">
        <f>"*"&amp;A642&amp;"*"</f>
        <v>*1644: General System Issue*</v>
      </c>
      <c r="C642">
        <f>COUNTIF(Monday!I:I, B642)</f>
        <v>0</v>
      </c>
      <c r="D642">
        <f>COUNTIF(Tuesday!I:I, B642)</f>
        <v>0</v>
      </c>
      <c r="E642">
        <f>COUNTIF(Wednesday!I:I, B642)</f>
        <v>0</v>
      </c>
      <c r="F642">
        <f>COUNTIF(Thursday!I:I, B642)</f>
        <v>0</v>
      </c>
      <c r="G642">
        <f>COUNTIF(Friday!I:I, B642)</f>
        <v>0</v>
      </c>
      <c r="H642">
        <f>SUM(C642:G642)</f>
        <v>0</v>
      </c>
    </row>
    <row r="643" spans="1:8" x14ac:dyDescent="0.25">
      <c r="A643" s="5" t="s">
        <v>635</v>
      </c>
      <c r="B643" t="str">
        <f>"*"&amp;A643&amp;"*"</f>
        <v>*1834: Mean Pressure Trendlines Incorrect*</v>
      </c>
      <c r="C643">
        <f>COUNTIF(Monday!I:I, B643)</f>
        <v>0</v>
      </c>
      <c r="D643">
        <f>COUNTIF(Tuesday!I:I, B643)</f>
        <v>0</v>
      </c>
      <c r="E643">
        <f>COUNTIF(Wednesday!I:I, B643)</f>
        <v>0</v>
      </c>
      <c r="F643">
        <f>COUNTIF(Thursday!I:I, B643)</f>
        <v>0</v>
      </c>
      <c r="G643">
        <f>COUNTIF(Friday!I:I, B643)</f>
        <v>0</v>
      </c>
      <c r="H643">
        <f>SUM(C643:G643)</f>
        <v>0</v>
      </c>
    </row>
    <row r="644" spans="1:8" x14ac:dyDescent="0.25">
      <c r="A644" s="5" t="s">
        <v>636</v>
      </c>
      <c r="B644" t="str">
        <f>"*"&amp;A644&amp;"*"</f>
        <v>*1932: Message - Error 3015 - Failed Pressure Wire Zero*</v>
      </c>
      <c r="C644">
        <f>COUNTIF(Monday!I:I, B644)</f>
        <v>0</v>
      </c>
      <c r="D644">
        <f>COUNTIF(Tuesday!I:I, B644)</f>
        <v>0</v>
      </c>
      <c r="E644">
        <f>COUNTIF(Wednesday!I:I, B644)</f>
        <v>0</v>
      </c>
      <c r="F644">
        <f>COUNTIF(Thursday!I:I, B644)</f>
        <v>0</v>
      </c>
      <c r="G644">
        <f>COUNTIF(Friday!I:I, B644)</f>
        <v>0</v>
      </c>
      <c r="H644">
        <f>SUM(C644:G644)</f>
        <v>0</v>
      </c>
    </row>
    <row r="645" spans="1:8" x14ac:dyDescent="0.25">
      <c r="A645" s="5" t="s">
        <v>637</v>
      </c>
      <c r="B645" t="str">
        <f>"*"&amp;A645&amp;"*"</f>
        <v>*1933: Message - Error 3016 - Pressure Wire Connection Failed*</v>
      </c>
      <c r="C645">
        <f>COUNTIF(Monday!I:I, B645)</f>
        <v>0</v>
      </c>
      <c r="D645">
        <f>COUNTIF(Tuesday!I:I, B645)</f>
        <v>0</v>
      </c>
      <c r="E645">
        <f>COUNTIF(Wednesday!I:I, B645)</f>
        <v>0</v>
      </c>
      <c r="F645">
        <f>COUNTIF(Thursday!I:I, B645)</f>
        <v>0</v>
      </c>
      <c r="G645">
        <f>COUNTIF(Friday!I:I, B645)</f>
        <v>0</v>
      </c>
      <c r="H645">
        <f>SUM(C645:G645)</f>
        <v>0</v>
      </c>
    </row>
    <row r="646" spans="1:8" x14ac:dyDescent="0.25">
      <c r="A646" s="5" t="s">
        <v>638</v>
      </c>
      <c r="B646" t="str">
        <f>"*"&amp;A646&amp;"*"</f>
        <v>*1937: Message - Error 3035 - Blue Tooth Connection Lost*</v>
      </c>
      <c r="C646">
        <f>COUNTIF(Monday!I:I, B646)</f>
        <v>0</v>
      </c>
      <c r="D646">
        <f>COUNTIF(Tuesday!I:I, B646)</f>
        <v>0</v>
      </c>
      <c r="E646">
        <f>COUNTIF(Wednesday!I:I, B646)</f>
        <v>0</v>
      </c>
      <c r="F646">
        <f>COUNTIF(Thursday!I:I, B646)</f>
        <v>0</v>
      </c>
      <c r="G646">
        <f>COUNTIF(Friday!I:I, B646)</f>
        <v>0</v>
      </c>
      <c r="H646">
        <f>SUM(C646:G646)</f>
        <v>0</v>
      </c>
    </row>
    <row r="647" spans="1:8" x14ac:dyDescent="0.25">
      <c r="A647" s="5" t="s">
        <v>639</v>
      </c>
      <c r="B647" t="str">
        <f>"*"&amp;A647&amp;"*"</f>
        <v>*1940: Message - Error 3054 - Failed To Receive Waveforms From The FFR Link*</v>
      </c>
      <c r="C647">
        <f>COUNTIF(Monday!I:I, B647)</f>
        <v>0</v>
      </c>
      <c r="D647">
        <f>COUNTIF(Tuesday!I:I, B647)</f>
        <v>0</v>
      </c>
      <c r="E647">
        <f>COUNTIF(Wednesday!I:I, B647)</f>
        <v>0</v>
      </c>
      <c r="F647">
        <f>COUNTIF(Thursday!I:I, B647)</f>
        <v>0</v>
      </c>
      <c r="G647">
        <f>COUNTIF(Friday!I:I, B647)</f>
        <v>0</v>
      </c>
      <c r="H647">
        <f>SUM(C647:G647)</f>
        <v>0</v>
      </c>
    </row>
    <row r="648" spans="1:8" x14ac:dyDescent="0.25">
      <c r="A648" s="5" t="s">
        <v>640</v>
      </c>
      <c r="B648" t="str">
        <f>"*"&amp;A648&amp;"*"</f>
        <v>*2170: Pa Values Incorrect*</v>
      </c>
      <c r="C648">
        <f>COUNTIF(Monday!I:I, B648)</f>
        <v>0</v>
      </c>
      <c r="D648">
        <f>COUNTIF(Tuesday!I:I, B648)</f>
        <v>0</v>
      </c>
      <c r="E648">
        <f>COUNTIF(Wednesday!I:I, B648)</f>
        <v>0</v>
      </c>
      <c r="F648">
        <f>COUNTIF(Thursday!I:I, B648)</f>
        <v>0</v>
      </c>
      <c r="G648">
        <f>COUNTIF(Friday!I:I, B648)</f>
        <v>0</v>
      </c>
      <c r="H648">
        <f>SUM(C648:G648)</f>
        <v>0</v>
      </c>
    </row>
    <row r="649" spans="1:8" x14ac:dyDescent="0.25">
      <c r="A649" s="5" t="s">
        <v>641</v>
      </c>
      <c r="B649" t="str">
        <f>"*"&amp;A649&amp;"*"</f>
        <v>*2229: Power LED On FFR Link Solid Red For 10 Seconds*</v>
      </c>
      <c r="C649">
        <f>COUNTIF(Monday!I:I, B649)</f>
        <v>0</v>
      </c>
      <c r="D649">
        <f>COUNTIF(Tuesday!I:I, B649)</f>
        <v>0</v>
      </c>
      <c r="E649">
        <f>COUNTIF(Wednesday!I:I, B649)</f>
        <v>0</v>
      </c>
      <c r="F649">
        <f>COUNTIF(Thursday!I:I, B649)</f>
        <v>0</v>
      </c>
      <c r="G649">
        <f>COUNTIF(Friday!I:I, B649)</f>
        <v>0</v>
      </c>
      <c r="H649">
        <f>SUM(C649:G649)</f>
        <v>0</v>
      </c>
    </row>
    <row r="650" spans="1:8" x14ac:dyDescent="0.25">
      <c r="A650" s="5" t="s">
        <v>642</v>
      </c>
      <c r="B650" t="str">
        <f>"*"&amp;A650&amp;"*"</f>
        <v>*2236: Pressure Drift Detected*</v>
      </c>
      <c r="C650">
        <f>COUNTIF(Monday!I:I, B650)</f>
        <v>0</v>
      </c>
      <c r="D650">
        <f>COUNTIF(Tuesday!I:I, B650)</f>
        <v>0</v>
      </c>
      <c r="E650">
        <f>COUNTIF(Wednesday!I:I, B650)</f>
        <v>0</v>
      </c>
      <c r="F650">
        <f>COUNTIF(Thursday!I:I, B650)</f>
        <v>0</v>
      </c>
      <c r="G650">
        <f>COUNTIF(Friday!I:I, B650)</f>
        <v>0</v>
      </c>
      <c r="H650">
        <f>SUM(C650:G650)</f>
        <v>0</v>
      </c>
    </row>
    <row r="651" spans="1:8" x14ac:dyDescent="0.25">
      <c r="A651" s="5" t="s">
        <v>643</v>
      </c>
      <c r="B651" t="str">
        <f>"*"&amp;A651&amp;"*"</f>
        <v>*2475: Zeroed LED On FFR Link Blinking Red*</v>
      </c>
      <c r="C651">
        <f>COUNTIF(Monday!I:I, B651)</f>
        <v>0</v>
      </c>
      <c r="D651">
        <f>COUNTIF(Tuesday!I:I, B651)</f>
        <v>0</v>
      </c>
      <c r="E651">
        <f>COUNTIF(Wednesday!I:I, B651)</f>
        <v>0</v>
      </c>
      <c r="F651">
        <f>COUNTIF(Thursday!I:I, B651)</f>
        <v>0</v>
      </c>
      <c r="G651">
        <f>COUNTIF(Friday!I:I, B651)</f>
        <v>0</v>
      </c>
      <c r="H651">
        <f>SUM(C651:G651)</f>
        <v>0</v>
      </c>
    </row>
    <row r="652" spans="1:8" x14ac:dyDescent="0.25">
      <c r="A652" s="5" t="s">
        <v>644</v>
      </c>
      <c r="B652" t="str">
        <f>"*"&amp;A652&amp;"*"</f>
        <v>*1330: Difficult To Move Catheter On Guidewire*</v>
      </c>
      <c r="C652">
        <f>COUNTIF(Monday!I:I, B652)</f>
        <v>0</v>
      </c>
      <c r="D652">
        <f>COUNTIF(Tuesday!I:I, B652)</f>
        <v>0</v>
      </c>
      <c r="E652">
        <f>COUNTIF(Wednesday!I:I, B652)</f>
        <v>0</v>
      </c>
      <c r="F652">
        <f>COUNTIF(Thursday!I:I, B652)</f>
        <v>0</v>
      </c>
      <c r="G652">
        <f>COUNTIF(Friday!I:I, B652)</f>
        <v>0</v>
      </c>
      <c r="H652">
        <f>SUM(C652:G652)</f>
        <v>0</v>
      </c>
    </row>
    <row r="653" spans="1:8" x14ac:dyDescent="0.25">
      <c r="A653" s="5" t="s">
        <v>645</v>
      </c>
      <c r="B653" t="str">
        <f>"*"&amp;A653&amp;"*"</f>
        <v>*1456: Entanglement*</v>
      </c>
      <c r="C653">
        <f>COUNTIF(Monday!I:I, B653)</f>
        <v>0</v>
      </c>
      <c r="D653">
        <f>COUNTIF(Tuesday!I:I, B653)</f>
        <v>0</v>
      </c>
      <c r="E653">
        <f>COUNTIF(Wednesday!I:I, B653)</f>
        <v>0</v>
      </c>
      <c r="F653">
        <f>COUNTIF(Thursday!I:I, B653)</f>
        <v>0</v>
      </c>
      <c r="G653">
        <f>COUNTIF(Friday!I:I, B653)</f>
        <v>0</v>
      </c>
      <c r="H653">
        <f>SUM(C653:G653)</f>
        <v>0</v>
      </c>
    </row>
    <row r="654" spans="1:8" x14ac:dyDescent="0.25">
      <c r="A654" s="5" t="s">
        <v>646</v>
      </c>
      <c r="B654" t="str">
        <f>"*"&amp;A654&amp;"*"</f>
        <v>*2153: O-Ring Movement*</v>
      </c>
      <c r="C654">
        <f>COUNTIF(Monday!I:I, B654)</f>
        <v>0</v>
      </c>
      <c r="D654">
        <f>COUNTIF(Tuesday!I:I, B654)</f>
        <v>0</v>
      </c>
      <c r="E654">
        <f>COUNTIF(Wednesday!I:I, B654)</f>
        <v>0</v>
      </c>
      <c r="F654">
        <f>COUNTIF(Thursday!I:I, B654)</f>
        <v>0</v>
      </c>
      <c r="G654">
        <f>COUNTIF(Friday!I:I, B654)</f>
        <v>0</v>
      </c>
      <c r="H654">
        <f>SUM(C654:G654)</f>
        <v>0</v>
      </c>
    </row>
    <row r="655" spans="1:8" x14ac:dyDescent="0.25">
      <c r="A655" s="5" t="s">
        <v>647</v>
      </c>
      <c r="B655" t="str">
        <f>"*"&amp;A655&amp;"*"</f>
        <v>*1803: Lost*</v>
      </c>
      <c r="C655">
        <f>COUNTIF(Monday!I:I, B655)</f>
        <v>0</v>
      </c>
      <c r="D655">
        <f>COUNTIF(Tuesday!I:I, B655)</f>
        <v>0</v>
      </c>
      <c r="E655">
        <f>COUNTIF(Wednesday!I:I, B655)</f>
        <v>0</v>
      </c>
      <c r="F655">
        <f>COUNTIF(Thursday!I:I, B655)</f>
        <v>0</v>
      </c>
      <c r="G655">
        <f>COUNTIF(Friday!I:I, B655)</f>
        <v>0</v>
      </c>
      <c r="H655">
        <f>SUM(C655:G655)</f>
        <v>0</v>
      </c>
    </row>
    <row r="656" spans="1:8" x14ac:dyDescent="0.25">
      <c r="A656" s="5" t="s">
        <v>648</v>
      </c>
      <c r="B656" t="str">
        <f>"*"&amp;A656&amp;"*"</f>
        <v>*2145: NURD*</v>
      </c>
      <c r="C656">
        <f>COUNTIF(Monday!I:I, B656)</f>
        <v>0</v>
      </c>
      <c r="D656">
        <f>COUNTIF(Tuesday!I:I, B656)</f>
        <v>0</v>
      </c>
      <c r="E656">
        <f>COUNTIF(Wednesday!I:I, B656)</f>
        <v>0</v>
      </c>
      <c r="F656">
        <f>COUNTIF(Thursday!I:I, B656)</f>
        <v>0</v>
      </c>
      <c r="G656">
        <f>COUNTIF(Friday!I:I, B656)</f>
        <v>0</v>
      </c>
      <c r="H656">
        <f>SUM(C656:G656)</f>
        <v>0</v>
      </c>
    </row>
    <row r="657" spans="1:8" x14ac:dyDescent="0.25">
      <c r="A657" s="5" t="s">
        <v>649</v>
      </c>
      <c r="B657" t="str">
        <f>"*"&amp;A657&amp;"*"</f>
        <v>*2209: Poor*</v>
      </c>
      <c r="C657">
        <f>COUNTIF(Monday!I:I, B657)</f>
        <v>0</v>
      </c>
      <c r="D657">
        <f>COUNTIF(Tuesday!I:I, B657)</f>
        <v>0</v>
      </c>
      <c r="E657">
        <f>COUNTIF(Wednesday!I:I, B657)</f>
        <v>0</v>
      </c>
      <c r="F657">
        <f>COUNTIF(Thursday!I:I, B657)</f>
        <v>0</v>
      </c>
      <c r="G657">
        <f>COUNTIF(Friday!I:I, B657)</f>
        <v>0</v>
      </c>
      <c r="H657">
        <f>SUM(C657:G657)</f>
        <v>0</v>
      </c>
    </row>
    <row r="658" spans="1:8" x14ac:dyDescent="0.25">
      <c r="A658" s="5" t="s">
        <v>650</v>
      </c>
      <c r="B658" t="str">
        <f>"*"&amp;A658&amp;"*"</f>
        <v>*1582: Failure To Rotate*</v>
      </c>
      <c r="C658">
        <f>COUNTIF(Monday!I:I, B658)</f>
        <v>0</v>
      </c>
      <c r="D658">
        <f>COUNTIF(Tuesday!I:I, B658)</f>
        <v>0</v>
      </c>
      <c r="E658">
        <f>COUNTIF(Wednesday!I:I, B658)</f>
        <v>0</v>
      </c>
      <c r="F658">
        <f>COUNTIF(Thursday!I:I, B658)</f>
        <v>0</v>
      </c>
      <c r="G658">
        <f>COUNTIF(Friday!I:I, B658)</f>
        <v>0</v>
      </c>
      <c r="H658">
        <f>SUM(C658:G658)</f>
        <v>0</v>
      </c>
    </row>
    <row r="659" spans="1:8" x14ac:dyDescent="0.25">
      <c r="A659" s="5" t="s">
        <v>651</v>
      </c>
      <c r="B659" t="str">
        <f>"*"&amp;A659&amp;"*"</f>
        <v>*1752: Issue With Length*</v>
      </c>
      <c r="C659">
        <f>COUNTIF(Monday!I:I, B659)</f>
        <v>0</v>
      </c>
      <c r="D659">
        <f>COUNTIF(Tuesday!I:I, B659)</f>
        <v>0</v>
      </c>
      <c r="E659">
        <f>COUNTIF(Wednesday!I:I, B659)</f>
        <v>0</v>
      </c>
      <c r="F659">
        <f>COUNTIF(Thursday!I:I, B659)</f>
        <v>0</v>
      </c>
      <c r="G659">
        <f>COUNTIF(Friday!I:I, B659)</f>
        <v>0</v>
      </c>
      <c r="H659">
        <f>SUM(C659:G659)</f>
        <v>0</v>
      </c>
    </row>
    <row r="660" spans="1:8" x14ac:dyDescent="0.25">
      <c r="A660" s="5" t="s">
        <v>652</v>
      </c>
      <c r="B660" t="str">
        <f>"*"&amp;A660&amp;"*"</f>
        <v>*2284: Rotational Speed Issue*</v>
      </c>
      <c r="C660">
        <f>COUNTIF(Monday!I:I, B660)</f>
        <v>0</v>
      </c>
      <c r="D660">
        <f>COUNTIF(Tuesday!I:I, B660)</f>
        <v>0</v>
      </c>
      <c r="E660">
        <f>COUNTIF(Wednesday!I:I, B660)</f>
        <v>0</v>
      </c>
      <c r="F660">
        <f>COUNTIF(Thursday!I:I, B660)</f>
        <v>0</v>
      </c>
      <c r="G660">
        <f>COUNTIF(Friday!I:I, B660)</f>
        <v>0</v>
      </c>
      <c r="H660">
        <f>SUM(C660:G660)</f>
        <v>0</v>
      </c>
    </row>
    <row r="661" spans="1:8" x14ac:dyDescent="0.25">
      <c r="A661" s="5" t="s">
        <v>653</v>
      </c>
      <c r="B661" t="str">
        <f>"*"&amp;A661&amp;"*"</f>
        <v>*2423: Transducer In The Proximal Tubing When Telescope Is Fully Retracted*</v>
      </c>
      <c r="C661">
        <f>COUNTIF(Monday!I:I, B661)</f>
        <v>0</v>
      </c>
      <c r="D661">
        <f>COUNTIF(Tuesday!I:I, B661)</f>
        <v>0</v>
      </c>
      <c r="E661">
        <f>COUNTIF(Wednesday!I:I, B661)</f>
        <v>0</v>
      </c>
      <c r="F661">
        <f>COUNTIF(Thursday!I:I, B661)</f>
        <v>0</v>
      </c>
      <c r="G661">
        <f>COUNTIF(Friday!I:I, B661)</f>
        <v>0</v>
      </c>
      <c r="H661">
        <f>SUM(C661:G661)</f>
        <v>0</v>
      </c>
    </row>
    <row r="662" spans="1:8" x14ac:dyDescent="0.25">
      <c r="A662" s="5" t="s">
        <v>654</v>
      </c>
      <c r="B662" t="str">
        <f>"*"&amp;A662&amp;"*"</f>
        <v>*2473: Windup Catheter*</v>
      </c>
      <c r="C662">
        <f>COUNTIF(Monday!I:I, B662)</f>
        <v>0</v>
      </c>
      <c r="D662">
        <f>COUNTIF(Tuesday!I:I, B662)</f>
        <v>0</v>
      </c>
      <c r="E662">
        <f>COUNTIF(Wednesday!I:I, B662)</f>
        <v>0</v>
      </c>
      <c r="F662">
        <f>COUNTIF(Thursday!I:I, B662)</f>
        <v>0</v>
      </c>
      <c r="G662">
        <f>COUNTIF(Friday!I:I, B662)</f>
        <v>0</v>
      </c>
      <c r="H662">
        <f>SUM(C662:G662)</f>
        <v>0</v>
      </c>
    </row>
    <row r="663" spans="1:8" x14ac:dyDescent="0.25">
      <c r="A663" s="5" t="s">
        <v>655</v>
      </c>
      <c r="B663" t="str">
        <f>"*"&amp;A663&amp;"*"</f>
        <v>*1037: Blocked Connection*</v>
      </c>
      <c r="C663">
        <f>COUNTIF(Monday!I:I, B663)</f>
        <v>0</v>
      </c>
      <c r="D663">
        <f>COUNTIF(Tuesday!I:I, B663)</f>
        <v>0</v>
      </c>
      <c r="E663">
        <f>COUNTIF(Wednesday!I:I, B663)</f>
        <v>0</v>
      </c>
      <c r="F663">
        <f>COUNTIF(Thursday!I:I, B663)</f>
        <v>0</v>
      </c>
      <c r="G663">
        <f>COUNTIF(Friday!I:I, B663)</f>
        <v>0</v>
      </c>
      <c r="H663">
        <f>SUM(C663:G663)</f>
        <v>0</v>
      </c>
    </row>
    <row r="664" spans="1:8" x14ac:dyDescent="0.25">
      <c r="A664" s="6" t="s">
        <v>656</v>
      </c>
      <c r="B664" t="str">
        <f>"*"&amp;A664&amp;"*"</f>
        <v>*1563: Failure To Read DVD/CD Media*</v>
      </c>
      <c r="C664">
        <f>COUNTIF(Monday!I:I, B664)</f>
        <v>0</v>
      </c>
      <c r="D664">
        <f>COUNTIF(Tuesday!I:I, B664)</f>
        <v>0</v>
      </c>
      <c r="E664">
        <f>COUNTIF(Wednesday!I:I, B664)</f>
        <v>0</v>
      </c>
      <c r="F664">
        <f>COUNTIF(Thursday!I:I, B664)</f>
        <v>0</v>
      </c>
      <c r="G664">
        <f>COUNTIF(Friday!I:I, B664)</f>
        <v>0</v>
      </c>
      <c r="H664">
        <f>SUM(C664:G664)</f>
        <v>0</v>
      </c>
    </row>
    <row r="665" spans="1:8" x14ac:dyDescent="0.25">
      <c r="A665" s="6" t="s">
        <v>657</v>
      </c>
      <c r="B665" t="str">
        <f>"*"&amp;A665&amp;"*"</f>
        <v>*1564: Failure To Read Removable Hard Drive*</v>
      </c>
      <c r="C665">
        <f>COUNTIF(Monday!I:I, B665)</f>
        <v>0</v>
      </c>
      <c r="D665">
        <f>COUNTIF(Tuesday!I:I, B665)</f>
        <v>0</v>
      </c>
      <c r="E665">
        <f>COUNTIF(Wednesday!I:I, B665)</f>
        <v>0</v>
      </c>
      <c r="F665">
        <f>COUNTIF(Thursday!I:I, B665)</f>
        <v>0</v>
      </c>
      <c r="G665">
        <f>COUNTIF(Friday!I:I, B665)</f>
        <v>0</v>
      </c>
      <c r="H665">
        <f>SUM(C665:G665)</f>
        <v>0</v>
      </c>
    </row>
    <row r="666" spans="1:8" x14ac:dyDescent="0.25">
      <c r="A666" s="5" t="s">
        <v>658</v>
      </c>
      <c r="B666" t="str">
        <f>"*"&amp;A666&amp;"*"</f>
        <v>*1598: Failure To Write To DVD/CD Writer*</v>
      </c>
      <c r="C666">
        <f>COUNTIF(Monday!I:I, B666)</f>
        <v>0</v>
      </c>
      <c r="D666">
        <f>COUNTIF(Tuesday!I:I, B666)</f>
        <v>0</v>
      </c>
      <c r="E666">
        <f>COUNTIF(Wednesday!I:I, B666)</f>
        <v>0</v>
      </c>
      <c r="F666">
        <f>COUNTIF(Thursday!I:I, B666)</f>
        <v>0</v>
      </c>
      <c r="G666">
        <f>COUNTIF(Friday!I:I, B666)</f>
        <v>0</v>
      </c>
      <c r="H666">
        <f>SUM(C666:G666)</f>
        <v>0</v>
      </c>
    </row>
    <row r="667" spans="1:8" x14ac:dyDescent="0.25">
      <c r="A667" s="5" t="s">
        <v>659</v>
      </c>
      <c r="B667" t="str">
        <f>"*"&amp;A667&amp;"*"</f>
        <v>*1599: Failure To Write To Removable Hard Drive*</v>
      </c>
      <c r="C667">
        <f>COUNTIF(Monday!I:I, B667)</f>
        <v>0</v>
      </c>
      <c r="D667">
        <f>COUNTIF(Tuesday!I:I, B667)</f>
        <v>0</v>
      </c>
      <c r="E667">
        <f>COUNTIF(Wednesday!I:I, B667)</f>
        <v>0</v>
      </c>
      <c r="F667">
        <f>COUNTIF(Thursday!I:I, B667)</f>
        <v>0</v>
      </c>
      <c r="G667">
        <f>COUNTIF(Friday!I:I, B667)</f>
        <v>0</v>
      </c>
      <c r="H667">
        <f>SUM(C667:G667)</f>
        <v>0</v>
      </c>
    </row>
    <row r="668" spans="1:8" x14ac:dyDescent="0.25">
      <c r="A668" s="5" t="s">
        <v>660</v>
      </c>
      <c r="B668" t="str">
        <f>"*"&amp;A668&amp;"*"</f>
        <v>*1638: Freezes Up/Slows Down Dramatically*</v>
      </c>
      <c r="C668">
        <f>COUNTIF(Monday!I:I, B668)</f>
        <v>0</v>
      </c>
      <c r="D668">
        <f>COUNTIF(Tuesday!I:I, B668)</f>
        <v>0</v>
      </c>
      <c r="E668">
        <f>COUNTIF(Wednesday!I:I, B668)</f>
        <v>0</v>
      </c>
      <c r="F668">
        <f>COUNTIF(Thursday!I:I, B668)</f>
        <v>0</v>
      </c>
      <c r="G668">
        <f>COUNTIF(Friday!I:I, B668)</f>
        <v>0</v>
      </c>
      <c r="H668">
        <f>SUM(C668:G668)</f>
        <v>0</v>
      </c>
    </row>
    <row r="669" spans="1:8" x14ac:dyDescent="0.25">
      <c r="A669" s="5" t="s">
        <v>661</v>
      </c>
      <c r="B669" t="str">
        <f>"*"&amp;A669&amp;"*"</f>
        <v>*1680: Imaging Processor Issue*</v>
      </c>
      <c r="C669">
        <f>COUNTIF(Monday!I:I, B669)</f>
        <v>0</v>
      </c>
      <c r="D669">
        <f>COUNTIF(Tuesday!I:I, B669)</f>
        <v>0</v>
      </c>
      <c r="E669">
        <f>COUNTIF(Wednesday!I:I, B669)</f>
        <v>0</v>
      </c>
      <c r="F669">
        <f>COUNTIF(Thursday!I:I, B669)</f>
        <v>0</v>
      </c>
      <c r="G669">
        <f>COUNTIF(Friday!I:I, B669)</f>
        <v>0</v>
      </c>
      <c r="H669">
        <f>SUM(C669:G669)</f>
        <v>0</v>
      </c>
    </row>
    <row r="670" spans="1:8" x14ac:dyDescent="0.25">
      <c r="A670" s="6" t="s">
        <v>662</v>
      </c>
      <c r="B670" t="str">
        <f>"*"&amp;A670&amp;"*"</f>
        <v>*3067: Archive to CD/DVD/RHD Failure*</v>
      </c>
      <c r="C670">
        <f>COUNTIF(Monday!I:I, B670)</f>
        <v>0</v>
      </c>
      <c r="D670">
        <f>COUNTIF(Tuesday!I:I, B670)</f>
        <v>0</v>
      </c>
      <c r="E670">
        <f>COUNTIF(Wednesday!I:I, B670)</f>
        <v>0</v>
      </c>
      <c r="F670">
        <f>COUNTIF(Thursday!I:I, B670)</f>
        <v>0</v>
      </c>
      <c r="G670">
        <f>COUNTIF(Friday!I:I, B670)</f>
        <v>0</v>
      </c>
      <c r="H670">
        <f>SUM(C670:G670)</f>
        <v>0</v>
      </c>
    </row>
    <row r="671" spans="1:8" x14ac:dyDescent="0.25">
      <c r="A671" s="5" t="s">
        <v>663</v>
      </c>
      <c r="B671" t="str">
        <f>"*"&amp;A671&amp;"*"</f>
        <v>*2051: Message - System Error/Failure*</v>
      </c>
      <c r="C671">
        <f>COUNTIF(Monday!I:I, B671)</f>
        <v>0</v>
      </c>
      <c r="D671">
        <f>COUNTIF(Tuesday!I:I, B671)</f>
        <v>0</v>
      </c>
      <c r="E671">
        <f>COUNTIF(Wednesday!I:I, B671)</f>
        <v>0</v>
      </c>
      <c r="F671">
        <f>COUNTIF(Thursday!I:I, B671)</f>
        <v>0</v>
      </c>
      <c r="G671">
        <f>COUNTIF(Friday!I:I, B671)</f>
        <v>0</v>
      </c>
      <c r="H671">
        <f>SUM(C671:G671)</f>
        <v>0</v>
      </c>
    </row>
    <row r="672" spans="1:8" x14ac:dyDescent="0.25">
      <c r="A672" s="6" t="s">
        <v>664</v>
      </c>
      <c r="B672" t="str">
        <f>"*"&amp;A672&amp;"*"</f>
        <v>*2472: Windows OS Corrupted/BSOD-Bluescreen of Death Error*</v>
      </c>
      <c r="C672">
        <f>COUNTIF(Monday!I:I, B672)</f>
        <v>0</v>
      </c>
      <c r="D672">
        <f>COUNTIF(Tuesday!I:I, B672)</f>
        <v>0</v>
      </c>
      <c r="E672">
        <f>COUNTIF(Wednesday!I:I, B672)</f>
        <v>0</v>
      </c>
      <c r="F672">
        <f>COUNTIF(Thursday!I:I, B672)</f>
        <v>0</v>
      </c>
      <c r="G672">
        <f>COUNTIF(Friday!I:I, B672)</f>
        <v>0</v>
      </c>
      <c r="H672">
        <f>SUM(C672:G672)</f>
        <v>0</v>
      </c>
    </row>
    <row r="673" spans="1:8" x14ac:dyDescent="0.25">
      <c r="A673" s="5" t="s">
        <v>665</v>
      </c>
      <c r="B673" t="str">
        <f>"*"&amp;A673&amp;"*"</f>
        <v>*1534: Failure To Install*</v>
      </c>
      <c r="C673">
        <f>COUNTIF(Monday!I:I, B673)</f>
        <v>0</v>
      </c>
      <c r="D673">
        <f>COUNTIF(Tuesday!I:I, B673)</f>
        <v>0</v>
      </c>
      <c r="E673">
        <f>COUNTIF(Wednesday!I:I, B673)</f>
        <v>0</v>
      </c>
      <c r="F673">
        <f>COUNTIF(Thursday!I:I, B673)</f>
        <v>0</v>
      </c>
      <c r="G673">
        <f>COUNTIF(Friday!I:I, B673)</f>
        <v>0</v>
      </c>
      <c r="H673">
        <f>SUM(C673:G673)</f>
        <v>0</v>
      </c>
    </row>
    <row r="674" spans="1:8" x14ac:dyDescent="0.25">
      <c r="A674" s="5" t="s">
        <v>666</v>
      </c>
      <c r="B674" t="str">
        <f>"*"&amp;A674&amp;"*"</f>
        <v>*1612: File Transfer/Export Failure*</v>
      </c>
      <c r="C674">
        <f>COUNTIF(Monday!I:I, B674)</f>
        <v>0</v>
      </c>
      <c r="D674">
        <f>COUNTIF(Tuesday!I:I, B674)</f>
        <v>0</v>
      </c>
      <c r="E674">
        <f>COUNTIF(Wednesday!I:I, B674)</f>
        <v>0</v>
      </c>
      <c r="F674">
        <f>COUNTIF(Thursday!I:I, B674)</f>
        <v>0</v>
      </c>
      <c r="G674">
        <f>COUNTIF(Friday!I:I, B674)</f>
        <v>0</v>
      </c>
      <c r="H674">
        <f>SUM(C674:G674)</f>
        <v>0</v>
      </c>
    </row>
    <row r="675" spans="1:8" x14ac:dyDescent="0.25">
      <c r="A675" s="5" t="s">
        <v>667</v>
      </c>
      <c r="B675" t="str">
        <f>"*"&amp;A675&amp;"*"</f>
        <v>*1618: Flaked*</v>
      </c>
      <c r="C675">
        <f>COUNTIF(Monday!I:I, B675)</f>
        <v>0</v>
      </c>
      <c r="D675">
        <f>COUNTIF(Tuesday!I:I, B675)</f>
        <v>0</v>
      </c>
      <c r="E675">
        <f>COUNTIF(Wednesday!I:I, B675)</f>
        <v>0</v>
      </c>
      <c r="F675">
        <f>COUNTIF(Thursday!I:I, B675)</f>
        <v>0</v>
      </c>
      <c r="G675">
        <f>COUNTIF(Friday!I:I, B675)</f>
        <v>0</v>
      </c>
      <c r="H675">
        <f>SUM(C675:G675)</f>
        <v>0</v>
      </c>
    </row>
    <row r="676" spans="1:8" x14ac:dyDescent="0.25">
      <c r="A676" s="5" t="s">
        <v>668</v>
      </c>
      <c r="B676" t="str">
        <f>"*"&amp;A676&amp;"*"</f>
        <v>*2143: Not Visible Under Fluoroscopy*</v>
      </c>
      <c r="C676">
        <f>COUNTIF(Monday!I:I, B676)</f>
        <v>0</v>
      </c>
      <c r="D676">
        <f>COUNTIF(Tuesday!I:I, B676)</f>
        <v>0</v>
      </c>
      <c r="E676">
        <f>COUNTIF(Wednesday!I:I, B676)</f>
        <v>0</v>
      </c>
      <c r="F676">
        <f>COUNTIF(Thursday!I:I, B676)</f>
        <v>0</v>
      </c>
      <c r="G676">
        <f>COUNTIF(Friday!I:I, B676)</f>
        <v>0</v>
      </c>
      <c r="H676">
        <f>SUM(C676:G676)</f>
        <v>0</v>
      </c>
    </row>
    <row r="677" spans="1:8" x14ac:dyDescent="0.25">
      <c r="A677" s="5" t="s">
        <v>669</v>
      </c>
      <c r="B677" t="str">
        <f>"*"&amp;A677&amp;"*"</f>
        <v>*1155: Cursor Related Issues*</v>
      </c>
      <c r="C677">
        <f>COUNTIF(Monday!I:I, B677)</f>
        <v>0</v>
      </c>
      <c r="D677">
        <f>COUNTIF(Tuesday!I:I, B677)</f>
        <v>0</v>
      </c>
      <c r="E677">
        <f>COUNTIF(Wednesday!I:I, B677)</f>
        <v>0</v>
      </c>
      <c r="F677">
        <f>COUNTIF(Thursday!I:I, B677)</f>
        <v>0</v>
      </c>
      <c r="G677">
        <f>COUNTIF(Friday!I:I, B677)</f>
        <v>0</v>
      </c>
      <c r="H677">
        <f>SUM(C677:G677)</f>
        <v>0</v>
      </c>
    </row>
    <row r="678" spans="1:8" x14ac:dyDescent="0.25">
      <c r="A678" s="5" t="s">
        <v>670</v>
      </c>
      <c r="B678" t="str">
        <f>"*"&amp;A678&amp;"*"</f>
        <v>*1417: Display Is Off Color*</v>
      </c>
      <c r="C678">
        <f>COUNTIF(Monday!I:I, B678)</f>
        <v>0</v>
      </c>
      <c r="D678">
        <f>COUNTIF(Tuesday!I:I, B678)</f>
        <v>0</v>
      </c>
      <c r="E678">
        <f>COUNTIF(Wednesday!I:I, B678)</f>
        <v>0</v>
      </c>
      <c r="F678">
        <f>COUNTIF(Thursday!I:I, B678)</f>
        <v>0</v>
      </c>
      <c r="G678">
        <f>COUNTIF(Friday!I:I, B678)</f>
        <v>0</v>
      </c>
      <c r="H678">
        <f>SUM(C678:G678)</f>
        <v>0</v>
      </c>
    </row>
    <row r="679" spans="1:8" x14ac:dyDescent="0.25">
      <c r="A679" s="5" t="s">
        <v>671</v>
      </c>
      <c r="B679" t="str">
        <f>"*"&amp;A679&amp;"*"</f>
        <v>*1675: Image Freezes*</v>
      </c>
      <c r="C679">
        <f>COUNTIF(Monday!I:I, B679)</f>
        <v>0</v>
      </c>
      <c r="D679">
        <f>COUNTIF(Tuesday!I:I, B679)</f>
        <v>0</v>
      </c>
      <c r="E679">
        <f>COUNTIF(Wednesday!I:I, B679)</f>
        <v>0</v>
      </c>
      <c r="F679">
        <f>COUNTIF(Thursday!I:I, B679)</f>
        <v>0</v>
      </c>
      <c r="G679">
        <f>COUNTIF(Friday!I:I, B679)</f>
        <v>0</v>
      </c>
      <c r="H679">
        <f>SUM(C679:G679)</f>
        <v>0</v>
      </c>
    </row>
    <row r="680" spans="1:8" x14ac:dyDescent="0.25">
      <c r="A680" s="6" t="s">
        <v>672</v>
      </c>
      <c r="B680" t="str">
        <f>"*"&amp;A680&amp;"*"</f>
        <v>*1770: LCD Missing Segments*</v>
      </c>
      <c r="C680">
        <f>COUNTIF(Monday!I:I, B680)</f>
        <v>0</v>
      </c>
      <c r="D680">
        <f>COUNTIF(Tuesday!I:I, B680)</f>
        <v>0</v>
      </c>
      <c r="E680">
        <f>COUNTIF(Wednesday!I:I, B680)</f>
        <v>0</v>
      </c>
      <c r="F680">
        <f>COUNTIF(Thursday!I:I, B680)</f>
        <v>0</v>
      </c>
      <c r="G680">
        <f>COUNTIF(Friday!I:I, B680)</f>
        <v>0</v>
      </c>
      <c r="H680">
        <f>SUM(C680:G680)</f>
        <v>0</v>
      </c>
    </row>
    <row r="681" spans="1:8" x14ac:dyDescent="0.25">
      <c r="A681" s="6" t="s">
        <v>673</v>
      </c>
      <c r="B681" t="str">
        <f>"*"&amp;A681&amp;"*"</f>
        <v>*1083: Catheter ID Not Recognized*</v>
      </c>
      <c r="C681">
        <f>COUNTIF(Monday!I:I, B681)</f>
        <v>0</v>
      </c>
      <c r="D681">
        <f>COUNTIF(Tuesday!I:I, B681)</f>
        <v>0</v>
      </c>
      <c r="E681">
        <f>COUNTIF(Wednesday!I:I, B681)</f>
        <v>0</v>
      </c>
      <c r="F681">
        <f>COUNTIF(Thursday!I:I, B681)</f>
        <v>0</v>
      </c>
      <c r="G681">
        <f>COUNTIF(Friday!I:I, B681)</f>
        <v>0</v>
      </c>
      <c r="H681">
        <f>SUM(C681:G681)</f>
        <v>0</v>
      </c>
    </row>
    <row r="682" spans="1:8" x14ac:dyDescent="0.25">
      <c r="A682" s="6" t="s">
        <v>674</v>
      </c>
      <c r="B682" t="str">
        <f>"*"&amp;A682&amp;"*"</f>
        <v>*1168: Dead/Transducer Not Spinning/Rotating*</v>
      </c>
      <c r="C682">
        <f>COUNTIF(Monday!I:I, B682)</f>
        <v>0</v>
      </c>
      <c r="D682">
        <f>COUNTIF(Tuesday!I:I, B682)</f>
        <v>0</v>
      </c>
      <c r="E682">
        <f>COUNTIF(Wednesday!I:I, B682)</f>
        <v>0</v>
      </c>
      <c r="F682">
        <f>COUNTIF(Thursday!I:I, B682)</f>
        <v>0</v>
      </c>
      <c r="G682">
        <f>COUNTIF(Friday!I:I, B682)</f>
        <v>0</v>
      </c>
      <c r="H682">
        <f>SUM(C682:G682)</f>
        <v>0</v>
      </c>
    </row>
    <row r="683" spans="1:8" x14ac:dyDescent="0.25">
      <c r="A683" s="5" t="s">
        <v>675</v>
      </c>
      <c r="B683" t="str">
        <f>"*"&amp;A683&amp;"*"</f>
        <v>*1572: Failure To Release Catheter*</v>
      </c>
      <c r="C683">
        <f>COUNTIF(Monday!I:I, B683)</f>
        <v>0</v>
      </c>
      <c r="D683">
        <f>COUNTIF(Tuesday!I:I, B683)</f>
        <v>0</v>
      </c>
      <c r="E683">
        <f>COUNTIF(Wednesday!I:I, B683)</f>
        <v>0</v>
      </c>
      <c r="F683">
        <f>COUNTIF(Thursday!I:I, B683)</f>
        <v>0</v>
      </c>
      <c r="G683">
        <f>COUNTIF(Friday!I:I, B683)</f>
        <v>0</v>
      </c>
      <c r="H683">
        <f>SUM(C683:G683)</f>
        <v>0</v>
      </c>
    </row>
    <row r="684" spans="1:8" x14ac:dyDescent="0.25">
      <c r="A684" s="5" t="s">
        <v>676</v>
      </c>
      <c r="B684" t="str">
        <f>"*"&amp;A684&amp;"*"</f>
        <v>*1629: Fluids Are Known To Have Ingressed Into The Motor Drive*</v>
      </c>
      <c r="C684">
        <f>COUNTIF(Monday!I:I, B684)</f>
        <v>0</v>
      </c>
      <c r="D684">
        <f>COUNTIF(Tuesday!I:I, B684)</f>
        <v>0</v>
      </c>
      <c r="E684">
        <f>COUNTIF(Wednesday!I:I, B684)</f>
        <v>0</v>
      </c>
      <c r="F684">
        <f>COUNTIF(Thursday!I:I, B684)</f>
        <v>0</v>
      </c>
      <c r="G684">
        <f>COUNTIF(Friday!I:I, B684)</f>
        <v>0</v>
      </c>
      <c r="H684">
        <f>SUM(C684:G684)</f>
        <v>0</v>
      </c>
    </row>
    <row r="685" spans="1:8" x14ac:dyDescent="0.25">
      <c r="A685" s="6" t="s">
        <v>677</v>
      </c>
      <c r="B685" t="str">
        <f>"*"&amp;A685&amp;"*"</f>
        <v>*1990: Message - Incorrect Motor Drive Version Error*</v>
      </c>
      <c r="C685">
        <f>COUNTIF(Monday!I:I, B685)</f>
        <v>0</v>
      </c>
      <c r="D685">
        <f>COUNTIF(Tuesday!I:I, B685)</f>
        <v>0</v>
      </c>
      <c r="E685">
        <f>COUNTIF(Wednesday!I:I, B685)</f>
        <v>0</v>
      </c>
      <c r="F685">
        <f>COUNTIF(Thursday!I:I, B685)</f>
        <v>0</v>
      </c>
      <c r="G685">
        <f>COUNTIF(Friday!I:I, B685)</f>
        <v>0</v>
      </c>
      <c r="H685">
        <f>SUM(C685:G685)</f>
        <v>0</v>
      </c>
    </row>
    <row r="686" spans="1:8" x14ac:dyDescent="0.25">
      <c r="A686" s="5" t="s">
        <v>678</v>
      </c>
      <c r="B686" t="str">
        <f>"*"&amp;A686&amp;"*"</f>
        <v>*1999: Message - Motor Drive Error*</v>
      </c>
      <c r="C686">
        <f>COUNTIF(Monday!I:I, B686)</f>
        <v>0</v>
      </c>
      <c r="D686">
        <f>COUNTIF(Tuesday!I:I, B686)</f>
        <v>0</v>
      </c>
      <c r="E686">
        <f>COUNTIF(Wednesday!I:I, B686)</f>
        <v>0</v>
      </c>
      <c r="F686">
        <f>COUNTIF(Thursday!I:I, B686)</f>
        <v>0</v>
      </c>
      <c r="G686">
        <f>COUNTIF(Friday!I:I, B686)</f>
        <v>0</v>
      </c>
      <c r="H686">
        <f>SUM(C686:G686)</f>
        <v>0</v>
      </c>
    </row>
    <row r="687" spans="1:8" x14ac:dyDescent="0.25">
      <c r="A687" s="6" t="s">
        <v>679</v>
      </c>
      <c r="B687" t="str">
        <f>"*"&amp;A687&amp;"*"</f>
        <v>*2000: Message - Motor Drive Overload Error*</v>
      </c>
      <c r="C687">
        <f>COUNTIF(Monday!I:I, B687)</f>
        <v>0</v>
      </c>
      <c r="D687">
        <f>COUNTIF(Tuesday!I:I, B687)</f>
        <v>0</v>
      </c>
      <c r="E687">
        <f>COUNTIF(Wednesday!I:I, B687)</f>
        <v>0</v>
      </c>
      <c r="F687">
        <f>COUNTIF(Thursday!I:I, B687)</f>
        <v>0</v>
      </c>
      <c r="G687">
        <f>COUNTIF(Friday!I:I, B687)</f>
        <v>0</v>
      </c>
      <c r="H687">
        <f>SUM(C687:G687)</f>
        <v>0</v>
      </c>
    </row>
    <row r="688" spans="1:8" x14ac:dyDescent="0.25">
      <c r="A688" s="6" t="s">
        <v>680</v>
      </c>
      <c r="B688" t="str">
        <f>"*"&amp;A688&amp;"*"</f>
        <v>*2077: Motor Drive Dead/Transducer Not Spinning*</v>
      </c>
      <c r="C688">
        <f>COUNTIF(Monday!I:I, B688)</f>
        <v>0</v>
      </c>
      <c r="D688">
        <f>COUNTIF(Tuesday!I:I, B688)</f>
        <v>0</v>
      </c>
      <c r="E688">
        <f>COUNTIF(Wednesday!I:I, B688)</f>
        <v>0</v>
      </c>
      <c r="F688">
        <f>COUNTIF(Thursday!I:I, B688)</f>
        <v>0</v>
      </c>
      <c r="G688">
        <f>COUNTIF(Friday!I:I, B688)</f>
        <v>0</v>
      </c>
      <c r="H688">
        <f>SUM(C688:G688)</f>
        <v>0</v>
      </c>
    </row>
    <row r="689" spans="1:8" x14ac:dyDescent="0.25">
      <c r="A689" s="6" t="s">
        <v>681</v>
      </c>
      <c r="B689" t="str">
        <f>"*"&amp;A689&amp;"*"</f>
        <v>*2078: Motor Drive Issue*</v>
      </c>
      <c r="C689">
        <f>COUNTIF(Monday!I:I, B689)</f>
        <v>0</v>
      </c>
      <c r="D689">
        <f>COUNTIF(Tuesday!I:I, B689)</f>
        <v>0</v>
      </c>
      <c r="E689">
        <f>COUNTIF(Wednesday!I:I, B689)</f>
        <v>0</v>
      </c>
      <c r="F689">
        <f>COUNTIF(Thursday!I:I, B689)</f>
        <v>0</v>
      </c>
      <c r="G689">
        <f>COUNTIF(Friday!I:I, B689)</f>
        <v>0</v>
      </c>
      <c r="H689">
        <f>SUM(C689:G689)</f>
        <v>0</v>
      </c>
    </row>
    <row r="690" spans="1:8" x14ac:dyDescent="0.25">
      <c r="A690" s="5" t="s">
        <v>682</v>
      </c>
      <c r="B690" t="str">
        <f>"*"&amp;A690&amp;"*"</f>
        <v>*2274: Retraction Problem*</v>
      </c>
      <c r="C690">
        <f>COUNTIF(Monday!I:I, B690)</f>
        <v>0</v>
      </c>
      <c r="D690">
        <f>COUNTIF(Tuesday!I:I, B690)</f>
        <v>0</v>
      </c>
      <c r="E690">
        <f>COUNTIF(Wednesday!I:I, B690)</f>
        <v>0</v>
      </c>
      <c r="F690">
        <f>COUNTIF(Thursday!I:I, B690)</f>
        <v>0</v>
      </c>
      <c r="G690">
        <f>COUNTIF(Friday!I:I, B690)</f>
        <v>0</v>
      </c>
      <c r="H690">
        <f>SUM(C690:G690)</f>
        <v>0</v>
      </c>
    </row>
    <row r="691" spans="1:8" x14ac:dyDescent="0.25">
      <c r="A691" s="6" t="s">
        <v>683</v>
      </c>
      <c r="B691" t="str">
        <f>"*"&amp;A691&amp;"*"</f>
        <v>*2328: Simulator Will Not Fit Into Motor Drive*</v>
      </c>
      <c r="C691">
        <f>COUNTIF(Monday!I:I, B691)</f>
        <v>0</v>
      </c>
      <c r="D691">
        <f>COUNTIF(Tuesday!I:I, B691)</f>
        <v>0</v>
      </c>
      <c r="E691">
        <f>COUNTIF(Wednesday!I:I, B691)</f>
        <v>0</v>
      </c>
      <c r="F691">
        <f>COUNTIF(Thursday!I:I, B691)</f>
        <v>0</v>
      </c>
      <c r="G691">
        <f>COUNTIF(Friday!I:I, B691)</f>
        <v>0</v>
      </c>
      <c r="H691">
        <f>SUM(C691:G691)</f>
        <v>0</v>
      </c>
    </row>
    <row r="692" spans="1:8" x14ac:dyDescent="0.25">
      <c r="A692" s="5" t="s">
        <v>684</v>
      </c>
      <c r="B692" t="str">
        <f>"*"&amp;A692&amp;"*"</f>
        <v>*2451: Unusual Noise From Motor Drive/Sled During Pulling Back*</v>
      </c>
      <c r="C692">
        <f>COUNTIF(Monday!I:I, B692)</f>
        <v>0</v>
      </c>
      <c r="D692">
        <f>COUNTIF(Tuesday!I:I, B692)</f>
        <v>0</v>
      </c>
      <c r="E692">
        <f>COUNTIF(Wednesday!I:I, B692)</f>
        <v>0</v>
      </c>
      <c r="F692">
        <f>COUNTIF(Thursday!I:I, B692)</f>
        <v>0</v>
      </c>
      <c r="G692">
        <f>COUNTIF(Friday!I:I, B692)</f>
        <v>0</v>
      </c>
      <c r="H692">
        <f>SUM(C692:G692)</f>
        <v>0</v>
      </c>
    </row>
    <row r="693" spans="1:8" x14ac:dyDescent="0.25">
      <c r="A693" s="5" t="s">
        <v>685</v>
      </c>
      <c r="B693" t="str">
        <f>"*"&amp;A693&amp;"*"</f>
        <v>*3013: Bipolar TX PCA Board Inoperative*</v>
      </c>
      <c r="C693">
        <f>COUNTIF(Monday!I:I, B693)</f>
        <v>0</v>
      </c>
      <c r="D693">
        <f>COUNTIF(Tuesday!I:I, B693)</f>
        <v>0</v>
      </c>
      <c r="E693">
        <f>COUNTIF(Wednesday!I:I, B693)</f>
        <v>0</v>
      </c>
      <c r="F693">
        <f>COUNTIF(Thursday!I:I, B693)</f>
        <v>0</v>
      </c>
      <c r="G693">
        <f>COUNTIF(Friday!I:I, B693)</f>
        <v>0</v>
      </c>
      <c r="H693">
        <f>SUM(C693:G693)</f>
        <v>0</v>
      </c>
    </row>
    <row r="694" spans="1:8" x14ac:dyDescent="0.25">
      <c r="A694" s="5" t="s">
        <v>686</v>
      </c>
      <c r="B694" t="str">
        <f>"*"&amp;A694&amp;"*"</f>
        <v>*3031: MDU Overload Pullback Error 7003*</v>
      </c>
      <c r="C694">
        <f>COUNTIF(Monday!I:I, B694)</f>
        <v>0</v>
      </c>
      <c r="D694">
        <f>COUNTIF(Tuesday!I:I, B694)</f>
        <v>0</v>
      </c>
      <c r="E694">
        <f>COUNTIF(Wednesday!I:I, B694)</f>
        <v>0</v>
      </c>
      <c r="F694">
        <f>COUNTIF(Thursday!I:I, B694)</f>
        <v>0</v>
      </c>
      <c r="G694">
        <f>COUNTIF(Friday!I:I, B694)</f>
        <v>0</v>
      </c>
      <c r="H694">
        <f>SUM(C694:G694)</f>
        <v>0</v>
      </c>
    </row>
    <row r="695" spans="1:8" x14ac:dyDescent="0.25">
      <c r="A695" s="5" t="s">
        <v>687</v>
      </c>
      <c r="B695" t="str">
        <f>"*"&amp;A695&amp;"*"</f>
        <v>*3032: MDU Overload Rotational*</v>
      </c>
      <c r="C695">
        <f>COUNTIF(Monday!I:I, B695)</f>
        <v>0</v>
      </c>
      <c r="D695">
        <f>COUNTIF(Tuesday!I:I, B695)</f>
        <v>0</v>
      </c>
      <c r="E695">
        <f>COUNTIF(Wednesday!I:I, B695)</f>
        <v>0</v>
      </c>
      <c r="F695">
        <f>COUNTIF(Thursday!I:I, B695)</f>
        <v>0</v>
      </c>
      <c r="G695">
        <f>COUNTIF(Friday!I:I, B695)</f>
        <v>0</v>
      </c>
      <c r="H695">
        <f>SUM(C695:G695)</f>
        <v>0</v>
      </c>
    </row>
    <row r="696" spans="1:8" x14ac:dyDescent="0.25">
      <c r="A696" s="6" t="s">
        <v>688</v>
      </c>
      <c r="B696" t="str">
        <f>"*"&amp;A696&amp;"*"</f>
        <v>*3104: Unable To Initiate Autopullback*</v>
      </c>
      <c r="C696">
        <f>COUNTIF(Monday!I:I, B696)</f>
        <v>0</v>
      </c>
      <c r="D696">
        <f>COUNTIF(Tuesday!I:I, B696)</f>
        <v>0</v>
      </c>
      <c r="E696">
        <f>COUNTIF(Wednesday!I:I, B696)</f>
        <v>0</v>
      </c>
      <c r="F696">
        <f>COUNTIF(Thursday!I:I, B696)</f>
        <v>0</v>
      </c>
      <c r="G696">
        <f>COUNTIF(Friday!I:I, B696)</f>
        <v>0</v>
      </c>
      <c r="H696">
        <f>SUM(C696:G696)</f>
        <v>0</v>
      </c>
    </row>
    <row r="697" spans="1:8" x14ac:dyDescent="0.25">
      <c r="A697" s="6" t="s">
        <v>689</v>
      </c>
      <c r="B697" t="str">
        <f>"*"&amp;A697&amp;"*"</f>
        <v>*3105: Unable To Manually Move On Sled*</v>
      </c>
      <c r="C697">
        <f>COUNTIF(Monday!I:I, B697)</f>
        <v>0</v>
      </c>
      <c r="D697">
        <f>COUNTIF(Tuesday!I:I, B697)</f>
        <v>0</v>
      </c>
      <c r="E697">
        <f>COUNTIF(Wednesday!I:I, B697)</f>
        <v>0</v>
      </c>
      <c r="F697">
        <f>COUNTIF(Thursday!I:I, B697)</f>
        <v>0</v>
      </c>
      <c r="G697">
        <f>COUNTIF(Friday!I:I, B697)</f>
        <v>0</v>
      </c>
      <c r="H697">
        <f>SUM(C697:G697)</f>
        <v>0</v>
      </c>
    </row>
    <row r="698" spans="1:8" x14ac:dyDescent="0.25">
      <c r="A698" s="6" t="s">
        <v>690</v>
      </c>
      <c r="B698" t="str">
        <f>"*"&amp;A698&amp;"*"</f>
        <v>*3106: Unable To Stop Pullback*</v>
      </c>
      <c r="C698">
        <f>COUNTIF(Monday!I:I, B698)</f>
        <v>0</v>
      </c>
      <c r="D698">
        <f>COUNTIF(Tuesday!I:I, B698)</f>
        <v>0</v>
      </c>
      <c r="E698">
        <f>COUNTIF(Wednesday!I:I, B698)</f>
        <v>0</v>
      </c>
      <c r="F698">
        <f>COUNTIF(Thursday!I:I, B698)</f>
        <v>0</v>
      </c>
      <c r="G698">
        <f>COUNTIF(Friday!I:I, B698)</f>
        <v>0</v>
      </c>
      <c r="H698">
        <f>SUM(C698:G698)</f>
        <v>0</v>
      </c>
    </row>
    <row r="699" spans="1:8" x14ac:dyDescent="0.25">
      <c r="A699" s="6" t="s">
        <v>691</v>
      </c>
      <c r="B699" t="str">
        <f>"*"&amp;A699&amp;"*"</f>
        <v>*1533: Failure To Insert*</v>
      </c>
      <c r="C699">
        <f>COUNTIF(Monday!I:I, B699)</f>
        <v>0</v>
      </c>
      <c r="D699">
        <f>COUNTIF(Tuesday!I:I, B699)</f>
        <v>0</v>
      </c>
      <c r="E699">
        <f>COUNTIF(Wednesday!I:I, B699)</f>
        <v>0</v>
      </c>
      <c r="F699">
        <f>COUNTIF(Thursday!I:I, B699)</f>
        <v>0</v>
      </c>
      <c r="G699">
        <f>COUNTIF(Friday!I:I, B699)</f>
        <v>0</v>
      </c>
      <c r="H699">
        <f>SUM(C699:G699)</f>
        <v>0</v>
      </c>
    </row>
    <row r="700" spans="1:8" x14ac:dyDescent="0.25">
      <c r="A700" s="5" t="s">
        <v>692</v>
      </c>
      <c r="B700" t="str">
        <f>"*"&amp;A700&amp;"*"</f>
        <v>*1570: Failure To Release*</v>
      </c>
      <c r="C700">
        <f>COUNTIF(Monday!I:I, B700)</f>
        <v>0</v>
      </c>
      <c r="D700">
        <f>COUNTIF(Tuesday!I:I, B700)</f>
        <v>0</v>
      </c>
      <c r="E700">
        <f>COUNTIF(Wednesday!I:I, B700)</f>
        <v>0</v>
      </c>
      <c r="F700">
        <f>COUNTIF(Thursday!I:I, B700)</f>
        <v>0</v>
      </c>
      <c r="G700">
        <f>COUNTIF(Friday!I:I, B700)</f>
        <v>0</v>
      </c>
      <c r="H700">
        <f>SUM(C700:G700)</f>
        <v>0</v>
      </c>
    </row>
    <row r="701" spans="1:8" x14ac:dyDescent="0.25">
      <c r="A701" s="6" t="s">
        <v>693</v>
      </c>
      <c r="B701" t="str">
        <f>"*"&amp;A701&amp;"*"</f>
        <v>*2382: System Does Not Connect To Server/DICOM*</v>
      </c>
      <c r="C701">
        <f>COUNTIF(Monday!I:I, B701)</f>
        <v>0</v>
      </c>
      <c r="D701">
        <f>COUNTIF(Tuesday!I:I, B701)</f>
        <v>0</v>
      </c>
      <c r="E701">
        <f>COUNTIF(Wednesday!I:I, B701)</f>
        <v>0</v>
      </c>
      <c r="F701">
        <f>COUNTIF(Thursday!I:I, B701)</f>
        <v>0</v>
      </c>
      <c r="G701">
        <f>COUNTIF(Friday!I:I, B701)</f>
        <v>0</v>
      </c>
      <c r="H701">
        <f>SUM(C701:G701)</f>
        <v>0</v>
      </c>
    </row>
    <row r="702" spans="1:8" x14ac:dyDescent="0.25">
      <c r="A702" s="5" t="s">
        <v>694</v>
      </c>
      <c r="B702" t="str">
        <f>"*"&amp;A702&amp;"*"</f>
        <v>*1137: Connection Issue With MDU*</v>
      </c>
      <c r="C702">
        <f>COUNTIF(Monday!I:I, B702)</f>
        <v>0</v>
      </c>
      <c r="D702">
        <f>COUNTIF(Tuesday!I:I, B702)</f>
        <v>0</v>
      </c>
      <c r="E702">
        <f>COUNTIF(Wednesday!I:I, B702)</f>
        <v>0</v>
      </c>
      <c r="F702">
        <f>COUNTIF(Thursday!I:I, B702)</f>
        <v>0</v>
      </c>
      <c r="G702">
        <f>COUNTIF(Friday!I:I, B702)</f>
        <v>0</v>
      </c>
      <c r="H702">
        <f>SUM(C702:G702)</f>
        <v>0</v>
      </c>
    </row>
    <row r="703" spans="1:8" x14ac:dyDescent="0.25">
      <c r="A703" s="5" t="s">
        <v>695</v>
      </c>
      <c r="B703" t="str">
        <f>"*"&amp;A703&amp;"*"</f>
        <v>*2007: Message - Not Connected Error*</v>
      </c>
      <c r="C703">
        <f>COUNTIF(Monday!I:I, B703)</f>
        <v>0</v>
      </c>
      <c r="D703">
        <f>COUNTIF(Tuesday!I:I, B703)</f>
        <v>0</v>
      </c>
      <c r="E703">
        <f>COUNTIF(Wednesday!I:I, B703)</f>
        <v>0</v>
      </c>
      <c r="F703">
        <f>COUNTIF(Thursday!I:I, B703)</f>
        <v>0</v>
      </c>
      <c r="G703">
        <f>COUNTIF(Friday!I:I, B703)</f>
        <v>0</v>
      </c>
      <c r="H703">
        <f>SUM(C703:G703)</f>
        <v>0</v>
      </c>
    </row>
    <row r="704" spans="1:8" x14ac:dyDescent="0.25">
      <c r="A704" s="6" t="s">
        <v>696</v>
      </c>
      <c r="B704" t="str">
        <f>"*"&amp;A704&amp;"*"</f>
        <v>*2179: Paper Jam*</v>
      </c>
      <c r="C704">
        <f>COUNTIF(Monday!I:I, B704)</f>
        <v>0</v>
      </c>
      <c r="D704">
        <f>COUNTIF(Tuesday!I:I, B704)</f>
        <v>0</v>
      </c>
      <c r="E704">
        <f>COUNTIF(Wednesday!I:I, B704)</f>
        <v>0</v>
      </c>
      <c r="F704">
        <f>COUNTIF(Thursday!I:I, B704)</f>
        <v>0</v>
      </c>
      <c r="G704">
        <f>COUNTIF(Friday!I:I, B704)</f>
        <v>0</v>
      </c>
      <c r="H704">
        <f>SUM(C704:G704)</f>
        <v>0</v>
      </c>
    </row>
    <row r="705" spans="1:8" x14ac:dyDescent="0.25">
      <c r="A705" s="5" t="s">
        <v>697</v>
      </c>
      <c r="B705" t="str">
        <f>"*"&amp;A705&amp;"*"</f>
        <v>*2215: Poor Print Quality*</v>
      </c>
      <c r="C705">
        <f>COUNTIF(Monday!I:I, B705)</f>
        <v>0</v>
      </c>
      <c r="D705">
        <f>COUNTIF(Tuesday!I:I, B705)</f>
        <v>0</v>
      </c>
      <c r="E705">
        <f>COUNTIF(Wednesday!I:I, B705)</f>
        <v>0</v>
      </c>
      <c r="F705">
        <f>COUNTIF(Thursday!I:I, B705)</f>
        <v>0</v>
      </c>
      <c r="G705">
        <f>COUNTIF(Friday!I:I, B705)</f>
        <v>0</v>
      </c>
      <c r="H705">
        <f>SUM(C705:G705)</f>
        <v>0</v>
      </c>
    </row>
    <row r="706" spans="1:8" x14ac:dyDescent="0.25">
      <c r="A706" s="6" t="s">
        <v>698</v>
      </c>
      <c r="B706" t="str">
        <f>"*"&amp;A706&amp;"*"</f>
        <v>*2383: System Does Not Recognize Printer*</v>
      </c>
      <c r="C706">
        <f>COUNTIF(Monday!I:I, B706)</f>
        <v>0</v>
      </c>
      <c r="D706">
        <f>COUNTIF(Tuesday!I:I, B706)</f>
        <v>0</v>
      </c>
      <c r="E706">
        <f>COUNTIF(Wednesday!I:I, B706)</f>
        <v>0</v>
      </c>
      <c r="F706">
        <f>COUNTIF(Thursday!I:I, B706)</f>
        <v>0</v>
      </c>
      <c r="G706">
        <f>COUNTIF(Friday!I:I, B706)</f>
        <v>0</v>
      </c>
      <c r="H706">
        <f>SUM(C706:G706)</f>
        <v>0</v>
      </c>
    </row>
    <row r="707" spans="1:8" x14ac:dyDescent="0.25">
      <c r="A707" s="5" t="s">
        <v>699</v>
      </c>
      <c r="B707" t="str">
        <f>"*"&amp;A707&amp;"*"</f>
        <v>*2363: Stretched*</v>
      </c>
      <c r="C707">
        <f>COUNTIF(Monday!I:I, B707)</f>
        <v>0</v>
      </c>
      <c r="D707">
        <f>COUNTIF(Tuesday!I:I, B707)</f>
        <v>0</v>
      </c>
      <c r="E707">
        <f>COUNTIF(Wednesday!I:I, B707)</f>
        <v>0</v>
      </c>
      <c r="F707">
        <f>COUNTIF(Thursday!I:I, B707)</f>
        <v>0</v>
      </c>
      <c r="G707">
        <f>COUNTIF(Friday!I:I, B707)</f>
        <v>0</v>
      </c>
      <c r="H707">
        <f>SUM(C707:G707)</f>
        <v>0</v>
      </c>
    </row>
    <row r="708" spans="1:8" x14ac:dyDescent="0.25">
      <c r="A708" s="5" t="s">
        <v>700</v>
      </c>
      <c r="B708" t="str">
        <f>"*"&amp;A708&amp;"*"</f>
        <v>*1012: Application Program Version Or Upgrade Problem*</v>
      </c>
      <c r="C708">
        <f>COUNTIF(Monday!I:I, B708)</f>
        <v>0</v>
      </c>
      <c r="D708">
        <f>COUNTIF(Tuesday!I:I, B708)</f>
        <v>0</v>
      </c>
      <c r="E708">
        <f>COUNTIF(Wednesday!I:I, B708)</f>
        <v>0</v>
      </c>
      <c r="F708">
        <f>COUNTIF(Thursday!I:I, B708)</f>
        <v>0</v>
      </c>
      <c r="G708">
        <f>COUNTIF(Friday!I:I, B708)</f>
        <v>0</v>
      </c>
      <c r="H708">
        <f>SUM(C708:G708)</f>
        <v>0</v>
      </c>
    </row>
    <row r="709" spans="1:8" x14ac:dyDescent="0.25">
      <c r="A709" s="5" t="s">
        <v>701</v>
      </c>
      <c r="B709" t="str">
        <f>"*"&amp;A709&amp;"*"</f>
        <v>*1018: Articulating Mounting Arm Movement Issue*</v>
      </c>
      <c r="C709">
        <f>COUNTIF(Monday!I:I, B709)</f>
        <v>0</v>
      </c>
      <c r="D709">
        <f>COUNTIF(Tuesday!I:I, B709)</f>
        <v>0</v>
      </c>
      <c r="E709">
        <f>COUNTIF(Wednesday!I:I, B709)</f>
        <v>0</v>
      </c>
      <c r="F709">
        <f>COUNTIF(Thursday!I:I, B709)</f>
        <v>0</v>
      </c>
      <c r="G709">
        <f>COUNTIF(Friday!I:I, B709)</f>
        <v>0</v>
      </c>
      <c r="H709">
        <f>SUM(C709:G709)</f>
        <v>0</v>
      </c>
    </row>
    <row r="710" spans="1:8" x14ac:dyDescent="0.25">
      <c r="A710" s="5" t="s">
        <v>702</v>
      </c>
      <c r="B710" t="str">
        <f>"*"&amp;A710&amp;"*"</f>
        <v>*1043: Bookmarking Issue*</v>
      </c>
      <c r="C710">
        <f>COUNTIF(Monday!I:I, B710)</f>
        <v>0</v>
      </c>
      <c r="D710">
        <f>COUNTIF(Tuesday!I:I, B710)</f>
        <v>0</v>
      </c>
      <c r="E710">
        <f>COUNTIF(Wednesday!I:I, B710)</f>
        <v>0</v>
      </c>
      <c r="F710">
        <f>COUNTIF(Thursday!I:I, B710)</f>
        <v>0</v>
      </c>
      <c r="G710">
        <f>COUNTIF(Friday!I:I, B710)</f>
        <v>0</v>
      </c>
      <c r="H710">
        <f>SUM(C710:G710)</f>
        <v>0</v>
      </c>
    </row>
    <row r="711" spans="1:8" x14ac:dyDescent="0.25">
      <c r="A711" s="5" t="s">
        <v>703</v>
      </c>
      <c r="B711" t="str">
        <f>"*"&amp;A711&amp;"*"</f>
        <v>*1165: Data Corruption Issue*</v>
      </c>
      <c r="C711">
        <f>COUNTIF(Monday!I:I, B711)</f>
        <v>0</v>
      </c>
      <c r="D711">
        <f>COUNTIF(Tuesday!I:I, B711)</f>
        <v>0</v>
      </c>
      <c r="E711">
        <f>COUNTIF(Wednesday!I:I, B711)</f>
        <v>0</v>
      </c>
      <c r="F711">
        <f>COUNTIF(Thursday!I:I, B711)</f>
        <v>0</v>
      </c>
      <c r="G711">
        <f>COUNTIF(Friday!I:I, B711)</f>
        <v>0</v>
      </c>
      <c r="H711">
        <f>SUM(C711:G711)</f>
        <v>0</v>
      </c>
    </row>
    <row r="712" spans="1:8" x14ac:dyDescent="0.25">
      <c r="A712" s="6" t="s">
        <v>704</v>
      </c>
      <c r="B712" t="str">
        <f>"*"&amp;A712&amp;"*"</f>
        <v>*1425: Does Not Recognize Catheter*</v>
      </c>
      <c r="C712">
        <f>COUNTIF(Monday!I:I, B712)</f>
        <v>0</v>
      </c>
      <c r="D712">
        <f>COUNTIF(Tuesday!I:I, B712)</f>
        <v>0</v>
      </c>
      <c r="E712">
        <f>COUNTIF(Wednesday!I:I, B712)</f>
        <v>0</v>
      </c>
      <c r="F712">
        <f>COUNTIF(Thursday!I:I, B712)</f>
        <v>0</v>
      </c>
      <c r="G712">
        <f>COUNTIF(Friday!I:I, B712)</f>
        <v>0</v>
      </c>
      <c r="H712">
        <f>SUM(C712:G712)</f>
        <v>0</v>
      </c>
    </row>
    <row r="713" spans="1:8" x14ac:dyDescent="0.25">
      <c r="A713" s="5" t="s">
        <v>705</v>
      </c>
      <c r="B713" t="str">
        <f>"*"&amp;A713&amp;"*"</f>
        <v>*1442: Electrical Power Problem*</v>
      </c>
      <c r="C713">
        <f>COUNTIF(Monday!I:I, B713)</f>
        <v>0</v>
      </c>
      <c r="D713">
        <f>COUNTIF(Tuesday!I:I, B713)</f>
        <v>0</v>
      </c>
      <c r="E713">
        <f>COUNTIF(Wednesday!I:I, B713)</f>
        <v>0</v>
      </c>
      <c r="F713">
        <f>COUNTIF(Thursday!I:I, B713)</f>
        <v>0</v>
      </c>
      <c r="G713">
        <f>COUNTIF(Friday!I:I, B713)</f>
        <v>0</v>
      </c>
      <c r="H713">
        <f>SUM(C713:G713)</f>
        <v>0</v>
      </c>
    </row>
    <row r="714" spans="1:8" x14ac:dyDescent="0.25">
      <c r="A714" s="5" t="s">
        <v>706</v>
      </c>
      <c r="B714" t="str">
        <f>"*"&amp;A714&amp;"*"</f>
        <v>*1473: Failed Power On System Test*</v>
      </c>
      <c r="C714">
        <f>COUNTIF(Monday!I:I, B714)</f>
        <v>0</v>
      </c>
      <c r="D714">
        <f>COUNTIF(Tuesday!I:I, B714)</f>
        <v>0</v>
      </c>
      <c r="E714">
        <f>COUNTIF(Wednesday!I:I, B714)</f>
        <v>0</v>
      </c>
      <c r="F714">
        <f>COUNTIF(Thursday!I:I, B714)</f>
        <v>0</v>
      </c>
      <c r="G714">
        <f>COUNTIF(Friday!I:I, B714)</f>
        <v>0</v>
      </c>
      <c r="H714">
        <f>SUM(C714:G714)</f>
        <v>0</v>
      </c>
    </row>
    <row r="715" spans="1:8" x14ac:dyDescent="0.25">
      <c r="A715" s="5" t="s">
        <v>707</v>
      </c>
      <c r="B715" t="str">
        <f>"*"&amp;A715&amp;"*"</f>
        <v>*1566: Failure To Recognize Motordrive*</v>
      </c>
      <c r="C715">
        <f>COUNTIF(Monday!I:I, B715)</f>
        <v>0</v>
      </c>
      <c r="D715">
        <f>COUNTIF(Tuesday!I:I, B715)</f>
        <v>0</v>
      </c>
      <c r="E715">
        <f>COUNTIF(Wednesday!I:I, B715)</f>
        <v>0</v>
      </c>
      <c r="F715">
        <f>COUNTIF(Thursday!I:I, B715)</f>
        <v>0</v>
      </c>
      <c r="G715">
        <f>COUNTIF(Friday!I:I, B715)</f>
        <v>0</v>
      </c>
      <c r="H715">
        <f>SUM(C715:G715)</f>
        <v>0</v>
      </c>
    </row>
    <row r="716" spans="1:8" x14ac:dyDescent="0.25">
      <c r="A716" s="5" t="s">
        <v>708</v>
      </c>
      <c r="B716" t="str">
        <f>"*"&amp;A716&amp;"*"</f>
        <v>*1567: Failure To Record Case*</v>
      </c>
      <c r="C716">
        <f>COUNTIF(Monday!I:I, B716)</f>
        <v>0</v>
      </c>
      <c r="D716">
        <f>COUNTIF(Tuesday!I:I, B716)</f>
        <v>0</v>
      </c>
      <c r="E716">
        <f>COUNTIF(Wednesday!I:I, B716)</f>
        <v>0</v>
      </c>
      <c r="F716">
        <f>COUNTIF(Thursday!I:I, B716)</f>
        <v>0</v>
      </c>
      <c r="G716">
        <f>COUNTIF(Friday!I:I, B716)</f>
        <v>0</v>
      </c>
      <c r="H716">
        <f>SUM(C716:G716)</f>
        <v>0</v>
      </c>
    </row>
    <row r="717" spans="1:8" x14ac:dyDescent="0.25">
      <c r="A717" s="5" t="s">
        <v>709</v>
      </c>
      <c r="B717" t="str">
        <f>"*"&amp;A717&amp;"*"</f>
        <v>*1581: Failure To Return To Previous Run*</v>
      </c>
      <c r="C717">
        <f>COUNTIF(Monday!I:I, B717)</f>
        <v>0</v>
      </c>
      <c r="D717">
        <f>COUNTIF(Tuesday!I:I, B717)</f>
        <v>0</v>
      </c>
      <c r="E717">
        <f>COUNTIF(Wednesday!I:I, B717)</f>
        <v>0</v>
      </c>
      <c r="F717">
        <f>COUNTIF(Thursday!I:I, B717)</f>
        <v>0</v>
      </c>
      <c r="G717">
        <f>COUNTIF(Friday!I:I, B717)</f>
        <v>0</v>
      </c>
      <c r="H717">
        <f>SUM(C717:G717)</f>
        <v>0</v>
      </c>
    </row>
    <row r="718" spans="1:8" x14ac:dyDescent="0.25">
      <c r="A718" s="5" t="s">
        <v>710</v>
      </c>
      <c r="B718" t="str">
        <f>"*"&amp;A718&amp;"*"</f>
        <v>*1601: Failure To Zero Pressure Guidewire*</v>
      </c>
      <c r="C718">
        <f>COUNTIF(Monday!I:I, B718)</f>
        <v>0</v>
      </c>
      <c r="D718">
        <f>COUNTIF(Tuesday!I:I, B718)</f>
        <v>0</v>
      </c>
      <c r="E718">
        <f>COUNTIF(Wednesday!I:I, B718)</f>
        <v>0</v>
      </c>
      <c r="F718">
        <f>COUNTIF(Thursday!I:I, B718)</f>
        <v>0</v>
      </c>
      <c r="G718">
        <f>COUNTIF(Friday!I:I, B718)</f>
        <v>0</v>
      </c>
      <c r="H718">
        <f>SUM(C718:G718)</f>
        <v>0</v>
      </c>
    </row>
    <row r="719" spans="1:8" x14ac:dyDescent="0.25">
      <c r="A719" s="5" t="s">
        <v>711</v>
      </c>
      <c r="B719" t="str">
        <f>"*"&amp;A719&amp;"*"</f>
        <v>*1645: General System Performance Issue*</v>
      </c>
      <c r="C719">
        <f>COUNTIF(Monday!I:I, B719)</f>
        <v>0</v>
      </c>
      <c r="D719">
        <f>COUNTIF(Tuesday!I:I, B719)</f>
        <v>0</v>
      </c>
      <c r="E719">
        <f>COUNTIF(Wednesday!I:I, B719)</f>
        <v>0</v>
      </c>
      <c r="F719">
        <f>COUNTIF(Thursday!I:I, B719)</f>
        <v>0</v>
      </c>
      <c r="G719">
        <f>COUNTIF(Friday!I:I, B719)</f>
        <v>0</v>
      </c>
      <c r="H719">
        <f>SUM(C719:G719)</f>
        <v>0</v>
      </c>
    </row>
    <row r="720" spans="1:8" x14ac:dyDescent="0.25">
      <c r="A720" s="5" t="s">
        <v>712</v>
      </c>
      <c r="B720" t="str">
        <f>"*"&amp;A720&amp;"*"</f>
        <v>*1681: IMAP Feature Issue*</v>
      </c>
      <c r="C720">
        <f>COUNTIF(Monday!I:I, B720)</f>
        <v>0</v>
      </c>
      <c r="D720">
        <f>COUNTIF(Tuesday!I:I, B720)</f>
        <v>0</v>
      </c>
      <c r="E720">
        <f>COUNTIF(Wednesday!I:I, B720)</f>
        <v>0</v>
      </c>
      <c r="F720">
        <f>COUNTIF(Thursday!I:I, B720)</f>
        <v>0</v>
      </c>
      <c r="G720">
        <f>COUNTIF(Friday!I:I, B720)</f>
        <v>0</v>
      </c>
      <c r="H720">
        <f>SUM(C720:G720)</f>
        <v>0</v>
      </c>
    </row>
    <row r="721" spans="1:8" x14ac:dyDescent="0.25">
      <c r="A721" s="6" t="s">
        <v>713</v>
      </c>
      <c r="B721" t="str">
        <f>"*"&amp;A721&amp;"*"</f>
        <v>*1702: Incompatible Software Version Between Image PC And ACQ PC*</v>
      </c>
      <c r="C721">
        <f>COUNTIF(Monday!I:I, B721)</f>
        <v>0</v>
      </c>
      <c r="D721">
        <f>COUNTIF(Tuesday!I:I, B721)</f>
        <v>0</v>
      </c>
      <c r="E721">
        <f>COUNTIF(Wednesday!I:I, B721)</f>
        <v>0</v>
      </c>
      <c r="F721">
        <f>COUNTIF(Thursday!I:I, B721)</f>
        <v>0</v>
      </c>
      <c r="G721">
        <f>COUNTIF(Friday!I:I, B721)</f>
        <v>0</v>
      </c>
      <c r="H721">
        <f>SUM(C721:G721)</f>
        <v>0</v>
      </c>
    </row>
    <row r="722" spans="1:8" x14ac:dyDescent="0.25">
      <c r="A722" s="6" t="s">
        <v>714</v>
      </c>
      <c r="B722" t="str">
        <f>"*"&amp;A722&amp;"*"</f>
        <v>*1717: Incorrect Measurement*</v>
      </c>
      <c r="C722">
        <f>COUNTIF(Monday!I:I, B722)</f>
        <v>0</v>
      </c>
      <c r="D722">
        <f>COUNTIF(Tuesday!I:I, B722)</f>
        <v>0</v>
      </c>
      <c r="E722">
        <f>COUNTIF(Wednesday!I:I, B722)</f>
        <v>0</v>
      </c>
      <c r="F722">
        <f>COUNTIF(Thursday!I:I, B722)</f>
        <v>0</v>
      </c>
      <c r="G722">
        <f>COUNTIF(Friday!I:I, B722)</f>
        <v>0</v>
      </c>
      <c r="H722">
        <f>SUM(C722:G722)</f>
        <v>0</v>
      </c>
    </row>
    <row r="723" spans="1:8" x14ac:dyDescent="0.25">
      <c r="A723" s="5" t="s">
        <v>715</v>
      </c>
      <c r="B723" t="str">
        <f>"*"&amp;A723&amp;"*"</f>
        <v>*1754: Issue With Viewing Cross Section Or Long View*</v>
      </c>
      <c r="C723">
        <f>COUNTIF(Monday!I:I, B723)</f>
        <v>0</v>
      </c>
      <c r="D723">
        <f>COUNTIF(Tuesday!I:I, B723)</f>
        <v>0</v>
      </c>
      <c r="E723">
        <f>COUNTIF(Wednesday!I:I, B723)</f>
        <v>0</v>
      </c>
      <c r="F723">
        <f>COUNTIF(Thursday!I:I, B723)</f>
        <v>0</v>
      </c>
      <c r="G723">
        <f>COUNTIF(Friday!I:I, B723)</f>
        <v>0</v>
      </c>
      <c r="H723">
        <f>SUM(C723:G723)</f>
        <v>0</v>
      </c>
    </row>
    <row r="724" spans="1:8" x14ac:dyDescent="0.25">
      <c r="A724" s="5" t="s">
        <v>716</v>
      </c>
      <c r="B724" t="str">
        <f>"*"&amp;A724&amp;"*"</f>
        <v>*1762: Jumps To Different Screen/Menu*</v>
      </c>
      <c r="C724">
        <f>COUNTIF(Monday!I:I, B724)</f>
        <v>0</v>
      </c>
      <c r="D724">
        <f>COUNTIF(Tuesday!I:I, B724)</f>
        <v>0</v>
      </c>
      <c r="E724">
        <f>COUNTIF(Wednesday!I:I, B724)</f>
        <v>0</v>
      </c>
      <c r="F724">
        <f>COUNTIF(Thursday!I:I, B724)</f>
        <v>0</v>
      </c>
      <c r="G724">
        <f>COUNTIF(Friday!I:I, B724)</f>
        <v>0</v>
      </c>
      <c r="H724">
        <f>SUM(C724:G724)</f>
        <v>0</v>
      </c>
    </row>
    <row r="725" spans="1:8" x14ac:dyDescent="0.25">
      <c r="A725" s="6" t="s">
        <v>717</v>
      </c>
      <c r="B725" t="str">
        <f>"*"&amp;A725&amp;"*"</f>
        <v>*1795: Loose Hardware*</v>
      </c>
      <c r="C725">
        <f>COUNTIF(Monday!I:I, B725)</f>
        <v>0</v>
      </c>
      <c r="D725">
        <f>COUNTIF(Tuesday!I:I, B725)</f>
        <v>0</v>
      </c>
      <c r="E725">
        <f>COUNTIF(Wednesday!I:I, B725)</f>
        <v>0</v>
      </c>
      <c r="F725">
        <f>COUNTIF(Thursday!I:I, B725)</f>
        <v>0</v>
      </c>
      <c r="G725">
        <f>COUNTIF(Friday!I:I, B725)</f>
        <v>0</v>
      </c>
      <c r="H725">
        <f>SUM(C725:G725)</f>
        <v>0</v>
      </c>
    </row>
    <row r="726" spans="1:8" x14ac:dyDescent="0.25">
      <c r="A726" s="5" t="s">
        <v>718</v>
      </c>
      <c r="B726" t="str">
        <f>"*"&amp;A726&amp;"*"</f>
        <v>*1800: Loss Of Settings*</v>
      </c>
      <c r="C726">
        <f>COUNTIF(Monday!I:I, B726)</f>
        <v>0</v>
      </c>
      <c r="D726">
        <f>COUNTIF(Tuesday!I:I, B726)</f>
        <v>0</v>
      </c>
      <c r="E726">
        <f>COUNTIF(Wednesday!I:I, B726)</f>
        <v>0</v>
      </c>
      <c r="F726">
        <f>COUNTIF(Thursday!I:I, B726)</f>
        <v>0</v>
      </c>
      <c r="G726">
        <f>COUNTIF(Friday!I:I, B726)</f>
        <v>0</v>
      </c>
      <c r="H726">
        <f>SUM(C726:G726)</f>
        <v>0</v>
      </c>
    </row>
    <row r="727" spans="1:8" x14ac:dyDescent="0.25">
      <c r="A727" s="5" t="s">
        <v>719</v>
      </c>
      <c r="B727" t="str">
        <f>"*"&amp;A727&amp;"*"</f>
        <v>*1811: Main System Loses Connectivity To Peripherals*</v>
      </c>
      <c r="C727">
        <f>COUNTIF(Monday!I:I, B727)</f>
        <v>0</v>
      </c>
      <c r="D727">
        <f>COUNTIF(Tuesday!I:I, B727)</f>
        <v>0</v>
      </c>
      <c r="E727">
        <f>COUNTIF(Wednesday!I:I, B727)</f>
        <v>0</v>
      </c>
      <c r="F727">
        <f>COUNTIF(Thursday!I:I, B727)</f>
        <v>0</v>
      </c>
      <c r="G727">
        <f>COUNTIF(Friday!I:I, B727)</f>
        <v>0</v>
      </c>
      <c r="H727">
        <f>SUM(C727:G727)</f>
        <v>0</v>
      </c>
    </row>
    <row r="728" spans="1:8" x14ac:dyDescent="0.25">
      <c r="A728" s="5" t="s">
        <v>720</v>
      </c>
      <c r="B728" t="str">
        <f>"*"&amp;A728&amp;"*"</f>
        <v>*2185: Patient Data Lost*</v>
      </c>
      <c r="C728">
        <f>COUNTIF(Monday!I:I, B728)</f>
        <v>0</v>
      </c>
      <c r="D728">
        <f>COUNTIF(Tuesday!I:I, B728)</f>
        <v>0</v>
      </c>
      <c r="E728">
        <f>COUNTIF(Wednesday!I:I, B728)</f>
        <v>0</v>
      </c>
      <c r="F728">
        <f>COUNTIF(Thursday!I:I, B728)</f>
        <v>0</v>
      </c>
      <c r="G728">
        <f>COUNTIF(Friday!I:I, B728)</f>
        <v>0</v>
      </c>
      <c r="H728">
        <f>SUM(C728:G728)</f>
        <v>0</v>
      </c>
    </row>
    <row r="729" spans="1:8" x14ac:dyDescent="0.25">
      <c r="A729" s="6" t="s">
        <v>721</v>
      </c>
      <c r="B729" t="str">
        <f>"*"&amp;A729&amp;"*"</f>
        <v>*2260: Reading Not Updating Correctly During Pullback*</v>
      </c>
      <c r="C729">
        <f>COUNTIF(Monday!I:I, B729)</f>
        <v>0</v>
      </c>
      <c r="D729">
        <f>COUNTIF(Tuesday!I:I, B729)</f>
        <v>0</v>
      </c>
      <c r="E729">
        <f>COUNTIF(Wednesday!I:I, B729)</f>
        <v>0</v>
      </c>
      <c r="F729">
        <f>COUNTIF(Thursday!I:I, B729)</f>
        <v>0</v>
      </c>
      <c r="G729">
        <f>COUNTIF(Friday!I:I, B729)</f>
        <v>0</v>
      </c>
      <c r="H729">
        <f>SUM(C729:G729)</f>
        <v>0</v>
      </c>
    </row>
    <row r="730" spans="1:8" x14ac:dyDescent="0.25">
      <c r="A730" s="5" t="s">
        <v>722</v>
      </c>
      <c r="B730" t="str">
        <f>"*"&amp;A730&amp;"*"</f>
        <v>*2262: Reboots/Resets Unexpectedly*</v>
      </c>
      <c r="C730">
        <f>COUNTIF(Monday!I:I, B730)</f>
        <v>0</v>
      </c>
      <c r="D730">
        <f>COUNTIF(Tuesday!I:I, B730)</f>
        <v>0</v>
      </c>
      <c r="E730">
        <f>COUNTIF(Wednesday!I:I, B730)</f>
        <v>0</v>
      </c>
      <c r="F730">
        <f>COUNTIF(Thursday!I:I, B730)</f>
        <v>0</v>
      </c>
      <c r="G730">
        <f>COUNTIF(Friday!I:I, B730)</f>
        <v>0</v>
      </c>
      <c r="H730">
        <f>SUM(C730:G730)</f>
        <v>0</v>
      </c>
    </row>
    <row r="731" spans="1:8" x14ac:dyDescent="0.25">
      <c r="A731" s="5" t="s">
        <v>723</v>
      </c>
      <c r="B731" t="str">
        <f>"*"&amp;A731&amp;"*"</f>
        <v>*2288: Safety Test Issue*</v>
      </c>
      <c r="C731">
        <f>COUNTIF(Monday!I:I, B731)</f>
        <v>0</v>
      </c>
      <c r="D731">
        <f>COUNTIF(Tuesday!I:I, B731)</f>
        <v>0</v>
      </c>
      <c r="E731">
        <f>COUNTIF(Wednesday!I:I, B731)</f>
        <v>0</v>
      </c>
      <c r="F731">
        <f>COUNTIF(Thursday!I:I, B731)</f>
        <v>0</v>
      </c>
      <c r="G731">
        <f>COUNTIF(Friday!I:I, B731)</f>
        <v>0</v>
      </c>
      <c r="H731">
        <f>SUM(C731:G731)</f>
        <v>0</v>
      </c>
    </row>
    <row r="732" spans="1:8" x14ac:dyDescent="0.25">
      <c r="A732" s="5" t="s">
        <v>724</v>
      </c>
      <c r="B732" t="str">
        <f>"*"&amp;A732&amp;"*"</f>
        <v>*2291: Save Patient Files Issue*</v>
      </c>
      <c r="C732">
        <f>COUNTIF(Monday!I:I, B732)</f>
        <v>0</v>
      </c>
      <c r="D732">
        <f>COUNTIF(Tuesday!I:I, B732)</f>
        <v>0</v>
      </c>
      <c r="E732">
        <f>COUNTIF(Wednesday!I:I, B732)</f>
        <v>0</v>
      </c>
      <c r="F732">
        <f>COUNTIF(Thursday!I:I, B732)</f>
        <v>0</v>
      </c>
      <c r="G732">
        <f>COUNTIF(Friday!I:I, B732)</f>
        <v>0</v>
      </c>
      <c r="H732">
        <f>SUM(C732:G732)</f>
        <v>0</v>
      </c>
    </row>
    <row r="733" spans="1:8" x14ac:dyDescent="0.25">
      <c r="A733" s="5" t="s">
        <v>725</v>
      </c>
      <c r="B733" t="str">
        <f>"*"&amp;A733&amp;"*"</f>
        <v>*2334: Smoking*</v>
      </c>
      <c r="C733">
        <f>COUNTIF(Monday!I:I, B733)</f>
        <v>0</v>
      </c>
      <c r="D733">
        <f>COUNTIF(Tuesday!I:I, B733)</f>
        <v>0</v>
      </c>
      <c r="E733">
        <f>COUNTIF(Wednesday!I:I, B733)</f>
        <v>0</v>
      </c>
      <c r="F733">
        <f>COUNTIF(Thursday!I:I, B733)</f>
        <v>0</v>
      </c>
      <c r="G733">
        <f>COUNTIF(Friday!I:I, B733)</f>
        <v>0</v>
      </c>
      <c r="H733">
        <f>SUM(C733:G733)</f>
        <v>0</v>
      </c>
    </row>
    <row r="734" spans="1:8" x14ac:dyDescent="0.25">
      <c r="A734" s="5" t="s">
        <v>726</v>
      </c>
      <c r="B734" t="str">
        <f>"*"&amp;A734&amp;"*"</f>
        <v>*2336: Software Downgrade Issue*</v>
      </c>
      <c r="C734">
        <f>COUNTIF(Monday!I:I, B734)</f>
        <v>0</v>
      </c>
      <c r="D734">
        <f>COUNTIF(Tuesday!I:I, B734)</f>
        <v>0</v>
      </c>
      <c r="E734">
        <f>COUNTIF(Wednesday!I:I, B734)</f>
        <v>0</v>
      </c>
      <c r="F734">
        <f>COUNTIF(Thursday!I:I, B734)</f>
        <v>0</v>
      </c>
      <c r="G734">
        <f>COUNTIF(Friday!I:I, B734)</f>
        <v>0</v>
      </c>
      <c r="H734">
        <f>SUM(C734:G734)</f>
        <v>0</v>
      </c>
    </row>
    <row r="735" spans="1:8" x14ac:dyDescent="0.25">
      <c r="A735" s="5" t="s">
        <v>727</v>
      </c>
      <c r="B735" t="str">
        <f>"*"&amp;A735&amp;"*"</f>
        <v>*2337: Software Issue*</v>
      </c>
      <c r="C735">
        <f>COUNTIF(Monday!I:I, B735)</f>
        <v>0</v>
      </c>
      <c r="D735">
        <f>COUNTIF(Tuesday!I:I, B735)</f>
        <v>0</v>
      </c>
      <c r="E735">
        <f>COUNTIF(Wednesday!I:I, B735)</f>
        <v>0</v>
      </c>
      <c r="F735">
        <f>COUNTIF(Thursday!I:I, B735)</f>
        <v>0</v>
      </c>
      <c r="G735">
        <f>COUNTIF(Friday!I:I, B735)</f>
        <v>0</v>
      </c>
      <c r="H735">
        <f>SUM(C735:G735)</f>
        <v>0</v>
      </c>
    </row>
    <row r="736" spans="1:8" x14ac:dyDescent="0.25">
      <c r="A736" s="5" t="s">
        <v>728</v>
      </c>
      <c r="B736" t="str">
        <f>"*"&amp;A736&amp;"*"</f>
        <v>*2421: Trace Assist Issue*</v>
      </c>
      <c r="C736">
        <f>COUNTIF(Monday!I:I, B736)</f>
        <v>0</v>
      </c>
      <c r="D736">
        <f>COUNTIF(Tuesday!I:I, B736)</f>
        <v>0</v>
      </c>
      <c r="E736">
        <f>COUNTIF(Wednesday!I:I, B736)</f>
        <v>0</v>
      </c>
      <c r="F736">
        <f>COUNTIF(Thursday!I:I, B736)</f>
        <v>0</v>
      </c>
      <c r="G736">
        <f>COUNTIF(Friday!I:I, B736)</f>
        <v>0</v>
      </c>
      <c r="H736">
        <f>SUM(C736:G736)</f>
        <v>0</v>
      </c>
    </row>
    <row r="737" spans="1:8" x14ac:dyDescent="0.25">
      <c r="A737" s="5" t="s">
        <v>729</v>
      </c>
      <c r="B737" t="str">
        <f>"*"&amp;A737&amp;"*"</f>
        <v>*2452: UPS*</v>
      </c>
      <c r="C737">
        <f>COUNTIF(Monday!I:I, B737)</f>
        <v>0</v>
      </c>
      <c r="D737">
        <f>COUNTIF(Tuesday!I:I, B737)</f>
        <v>0</v>
      </c>
      <c r="E737">
        <f>COUNTIF(Wednesday!I:I, B737)</f>
        <v>0</v>
      </c>
      <c r="F737">
        <f>COUNTIF(Thursday!I:I, B737)</f>
        <v>0</v>
      </c>
      <c r="G737">
        <f>COUNTIF(Friday!I:I, B737)</f>
        <v>0</v>
      </c>
      <c r="H737">
        <f>SUM(C737:G737)</f>
        <v>0</v>
      </c>
    </row>
    <row r="738" spans="1:8" x14ac:dyDescent="0.25">
      <c r="A738" s="6" t="s">
        <v>730</v>
      </c>
      <c r="B738" t="str">
        <f>"*"&amp;A738&amp;"*"</f>
        <v>*3070: Cannot Start Imaging*</v>
      </c>
      <c r="C738">
        <f>COUNTIF(Monday!I:I, B738)</f>
        <v>0</v>
      </c>
      <c r="D738">
        <f>COUNTIF(Tuesday!I:I, B738)</f>
        <v>0</v>
      </c>
      <c r="E738">
        <f>COUNTIF(Wednesday!I:I, B738)</f>
        <v>0</v>
      </c>
      <c r="F738">
        <f>COUNTIF(Thursday!I:I, B738)</f>
        <v>0</v>
      </c>
      <c r="G738">
        <f>COUNTIF(Friday!I:I, B738)</f>
        <v>0</v>
      </c>
      <c r="H738">
        <f>SUM(C738:G738)</f>
        <v>0</v>
      </c>
    </row>
    <row r="739" spans="1:8" x14ac:dyDescent="0.25">
      <c r="A739" s="6" t="s">
        <v>731</v>
      </c>
      <c r="B739" t="str">
        <f>"*"&amp;A739&amp;"*"</f>
        <v>*3072: Data Acquisition Error*</v>
      </c>
      <c r="C739">
        <f>COUNTIF(Monday!I:I, B739)</f>
        <v>0</v>
      </c>
      <c r="D739">
        <f>COUNTIF(Tuesday!I:I, B739)</f>
        <v>0</v>
      </c>
      <c r="E739">
        <f>COUNTIF(Wednesday!I:I, B739)</f>
        <v>0</v>
      </c>
      <c r="F739">
        <f>COUNTIF(Thursday!I:I, B739)</f>
        <v>0</v>
      </c>
      <c r="G739">
        <f>COUNTIF(Friday!I:I, B739)</f>
        <v>0</v>
      </c>
      <c r="H739">
        <f>SUM(C739:G739)</f>
        <v>0</v>
      </c>
    </row>
    <row r="740" spans="1:8" x14ac:dyDescent="0.25">
      <c r="A740" s="6" t="s">
        <v>732</v>
      </c>
      <c r="B740" t="str">
        <f>"*"&amp;A740&amp;"*"</f>
        <v>*3076: Failure During Run*</v>
      </c>
      <c r="C740">
        <f>COUNTIF(Monday!I:I, B740)</f>
        <v>0</v>
      </c>
      <c r="D740">
        <f>COUNTIF(Tuesday!I:I, B740)</f>
        <v>0</v>
      </c>
      <c r="E740">
        <f>COUNTIF(Wednesday!I:I, B740)</f>
        <v>0</v>
      </c>
      <c r="F740">
        <f>COUNTIF(Thursday!I:I, B740)</f>
        <v>0</v>
      </c>
      <c r="G740">
        <f>COUNTIF(Friday!I:I, B740)</f>
        <v>0</v>
      </c>
      <c r="H740">
        <f>SUM(C740:G740)</f>
        <v>0</v>
      </c>
    </row>
    <row r="741" spans="1:8" x14ac:dyDescent="0.25">
      <c r="A741" s="5" t="s">
        <v>733</v>
      </c>
      <c r="B741" t="str">
        <f>"*"&amp;A741&amp;"*"</f>
        <v>*3078: Failure To Playback/Review A Recorded Case*</v>
      </c>
      <c r="C741">
        <f>COUNTIF(Monday!I:I, B741)</f>
        <v>0</v>
      </c>
      <c r="D741">
        <f>COUNTIF(Tuesday!I:I, B741)</f>
        <v>0</v>
      </c>
      <c r="E741">
        <f>COUNTIF(Wednesday!I:I, B741)</f>
        <v>0</v>
      </c>
      <c r="F741">
        <f>COUNTIF(Thursday!I:I, B741)</f>
        <v>0</v>
      </c>
      <c r="G741">
        <f>COUNTIF(Friday!I:I, B741)</f>
        <v>0</v>
      </c>
      <c r="H741">
        <f>SUM(C741:G741)</f>
        <v>0</v>
      </c>
    </row>
    <row r="742" spans="1:8" x14ac:dyDescent="0.25">
      <c r="A742" s="6" t="s">
        <v>734</v>
      </c>
      <c r="B742" t="str">
        <f>"*"&amp;A742&amp;"*"</f>
        <v>*3080: Imaging Failed To Start Error-7025*</v>
      </c>
      <c r="C742">
        <f>COUNTIF(Monday!I:I, B742)</f>
        <v>0</v>
      </c>
      <c r="D742">
        <f>COUNTIF(Tuesday!I:I, B742)</f>
        <v>0</v>
      </c>
      <c r="E742">
        <f>COUNTIF(Wednesday!I:I, B742)</f>
        <v>0</v>
      </c>
      <c r="F742">
        <f>COUNTIF(Thursday!I:I, B742)</f>
        <v>0</v>
      </c>
      <c r="G742">
        <f>COUNTIF(Friday!I:I, B742)</f>
        <v>0</v>
      </c>
      <c r="H742">
        <f>SUM(C742:G742)</f>
        <v>0</v>
      </c>
    </row>
    <row r="743" spans="1:8" x14ac:dyDescent="0.25">
      <c r="A743" s="6" t="s">
        <v>735</v>
      </c>
      <c r="B743" t="str">
        <f>"*"&amp;A743&amp;"*"</f>
        <v>*3082: Intermittent Catheter Connection*</v>
      </c>
      <c r="C743">
        <f>COUNTIF(Monday!I:I, B743)</f>
        <v>0</v>
      </c>
      <c r="D743">
        <f>COUNTIF(Tuesday!I:I, B743)</f>
        <v>0</v>
      </c>
      <c r="E743">
        <f>COUNTIF(Wednesday!I:I, B743)</f>
        <v>0</v>
      </c>
      <c r="F743">
        <f>COUNTIF(Thursday!I:I, B743)</f>
        <v>0</v>
      </c>
      <c r="G743">
        <f>COUNTIF(Friday!I:I, B743)</f>
        <v>0</v>
      </c>
      <c r="H743">
        <f>SUM(C743:G743)</f>
        <v>0</v>
      </c>
    </row>
    <row r="744" spans="1:8" x14ac:dyDescent="0.25">
      <c r="A744" s="6" t="s">
        <v>736</v>
      </c>
      <c r="B744" t="str">
        <f>"*"&amp;A744&amp;"*"</f>
        <v>*3108: Unprotected System Software*</v>
      </c>
      <c r="C744">
        <f>COUNTIF(Monday!I:I, B744)</f>
        <v>0</v>
      </c>
      <c r="D744">
        <f>COUNTIF(Tuesday!I:I, B744)</f>
        <v>0</v>
      </c>
      <c r="E744">
        <f>COUNTIF(Wednesday!I:I, B744)</f>
        <v>0</v>
      </c>
      <c r="F744">
        <f>COUNTIF(Thursday!I:I, B744)</f>
        <v>0</v>
      </c>
      <c r="G744">
        <f>COUNTIF(Friday!I:I, B744)</f>
        <v>0</v>
      </c>
      <c r="H744">
        <f>SUM(C744:G744)</f>
        <v>0</v>
      </c>
    </row>
    <row r="745" spans="1:8" x14ac:dyDescent="0.25">
      <c r="A745" s="5" t="s">
        <v>737</v>
      </c>
      <c r="B745" t="str">
        <f>"*"&amp;A745&amp;"*"</f>
        <v>*1066: Buttons Do Not Function As Intended*</v>
      </c>
      <c r="C745">
        <f>COUNTIF(Monday!I:I, B745)</f>
        <v>0</v>
      </c>
      <c r="D745">
        <f>COUNTIF(Tuesday!I:I, B745)</f>
        <v>0</v>
      </c>
      <c r="E745">
        <f>COUNTIF(Wednesday!I:I, B745)</f>
        <v>0</v>
      </c>
      <c r="F745">
        <f>COUNTIF(Thursday!I:I, B745)</f>
        <v>0</v>
      </c>
      <c r="G745">
        <f>COUNTIF(Friday!I:I, B745)</f>
        <v>0</v>
      </c>
      <c r="H745">
        <f>SUM(C745:G745)</f>
        <v>0</v>
      </c>
    </row>
    <row r="746" spans="1:8" x14ac:dyDescent="0.25">
      <c r="A746" s="5" t="s">
        <v>738</v>
      </c>
      <c r="B746" t="str">
        <f>"*"&amp;A746&amp;"*"</f>
        <v>*1256: Device Markings Issue*</v>
      </c>
      <c r="C746">
        <f>COUNTIF(Monday!I:I, B746)</f>
        <v>0</v>
      </c>
      <c r="D746">
        <f>COUNTIF(Tuesday!I:I, B746)</f>
        <v>0</v>
      </c>
      <c r="E746">
        <f>COUNTIF(Wednesday!I:I, B746)</f>
        <v>0</v>
      </c>
      <c r="F746">
        <f>COUNTIF(Thursday!I:I, B746)</f>
        <v>0</v>
      </c>
      <c r="G746">
        <f>COUNTIF(Friday!I:I, B746)</f>
        <v>0</v>
      </c>
      <c r="H746">
        <f>SUM(C746:G746)</f>
        <v>0</v>
      </c>
    </row>
    <row r="747" spans="1:8" x14ac:dyDescent="0.25">
      <c r="A747" s="5" t="s">
        <v>739</v>
      </c>
      <c r="B747" t="str">
        <f>"*"&amp;A747&amp;"*"</f>
        <v>*1823: Material Perforation*</v>
      </c>
      <c r="C747">
        <f>COUNTIF(Monday!I:I, B747)</f>
        <v>0</v>
      </c>
      <c r="D747">
        <f>COUNTIF(Tuesday!I:I, B747)</f>
        <v>0</v>
      </c>
      <c r="E747">
        <f>COUNTIF(Wednesday!I:I, B747)</f>
        <v>0</v>
      </c>
      <c r="F747">
        <f>COUNTIF(Thursday!I:I, B747)</f>
        <v>0</v>
      </c>
      <c r="G747">
        <f>COUNTIF(Friday!I:I, B747)</f>
        <v>0</v>
      </c>
      <c r="H747">
        <f>SUM(C747:G747)</f>
        <v>0</v>
      </c>
    </row>
    <row r="748" spans="1:8" x14ac:dyDescent="0.25">
      <c r="A748" s="5" t="s">
        <v>740</v>
      </c>
      <c r="B748" t="str">
        <f>"*"&amp;A748&amp;"*"</f>
        <v>*1422: Distorted Display*</v>
      </c>
      <c r="C748">
        <f>COUNTIF(Monday!I:I, B748)</f>
        <v>0</v>
      </c>
      <c r="D748">
        <f>COUNTIF(Tuesday!I:I, B748)</f>
        <v>0</v>
      </c>
      <c r="E748">
        <f>COUNTIF(Wednesday!I:I, B748)</f>
        <v>0</v>
      </c>
      <c r="F748">
        <f>COUNTIF(Thursday!I:I, B748)</f>
        <v>0</v>
      </c>
      <c r="G748">
        <f>COUNTIF(Friday!I:I, B748)</f>
        <v>0</v>
      </c>
      <c r="H748">
        <f>SUM(C748:G748)</f>
        <v>0</v>
      </c>
    </row>
    <row r="749" spans="1:8" x14ac:dyDescent="0.25">
      <c r="A749" s="5" t="s">
        <v>741</v>
      </c>
      <c r="B749" t="str">
        <f>"*"&amp;A749&amp;"*"</f>
        <v>*2149: Off Color*</v>
      </c>
      <c r="C749">
        <f>COUNTIF(Monday!I:I, B749)</f>
        <v>0</v>
      </c>
      <c r="D749">
        <f>COUNTIF(Tuesday!I:I, B749)</f>
        <v>0</v>
      </c>
      <c r="E749">
        <f>COUNTIF(Wednesday!I:I, B749)</f>
        <v>0</v>
      </c>
      <c r="F749">
        <f>COUNTIF(Thursday!I:I, B749)</f>
        <v>0</v>
      </c>
      <c r="G749">
        <f>COUNTIF(Friday!I:I, B749)</f>
        <v>0</v>
      </c>
      <c r="H749">
        <f>SUM(C749:G749)</f>
        <v>0</v>
      </c>
    </row>
    <row r="750" spans="1:8" x14ac:dyDescent="0.25">
      <c r="A750" s="6" t="s">
        <v>742</v>
      </c>
      <c r="B750" t="str">
        <f>"*"&amp;A750&amp;"*"</f>
        <v>*2298: Select/Cancel Button Not Functional*</v>
      </c>
      <c r="C750">
        <f>COUNTIF(Monday!I:I, B750)</f>
        <v>0</v>
      </c>
      <c r="D750">
        <f>COUNTIF(Tuesday!I:I, B750)</f>
        <v>0</v>
      </c>
      <c r="E750">
        <f>COUNTIF(Wednesday!I:I, B750)</f>
        <v>0</v>
      </c>
      <c r="F750">
        <f>COUNTIF(Thursday!I:I, B750)</f>
        <v>0</v>
      </c>
      <c r="G750">
        <f>COUNTIF(Friday!I:I, B750)</f>
        <v>0</v>
      </c>
      <c r="H750">
        <f>SUM(C750:G750)</f>
        <v>0</v>
      </c>
    </row>
    <row r="751" spans="1:8" x14ac:dyDescent="0.25">
      <c r="A751" s="6" t="s">
        <v>743</v>
      </c>
      <c r="B751" t="str">
        <f>"*"&amp;A751&amp;"*"</f>
        <v>*2429: Unable To Perform Touchscreen Calibration*</v>
      </c>
      <c r="C751">
        <f>COUNTIF(Monday!I:I, B751)</f>
        <v>0</v>
      </c>
      <c r="D751">
        <f>COUNTIF(Tuesday!I:I, B751)</f>
        <v>0</v>
      </c>
      <c r="E751">
        <f>COUNTIF(Wednesday!I:I, B751)</f>
        <v>0</v>
      </c>
      <c r="F751">
        <f>COUNTIF(Thursday!I:I, B751)</f>
        <v>0</v>
      </c>
      <c r="G751">
        <f>COUNTIF(Friday!I:I, B751)</f>
        <v>0</v>
      </c>
      <c r="H751">
        <f>SUM(C751:G751)</f>
        <v>0</v>
      </c>
    </row>
    <row r="752" spans="1:8" x14ac:dyDescent="0.25">
      <c r="A752" s="6" t="s">
        <v>744</v>
      </c>
      <c r="B752" t="str">
        <f>"*"&amp;A752&amp;"*"</f>
        <v>*1003: PC USB Port Inoperative*</v>
      </c>
      <c r="C752">
        <f>COUNTIF(Monday!I:I, B752)</f>
        <v>0</v>
      </c>
      <c r="D752">
        <f>COUNTIF(Tuesday!I:I, B752)</f>
        <v>0</v>
      </c>
      <c r="E752">
        <f>COUNTIF(Wednesday!I:I, B752)</f>
        <v>0</v>
      </c>
      <c r="F752">
        <f>COUNTIF(Thursday!I:I, B752)</f>
        <v>0</v>
      </c>
      <c r="G752">
        <f>COUNTIF(Friday!I:I, B752)</f>
        <v>0</v>
      </c>
      <c r="H752">
        <f>SUM(C752:G752)</f>
        <v>0</v>
      </c>
    </row>
    <row r="753" spans="1:8" x14ac:dyDescent="0.25">
      <c r="A753" s="6" t="s">
        <v>745</v>
      </c>
      <c r="B753" t="str">
        <f>"*"&amp;A753&amp;"*"</f>
        <v>*1054: Broken Part/Physical Damage*</v>
      </c>
      <c r="C753">
        <f>COUNTIF(Monday!I:I, B753)</f>
        <v>0</v>
      </c>
      <c r="D753">
        <f>COUNTIF(Tuesday!I:I, B753)</f>
        <v>0</v>
      </c>
      <c r="E753">
        <f>COUNTIF(Wednesday!I:I, B753)</f>
        <v>0</v>
      </c>
      <c r="F753">
        <f>COUNTIF(Thursday!I:I, B753)</f>
        <v>0</v>
      </c>
      <c r="G753">
        <f>COUNTIF(Friday!I:I, B753)</f>
        <v>0</v>
      </c>
      <c r="H753">
        <f>SUM(C753:G753)</f>
        <v>0</v>
      </c>
    </row>
    <row r="754" spans="1:8" x14ac:dyDescent="0.25">
      <c r="A754" s="5" t="s">
        <v>746</v>
      </c>
      <c r="B754" t="str">
        <f>"*"&amp;A754&amp;"*"</f>
        <v>*1502: Failure To Control Cursor/Drifting Cursor*</v>
      </c>
      <c r="C754">
        <f>COUNTIF(Monday!I:I, B754)</f>
        <v>0</v>
      </c>
      <c r="D754">
        <f>COUNTIF(Tuesday!I:I, B754)</f>
        <v>0</v>
      </c>
      <c r="E754">
        <f>COUNTIF(Wednesday!I:I, B754)</f>
        <v>0</v>
      </c>
      <c r="F754">
        <f>COUNTIF(Thursday!I:I, B754)</f>
        <v>0</v>
      </c>
      <c r="G754">
        <f>COUNTIF(Friday!I:I, B754)</f>
        <v>0</v>
      </c>
      <c r="H754">
        <f>SUM(C754:G754)</f>
        <v>0</v>
      </c>
    </row>
    <row r="755" spans="1:8" x14ac:dyDescent="0.25">
      <c r="A755" s="5" t="s">
        <v>747</v>
      </c>
      <c r="B755" t="str">
        <f>"*"&amp;A755&amp;"*"</f>
        <v>*1511: Failure To Deliver Energy*</v>
      </c>
      <c r="C755">
        <f>COUNTIF(Monday!I:I, B755)</f>
        <v>0</v>
      </c>
      <c r="D755">
        <f>COUNTIF(Tuesday!I:I, B755)</f>
        <v>0</v>
      </c>
      <c r="E755">
        <f>COUNTIF(Wednesday!I:I, B755)</f>
        <v>0</v>
      </c>
      <c r="F755">
        <f>COUNTIF(Thursday!I:I, B755)</f>
        <v>0</v>
      </c>
      <c r="G755">
        <f>COUNTIF(Friday!I:I, B755)</f>
        <v>0</v>
      </c>
      <c r="H755">
        <f>SUM(C755:G755)</f>
        <v>0</v>
      </c>
    </row>
    <row r="756" spans="1:8" x14ac:dyDescent="0.25">
      <c r="A756" s="5" t="s">
        <v>748</v>
      </c>
      <c r="B756" t="str">
        <f>"*"&amp;A756&amp;"*"</f>
        <v>*2595: Excessive Current*</v>
      </c>
      <c r="C756">
        <f>COUNTIF(Monday!I:I, B756)</f>
        <v>0</v>
      </c>
      <c r="D756">
        <f>COUNTIF(Tuesday!I:I, B756)</f>
        <v>0</v>
      </c>
      <c r="E756">
        <f>COUNTIF(Wednesday!I:I, B756)</f>
        <v>0</v>
      </c>
      <c r="F756">
        <f>COUNTIF(Thursday!I:I, B756)</f>
        <v>0</v>
      </c>
      <c r="G756">
        <f>COUNTIF(Friday!I:I, B756)</f>
        <v>0</v>
      </c>
      <c r="H756">
        <f>SUM(C756:G756)</f>
        <v>0</v>
      </c>
    </row>
    <row r="757" spans="1:8" x14ac:dyDescent="0.25">
      <c r="A757" s="5" t="s">
        <v>749</v>
      </c>
      <c r="B757" t="str">
        <f>"*"&amp;A757&amp;"*"</f>
        <v>*2141: Not Visible*</v>
      </c>
      <c r="C757">
        <f>COUNTIF(Monday!I:I, B757)</f>
        <v>0</v>
      </c>
      <c r="D757">
        <f>COUNTIF(Tuesday!I:I, B757)</f>
        <v>0</v>
      </c>
      <c r="E757">
        <f>COUNTIF(Wednesday!I:I, B757)</f>
        <v>0</v>
      </c>
      <c r="F757">
        <f>COUNTIF(Thursday!I:I, B757)</f>
        <v>0</v>
      </c>
      <c r="G757">
        <f>COUNTIF(Friday!I:I, B757)</f>
        <v>0</v>
      </c>
      <c r="H757">
        <f>SUM(C757:G757)</f>
        <v>0</v>
      </c>
    </row>
    <row r="758" spans="1:8" x14ac:dyDescent="0.25">
      <c r="A758" s="5" t="s">
        <v>750</v>
      </c>
      <c r="B758" t="str">
        <f>"*"&amp;A758&amp;"*"</f>
        <v>*1337: Difficult To Press*</v>
      </c>
      <c r="C758">
        <f>COUNTIF(Monday!I:I, B758)</f>
        <v>0</v>
      </c>
      <c r="D758">
        <f>COUNTIF(Tuesday!I:I, B758)</f>
        <v>0</v>
      </c>
      <c r="E758">
        <f>COUNTIF(Wednesday!I:I, B758)</f>
        <v>0</v>
      </c>
      <c r="F758">
        <f>COUNTIF(Thursday!I:I, B758)</f>
        <v>0</v>
      </c>
      <c r="G758">
        <f>COUNTIF(Friday!I:I, B758)</f>
        <v>0</v>
      </c>
      <c r="H758">
        <f>SUM(C758:G758)</f>
        <v>0</v>
      </c>
    </row>
    <row r="759" spans="1:8" x14ac:dyDescent="0.25">
      <c r="A759" s="5" t="s">
        <v>751</v>
      </c>
      <c r="B759" t="str">
        <f>"*"&amp;A759&amp;"*"</f>
        <v>*2351: Sticking*</v>
      </c>
      <c r="C759">
        <f>COUNTIF(Monday!I:I, B759)</f>
        <v>0</v>
      </c>
      <c r="D759">
        <f>COUNTIF(Tuesday!I:I, B759)</f>
        <v>0</v>
      </c>
      <c r="E759">
        <f>COUNTIF(Wednesday!I:I, B759)</f>
        <v>0</v>
      </c>
      <c r="F759">
        <f>COUNTIF(Thursday!I:I, B759)</f>
        <v>0</v>
      </c>
      <c r="G759">
        <f>COUNTIF(Friday!I:I, B759)</f>
        <v>0</v>
      </c>
      <c r="H759">
        <f>SUM(C759:G759)</f>
        <v>0</v>
      </c>
    </row>
    <row r="760" spans="1:8" x14ac:dyDescent="0.25">
      <c r="A760" s="5" t="s">
        <v>752</v>
      </c>
      <c r="B760" t="str">
        <f>"*"&amp;A760&amp;"*"</f>
        <v>*2592: Continuously Routes Water Over Lens*</v>
      </c>
      <c r="C760">
        <f>COUNTIF(Monday!I:I, B760)</f>
        <v>0</v>
      </c>
      <c r="D760">
        <f>COUNTIF(Tuesday!I:I, B760)</f>
        <v>0</v>
      </c>
      <c r="E760">
        <f>COUNTIF(Wednesday!I:I, B760)</f>
        <v>0</v>
      </c>
      <c r="F760">
        <f>COUNTIF(Thursday!I:I, B760)</f>
        <v>0</v>
      </c>
      <c r="G760">
        <f>COUNTIF(Friday!I:I, B760)</f>
        <v>0</v>
      </c>
      <c r="H760">
        <f>SUM(C760:G760)</f>
        <v>0</v>
      </c>
    </row>
    <row r="761" spans="1:8" x14ac:dyDescent="0.25">
      <c r="A761" s="5" t="s">
        <v>753</v>
      </c>
      <c r="B761" t="str">
        <f>"*"&amp;A761&amp;"*"</f>
        <v>*1290: Difficult To Close*</v>
      </c>
      <c r="C761">
        <f>COUNTIF(Monday!I:I, B761)</f>
        <v>0</v>
      </c>
      <c r="D761">
        <f>COUNTIF(Tuesday!I:I, B761)</f>
        <v>0</v>
      </c>
      <c r="E761">
        <f>COUNTIF(Wednesday!I:I, B761)</f>
        <v>0</v>
      </c>
      <c r="F761">
        <f>COUNTIF(Thursday!I:I, B761)</f>
        <v>0</v>
      </c>
      <c r="G761">
        <f>COUNTIF(Friday!I:I, B761)</f>
        <v>0</v>
      </c>
      <c r="H761">
        <f>SUM(C761:G761)</f>
        <v>0</v>
      </c>
    </row>
    <row r="762" spans="1:8" x14ac:dyDescent="0.25">
      <c r="A762" s="5" t="s">
        <v>754</v>
      </c>
      <c r="B762" t="str">
        <f>"*"&amp;A762&amp;"*"</f>
        <v>*1333: Difficult To Open*</v>
      </c>
      <c r="C762">
        <f>COUNTIF(Monday!I:I, B762)</f>
        <v>0</v>
      </c>
      <c r="D762">
        <f>COUNTIF(Tuesday!I:I, B762)</f>
        <v>0</v>
      </c>
      <c r="E762">
        <f>COUNTIF(Wednesday!I:I, B762)</f>
        <v>0</v>
      </c>
      <c r="F762">
        <f>COUNTIF(Thursday!I:I, B762)</f>
        <v>0</v>
      </c>
      <c r="G762">
        <f>COUNTIF(Friday!I:I, B762)</f>
        <v>0</v>
      </c>
      <c r="H762">
        <f>SUM(C762:G762)</f>
        <v>0</v>
      </c>
    </row>
    <row r="763" spans="1:8" x14ac:dyDescent="0.25">
      <c r="A763" s="5" t="s">
        <v>755</v>
      </c>
      <c r="B763" t="str">
        <f>"*"&amp;A763&amp;"*"</f>
        <v>*1396: Difficult/Failure To Puncture*</v>
      </c>
      <c r="C763">
        <f>COUNTIF(Monday!I:I, B763)</f>
        <v>0</v>
      </c>
      <c r="D763">
        <f>COUNTIF(Tuesday!I:I, B763)</f>
        <v>0</v>
      </c>
      <c r="E763">
        <f>COUNTIF(Wednesday!I:I, B763)</f>
        <v>0</v>
      </c>
      <c r="F763">
        <f>COUNTIF(Thursday!I:I, B763)</f>
        <v>0</v>
      </c>
      <c r="G763">
        <f>COUNTIF(Friday!I:I, B763)</f>
        <v>0</v>
      </c>
      <c r="H763">
        <f>SUM(C763:G763)</f>
        <v>0</v>
      </c>
    </row>
    <row r="764" spans="1:8" x14ac:dyDescent="0.25">
      <c r="A764" s="5" t="s">
        <v>756</v>
      </c>
      <c r="B764" t="str">
        <f>"*"&amp;A764&amp;"*"</f>
        <v>*1819: Material Fragmentation*</v>
      </c>
      <c r="C764">
        <f>COUNTIF(Monday!I:I, B764)</f>
        <v>0</v>
      </c>
      <c r="D764">
        <f>COUNTIF(Tuesday!I:I, B764)</f>
        <v>0</v>
      </c>
      <c r="E764">
        <f>COUNTIF(Wednesday!I:I, B764)</f>
        <v>0</v>
      </c>
      <c r="F764">
        <f>COUNTIF(Thursday!I:I, B764)</f>
        <v>0</v>
      </c>
      <c r="G764">
        <f>COUNTIF(Friday!I:I, B764)</f>
        <v>0</v>
      </c>
      <c r="H764">
        <f>SUM(C764:G764)</f>
        <v>0</v>
      </c>
    </row>
    <row r="765" spans="1:8" x14ac:dyDescent="0.25">
      <c r="A765" s="5" t="s">
        <v>757</v>
      </c>
      <c r="B765" t="str">
        <f>"*"&amp;A765&amp;"*"</f>
        <v>*2290: Sample Lodged*</v>
      </c>
      <c r="C765">
        <f>COUNTIF(Monday!I:I, B765)</f>
        <v>0</v>
      </c>
      <c r="D765">
        <f>COUNTIF(Tuesday!I:I, B765)</f>
        <v>0</v>
      </c>
      <c r="E765">
        <f>COUNTIF(Wednesday!I:I, B765)</f>
        <v>0</v>
      </c>
      <c r="F765">
        <f>COUNTIF(Thursday!I:I, B765)</f>
        <v>0</v>
      </c>
      <c r="G765">
        <f>COUNTIF(Friday!I:I, B765)</f>
        <v>0</v>
      </c>
      <c r="H765">
        <f>SUM(C765:G765)</f>
        <v>0</v>
      </c>
    </row>
    <row r="766" spans="1:8" x14ac:dyDescent="0.25">
      <c r="A766" s="5" t="s">
        <v>758</v>
      </c>
      <c r="B766" t="str">
        <f>"*"&amp;A766&amp;"*"</f>
        <v>*2614: Loss Of Insufflation*</v>
      </c>
      <c r="C766">
        <f>COUNTIF(Monday!I:I, B766)</f>
        <v>0</v>
      </c>
      <c r="D766">
        <f>COUNTIF(Tuesday!I:I, B766)</f>
        <v>0</v>
      </c>
      <c r="E766">
        <f>COUNTIF(Wednesday!I:I, B766)</f>
        <v>0</v>
      </c>
      <c r="F766">
        <f>COUNTIF(Thursday!I:I, B766)</f>
        <v>0</v>
      </c>
      <c r="G766">
        <f>COUNTIF(Friday!I:I, B766)</f>
        <v>0</v>
      </c>
      <c r="H766">
        <f>SUM(C766:G766)</f>
        <v>0</v>
      </c>
    </row>
    <row r="767" spans="1:8" x14ac:dyDescent="0.25">
      <c r="A767" s="5" t="s">
        <v>759</v>
      </c>
      <c r="B767" t="str">
        <f>"*"&amp;A767&amp;"*"</f>
        <v>*2615: Retention Issue*</v>
      </c>
      <c r="C767">
        <f>COUNTIF(Monday!I:I, B767)</f>
        <v>0</v>
      </c>
      <c r="D767">
        <f>COUNTIF(Tuesday!I:I, B767)</f>
        <v>0</v>
      </c>
      <c r="E767">
        <f>COUNTIF(Wednesday!I:I, B767)</f>
        <v>0</v>
      </c>
      <c r="F767">
        <f>COUNTIF(Thursday!I:I, B767)</f>
        <v>0</v>
      </c>
      <c r="G767">
        <f>COUNTIF(Friday!I:I, B767)</f>
        <v>0</v>
      </c>
      <c r="H767">
        <f>SUM(C767:G767)</f>
        <v>0</v>
      </c>
    </row>
    <row r="768" spans="1:8" x14ac:dyDescent="0.25">
      <c r="A768" s="5" t="s">
        <v>760</v>
      </c>
      <c r="B768" t="str">
        <f>"*"&amp;A768&amp;"*"</f>
        <v>*2616: Detach From Endoscope*</v>
      </c>
      <c r="C768">
        <f>COUNTIF(Monday!I:I, B768)</f>
        <v>0</v>
      </c>
      <c r="D768">
        <f>COUNTIF(Tuesday!I:I, B768)</f>
        <v>0</v>
      </c>
      <c r="E768">
        <f>COUNTIF(Wednesday!I:I, B768)</f>
        <v>0</v>
      </c>
      <c r="F768">
        <f>COUNTIF(Thursday!I:I, B768)</f>
        <v>0</v>
      </c>
      <c r="G768">
        <f>COUNTIF(Friday!I:I, B768)</f>
        <v>0</v>
      </c>
      <c r="H768">
        <f>SUM(C768:G768)</f>
        <v>0</v>
      </c>
    </row>
    <row r="769" spans="1:8" x14ac:dyDescent="0.25">
      <c r="A769" s="5" t="s">
        <v>761</v>
      </c>
      <c r="B769" t="str">
        <f>"*"&amp;A769&amp;"*"</f>
        <v>*1497: Failure to Clean Adequately*</v>
      </c>
      <c r="C769">
        <f>COUNTIF(Monday!I:I, B769)</f>
        <v>0</v>
      </c>
      <c r="D769">
        <f>COUNTIF(Tuesday!I:I, B769)</f>
        <v>0</v>
      </c>
      <c r="E769">
        <f>COUNTIF(Wednesday!I:I, B769)</f>
        <v>0</v>
      </c>
      <c r="F769">
        <f>COUNTIF(Thursday!I:I, B769)</f>
        <v>0</v>
      </c>
      <c r="G769">
        <f>COUNTIF(Friday!I:I, B769)</f>
        <v>0</v>
      </c>
      <c r="H769">
        <f>SUM(C769:G769)</f>
        <v>0</v>
      </c>
    </row>
    <row r="770" spans="1:8" x14ac:dyDescent="0.25">
      <c r="A770" s="5" t="s">
        <v>762</v>
      </c>
      <c r="B770" t="str">
        <f>"*"&amp;A770&amp;"*"</f>
        <v>*2514: Failure To Lock On Wire*</v>
      </c>
      <c r="C770">
        <f>COUNTIF(Monday!I:I, B770)</f>
        <v>0</v>
      </c>
      <c r="D770">
        <f>COUNTIF(Tuesday!I:I, B770)</f>
        <v>0</v>
      </c>
      <c r="E770">
        <f>COUNTIF(Wednesday!I:I, B770)</f>
        <v>0</v>
      </c>
      <c r="F770">
        <f>COUNTIF(Thursday!I:I, B770)</f>
        <v>0</v>
      </c>
      <c r="G770">
        <f>COUNTIF(Friday!I:I, B770)</f>
        <v>0</v>
      </c>
      <c r="H770">
        <f>SUM(C770:G770)</f>
        <v>0</v>
      </c>
    </row>
    <row r="771" spans="1:8" x14ac:dyDescent="0.25">
      <c r="A771" s="6" t="s">
        <v>763</v>
      </c>
      <c r="B771" t="str">
        <f>"*"&amp;A771&amp;"*"</f>
        <v>*1372: Difficult To Use*</v>
      </c>
      <c r="C771">
        <f>COUNTIF(Monday!I:I, B771)</f>
        <v>0</v>
      </c>
      <c r="D771">
        <f>COUNTIF(Tuesday!I:I, B771)</f>
        <v>0</v>
      </c>
      <c r="E771">
        <f>COUNTIF(Wednesday!I:I, B771)</f>
        <v>0</v>
      </c>
      <c r="F771">
        <f>COUNTIF(Thursday!I:I, B771)</f>
        <v>0</v>
      </c>
      <c r="G771">
        <f>COUNTIF(Friday!I:I, B771)</f>
        <v>0</v>
      </c>
      <c r="H771">
        <f>SUM(C771:G771)</f>
        <v>0</v>
      </c>
    </row>
    <row r="772" spans="1:8" x14ac:dyDescent="0.25">
      <c r="A772" s="6" t="s">
        <v>764</v>
      </c>
      <c r="B772" t="str">
        <f>"*"&amp;A772&amp;"*"</f>
        <v>*2329: Size Incorrect*</v>
      </c>
      <c r="C772">
        <f>COUNTIF(Monday!I:I, B772)</f>
        <v>0</v>
      </c>
      <c r="D772">
        <f>COUNTIF(Tuesday!I:I, B772)</f>
        <v>0</v>
      </c>
      <c r="E772">
        <f>COUNTIF(Wednesday!I:I, B772)</f>
        <v>0</v>
      </c>
      <c r="F772">
        <f>COUNTIF(Thursday!I:I, B772)</f>
        <v>0</v>
      </c>
      <c r="G772">
        <f>COUNTIF(Friday!I:I, B772)</f>
        <v>0</v>
      </c>
      <c r="H772">
        <f>SUM(C772:G772)</f>
        <v>0</v>
      </c>
    </row>
    <row r="773" spans="1:8" x14ac:dyDescent="0.25">
      <c r="A773" s="6" t="s">
        <v>765</v>
      </c>
      <c r="B773" t="str">
        <f>"*"&amp;A773&amp;"*"</f>
        <v>*3110: Breathability*</v>
      </c>
      <c r="C773">
        <f>COUNTIF(Monday!I:I, B773)</f>
        <v>0</v>
      </c>
      <c r="D773">
        <f>COUNTIF(Tuesday!I:I, B773)</f>
        <v>0</v>
      </c>
      <c r="E773">
        <f>COUNTIF(Wednesday!I:I, B773)</f>
        <v>0</v>
      </c>
      <c r="F773">
        <f>COUNTIF(Thursday!I:I, B773)</f>
        <v>0</v>
      </c>
      <c r="G773">
        <f>COUNTIF(Friday!I:I, B773)</f>
        <v>0</v>
      </c>
      <c r="H773">
        <f>SUM(C773:G773)</f>
        <v>0</v>
      </c>
    </row>
    <row r="774" spans="1:8" x14ac:dyDescent="0.25">
      <c r="A774" s="6" t="s">
        <v>766</v>
      </c>
      <c r="B774" t="str">
        <f>"*"&amp;A774&amp;"*"</f>
        <v>*3111: Seam Break/Tear*</v>
      </c>
      <c r="C774">
        <f>COUNTIF(Monday!I:I, B774)</f>
        <v>0</v>
      </c>
      <c r="D774">
        <f>COUNTIF(Tuesday!I:I, B774)</f>
        <v>0</v>
      </c>
      <c r="E774">
        <f>COUNTIF(Wednesday!I:I, B774)</f>
        <v>0</v>
      </c>
      <c r="F774">
        <f>COUNTIF(Thursday!I:I, B774)</f>
        <v>0</v>
      </c>
      <c r="G774">
        <f>COUNTIF(Friday!I:I, B774)</f>
        <v>0</v>
      </c>
      <c r="H774">
        <f>SUM(C774:G774)</f>
        <v>0</v>
      </c>
    </row>
    <row r="775" spans="1:8" x14ac:dyDescent="0.25">
      <c r="A775" s="5" t="s">
        <v>767</v>
      </c>
      <c r="B775" t="str">
        <f>"*"&amp;A775&amp;"*"</f>
        <v>*1362: Difficult to Rotate/Poor Rotation*</v>
      </c>
      <c r="C775">
        <f>COUNTIF(Monday!I:I, B775)</f>
        <v>0</v>
      </c>
      <c r="D775">
        <f>COUNTIF(Tuesday!I:I, B775)</f>
        <v>0</v>
      </c>
      <c r="E775">
        <f>COUNTIF(Wednesday!I:I, B775)</f>
        <v>0</v>
      </c>
      <c r="F775">
        <f>COUNTIF(Thursday!I:I, B775)</f>
        <v>0</v>
      </c>
      <c r="G775">
        <f>COUNTIF(Friday!I:I, B775)</f>
        <v>0</v>
      </c>
      <c r="H775">
        <f>SUM(C775:G775)</f>
        <v>0</v>
      </c>
    </row>
    <row r="776" spans="1:8" x14ac:dyDescent="0.25">
      <c r="A776" s="5" t="s">
        <v>768</v>
      </c>
      <c r="B776" t="str">
        <f>"*"&amp;A776&amp;"*"</f>
        <v>*1301: Difficult To Dispense*</v>
      </c>
      <c r="C776">
        <f>COUNTIF(Monday!I:I, B776)</f>
        <v>0</v>
      </c>
      <c r="D776">
        <f>COUNTIF(Tuesday!I:I, B776)</f>
        <v>0</v>
      </c>
      <c r="E776">
        <f>COUNTIF(Wednesday!I:I, B776)</f>
        <v>0</v>
      </c>
      <c r="F776">
        <f>COUNTIF(Thursday!I:I, B776)</f>
        <v>0</v>
      </c>
      <c r="G776">
        <f>COUNTIF(Friday!I:I, B776)</f>
        <v>0</v>
      </c>
      <c r="H776">
        <f>SUM(C776:G776)</f>
        <v>0</v>
      </c>
    </row>
    <row r="777" spans="1:8" x14ac:dyDescent="0.25">
      <c r="A777" s="5" t="s">
        <v>769</v>
      </c>
      <c r="B777" t="str">
        <f>"*"&amp;A777&amp;"*"</f>
        <v>*2734: Difficult to Lubricate*</v>
      </c>
      <c r="C777">
        <f>COUNTIF(Monday!I:I, B777)</f>
        <v>0</v>
      </c>
      <c r="D777">
        <f>COUNTIF(Tuesday!I:I, B777)</f>
        <v>0</v>
      </c>
      <c r="E777">
        <f>COUNTIF(Wednesday!I:I, B777)</f>
        <v>0</v>
      </c>
      <c r="F777">
        <f>COUNTIF(Thursday!I:I, B777)</f>
        <v>0</v>
      </c>
      <c r="G777">
        <f>COUNTIF(Friday!I:I, B777)</f>
        <v>0</v>
      </c>
      <c r="H777">
        <f>SUM(C777:G777)</f>
        <v>0</v>
      </c>
    </row>
    <row r="778" spans="1:8" x14ac:dyDescent="0.25">
      <c r="A778" s="5" t="s">
        <v>770</v>
      </c>
      <c r="B778" t="str">
        <f>"*"&amp;A778&amp;"*"</f>
        <v>*2377: Suction Issue*</v>
      </c>
      <c r="C778">
        <f>COUNTIF(Monday!I:I, B778)</f>
        <v>0</v>
      </c>
      <c r="D778">
        <f>COUNTIF(Tuesday!I:I, B778)</f>
        <v>0</v>
      </c>
      <c r="E778">
        <f>COUNTIF(Wednesday!I:I, B778)</f>
        <v>0</v>
      </c>
      <c r="F778">
        <f>COUNTIF(Thursday!I:I, B778)</f>
        <v>0</v>
      </c>
      <c r="G778">
        <f>COUNTIF(Friday!I:I, B778)</f>
        <v>0</v>
      </c>
      <c r="H778">
        <f>SUM(C778:G778)</f>
        <v>0</v>
      </c>
    </row>
    <row r="779" spans="1:8" x14ac:dyDescent="0.25">
      <c r="A779" s="5" t="s">
        <v>771</v>
      </c>
      <c r="B779" t="str">
        <f>"*"&amp;A779&amp;"*"</f>
        <v>*1384: Difficult/Failure To Capture*</v>
      </c>
      <c r="C779">
        <f>COUNTIF(Monday!I:I, B779)</f>
        <v>0</v>
      </c>
      <c r="D779">
        <f>COUNTIF(Tuesday!I:I, B779)</f>
        <v>0</v>
      </c>
      <c r="E779">
        <f>COUNTIF(Wednesday!I:I, B779)</f>
        <v>0</v>
      </c>
      <c r="F779">
        <f>COUNTIF(Thursday!I:I, B779)</f>
        <v>0</v>
      </c>
      <c r="G779">
        <f>COUNTIF(Friday!I:I, B779)</f>
        <v>0</v>
      </c>
      <c r="H779">
        <f>SUM(C779:G779)</f>
        <v>0</v>
      </c>
    </row>
    <row r="780" spans="1:8" x14ac:dyDescent="0.25">
      <c r="A780" s="5" t="s">
        <v>772</v>
      </c>
      <c r="B780" t="str">
        <f>"*"&amp;A780&amp;"*"</f>
        <v>*1729: Infusion Or Flow Issue*</v>
      </c>
      <c r="C780">
        <f>COUNTIF(Monday!I:I, B780)</f>
        <v>0</v>
      </c>
      <c r="D780">
        <f>COUNTIF(Tuesday!I:I, B780)</f>
        <v>0</v>
      </c>
      <c r="E780">
        <f>COUNTIF(Wednesday!I:I, B780)</f>
        <v>0</v>
      </c>
      <c r="F780">
        <f>COUNTIF(Thursday!I:I, B780)</f>
        <v>0</v>
      </c>
      <c r="G780">
        <f>COUNTIF(Friday!I:I, B780)</f>
        <v>0</v>
      </c>
      <c r="H780">
        <f>SUM(C780:G780)</f>
        <v>0</v>
      </c>
    </row>
    <row r="781" spans="1:8" x14ac:dyDescent="0.25">
      <c r="A781" s="5" t="s">
        <v>773</v>
      </c>
      <c r="B781" t="str">
        <f>"*"&amp;A781&amp;"*"</f>
        <v>*2602: Reflux Within Device*</v>
      </c>
      <c r="C781">
        <f>COUNTIF(Monday!I:I, B781)</f>
        <v>0</v>
      </c>
      <c r="D781">
        <f>COUNTIF(Tuesday!I:I, B781)</f>
        <v>0</v>
      </c>
      <c r="E781">
        <f>COUNTIF(Wednesday!I:I, B781)</f>
        <v>0</v>
      </c>
      <c r="F781">
        <f>COUNTIF(Thursday!I:I, B781)</f>
        <v>0</v>
      </c>
      <c r="G781">
        <f>COUNTIF(Friday!I:I, B781)</f>
        <v>0</v>
      </c>
      <c r="H781">
        <f>SUM(C781:G781)</f>
        <v>0</v>
      </c>
    </row>
    <row r="782" spans="1:8" x14ac:dyDescent="0.25">
      <c r="A782" s="5" t="s">
        <v>774</v>
      </c>
      <c r="B782" t="str">
        <f>"*"&amp;A782&amp;"*"</f>
        <v>*1820: Material Frayed*</v>
      </c>
      <c r="C782">
        <f>COUNTIF(Monday!I:I, B782)</f>
        <v>0</v>
      </c>
      <c r="D782">
        <f>COUNTIF(Tuesday!I:I, B782)</f>
        <v>0</v>
      </c>
      <c r="E782">
        <f>COUNTIF(Wednesday!I:I, B782)</f>
        <v>0</v>
      </c>
      <c r="F782">
        <f>COUNTIF(Thursday!I:I, B782)</f>
        <v>0</v>
      </c>
      <c r="G782">
        <f>COUNTIF(Friday!I:I, B782)</f>
        <v>0</v>
      </c>
      <c r="H782">
        <f>SUM(C782:G782)</f>
        <v>0</v>
      </c>
    </row>
    <row r="783" spans="1:8" x14ac:dyDescent="0.25">
      <c r="A783" s="5" t="s">
        <v>775</v>
      </c>
      <c r="B783" t="str">
        <f>"*"&amp;A783&amp;"*"</f>
        <v>*2417: Torn Material*</v>
      </c>
      <c r="C783">
        <f>COUNTIF(Monday!I:I, B783)</f>
        <v>0</v>
      </c>
      <c r="D783">
        <f>COUNTIF(Tuesday!I:I, B783)</f>
        <v>0</v>
      </c>
      <c r="E783">
        <f>COUNTIF(Wednesday!I:I, B783)</f>
        <v>0</v>
      </c>
      <c r="F783">
        <f>COUNTIF(Thursday!I:I, B783)</f>
        <v>0</v>
      </c>
      <c r="G783">
        <f>COUNTIF(Friday!I:I, B783)</f>
        <v>0</v>
      </c>
      <c r="H783">
        <f>SUM(C783:G783)</f>
        <v>0</v>
      </c>
    </row>
    <row r="784" spans="1:8" x14ac:dyDescent="0.25">
      <c r="A784" s="5" t="s">
        <v>776</v>
      </c>
      <c r="B784" t="str">
        <f>"*"&amp;A784&amp;"*"</f>
        <v>*1157: Customer Altered Product*</v>
      </c>
      <c r="C784">
        <f>COUNTIF(Monday!I:I, B784)</f>
        <v>0</v>
      </c>
      <c r="D784">
        <f>COUNTIF(Tuesday!I:I, B784)</f>
        <v>0</v>
      </c>
      <c r="E784">
        <f>COUNTIF(Wednesday!I:I, B784)</f>
        <v>0</v>
      </c>
      <c r="F784">
        <f>COUNTIF(Thursday!I:I, B784)</f>
        <v>0</v>
      </c>
      <c r="G784">
        <f>COUNTIF(Friday!I:I, B784)</f>
        <v>0</v>
      </c>
      <c r="H784">
        <f>SUM(C784:G784)</f>
        <v>0</v>
      </c>
    </row>
    <row r="785" spans="1:8" x14ac:dyDescent="0.25">
      <c r="A785" s="5" t="s">
        <v>777</v>
      </c>
      <c r="B785" t="str">
        <f>"*"&amp;A785&amp;"*"</f>
        <v>*1191: Device Damaged Prior To Use*</v>
      </c>
      <c r="C785">
        <f>COUNTIF(Monday!I:I, B785)</f>
        <v>0</v>
      </c>
      <c r="D785">
        <f>COUNTIF(Tuesday!I:I, B785)</f>
        <v>0</v>
      </c>
      <c r="E785">
        <f>COUNTIF(Wednesday!I:I, B785)</f>
        <v>0</v>
      </c>
      <c r="F785">
        <f>COUNTIF(Thursday!I:I, B785)</f>
        <v>0</v>
      </c>
      <c r="G785">
        <f>COUNTIF(Friday!I:I, B785)</f>
        <v>0</v>
      </c>
      <c r="H785">
        <f>SUM(C785:G785)</f>
        <v>0</v>
      </c>
    </row>
    <row r="786" spans="1:8" x14ac:dyDescent="0.25">
      <c r="A786" s="5" t="s">
        <v>778</v>
      </c>
      <c r="B786" t="str">
        <f>"*"&amp;A786&amp;"*"</f>
        <v>*1263: Device Stuck In Scope And Pushed Into Another Patient*</v>
      </c>
      <c r="C786">
        <f>COUNTIF(Monday!I:I, B786)</f>
        <v>0</v>
      </c>
      <c r="D786">
        <f>COUNTIF(Tuesday!I:I, B786)</f>
        <v>0</v>
      </c>
      <c r="E786">
        <f>COUNTIF(Wednesday!I:I, B786)</f>
        <v>0</v>
      </c>
      <c r="F786">
        <f>COUNTIF(Thursday!I:I, B786)</f>
        <v>0</v>
      </c>
      <c r="G786">
        <f>COUNTIF(Friday!I:I, B786)</f>
        <v>0</v>
      </c>
      <c r="H786">
        <f>SUM(C786:G786)</f>
        <v>0</v>
      </c>
    </row>
    <row r="787" spans="1:8" x14ac:dyDescent="0.25">
      <c r="A787" s="5" t="s">
        <v>779</v>
      </c>
      <c r="B787" t="str">
        <f>"*"&amp;A787&amp;"*"</f>
        <v>*1279: Difficult To Advance In The Anatomy*</v>
      </c>
      <c r="C787">
        <f>COUNTIF(Monday!I:I, B787)</f>
        <v>0</v>
      </c>
      <c r="D787">
        <f>COUNTIF(Tuesday!I:I, B787)</f>
        <v>0</v>
      </c>
      <c r="E787">
        <f>COUNTIF(Wednesday!I:I, B787)</f>
        <v>0</v>
      </c>
      <c r="F787">
        <f>COUNTIF(Thursday!I:I, B787)</f>
        <v>0</v>
      </c>
      <c r="G787">
        <f>COUNTIF(Friday!I:I, B787)</f>
        <v>0</v>
      </c>
      <c r="H787">
        <f>SUM(C787:G787)</f>
        <v>0</v>
      </c>
    </row>
    <row r="788" spans="1:8" x14ac:dyDescent="0.25">
      <c r="A788" s="5" t="s">
        <v>780</v>
      </c>
      <c r="B788" t="str">
        <f>"*"&amp;A788&amp;"*"</f>
        <v>*1457: Entrapment Of Device Or Device Component*</v>
      </c>
      <c r="C788">
        <f>COUNTIF(Monday!I:I, B788)</f>
        <v>0</v>
      </c>
      <c r="D788">
        <f>COUNTIF(Tuesday!I:I, B788)</f>
        <v>0</v>
      </c>
      <c r="E788">
        <f>COUNTIF(Wednesday!I:I, B788)</f>
        <v>0</v>
      </c>
      <c r="F788">
        <f>COUNTIF(Thursday!I:I, B788)</f>
        <v>0</v>
      </c>
      <c r="G788">
        <f>COUNTIF(Friday!I:I, B788)</f>
        <v>0</v>
      </c>
      <c r="H788">
        <f>SUM(C788:G788)</f>
        <v>0</v>
      </c>
    </row>
    <row r="789" spans="1:8" x14ac:dyDescent="0.25">
      <c r="A789" s="5" t="s">
        <v>782</v>
      </c>
      <c r="B789" t="str">
        <f>"*"&amp;A789&amp;"*"</f>
        <v>*3257: Device Stuck In Scope And Scope Used In Another Patient*</v>
      </c>
      <c r="C789">
        <f>COUNTIF(Monday!I:I, B789)</f>
        <v>0</v>
      </c>
      <c r="D789">
        <f>COUNTIF(Tuesday!I:I, B789)</f>
        <v>0</v>
      </c>
      <c r="E789">
        <f>COUNTIF(Wednesday!I:I, B789)</f>
        <v>0</v>
      </c>
      <c r="F789">
        <f>COUNTIF(Thursday!I:I, B789)</f>
        <v>0</v>
      </c>
      <c r="G789">
        <f>COUNTIF(Friday!I:I, B789)</f>
        <v>0</v>
      </c>
      <c r="H789">
        <f>SUM(C789:G789)</f>
        <v>0</v>
      </c>
    </row>
    <row r="790" spans="1:8" x14ac:dyDescent="0.25">
      <c r="A790" s="5" t="s">
        <v>783</v>
      </c>
      <c r="B790" t="str">
        <f>"*"&amp;A790&amp;"*"</f>
        <v>*1653: Guidewire Popping/Slipping Out Of Rapid Exchange Channel*</v>
      </c>
      <c r="C790">
        <f>COUNTIF(Monday!I:I, B790)</f>
        <v>0</v>
      </c>
      <c r="D790">
        <f>COUNTIF(Tuesday!I:I, B790)</f>
        <v>0</v>
      </c>
      <c r="E790">
        <f>COUNTIF(Wednesday!I:I, B790)</f>
        <v>0</v>
      </c>
      <c r="F790">
        <f>COUNTIF(Thursday!I:I, B790)</f>
        <v>0</v>
      </c>
      <c r="G790">
        <f>COUNTIF(Friday!I:I, B790)</f>
        <v>0</v>
      </c>
      <c r="H790">
        <f>SUM(C790:G790)</f>
        <v>0</v>
      </c>
    </row>
    <row r="791" spans="1:8" x14ac:dyDescent="0.25">
      <c r="A791" s="5" t="s">
        <v>784</v>
      </c>
      <c r="B791" t="str">
        <f>"*"&amp;A791&amp;"*"</f>
        <v>*1057: Buckled Material*</v>
      </c>
      <c r="C791">
        <f>COUNTIF(Monday!I:I, B791)</f>
        <v>0</v>
      </c>
      <c r="D791">
        <f>COUNTIF(Tuesday!I:I, B791)</f>
        <v>0</v>
      </c>
      <c r="E791">
        <f>COUNTIF(Wednesday!I:I, B791)</f>
        <v>0</v>
      </c>
      <c r="F791">
        <f>COUNTIF(Thursday!I:I, B791)</f>
        <v>0</v>
      </c>
      <c r="G791">
        <f>COUNTIF(Friday!I:I, B791)</f>
        <v>0</v>
      </c>
      <c r="H791">
        <f>SUM(C791:G791)</f>
        <v>0</v>
      </c>
    </row>
    <row r="792" spans="1:8" x14ac:dyDescent="0.25">
      <c r="A792" s="5" t="s">
        <v>785</v>
      </c>
      <c r="B792" t="str">
        <f>"*"&amp;A792&amp;"*"</f>
        <v>*1305: Difficult To Inflate*</v>
      </c>
      <c r="C792">
        <f>COUNTIF(Monday!I:I, B792)</f>
        <v>0</v>
      </c>
      <c r="D792">
        <f>COUNTIF(Tuesday!I:I, B792)</f>
        <v>0</v>
      </c>
      <c r="E792">
        <f>COUNTIF(Wednesday!I:I, B792)</f>
        <v>0</v>
      </c>
      <c r="F792">
        <f>COUNTIF(Thursday!I:I, B792)</f>
        <v>0</v>
      </c>
      <c r="G792">
        <f>COUNTIF(Friday!I:I, B792)</f>
        <v>0</v>
      </c>
      <c r="H792">
        <f>SUM(C792:G792)</f>
        <v>0</v>
      </c>
    </row>
    <row r="793" spans="1:8" x14ac:dyDescent="0.25">
      <c r="A793" s="5" t="s">
        <v>786</v>
      </c>
      <c r="B793" t="str">
        <f>"*"&amp;A793&amp;"*"</f>
        <v>*1525: Failure To Fold*</v>
      </c>
      <c r="C793">
        <f>COUNTIF(Monday!I:I, B793)</f>
        <v>0</v>
      </c>
      <c r="D793">
        <f>COUNTIF(Tuesday!I:I, B793)</f>
        <v>0</v>
      </c>
      <c r="E793">
        <f>COUNTIF(Wednesday!I:I, B793)</f>
        <v>0</v>
      </c>
      <c r="F793">
        <f>COUNTIF(Thursday!I:I, B793)</f>
        <v>0</v>
      </c>
      <c r="G793">
        <f>COUNTIF(Friday!I:I, B793)</f>
        <v>0</v>
      </c>
      <c r="H793">
        <f>SUM(C793:G793)</f>
        <v>0</v>
      </c>
    </row>
    <row r="794" spans="1:8" x14ac:dyDescent="0.25">
      <c r="A794" s="5" t="s">
        <v>787</v>
      </c>
      <c r="B794" t="str">
        <f>"*"&amp;A794&amp;"*"</f>
        <v>*1532: Failure To Inflate*</v>
      </c>
      <c r="C794">
        <f>COUNTIF(Monday!I:I, B794)</f>
        <v>0</v>
      </c>
      <c r="D794">
        <f>COUNTIF(Tuesday!I:I, B794)</f>
        <v>0</v>
      </c>
      <c r="E794">
        <f>COUNTIF(Wednesday!I:I, B794)</f>
        <v>0</v>
      </c>
      <c r="F794">
        <f>COUNTIF(Thursday!I:I, B794)</f>
        <v>0</v>
      </c>
      <c r="G794">
        <f>COUNTIF(Friday!I:I, B794)</f>
        <v>0</v>
      </c>
      <c r="H794">
        <f>SUM(C794:G794)</f>
        <v>0</v>
      </c>
    </row>
    <row r="795" spans="1:8" x14ac:dyDescent="0.25">
      <c r="A795" s="5" t="s">
        <v>788</v>
      </c>
      <c r="B795" t="str">
        <f>"*"&amp;A795&amp;"*"</f>
        <v>*1617: Fitting Problem*</v>
      </c>
      <c r="C795">
        <f>COUNTIF(Monday!I:I, B795)</f>
        <v>0</v>
      </c>
      <c r="D795">
        <f>COUNTIF(Tuesday!I:I, B795)</f>
        <v>0</v>
      </c>
      <c r="E795">
        <f>COUNTIF(Wednesday!I:I, B795)</f>
        <v>0</v>
      </c>
      <c r="F795">
        <f>COUNTIF(Thursday!I:I, B795)</f>
        <v>0</v>
      </c>
      <c r="G795">
        <f>COUNTIF(Friday!I:I, B795)</f>
        <v>0</v>
      </c>
      <c r="H795">
        <f>SUM(C795:G795)</f>
        <v>0</v>
      </c>
    </row>
    <row r="796" spans="1:8" x14ac:dyDescent="0.25">
      <c r="A796" s="5" t="s">
        <v>789</v>
      </c>
      <c r="B796" t="str">
        <f>"*"&amp;A796&amp;"*"</f>
        <v>*1827: Material Rupture*</v>
      </c>
      <c r="C796">
        <f>COUNTIF(Monday!I:I, B796)</f>
        <v>0</v>
      </c>
      <c r="D796">
        <f>COUNTIF(Tuesday!I:I, B796)</f>
        <v>0</v>
      </c>
      <c r="E796">
        <f>COUNTIF(Wednesday!I:I, B796)</f>
        <v>0</v>
      </c>
      <c r="F796">
        <f>COUNTIF(Thursday!I:I, B796)</f>
        <v>0</v>
      </c>
      <c r="G796">
        <f>COUNTIF(Friday!I:I, B796)</f>
        <v>0</v>
      </c>
      <c r="H796">
        <f>SUM(C796:G796)</f>
        <v>0</v>
      </c>
    </row>
    <row r="797" spans="1:8" x14ac:dyDescent="0.25">
      <c r="A797" s="5" t="s">
        <v>790</v>
      </c>
      <c r="B797" t="str">
        <f>"*"&amp;A797&amp;"*"</f>
        <v>*2203: Pinhole*</v>
      </c>
      <c r="C797">
        <f>COUNTIF(Monday!I:I, B797)</f>
        <v>0</v>
      </c>
      <c r="D797">
        <f>COUNTIF(Tuesday!I:I, B797)</f>
        <v>0</v>
      </c>
      <c r="E797">
        <f>COUNTIF(Wednesday!I:I, B797)</f>
        <v>0</v>
      </c>
      <c r="F797">
        <f>COUNTIF(Thursday!I:I, B797)</f>
        <v>0</v>
      </c>
      <c r="G797">
        <f>COUNTIF(Friday!I:I, B797)</f>
        <v>0</v>
      </c>
      <c r="H797">
        <f>SUM(C797:G797)</f>
        <v>0</v>
      </c>
    </row>
    <row r="798" spans="1:8" x14ac:dyDescent="0.25">
      <c r="A798" s="5" t="s">
        <v>791</v>
      </c>
      <c r="B798" t="str">
        <f>"*"&amp;A798&amp;"*"</f>
        <v>*2474: Winged*</v>
      </c>
      <c r="C798">
        <f>COUNTIF(Monday!I:I, B798)</f>
        <v>0</v>
      </c>
      <c r="D798">
        <f>COUNTIF(Tuesday!I:I, B798)</f>
        <v>0</v>
      </c>
      <c r="E798">
        <f>COUNTIF(Wednesday!I:I, B798)</f>
        <v>0</v>
      </c>
      <c r="F798">
        <f>COUNTIF(Thursday!I:I, B798)</f>
        <v>0</v>
      </c>
      <c r="G798">
        <f>COUNTIF(Friday!I:I, B798)</f>
        <v>0</v>
      </c>
      <c r="H798">
        <f>SUM(C798:G798)</f>
        <v>0</v>
      </c>
    </row>
    <row r="799" spans="1:8" x14ac:dyDescent="0.25">
      <c r="A799" s="5" t="s">
        <v>792</v>
      </c>
      <c r="B799" t="str">
        <f>"*"&amp;A799&amp;"*"</f>
        <v>*2601: Overinflation*</v>
      </c>
      <c r="C799">
        <f>COUNTIF(Monday!I:I, B799)</f>
        <v>0</v>
      </c>
      <c r="D799">
        <f>COUNTIF(Tuesday!I:I, B799)</f>
        <v>0</v>
      </c>
      <c r="E799">
        <f>COUNTIF(Wednesday!I:I, B799)</f>
        <v>0</v>
      </c>
      <c r="F799">
        <f>COUNTIF(Thursday!I:I, B799)</f>
        <v>0</v>
      </c>
      <c r="G799">
        <f>COUNTIF(Friday!I:I, B799)</f>
        <v>0</v>
      </c>
      <c r="H799">
        <f>SUM(C799:G799)</f>
        <v>0</v>
      </c>
    </row>
    <row r="800" spans="1:8" x14ac:dyDescent="0.25">
      <c r="A800" s="5" t="s">
        <v>793</v>
      </c>
      <c r="B800" t="str">
        <f>"*"&amp;A800&amp;"*"</f>
        <v>*1739: Interlumen Leak*</v>
      </c>
      <c r="C800">
        <f>COUNTIF(Monday!I:I, B800)</f>
        <v>0</v>
      </c>
      <c r="D800">
        <f>COUNTIF(Tuesday!I:I, B800)</f>
        <v>0</v>
      </c>
      <c r="E800">
        <f>COUNTIF(Wednesday!I:I, B800)</f>
        <v>0</v>
      </c>
      <c r="F800">
        <f>COUNTIF(Thursday!I:I, B800)</f>
        <v>0</v>
      </c>
      <c r="G800">
        <f>COUNTIF(Friday!I:I, B800)</f>
        <v>0</v>
      </c>
      <c r="H800">
        <f>SUM(C800:G800)</f>
        <v>0</v>
      </c>
    </row>
    <row r="801" spans="1:8" x14ac:dyDescent="0.25">
      <c r="A801" s="5" t="s">
        <v>794</v>
      </c>
      <c r="B801" t="str">
        <f>"*"&amp;A801&amp;"*"</f>
        <v>*1303: Difficult To Extend*</v>
      </c>
      <c r="C801">
        <f>COUNTIF(Monday!I:I, B801)</f>
        <v>0</v>
      </c>
      <c r="D801">
        <f>COUNTIF(Tuesday!I:I, B801)</f>
        <v>0</v>
      </c>
      <c r="E801">
        <f>COUNTIF(Wednesday!I:I, B801)</f>
        <v>0</v>
      </c>
      <c r="F801">
        <f>COUNTIF(Thursday!I:I, B801)</f>
        <v>0</v>
      </c>
      <c r="G801">
        <f>COUNTIF(Friday!I:I, B801)</f>
        <v>0</v>
      </c>
      <c r="H801">
        <f>SUM(C801:G801)</f>
        <v>0</v>
      </c>
    </row>
    <row r="802" spans="1:8" x14ac:dyDescent="0.25">
      <c r="A802" s="5" t="s">
        <v>795</v>
      </c>
      <c r="B802" t="str">
        <f>"*"&amp;A802&amp;"*"</f>
        <v>*2196: Peeled*</v>
      </c>
      <c r="C802">
        <f>COUNTIF(Monday!I:I, B802)</f>
        <v>0</v>
      </c>
      <c r="D802">
        <f>COUNTIF(Tuesday!I:I, B802)</f>
        <v>0</v>
      </c>
      <c r="E802">
        <f>COUNTIF(Wednesday!I:I, B802)</f>
        <v>0</v>
      </c>
      <c r="F802">
        <f>COUNTIF(Thursday!I:I, B802)</f>
        <v>0</v>
      </c>
      <c r="G802">
        <f>COUNTIF(Friday!I:I, B802)</f>
        <v>0</v>
      </c>
      <c r="H802">
        <f>SUM(C802:G802)</f>
        <v>0</v>
      </c>
    </row>
    <row r="803" spans="1:8" x14ac:dyDescent="0.25">
      <c r="A803" s="5" t="s">
        <v>796</v>
      </c>
      <c r="B803" t="str">
        <f>"*"&amp;A803&amp;"*"</f>
        <v>*1269: Did Not Have Smooth Movement*</v>
      </c>
      <c r="C803">
        <f>COUNTIF(Monday!I:I, B803)</f>
        <v>0</v>
      </c>
      <c r="D803">
        <f>COUNTIF(Tuesday!I:I, B803)</f>
        <v>0</v>
      </c>
      <c r="E803">
        <f>COUNTIF(Wednesday!I:I, B803)</f>
        <v>0</v>
      </c>
      <c r="F803">
        <f>COUNTIF(Thursday!I:I, B803)</f>
        <v>0</v>
      </c>
      <c r="G803">
        <f>COUNTIF(Friday!I:I, B803)</f>
        <v>0</v>
      </c>
      <c r="H803">
        <f>SUM(C803:G803)</f>
        <v>0</v>
      </c>
    </row>
    <row r="804" spans="1:8" x14ac:dyDescent="0.25">
      <c r="A804" s="5" t="s">
        <v>797</v>
      </c>
      <c r="B804" t="str">
        <f>"*"&amp;A804&amp;"*"</f>
        <v>*1499: Failure To Conduct*</v>
      </c>
      <c r="C804">
        <f>COUNTIF(Monday!I:I, B804)</f>
        <v>0</v>
      </c>
      <c r="D804">
        <f>COUNTIF(Tuesday!I:I, B804)</f>
        <v>0</v>
      </c>
      <c r="E804">
        <f>COUNTIF(Wednesday!I:I, B804)</f>
        <v>0</v>
      </c>
      <c r="F804">
        <f>COUNTIF(Thursday!I:I, B804)</f>
        <v>0</v>
      </c>
      <c r="G804">
        <f>COUNTIF(Friday!I:I, B804)</f>
        <v>0</v>
      </c>
      <c r="H804">
        <f>SUM(C804:G804)</f>
        <v>0</v>
      </c>
    </row>
    <row r="805" spans="1:8" x14ac:dyDescent="0.25">
      <c r="A805" s="5" t="s">
        <v>798</v>
      </c>
      <c r="B805" t="str">
        <f>"*"&amp;A805&amp;"*"</f>
        <v>*1716: Incorrect Length*</v>
      </c>
      <c r="C805">
        <f>COUNTIF(Monday!I:I, B805)</f>
        <v>0</v>
      </c>
      <c r="D805">
        <f>COUNTIF(Tuesday!I:I, B805)</f>
        <v>0</v>
      </c>
      <c r="E805">
        <f>COUNTIF(Wednesday!I:I, B805)</f>
        <v>0</v>
      </c>
      <c r="F805">
        <f>COUNTIF(Thursday!I:I, B805)</f>
        <v>0</v>
      </c>
      <c r="G805">
        <f>COUNTIF(Friday!I:I, B805)</f>
        <v>0</v>
      </c>
      <c r="H805">
        <f>SUM(C805:G805)</f>
        <v>0</v>
      </c>
    </row>
    <row r="806" spans="1:8" x14ac:dyDescent="0.25">
      <c r="A806" s="5" t="s">
        <v>799</v>
      </c>
      <c r="B806" t="str">
        <f>"*"&amp;A806&amp;"*"</f>
        <v>*2142: Not visible under EUS or Fluoroscopy*</v>
      </c>
      <c r="C806">
        <f>COUNTIF(Monday!I:I, B806)</f>
        <v>0</v>
      </c>
      <c r="D806">
        <f>COUNTIF(Tuesday!I:I, B806)</f>
        <v>0</v>
      </c>
      <c r="E806">
        <f>COUNTIF(Wednesday!I:I, B806)</f>
        <v>0</v>
      </c>
      <c r="F806">
        <f>COUNTIF(Thursday!I:I, B806)</f>
        <v>0</v>
      </c>
      <c r="G806">
        <f>COUNTIF(Friday!I:I, B806)</f>
        <v>0</v>
      </c>
      <c r="H806">
        <f>SUM(C806:G806)</f>
        <v>0</v>
      </c>
    </row>
    <row r="807" spans="1:8" x14ac:dyDescent="0.25">
      <c r="A807" s="5" t="s">
        <v>800</v>
      </c>
      <c r="B807" t="str">
        <f>"*"&amp;A807&amp;"*"</f>
        <v>*2416: Tore Tissue*</v>
      </c>
      <c r="C807">
        <f>COUNTIF(Monday!I:I, B807)</f>
        <v>0</v>
      </c>
      <c r="D807">
        <f>COUNTIF(Tuesday!I:I, B807)</f>
        <v>0</v>
      </c>
      <c r="E807">
        <f>COUNTIF(Wednesday!I:I, B807)</f>
        <v>0</v>
      </c>
      <c r="F807">
        <f>COUNTIF(Thursday!I:I, B807)</f>
        <v>0</v>
      </c>
      <c r="G807">
        <f>COUNTIF(Friday!I:I, B807)</f>
        <v>0</v>
      </c>
      <c r="H807">
        <f>SUM(C807:G807)</f>
        <v>0</v>
      </c>
    </row>
    <row r="808" spans="1:8" x14ac:dyDescent="0.25">
      <c r="A808" s="5" t="s">
        <v>801</v>
      </c>
      <c r="B808" t="str">
        <f>"*"&amp;A808&amp;"*"</f>
        <v>*2292: Scratched Material*</v>
      </c>
      <c r="C808">
        <f>COUNTIF(Monday!I:I, B808)</f>
        <v>0</v>
      </c>
      <c r="D808">
        <f>COUNTIF(Tuesday!I:I, B808)</f>
        <v>0</v>
      </c>
      <c r="E808">
        <f>COUNTIF(Wednesday!I:I, B808)</f>
        <v>0</v>
      </c>
      <c r="F808">
        <f>COUNTIF(Thursday!I:I, B808)</f>
        <v>0</v>
      </c>
      <c r="G808">
        <f>COUNTIF(Friday!I:I, B808)</f>
        <v>0</v>
      </c>
      <c r="H808">
        <f>SUM(C808:G808)</f>
        <v>0</v>
      </c>
    </row>
    <row r="809" spans="1:8" x14ac:dyDescent="0.25">
      <c r="A809" s="5" t="s">
        <v>802</v>
      </c>
      <c r="B809" t="str">
        <f>"*"&amp;A809&amp;"*"</f>
        <v>*1484: Failure To Align*</v>
      </c>
      <c r="C809">
        <f>COUNTIF(Monday!I:I, B809)</f>
        <v>0</v>
      </c>
      <c r="D809">
        <f>COUNTIF(Tuesday!I:I, B809)</f>
        <v>0</v>
      </c>
      <c r="E809">
        <f>COUNTIF(Wednesday!I:I, B809)</f>
        <v>0</v>
      </c>
      <c r="F809">
        <f>COUNTIF(Thursday!I:I, B809)</f>
        <v>0</v>
      </c>
      <c r="G809">
        <f>COUNTIF(Friday!I:I, B809)</f>
        <v>0</v>
      </c>
      <c r="H809">
        <f>SUM(C809:G809)</f>
        <v>0</v>
      </c>
    </row>
    <row r="810" spans="1:8" x14ac:dyDescent="0.25">
      <c r="A810" s="5" t="s">
        <v>803</v>
      </c>
      <c r="B810" t="str">
        <f>"*"&amp;A810&amp;"*"</f>
        <v>*1498: Failure To Close*</v>
      </c>
      <c r="C810">
        <f>COUNTIF(Monday!I:I, B810)</f>
        <v>0</v>
      </c>
      <c r="D810">
        <f>COUNTIF(Tuesday!I:I, B810)</f>
        <v>0</v>
      </c>
      <c r="E810">
        <f>COUNTIF(Wednesday!I:I, B810)</f>
        <v>0</v>
      </c>
      <c r="F810">
        <f>COUNTIF(Thursday!I:I, B810)</f>
        <v>0</v>
      </c>
      <c r="G810">
        <f>COUNTIF(Friday!I:I, B810)</f>
        <v>0</v>
      </c>
      <c r="H810">
        <f>SUM(C810:G810)</f>
        <v>0</v>
      </c>
    </row>
    <row r="811" spans="1:8" x14ac:dyDescent="0.25">
      <c r="A811" s="5" t="s">
        <v>804</v>
      </c>
      <c r="B811" t="str">
        <f>"*"&amp;A811&amp;"*"</f>
        <v>*1547: Failure To Open*</v>
      </c>
      <c r="C811">
        <f>COUNTIF(Monday!I:I, B811)</f>
        <v>0</v>
      </c>
      <c r="D811">
        <f>COUNTIF(Tuesday!I:I, B811)</f>
        <v>0</v>
      </c>
      <c r="E811">
        <f>COUNTIF(Wednesday!I:I, B811)</f>
        <v>0</v>
      </c>
      <c r="F811">
        <f>COUNTIF(Thursday!I:I, B811)</f>
        <v>0</v>
      </c>
      <c r="G811">
        <f>COUNTIF(Friday!I:I, B811)</f>
        <v>0</v>
      </c>
      <c r="H811">
        <f>SUM(C811:G811)</f>
        <v>0</v>
      </c>
    </row>
    <row r="812" spans="1:8" x14ac:dyDescent="0.25">
      <c r="A812" s="5" t="s">
        <v>805</v>
      </c>
      <c r="B812" t="str">
        <f>"*"&amp;A812&amp;"*"</f>
        <v>*2210: Poor Bite*</v>
      </c>
      <c r="C812">
        <f>COUNTIF(Monday!I:I, B812)</f>
        <v>0</v>
      </c>
      <c r="D812">
        <f>COUNTIF(Tuesday!I:I, B812)</f>
        <v>0</v>
      </c>
      <c r="E812">
        <f>COUNTIF(Wednesday!I:I, B812)</f>
        <v>0</v>
      </c>
      <c r="F812">
        <f>COUNTIF(Thursday!I:I, B812)</f>
        <v>0</v>
      </c>
      <c r="G812">
        <f>COUNTIF(Friday!I:I, B812)</f>
        <v>0</v>
      </c>
      <c r="H812">
        <f>SUM(C812:G812)</f>
        <v>0</v>
      </c>
    </row>
    <row r="813" spans="1:8" x14ac:dyDescent="0.25">
      <c r="A813" s="5" t="s">
        <v>806</v>
      </c>
      <c r="B813" t="str">
        <f>"*"&amp;A813&amp;"*"</f>
        <v>*2341: Specimen Dislodged*</v>
      </c>
      <c r="C813">
        <f>COUNTIF(Monday!I:I, B813)</f>
        <v>0</v>
      </c>
      <c r="D813">
        <f>COUNTIF(Tuesday!I:I, B813)</f>
        <v>0</v>
      </c>
      <c r="E813">
        <f>COUNTIF(Wednesday!I:I, B813)</f>
        <v>0</v>
      </c>
      <c r="F813">
        <f>COUNTIF(Thursday!I:I, B813)</f>
        <v>0</v>
      </c>
      <c r="G813">
        <f>COUNTIF(Friday!I:I, B813)</f>
        <v>0</v>
      </c>
      <c r="H813">
        <f>SUM(C813:G813)</f>
        <v>0</v>
      </c>
    </row>
    <row r="814" spans="1:8" x14ac:dyDescent="0.25">
      <c r="A814" s="5" t="s">
        <v>807</v>
      </c>
      <c r="B814" t="str">
        <f>"*"&amp;A814&amp;"*"</f>
        <v>*2372: Stuck On Anatomy Wall*</v>
      </c>
      <c r="C814">
        <f>COUNTIF(Monday!I:I, B814)</f>
        <v>0</v>
      </c>
      <c r="D814">
        <f>COUNTIF(Tuesday!I:I, B814)</f>
        <v>0</v>
      </c>
      <c r="E814">
        <f>COUNTIF(Wednesday!I:I, B814)</f>
        <v>0</v>
      </c>
      <c r="F814">
        <f>COUNTIF(Thursday!I:I, B814)</f>
        <v>0</v>
      </c>
      <c r="G814">
        <f>COUNTIF(Friday!I:I, B814)</f>
        <v>0</v>
      </c>
      <c r="H814">
        <f>SUM(C814:G814)</f>
        <v>0</v>
      </c>
    </row>
    <row r="815" spans="1:8" x14ac:dyDescent="0.25">
      <c r="A815" s="5" t="s">
        <v>808</v>
      </c>
      <c r="B815" t="str">
        <f>"*"&amp;A815&amp;"*"</f>
        <v>*2411: Too Big Of A Bite*</v>
      </c>
      <c r="C815">
        <f>COUNTIF(Monday!I:I, B815)</f>
        <v>0</v>
      </c>
      <c r="D815">
        <f>COUNTIF(Tuesday!I:I, B815)</f>
        <v>0</v>
      </c>
      <c r="E815">
        <f>COUNTIF(Wednesday!I:I, B815)</f>
        <v>0</v>
      </c>
      <c r="F815">
        <f>COUNTIF(Thursday!I:I, B815)</f>
        <v>0</v>
      </c>
      <c r="G815">
        <f>COUNTIF(Friday!I:I, B815)</f>
        <v>0</v>
      </c>
      <c r="H815">
        <f>SUM(C815:G815)</f>
        <v>0</v>
      </c>
    </row>
    <row r="816" spans="1:8" x14ac:dyDescent="0.25">
      <c r="A816" s="5" t="s">
        <v>809</v>
      </c>
      <c r="B816" t="str">
        <f>"*"&amp;A816&amp;"*"</f>
        <v>*2435: Uneven Opening*</v>
      </c>
      <c r="C816">
        <f>COUNTIF(Monday!I:I, B816)</f>
        <v>0</v>
      </c>
      <c r="D816">
        <f>COUNTIF(Tuesday!I:I, B816)</f>
        <v>0</v>
      </c>
      <c r="E816">
        <f>COUNTIF(Wednesday!I:I, B816)</f>
        <v>0</v>
      </c>
      <c r="F816">
        <f>COUNTIF(Thursday!I:I, B816)</f>
        <v>0</v>
      </c>
      <c r="G816">
        <f>COUNTIF(Friday!I:I, B816)</f>
        <v>0</v>
      </c>
      <c r="H816">
        <f>SUM(C816:G816)</f>
        <v>0</v>
      </c>
    </row>
    <row r="817" spans="1:8" x14ac:dyDescent="0.25">
      <c r="A817" s="5" t="s">
        <v>810</v>
      </c>
      <c r="B817" t="str">
        <f>"*"&amp;A817&amp;"*"</f>
        <v>*1486: Failure to Boot*</v>
      </c>
      <c r="C817">
        <f>COUNTIF(Monday!I:I, B817)</f>
        <v>0</v>
      </c>
      <c r="D817">
        <f>COUNTIF(Tuesday!I:I, B817)</f>
        <v>0</v>
      </c>
      <c r="E817">
        <f>COUNTIF(Wednesday!I:I, B817)</f>
        <v>0</v>
      </c>
      <c r="F817">
        <f>COUNTIF(Thursday!I:I, B817)</f>
        <v>0</v>
      </c>
      <c r="G817">
        <f>COUNTIF(Friday!I:I, B817)</f>
        <v>0</v>
      </c>
      <c r="H817">
        <f>SUM(C817:G817)</f>
        <v>0</v>
      </c>
    </row>
    <row r="818" spans="1:8" x14ac:dyDescent="0.25">
      <c r="A818" s="5" t="s">
        <v>811</v>
      </c>
      <c r="B818" t="str">
        <f>"*"&amp;A818&amp;"*"</f>
        <v>*1080: Catheter Electrode Array Icon Flashes Amber*</v>
      </c>
      <c r="C818">
        <f>COUNTIF(Monday!I:I, B818)</f>
        <v>0</v>
      </c>
      <c r="D818">
        <f>COUNTIF(Tuesday!I:I, B818)</f>
        <v>0</v>
      </c>
      <c r="E818">
        <f>COUNTIF(Wednesday!I:I, B818)</f>
        <v>0</v>
      </c>
      <c r="F818">
        <f>COUNTIF(Thursday!I:I, B818)</f>
        <v>0</v>
      </c>
      <c r="G818">
        <f>COUNTIF(Friday!I:I, B818)</f>
        <v>0</v>
      </c>
      <c r="H818">
        <f>SUM(C818:G818)</f>
        <v>0</v>
      </c>
    </row>
    <row r="819" spans="1:8" x14ac:dyDescent="0.25">
      <c r="A819" s="5" t="s">
        <v>812</v>
      </c>
      <c r="B819" t="str">
        <f>"*"&amp;A819&amp;"*"</f>
        <v>*1082: Catheter Handle Icon Flashes Red*</v>
      </c>
      <c r="C819">
        <f>COUNTIF(Monday!I:I, B819)</f>
        <v>0</v>
      </c>
      <c r="D819">
        <f>COUNTIF(Tuesday!I:I, B819)</f>
        <v>0</v>
      </c>
      <c r="E819">
        <f>COUNTIF(Wednesday!I:I, B819)</f>
        <v>0</v>
      </c>
      <c r="F819">
        <f>COUNTIF(Thursday!I:I, B819)</f>
        <v>0</v>
      </c>
      <c r="G819">
        <f>COUNTIF(Friday!I:I, B819)</f>
        <v>0</v>
      </c>
      <c r="H819">
        <f>SUM(C819:G819)</f>
        <v>0</v>
      </c>
    </row>
    <row r="820" spans="1:8" x14ac:dyDescent="0.25">
      <c r="A820" s="5" t="s">
        <v>813</v>
      </c>
      <c r="B820" t="str">
        <f>"*"&amp;A820&amp;"*"</f>
        <v>*1703: Incomplete Activations*</v>
      </c>
      <c r="C820">
        <f>COUNTIF(Monday!I:I, B820)</f>
        <v>0</v>
      </c>
      <c r="D820">
        <f>COUNTIF(Tuesday!I:I, B820)</f>
        <v>0</v>
      </c>
      <c r="E820">
        <f>COUNTIF(Wednesday!I:I, B820)</f>
        <v>0</v>
      </c>
      <c r="F820">
        <f>COUNTIF(Thursday!I:I, B820)</f>
        <v>0</v>
      </c>
      <c r="G820">
        <f>COUNTIF(Friday!I:I, B820)</f>
        <v>0</v>
      </c>
      <c r="H820">
        <f>SUM(C820:G820)</f>
        <v>0</v>
      </c>
    </row>
    <row r="821" spans="1:8" x14ac:dyDescent="0.25">
      <c r="A821" s="5" t="s">
        <v>814</v>
      </c>
      <c r="B821" t="str">
        <f>"*"&amp;A821&amp;"*"</f>
        <v>*1748: Inverted*</v>
      </c>
      <c r="C821">
        <f>COUNTIF(Monday!I:I, B821)</f>
        <v>0</v>
      </c>
      <c r="D821">
        <f>COUNTIF(Tuesday!I:I, B821)</f>
        <v>0</v>
      </c>
      <c r="E821">
        <f>COUNTIF(Wednesday!I:I, B821)</f>
        <v>0</v>
      </c>
      <c r="F821">
        <f>COUNTIF(Thursday!I:I, B821)</f>
        <v>0</v>
      </c>
      <c r="G821">
        <f>COUNTIF(Friday!I:I, B821)</f>
        <v>0</v>
      </c>
      <c r="H821">
        <f>SUM(C821:G821)</f>
        <v>0</v>
      </c>
    </row>
    <row r="822" spans="1:8" x14ac:dyDescent="0.25">
      <c r="A822" s="5" t="s">
        <v>815</v>
      </c>
      <c r="B822" t="str">
        <f>"*"&amp;A822&amp;"*"</f>
        <v>*2133: Not Fully Collapsed*</v>
      </c>
      <c r="C822">
        <f>COUNTIF(Monday!I:I, B822)</f>
        <v>0</v>
      </c>
      <c r="D822">
        <f>COUNTIF(Tuesday!I:I, B822)</f>
        <v>0</v>
      </c>
      <c r="E822">
        <f>COUNTIF(Wednesday!I:I, B822)</f>
        <v>0</v>
      </c>
      <c r="F822">
        <f>COUNTIF(Thursday!I:I, B822)</f>
        <v>0</v>
      </c>
      <c r="G822">
        <f>COUNTIF(Friday!I:I, B822)</f>
        <v>0</v>
      </c>
      <c r="H822">
        <f>SUM(C822:G822)</f>
        <v>0</v>
      </c>
    </row>
    <row r="823" spans="1:8" x14ac:dyDescent="0.25">
      <c r="A823" s="5" t="s">
        <v>816</v>
      </c>
      <c r="B823" t="str">
        <f>"*"&amp;A823&amp;"*"</f>
        <v>*2134: Not Fully Expanded*</v>
      </c>
      <c r="C823">
        <f>COUNTIF(Monday!I:I, B823)</f>
        <v>0</v>
      </c>
      <c r="D823">
        <f>COUNTIF(Tuesday!I:I, B823)</f>
        <v>0</v>
      </c>
      <c r="E823">
        <f>COUNTIF(Wednesday!I:I, B823)</f>
        <v>0</v>
      </c>
      <c r="F823">
        <f>COUNTIF(Thursday!I:I, B823)</f>
        <v>0</v>
      </c>
      <c r="G823">
        <f>COUNTIF(Friday!I:I, B823)</f>
        <v>0</v>
      </c>
      <c r="H823">
        <f>SUM(C823:G823)</f>
        <v>0</v>
      </c>
    </row>
    <row r="824" spans="1:8" x14ac:dyDescent="0.25">
      <c r="A824" s="5" t="s">
        <v>817</v>
      </c>
      <c r="B824" t="str">
        <f>"*"&amp;A824&amp;"*"</f>
        <v>*1815: Marker Band - Wearing*</v>
      </c>
      <c r="C824">
        <f>COUNTIF(Monday!I:I, B824)</f>
        <v>0</v>
      </c>
      <c r="D824">
        <f>COUNTIF(Tuesday!I:I, B824)</f>
        <v>0</v>
      </c>
      <c r="E824">
        <f>COUNTIF(Wednesday!I:I, B824)</f>
        <v>0</v>
      </c>
      <c r="F824">
        <f>COUNTIF(Thursday!I:I, B824)</f>
        <v>0</v>
      </c>
      <c r="G824">
        <f>COUNTIF(Friday!I:I, B824)</f>
        <v>0</v>
      </c>
      <c r="H824">
        <f>SUM(C824:G824)</f>
        <v>0</v>
      </c>
    </row>
    <row r="825" spans="1:8" x14ac:dyDescent="0.25">
      <c r="A825" s="5" t="s">
        <v>818</v>
      </c>
      <c r="B825" t="str">
        <f>"*"&amp;A825&amp;"*"</f>
        <v>*2152: Orientation*</v>
      </c>
      <c r="C825">
        <f>COUNTIF(Monday!I:I, B825)</f>
        <v>0</v>
      </c>
      <c r="D825">
        <f>COUNTIF(Tuesday!I:I, B825)</f>
        <v>0</v>
      </c>
      <c r="E825">
        <f>COUNTIF(Wednesday!I:I, B825)</f>
        <v>0</v>
      </c>
      <c r="F825">
        <f>COUNTIF(Thursday!I:I, B825)</f>
        <v>0</v>
      </c>
      <c r="G825">
        <f>COUNTIF(Friday!I:I, B825)</f>
        <v>0</v>
      </c>
      <c r="H825">
        <f>SUM(C825:G825)</f>
        <v>0</v>
      </c>
    </row>
    <row r="826" spans="1:8" x14ac:dyDescent="0.25">
      <c r="A826" s="5" t="s">
        <v>819</v>
      </c>
      <c r="B826" t="str">
        <f>"*"&amp;A826&amp;"*"</f>
        <v>*1522: Failure To Extend*</v>
      </c>
      <c r="C826">
        <f>COUNTIF(Monday!I:I, B826)</f>
        <v>0</v>
      </c>
      <c r="D826">
        <f>COUNTIF(Tuesday!I:I, B826)</f>
        <v>0</v>
      </c>
      <c r="E826">
        <f>COUNTIF(Wednesday!I:I, B826)</f>
        <v>0</v>
      </c>
      <c r="F826">
        <f>COUNTIF(Thursday!I:I, B826)</f>
        <v>0</v>
      </c>
      <c r="G826">
        <f>COUNTIF(Friday!I:I, B826)</f>
        <v>0</v>
      </c>
      <c r="H826">
        <f>SUM(C826:G826)</f>
        <v>0</v>
      </c>
    </row>
    <row r="827" spans="1:8" x14ac:dyDescent="0.25">
      <c r="A827" s="5" t="s">
        <v>820</v>
      </c>
      <c r="B827" t="str">
        <f>"*"&amp;A827&amp;"*"</f>
        <v>*1112: Collapse*</v>
      </c>
      <c r="C827">
        <f>COUNTIF(Monday!I:I, B827)</f>
        <v>0</v>
      </c>
      <c r="D827">
        <f>COUNTIF(Tuesday!I:I, B827)</f>
        <v>0</v>
      </c>
      <c r="E827">
        <f>COUNTIF(Wednesday!I:I, B827)</f>
        <v>0</v>
      </c>
      <c r="F827">
        <f>COUNTIF(Thursday!I:I, B827)</f>
        <v>0</v>
      </c>
      <c r="G827">
        <f>COUNTIF(Friday!I:I, B827)</f>
        <v>0</v>
      </c>
      <c r="H827">
        <f>SUM(C827:G827)</f>
        <v>0</v>
      </c>
    </row>
    <row r="828" spans="1:8" x14ac:dyDescent="0.25">
      <c r="A828" s="5" t="s">
        <v>821</v>
      </c>
      <c r="B828" t="str">
        <f>"*"&amp;A828&amp;"*"</f>
        <v>*1489: Failure To Bow*</v>
      </c>
      <c r="C828">
        <f>COUNTIF(Monday!I:I, B828)</f>
        <v>0</v>
      </c>
      <c r="D828">
        <f>COUNTIF(Tuesday!I:I, B828)</f>
        <v>0</v>
      </c>
      <c r="E828">
        <f>COUNTIF(Wednesday!I:I, B828)</f>
        <v>0</v>
      </c>
      <c r="F828">
        <f>COUNTIF(Thursday!I:I, B828)</f>
        <v>0</v>
      </c>
      <c r="G828">
        <f>COUNTIF(Friday!I:I, B828)</f>
        <v>0</v>
      </c>
      <c r="H828">
        <f>SUM(C828:G828)</f>
        <v>0</v>
      </c>
    </row>
    <row r="829" spans="1:8" x14ac:dyDescent="0.25">
      <c r="A829" s="5" t="s">
        <v>822</v>
      </c>
      <c r="B829" t="str">
        <f>"*"&amp;A829&amp;"*"</f>
        <v>*1571: Failure To Release Bow (Unbow)*</v>
      </c>
      <c r="C829">
        <f>COUNTIF(Monday!I:I, B829)</f>
        <v>0</v>
      </c>
      <c r="D829">
        <f>COUNTIF(Tuesday!I:I, B829)</f>
        <v>0</v>
      </c>
      <c r="E829">
        <f>COUNTIF(Wednesday!I:I, B829)</f>
        <v>0</v>
      </c>
      <c r="F829">
        <f>COUNTIF(Thursday!I:I, B829)</f>
        <v>0</v>
      </c>
      <c r="G829">
        <f>COUNTIF(Friday!I:I, B829)</f>
        <v>0</v>
      </c>
      <c r="H829">
        <f>SUM(C829:G829)</f>
        <v>0</v>
      </c>
    </row>
    <row r="830" spans="1:8" x14ac:dyDescent="0.25">
      <c r="A830" s="5" t="s">
        <v>823</v>
      </c>
      <c r="B830" t="str">
        <f>"*"&amp;A830&amp;"*"</f>
        <v>*2156: Out Of Plane Bowing*</v>
      </c>
      <c r="C830">
        <f>COUNTIF(Monday!I:I, B830)</f>
        <v>0</v>
      </c>
      <c r="D830">
        <f>COUNTIF(Tuesday!I:I, B830)</f>
        <v>0</v>
      </c>
      <c r="E830">
        <f>COUNTIF(Wednesday!I:I, B830)</f>
        <v>0</v>
      </c>
      <c r="F830">
        <f>COUNTIF(Thursday!I:I, B830)</f>
        <v>0</v>
      </c>
      <c r="G830">
        <f>COUNTIF(Friday!I:I, B830)</f>
        <v>0</v>
      </c>
      <c r="H830">
        <f>SUM(C830:G830)</f>
        <v>0</v>
      </c>
    </row>
    <row r="831" spans="1:8" x14ac:dyDescent="0.25">
      <c r="A831" s="5" t="s">
        <v>824</v>
      </c>
      <c r="B831" t="str">
        <f>"*"&amp;A831&amp;"*"</f>
        <v>*1838: Melted*</v>
      </c>
      <c r="C831">
        <f>COUNTIF(Monday!I:I, B831)</f>
        <v>0</v>
      </c>
      <c r="D831">
        <f>COUNTIF(Tuesday!I:I, B831)</f>
        <v>0</v>
      </c>
      <c r="E831">
        <f>COUNTIF(Wednesday!I:I, B831)</f>
        <v>0</v>
      </c>
      <c r="F831">
        <f>COUNTIF(Thursday!I:I, B831)</f>
        <v>0</v>
      </c>
      <c r="G831">
        <f>COUNTIF(Friday!I:I, B831)</f>
        <v>0</v>
      </c>
      <c r="H831">
        <f>SUM(C831:G831)</f>
        <v>0</v>
      </c>
    </row>
    <row r="832" spans="1:8" x14ac:dyDescent="0.25">
      <c r="A832" s="5" t="s">
        <v>825</v>
      </c>
      <c r="B832" t="str">
        <f>"*"&amp;A832&amp;"*"</f>
        <v>*1688: Inability To Irrigate*</v>
      </c>
      <c r="C832">
        <f>COUNTIF(Monday!I:I, B832)</f>
        <v>0</v>
      </c>
      <c r="D832">
        <f>COUNTIF(Tuesday!I:I, B832)</f>
        <v>0</v>
      </c>
      <c r="E832">
        <f>COUNTIF(Wednesday!I:I, B832)</f>
        <v>0</v>
      </c>
      <c r="F832">
        <f>COUNTIF(Thursday!I:I, B832)</f>
        <v>0</v>
      </c>
      <c r="G832">
        <f>COUNTIF(Friday!I:I, B832)</f>
        <v>0</v>
      </c>
      <c r="H832">
        <f>SUM(C832:G832)</f>
        <v>0</v>
      </c>
    </row>
    <row r="833" spans="1:8" x14ac:dyDescent="0.25">
      <c r="A833" s="5" t="s">
        <v>826</v>
      </c>
      <c r="B833" t="str">
        <f>"*"&amp;A833&amp;"*"</f>
        <v>*1826: Material Rigid Or Stiff*</v>
      </c>
      <c r="C833">
        <f>COUNTIF(Monday!I:I, B833)</f>
        <v>0</v>
      </c>
      <c r="D833">
        <f>COUNTIF(Tuesday!I:I, B833)</f>
        <v>0</v>
      </c>
      <c r="E833">
        <f>COUNTIF(Wednesday!I:I, B833)</f>
        <v>0</v>
      </c>
      <c r="F833">
        <f>COUNTIF(Thursday!I:I, B833)</f>
        <v>0</v>
      </c>
      <c r="G833">
        <f>COUNTIF(Friday!I:I, B833)</f>
        <v>0</v>
      </c>
      <c r="H833">
        <f>SUM(C833:G833)</f>
        <v>0</v>
      </c>
    </row>
    <row r="834" spans="1:8" x14ac:dyDescent="0.25">
      <c r="A834" s="5" t="s">
        <v>827</v>
      </c>
      <c r="B834" t="str">
        <f>"*"&amp;A834&amp;"*"</f>
        <v>*1189: Detent Inadequate*</v>
      </c>
      <c r="C834">
        <f>COUNTIF(Monday!I:I, B834)</f>
        <v>0</v>
      </c>
      <c r="D834">
        <f>COUNTIF(Tuesday!I:I, B834)</f>
        <v>0</v>
      </c>
      <c r="E834">
        <f>COUNTIF(Wednesday!I:I, B834)</f>
        <v>0</v>
      </c>
      <c r="F834">
        <f>COUNTIF(Thursday!I:I, B834)</f>
        <v>0</v>
      </c>
      <c r="G834">
        <f>COUNTIF(Friday!I:I, B834)</f>
        <v>0</v>
      </c>
      <c r="H834">
        <f>SUM(C834:G834)</f>
        <v>0</v>
      </c>
    </row>
    <row r="835" spans="1:8" x14ac:dyDescent="0.25">
      <c r="A835" s="5" t="s">
        <v>828</v>
      </c>
      <c r="B835" t="str">
        <f>"*"&amp;A835&amp;"*"</f>
        <v>*2282: Rotates Unintentionally*</v>
      </c>
      <c r="C835">
        <f>COUNTIF(Monday!I:I, B835)</f>
        <v>0</v>
      </c>
      <c r="D835">
        <f>COUNTIF(Tuesday!I:I, B835)</f>
        <v>0</v>
      </c>
      <c r="E835">
        <f>COUNTIF(Wednesday!I:I, B835)</f>
        <v>0</v>
      </c>
      <c r="F835">
        <f>COUNTIF(Thursday!I:I, B835)</f>
        <v>0</v>
      </c>
      <c r="G835">
        <f>COUNTIF(Friday!I:I, B835)</f>
        <v>0</v>
      </c>
      <c r="H835">
        <f>SUM(C835:G835)</f>
        <v>0</v>
      </c>
    </row>
    <row r="836" spans="1:8" x14ac:dyDescent="0.25">
      <c r="A836" s="5" t="s">
        <v>829</v>
      </c>
      <c r="B836" t="str">
        <f>"*"&amp;A836&amp;"*"</f>
        <v>*2600: Needle Stop Not Set To Zero*</v>
      </c>
      <c r="C836">
        <f>COUNTIF(Monday!I:I, B836)</f>
        <v>0</v>
      </c>
      <c r="D836">
        <f>COUNTIF(Tuesday!I:I, B836)</f>
        <v>0</v>
      </c>
      <c r="E836">
        <f>COUNTIF(Wednesday!I:I, B836)</f>
        <v>0</v>
      </c>
      <c r="F836">
        <f>COUNTIF(Thursday!I:I, B836)</f>
        <v>0</v>
      </c>
      <c r="G836">
        <f>COUNTIF(Friday!I:I, B836)</f>
        <v>0</v>
      </c>
      <c r="H836">
        <f>SUM(C836:G836)</f>
        <v>0</v>
      </c>
    </row>
    <row r="837" spans="1:8" x14ac:dyDescent="0.25">
      <c r="A837" s="5" t="s">
        <v>830</v>
      </c>
      <c r="B837" t="str">
        <f>"*"&amp;A837&amp;"*"</f>
        <v>*1478: Failure To Adjust*</v>
      </c>
      <c r="C837">
        <f>COUNTIF(Monday!I:I, B837)</f>
        <v>0</v>
      </c>
      <c r="D837">
        <f>COUNTIF(Tuesday!I:I, B837)</f>
        <v>0</v>
      </c>
      <c r="E837">
        <f>COUNTIF(Wednesday!I:I, B837)</f>
        <v>0</v>
      </c>
      <c r="F837">
        <f>COUNTIF(Thursday!I:I, B837)</f>
        <v>0</v>
      </c>
      <c r="G837">
        <f>COUNTIF(Friday!I:I, B837)</f>
        <v>0</v>
      </c>
      <c r="H837">
        <f>SUM(C837:G837)</f>
        <v>0</v>
      </c>
    </row>
    <row r="838" spans="1:8" x14ac:dyDescent="0.25">
      <c r="A838" s="5" t="s">
        <v>831</v>
      </c>
      <c r="B838" t="str">
        <f>"*"&amp;A838&amp;"*"</f>
        <v>*1538: Failure to Lock*</v>
      </c>
      <c r="C838">
        <f>COUNTIF(Monday!I:I, B838)</f>
        <v>0</v>
      </c>
      <c r="D838">
        <f>COUNTIF(Tuesday!I:I, B838)</f>
        <v>0</v>
      </c>
      <c r="E838">
        <f>COUNTIF(Wednesday!I:I, B838)</f>
        <v>0</v>
      </c>
      <c r="F838">
        <f>COUNTIF(Thursday!I:I, B838)</f>
        <v>0</v>
      </c>
      <c r="G838">
        <f>COUNTIF(Friday!I:I, B838)</f>
        <v>0</v>
      </c>
      <c r="H838">
        <f>SUM(C838:G838)</f>
        <v>0</v>
      </c>
    </row>
    <row r="839" spans="1:8" x14ac:dyDescent="0.25">
      <c r="A839" s="5" t="s">
        <v>832</v>
      </c>
      <c r="B839" t="str">
        <f>"*"&amp;A839&amp;"*"</f>
        <v>*1594: Failure To Unlock*</v>
      </c>
      <c r="C839">
        <f>COUNTIF(Monday!I:I, B839)</f>
        <v>0</v>
      </c>
      <c r="D839">
        <f>COUNTIF(Tuesday!I:I, B839)</f>
        <v>0</v>
      </c>
      <c r="E839">
        <f>COUNTIF(Wednesday!I:I, B839)</f>
        <v>0</v>
      </c>
      <c r="F839">
        <f>COUNTIF(Thursday!I:I, B839)</f>
        <v>0</v>
      </c>
      <c r="G839">
        <f>COUNTIF(Friday!I:I, B839)</f>
        <v>0</v>
      </c>
      <c r="H839">
        <f>SUM(C839:G839)</f>
        <v>0</v>
      </c>
    </row>
    <row r="840" spans="1:8" x14ac:dyDescent="0.25">
      <c r="A840" s="5" t="s">
        <v>833</v>
      </c>
      <c r="B840" t="str">
        <f>"*"&amp;A840&amp;"*"</f>
        <v>*1546: Failure To Obtain Samples*</v>
      </c>
      <c r="C840">
        <f>COUNTIF(Monday!I:I, B840)</f>
        <v>0</v>
      </c>
      <c r="D840">
        <f>COUNTIF(Tuesday!I:I, B840)</f>
        <v>0</v>
      </c>
      <c r="E840">
        <f>COUNTIF(Wednesday!I:I, B840)</f>
        <v>0</v>
      </c>
      <c r="F840">
        <f>COUNTIF(Thursday!I:I, B840)</f>
        <v>0</v>
      </c>
      <c r="G840">
        <f>COUNTIF(Friday!I:I, B840)</f>
        <v>0</v>
      </c>
      <c r="H840">
        <f>SUM(C840:G840)</f>
        <v>0</v>
      </c>
    </row>
    <row r="841" spans="1:8" x14ac:dyDescent="0.25">
      <c r="A841" s="5" t="s">
        <v>834</v>
      </c>
      <c r="B841" t="str">
        <f>"*"&amp;A841&amp;"*"</f>
        <v>*2232: Premature Deployment*</v>
      </c>
      <c r="C841">
        <f>COUNTIF(Monday!I:I, B841)</f>
        <v>0</v>
      </c>
      <c r="D841">
        <f>COUNTIF(Tuesday!I:I, B841)</f>
        <v>0</v>
      </c>
      <c r="E841">
        <f>COUNTIF(Wednesday!I:I, B841)</f>
        <v>0</v>
      </c>
      <c r="F841">
        <f>COUNTIF(Thursday!I:I, B841)</f>
        <v>0</v>
      </c>
      <c r="G841">
        <f>COUNTIF(Friday!I:I, B841)</f>
        <v>0</v>
      </c>
      <c r="H841">
        <f>SUM(C841:G841)</f>
        <v>0</v>
      </c>
    </row>
    <row r="842" spans="1:8" x14ac:dyDescent="0.25">
      <c r="A842" s="5" t="s">
        <v>835</v>
      </c>
      <c r="B842" t="str">
        <f>"*"&amp;A842&amp;"*"</f>
        <v>*2253: Punctured Sheath*</v>
      </c>
      <c r="C842">
        <f>COUNTIF(Monday!I:I, B842)</f>
        <v>0</v>
      </c>
      <c r="D842">
        <f>COUNTIF(Tuesday!I:I, B842)</f>
        <v>0</v>
      </c>
      <c r="E842">
        <f>COUNTIF(Wednesday!I:I, B842)</f>
        <v>0</v>
      </c>
      <c r="F842">
        <f>COUNTIF(Thursday!I:I, B842)</f>
        <v>0</v>
      </c>
      <c r="G842">
        <f>COUNTIF(Friday!I:I, B842)</f>
        <v>0</v>
      </c>
      <c r="H842">
        <f>SUM(C842:G842)</f>
        <v>0</v>
      </c>
    </row>
    <row r="843" spans="1:8" x14ac:dyDescent="0.25">
      <c r="A843" s="5" t="s">
        <v>836</v>
      </c>
      <c r="B843" t="str">
        <f>"*"&amp;A843&amp;"*"</f>
        <v>*2289: Sample Dislodged*</v>
      </c>
      <c r="C843">
        <f>COUNTIF(Monday!I:I, B843)</f>
        <v>0</v>
      </c>
      <c r="D843">
        <f>COUNTIF(Tuesday!I:I, B843)</f>
        <v>0</v>
      </c>
      <c r="E843">
        <f>COUNTIF(Wednesday!I:I, B843)</f>
        <v>0</v>
      </c>
      <c r="F843">
        <f>COUNTIF(Thursday!I:I, B843)</f>
        <v>0</v>
      </c>
      <c r="G843">
        <f>COUNTIF(Friday!I:I, B843)</f>
        <v>0</v>
      </c>
      <c r="H843">
        <f>SUM(C843:G843)</f>
        <v>0</v>
      </c>
    </row>
    <row r="844" spans="1:8" x14ac:dyDescent="0.25">
      <c r="A844" s="5" t="s">
        <v>837</v>
      </c>
      <c r="B844" t="str">
        <f>"*"&amp;A844&amp;"*"</f>
        <v>*2379: Surface Rough*</v>
      </c>
      <c r="C844">
        <f>COUNTIF(Monday!I:I, B844)</f>
        <v>0</v>
      </c>
      <c r="D844">
        <f>COUNTIF(Tuesday!I:I, B844)</f>
        <v>0</v>
      </c>
      <c r="E844">
        <f>COUNTIF(Wednesday!I:I, B844)</f>
        <v>0</v>
      </c>
      <c r="F844">
        <f>COUNTIF(Thursday!I:I, B844)</f>
        <v>0</v>
      </c>
      <c r="G844">
        <f>COUNTIF(Friday!I:I, B844)</f>
        <v>0</v>
      </c>
      <c r="H844">
        <f>SUM(C844:G844)</f>
        <v>0</v>
      </c>
    </row>
    <row r="845" spans="1:8" x14ac:dyDescent="0.25">
      <c r="A845" s="5" t="s">
        <v>838</v>
      </c>
      <c r="B845" t="str">
        <f>"*"&amp;A845&amp;"*"</f>
        <v>*2418: Torque Problem*</v>
      </c>
      <c r="C845">
        <f>COUNTIF(Monday!I:I, B845)</f>
        <v>0</v>
      </c>
      <c r="D845">
        <f>COUNTIF(Tuesday!I:I, B845)</f>
        <v>0</v>
      </c>
      <c r="E845">
        <f>COUNTIF(Wednesday!I:I, B845)</f>
        <v>0</v>
      </c>
      <c r="F845">
        <f>COUNTIF(Thursday!I:I, B845)</f>
        <v>0</v>
      </c>
      <c r="G845">
        <f>COUNTIF(Friday!I:I, B845)</f>
        <v>0</v>
      </c>
      <c r="H845">
        <f>SUM(C845:G845)</f>
        <v>0</v>
      </c>
    </row>
    <row r="846" spans="1:8" x14ac:dyDescent="0.25">
      <c r="A846" s="5" t="s">
        <v>839</v>
      </c>
      <c r="B846" t="str">
        <f>"*"&amp;A846&amp;"*"</f>
        <v>*1620: Flexibility Problem*</v>
      </c>
      <c r="C846">
        <f>COUNTIF(Monday!I:I, B846)</f>
        <v>0</v>
      </c>
      <c r="D846">
        <f>COUNTIF(Tuesday!I:I, B846)</f>
        <v>0</v>
      </c>
      <c r="E846">
        <f>COUNTIF(Wednesday!I:I, B846)</f>
        <v>0</v>
      </c>
      <c r="F846">
        <f>COUNTIF(Thursday!I:I, B846)</f>
        <v>0</v>
      </c>
      <c r="G846">
        <f>COUNTIF(Friday!I:I, B846)</f>
        <v>0</v>
      </c>
      <c r="H846">
        <f>SUM(C846:G846)</f>
        <v>0</v>
      </c>
    </row>
    <row r="847" spans="1:8" x14ac:dyDescent="0.25">
      <c r="A847" s="5" t="s">
        <v>840</v>
      </c>
      <c r="B847" t="str">
        <f>"*"&amp;A847&amp;"*"</f>
        <v>*1027: Bands Fall Off Polyp*</v>
      </c>
      <c r="C847">
        <f>COUNTIF(Monday!I:I, B847)</f>
        <v>0</v>
      </c>
      <c r="D847">
        <f>COUNTIF(Tuesday!I:I, B847)</f>
        <v>0</v>
      </c>
      <c r="E847">
        <f>COUNTIF(Wednesday!I:I, B847)</f>
        <v>0</v>
      </c>
      <c r="F847">
        <f>COUNTIF(Thursday!I:I, B847)</f>
        <v>0</v>
      </c>
      <c r="G847">
        <f>COUNTIF(Friday!I:I, B847)</f>
        <v>0</v>
      </c>
      <c r="H847">
        <f>SUM(C847:G847)</f>
        <v>0</v>
      </c>
    </row>
    <row r="848" spans="1:8" x14ac:dyDescent="0.25">
      <c r="A848" s="5" t="s">
        <v>841</v>
      </c>
      <c r="B848" t="str">
        <f>"*"&amp;A848&amp;"*"</f>
        <v>*1602: Falling Off Varix*</v>
      </c>
      <c r="C848">
        <f>COUNTIF(Monday!I:I, B848)</f>
        <v>0</v>
      </c>
      <c r="D848">
        <f>COUNTIF(Tuesday!I:I, B848)</f>
        <v>0</v>
      </c>
      <c r="E848">
        <f>COUNTIF(Wednesday!I:I, B848)</f>
        <v>0</v>
      </c>
      <c r="F848">
        <f>COUNTIF(Thursday!I:I, B848)</f>
        <v>0</v>
      </c>
      <c r="G848">
        <f>COUNTIF(Friday!I:I, B848)</f>
        <v>0</v>
      </c>
      <c r="H848">
        <f>SUM(C848:G848)</f>
        <v>0</v>
      </c>
    </row>
    <row r="849" spans="1:8" x14ac:dyDescent="0.25">
      <c r="A849" s="5" t="s">
        <v>842</v>
      </c>
      <c r="B849" t="str">
        <f>"*"&amp;A849&amp;"*"</f>
        <v>*2069: Misfire*</v>
      </c>
      <c r="C849">
        <f>COUNTIF(Monday!I:I, B849)</f>
        <v>0</v>
      </c>
      <c r="D849">
        <f>COUNTIF(Tuesday!I:I, B849)</f>
        <v>0</v>
      </c>
      <c r="E849">
        <f>COUNTIF(Wednesday!I:I, B849)</f>
        <v>0</v>
      </c>
      <c r="F849">
        <f>COUNTIF(Thursday!I:I, B849)</f>
        <v>0</v>
      </c>
      <c r="G849">
        <f>COUNTIF(Friday!I:I, B849)</f>
        <v>0</v>
      </c>
      <c r="H849">
        <f>SUM(C849:G849)</f>
        <v>0</v>
      </c>
    </row>
    <row r="850" spans="1:8" x14ac:dyDescent="0.25">
      <c r="A850" s="5" t="s">
        <v>843</v>
      </c>
      <c r="B850" t="str">
        <f>"*"&amp;A850&amp;"*"</f>
        <v>*2221: Poor Visualization*</v>
      </c>
      <c r="C850">
        <f>COUNTIF(Monday!I:I, B850)</f>
        <v>0</v>
      </c>
      <c r="D850">
        <f>COUNTIF(Tuesday!I:I, B850)</f>
        <v>0</v>
      </c>
      <c r="E850">
        <f>COUNTIF(Wednesday!I:I, B850)</f>
        <v>0</v>
      </c>
      <c r="F850">
        <f>COUNTIF(Thursday!I:I, B850)</f>
        <v>0</v>
      </c>
      <c r="G850">
        <f>COUNTIF(Friday!I:I, B850)</f>
        <v>0</v>
      </c>
      <c r="H850">
        <f>SUM(C850:G850)</f>
        <v>0</v>
      </c>
    </row>
    <row r="851" spans="1:8" x14ac:dyDescent="0.25">
      <c r="A851" s="5" t="s">
        <v>844</v>
      </c>
      <c r="B851" t="str">
        <f>"*"&amp;A851&amp;"*"</f>
        <v>*1009: Air Leak*</v>
      </c>
      <c r="C851">
        <f>COUNTIF(Monday!I:I, B851)</f>
        <v>0</v>
      </c>
      <c r="D851">
        <f>COUNTIF(Tuesday!I:I, B851)</f>
        <v>0</v>
      </c>
      <c r="E851">
        <f>COUNTIF(Wednesday!I:I, B851)</f>
        <v>0</v>
      </c>
      <c r="F851">
        <f>COUNTIF(Thursday!I:I, B851)</f>
        <v>0</v>
      </c>
      <c r="G851">
        <f>COUNTIF(Friday!I:I, B851)</f>
        <v>0</v>
      </c>
      <c r="H851">
        <f>SUM(C851:G851)</f>
        <v>0</v>
      </c>
    </row>
    <row r="852" spans="1:8" x14ac:dyDescent="0.25">
      <c r="A852" s="5" t="s">
        <v>845</v>
      </c>
      <c r="B852" t="str">
        <f>"*"&amp;A852&amp;"*"</f>
        <v>*1055: Broken/Wont Turn*</v>
      </c>
      <c r="C852">
        <f>COUNTIF(Monday!I:I, B852)</f>
        <v>0</v>
      </c>
      <c r="D852">
        <f>COUNTIF(Tuesday!I:I, B852)</f>
        <v>0</v>
      </c>
      <c r="E852">
        <f>COUNTIF(Wednesday!I:I, B852)</f>
        <v>0</v>
      </c>
      <c r="F852">
        <f>COUNTIF(Thursday!I:I, B852)</f>
        <v>0</v>
      </c>
      <c r="G852">
        <f>COUNTIF(Friday!I:I, B852)</f>
        <v>0</v>
      </c>
      <c r="H852">
        <f>SUM(C852:G852)</f>
        <v>0</v>
      </c>
    </row>
    <row r="853" spans="1:8" x14ac:dyDescent="0.25">
      <c r="A853" s="5" t="s">
        <v>846</v>
      </c>
      <c r="B853" t="str">
        <f>"*"&amp;A853&amp;"*"</f>
        <v>*1605: Feedback Issues*</v>
      </c>
      <c r="C853">
        <f>COUNTIF(Monday!I:I, B853)</f>
        <v>0</v>
      </c>
      <c r="D853">
        <f>COUNTIF(Tuesday!I:I, B853)</f>
        <v>0</v>
      </c>
      <c r="E853">
        <f>COUNTIF(Wednesday!I:I, B853)</f>
        <v>0</v>
      </c>
      <c r="F853">
        <f>COUNTIF(Thursday!I:I, B853)</f>
        <v>0</v>
      </c>
      <c r="G853">
        <f>COUNTIF(Friday!I:I, B853)</f>
        <v>0</v>
      </c>
      <c r="H853">
        <f>SUM(C853:G853)</f>
        <v>0</v>
      </c>
    </row>
    <row r="854" spans="1:8" x14ac:dyDescent="0.25">
      <c r="A854" s="5" t="s">
        <v>847</v>
      </c>
      <c r="B854" t="str">
        <f>"*"&amp;A854&amp;"*"</f>
        <v>*2208: Polyp/Tissue Sample Inadequate*</v>
      </c>
      <c r="C854">
        <f>COUNTIF(Monday!I:I, B854)</f>
        <v>0</v>
      </c>
      <c r="D854">
        <f>COUNTIF(Tuesday!I:I, B854)</f>
        <v>0</v>
      </c>
      <c r="E854">
        <f>COUNTIF(Wednesday!I:I, B854)</f>
        <v>0</v>
      </c>
      <c r="F854">
        <f>COUNTIF(Thursday!I:I, B854)</f>
        <v>0</v>
      </c>
      <c r="G854">
        <f>COUNTIF(Friday!I:I, B854)</f>
        <v>0</v>
      </c>
      <c r="H854">
        <f>SUM(C854:G854)</f>
        <v>0</v>
      </c>
    </row>
    <row r="855" spans="1:8" x14ac:dyDescent="0.25">
      <c r="A855" s="5" t="s">
        <v>848</v>
      </c>
      <c r="B855" t="str">
        <f>"*"&amp;A855&amp;"*"</f>
        <v>*2599: Multiple Knots In Ligator*</v>
      </c>
      <c r="C855">
        <f>COUNTIF(Monday!I:I, B855)</f>
        <v>0</v>
      </c>
      <c r="D855">
        <f>COUNTIF(Tuesday!I:I, B855)</f>
        <v>0</v>
      </c>
      <c r="E855">
        <f>COUNTIF(Wednesday!I:I, B855)</f>
        <v>0</v>
      </c>
      <c r="F855">
        <f>COUNTIF(Thursday!I:I, B855)</f>
        <v>0</v>
      </c>
      <c r="G855">
        <f>COUNTIF(Friday!I:I, B855)</f>
        <v>0</v>
      </c>
      <c r="H855">
        <f>SUM(C855:G855)</f>
        <v>0</v>
      </c>
    </row>
    <row r="856" spans="1:8" x14ac:dyDescent="0.25">
      <c r="A856" s="5" t="s">
        <v>849</v>
      </c>
      <c r="B856" t="str">
        <f>"*"&amp;A856&amp;"*"</f>
        <v>*2721: Stuck in Housing*</v>
      </c>
      <c r="C856">
        <f>COUNTIF(Monday!I:I, B856)</f>
        <v>0</v>
      </c>
      <c r="D856">
        <f>COUNTIF(Tuesday!I:I, B856)</f>
        <v>0</v>
      </c>
      <c r="E856">
        <f>COUNTIF(Wednesday!I:I, B856)</f>
        <v>0</v>
      </c>
      <c r="F856">
        <f>COUNTIF(Thursday!I:I, B856)</f>
        <v>0</v>
      </c>
      <c r="G856">
        <f>COUNTIF(Friday!I:I, B856)</f>
        <v>0</v>
      </c>
      <c r="H856">
        <f>SUM(C856:G856)</f>
        <v>0</v>
      </c>
    </row>
    <row r="857" spans="1:8" x14ac:dyDescent="0.25">
      <c r="A857" s="5" t="s">
        <v>850</v>
      </c>
      <c r="B857" t="str">
        <f>"*"&amp;A857&amp;"*"</f>
        <v>*2067: Misassembled By Users*</v>
      </c>
      <c r="C857">
        <f>COUNTIF(Monday!I:I, B857)</f>
        <v>0</v>
      </c>
      <c r="D857">
        <f>COUNTIF(Tuesday!I:I, B857)</f>
        <v>0</v>
      </c>
      <c r="E857">
        <f>COUNTIF(Wednesday!I:I, B857)</f>
        <v>0</v>
      </c>
      <c r="F857">
        <f>COUNTIF(Thursday!I:I, B857)</f>
        <v>0</v>
      </c>
      <c r="G857">
        <f>COUNTIF(Friday!I:I, B857)</f>
        <v>0</v>
      </c>
      <c r="H857">
        <f>SUM(C857:G857)</f>
        <v>0</v>
      </c>
    </row>
    <row r="858" spans="1:8" x14ac:dyDescent="0.25">
      <c r="A858" s="5" t="s">
        <v>851</v>
      </c>
      <c r="B858" t="str">
        <f>"*"&amp;A858&amp;"*"</f>
        <v>*1508: Failure To Cut*</v>
      </c>
      <c r="C858">
        <f>COUNTIF(Monday!I:I, B858)</f>
        <v>0</v>
      </c>
      <c r="D858">
        <f>COUNTIF(Tuesday!I:I, B858)</f>
        <v>0</v>
      </c>
      <c r="E858">
        <f>COUNTIF(Wednesday!I:I, B858)</f>
        <v>0</v>
      </c>
      <c r="F858">
        <f>COUNTIF(Thursday!I:I, B858)</f>
        <v>0</v>
      </c>
      <c r="G858">
        <f>COUNTIF(Friday!I:I, B858)</f>
        <v>0</v>
      </c>
      <c r="H858">
        <f>SUM(C858:G858)</f>
        <v>0</v>
      </c>
    </row>
    <row r="859" spans="1:8" x14ac:dyDescent="0.25">
      <c r="A859" s="5" t="s">
        <v>852</v>
      </c>
      <c r="B859" t="str">
        <f>"*"&amp;A859&amp;"*"</f>
        <v>*1730: Injection Problem*</v>
      </c>
      <c r="C859">
        <f>COUNTIF(Monday!I:I, B859)</f>
        <v>0</v>
      </c>
      <c r="D859">
        <f>COUNTIF(Tuesday!I:I, B859)</f>
        <v>0</v>
      </c>
      <c r="E859">
        <f>COUNTIF(Wednesday!I:I, B859)</f>
        <v>0</v>
      </c>
      <c r="F859">
        <f>COUNTIF(Thursday!I:I, B859)</f>
        <v>0</v>
      </c>
      <c r="G859">
        <f>COUNTIF(Friday!I:I, B859)</f>
        <v>0</v>
      </c>
      <c r="H859">
        <f>SUM(C859:G859)</f>
        <v>0</v>
      </c>
    </row>
    <row r="860" spans="1:8" x14ac:dyDescent="0.25">
      <c r="A860" s="5" t="s">
        <v>853</v>
      </c>
      <c r="B860" t="str">
        <f>"*"&amp;A860&amp;"*"</f>
        <v>*2147: Occlusion Within Device*</v>
      </c>
      <c r="C860">
        <f>COUNTIF(Monday!I:I, B860)</f>
        <v>0</v>
      </c>
      <c r="D860">
        <f>COUNTIF(Tuesday!I:I, B860)</f>
        <v>0</v>
      </c>
      <c r="E860">
        <f>COUNTIF(Wednesday!I:I, B860)</f>
        <v>0</v>
      </c>
      <c r="F860">
        <f>COUNTIF(Thursday!I:I, B860)</f>
        <v>0</v>
      </c>
      <c r="G860">
        <f>COUNTIF(Friday!I:I, B860)</f>
        <v>0</v>
      </c>
      <c r="H860">
        <f>SUM(C860:G860)</f>
        <v>0</v>
      </c>
    </row>
    <row r="861" spans="1:8" x14ac:dyDescent="0.25">
      <c r="A861" s="5" t="s">
        <v>854</v>
      </c>
      <c r="B861" t="str">
        <f>"*"&amp;A861&amp;"*"</f>
        <v>*2224: Positioning Issue*</v>
      </c>
      <c r="C861">
        <f>COUNTIF(Monday!I:I, B861)</f>
        <v>0</v>
      </c>
      <c r="D861">
        <f>COUNTIF(Tuesday!I:I, B861)</f>
        <v>0</v>
      </c>
      <c r="E861">
        <f>COUNTIF(Wednesday!I:I, B861)</f>
        <v>0</v>
      </c>
      <c r="F861">
        <f>COUNTIF(Thursday!I:I, B861)</f>
        <v>0</v>
      </c>
      <c r="G861">
        <f>COUNTIF(Friday!I:I, B861)</f>
        <v>0</v>
      </c>
      <c r="H861">
        <f>SUM(C861:G861)</f>
        <v>0</v>
      </c>
    </row>
    <row r="862" spans="1:8" x14ac:dyDescent="0.25">
      <c r="A862" s="5" t="s">
        <v>855</v>
      </c>
      <c r="B862" t="str">
        <f>"*"&amp;A862&amp;"*"</f>
        <v>*2481: Visualization Issues*</v>
      </c>
      <c r="C862">
        <f>COUNTIF(Monday!I:I, B862)</f>
        <v>0</v>
      </c>
      <c r="D862">
        <f>COUNTIF(Tuesday!I:I, B862)</f>
        <v>0</v>
      </c>
      <c r="E862">
        <f>COUNTIF(Wednesday!I:I, B862)</f>
        <v>0</v>
      </c>
      <c r="F862">
        <f>COUNTIF(Thursday!I:I, B862)</f>
        <v>0</v>
      </c>
      <c r="G862">
        <f>COUNTIF(Friday!I:I, B862)</f>
        <v>0</v>
      </c>
      <c r="H862">
        <f>SUM(C862:G862)</f>
        <v>0</v>
      </c>
    </row>
    <row r="863" spans="1:8" x14ac:dyDescent="0.25">
      <c r="A863" s="5" t="s">
        <v>856</v>
      </c>
      <c r="B863" t="str">
        <f>"*"&amp;A863&amp;"*"</f>
        <v>*1580: Failure To Retract*</v>
      </c>
      <c r="C863">
        <f>COUNTIF(Monday!I:I, B863)</f>
        <v>0</v>
      </c>
      <c r="D863">
        <f>COUNTIF(Tuesday!I:I, B863)</f>
        <v>0</v>
      </c>
      <c r="E863">
        <f>COUNTIF(Wednesday!I:I, B863)</f>
        <v>0</v>
      </c>
      <c r="F863">
        <f>COUNTIF(Thursday!I:I, B863)</f>
        <v>0</v>
      </c>
      <c r="G863">
        <f>COUNTIF(Friday!I:I, B863)</f>
        <v>0</v>
      </c>
      <c r="H863">
        <f>SUM(C863:G863)</f>
        <v>0</v>
      </c>
    </row>
    <row r="864" spans="1:8" x14ac:dyDescent="0.25">
      <c r="A864" s="5" t="s">
        <v>857</v>
      </c>
      <c r="B864" t="str">
        <f>"*"&amp;A864&amp;"*"</f>
        <v>*1783: Length Too Long*</v>
      </c>
      <c r="C864">
        <f>COUNTIF(Monday!I:I, B864)</f>
        <v>0</v>
      </c>
      <c r="D864">
        <f>COUNTIF(Tuesday!I:I, B864)</f>
        <v>0</v>
      </c>
      <c r="E864">
        <f>COUNTIF(Wednesday!I:I, B864)</f>
        <v>0</v>
      </c>
      <c r="F864">
        <f>COUNTIF(Thursday!I:I, B864)</f>
        <v>0</v>
      </c>
      <c r="G864">
        <f>COUNTIF(Friday!I:I, B864)</f>
        <v>0</v>
      </c>
      <c r="H864">
        <f>SUM(C864:G864)</f>
        <v>0</v>
      </c>
    </row>
    <row r="865" spans="1:8" x14ac:dyDescent="0.25">
      <c r="A865" s="5" t="s">
        <v>858</v>
      </c>
      <c r="B865" t="str">
        <f>"*"&amp;A865&amp;"*"</f>
        <v>*1784: Length Too Short*</v>
      </c>
      <c r="C865">
        <f>COUNTIF(Monday!I:I, B865)</f>
        <v>0</v>
      </c>
      <c r="D865">
        <f>COUNTIF(Tuesday!I:I, B865)</f>
        <v>0</v>
      </c>
      <c r="E865">
        <f>COUNTIF(Wednesday!I:I, B865)</f>
        <v>0</v>
      </c>
      <c r="F865">
        <f>COUNTIF(Thursday!I:I, B865)</f>
        <v>0</v>
      </c>
      <c r="G865">
        <f>COUNTIF(Friday!I:I, B865)</f>
        <v>0</v>
      </c>
      <c r="H865">
        <f>SUM(C865:G865)</f>
        <v>0</v>
      </c>
    </row>
    <row r="866" spans="1:8" x14ac:dyDescent="0.25">
      <c r="A866" s="5" t="s">
        <v>859</v>
      </c>
      <c r="B866" t="str">
        <f>"*"&amp;A866&amp;"*"</f>
        <v>*2488: Bleb Did Not Last Long Enough*</v>
      </c>
      <c r="C866">
        <f>COUNTIF(Monday!I:I, B866)</f>
        <v>0</v>
      </c>
      <c r="D866">
        <f>COUNTIF(Tuesday!I:I, B866)</f>
        <v>0</v>
      </c>
      <c r="E866">
        <f>COUNTIF(Wednesday!I:I, B866)</f>
        <v>0</v>
      </c>
      <c r="F866">
        <f>COUNTIF(Thursday!I:I, B866)</f>
        <v>0</v>
      </c>
      <c r="G866">
        <f>COUNTIF(Friday!I:I, B866)</f>
        <v>0</v>
      </c>
      <c r="H866">
        <f>SUM(C866:G866)</f>
        <v>0</v>
      </c>
    </row>
    <row r="867" spans="1:8" x14ac:dyDescent="0.25">
      <c r="A867" s="5" t="s">
        <v>860</v>
      </c>
      <c r="B867" t="str">
        <f>"*"&amp;A867&amp;"*"</f>
        <v>*2489: Bleb Inadequate*</v>
      </c>
      <c r="C867">
        <f>COUNTIF(Monday!I:I, B867)</f>
        <v>0</v>
      </c>
      <c r="D867">
        <f>COUNTIF(Tuesday!I:I, B867)</f>
        <v>0</v>
      </c>
      <c r="E867">
        <f>COUNTIF(Wednesday!I:I, B867)</f>
        <v>0</v>
      </c>
      <c r="F867">
        <f>COUNTIF(Thursday!I:I, B867)</f>
        <v>0</v>
      </c>
      <c r="G867">
        <f>COUNTIF(Friday!I:I, B867)</f>
        <v>0</v>
      </c>
      <c r="H867">
        <f>SUM(C867:G867)</f>
        <v>0</v>
      </c>
    </row>
    <row r="868" spans="1:8" x14ac:dyDescent="0.25">
      <c r="A868" s="5" t="s">
        <v>861</v>
      </c>
      <c r="B868" t="str">
        <f>"*"&amp;A868&amp;"*"</f>
        <v>*2490: Bleb Not Created*</v>
      </c>
      <c r="C868">
        <f>COUNTIF(Monday!I:I, B868)</f>
        <v>0</v>
      </c>
      <c r="D868">
        <f>COUNTIF(Tuesday!I:I, B868)</f>
        <v>0</v>
      </c>
      <c r="E868">
        <f>COUNTIF(Wednesday!I:I, B868)</f>
        <v>0</v>
      </c>
      <c r="F868">
        <f>COUNTIF(Thursday!I:I, B868)</f>
        <v>0</v>
      </c>
      <c r="G868">
        <f>COUNTIF(Friday!I:I, B868)</f>
        <v>0</v>
      </c>
      <c r="H868">
        <f>SUM(C868:G868)</f>
        <v>0</v>
      </c>
    </row>
    <row r="869" spans="1:8" x14ac:dyDescent="0.25">
      <c r="A869" s="6" t="s">
        <v>862</v>
      </c>
      <c r="B869" t="str">
        <f>"*"&amp;A869&amp;"*"</f>
        <v>*1273: Difficult to Actuate*</v>
      </c>
      <c r="C869">
        <f>COUNTIF(Monday!I:I, B869)</f>
        <v>0</v>
      </c>
      <c r="D869">
        <f>COUNTIF(Tuesday!I:I, B869)</f>
        <v>0</v>
      </c>
      <c r="E869">
        <f>COUNTIF(Wednesday!I:I, B869)</f>
        <v>0</v>
      </c>
      <c r="F869">
        <f>COUNTIF(Thursday!I:I, B869)</f>
        <v>0</v>
      </c>
      <c r="G869">
        <f>COUNTIF(Friday!I:I, B869)</f>
        <v>0</v>
      </c>
      <c r="H869">
        <f>SUM(C869:G869)</f>
        <v>0</v>
      </c>
    </row>
    <row r="870" spans="1:8" x14ac:dyDescent="0.25">
      <c r="A870" s="5" t="s">
        <v>863</v>
      </c>
      <c r="B870" t="str">
        <f>"*"&amp;A870&amp;"*"</f>
        <v>*1298: Difficult To Deflate*</v>
      </c>
      <c r="C870">
        <f>COUNTIF(Monday!I:I, B870)</f>
        <v>0</v>
      </c>
      <c r="D870">
        <f>COUNTIF(Tuesday!I:I, B870)</f>
        <v>0</v>
      </c>
      <c r="E870">
        <f>COUNTIF(Wednesday!I:I, B870)</f>
        <v>0</v>
      </c>
      <c r="F870">
        <f>COUNTIF(Thursday!I:I, B870)</f>
        <v>0</v>
      </c>
      <c r="G870">
        <f>COUNTIF(Friday!I:I, B870)</f>
        <v>0</v>
      </c>
      <c r="H870">
        <f>SUM(C870:G870)</f>
        <v>0</v>
      </c>
    </row>
    <row r="871" spans="1:8" x14ac:dyDescent="0.25">
      <c r="A871" s="5" t="s">
        <v>864</v>
      </c>
      <c r="B871" t="str">
        <f>"*"&amp;A871&amp;"*"</f>
        <v>*1693: Inadequate Symmetry*</v>
      </c>
      <c r="C871">
        <f>COUNTIF(Monday!I:I, B871)</f>
        <v>0</v>
      </c>
      <c r="D871">
        <f>COUNTIF(Tuesday!I:I, B871)</f>
        <v>0</v>
      </c>
      <c r="E871">
        <f>COUNTIF(Wednesday!I:I, B871)</f>
        <v>0</v>
      </c>
      <c r="F871">
        <f>COUNTIF(Thursday!I:I, B871)</f>
        <v>0</v>
      </c>
      <c r="G871">
        <f>COUNTIF(Friday!I:I, B871)</f>
        <v>0</v>
      </c>
      <c r="H871">
        <f>SUM(C871:G871)</f>
        <v>0</v>
      </c>
    </row>
    <row r="872" spans="1:8" x14ac:dyDescent="0.25">
      <c r="A872" s="5" t="s">
        <v>865</v>
      </c>
      <c r="B872" t="str">
        <f>"*"&amp;A872&amp;"*"</f>
        <v>*2446: Unraveled Material*</v>
      </c>
      <c r="C872">
        <f>COUNTIF(Monday!I:I, B872)</f>
        <v>0</v>
      </c>
      <c r="D872">
        <f>COUNTIF(Tuesday!I:I, B872)</f>
        <v>0</v>
      </c>
      <c r="E872">
        <f>COUNTIF(Wednesday!I:I, B872)</f>
        <v>0</v>
      </c>
      <c r="F872">
        <f>COUNTIF(Thursday!I:I, B872)</f>
        <v>0</v>
      </c>
      <c r="G872">
        <f>COUNTIF(Friday!I:I, B872)</f>
        <v>0</v>
      </c>
      <c r="H872">
        <f>SUM(C872:G872)</f>
        <v>0</v>
      </c>
    </row>
    <row r="873" spans="1:8" x14ac:dyDescent="0.25">
      <c r="A873" s="5" t="s">
        <v>866</v>
      </c>
      <c r="B873" t="str">
        <f>"*"&amp;A873&amp;"*"</f>
        <v>*2188: Patient Removal*</v>
      </c>
      <c r="C873">
        <f>COUNTIF(Monday!I:I, B873)</f>
        <v>0</v>
      </c>
      <c r="D873">
        <f>COUNTIF(Tuesday!I:I, B873)</f>
        <v>0</v>
      </c>
      <c r="E873">
        <f>COUNTIF(Wednesday!I:I, B873)</f>
        <v>0</v>
      </c>
      <c r="F873">
        <f>COUNTIF(Thursday!I:I, B873)</f>
        <v>0</v>
      </c>
      <c r="G873">
        <f>COUNTIF(Friday!I:I, B873)</f>
        <v>0</v>
      </c>
      <c r="H873">
        <f>SUM(C873:G873)</f>
        <v>0</v>
      </c>
    </row>
    <row r="874" spans="1:8" x14ac:dyDescent="0.25">
      <c r="A874" s="5" t="s">
        <v>867</v>
      </c>
      <c r="B874" t="str">
        <f>"*"&amp;A874&amp;"*"</f>
        <v>*1708: Incorrect*</v>
      </c>
      <c r="C874">
        <f>COUNTIF(Monday!I:I, B874)</f>
        <v>0</v>
      </c>
      <c r="D874">
        <f>COUNTIF(Tuesday!I:I, B874)</f>
        <v>0</v>
      </c>
      <c r="E874">
        <f>COUNTIF(Wednesday!I:I, B874)</f>
        <v>0</v>
      </c>
      <c r="F874">
        <f>COUNTIF(Thursday!I:I, B874)</f>
        <v>0</v>
      </c>
      <c r="G874">
        <f>COUNTIF(Friday!I:I, B874)</f>
        <v>0</v>
      </c>
      <c r="H874">
        <f>SUM(C874:G874)</f>
        <v>0</v>
      </c>
    </row>
    <row r="875" spans="1:8" x14ac:dyDescent="0.25">
      <c r="A875" s="5" t="s">
        <v>868</v>
      </c>
      <c r="B875" t="str">
        <f>"*"&amp;A875&amp;"*"</f>
        <v>*1182: Deployment Issue*</v>
      </c>
      <c r="C875">
        <f>COUNTIF(Monday!I:I, B875)</f>
        <v>0</v>
      </c>
      <c r="D875">
        <f>COUNTIF(Tuesday!I:I, B875)</f>
        <v>0</v>
      </c>
      <c r="E875">
        <f>COUNTIF(Wednesday!I:I, B875)</f>
        <v>0</v>
      </c>
      <c r="F875">
        <f>COUNTIF(Thursday!I:I, B875)</f>
        <v>0</v>
      </c>
      <c r="G875">
        <f>COUNTIF(Friday!I:I, B875)</f>
        <v>0</v>
      </c>
      <c r="H875">
        <f>SUM(C875:G875)</f>
        <v>0</v>
      </c>
    </row>
    <row r="876" spans="1:8" x14ac:dyDescent="0.25">
      <c r="A876" s="5" t="s">
        <v>869</v>
      </c>
      <c r="B876" t="str">
        <f>"*"&amp;A876&amp;"*"</f>
        <v>*1432: Dull*</v>
      </c>
      <c r="C876">
        <f>COUNTIF(Monday!I:I, B876)</f>
        <v>0</v>
      </c>
      <c r="D876">
        <f>COUNTIF(Tuesday!I:I, B876)</f>
        <v>0</v>
      </c>
      <c r="E876">
        <f>COUNTIF(Wednesday!I:I, B876)</f>
        <v>0</v>
      </c>
      <c r="F876">
        <f>COUNTIF(Thursday!I:I, B876)</f>
        <v>0</v>
      </c>
      <c r="G876">
        <f>COUNTIF(Friday!I:I, B876)</f>
        <v>0</v>
      </c>
      <c r="H876">
        <f>SUM(C876:G876)</f>
        <v>0</v>
      </c>
    </row>
    <row r="877" spans="1:8" x14ac:dyDescent="0.25">
      <c r="A877" s="5" t="s">
        <v>870</v>
      </c>
      <c r="B877" t="str">
        <f>"*"&amp;A877&amp;"*"</f>
        <v>*1825: Material Puncture*</v>
      </c>
      <c r="C877">
        <f>COUNTIF(Monday!I:I, B877)</f>
        <v>0</v>
      </c>
      <c r="D877">
        <f>COUNTIF(Tuesday!I:I, B877)</f>
        <v>0</v>
      </c>
      <c r="E877">
        <f>COUNTIF(Wednesday!I:I, B877)</f>
        <v>0</v>
      </c>
      <c r="F877">
        <f>COUNTIF(Thursday!I:I, B877)</f>
        <v>0</v>
      </c>
      <c r="G877">
        <f>COUNTIF(Friday!I:I, B877)</f>
        <v>0</v>
      </c>
      <c r="H877">
        <f>SUM(C877:G877)</f>
        <v>0</v>
      </c>
    </row>
    <row r="878" spans="1:8" x14ac:dyDescent="0.25">
      <c r="A878" s="5" t="s">
        <v>871</v>
      </c>
      <c r="B878" t="str">
        <f>"*"&amp;A878&amp;"*"</f>
        <v>*1485: Failure To Bloom/Debloom*</v>
      </c>
      <c r="C878">
        <f>COUNTIF(Monday!I:I, B878)</f>
        <v>0</v>
      </c>
      <c r="D878">
        <f>COUNTIF(Tuesday!I:I, B878)</f>
        <v>0</v>
      </c>
      <c r="E878">
        <f>COUNTIF(Wednesday!I:I, B878)</f>
        <v>0</v>
      </c>
      <c r="F878">
        <f>COUNTIF(Thursday!I:I, B878)</f>
        <v>0</v>
      </c>
      <c r="G878">
        <f>COUNTIF(Friday!I:I, B878)</f>
        <v>0</v>
      </c>
      <c r="H878">
        <f>SUM(C878:G878)</f>
        <v>0</v>
      </c>
    </row>
    <row r="879" spans="1:8" x14ac:dyDescent="0.25">
      <c r="A879" s="5" t="s">
        <v>872</v>
      </c>
      <c r="B879" t="str">
        <f>"*"&amp;A879&amp;"*"</f>
        <v>*2202: Physical Resistance*</v>
      </c>
      <c r="C879">
        <f>COUNTIF(Monday!I:I, B879)</f>
        <v>0</v>
      </c>
      <c r="D879">
        <f>COUNTIF(Tuesday!I:I, B879)</f>
        <v>0</v>
      </c>
      <c r="E879">
        <f>COUNTIF(Wednesday!I:I, B879)</f>
        <v>0</v>
      </c>
      <c r="F879">
        <f>COUNTIF(Thursday!I:I, B879)</f>
        <v>0</v>
      </c>
      <c r="G879">
        <f>COUNTIF(Friday!I:I, B879)</f>
        <v>0</v>
      </c>
      <c r="H879">
        <f>SUM(C879:G879)</f>
        <v>0</v>
      </c>
    </row>
    <row r="880" spans="1:8" x14ac:dyDescent="0.25">
      <c r="A880" s="5" t="s">
        <v>873</v>
      </c>
      <c r="B880" t="str">
        <f>"*"&amp;A880&amp;"*"</f>
        <v>*1104: Coating Peeled*</v>
      </c>
      <c r="C880">
        <f>COUNTIF(Monday!I:I, B880)</f>
        <v>0</v>
      </c>
      <c r="D880">
        <f>COUNTIF(Tuesday!I:I, B880)</f>
        <v>0</v>
      </c>
      <c r="E880">
        <f>COUNTIF(Wednesday!I:I, B880)</f>
        <v>0</v>
      </c>
      <c r="F880">
        <f>COUNTIF(Thursday!I:I, B880)</f>
        <v>0</v>
      </c>
      <c r="G880">
        <f>COUNTIF(Friday!I:I, B880)</f>
        <v>0</v>
      </c>
      <c r="H880">
        <f>SUM(C880:G880)</f>
        <v>0</v>
      </c>
    </row>
    <row r="881" spans="1:8" x14ac:dyDescent="0.25">
      <c r="A881" s="5" t="s">
        <v>874</v>
      </c>
      <c r="B881" t="str">
        <f>"*"&amp;A881&amp;"*"</f>
        <v>*2287: Safety Mechanism Fails To Operate*</v>
      </c>
      <c r="C881">
        <f>COUNTIF(Monday!I:I, B881)</f>
        <v>0</v>
      </c>
      <c r="D881">
        <f>COUNTIF(Tuesday!I:I, B881)</f>
        <v>0</v>
      </c>
      <c r="E881">
        <f>COUNTIF(Wednesday!I:I, B881)</f>
        <v>0</v>
      </c>
      <c r="F881">
        <f>COUNTIF(Thursday!I:I, B881)</f>
        <v>0</v>
      </c>
      <c r="G881">
        <f>COUNTIF(Friday!I:I, B881)</f>
        <v>0</v>
      </c>
      <c r="H881">
        <f>SUM(C881:G881)</f>
        <v>0</v>
      </c>
    </row>
    <row r="882" spans="1:8" x14ac:dyDescent="0.25">
      <c r="A882" s="5" t="s">
        <v>875</v>
      </c>
      <c r="B882" t="str">
        <f>"*"&amp;A882&amp;"*"</f>
        <v>*1179: Dented*</v>
      </c>
      <c r="C882">
        <f>COUNTIF(Monday!I:I, B882)</f>
        <v>0</v>
      </c>
      <c r="D882">
        <f>COUNTIF(Tuesday!I:I, B882)</f>
        <v>0</v>
      </c>
      <c r="E882">
        <f>COUNTIF(Wednesday!I:I, B882)</f>
        <v>0</v>
      </c>
      <c r="F882">
        <f>COUNTIF(Thursday!I:I, B882)</f>
        <v>0</v>
      </c>
      <c r="G882">
        <f>COUNTIF(Friday!I:I, B882)</f>
        <v>0</v>
      </c>
      <c r="H882">
        <f>SUM(C882:G882)</f>
        <v>0</v>
      </c>
    </row>
    <row r="883" spans="1:8" x14ac:dyDescent="0.25">
      <c r="A883" s="5" t="s">
        <v>876</v>
      </c>
      <c r="B883" t="str">
        <f>"*"&amp;A883&amp;"*"</f>
        <v>*2154: Other Cooling Unit/Cooling Water Problem*</v>
      </c>
      <c r="C883">
        <f>COUNTIF(Monday!I:I, B883)</f>
        <v>0</v>
      </c>
      <c r="D883">
        <f>COUNTIF(Tuesday!I:I, B883)</f>
        <v>0</v>
      </c>
      <c r="E883">
        <f>COUNTIF(Wednesday!I:I, B883)</f>
        <v>0</v>
      </c>
      <c r="F883">
        <f>COUNTIF(Thursday!I:I, B883)</f>
        <v>0</v>
      </c>
      <c r="G883">
        <f>COUNTIF(Friday!I:I, B883)</f>
        <v>0</v>
      </c>
      <c r="H883">
        <f>SUM(C883:G883)</f>
        <v>0</v>
      </c>
    </row>
    <row r="884" spans="1:8" x14ac:dyDescent="0.25">
      <c r="A884" s="5" t="s">
        <v>877</v>
      </c>
      <c r="B884" t="str">
        <f>"*"&amp;A884&amp;"*"</f>
        <v>*1130: Computer Software Issue*</v>
      </c>
      <c r="C884">
        <f>COUNTIF(Monday!I:I, B884)</f>
        <v>0</v>
      </c>
      <c r="D884">
        <f>COUNTIF(Tuesday!I:I, B884)</f>
        <v>0</v>
      </c>
      <c r="E884">
        <f>COUNTIF(Wednesday!I:I, B884)</f>
        <v>0</v>
      </c>
      <c r="F884">
        <f>COUNTIF(Thursday!I:I, B884)</f>
        <v>0</v>
      </c>
      <c r="G884">
        <f>COUNTIF(Friday!I:I, B884)</f>
        <v>0</v>
      </c>
      <c r="H884">
        <f>SUM(C884:G884)</f>
        <v>0</v>
      </c>
    </row>
    <row r="885" spans="1:8" x14ac:dyDescent="0.25">
      <c r="A885" s="5" t="s">
        <v>878</v>
      </c>
      <c r="B885" t="str">
        <f>"*"&amp;A885&amp;"*"</f>
        <v>*1178: Delivers Energy Intermittently*</v>
      </c>
      <c r="C885">
        <f>COUNTIF(Monday!I:I, B885)</f>
        <v>0</v>
      </c>
      <c r="D885">
        <f>COUNTIF(Tuesday!I:I, B885)</f>
        <v>0</v>
      </c>
      <c r="E885">
        <f>COUNTIF(Wednesday!I:I, B885)</f>
        <v>0</v>
      </c>
      <c r="F885">
        <f>COUNTIF(Thursday!I:I, B885)</f>
        <v>0</v>
      </c>
      <c r="G885">
        <f>COUNTIF(Friday!I:I, B885)</f>
        <v>0</v>
      </c>
      <c r="H885">
        <f>SUM(C885:G885)</f>
        <v>0</v>
      </c>
    </row>
    <row r="886" spans="1:8" x14ac:dyDescent="0.25">
      <c r="A886" s="5" t="s">
        <v>879</v>
      </c>
      <c r="B886" t="str">
        <f>"*"&amp;A886&amp;"*"</f>
        <v>*1250: Device Emits Odor*</v>
      </c>
      <c r="C886">
        <f>COUNTIF(Monday!I:I, B886)</f>
        <v>0</v>
      </c>
      <c r="D886">
        <f>COUNTIF(Tuesday!I:I, B886)</f>
        <v>0</v>
      </c>
      <c r="E886">
        <f>COUNTIF(Wednesday!I:I, B886)</f>
        <v>0</v>
      </c>
      <c r="F886">
        <f>COUNTIF(Thursday!I:I, B886)</f>
        <v>0</v>
      </c>
      <c r="G886">
        <f>COUNTIF(Friday!I:I, B886)</f>
        <v>0</v>
      </c>
      <c r="H886">
        <f>SUM(C886:G886)</f>
        <v>0</v>
      </c>
    </row>
    <row r="887" spans="1:8" x14ac:dyDescent="0.25">
      <c r="A887" s="5" t="s">
        <v>880</v>
      </c>
      <c r="B887" t="str">
        <f>"*"&amp;A887&amp;"*"</f>
        <v>*1251: Device Energy Error/Error 36*</v>
      </c>
      <c r="C887">
        <f>COUNTIF(Monday!I:I, B887)</f>
        <v>0</v>
      </c>
      <c r="D887">
        <f>COUNTIF(Tuesday!I:I, B887)</f>
        <v>0</v>
      </c>
      <c r="E887">
        <f>COUNTIF(Wednesday!I:I, B887)</f>
        <v>0</v>
      </c>
      <c r="F887">
        <f>COUNTIF(Thursday!I:I, B887)</f>
        <v>0</v>
      </c>
      <c r="G887">
        <f>COUNTIF(Friday!I:I, B887)</f>
        <v>0</v>
      </c>
      <c r="H887">
        <f>SUM(C887:G887)</f>
        <v>0</v>
      </c>
    </row>
    <row r="888" spans="1:8" x14ac:dyDescent="0.25">
      <c r="A888" s="5" t="s">
        <v>881</v>
      </c>
      <c r="B888" t="str">
        <f>"*"&amp;A888&amp;"*"</f>
        <v>*1264: Device Switches From "Ready" To "Standby" Mode*</v>
      </c>
      <c r="C888">
        <f>COUNTIF(Monday!I:I, B888)</f>
        <v>0</v>
      </c>
      <c r="D888">
        <f>COUNTIF(Tuesday!I:I, B888)</f>
        <v>0</v>
      </c>
      <c r="E888">
        <f>COUNTIF(Wednesday!I:I, B888)</f>
        <v>0</v>
      </c>
      <c r="F888">
        <f>COUNTIF(Thursday!I:I, B888)</f>
        <v>0</v>
      </c>
      <c r="G888">
        <f>COUNTIF(Friday!I:I, B888)</f>
        <v>0</v>
      </c>
      <c r="H888">
        <f>SUM(C888:G888)</f>
        <v>0</v>
      </c>
    </row>
    <row r="889" spans="1:8" x14ac:dyDescent="0.25">
      <c r="A889" s="5" t="s">
        <v>882</v>
      </c>
      <c r="B889" t="str">
        <f>"*"&amp;A889&amp;"*"</f>
        <v>*1945: Message - Fiber*</v>
      </c>
      <c r="C889">
        <f>COUNTIF(Monday!I:I, B889)</f>
        <v>0</v>
      </c>
      <c r="D889">
        <f>COUNTIF(Tuesday!I:I, B889)</f>
        <v>0</v>
      </c>
      <c r="E889">
        <f>COUNTIF(Wednesday!I:I, B889)</f>
        <v>0</v>
      </c>
      <c r="F889">
        <f>COUNTIF(Thursday!I:I, B889)</f>
        <v>0</v>
      </c>
      <c r="G889">
        <f>COUNTIF(Friday!I:I, B889)</f>
        <v>0</v>
      </c>
      <c r="H889">
        <f>SUM(C889:G889)</f>
        <v>0</v>
      </c>
    </row>
    <row r="890" spans="1:8" x14ac:dyDescent="0.25">
      <c r="A890" s="5" t="s">
        <v>883</v>
      </c>
      <c r="B890" t="str">
        <f>"*"&amp;A890&amp;"*"</f>
        <v>*1993: Message - Line Voltage Too Low/Error Code 12*</v>
      </c>
      <c r="C890">
        <f>COUNTIF(Monday!I:I, B890)</f>
        <v>0</v>
      </c>
      <c r="D890">
        <f>COUNTIF(Tuesday!I:I, B890)</f>
        <v>0</v>
      </c>
      <c r="E890">
        <f>COUNTIF(Wednesday!I:I, B890)</f>
        <v>0</v>
      </c>
      <c r="F890">
        <f>COUNTIF(Thursday!I:I, B890)</f>
        <v>0</v>
      </c>
      <c r="G890">
        <f>COUNTIF(Friday!I:I, B890)</f>
        <v>0</v>
      </c>
      <c r="H890">
        <f>SUM(C890:G890)</f>
        <v>0</v>
      </c>
    </row>
    <row r="891" spans="1:8" x14ac:dyDescent="0.25">
      <c r="A891" s="5" t="s">
        <v>884</v>
      </c>
      <c r="B891" t="str">
        <f>"*"&amp;A891&amp;"*"</f>
        <v>*2158: Output Above Specifications*</v>
      </c>
      <c r="C891">
        <f>COUNTIF(Monday!I:I, B891)</f>
        <v>0</v>
      </c>
      <c r="D891">
        <f>COUNTIF(Tuesday!I:I, B891)</f>
        <v>0</v>
      </c>
      <c r="E891">
        <f>COUNTIF(Wednesday!I:I, B891)</f>
        <v>0</v>
      </c>
      <c r="F891">
        <f>COUNTIF(Thursday!I:I, B891)</f>
        <v>0</v>
      </c>
      <c r="G891">
        <f>COUNTIF(Friday!I:I, B891)</f>
        <v>0</v>
      </c>
      <c r="H891">
        <f>SUM(C891:G891)</f>
        <v>0</v>
      </c>
    </row>
    <row r="892" spans="1:8" x14ac:dyDescent="0.25">
      <c r="A892" s="5" t="s">
        <v>885</v>
      </c>
      <c r="B892" t="str">
        <f>"*"&amp;A892&amp;"*"</f>
        <v>*2159: Output Below Specifications*</v>
      </c>
      <c r="C892">
        <f>COUNTIF(Monday!I:I, B892)</f>
        <v>0</v>
      </c>
      <c r="D892">
        <f>COUNTIF(Tuesday!I:I, B892)</f>
        <v>0</v>
      </c>
      <c r="E892">
        <f>COUNTIF(Wednesday!I:I, B892)</f>
        <v>0</v>
      </c>
      <c r="F892">
        <f>COUNTIF(Thursday!I:I, B892)</f>
        <v>0</v>
      </c>
      <c r="G892">
        <f>COUNTIF(Friday!I:I, B892)</f>
        <v>0</v>
      </c>
      <c r="H892">
        <f>SUM(C892:G892)</f>
        <v>0</v>
      </c>
    </row>
    <row r="893" spans="1:8" x14ac:dyDescent="0.25">
      <c r="A893" s="5" t="s">
        <v>886</v>
      </c>
      <c r="B893" t="str">
        <f>"*"&amp;A893&amp;"*"</f>
        <v>*2160: Output Energy Incorrect*</v>
      </c>
      <c r="C893">
        <f>COUNTIF(Monday!I:I, B893)</f>
        <v>0</v>
      </c>
      <c r="D893">
        <f>COUNTIF(Tuesday!I:I, B893)</f>
        <v>0</v>
      </c>
      <c r="E893">
        <f>COUNTIF(Wednesday!I:I, B893)</f>
        <v>0</v>
      </c>
      <c r="F893">
        <f>COUNTIF(Thursday!I:I, B893)</f>
        <v>0</v>
      </c>
      <c r="G893">
        <f>COUNTIF(Friday!I:I, B893)</f>
        <v>0</v>
      </c>
      <c r="H893">
        <f>SUM(C893:G893)</f>
        <v>0</v>
      </c>
    </row>
    <row r="894" spans="1:8" x14ac:dyDescent="0.25">
      <c r="A894" s="5" t="s">
        <v>887</v>
      </c>
      <c r="B894" t="str">
        <f>"*"&amp;A894&amp;"*"</f>
        <v>*1255: Device Maneuverability/Device Falls*</v>
      </c>
      <c r="C894">
        <f>COUNTIF(Monday!I:I, B894)</f>
        <v>0</v>
      </c>
      <c r="D894">
        <f>COUNTIF(Tuesday!I:I, B894)</f>
        <v>0</v>
      </c>
      <c r="E894">
        <f>COUNTIF(Wednesday!I:I, B894)</f>
        <v>0</v>
      </c>
      <c r="F894">
        <f>COUNTIF(Thursday!I:I, B894)</f>
        <v>0</v>
      </c>
      <c r="G894">
        <f>COUNTIF(Friday!I:I, B894)</f>
        <v>0</v>
      </c>
      <c r="H894">
        <f>SUM(C894:G894)</f>
        <v>0</v>
      </c>
    </row>
    <row r="895" spans="1:8" x14ac:dyDescent="0.25">
      <c r="A895" s="5" t="s">
        <v>888</v>
      </c>
      <c r="B895" t="str">
        <f>"*"&amp;A895&amp;"*"</f>
        <v>*1390: Difficult/Failure To Implant*</v>
      </c>
      <c r="C895">
        <f>COUNTIF(Monday!I:I, B895)</f>
        <v>0</v>
      </c>
      <c r="D895">
        <f>COUNTIF(Tuesday!I:I, B895)</f>
        <v>0</v>
      </c>
      <c r="E895">
        <f>COUNTIF(Wednesday!I:I, B895)</f>
        <v>0</v>
      </c>
      <c r="F895">
        <f>COUNTIF(Thursday!I:I, B895)</f>
        <v>0</v>
      </c>
      <c r="G895">
        <f>COUNTIF(Friday!I:I, B895)</f>
        <v>0</v>
      </c>
      <c r="H895">
        <f>SUM(C895:G895)</f>
        <v>0</v>
      </c>
    </row>
    <row r="896" spans="1:8" x14ac:dyDescent="0.25">
      <c r="A896" s="5" t="s">
        <v>889</v>
      </c>
      <c r="B896" t="str">
        <f>"*"&amp;A896&amp;"*"</f>
        <v>*1759: Jammed Within Introducer*</v>
      </c>
      <c r="C896">
        <f>COUNTIF(Monday!I:I, B896)</f>
        <v>0</v>
      </c>
      <c r="D896">
        <f>COUNTIF(Tuesday!I:I, B896)</f>
        <v>0</v>
      </c>
      <c r="E896">
        <f>COUNTIF(Wednesday!I:I, B896)</f>
        <v>0</v>
      </c>
      <c r="F896">
        <f>COUNTIF(Thursday!I:I, B896)</f>
        <v>0</v>
      </c>
      <c r="G896">
        <f>COUNTIF(Friday!I:I, B896)</f>
        <v>0</v>
      </c>
      <c r="H896">
        <f>SUM(C896:G896)</f>
        <v>0</v>
      </c>
    </row>
    <row r="897" spans="1:8" x14ac:dyDescent="0.25">
      <c r="A897" s="5" t="s">
        <v>890</v>
      </c>
      <c r="B897" t="str">
        <f>"*"&amp;A897&amp;"*"</f>
        <v>*1760: Jammed Within Needle*</v>
      </c>
      <c r="C897">
        <f>COUNTIF(Monday!I:I, B897)</f>
        <v>0</v>
      </c>
      <c r="D897">
        <f>COUNTIF(Tuesday!I:I, B897)</f>
        <v>0</v>
      </c>
      <c r="E897">
        <f>COUNTIF(Wednesday!I:I, B897)</f>
        <v>0</v>
      </c>
      <c r="F897">
        <f>COUNTIF(Thursday!I:I, B897)</f>
        <v>0</v>
      </c>
      <c r="G897">
        <f>COUNTIF(Friday!I:I, B897)</f>
        <v>0</v>
      </c>
      <c r="H897">
        <f>SUM(C897:G897)</f>
        <v>0</v>
      </c>
    </row>
    <row r="898" spans="1:8" x14ac:dyDescent="0.25">
      <c r="A898" s="5" t="s">
        <v>891</v>
      </c>
      <c r="B898" t="str">
        <f>"*"&amp;A898&amp;"*"</f>
        <v>*1382: Difficult/Failure To Advance*</v>
      </c>
      <c r="C898">
        <f>COUNTIF(Monday!I:I, B898)</f>
        <v>0</v>
      </c>
      <c r="D898">
        <f>COUNTIF(Tuesday!I:I, B898)</f>
        <v>0</v>
      </c>
      <c r="E898">
        <f>COUNTIF(Wednesday!I:I, B898)</f>
        <v>0</v>
      </c>
      <c r="F898">
        <f>COUNTIF(Thursday!I:I, B898)</f>
        <v>0</v>
      </c>
      <c r="G898">
        <f>COUNTIF(Friday!I:I, B898)</f>
        <v>0</v>
      </c>
      <c r="H898">
        <f>SUM(C898:G898)</f>
        <v>0</v>
      </c>
    </row>
    <row r="899" spans="1:8" x14ac:dyDescent="0.25">
      <c r="A899" s="5" t="s">
        <v>892</v>
      </c>
      <c r="B899" t="str">
        <f>"*"&amp;A899&amp;"*"</f>
        <v>*1391: Difficult/Failure To Load*</v>
      </c>
      <c r="C899">
        <f>COUNTIF(Monday!I:I, B899)</f>
        <v>0</v>
      </c>
      <c r="D899">
        <f>COUNTIF(Tuesday!I:I, B899)</f>
        <v>0</v>
      </c>
      <c r="E899">
        <f>COUNTIF(Wednesday!I:I, B899)</f>
        <v>0</v>
      </c>
      <c r="F899">
        <f>COUNTIF(Thursday!I:I, B899)</f>
        <v>0</v>
      </c>
      <c r="G899">
        <f>COUNTIF(Friday!I:I, B899)</f>
        <v>0</v>
      </c>
      <c r="H899">
        <f>SUM(C899:G899)</f>
        <v>0</v>
      </c>
    </row>
    <row r="900" spans="1:8" x14ac:dyDescent="0.25">
      <c r="A900" s="5" t="s">
        <v>893</v>
      </c>
      <c r="B900" t="str">
        <f>"*"&amp;A900&amp;"*"</f>
        <v>*1630: Foggy/Cloudy*</v>
      </c>
      <c r="C900">
        <f>COUNTIF(Monday!I:I, B900)</f>
        <v>0</v>
      </c>
      <c r="D900">
        <f>COUNTIF(Tuesday!I:I, B900)</f>
        <v>0</v>
      </c>
      <c r="E900">
        <f>COUNTIF(Wednesday!I:I, B900)</f>
        <v>0</v>
      </c>
      <c r="F900">
        <f>COUNTIF(Thursday!I:I, B900)</f>
        <v>0</v>
      </c>
      <c r="G900">
        <f>COUNTIF(Friday!I:I, B900)</f>
        <v>0</v>
      </c>
      <c r="H900">
        <f>SUM(C900:G900)</f>
        <v>0</v>
      </c>
    </row>
    <row r="901" spans="1:8" x14ac:dyDescent="0.25">
      <c r="A901" s="5" t="s">
        <v>894</v>
      </c>
      <c r="B901" t="str">
        <f>"*"&amp;A901&amp;"*"</f>
        <v>*2529: Unable To Power On*</v>
      </c>
      <c r="C901">
        <f>COUNTIF(Monday!I:I, B901)</f>
        <v>0</v>
      </c>
      <c r="D901">
        <f>COUNTIF(Tuesday!I:I, B901)</f>
        <v>0</v>
      </c>
      <c r="E901">
        <f>COUNTIF(Wednesday!I:I, B901)</f>
        <v>0</v>
      </c>
      <c r="F901">
        <f>COUNTIF(Thursday!I:I, B901)</f>
        <v>0</v>
      </c>
      <c r="G901">
        <f>COUNTIF(Friday!I:I, B901)</f>
        <v>0</v>
      </c>
      <c r="H901">
        <f>SUM(C901:G901)</f>
        <v>0</v>
      </c>
    </row>
    <row r="902" spans="1:8" x14ac:dyDescent="0.25">
      <c r="A902" s="5" t="s">
        <v>895</v>
      </c>
      <c r="B902" t="str">
        <f>"*"&amp;A902&amp;"*"</f>
        <v>*2568: Center Image Lost*</v>
      </c>
      <c r="C902">
        <f>COUNTIF(Monday!I:I, B902)</f>
        <v>0</v>
      </c>
      <c r="D902">
        <f>COUNTIF(Tuesday!I:I, B902)</f>
        <v>0</v>
      </c>
      <c r="E902">
        <f>COUNTIF(Wednesday!I:I, B902)</f>
        <v>0</v>
      </c>
      <c r="F902">
        <f>COUNTIF(Thursday!I:I, B902)</f>
        <v>0</v>
      </c>
      <c r="G902">
        <f>COUNTIF(Friday!I:I, B902)</f>
        <v>0</v>
      </c>
      <c r="H902">
        <f>SUM(C902:G902)</f>
        <v>0</v>
      </c>
    </row>
    <row r="903" spans="1:8" x14ac:dyDescent="0.25">
      <c r="A903" s="5" t="s">
        <v>896</v>
      </c>
      <c r="B903" t="str">
        <f>"*"&amp;A903&amp;"*"</f>
        <v>*2569: Image Quality Issue*</v>
      </c>
      <c r="C903">
        <f>COUNTIF(Monday!I:I, B903)</f>
        <v>0</v>
      </c>
      <c r="D903">
        <f>COUNTIF(Tuesday!I:I, B903)</f>
        <v>0</v>
      </c>
      <c r="E903">
        <f>COUNTIF(Wednesday!I:I, B903)</f>
        <v>0</v>
      </c>
      <c r="F903">
        <f>COUNTIF(Thursday!I:I, B903)</f>
        <v>0</v>
      </c>
      <c r="G903">
        <f>COUNTIF(Friday!I:I, B903)</f>
        <v>0</v>
      </c>
      <c r="H903">
        <f>SUM(C903:G903)</f>
        <v>0</v>
      </c>
    </row>
    <row r="904" spans="1:8" x14ac:dyDescent="0.25">
      <c r="A904" s="5" t="s">
        <v>897</v>
      </c>
      <c r="B904" t="str">
        <f>"*"&amp;A904&amp;"*"</f>
        <v>*2570: Intermittent Image/Flickering Image*</v>
      </c>
      <c r="C904">
        <f>COUNTIF(Monday!I:I, B904)</f>
        <v>0</v>
      </c>
      <c r="D904">
        <f>COUNTIF(Tuesday!I:I, B904)</f>
        <v>0</v>
      </c>
      <c r="E904">
        <f>COUNTIF(Wednesday!I:I, B904)</f>
        <v>0</v>
      </c>
      <c r="F904">
        <f>COUNTIF(Thursday!I:I, B904)</f>
        <v>0</v>
      </c>
      <c r="G904">
        <f>COUNTIF(Friday!I:I, B904)</f>
        <v>0</v>
      </c>
      <c r="H904">
        <f>SUM(C904:G904)</f>
        <v>0</v>
      </c>
    </row>
    <row r="905" spans="1:8" x14ac:dyDescent="0.25">
      <c r="A905" s="5" t="s">
        <v>898</v>
      </c>
      <c r="B905" t="str">
        <f>"*"&amp;A905&amp;"*"</f>
        <v>*2571: Left/Right Image Lost*</v>
      </c>
      <c r="C905">
        <f>COUNTIF(Monday!I:I, B905)</f>
        <v>0</v>
      </c>
      <c r="D905">
        <f>COUNTIF(Tuesday!I:I, B905)</f>
        <v>0</v>
      </c>
      <c r="E905">
        <f>COUNTIF(Wednesday!I:I, B905)</f>
        <v>0</v>
      </c>
      <c r="F905">
        <f>COUNTIF(Thursday!I:I, B905)</f>
        <v>0</v>
      </c>
      <c r="G905">
        <f>COUNTIF(Friday!I:I, B905)</f>
        <v>0</v>
      </c>
      <c r="H905">
        <f>SUM(C905:G905)</f>
        <v>0</v>
      </c>
    </row>
    <row r="906" spans="1:8" x14ac:dyDescent="0.25">
      <c r="A906" s="5" t="s">
        <v>899</v>
      </c>
      <c r="B906" t="str">
        <f>"*"&amp;A906&amp;"*"</f>
        <v>*2572: Lines In Image*</v>
      </c>
      <c r="C906">
        <f>COUNTIF(Monday!I:I, B906)</f>
        <v>0</v>
      </c>
      <c r="D906">
        <f>COUNTIF(Tuesday!I:I, B906)</f>
        <v>0</v>
      </c>
      <c r="E906">
        <f>COUNTIF(Wednesday!I:I, B906)</f>
        <v>0</v>
      </c>
      <c r="F906">
        <f>COUNTIF(Thursday!I:I, B906)</f>
        <v>0</v>
      </c>
      <c r="G906">
        <f>COUNTIF(Friday!I:I, B906)</f>
        <v>0</v>
      </c>
      <c r="H906">
        <f>SUM(C906:G906)</f>
        <v>0</v>
      </c>
    </row>
    <row r="907" spans="1:8" x14ac:dyDescent="0.25">
      <c r="A907" s="5" t="s">
        <v>900</v>
      </c>
      <c r="B907" t="str">
        <f>"*"&amp;A907&amp;"*"</f>
        <v>*2573: Red Image*</v>
      </c>
      <c r="C907">
        <f>COUNTIF(Monday!I:I, B907)</f>
        <v>0</v>
      </c>
      <c r="D907">
        <f>COUNTIF(Tuesday!I:I, B907)</f>
        <v>0</v>
      </c>
      <c r="E907">
        <f>COUNTIF(Wednesday!I:I, B907)</f>
        <v>0</v>
      </c>
      <c r="F907">
        <f>COUNTIF(Thursday!I:I, B907)</f>
        <v>0</v>
      </c>
      <c r="G907">
        <f>COUNTIF(Friday!I:I, B907)</f>
        <v>0</v>
      </c>
      <c r="H907">
        <f>SUM(C907:G907)</f>
        <v>0</v>
      </c>
    </row>
    <row r="908" spans="1:8" x14ac:dyDescent="0.25">
      <c r="A908" s="5" t="s">
        <v>901</v>
      </c>
      <c r="B908" t="str">
        <f>"*"&amp;A908&amp;"*"</f>
        <v>*2578: Insufficient Air Or Water Flow*</v>
      </c>
      <c r="C908">
        <f>COUNTIF(Monday!I:I, B908)</f>
        <v>0</v>
      </c>
      <c r="D908">
        <f>COUNTIF(Tuesday!I:I, B908)</f>
        <v>0</v>
      </c>
      <c r="E908">
        <f>COUNTIF(Wednesday!I:I, B908)</f>
        <v>0</v>
      </c>
      <c r="F908">
        <f>COUNTIF(Thursday!I:I, B908)</f>
        <v>0</v>
      </c>
      <c r="G908">
        <f>COUNTIF(Friday!I:I, B908)</f>
        <v>0</v>
      </c>
      <c r="H908">
        <f>SUM(C908:G908)</f>
        <v>0</v>
      </c>
    </row>
    <row r="909" spans="1:8" x14ac:dyDescent="0.25">
      <c r="A909" s="5" t="s">
        <v>902</v>
      </c>
      <c r="B909" t="str">
        <f>"*"&amp;A909&amp;"*"</f>
        <v>*2579: Insufficient Suction*</v>
      </c>
      <c r="C909">
        <f>COUNTIF(Monday!I:I, B909)</f>
        <v>0</v>
      </c>
      <c r="D909">
        <f>COUNTIF(Tuesday!I:I, B909)</f>
        <v>0</v>
      </c>
      <c r="E909">
        <f>COUNTIF(Wednesday!I:I, B909)</f>
        <v>0</v>
      </c>
      <c r="F909">
        <f>COUNTIF(Thursday!I:I, B909)</f>
        <v>0</v>
      </c>
      <c r="G909">
        <f>COUNTIF(Friday!I:I, B909)</f>
        <v>0</v>
      </c>
      <c r="H909">
        <f>SUM(C909:G909)</f>
        <v>0</v>
      </c>
    </row>
    <row r="910" spans="1:8" x14ac:dyDescent="0.25">
      <c r="A910" s="5" t="s">
        <v>903</v>
      </c>
      <c r="B910" t="str">
        <f>"*"&amp;A910&amp;"*"</f>
        <v>*2580: LED Inoperable Or Dim*</v>
      </c>
      <c r="C910">
        <f>COUNTIF(Monday!I:I, B910)</f>
        <v>0</v>
      </c>
      <c r="D910">
        <f>COUNTIF(Tuesday!I:I, B910)</f>
        <v>0</v>
      </c>
      <c r="E910">
        <f>COUNTIF(Wednesday!I:I, B910)</f>
        <v>0</v>
      </c>
      <c r="F910">
        <f>COUNTIF(Thursday!I:I, B910)</f>
        <v>0</v>
      </c>
      <c r="G910">
        <f>COUNTIF(Friday!I:I, B910)</f>
        <v>0</v>
      </c>
      <c r="H910">
        <f>SUM(C910:G910)</f>
        <v>0</v>
      </c>
    </row>
    <row r="911" spans="1:8" x14ac:dyDescent="0.25">
      <c r="A911" s="5" t="s">
        <v>904</v>
      </c>
      <c r="B911" t="str">
        <f>"*"&amp;A911&amp;"*"</f>
        <v>*1019: Articulation Failure/Loss Of Control/Loose*</v>
      </c>
      <c r="C911">
        <f>COUNTIF(Monday!I:I, B911)</f>
        <v>0</v>
      </c>
      <c r="D911">
        <f>COUNTIF(Tuesday!I:I, B911)</f>
        <v>0</v>
      </c>
      <c r="E911">
        <f>COUNTIF(Wednesday!I:I, B911)</f>
        <v>0</v>
      </c>
      <c r="F911">
        <f>COUNTIF(Thursday!I:I, B911)</f>
        <v>0</v>
      </c>
      <c r="G911">
        <f>COUNTIF(Friday!I:I, B911)</f>
        <v>0</v>
      </c>
      <c r="H911">
        <f>SUM(C911:G911)</f>
        <v>0</v>
      </c>
    </row>
    <row r="912" spans="1:8" x14ac:dyDescent="0.25">
      <c r="A912" s="5" t="s">
        <v>905</v>
      </c>
      <c r="B912" t="str">
        <f>"*"&amp;A912&amp;"*"</f>
        <v>*1285: Difficult To Articulate*</v>
      </c>
      <c r="C912">
        <f>COUNTIF(Monday!I:I, B912)</f>
        <v>0</v>
      </c>
      <c r="D912">
        <f>COUNTIF(Tuesday!I:I, B912)</f>
        <v>0</v>
      </c>
      <c r="E912">
        <f>COUNTIF(Wednesday!I:I, B912)</f>
        <v>0</v>
      </c>
      <c r="F912">
        <f>COUNTIF(Thursday!I:I, B912)</f>
        <v>0</v>
      </c>
      <c r="G912">
        <f>COUNTIF(Friday!I:I, B912)</f>
        <v>0</v>
      </c>
      <c r="H912">
        <f>SUM(C912:G912)</f>
        <v>0</v>
      </c>
    </row>
    <row r="913" spans="1:8" x14ac:dyDescent="0.25">
      <c r="A913" s="5" t="s">
        <v>906</v>
      </c>
      <c r="B913" t="str">
        <f>"*"&amp;A913&amp;"*"</f>
        <v>*2486: Handle, Button Or Valve Leak*</v>
      </c>
      <c r="C913">
        <f>COUNTIF(Monday!I:I, B913)</f>
        <v>0</v>
      </c>
      <c r="D913">
        <f>COUNTIF(Tuesday!I:I, B913)</f>
        <v>0</v>
      </c>
      <c r="E913">
        <f>COUNTIF(Wednesday!I:I, B913)</f>
        <v>0</v>
      </c>
      <c r="F913">
        <f>COUNTIF(Thursday!I:I, B913)</f>
        <v>0</v>
      </c>
      <c r="G913">
        <f>COUNTIF(Friday!I:I, B913)</f>
        <v>0</v>
      </c>
      <c r="H913">
        <f>SUM(C913:G913)</f>
        <v>0</v>
      </c>
    </row>
    <row r="914" spans="1:8" x14ac:dyDescent="0.25">
      <c r="A914" s="5" t="s">
        <v>907</v>
      </c>
      <c r="B914" t="str">
        <f>"*"&amp;A914&amp;"*"</f>
        <v>*2487: Leak At Scope Tip*</v>
      </c>
      <c r="C914">
        <f>COUNTIF(Monday!I:I, B914)</f>
        <v>0</v>
      </c>
      <c r="D914">
        <f>COUNTIF(Tuesday!I:I, B914)</f>
        <v>0</v>
      </c>
      <c r="E914">
        <f>COUNTIF(Wednesday!I:I, B914)</f>
        <v>0</v>
      </c>
      <c r="F914">
        <f>COUNTIF(Thursday!I:I, B914)</f>
        <v>0</v>
      </c>
      <c r="G914">
        <f>COUNTIF(Friday!I:I, B914)</f>
        <v>0</v>
      </c>
      <c r="H914">
        <f>SUM(C914:G914)</f>
        <v>0</v>
      </c>
    </row>
    <row r="915" spans="1:8" x14ac:dyDescent="0.25">
      <c r="A915" s="5" t="s">
        <v>908</v>
      </c>
      <c r="B915" t="str">
        <f>"*"&amp;A915&amp;"*"</f>
        <v>*2502: Button Stuck Engaged*</v>
      </c>
      <c r="C915">
        <f>COUNTIF(Monday!I:I, B915)</f>
        <v>0</v>
      </c>
      <c r="D915">
        <f>COUNTIF(Tuesday!I:I, B915)</f>
        <v>0</v>
      </c>
      <c r="E915">
        <f>COUNTIF(Wednesday!I:I, B915)</f>
        <v>0</v>
      </c>
      <c r="F915">
        <f>COUNTIF(Thursday!I:I, B915)</f>
        <v>0</v>
      </c>
      <c r="G915">
        <f>COUNTIF(Friday!I:I, B915)</f>
        <v>0</v>
      </c>
      <c r="H915">
        <f>SUM(C915:G915)</f>
        <v>0</v>
      </c>
    </row>
    <row r="916" spans="1:8" x14ac:dyDescent="0.25">
      <c r="A916" s="5" t="s">
        <v>909</v>
      </c>
      <c r="B916" t="str">
        <f>"*"&amp;A916&amp;"*"</f>
        <v>*2515: Steering Brake/Locking Feature Not Functional*</v>
      </c>
      <c r="C916">
        <f>COUNTIF(Monday!I:I, B916)</f>
        <v>0</v>
      </c>
      <c r="D916">
        <f>COUNTIF(Tuesday!I:I, B916)</f>
        <v>0</v>
      </c>
      <c r="E916">
        <f>COUNTIF(Wednesday!I:I, B916)</f>
        <v>0</v>
      </c>
      <c r="F916">
        <f>COUNTIF(Thursday!I:I, B916)</f>
        <v>0</v>
      </c>
      <c r="G916">
        <f>COUNTIF(Friday!I:I, B916)</f>
        <v>0</v>
      </c>
      <c r="H916">
        <f>SUM(C916:G916)</f>
        <v>0</v>
      </c>
    </row>
    <row r="917" spans="1:8" x14ac:dyDescent="0.25">
      <c r="A917" s="5" t="s">
        <v>910</v>
      </c>
      <c r="B917" t="str">
        <f>"*"&amp;A917&amp;"*"</f>
        <v>*2516: Steering/Locking Knobs Loose*</v>
      </c>
      <c r="C917">
        <f>COUNTIF(Monday!I:I, B917)</f>
        <v>0</v>
      </c>
      <c r="D917">
        <f>COUNTIF(Tuesday!I:I, B917)</f>
        <v>0</v>
      </c>
      <c r="E917">
        <f>COUNTIF(Wednesday!I:I, B917)</f>
        <v>0</v>
      </c>
      <c r="F917">
        <f>COUNTIF(Thursday!I:I, B917)</f>
        <v>0</v>
      </c>
      <c r="G917">
        <f>COUNTIF(Friday!I:I, B917)</f>
        <v>0</v>
      </c>
      <c r="H917">
        <f>SUM(C917:G917)</f>
        <v>0</v>
      </c>
    </row>
    <row r="918" spans="1:8" x14ac:dyDescent="0.25">
      <c r="A918" s="5" t="s">
        <v>911</v>
      </c>
      <c r="B918" t="str">
        <f>"*"&amp;A918&amp;"*"</f>
        <v>*2533: Cracked/Scratched Lens*</v>
      </c>
      <c r="C918">
        <f>COUNTIF(Monday!I:I, B918)</f>
        <v>0</v>
      </c>
      <c r="D918">
        <f>COUNTIF(Tuesday!I:I, B918)</f>
        <v>0</v>
      </c>
      <c r="E918">
        <f>COUNTIF(Wednesday!I:I, B918)</f>
        <v>0</v>
      </c>
      <c r="F918">
        <f>COUNTIF(Thursday!I:I, B918)</f>
        <v>0</v>
      </c>
      <c r="G918">
        <f>COUNTIF(Friday!I:I, B918)</f>
        <v>0</v>
      </c>
      <c r="H918">
        <f>SUM(C918:G918)</f>
        <v>0</v>
      </c>
    </row>
    <row r="919" spans="1:8" x14ac:dyDescent="0.25">
      <c r="A919" s="5" t="s">
        <v>912</v>
      </c>
      <c r="B919" t="str">
        <f>"*"&amp;A919&amp;"*"</f>
        <v>*2563: Button Failed/Damaged*</v>
      </c>
      <c r="C919">
        <f>COUNTIF(Monday!I:I, B919)</f>
        <v>0</v>
      </c>
      <c r="D919">
        <f>COUNTIF(Tuesday!I:I, B919)</f>
        <v>0</v>
      </c>
      <c r="E919">
        <f>COUNTIF(Wednesday!I:I, B919)</f>
        <v>0</v>
      </c>
      <c r="F919">
        <f>COUNTIF(Thursday!I:I, B919)</f>
        <v>0</v>
      </c>
      <c r="G919">
        <f>COUNTIF(Friday!I:I, B919)</f>
        <v>0</v>
      </c>
      <c r="H919">
        <f>SUM(C919:G919)</f>
        <v>0</v>
      </c>
    </row>
    <row r="920" spans="1:8" x14ac:dyDescent="0.25">
      <c r="A920" s="5" t="s">
        <v>913</v>
      </c>
      <c r="B920" t="str">
        <f>"*"&amp;A920&amp;"*"</f>
        <v>*2576: Dark Image*</v>
      </c>
      <c r="C920">
        <f>COUNTIF(Monday!I:I, B920)</f>
        <v>0</v>
      </c>
      <c r="D920">
        <f>COUNTIF(Tuesday!I:I, B920)</f>
        <v>0</v>
      </c>
      <c r="E920">
        <f>COUNTIF(Wednesday!I:I, B920)</f>
        <v>0</v>
      </c>
      <c r="F920">
        <f>COUNTIF(Thursday!I:I, B920)</f>
        <v>0</v>
      </c>
      <c r="G920">
        <f>COUNTIF(Friday!I:I, B920)</f>
        <v>0</v>
      </c>
      <c r="H920">
        <f>SUM(C920:G920)</f>
        <v>0</v>
      </c>
    </row>
    <row r="921" spans="1:8" x14ac:dyDescent="0.25">
      <c r="A921" s="5" t="s">
        <v>914</v>
      </c>
      <c r="B921" t="str">
        <f>"*"&amp;A921&amp;"*"</f>
        <v>*2582: Steering/Angulation Reversed*</v>
      </c>
      <c r="C921">
        <f>COUNTIF(Monday!I:I, B921)</f>
        <v>0</v>
      </c>
      <c r="D921">
        <f>COUNTIF(Tuesday!I:I, B921)</f>
        <v>0</v>
      </c>
      <c r="E921">
        <f>COUNTIF(Wednesday!I:I, B921)</f>
        <v>0</v>
      </c>
      <c r="F921">
        <f>COUNTIF(Thursday!I:I, B921)</f>
        <v>0</v>
      </c>
      <c r="G921">
        <f>COUNTIF(Friday!I:I, B921)</f>
        <v>0</v>
      </c>
      <c r="H921">
        <f>SUM(C921:G921)</f>
        <v>0</v>
      </c>
    </row>
    <row r="922" spans="1:8" x14ac:dyDescent="0.25">
      <c r="A922" s="5" t="s">
        <v>915</v>
      </c>
      <c r="B922" t="str">
        <f>"*"&amp;A922&amp;"*"</f>
        <v>*2583: Failure To Suction*</v>
      </c>
      <c r="C922">
        <f>COUNTIF(Monday!I:I, B922)</f>
        <v>0</v>
      </c>
      <c r="D922">
        <f>COUNTIF(Tuesday!I:I, B922)</f>
        <v>0</v>
      </c>
      <c r="E922">
        <f>COUNTIF(Wednesday!I:I, B922)</f>
        <v>0</v>
      </c>
      <c r="F922">
        <f>COUNTIF(Thursday!I:I, B922)</f>
        <v>0</v>
      </c>
      <c r="G922">
        <f>COUNTIF(Friday!I:I, B922)</f>
        <v>0</v>
      </c>
      <c r="H922">
        <f>SUM(C922:G922)</f>
        <v>0</v>
      </c>
    </row>
    <row r="923" spans="1:8" x14ac:dyDescent="0.25">
      <c r="A923" s="5" t="s">
        <v>916</v>
      </c>
      <c r="B923" t="str">
        <f>"*"&amp;A923&amp;"*"</f>
        <v>*2584: Unable To Clean/Reprocess/Disinfect*</v>
      </c>
      <c r="C923">
        <f>COUNTIF(Monday!I:I, B923)</f>
        <v>0</v>
      </c>
      <c r="D923">
        <f>COUNTIF(Tuesday!I:I, B923)</f>
        <v>0</v>
      </c>
      <c r="E923">
        <f>COUNTIF(Wednesday!I:I, B923)</f>
        <v>0</v>
      </c>
      <c r="F923">
        <f>COUNTIF(Thursday!I:I, B923)</f>
        <v>0</v>
      </c>
      <c r="G923">
        <f>COUNTIF(Friday!I:I, B923)</f>
        <v>0</v>
      </c>
      <c r="H923">
        <f>SUM(C923:G923)</f>
        <v>0</v>
      </c>
    </row>
    <row r="924" spans="1:8" x14ac:dyDescent="0.25">
      <c r="A924" s="5" t="s">
        <v>917</v>
      </c>
      <c r="B924" t="str">
        <f>"*"&amp;A924&amp;"*"</f>
        <v>*2591: Condensation Behind Lens*</v>
      </c>
      <c r="C924">
        <f>COUNTIF(Monday!I:I, B924)</f>
        <v>0</v>
      </c>
      <c r="D924">
        <f>COUNTIF(Tuesday!I:I, B924)</f>
        <v>0</v>
      </c>
      <c r="E924">
        <f>COUNTIF(Wednesday!I:I, B924)</f>
        <v>0</v>
      </c>
      <c r="F924">
        <f>COUNTIF(Thursday!I:I, B924)</f>
        <v>0</v>
      </c>
      <c r="G924">
        <f>COUNTIF(Friday!I:I, B924)</f>
        <v>0</v>
      </c>
      <c r="H924">
        <f>SUM(C924:G924)</f>
        <v>0</v>
      </c>
    </row>
    <row r="925" spans="1:8" x14ac:dyDescent="0.25">
      <c r="A925" s="5" t="s">
        <v>918</v>
      </c>
      <c r="B925" t="str">
        <f>"*"&amp;A925&amp;"*"</f>
        <v>*2603: Sheath Worn or Discolored*</v>
      </c>
      <c r="C925">
        <f>COUNTIF(Monday!I:I, B925)</f>
        <v>0</v>
      </c>
      <c r="D925">
        <f>COUNTIF(Tuesday!I:I, B925)</f>
        <v>0</v>
      </c>
      <c r="E925">
        <f>COUNTIF(Wednesday!I:I, B925)</f>
        <v>0</v>
      </c>
      <c r="F925">
        <f>COUNTIF(Thursday!I:I, B925)</f>
        <v>0</v>
      </c>
      <c r="G925">
        <f>COUNTIF(Friday!I:I, B925)</f>
        <v>0</v>
      </c>
      <c r="H925">
        <f>SUM(C925:G925)</f>
        <v>0</v>
      </c>
    </row>
    <row r="926" spans="1:8" x14ac:dyDescent="0.25">
      <c r="A926" s="5" t="s">
        <v>919</v>
      </c>
      <c r="B926" t="str">
        <f>"*"&amp;A926&amp;"*"</f>
        <v>*2532: Cracked Screen*</v>
      </c>
      <c r="C926">
        <f>COUNTIF(Monday!I:I, B926)</f>
        <v>0</v>
      </c>
      <c r="D926">
        <f>COUNTIF(Tuesday!I:I, B926)</f>
        <v>0</v>
      </c>
      <c r="E926">
        <f>COUNTIF(Wednesday!I:I, B926)</f>
        <v>0</v>
      </c>
      <c r="F926">
        <f>COUNTIF(Thursday!I:I, B926)</f>
        <v>0</v>
      </c>
      <c r="G926">
        <f>COUNTIF(Friday!I:I, B926)</f>
        <v>0</v>
      </c>
      <c r="H926">
        <f>SUM(C926:G926)</f>
        <v>0</v>
      </c>
    </row>
    <row r="927" spans="1:8" x14ac:dyDescent="0.25">
      <c r="A927" s="5" t="s">
        <v>920</v>
      </c>
      <c r="B927" t="str">
        <f>"*"&amp;A927&amp;"*"</f>
        <v>*2574: Image Transfer Issue*</v>
      </c>
      <c r="C927">
        <f>COUNTIF(Monday!I:I, B927)</f>
        <v>0</v>
      </c>
      <c r="D927">
        <f>COUNTIF(Tuesday!I:I, B927)</f>
        <v>0</v>
      </c>
      <c r="E927">
        <f>COUNTIF(Wednesday!I:I, B927)</f>
        <v>0</v>
      </c>
      <c r="F927">
        <f>COUNTIF(Thursday!I:I, B927)</f>
        <v>0</v>
      </c>
      <c r="G927">
        <f>COUNTIF(Friday!I:I, B927)</f>
        <v>0</v>
      </c>
      <c r="H927">
        <f>SUM(C927:G927)</f>
        <v>0</v>
      </c>
    </row>
    <row r="928" spans="1:8" x14ac:dyDescent="0.25">
      <c r="A928" s="5" t="s">
        <v>921</v>
      </c>
      <c r="B928" t="str">
        <f>"*"&amp;A928&amp;"*"</f>
        <v>*2581: Screen Freezes*</v>
      </c>
      <c r="C928">
        <f>COUNTIF(Monday!I:I, B928)</f>
        <v>0</v>
      </c>
      <c r="D928">
        <f>COUNTIF(Tuesday!I:I, B928)</f>
        <v>0</v>
      </c>
      <c r="E928">
        <f>COUNTIF(Wednesday!I:I, B928)</f>
        <v>0</v>
      </c>
      <c r="F928">
        <f>COUNTIF(Thursday!I:I, B928)</f>
        <v>0</v>
      </c>
      <c r="G928">
        <f>COUNTIF(Friday!I:I, B928)</f>
        <v>0</v>
      </c>
      <c r="H928">
        <f>SUM(C928:G928)</f>
        <v>0</v>
      </c>
    </row>
    <row r="929" spans="1:8" x14ac:dyDescent="0.25">
      <c r="A929" s="5" t="s">
        <v>922</v>
      </c>
      <c r="B929" t="str">
        <f>"*"&amp;A929&amp;"*"</f>
        <v>*2724: Difficult To Secure*</v>
      </c>
      <c r="C929">
        <f>COUNTIF(Monday!I:I, B929)</f>
        <v>0</v>
      </c>
      <c r="D929">
        <f>COUNTIF(Tuesday!I:I, B929)</f>
        <v>0</v>
      </c>
      <c r="E929">
        <f>COUNTIF(Wednesday!I:I, B929)</f>
        <v>0</v>
      </c>
      <c r="F929">
        <f>COUNTIF(Thursday!I:I, B929)</f>
        <v>0</v>
      </c>
      <c r="G929">
        <f>COUNTIF(Friday!I:I, B929)</f>
        <v>0</v>
      </c>
      <c r="H929">
        <f>SUM(C929:G929)</f>
        <v>0</v>
      </c>
    </row>
    <row r="930" spans="1:8" x14ac:dyDescent="0.25">
      <c r="A930" s="5" t="s">
        <v>923</v>
      </c>
      <c r="B930" t="str">
        <f>"*"&amp;A930&amp;"*"</f>
        <v>*3005: Compatibility Issue With Electrosurgical/Cautery Devices*</v>
      </c>
      <c r="C930">
        <f>COUNTIF(Monday!I:I, B930)</f>
        <v>0</v>
      </c>
      <c r="D930">
        <f>COUNTIF(Tuesday!I:I, B930)</f>
        <v>0</v>
      </c>
      <c r="E930">
        <f>COUNTIF(Wednesday!I:I, B930)</f>
        <v>0</v>
      </c>
      <c r="F930">
        <f>COUNTIF(Thursday!I:I, B930)</f>
        <v>0</v>
      </c>
      <c r="G930">
        <f>COUNTIF(Friday!I:I, B930)</f>
        <v>0</v>
      </c>
      <c r="H930">
        <f>SUM(C930:G930)</f>
        <v>0</v>
      </c>
    </row>
    <row r="931" spans="1:8" x14ac:dyDescent="0.25">
      <c r="A931" s="5" t="s">
        <v>924</v>
      </c>
      <c r="B931" t="str">
        <f>"*"&amp;A931&amp;"*"</f>
        <v>*1588: Failure To Shape*</v>
      </c>
      <c r="C931">
        <f>COUNTIF(Monday!I:I, B931)</f>
        <v>0</v>
      </c>
      <c r="D931">
        <f>COUNTIF(Tuesday!I:I, B931)</f>
        <v>0</v>
      </c>
      <c r="E931">
        <f>COUNTIF(Wednesday!I:I, B931)</f>
        <v>0</v>
      </c>
      <c r="F931">
        <f>COUNTIF(Thursday!I:I, B931)</f>
        <v>0</v>
      </c>
      <c r="G931">
        <f>COUNTIF(Friday!I:I, B931)</f>
        <v>0</v>
      </c>
      <c r="H931">
        <f>SUM(C931:G931)</f>
        <v>0</v>
      </c>
    </row>
    <row r="932" spans="1:8" x14ac:dyDescent="0.25">
      <c r="A932" s="5" t="s">
        <v>925</v>
      </c>
      <c r="B932" t="str">
        <f>"*"&amp;A932&amp;"*"</f>
        <v>*1148: Corrosion*</v>
      </c>
      <c r="C932">
        <f>COUNTIF(Monday!I:I, B932)</f>
        <v>0</v>
      </c>
      <c r="D932">
        <f>COUNTIF(Tuesday!I:I, B932)</f>
        <v>0</v>
      </c>
      <c r="E932">
        <f>COUNTIF(Wednesday!I:I, B932)</f>
        <v>0</v>
      </c>
      <c r="F932">
        <f>COUNTIF(Thursday!I:I, B932)</f>
        <v>0</v>
      </c>
      <c r="G932">
        <f>COUNTIF(Friday!I:I, B932)</f>
        <v>0</v>
      </c>
      <c r="H932">
        <f>SUM(C932:G932)</f>
        <v>0</v>
      </c>
    </row>
    <row r="933" spans="1:8" x14ac:dyDescent="0.25">
      <c r="A933" s="5" t="s">
        <v>926</v>
      </c>
      <c r="B933" t="str">
        <f>"*"&amp;A933&amp;"*"</f>
        <v>*1345: Difficult To Release From Catheter*</v>
      </c>
      <c r="C933">
        <f>COUNTIF(Monday!I:I, B933)</f>
        <v>0</v>
      </c>
      <c r="D933">
        <f>COUNTIF(Tuesday!I:I, B933)</f>
        <v>0</v>
      </c>
      <c r="E933">
        <f>COUNTIF(Wednesday!I:I, B933)</f>
        <v>0</v>
      </c>
      <c r="F933">
        <f>COUNTIF(Thursday!I:I, B933)</f>
        <v>0</v>
      </c>
      <c r="G933">
        <f>COUNTIF(Friday!I:I, B933)</f>
        <v>0</v>
      </c>
      <c r="H933">
        <f>SUM(C933:G933)</f>
        <v>0</v>
      </c>
    </row>
    <row r="934" spans="1:8" x14ac:dyDescent="0.25">
      <c r="A934" s="5" t="s">
        <v>927</v>
      </c>
      <c r="B934" t="str">
        <f>"*"&amp;A934&amp;"*"</f>
        <v>*1379: Difficult To Visualize Under Radiological Imaging*</v>
      </c>
      <c r="C934">
        <f>COUNTIF(Monday!I:I, B934)</f>
        <v>0</v>
      </c>
      <c r="D934">
        <f>COUNTIF(Tuesday!I:I, B934)</f>
        <v>0</v>
      </c>
      <c r="E934">
        <f>COUNTIF(Wednesday!I:I, B934)</f>
        <v>0</v>
      </c>
      <c r="F934">
        <f>COUNTIF(Thursday!I:I, B934)</f>
        <v>0</v>
      </c>
      <c r="G934">
        <f>COUNTIF(Friday!I:I, B934)</f>
        <v>0</v>
      </c>
      <c r="H934">
        <f>SUM(C934:G934)</f>
        <v>0</v>
      </c>
    </row>
    <row r="935" spans="1:8" x14ac:dyDescent="0.25">
      <c r="A935" s="5" t="s">
        <v>928</v>
      </c>
      <c r="B935" t="str">
        <f>"*"&amp;A935&amp;"*"</f>
        <v>*1517: Failure To Engage Target Tissue*</v>
      </c>
      <c r="C935">
        <f>COUNTIF(Monday!I:I, B935)</f>
        <v>0</v>
      </c>
      <c r="D935">
        <f>COUNTIF(Tuesday!I:I, B935)</f>
        <v>0</v>
      </c>
      <c r="E935">
        <f>COUNTIF(Wednesday!I:I, B935)</f>
        <v>0</v>
      </c>
      <c r="F935">
        <f>COUNTIF(Thursday!I:I, B935)</f>
        <v>0</v>
      </c>
      <c r="G935">
        <f>COUNTIF(Friday!I:I, B935)</f>
        <v>0</v>
      </c>
      <c r="H935">
        <f>SUM(C935:G935)</f>
        <v>0</v>
      </c>
    </row>
    <row r="936" spans="1:8" x14ac:dyDescent="0.25">
      <c r="A936" s="5" t="s">
        <v>929</v>
      </c>
      <c r="B936" t="str">
        <f>"*"&amp;A936&amp;"*"</f>
        <v>*1526: Failure To Fully Open*</v>
      </c>
      <c r="C936">
        <f>COUNTIF(Monday!I:I, B936)</f>
        <v>0</v>
      </c>
      <c r="D936">
        <f>COUNTIF(Tuesday!I:I, B936)</f>
        <v>0</v>
      </c>
      <c r="E936">
        <f>COUNTIF(Wednesday!I:I, B936)</f>
        <v>0</v>
      </c>
      <c r="F936">
        <f>COUNTIF(Thursday!I:I, B936)</f>
        <v>0</v>
      </c>
      <c r="G936">
        <f>COUNTIF(Friday!I:I, B936)</f>
        <v>0</v>
      </c>
      <c r="H936">
        <f>SUM(C936:G936)</f>
        <v>0</v>
      </c>
    </row>
    <row r="937" spans="1:8" x14ac:dyDescent="0.25">
      <c r="A937" s="5" t="s">
        <v>930</v>
      </c>
      <c r="B937" t="str">
        <f>"*"&amp;A937&amp;"*"</f>
        <v>*1573: Failure To Release From Catheter*</v>
      </c>
      <c r="C937">
        <f>COUNTIF(Monday!I:I, B937)</f>
        <v>0</v>
      </c>
      <c r="D937">
        <f>COUNTIF(Tuesday!I:I, B937)</f>
        <v>0</v>
      </c>
      <c r="E937">
        <f>COUNTIF(Wednesday!I:I, B937)</f>
        <v>0</v>
      </c>
      <c r="F937">
        <f>COUNTIF(Thursday!I:I, B937)</f>
        <v>0</v>
      </c>
      <c r="G937">
        <f>COUNTIF(Friday!I:I, B937)</f>
        <v>0</v>
      </c>
      <c r="H937">
        <f>SUM(C937:G937)</f>
        <v>0</v>
      </c>
    </row>
    <row r="938" spans="1:8" x14ac:dyDescent="0.25">
      <c r="A938" s="5" t="s">
        <v>931</v>
      </c>
      <c r="B938" t="str">
        <f>"*"&amp;A938&amp;"*"</f>
        <v>*1603: Falls Into The Patient In An Open State*</v>
      </c>
      <c r="C938">
        <f>COUNTIF(Monday!I:I, B938)</f>
        <v>0</v>
      </c>
      <c r="D938">
        <f>COUNTIF(Tuesday!I:I, B938)</f>
        <v>0</v>
      </c>
      <c r="E938">
        <f>COUNTIF(Wednesday!I:I, B938)</f>
        <v>0</v>
      </c>
      <c r="F938">
        <f>COUNTIF(Thursday!I:I, B938)</f>
        <v>0</v>
      </c>
      <c r="G938">
        <f>COUNTIF(Friday!I:I, B938)</f>
        <v>0</v>
      </c>
      <c r="H938">
        <f>SUM(C938:G938)</f>
        <v>0</v>
      </c>
    </row>
    <row r="939" spans="1:8" x14ac:dyDescent="0.25">
      <c r="A939" s="5" t="s">
        <v>932</v>
      </c>
      <c r="B939" t="str">
        <f>"*"&amp;A939&amp;"*"</f>
        <v>*2217: Poor Rotation (Whip/Lag)*</v>
      </c>
      <c r="C939">
        <f>COUNTIF(Monday!I:I, B939)</f>
        <v>0</v>
      </c>
      <c r="D939">
        <f>COUNTIF(Tuesday!I:I, B939)</f>
        <v>0</v>
      </c>
      <c r="E939">
        <f>COUNTIF(Wednesday!I:I, B939)</f>
        <v>0</v>
      </c>
      <c r="F939">
        <f>COUNTIF(Thursday!I:I, B939)</f>
        <v>0</v>
      </c>
      <c r="G939">
        <f>COUNTIF(Friday!I:I, B939)</f>
        <v>0</v>
      </c>
      <c r="H939">
        <f>SUM(C939:G939)</f>
        <v>0</v>
      </c>
    </row>
    <row r="940" spans="1:8" x14ac:dyDescent="0.25">
      <c r="A940" s="5" t="s">
        <v>933</v>
      </c>
      <c r="B940" t="str">
        <f>"*"&amp;A940&amp;"*"</f>
        <v>*2424: Traumatic*</v>
      </c>
      <c r="C940">
        <f>COUNTIF(Monday!I:I, B940)</f>
        <v>0</v>
      </c>
      <c r="D940">
        <f>COUNTIF(Tuesday!I:I, B940)</f>
        <v>0</v>
      </c>
      <c r="E940">
        <f>COUNTIF(Wednesday!I:I, B940)</f>
        <v>0</v>
      </c>
      <c r="F940">
        <f>COUNTIF(Thursday!I:I, B940)</f>
        <v>0</v>
      </c>
      <c r="G940">
        <f>COUNTIF(Friday!I:I, B940)</f>
        <v>0</v>
      </c>
      <c r="H940">
        <f>SUM(C940:G940)</f>
        <v>0</v>
      </c>
    </row>
    <row r="941" spans="1:8" x14ac:dyDescent="0.25">
      <c r="A941" s="5" t="s">
        <v>934</v>
      </c>
      <c r="B941" t="str">
        <f>"*"&amp;A941&amp;"*"</f>
        <v>*2148: OD Too Large*</v>
      </c>
      <c r="C941">
        <f>COUNTIF(Monday!I:I, B941)</f>
        <v>0</v>
      </c>
      <c r="D941">
        <f>COUNTIF(Tuesday!I:I, B941)</f>
        <v>0</v>
      </c>
      <c r="E941">
        <f>COUNTIF(Wednesday!I:I, B941)</f>
        <v>0</v>
      </c>
      <c r="F941">
        <f>COUNTIF(Thursday!I:I, B941)</f>
        <v>0</v>
      </c>
      <c r="G941">
        <f>COUNTIF(Friday!I:I, B941)</f>
        <v>0</v>
      </c>
      <c r="H941">
        <f>SUM(C941:G941)</f>
        <v>0</v>
      </c>
    </row>
    <row r="942" spans="1:8" x14ac:dyDescent="0.25">
      <c r="A942" s="5" t="s">
        <v>935</v>
      </c>
      <c r="B942" t="str">
        <f>"*"&amp;A942&amp;"*"</f>
        <v>*2135: Not MRI Conditional*</v>
      </c>
      <c r="C942">
        <f>COUNTIF(Monday!I:I, B942)</f>
        <v>0</v>
      </c>
      <c r="D942">
        <f>COUNTIF(Tuesday!I:I, B942)</f>
        <v>0</v>
      </c>
      <c r="E942">
        <f>COUNTIF(Wednesday!I:I, B942)</f>
        <v>0</v>
      </c>
      <c r="F942">
        <f>COUNTIF(Thursday!I:I, B942)</f>
        <v>0</v>
      </c>
      <c r="G942">
        <f>COUNTIF(Friday!I:I, B942)</f>
        <v>0</v>
      </c>
      <c r="H942">
        <f>SUM(C942:G942)</f>
        <v>0</v>
      </c>
    </row>
    <row r="943" spans="1:8" x14ac:dyDescent="0.25">
      <c r="A943" s="5" t="s">
        <v>936</v>
      </c>
      <c r="B943" t="str">
        <f>"*"&amp;A943&amp;"*"</f>
        <v>*1064: Button Issue*</v>
      </c>
      <c r="C943">
        <f>COUNTIF(Monday!I:I, B943)</f>
        <v>0</v>
      </c>
      <c r="D943">
        <f>COUNTIF(Tuesday!I:I, B943)</f>
        <v>0</v>
      </c>
      <c r="E943">
        <f>COUNTIF(Wednesday!I:I, B943)</f>
        <v>0</v>
      </c>
      <c r="F943">
        <f>COUNTIF(Thursday!I:I, B943)</f>
        <v>0</v>
      </c>
      <c r="G943">
        <f>COUNTIF(Friday!I:I, B943)</f>
        <v>0</v>
      </c>
      <c r="H943">
        <f>SUM(C943:G943)</f>
        <v>0</v>
      </c>
    </row>
    <row r="944" spans="1:8" x14ac:dyDescent="0.25">
      <c r="A944" s="5" t="s">
        <v>937</v>
      </c>
      <c r="B944" t="str">
        <f>"*"&amp;A944&amp;"*"</f>
        <v>*1840: Menu Access Issue*</v>
      </c>
      <c r="C944">
        <f>COUNTIF(Monday!I:I, B944)</f>
        <v>0</v>
      </c>
      <c r="D944">
        <f>COUNTIF(Tuesday!I:I, B944)</f>
        <v>0</v>
      </c>
      <c r="E944">
        <f>COUNTIF(Wednesday!I:I, B944)</f>
        <v>0</v>
      </c>
      <c r="F944">
        <f>COUNTIF(Thursday!I:I, B944)</f>
        <v>0</v>
      </c>
      <c r="G944">
        <f>COUNTIF(Friday!I:I, B944)</f>
        <v>0</v>
      </c>
      <c r="H944">
        <f>SUM(C944:G944)</f>
        <v>0</v>
      </c>
    </row>
    <row r="945" spans="1:8" x14ac:dyDescent="0.25">
      <c r="A945" s="5" t="s">
        <v>938</v>
      </c>
      <c r="B945" t="str">
        <f>"*"&amp;A945&amp;"*"</f>
        <v>*1987: Message - Hard Disk Error*</v>
      </c>
      <c r="C945">
        <f>COUNTIF(Monday!I:I, B945)</f>
        <v>0</v>
      </c>
      <c r="D945">
        <f>COUNTIF(Tuesday!I:I, B945)</f>
        <v>0</v>
      </c>
      <c r="E945">
        <f>COUNTIF(Wednesday!I:I, B945)</f>
        <v>0</v>
      </c>
      <c r="F945">
        <f>COUNTIF(Thursday!I:I, B945)</f>
        <v>0</v>
      </c>
      <c r="G945">
        <f>COUNTIF(Friday!I:I, B945)</f>
        <v>0</v>
      </c>
      <c r="H945">
        <f>SUM(C945:G945)</f>
        <v>0</v>
      </c>
    </row>
    <row r="946" spans="1:8" x14ac:dyDescent="0.25">
      <c r="A946" s="5" t="s">
        <v>939</v>
      </c>
      <c r="B946" t="str">
        <f>"*"&amp;A946&amp;"*"</f>
        <v>*2033: Message - System Error - XX*</v>
      </c>
      <c r="C946">
        <f>COUNTIF(Monday!I:I, B946)</f>
        <v>0</v>
      </c>
      <c r="D946">
        <f>COUNTIF(Tuesday!I:I, B946)</f>
        <v>0</v>
      </c>
      <c r="E946">
        <f>COUNTIF(Wednesday!I:I, B946)</f>
        <v>0</v>
      </c>
      <c r="F946">
        <f>COUNTIF(Thursday!I:I, B946)</f>
        <v>0</v>
      </c>
      <c r="G946">
        <f>COUNTIF(Friday!I:I, B946)</f>
        <v>0</v>
      </c>
      <c r="H946">
        <f>SUM(C946:G946)</f>
        <v>0</v>
      </c>
    </row>
    <row r="947" spans="1:8" x14ac:dyDescent="0.25">
      <c r="A947" s="5" t="s">
        <v>940</v>
      </c>
      <c r="B947" t="str">
        <f>"*"&amp;A947&amp;"*"</f>
        <v>*2084: Network Issue*</v>
      </c>
      <c r="C947">
        <f>COUNTIF(Monday!I:I, B947)</f>
        <v>0</v>
      </c>
      <c r="D947">
        <f>COUNTIF(Tuesday!I:I, B947)</f>
        <v>0</v>
      </c>
      <c r="E947">
        <f>COUNTIF(Wednesday!I:I, B947)</f>
        <v>0</v>
      </c>
      <c r="F947">
        <f>COUNTIF(Thursday!I:I, B947)</f>
        <v>0</v>
      </c>
      <c r="G947">
        <f>COUNTIF(Friday!I:I, B947)</f>
        <v>0</v>
      </c>
      <c r="H947">
        <f>SUM(C947:G947)</f>
        <v>0</v>
      </c>
    </row>
    <row r="948" spans="1:8" x14ac:dyDescent="0.25">
      <c r="A948" s="5" t="s">
        <v>941</v>
      </c>
      <c r="B948" t="str">
        <f>"*"&amp;A948&amp;"*"</f>
        <v>*2097: No Input Signal/Image*</v>
      </c>
      <c r="C948">
        <f>COUNTIF(Monday!I:I, B948)</f>
        <v>0</v>
      </c>
      <c r="D948">
        <f>COUNTIF(Tuesday!I:I, B948)</f>
        <v>0</v>
      </c>
      <c r="E948">
        <f>COUNTIF(Wednesday!I:I, B948)</f>
        <v>0</v>
      </c>
      <c r="F948">
        <f>COUNTIF(Thursday!I:I, B948)</f>
        <v>0</v>
      </c>
      <c r="G948">
        <f>COUNTIF(Friday!I:I, B948)</f>
        <v>0</v>
      </c>
      <c r="H948">
        <f>SUM(C948:G948)</f>
        <v>0</v>
      </c>
    </row>
    <row r="949" spans="1:8" x14ac:dyDescent="0.25">
      <c r="A949" s="5" t="s">
        <v>942</v>
      </c>
      <c r="B949" t="str">
        <f>"*"&amp;A949&amp;"*"</f>
        <v>*2205: Playback Error*</v>
      </c>
      <c r="C949">
        <f>COUNTIF(Monday!I:I, B949)</f>
        <v>0</v>
      </c>
      <c r="D949">
        <f>COUNTIF(Tuesday!I:I, B949)</f>
        <v>0</v>
      </c>
      <c r="E949">
        <f>COUNTIF(Wednesday!I:I, B949)</f>
        <v>0</v>
      </c>
      <c r="F949">
        <f>COUNTIF(Thursday!I:I, B949)</f>
        <v>0</v>
      </c>
      <c r="G949">
        <f>COUNTIF(Friday!I:I, B949)</f>
        <v>0</v>
      </c>
      <c r="H949">
        <f>SUM(C949:G949)</f>
        <v>0</v>
      </c>
    </row>
    <row r="950" spans="1:8" x14ac:dyDescent="0.25">
      <c r="A950" s="5" t="s">
        <v>943</v>
      </c>
      <c r="B950" t="str">
        <f>"*"&amp;A950&amp;"*"</f>
        <v>*2263: Recording Error*</v>
      </c>
      <c r="C950">
        <f>COUNTIF(Monday!I:I, B950)</f>
        <v>0</v>
      </c>
      <c r="D950">
        <f>COUNTIF(Tuesday!I:I, B950)</f>
        <v>0</v>
      </c>
      <c r="E950">
        <f>COUNTIF(Wednesday!I:I, B950)</f>
        <v>0</v>
      </c>
      <c r="F950">
        <f>COUNTIF(Thursday!I:I, B950)</f>
        <v>0</v>
      </c>
      <c r="G950">
        <f>COUNTIF(Friday!I:I, B950)</f>
        <v>0</v>
      </c>
      <c r="H950">
        <f>SUM(C950:G950)</f>
        <v>0</v>
      </c>
    </row>
    <row r="951" spans="1:8" x14ac:dyDescent="0.25">
      <c r="A951" s="5" t="s">
        <v>944</v>
      </c>
      <c r="B951" t="str">
        <f>"*"&amp;A951&amp;"*"</f>
        <v>*2340: Sound Inoperable*</v>
      </c>
      <c r="C951">
        <f>COUNTIF(Monday!I:I, B951)</f>
        <v>0</v>
      </c>
      <c r="D951">
        <f>COUNTIF(Tuesday!I:I, B951)</f>
        <v>0</v>
      </c>
      <c r="E951">
        <f>COUNTIF(Wednesday!I:I, B951)</f>
        <v>0</v>
      </c>
      <c r="F951">
        <f>COUNTIF(Thursday!I:I, B951)</f>
        <v>0</v>
      </c>
      <c r="G951">
        <f>COUNTIF(Friday!I:I, B951)</f>
        <v>0</v>
      </c>
      <c r="H951">
        <f>SUM(C951:G951)</f>
        <v>0</v>
      </c>
    </row>
    <row r="952" spans="1:8" x14ac:dyDescent="0.25">
      <c r="A952" s="5" t="s">
        <v>945</v>
      </c>
      <c r="B952" t="str">
        <f>"*"&amp;A952&amp;"*"</f>
        <v>*2365: Stuck*</v>
      </c>
      <c r="C952">
        <f>COUNTIF(Monday!I:I, B952)</f>
        <v>0</v>
      </c>
      <c r="D952">
        <f>COUNTIF(Tuesday!I:I, B952)</f>
        <v>0</v>
      </c>
      <c r="E952">
        <f>COUNTIF(Wednesday!I:I, B952)</f>
        <v>0</v>
      </c>
      <c r="F952">
        <f>COUNTIF(Thursday!I:I, B952)</f>
        <v>0</v>
      </c>
      <c r="G952">
        <f>COUNTIF(Friday!I:I, B952)</f>
        <v>0</v>
      </c>
      <c r="H952">
        <f>SUM(C952:G952)</f>
        <v>0</v>
      </c>
    </row>
    <row r="953" spans="1:8" x14ac:dyDescent="0.25">
      <c r="A953" s="5" t="s">
        <v>946</v>
      </c>
      <c r="B953" t="str">
        <f>"*"&amp;A953&amp;"*"</f>
        <v>*2453: USB Drive Error*</v>
      </c>
      <c r="C953">
        <f>COUNTIF(Monday!I:I, B953)</f>
        <v>0</v>
      </c>
      <c r="D953">
        <f>COUNTIF(Tuesday!I:I, B953)</f>
        <v>0</v>
      </c>
      <c r="E953">
        <f>COUNTIF(Wednesday!I:I, B953)</f>
        <v>0</v>
      </c>
      <c r="F953">
        <f>COUNTIF(Thursday!I:I, B953)</f>
        <v>0</v>
      </c>
      <c r="G953">
        <f>COUNTIF(Friday!I:I, B953)</f>
        <v>0</v>
      </c>
      <c r="H953">
        <f>SUM(C953:G953)</f>
        <v>0</v>
      </c>
    </row>
    <row r="954" spans="1:8" x14ac:dyDescent="0.25">
      <c r="A954" s="5" t="s">
        <v>947</v>
      </c>
      <c r="B954" t="str">
        <f>"*"&amp;A954&amp;"*"</f>
        <v>*2454: USB Peripheral Error*</v>
      </c>
      <c r="C954">
        <f>COUNTIF(Monday!I:I, B954)</f>
        <v>0</v>
      </c>
      <c r="D954">
        <f>COUNTIF(Tuesday!I:I, B954)</f>
        <v>0</v>
      </c>
      <c r="E954">
        <f>COUNTIF(Wednesday!I:I, B954)</f>
        <v>0</v>
      </c>
      <c r="F954">
        <f>COUNTIF(Thursday!I:I, B954)</f>
        <v>0</v>
      </c>
      <c r="G954">
        <f>COUNTIF(Friday!I:I, B954)</f>
        <v>0</v>
      </c>
      <c r="H954">
        <f>SUM(C954:G954)</f>
        <v>0</v>
      </c>
    </row>
    <row r="955" spans="1:8" x14ac:dyDescent="0.25">
      <c r="A955" s="5" t="s">
        <v>948</v>
      </c>
      <c r="B955" t="str">
        <f>"*"&amp;A955&amp;"*"</f>
        <v>*2259: Reading Inaccurate*</v>
      </c>
      <c r="C955">
        <f>COUNTIF(Monday!I:I, B955)</f>
        <v>0</v>
      </c>
      <c r="D955">
        <f>COUNTIF(Tuesday!I:I, B955)</f>
        <v>0</v>
      </c>
      <c r="E955">
        <f>COUNTIF(Wednesday!I:I, B955)</f>
        <v>0</v>
      </c>
      <c r="F955">
        <f>COUNTIF(Thursday!I:I, B955)</f>
        <v>0</v>
      </c>
      <c r="G955">
        <f>COUNTIF(Friday!I:I, B955)</f>
        <v>0</v>
      </c>
      <c r="H955">
        <f>SUM(C955:G955)</f>
        <v>0</v>
      </c>
    </row>
    <row r="956" spans="1:8" x14ac:dyDescent="0.25">
      <c r="A956" s="5" t="s">
        <v>949</v>
      </c>
      <c r="B956" t="str">
        <f>"*"&amp;A956&amp;"*"</f>
        <v>*1329: Difficult To Move*</v>
      </c>
      <c r="C956">
        <f>COUNTIF(Monday!I:I, B956)</f>
        <v>0</v>
      </c>
      <c r="D956">
        <f>COUNTIF(Tuesday!I:I, B956)</f>
        <v>0</v>
      </c>
      <c r="E956">
        <f>COUNTIF(Wednesday!I:I, B956)</f>
        <v>0</v>
      </c>
      <c r="F956">
        <f>COUNTIF(Thursday!I:I, B956)</f>
        <v>0</v>
      </c>
      <c r="G956">
        <f>COUNTIF(Friday!I:I, B956)</f>
        <v>0</v>
      </c>
      <c r="H956">
        <f>SUM(C956:G956)</f>
        <v>0</v>
      </c>
    </row>
    <row r="957" spans="1:8" x14ac:dyDescent="0.25">
      <c r="A957" s="5" t="s">
        <v>950</v>
      </c>
      <c r="B957" t="str">
        <f>"*"&amp;A957&amp;"*"</f>
        <v>*1446: Electromagnetic Compatibility Issue*</v>
      </c>
      <c r="C957">
        <f>COUNTIF(Monday!I:I, B957)</f>
        <v>0</v>
      </c>
      <c r="D957">
        <f>COUNTIF(Tuesday!I:I, B957)</f>
        <v>0</v>
      </c>
      <c r="E957">
        <f>COUNTIF(Wednesday!I:I, B957)</f>
        <v>0</v>
      </c>
      <c r="F957">
        <f>COUNTIF(Thursday!I:I, B957)</f>
        <v>0</v>
      </c>
      <c r="G957">
        <f>COUNTIF(Friday!I:I, B957)</f>
        <v>0</v>
      </c>
      <c r="H957">
        <f>SUM(C957:G957)</f>
        <v>0</v>
      </c>
    </row>
    <row r="958" spans="1:8" x14ac:dyDescent="0.25">
      <c r="A958" s="5" t="s">
        <v>951</v>
      </c>
      <c r="B958" t="str">
        <f>"*"&amp;A958&amp;"*"</f>
        <v>*1726: Ineffective Breaking Up Stone*</v>
      </c>
      <c r="C958">
        <f>COUNTIF(Monday!I:I, B958)</f>
        <v>0</v>
      </c>
      <c r="D958">
        <f>COUNTIF(Tuesday!I:I, B958)</f>
        <v>0</v>
      </c>
      <c r="E958">
        <f>COUNTIF(Wednesday!I:I, B958)</f>
        <v>0</v>
      </c>
      <c r="F958">
        <f>COUNTIF(Thursday!I:I, B958)</f>
        <v>0</v>
      </c>
      <c r="G958">
        <f>COUNTIF(Friday!I:I, B958)</f>
        <v>0</v>
      </c>
      <c r="H958">
        <f>SUM(C958:G958)</f>
        <v>0</v>
      </c>
    </row>
    <row r="959" spans="1:8" x14ac:dyDescent="0.25">
      <c r="A959" s="5" t="s">
        <v>952</v>
      </c>
      <c r="B959" t="str">
        <f>"*"&amp;A959&amp;"*"</f>
        <v>*1822: Material Opacification*</v>
      </c>
      <c r="C959">
        <f>COUNTIF(Monday!I:I, B959)</f>
        <v>0</v>
      </c>
      <c r="D959">
        <f>COUNTIF(Tuesday!I:I, B959)</f>
        <v>0</v>
      </c>
      <c r="E959">
        <f>COUNTIF(Wednesday!I:I, B959)</f>
        <v>0</v>
      </c>
      <c r="F959">
        <f>COUNTIF(Thursday!I:I, B959)</f>
        <v>0</v>
      </c>
      <c r="G959">
        <f>COUNTIF(Friday!I:I, B959)</f>
        <v>0</v>
      </c>
      <c r="H959">
        <f>SUM(C959:G959)</f>
        <v>0</v>
      </c>
    </row>
    <row r="960" spans="1:8" x14ac:dyDescent="0.25">
      <c r="A960" s="5" t="s">
        <v>953</v>
      </c>
      <c r="B960" t="str">
        <f>"*"&amp;A960&amp;"*"</f>
        <v>*1523: Failure To Fire*</v>
      </c>
      <c r="C960">
        <f>COUNTIF(Monday!I:I, B960)</f>
        <v>0</v>
      </c>
      <c r="D960">
        <f>COUNTIF(Tuesday!I:I, B960)</f>
        <v>0</v>
      </c>
      <c r="E960">
        <f>COUNTIF(Wednesday!I:I, B960)</f>
        <v>0</v>
      </c>
      <c r="F960">
        <f>COUNTIF(Thursday!I:I, B960)</f>
        <v>0</v>
      </c>
      <c r="G960">
        <f>COUNTIF(Friday!I:I, B960)</f>
        <v>0</v>
      </c>
      <c r="H960">
        <f>SUM(C960:G960)</f>
        <v>0</v>
      </c>
    </row>
    <row r="961" spans="1:8" x14ac:dyDescent="0.25">
      <c r="A961" s="5" t="s">
        <v>954</v>
      </c>
      <c r="B961" t="str">
        <f>"*"&amp;A961&amp;"*"</f>
        <v>*2061: Metal Shedding Debris*</v>
      </c>
      <c r="C961">
        <f>COUNTIF(Monday!I:I, B961)</f>
        <v>0</v>
      </c>
      <c r="D961">
        <f>COUNTIF(Tuesday!I:I, B961)</f>
        <v>0</v>
      </c>
      <c r="E961">
        <f>COUNTIF(Wednesday!I:I, B961)</f>
        <v>0</v>
      </c>
      <c r="F961">
        <f>COUNTIF(Thursday!I:I, B961)</f>
        <v>0</v>
      </c>
      <c r="G961">
        <f>COUNTIF(Friday!I:I, B961)</f>
        <v>0</v>
      </c>
      <c r="H961">
        <f>SUM(C961:G961)</f>
        <v>0</v>
      </c>
    </row>
    <row r="962" spans="1:8" x14ac:dyDescent="0.25">
      <c r="A962" s="5" t="s">
        <v>955</v>
      </c>
      <c r="B962" t="str">
        <f>"*"&amp;A962&amp;"*"</f>
        <v>*2131: Not Firing At Distal End*</v>
      </c>
      <c r="C962">
        <f>COUNTIF(Monday!I:I, B962)</f>
        <v>0</v>
      </c>
      <c r="D962">
        <f>COUNTIF(Tuesday!I:I, B962)</f>
        <v>0</v>
      </c>
      <c r="E962">
        <f>COUNTIF(Wednesday!I:I, B962)</f>
        <v>0</v>
      </c>
      <c r="F962">
        <f>COUNTIF(Thursday!I:I, B962)</f>
        <v>0</v>
      </c>
      <c r="G962">
        <f>COUNTIF(Friday!I:I, B962)</f>
        <v>0</v>
      </c>
      <c r="H962">
        <f>SUM(C962:G962)</f>
        <v>0</v>
      </c>
    </row>
    <row r="963" spans="1:8" x14ac:dyDescent="0.25">
      <c r="A963" s="5" t="s">
        <v>956</v>
      </c>
      <c r="B963" t="str">
        <f>"*"&amp;A963&amp;"*"</f>
        <v>*1114: Color Scheme Inadequate*</v>
      </c>
      <c r="C963">
        <f>COUNTIF(Monday!I:I, B963)</f>
        <v>0</v>
      </c>
      <c r="D963">
        <f>COUNTIF(Tuesday!I:I, B963)</f>
        <v>0</v>
      </c>
      <c r="E963">
        <f>COUNTIF(Wednesday!I:I, B963)</f>
        <v>0</v>
      </c>
      <c r="F963">
        <f>COUNTIF(Thursday!I:I, B963)</f>
        <v>0</v>
      </c>
      <c r="G963">
        <f>COUNTIF(Friday!I:I, B963)</f>
        <v>0</v>
      </c>
      <c r="H963">
        <f>SUM(C963:G963)</f>
        <v>0</v>
      </c>
    </row>
    <row r="964" spans="1:8" x14ac:dyDescent="0.25">
      <c r="A964" s="5" t="s">
        <v>957</v>
      </c>
      <c r="B964" t="str">
        <f>"*"&amp;A964&amp;"*"</f>
        <v>*1676: Image Orientation Incorrect*</v>
      </c>
      <c r="C964">
        <f>COUNTIF(Monday!I:I, B964)</f>
        <v>0</v>
      </c>
      <c r="D964">
        <f>COUNTIF(Tuesday!I:I, B964)</f>
        <v>0</v>
      </c>
      <c r="E964">
        <f>COUNTIF(Wednesday!I:I, B964)</f>
        <v>0</v>
      </c>
      <c r="F964">
        <f>COUNTIF(Thursday!I:I, B964)</f>
        <v>0</v>
      </c>
      <c r="G964">
        <f>COUNTIF(Friday!I:I, B964)</f>
        <v>0</v>
      </c>
      <c r="H964">
        <f>SUM(C964:G964)</f>
        <v>0</v>
      </c>
    </row>
    <row r="965" spans="1:8" x14ac:dyDescent="0.25">
      <c r="A965" s="5" t="s">
        <v>958</v>
      </c>
      <c r="B965" t="str">
        <f>"*"&amp;A965&amp;"*"</f>
        <v>*1691: Inadequate Lighting*</v>
      </c>
      <c r="C965">
        <f>COUNTIF(Monday!I:I, B965)</f>
        <v>0</v>
      </c>
      <c r="D965">
        <f>COUNTIF(Tuesday!I:I, B965)</f>
        <v>0</v>
      </c>
      <c r="E965">
        <f>COUNTIF(Wednesday!I:I, B965)</f>
        <v>0</v>
      </c>
      <c r="F965">
        <f>COUNTIF(Thursday!I:I, B965)</f>
        <v>0</v>
      </c>
      <c r="G965">
        <f>COUNTIF(Friday!I:I, B965)</f>
        <v>0</v>
      </c>
      <c r="H965">
        <f>SUM(C965:G965)</f>
        <v>0</v>
      </c>
    </row>
    <row r="966" spans="1:8" x14ac:dyDescent="0.25">
      <c r="A966" s="5" t="s">
        <v>959</v>
      </c>
      <c r="B966" t="str">
        <f>"*"&amp;A966&amp;"*"</f>
        <v>*1790: Live Image Lag/Not Real Time*</v>
      </c>
      <c r="C966">
        <f>COUNTIF(Monday!I:I, B966)</f>
        <v>0</v>
      </c>
      <c r="D966">
        <f>COUNTIF(Tuesday!I:I, B966)</f>
        <v>0</v>
      </c>
      <c r="E966">
        <f>COUNTIF(Wednesday!I:I, B966)</f>
        <v>0</v>
      </c>
      <c r="F966">
        <f>COUNTIF(Thursday!I:I, B966)</f>
        <v>0</v>
      </c>
      <c r="G966">
        <f>COUNTIF(Friday!I:I, B966)</f>
        <v>0</v>
      </c>
      <c r="H966">
        <f>SUM(C966:G966)</f>
        <v>0</v>
      </c>
    </row>
    <row r="967" spans="1:8" x14ac:dyDescent="0.25">
      <c r="A967" s="5" t="s">
        <v>960</v>
      </c>
      <c r="B967" t="str">
        <f>"*"&amp;A967&amp;"*"</f>
        <v>*1801: Loss Of Visualization*</v>
      </c>
      <c r="C967">
        <f>COUNTIF(Monday!I:I, B967)</f>
        <v>0</v>
      </c>
      <c r="D967">
        <f>COUNTIF(Tuesday!I:I, B967)</f>
        <v>0</v>
      </c>
      <c r="E967">
        <f>COUNTIF(Wednesday!I:I, B967)</f>
        <v>0</v>
      </c>
      <c r="F967">
        <f>COUNTIF(Thursday!I:I, B967)</f>
        <v>0</v>
      </c>
      <c r="G967">
        <f>COUNTIF(Friday!I:I, B967)</f>
        <v>0</v>
      </c>
      <c r="H967">
        <f>SUM(C967:G967)</f>
        <v>0</v>
      </c>
    </row>
    <row r="968" spans="1:8" x14ac:dyDescent="0.25">
      <c r="A968" s="5" t="s">
        <v>961</v>
      </c>
      <c r="B968" t="str">
        <f>"*"&amp;A968&amp;"*"</f>
        <v>*2116: No Visualization*</v>
      </c>
      <c r="C968">
        <f>COUNTIF(Monday!I:I, B968)</f>
        <v>0</v>
      </c>
      <c r="D968">
        <f>COUNTIF(Tuesday!I:I, B968)</f>
        <v>0</v>
      </c>
      <c r="E968">
        <f>COUNTIF(Wednesday!I:I, B968)</f>
        <v>0</v>
      </c>
      <c r="F968">
        <f>COUNTIF(Thursday!I:I, B968)</f>
        <v>0</v>
      </c>
      <c r="G968">
        <f>COUNTIF(Friday!I:I, B968)</f>
        <v>0</v>
      </c>
      <c r="H968">
        <f>SUM(C968:G968)</f>
        <v>0</v>
      </c>
    </row>
    <row r="969" spans="1:8" x14ac:dyDescent="0.25">
      <c r="A969" s="5" t="s">
        <v>962</v>
      </c>
      <c r="B969" t="str">
        <f>"*"&amp;A969&amp;"*"</f>
        <v>*2204: Pixelated Image*</v>
      </c>
      <c r="C969">
        <f>COUNTIF(Monday!I:I, B969)</f>
        <v>0</v>
      </c>
      <c r="D969">
        <f>COUNTIF(Tuesday!I:I, B969)</f>
        <v>0</v>
      </c>
      <c r="E969">
        <f>COUNTIF(Wednesday!I:I, B969)</f>
        <v>0</v>
      </c>
      <c r="F969">
        <f>COUNTIF(Thursday!I:I, B969)</f>
        <v>0</v>
      </c>
      <c r="G969">
        <f>COUNTIF(Friday!I:I, B969)</f>
        <v>0</v>
      </c>
      <c r="H969">
        <f>SUM(C969:G969)</f>
        <v>0</v>
      </c>
    </row>
    <row r="970" spans="1:8" x14ac:dyDescent="0.25">
      <c r="A970" s="5" t="s">
        <v>963</v>
      </c>
      <c r="B970" t="str">
        <f>"*"&amp;A970&amp;"*"</f>
        <v>*2527: Wrong Type/ Incorrect Power Cable*</v>
      </c>
      <c r="C970">
        <f>COUNTIF(Monday!I:I, B970)</f>
        <v>0</v>
      </c>
      <c r="D970">
        <f>COUNTIF(Tuesday!I:I, B970)</f>
        <v>0</v>
      </c>
      <c r="E970">
        <f>COUNTIF(Wednesday!I:I, B970)</f>
        <v>0</v>
      </c>
      <c r="F970">
        <f>COUNTIF(Thursday!I:I, B970)</f>
        <v>0</v>
      </c>
      <c r="G970">
        <f>COUNTIF(Friday!I:I, B970)</f>
        <v>0</v>
      </c>
      <c r="H970">
        <f>SUM(C970:G970)</f>
        <v>0</v>
      </c>
    </row>
    <row r="971" spans="1:8" x14ac:dyDescent="0.25">
      <c r="A971" s="5" t="s">
        <v>964</v>
      </c>
      <c r="B971" t="str">
        <f>"*"&amp;A971&amp;"*"</f>
        <v>*2536: Wear and Tear*</v>
      </c>
      <c r="C971">
        <f>COUNTIF(Monday!I:I, B971)</f>
        <v>0</v>
      </c>
      <c r="D971">
        <f>COUNTIF(Tuesday!I:I, B971)</f>
        <v>0</v>
      </c>
      <c r="E971">
        <f>COUNTIF(Wednesday!I:I, B971)</f>
        <v>0</v>
      </c>
      <c r="F971">
        <f>COUNTIF(Thursday!I:I, B971)</f>
        <v>0</v>
      </c>
      <c r="G971">
        <f>COUNTIF(Friday!I:I, B971)</f>
        <v>0</v>
      </c>
      <c r="H971">
        <f>SUM(C971:G971)</f>
        <v>0</v>
      </c>
    </row>
    <row r="972" spans="1:8" x14ac:dyDescent="0.25">
      <c r="A972" s="5" t="s">
        <v>965</v>
      </c>
      <c r="B972" t="str">
        <f>"*"&amp;A972&amp;"*"</f>
        <v>*2701: Image Capture - Not Functional*</v>
      </c>
      <c r="C972">
        <f>COUNTIF(Monday!I:I, B972)</f>
        <v>0</v>
      </c>
      <c r="D972">
        <f>COUNTIF(Tuesday!I:I, B972)</f>
        <v>0</v>
      </c>
      <c r="E972">
        <f>COUNTIF(Wednesday!I:I, B972)</f>
        <v>0</v>
      </c>
      <c r="F972">
        <f>COUNTIF(Thursday!I:I, B972)</f>
        <v>0</v>
      </c>
      <c r="G972">
        <f>COUNTIF(Friday!I:I, B972)</f>
        <v>0</v>
      </c>
      <c r="H972">
        <f>SUM(C972:G972)</f>
        <v>0</v>
      </c>
    </row>
    <row r="973" spans="1:8" x14ac:dyDescent="0.25">
      <c r="A973" s="5" t="s">
        <v>966</v>
      </c>
      <c r="B973" t="str">
        <f>"*"&amp;A973&amp;"*"</f>
        <v>*2702: Image Capture Issue - Desired Image Not Captured*</v>
      </c>
      <c r="C973">
        <f>COUNTIF(Monday!I:I, B973)</f>
        <v>0</v>
      </c>
      <c r="D973">
        <f>COUNTIF(Tuesday!I:I, B973)</f>
        <v>0</v>
      </c>
      <c r="E973">
        <f>COUNTIF(Wednesday!I:I, B973)</f>
        <v>0</v>
      </c>
      <c r="F973">
        <f>COUNTIF(Thursday!I:I, B973)</f>
        <v>0</v>
      </c>
      <c r="G973">
        <f>COUNTIF(Friday!I:I, B973)</f>
        <v>0</v>
      </c>
      <c r="H973">
        <f>SUM(C973:G973)</f>
        <v>0</v>
      </c>
    </row>
    <row r="974" spans="1:8" x14ac:dyDescent="0.25">
      <c r="A974" s="5" t="s">
        <v>967</v>
      </c>
      <c r="B974" t="str">
        <f>"*"&amp;A974&amp;"*"</f>
        <v>*2874: Picture In Picture Issue*</v>
      </c>
      <c r="C974">
        <f>COUNTIF(Monday!I:I, B974)</f>
        <v>0</v>
      </c>
      <c r="D974">
        <f>COUNTIF(Tuesday!I:I, B974)</f>
        <v>0</v>
      </c>
      <c r="E974">
        <f>COUNTIF(Wednesday!I:I, B974)</f>
        <v>0</v>
      </c>
      <c r="F974">
        <f>COUNTIF(Thursday!I:I, B974)</f>
        <v>0</v>
      </c>
      <c r="G974">
        <f>COUNTIF(Friday!I:I, B974)</f>
        <v>0</v>
      </c>
      <c r="H974">
        <f>SUM(C974:G974)</f>
        <v>0</v>
      </c>
    </row>
    <row r="975" spans="1:8" x14ac:dyDescent="0.25">
      <c r="A975" s="5" t="s">
        <v>968</v>
      </c>
      <c r="B975" t="str">
        <f>"*"&amp;A975&amp;"*"</f>
        <v>*2564: Ground Wire Issues*</v>
      </c>
      <c r="C975">
        <f>COUNTIF(Monday!I:I, B975)</f>
        <v>0</v>
      </c>
      <c r="D975">
        <f>COUNTIF(Tuesday!I:I, B975)</f>
        <v>0</v>
      </c>
      <c r="E975">
        <f>COUNTIF(Wednesday!I:I, B975)</f>
        <v>0</v>
      </c>
      <c r="F975">
        <f>COUNTIF(Thursday!I:I, B975)</f>
        <v>0</v>
      </c>
      <c r="G975">
        <f>COUNTIF(Friday!I:I, B975)</f>
        <v>0</v>
      </c>
      <c r="H975">
        <f>SUM(C975:G975)</f>
        <v>0</v>
      </c>
    </row>
    <row r="976" spans="1:8" x14ac:dyDescent="0.25">
      <c r="A976" s="5" t="s">
        <v>969</v>
      </c>
      <c r="B976" t="str">
        <f>"*"&amp;A976&amp;"*"</f>
        <v>*2565: Length Issues*</v>
      </c>
      <c r="C976">
        <f>COUNTIF(Monday!I:I, B976)</f>
        <v>0</v>
      </c>
      <c r="D976">
        <f>COUNTIF(Tuesday!I:I, B976)</f>
        <v>0</v>
      </c>
      <c r="E976">
        <f>COUNTIF(Wednesday!I:I, B976)</f>
        <v>0</v>
      </c>
      <c r="F976">
        <f>COUNTIF(Thursday!I:I, B976)</f>
        <v>0</v>
      </c>
      <c r="G976">
        <f>COUNTIF(Friday!I:I, B976)</f>
        <v>0</v>
      </c>
      <c r="H976">
        <f>SUM(C976:G976)</f>
        <v>0</v>
      </c>
    </row>
    <row r="977" spans="1:8" x14ac:dyDescent="0.25">
      <c r="A977" s="5" t="s">
        <v>970</v>
      </c>
      <c r="B977" t="str">
        <f>"*"&amp;A977&amp;"*"</f>
        <v>*1492: Failure To Capture Stone*</v>
      </c>
      <c r="C977">
        <f>COUNTIF(Monday!I:I, B977)</f>
        <v>0</v>
      </c>
      <c r="D977">
        <f>COUNTIF(Tuesday!I:I, B977)</f>
        <v>0</v>
      </c>
      <c r="E977">
        <f>COUNTIF(Wednesday!I:I, B977)</f>
        <v>0</v>
      </c>
      <c r="F977">
        <f>COUNTIF(Thursday!I:I, B977)</f>
        <v>0</v>
      </c>
      <c r="G977">
        <f>COUNTIF(Friday!I:I, B977)</f>
        <v>0</v>
      </c>
      <c r="H977">
        <f>SUM(C977:G977)</f>
        <v>0</v>
      </c>
    </row>
    <row r="978" spans="1:8" x14ac:dyDescent="0.25">
      <c r="A978" s="5" t="s">
        <v>971</v>
      </c>
      <c r="B978" t="str">
        <f>"*"&amp;A978&amp;"*"</f>
        <v>*1506: Failure To Crush Stone*</v>
      </c>
      <c r="C978">
        <f>COUNTIF(Monday!I:I, B978)</f>
        <v>0</v>
      </c>
      <c r="D978">
        <f>COUNTIF(Tuesday!I:I, B978)</f>
        <v>0</v>
      </c>
      <c r="E978">
        <f>COUNTIF(Wednesday!I:I, B978)</f>
        <v>0</v>
      </c>
      <c r="F978">
        <f>COUNTIF(Thursday!I:I, B978)</f>
        <v>0</v>
      </c>
      <c r="G978">
        <f>COUNTIF(Friday!I:I, B978)</f>
        <v>0</v>
      </c>
      <c r="H978">
        <f>SUM(C978:G978)</f>
        <v>0</v>
      </c>
    </row>
    <row r="979" spans="1:8" x14ac:dyDescent="0.25">
      <c r="A979" s="5" t="s">
        <v>972</v>
      </c>
      <c r="B979" t="str">
        <f>"*"&amp;A979&amp;"*"</f>
        <v>*1575: Failure To Release Stone*</v>
      </c>
      <c r="C979">
        <f>COUNTIF(Monday!I:I, B979)</f>
        <v>0</v>
      </c>
      <c r="D979">
        <f>COUNTIF(Tuesday!I:I, B979)</f>
        <v>0</v>
      </c>
      <c r="E979">
        <f>COUNTIF(Wednesday!I:I, B979)</f>
        <v>0</v>
      </c>
      <c r="F979">
        <f>COUNTIF(Thursday!I:I, B979)</f>
        <v>0</v>
      </c>
      <c r="G979">
        <f>COUNTIF(Friday!I:I, B979)</f>
        <v>0</v>
      </c>
      <c r="H979">
        <f>SUM(C979:G979)</f>
        <v>0</v>
      </c>
    </row>
    <row r="980" spans="1:8" x14ac:dyDescent="0.25">
      <c r="A980" s="5" t="s">
        <v>973</v>
      </c>
      <c r="B980" t="str">
        <f>"*"&amp;A980&amp;"*"</f>
        <v>*2596: Failure to Capture Foreign Body*</v>
      </c>
      <c r="C980">
        <f>COUNTIF(Monday!I:I, B980)</f>
        <v>0</v>
      </c>
      <c r="D980">
        <f>COUNTIF(Tuesday!I:I, B980)</f>
        <v>0</v>
      </c>
      <c r="E980">
        <f>COUNTIF(Wednesday!I:I, B980)</f>
        <v>0</v>
      </c>
      <c r="F980">
        <f>COUNTIF(Thursday!I:I, B980)</f>
        <v>0</v>
      </c>
      <c r="G980">
        <f>COUNTIF(Friday!I:I, B980)</f>
        <v>0</v>
      </c>
      <c r="H980">
        <f>SUM(C980:G980)</f>
        <v>0</v>
      </c>
    </row>
    <row r="981" spans="1:8" x14ac:dyDescent="0.25">
      <c r="A981" s="5" t="s">
        <v>974</v>
      </c>
      <c r="B981" t="str">
        <f>"*"&amp;A981&amp;"*"</f>
        <v>*2598: Failure to Release Foreign Body*</v>
      </c>
      <c r="C981">
        <f>COUNTIF(Monday!I:I, B981)</f>
        <v>0</v>
      </c>
      <c r="D981">
        <f>COUNTIF(Tuesday!I:I, B981)</f>
        <v>0</v>
      </c>
      <c r="E981">
        <f>COUNTIF(Wednesday!I:I, B981)</f>
        <v>0</v>
      </c>
      <c r="F981">
        <f>COUNTIF(Thursday!I:I, B981)</f>
        <v>0</v>
      </c>
      <c r="G981">
        <f>COUNTIF(Friday!I:I, B981)</f>
        <v>0</v>
      </c>
      <c r="H981">
        <f>SUM(C981:G981)</f>
        <v>0</v>
      </c>
    </row>
    <row r="982" spans="1:8" x14ac:dyDescent="0.25">
      <c r="A982" s="5" t="s">
        <v>975</v>
      </c>
      <c r="B982" t="str">
        <f>"*"&amp;A982&amp;"*"</f>
        <v>*1503: Failure To Control Rotation*</v>
      </c>
      <c r="C982">
        <f>COUNTIF(Monday!I:I, B982)</f>
        <v>0</v>
      </c>
      <c r="D982">
        <f>COUNTIF(Tuesday!I:I, B982)</f>
        <v>0</v>
      </c>
      <c r="E982">
        <f>COUNTIF(Wednesday!I:I, B982)</f>
        <v>0</v>
      </c>
      <c r="F982">
        <f>COUNTIF(Thursday!I:I, B982)</f>
        <v>0</v>
      </c>
      <c r="G982">
        <f>COUNTIF(Friday!I:I, B982)</f>
        <v>0</v>
      </c>
      <c r="H982">
        <f>SUM(C982:G982)</f>
        <v>0</v>
      </c>
    </row>
    <row r="983" spans="1:8" x14ac:dyDescent="0.25">
      <c r="A983" s="5" t="s">
        <v>976</v>
      </c>
      <c r="B983" t="str">
        <f>"*"&amp;A983&amp;"*"</f>
        <v>*2219: Poor Tactile Feedback*</v>
      </c>
      <c r="C983">
        <f>COUNTIF(Monday!I:I, B983)</f>
        <v>0</v>
      </c>
      <c r="D983">
        <f>COUNTIF(Tuesday!I:I, B983)</f>
        <v>0</v>
      </c>
      <c r="E983">
        <f>COUNTIF(Wednesday!I:I, B983)</f>
        <v>0</v>
      </c>
      <c r="F983">
        <f>COUNTIF(Thursday!I:I, B983)</f>
        <v>0</v>
      </c>
      <c r="G983">
        <f>COUNTIF(Friday!I:I, B983)</f>
        <v>0</v>
      </c>
      <c r="H983">
        <f>SUM(C983:G983)</f>
        <v>0</v>
      </c>
    </row>
    <row r="984" spans="1:8" x14ac:dyDescent="0.25">
      <c r="A984" s="5" t="s">
        <v>977</v>
      </c>
      <c r="B984" t="str">
        <f>"*"&amp;A984&amp;"*"</f>
        <v>*1405: Dimensional Problem*</v>
      </c>
      <c r="C984">
        <f>COUNTIF(Monday!I:I, B984)</f>
        <v>0</v>
      </c>
      <c r="D984">
        <f>COUNTIF(Tuesday!I:I, B984)</f>
        <v>0</v>
      </c>
      <c r="E984">
        <f>COUNTIF(Wednesday!I:I, B984)</f>
        <v>0</v>
      </c>
      <c r="F984">
        <f>COUNTIF(Thursday!I:I, B984)</f>
        <v>0</v>
      </c>
      <c r="G984">
        <f>COUNTIF(Friday!I:I, B984)</f>
        <v>0</v>
      </c>
      <c r="H984">
        <f>SUM(C984:G984)</f>
        <v>0</v>
      </c>
    </row>
    <row r="985" spans="1:8" x14ac:dyDescent="0.25">
      <c r="A985" s="5" t="s">
        <v>978</v>
      </c>
      <c r="B985" t="str">
        <f>"*"&amp;A985&amp;"*"</f>
        <v>*2333: Slow To Open/Close*</v>
      </c>
      <c r="C985">
        <f>COUNTIF(Monday!I:I, B985)</f>
        <v>0</v>
      </c>
      <c r="D985">
        <f>COUNTIF(Tuesday!I:I, B985)</f>
        <v>0</v>
      </c>
      <c r="E985">
        <f>COUNTIF(Wednesday!I:I, B985)</f>
        <v>0</v>
      </c>
      <c r="F985">
        <f>COUNTIF(Thursday!I:I, B985)</f>
        <v>0</v>
      </c>
      <c r="G985">
        <f>COUNTIF(Friday!I:I, B985)</f>
        <v>0</v>
      </c>
      <c r="H985">
        <f>SUM(C985:G985)</f>
        <v>0</v>
      </c>
    </row>
    <row r="986" spans="1:8" x14ac:dyDescent="0.25">
      <c r="A986" s="5" t="s">
        <v>979</v>
      </c>
      <c r="B986" t="str">
        <f>"*"&amp;A986&amp;"*"</f>
        <v>*1334: Difficult To Open Or Close*</v>
      </c>
      <c r="C986">
        <f>COUNTIF(Monday!I:I, B986)</f>
        <v>0</v>
      </c>
      <c r="D986">
        <f>COUNTIF(Tuesday!I:I, B986)</f>
        <v>0</v>
      </c>
      <c r="E986">
        <f>COUNTIF(Wednesday!I:I, B986)</f>
        <v>0</v>
      </c>
      <c r="F986">
        <f>COUNTIF(Thursday!I:I, B986)</f>
        <v>0</v>
      </c>
      <c r="G986">
        <f>COUNTIF(Friday!I:I, B986)</f>
        <v>0</v>
      </c>
      <c r="H986">
        <f>SUM(C986:G986)</f>
        <v>0</v>
      </c>
    </row>
    <row r="987" spans="1:8" x14ac:dyDescent="0.25">
      <c r="A987" s="5" t="s">
        <v>980</v>
      </c>
      <c r="B987" t="str">
        <f>"*"&amp;A987&amp;"*"</f>
        <v>*2442: Unintended Movement*</v>
      </c>
      <c r="C987">
        <f>COUNTIF(Monday!I:I, B987)</f>
        <v>0</v>
      </c>
      <c r="D987">
        <f>COUNTIF(Tuesday!I:I, B987)</f>
        <v>0</v>
      </c>
      <c r="E987">
        <f>COUNTIF(Wednesday!I:I, B987)</f>
        <v>0</v>
      </c>
      <c r="F987">
        <f>COUNTIF(Thursday!I:I, B987)</f>
        <v>0</v>
      </c>
      <c r="G987">
        <f>COUNTIF(Friday!I:I, B987)</f>
        <v>0</v>
      </c>
      <c r="H987">
        <f>SUM(C987:G987)</f>
        <v>0</v>
      </c>
    </row>
    <row r="988" spans="1:8" x14ac:dyDescent="0.25">
      <c r="A988" s="5" t="s">
        <v>981</v>
      </c>
      <c r="B988" t="str">
        <f>"*"&amp;A988&amp;"*"</f>
        <v>*1542: Failure To Maintain Device In Open Position*</v>
      </c>
      <c r="C988">
        <f>COUNTIF(Monday!I:I, B988)</f>
        <v>0</v>
      </c>
      <c r="D988">
        <f>COUNTIF(Tuesday!I:I, B988)</f>
        <v>0</v>
      </c>
      <c r="E988">
        <f>COUNTIF(Wednesday!I:I, B988)</f>
        <v>0</v>
      </c>
      <c r="F988">
        <f>COUNTIF(Thursday!I:I, B988)</f>
        <v>0</v>
      </c>
      <c r="G988">
        <f>COUNTIF(Friday!I:I, B988)</f>
        <v>0</v>
      </c>
      <c r="H988">
        <f>SUM(C988:G988)</f>
        <v>0</v>
      </c>
    </row>
    <row r="989" spans="1:8" x14ac:dyDescent="0.25">
      <c r="A989" s="5" t="s">
        <v>982</v>
      </c>
      <c r="B989" t="str">
        <f>"*"&amp;A989&amp;"*"</f>
        <v>*2254: Push Back*</v>
      </c>
      <c r="C989">
        <f>COUNTIF(Monday!I:I, B989)</f>
        <v>0</v>
      </c>
      <c r="D989">
        <f>COUNTIF(Tuesday!I:I, B989)</f>
        <v>0</v>
      </c>
      <c r="E989">
        <f>COUNTIF(Wednesday!I:I, B989)</f>
        <v>0</v>
      </c>
      <c r="F989">
        <f>COUNTIF(Thursday!I:I, B989)</f>
        <v>0</v>
      </c>
      <c r="G989">
        <f>COUNTIF(Friday!I:I, B989)</f>
        <v>0</v>
      </c>
      <c r="H989">
        <f>SUM(C989:G989)</f>
        <v>0</v>
      </c>
    </row>
    <row r="990" spans="1:8" x14ac:dyDescent="0.25">
      <c r="A990" s="5" t="s">
        <v>983</v>
      </c>
      <c r="B990" t="str">
        <f>"*"&amp;A990&amp;"*"</f>
        <v>*1587: Failure To Separate*</v>
      </c>
      <c r="C990">
        <f>COUNTIF(Monday!I:I, B990)</f>
        <v>0</v>
      </c>
      <c r="D990">
        <f>COUNTIF(Tuesday!I:I, B990)</f>
        <v>0</v>
      </c>
      <c r="E990">
        <f>COUNTIF(Wednesday!I:I, B990)</f>
        <v>0</v>
      </c>
      <c r="F990">
        <f>COUNTIF(Thursday!I:I, B990)</f>
        <v>0</v>
      </c>
      <c r="G990">
        <f>COUNTIF(Friday!I:I, B990)</f>
        <v>0</v>
      </c>
      <c r="H990">
        <f>SUM(C990:G990)</f>
        <v>0</v>
      </c>
    </row>
    <row r="991" spans="1:8" x14ac:dyDescent="0.25">
      <c r="A991" s="5" t="s">
        <v>984</v>
      </c>
      <c r="B991" t="str">
        <f>"*"&amp;A991&amp;"*"</f>
        <v>*3066: Momentary Disruption Of Visualization With Recovery*</v>
      </c>
      <c r="C991">
        <f>COUNTIF(Monday!I:I, B991)</f>
        <v>0</v>
      </c>
      <c r="D991">
        <f>COUNTIF(Tuesday!I:I, B991)</f>
        <v>0</v>
      </c>
      <c r="E991">
        <f>COUNTIF(Wednesday!I:I, B991)</f>
        <v>0</v>
      </c>
      <c r="F991">
        <f>COUNTIF(Thursday!I:I, B991)</f>
        <v>0</v>
      </c>
      <c r="G991">
        <f>COUNTIF(Friday!I:I, B991)</f>
        <v>0</v>
      </c>
      <c r="H991">
        <f>SUM(C991:G991)</f>
        <v>0</v>
      </c>
    </row>
    <row r="992" spans="1:8" x14ac:dyDescent="0.25">
      <c r="A992" s="5" t="s">
        <v>985</v>
      </c>
      <c r="B992" t="str">
        <f>"*"&amp;A992&amp;"*"</f>
        <v>*3226: Reuse Error*</v>
      </c>
      <c r="C992">
        <f>COUNTIF(Monday!I:I, B992)</f>
        <v>0</v>
      </c>
      <c r="D992">
        <f>COUNTIF(Tuesday!I:I, B992)</f>
        <v>0</v>
      </c>
      <c r="E992">
        <f>COUNTIF(Wednesday!I:I, B992)</f>
        <v>0</v>
      </c>
      <c r="F992">
        <f>COUNTIF(Thursday!I:I, B992)</f>
        <v>0</v>
      </c>
      <c r="G992">
        <f>COUNTIF(Friday!I:I, B992)</f>
        <v>0</v>
      </c>
      <c r="H992">
        <f>SUM(C992:G992)</f>
        <v>0</v>
      </c>
    </row>
    <row r="993" spans="1:8" x14ac:dyDescent="0.25">
      <c r="A993" s="5" t="s">
        <v>986</v>
      </c>
      <c r="B993" t="str">
        <f>"*"&amp;A993&amp;"*"</f>
        <v>*1326: Difficult To Lock*</v>
      </c>
      <c r="C993">
        <f>COUNTIF(Monday!I:I, B993)</f>
        <v>0</v>
      </c>
      <c r="D993">
        <f>COUNTIF(Tuesday!I:I, B993)</f>
        <v>0</v>
      </c>
      <c r="E993">
        <f>COUNTIF(Wednesday!I:I, B993)</f>
        <v>0</v>
      </c>
      <c r="F993">
        <f>COUNTIF(Thursday!I:I, B993)</f>
        <v>0</v>
      </c>
      <c r="G993">
        <f>COUNTIF(Friday!I:I, B993)</f>
        <v>0</v>
      </c>
      <c r="H993">
        <f>SUM(C993:G993)</f>
        <v>0</v>
      </c>
    </row>
    <row r="994" spans="1:8" x14ac:dyDescent="0.25">
      <c r="A994" s="5" t="s">
        <v>987</v>
      </c>
      <c r="B994" t="str">
        <f>"*"&amp;A994&amp;"*"</f>
        <v>*1275: Difficult To Advance Accessories*</v>
      </c>
      <c r="C994">
        <f>COUNTIF(Monday!I:I, B994)</f>
        <v>0</v>
      </c>
      <c r="D994">
        <f>COUNTIF(Tuesday!I:I, B994)</f>
        <v>0</v>
      </c>
      <c r="E994">
        <f>COUNTIF(Wednesday!I:I, B994)</f>
        <v>0</v>
      </c>
      <c r="F994">
        <f>COUNTIF(Thursday!I:I, B994)</f>
        <v>0</v>
      </c>
      <c r="G994">
        <f>COUNTIF(Friday!I:I, B994)</f>
        <v>0</v>
      </c>
      <c r="H994">
        <f>SUM(C994:G994)</f>
        <v>0</v>
      </c>
    </row>
    <row r="995" spans="1:8" x14ac:dyDescent="0.25">
      <c r="A995" s="5" t="s">
        <v>988</v>
      </c>
      <c r="B995" t="str">
        <f>"*"&amp;A995&amp;"*"</f>
        <v>*2412: Too Flexible*</v>
      </c>
      <c r="C995">
        <f>COUNTIF(Monday!I:I, B995)</f>
        <v>0</v>
      </c>
      <c r="D995">
        <f>COUNTIF(Tuesday!I:I, B995)</f>
        <v>0</v>
      </c>
      <c r="E995">
        <f>COUNTIF(Wednesday!I:I, B995)</f>
        <v>0</v>
      </c>
      <c r="F995">
        <f>COUNTIF(Thursday!I:I, B995)</f>
        <v>0</v>
      </c>
      <c r="G995">
        <f>COUNTIF(Friday!I:I, B995)</f>
        <v>0</v>
      </c>
      <c r="H995">
        <f>SUM(C995:G995)</f>
        <v>0</v>
      </c>
    </row>
    <row r="996" spans="1:8" x14ac:dyDescent="0.25">
      <c r="A996" s="5" t="s">
        <v>989</v>
      </c>
      <c r="B996" t="str">
        <f>"*"&amp;A996&amp;"*"</f>
        <v>*2480: Difficult To Remove Ancillary Device*</v>
      </c>
      <c r="C996">
        <f>COUNTIF(Monday!I:I, B996)</f>
        <v>0</v>
      </c>
      <c r="D996">
        <f>COUNTIF(Tuesday!I:I, B996)</f>
        <v>0</v>
      </c>
      <c r="E996">
        <f>COUNTIF(Wednesday!I:I, B996)</f>
        <v>0</v>
      </c>
      <c r="F996">
        <f>COUNTIF(Thursday!I:I, B996)</f>
        <v>0</v>
      </c>
      <c r="G996">
        <f>COUNTIF(Friday!I:I, B996)</f>
        <v>0</v>
      </c>
      <c r="H996">
        <f>SUM(C996:G996)</f>
        <v>0</v>
      </c>
    </row>
    <row r="997" spans="1:8" x14ac:dyDescent="0.25">
      <c r="A997" s="5" t="s">
        <v>990</v>
      </c>
      <c r="B997" t="str">
        <f>"*"&amp;A997&amp;"*"</f>
        <v>*2876: Unable To Advance Accessories*</v>
      </c>
      <c r="C997">
        <f>COUNTIF(Monday!I:I, B997)</f>
        <v>0</v>
      </c>
      <c r="D997">
        <f>COUNTIF(Tuesday!I:I, B997)</f>
        <v>0</v>
      </c>
      <c r="E997">
        <f>COUNTIF(Wednesday!I:I, B997)</f>
        <v>0</v>
      </c>
      <c r="F997">
        <f>COUNTIF(Thursday!I:I, B997)</f>
        <v>0</v>
      </c>
      <c r="G997">
        <f>COUNTIF(Friday!I:I, B997)</f>
        <v>0</v>
      </c>
      <c r="H997">
        <f>SUM(C997:G997)</f>
        <v>0</v>
      </c>
    </row>
    <row r="998" spans="1:8" x14ac:dyDescent="0.25">
      <c r="A998" s="5" t="s">
        <v>991</v>
      </c>
      <c r="B998" t="str">
        <f>"*"&amp;A998&amp;"*"</f>
        <v>*3138: Loss Of Visualization Outside The Patient*</v>
      </c>
      <c r="C998">
        <f>COUNTIF(Monday!I:I, B998)</f>
        <v>0</v>
      </c>
      <c r="D998">
        <f>COUNTIF(Tuesday!I:I, B998)</f>
        <v>0</v>
      </c>
      <c r="E998">
        <f>COUNTIF(Wednesday!I:I, B998)</f>
        <v>0</v>
      </c>
      <c r="F998">
        <f>COUNTIF(Thursday!I:I, B998)</f>
        <v>0</v>
      </c>
      <c r="G998">
        <f>COUNTIF(Friday!I:I, B998)</f>
        <v>0</v>
      </c>
      <c r="H998">
        <f>SUM(C998:G998)</f>
        <v>0</v>
      </c>
    </row>
    <row r="999" spans="1:8" x14ac:dyDescent="0.25">
      <c r="A999" s="5" t="s">
        <v>992</v>
      </c>
      <c r="B999" t="str">
        <f>"*"&amp;A999&amp;"*"</f>
        <v>*3243: Continuous Suction*</v>
      </c>
      <c r="C999">
        <f>COUNTIF(Monday!I:I, B999)</f>
        <v>0</v>
      </c>
      <c r="D999">
        <f>COUNTIF(Tuesday!I:I, B999)</f>
        <v>0</v>
      </c>
      <c r="E999">
        <f>COUNTIF(Wednesday!I:I, B999)</f>
        <v>0</v>
      </c>
      <c r="F999">
        <f>COUNTIF(Thursday!I:I, B999)</f>
        <v>0</v>
      </c>
      <c r="G999">
        <f>COUNTIF(Friday!I:I, B999)</f>
        <v>0</v>
      </c>
      <c r="H999">
        <f>SUM(C999:G999)</f>
        <v>0</v>
      </c>
    </row>
    <row r="1000" spans="1:8" x14ac:dyDescent="0.25">
      <c r="A1000" s="5" t="s">
        <v>993</v>
      </c>
      <c r="B1000" t="str">
        <f>"*"&amp;A1000&amp;"*"</f>
        <v>*2611: Unable To Actuate*</v>
      </c>
      <c r="C1000">
        <f>COUNTIF(Monday!I:I, B1000)</f>
        <v>0</v>
      </c>
      <c r="D1000">
        <f>COUNTIF(Tuesday!I:I, B1000)</f>
        <v>0</v>
      </c>
      <c r="E1000">
        <f>COUNTIF(Wednesday!I:I, B1000)</f>
        <v>0</v>
      </c>
      <c r="F1000">
        <f>COUNTIF(Thursday!I:I, B1000)</f>
        <v>0</v>
      </c>
      <c r="G1000">
        <f>COUNTIF(Friday!I:I, B1000)</f>
        <v>0</v>
      </c>
      <c r="H1000">
        <f>SUM(C1000:G1000)</f>
        <v>0</v>
      </c>
    </row>
    <row r="1001" spans="1:8" x14ac:dyDescent="0.25">
      <c r="A1001" s="5" t="s">
        <v>994</v>
      </c>
      <c r="B1001" t="str">
        <f>"*"&amp;A1001&amp;"*"</f>
        <v>*1836: Mechanical Jam*</v>
      </c>
      <c r="C1001">
        <f>COUNTIF(Monday!I:I, B1001)</f>
        <v>0</v>
      </c>
      <c r="D1001">
        <f>COUNTIF(Tuesday!I:I, B1001)</f>
        <v>0</v>
      </c>
      <c r="E1001">
        <f>COUNTIF(Wednesday!I:I, B1001)</f>
        <v>0</v>
      </c>
      <c r="F1001">
        <f>COUNTIF(Thursday!I:I, B1001)</f>
        <v>0</v>
      </c>
      <c r="G1001">
        <f>COUNTIF(Friday!I:I, B1001)</f>
        <v>0</v>
      </c>
      <c r="H1001">
        <f>SUM(C1001:G1001)</f>
        <v>0</v>
      </c>
    </row>
    <row r="1002" spans="1:8" x14ac:dyDescent="0.25">
      <c r="A1002" s="5" t="s">
        <v>995</v>
      </c>
      <c r="B1002" t="str">
        <f>"*"&amp;A1002&amp;"*"</f>
        <v>*2273: Retracted Suddenly/Unexpectedly*</v>
      </c>
      <c r="C1002">
        <f>COUNTIF(Monday!I:I, B1002)</f>
        <v>0</v>
      </c>
      <c r="D1002">
        <f>COUNTIF(Tuesday!I:I, B1002)</f>
        <v>0</v>
      </c>
      <c r="E1002">
        <f>COUNTIF(Wednesday!I:I, B1002)</f>
        <v>0</v>
      </c>
      <c r="F1002">
        <f>COUNTIF(Thursday!I:I, B1002)</f>
        <v>0</v>
      </c>
      <c r="G1002">
        <f>COUNTIF(Friday!I:I, B1002)</f>
        <v>0</v>
      </c>
      <c r="H1002">
        <f>SUM(C1002:G1002)</f>
        <v>0</v>
      </c>
    </row>
    <row r="1003" spans="1:8" x14ac:dyDescent="0.25">
      <c r="A1003" s="5" t="s">
        <v>996</v>
      </c>
      <c r="B1003" t="str">
        <f>"*"&amp;A1003&amp;"*"</f>
        <v>*2279: Rotated During Retraction*</v>
      </c>
      <c r="C1003">
        <f>COUNTIF(Monday!I:I, B1003)</f>
        <v>0</v>
      </c>
      <c r="D1003">
        <f>COUNTIF(Tuesday!I:I, B1003)</f>
        <v>0</v>
      </c>
      <c r="E1003">
        <f>COUNTIF(Wednesday!I:I, B1003)</f>
        <v>0</v>
      </c>
      <c r="F1003">
        <f>COUNTIF(Thursday!I:I, B1003)</f>
        <v>0</v>
      </c>
      <c r="G1003">
        <f>COUNTIF(Friday!I:I, B1003)</f>
        <v>0</v>
      </c>
      <c r="H1003">
        <f>SUM(C1003:G1003)</f>
        <v>0</v>
      </c>
    </row>
    <row r="1004" spans="1:8" x14ac:dyDescent="0.25">
      <c r="A1004" s="5" t="s">
        <v>997</v>
      </c>
      <c r="B1004" t="str">
        <f>"*"&amp;A1004&amp;"*"</f>
        <v>*2281: Rotates During Extension*</v>
      </c>
      <c r="C1004">
        <f>COUNTIF(Monday!I:I, B1004)</f>
        <v>0</v>
      </c>
      <c r="D1004">
        <f>COUNTIF(Tuesday!I:I, B1004)</f>
        <v>0</v>
      </c>
      <c r="E1004">
        <f>COUNTIF(Wednesday!I:I, B1004)</f>
        <v>0</v>
      </c>
      <c r="F1004">
        <f>COUNTIF(Thursday!I:I, B1004)</f>
        <v>0</v>
      </c>
      <c r="G1004">
        <f>COUNTIF(Friday!I:I, B1004)</f>
        <v>0</v>
      </c>
      <c r="H1004">
        <f>SUM(C1004:G1004)</f>
        <v>0</v>
      </c>
    </row>
    <row r="1005" spans="1:8" x14ac:dyDescent="0.25">
      <c r="A1005" s="5" t="s">
        <v>998</v>
      </c>
      <c r="B1005" t="str">
        <f>"*"&amp;A1005&amp;"*"</f>
        <v>*2415: Too Small*</v>
      </c>
      <c r="C1005">
        <f>COUNTIF(Monday!I:I, B1005)</f>
        <v>0</v>
      </c>
      <c r="D1005">
        <f>COUNTIF(Tuesday!I:I, B1005)</f>
        <v>0</v>
      </c>
      <c r="E1005">
        <f>COUNTIF(Wednesday!I:I, B1005)</f>
        <v>0</v>
      </c>
      <c r="F1005">
        <f>COUNTIF(Thursday!I:I, B1005)</f>
        <v>0</v>
      </c>
      <c r="G1005">
        <f>COUNTIF(Friday!I:I, B1005)</f>
        <v>0</v>
      </c>
      <c r="H1005">
        <f>SUM(C1005:G1005)</f>
        <v>0</v>
      </c>
    </row>
    <row r="1006" spans="1:8" x14ac:dyDescent="0.25">
      <c r="A1006" s="5" t="s">
        <v>999</v>
      </c>
      <c r="B1006" t="str">
        <f>"*"&amp;A1006&amp;"*"</f>
        <v>*2597: Failure to Capture/Remove Foreign Body*</v>
      </c>
      <c r="C1006">
        <f>COUNTIF(Monday!I:I, B1006)</f>
        <v>0</v>
      </c>
      <c r="D1006">
        <f>COUNTIF(Tuesday!I:I, B1006)</f>
        <v>0</v>
      </c>
      <c r="E1006">
        <f>COUNTIF(Wednesday!I:I, B1006)</f>
        <v>0</v>
      </c>
      <c r="F1006">
        <f>COUNTIF(Thursday!I:I, B1006)</f>
        <v>0</v>
      </c>
      <c r="G1006">
        <f>COUNTIF(Friday!I:I, B1006)</f>
        <v>0</v>
      </c>
      <c r="H1006">
        <f>SUM(C1006:G1006)</f>
        <v>0</v>
      </c>
    </row>
    <row r="1007" spans="1:8" x14ac:dyDescent="0.25">
      <c r="A1007" s="5" t="s">
        <v>1000</v>
      </c>
      <c r="B1007" t="str">
        <f>"*"&amp;A1007&amp;"*"</f>
        <v>*1361: Difficult To Retract*</v>
      </c>
      <c r="C1007">
        <f>COUNTIF(Monday!I:I, B1007)</f>
        <v>0</v>
      </c>
      <c r="D1007">
        <f>COUNTIF(Tuesday!I:I, B1007)</f>
        <v>0</v>
      </c>
      <c r="E1007">
        <f>COUNTIF(Wednesday!I:I, B1007)</f>
        <v>0</v>
      </c>
      <c r="F1007">
        <f>COUNTIF(Thursday!I:I, B1007)</f>
        <v>0</v>
      </c>
      <c r="G1007">
        <f>COUNTIF(Friday!I:I, B1007)</f>
        <v>0</v>
      </c>
      <c r="H1007">
        <f>SUM(C1007:G1007)</f>
        <v>0</v>
      </c>
    </row>
    <row r="1008" spans="1:8" x14ac:dyDescent="0.25">
      <c r="A1008" s="5" t="s">
        <v>1001</v>
      </c>
      <c r="B1008" t="str">
        <f>"*"&amp;A1008&amp;"*"</f>
        <v>*2252: Pumping Issue*</v>
      </c>
      <c r="C1008">
        <f>COUNTIF(Monday!I:I, B1008)</f>
        <v>0</v>
      </c>
      <c r="D1008">
        <f>COUNTIF(Tuesday!I:I, B1008)</f>
        <v>0</v>
      </c>
      <c r="E1008">
        <f>COUNTIF(Wednesday!I:I, B1008)</f>
        <v>0</v>
      </c>
      <c r="F1008">
        <f>COUNTIF(Thursday!I:I, B1008)</f>
        <v>0</v>
      </c>
      <c r="G1008">
        <f>COUNTIF(Friday!I:I, B1008)</f>
        <v>0</v>
      </c>
      <c r="H1008">
        <f>SUM(C1008:G1008)</f>
        <v>0</v>
      </c>
    </row>
    <row r="1009" spans="1:8" x14ac:dyDescent="0.25">
      <c r="A1009" s="5" t="s">
        <v>1002</v>
      </c>
      <c r="B1009" t="str">
        <f>"*"&amp;A1009&amp;"*"</f>
        <v>*1714: Incorrect Display*</v>
      </c>
      <c r="C1009">
        <f>COUNTIF(Monday!I:I, B1009)</f>
        <v>0</v>
      </c>
      <c r="D1009">
        <f>COUNTIF(Tuesday!I:I, B1009)</f>
        <v>0</v>
      </c>
      <c r="E1009">
        <f>COUNTIF(Wednesday!I:I, B1009)</f>
        <v>0</v>
      </c>
      <c r="F1009">
        <f>COUNTIF(Thursday!I:I, B1009)</f>
        <v>0</v>
      </c>
      <c r="G1009">
        <f>COUNTIF(Friday!I:I, B1009)</f>
        <v>0</v>
      </c>
      <c r="H1009">
        <f>SUM(C1009:G1009)</f>
        <v>0</v>
      </c>
    </row>
    <row r="1010" spans="1:8" x14ac:dyDescent="0.25">
      <c r="A1010" s="5" t="s">
        <v>1003</v>
      </c>
      <c r="B1010" t="str">
        <f>"*"&amp;A1010&amp;"*"</f>
        <v>*1021: Aspiration Issue*</v>
      </c>
      <c r="C1010">
        <f>COUNTIF(Monday!I:I, B1010)</f>
        <v>0</v>
      </c>
      <c r="D1010">
        <f>COUNTIF(Tuesday!I:I, B1010)</f>
        <v>0</v>
      </c>
      <c r="E1010">
        <f>COUNTIF(Wednesday!I:I, B1010)</f>
        <v>0</v>
      </c>
      <c r="F1010">
        <f>COUNTIF(Thursday!I:I, B1010)</f>
        <v>0</v>
      </c>
      <c r="G1010">
        <f>COUNTIF(Friday!I:I, B1010)</f>
        <v>0</v>
      </c>
      <c r="H1010">
        <f>SUM(C1010:G1010)</f>
        <v>0</v>
      </c>
    </row>
    <row r="1011" spans="1:8" x14ac:dyDescent="0.25">
      <c r="A1011" s="5" t="s">
        <v>1004</v>
      </c>
      <c r="B1011" t="str">
        <f>"*"&amp;A1011&amp;"*"</f>
        <v>*2346: Steering Break/Locking Feature Not Functional*</v>
      </c>
      <c r="C1011">
        <f>COUNTIF(Monday!I:I, B1011)</f>
        <v>0</v>
      </c>
      <c r="D1011">
        <f>COUNTIF(Tuesday!I:I, B1011)</f>
        <v>0</v>
      </c>
      <c r="E1011">
        <f>COUNTIF(Wednesday!I:I, B1011)</f>
        <v>0</v>
      </c>
      <c r="F1011">
        <f>COUNTIF(Thursday!I:I, B1011)</f>
        <v>0</v>
      </c>
      <c r="G1011">
        <f>COUNTIF(Friday!I:I, B1011)</f>
        <v>0</v>
      </c>
      <c r="H1011">
        <f>SUM(C1011:G1011)</f>
        <v>0</v>
      </c>
    </row>
    <row r="1012" spans="1:8" x14ac:dyDescent="0.25">
      <c r="A1012" s="5" t="s">
        <v>1005</v>
      </c>
      <c r="B1012" t="str">
        <f>"*"&amp;A1012&amp;"*"</f>
        <v>*1824: Material Protrusion*</v>
      </c>
      <c r="C1012">
        <f>COUNTIF(Monday!I:I, B1012)</f>
        <v>0</v>
      </c>
      <c r="D1012">
        <f>COUNTIF(Tuesday!I:I, B1012)</f>
        <v>0</v>
      </c>
      <c r="E1012">
        <f>COUNTIF(Wednesday!I:I, B1012)</f>
        <v>0</v>
      </c>
      <c r="F1012">
        <f>COUNTIF(Thursday!I:I, B1012)</f>
        <v>0</v>
      </c>
      <c r="G1012">
        <f>COUNTIF(Friday!I:I, B1012)</f>
        <v>0</v>
      </c>
      <c r="H1012">
        <f>SUM(C1012:G1012)</f>
        <v>0</v>
      </c>
    </row>
    <row r="1013" spans="1:8" x14ac:dyDescent="0.25">
      <c r="A1013" s="5" t="s">
        <v>1006</v>
      </c>
      <c r="B1013" t="str">
        <f>"*"&amp;A1013&amp;"*"</f>
        <v>*2066: Misassembled*</v>
      </c>
      <c r="C1013">
        <f>COUNTIF(Monday!I:I, B1013)</f>
        <v>0</v>
      </c>
      <c r="D1013">
        <f>COUNTIF(Tuesday!I:I, B1013)</f>
        <v>0</v>
      </c>
      <c r="E1013">
        <f>COUNTIF(Wednesday!I:I, B1013)</f>
        <v>0</v>
      </c>
      <c r="F1013">
        <f>COUNTIF(Thursday!I:I, B1013)</f>
        <v>0</v>
      </c>
      <c r="G1013">
        <f>COUNTIF(Friday!I:I, B1013)</f>
        <v>0</v>
      </c>
      <c r="H1013">
        <f>SUM(C1013:G1013)</f>
        <v>0</v>
      </c>
    </row>
    <row r="1014" spans="1:8" x14ac:dyDescent="0.25">
      <c r="A1014" s="5" t="s">
        <v>1007</v>
      </c>
      <c r="B1014" t="str">
        <f>"*"&amp;A1014&amp;"*"</f>
        <v>*1507: Failure To Curl*</v>
      </c>
      <c r="C1014">
        <f>COUNTIF(Monday!I:I, B1014)</f>
        <v>0</v>
      </c>
      <c r="D1014">
        <f>COUNTIF(Tuesday!I:I, B1014)</f>
        <v>0</v>
      </c>
      <c r="E1014">
        <f>COUNTIF(Wednesday!I:I, B1014)</f>
        <v>0</v>
      </c>
      <c r="F1014">
        <f>COUNTIF(Thursday!I:I, B1014)</f>
        <v>0</v>
      </c>
      <c r="G1014">
        <f>COUNTIF(Friday!I:I, B1014)</f>
        <v>0</v>
      </c>
      <c r="H1014">
        <f>SUM(C1014:G1014)</f>
        <v>0</v>
      </c>
    </row>
    <row r="1015" spans="1:8" x14ac:dyDescent="0.25">
      <c r="A1015" s="5" t="s">
        <v>1008</v>
      </c>
      <c r="B1015" t="str">
        <f>"*"&amp;A1015&amp;"*"</f>
        <v>*2062: Migrated Into Pancreatic Duct*</v>
      </c>
      <c r="C1015">
        <f>COUNTIF(Monday!I:I, B1015)</f>
        <v>0</v>
      </c>
      <c r="D1015">
        <f>COUNTIF(Tuesday!I:I, B1015)</f>
        <v>0</v>
      </c>
      <c r="E1015">
        <f>COUNTIF(Wednesday!I:I, B1015)</f>
        <v>0</v>
      </c>
      <c r="F1015">
        <f>COUNTIF(Thursday!I:I, B1015)</f>
        <v>0</v>
      </c>
      <c r="G1015">
        <f>COUNTIF(Friday!I:I, B1015)</f>
        <v>0</v>
      </c>
      <c r="H1015">
        <f>SUM(C1015:G1015)</f>
        <v>0</v>
      </c>
    </row>
    <row r="1016" spans="1:8" x14ac:dyDescent="0.25">
      <c r="A1016" s="5" t="s">
        <v>1009</v>
      </c>
      <c r="B1016" t="str">
        <f>"*"&amp;A1016&amp;"*"</f>
        <v>*2349: Stent Pigtail Failed To Curl/Straightened After Deployment*</v>
      </c>
      <c r="C1016">
        <f>COUNTIF(Monday!I:I, B1016)</f>
        <v>0</v>
      </c>
      <c r="D1016">
        <f>COUNTIF(Tuesday!I:I, B1016)</f>
        <v>0</v>
      </c>
      <c r="E1016">
        <f>COUNTIF(Wednesday!I:I, B1016)</f>
        <v>0</v>
      </c>
      <c r="F1016">
        <f>COUNTIF(Thursday!I:I, B1016)</f>
        <v>0</v>
      </c>
      <c r="G1016">
        <f>COUNTIF(Friday!I:I, B1016)</f>
        <v>0</v>
      </c>
      <c r="H1016">
        <f>SUM(C1016:G1016)</f>
        <v>0</v>
      </c>
    </row>
    <row r="1017" spans="1:8" x14ac:dyDescent="0.25">
      <c r="A1017" s="5" t="s">
        <v>1010</v>
      </c>
      <c r="B1017" t="str">
        <f>"*"&amp;A1017&amp;"*"</f>
        <v>*1541: Failure To Loosen*</v>
      </c>
      <c r="C1017">
        <f>COUNTIF(Monday!I:I, B1017)</f>
        <v>0</v>
      </c>
      <c r="D1017">
        <f>COUNTIF(Tuesday!I:I, B1017)</f>
        <v>0</v>
      </c>
      <c r="E1017">
        <f>COUNTIF(Wednesday!I:I, B1017)</f>
        <v>0</v>
      </c>
      <c r="F1017">
        <f>COUNTIF(Thursday!I:I, B1017)</f>
        <v>0</v>
      </c>
      <c r="G1017">
        <f>COUNTIF(Friday!I:I, B1017)</f>
        <v>0</v>
      </c>
      <c r="H1017">
        <f>SUM(C1017:G1017)</f>
        <v>0</v>
      </c>
    </row>
    <row r="1018" spans="1:8" x14ac:dyDescent="0.25">
      <c r="A1018" s="5" t="s">
        <v>1011</v>
      </c>
      <c r="B1018" t="str">
        <f>"*"&amp;A1018&amp;"*"</f>
        <v>*1591: Failure To Tighten*</v>
      </c>
      <c r="C1018">
        <f>COUNTIF(Monday!I:I, B1018)</f>
        <v>0</v>
      </c>
      <c r="D1018">
        <f>COUNTIF(Tuesday!I:I, B1018)</f>
        <v>0</v>
      </c>
      <c r="E1018">
        <f>COUNTIF(Wednesday!I:I, B1018)</f>
        <v>0</v>
      </c>
      <c r="F1018">
        <f>COUNTIF(Thursday!I:I, B1018)</f>
        <v>0</v>
      </c>
      <c r="G1018">
        <f>COUNTIF(Friday!I:I, B1018)</f>
        <v>0</v>
      </c>
      <c r="H1018">
        <f>SUM(C1018:G1018)</f>
        <v>0</v>
      </c>
    </row>
    <row r="1019" spans="1:8" x14ac:dyDescent="0.25">
      <c r="A1019" s="5" t="s">
        <v>1012</v>
      </c>
      <c r="B1019" t="str">
        <f>"*"&amp;A1019&amp;"*"</f>
        <v>*1539: Failure To Lock/Unlock After Entering Target Structure*</v>
      </c>
      <c r="C1019">
        <f>COUNTIF(Monday!I:I, B1019)</f>
        <v>0</v>
      </c>
      <c r="D1019">
        <f>COUNTIF(Tuesday!I:I, B1019)</f>
        <v>0</v>
      </c>
      <c r="E1019">
        <f>COUNTIF(Wednesday!I:I, B1019)</f>
        <v>0</v>
      </c>
      <c r="F1019">
        <f>COUNTIF(Thursday!I:I, B1019)</f>
        <v>0</v>
      </c>
      <c r="G1019">
        <f>COUNTIF(Friday!I:I, B1019)</f>
        <v>0</v>
      </c>
      <c r="H1019">
        <f>SUM(C1019:G1019)</f>
        <v>0</v>
      </c>
    </row>
    <row r="1020" spans="1:8" x14ac:dyDescent="0.25">
      <c r="A1020" s="5" t="s">
        <v>1013</v>
      </c>
      <c r="B1020" t="str">
        <f>"*"&amp;A1020&amp;"*"</f>
        <v>*1540: Failure To Lock/Unlock Prior To Entering Target Structure*</v>
      </c>
      <c r="C1020">
        <f>COUNTIF(Monday!I:I, B1020)</f>
        <v>0</v>
      </c>
      <c r="D1020">
        <f>COUNTIF(Tuesday!I:I, B1020)</f>
        <v>0</v>
      </c>
      <c r="E1020">
        <f>COUNTIF(Wednesday!I:I, B1020)</f>
        <v>0</v>
      </c>
      <c r="F1020">
        <f>COUNTIF(Thursday!I:I, B1020)</f>
        <v>0</v>
      </c>
      <c r="G1020">
        <f>COUNTIF(Friday!I:I, B1020)</f>
        <v>0</v>
      </c>
      <c r="H1020">
        <f>SUM(C1020:G1020)</f>
        <v>0</v>
      </c>
    </row>
    <row r="1021" spans="1:8" x14ac:dyDescent="0.25">
      <c r="A1021" s="5" t="s">
        <v>1014</v>
      </c>
      <c r="B1021" t="str">
        <f>"*"&amp;A1021&amp;"*"</f>
        <v>*1327: Difficult To Lock Or Unlock*</v>
      </c>
      <c r="C1021">
        <f>COUNTIF(Monday!I:I, B1021)</f>
        <v>0</v>
      </c>
      <c r="D1021">
        <f>COUNTIF(Tuesday!I:I, B1021)</f>
        <v>0</v>
      </c>
      <c r="E1021">
        <f>COUNTIF(Wednesday!I:I, B1021)</f>
        <v>0</v>
      </c>
      <c r="F1021">
        <f>COUNTIF(Thursday!I:I, B1021)</f>
        <v>0</v>
      </c>
      <c r="G1021">
        <f>COUNTIF(Friday!I:I, B1021)</f>
        <v>0</v>
      </c>
      <c r="H1021">
        <f>SUM(C1021:G1021)</f>
        <v>0</v>
      </c>
    </row>
    <row r="1022" spans="1:8" x14ac:dyDescent="0.25">
      <c r="A1022" s="5" t="s">
        <v>1015</v>
      </c>
      <c r="B1022" t="str">
        <f>"*"&amp;A1022&amp;"*"</f>
        <v>*1764: Kinking Out Of Gas*</v>
      </c>
      <c r="C1022">
        <f>COUNTIF(Monday!I:I, B1022)</f>
        <v>0</v>
      </c>
      <c r="D1022">
        <f>COUNTIF(Tuesday!I:I, B1022)</f>
        <v>0</v>
      </c>
      <c r="E1022">
        <f>COUNTIF(Wednesday!I:I, B1022)</f>
        <v>0</v>
      </c>
      <c r="F1022">
        <f>COUNTIF(Thursday!I:I, B1022)</f>
        <v>0</v>
      </c>
      <c r="G1022">
        <f>COUNTIF(Friday!I:I, B1022)</f>
        <v>0</v>
      </c>
      <c r="H1022">
        <f>SUM(C1022:G1022)</f>
        <v>0</v>
      </c>
    </row>
    <row r="1023" spans="1:8" x14ac:dyDescent="0.25">
      <c r="A1023" s="5" t="s">
        <v>1016</v>
      </c>
      <c r="B1023" t="str">
        <f>"*"&amp;A1023&amp;"*"</f>
        <v>*1830: Material Torqued*</v>
      </c>
      <c r="C1023">
        <f>COUNTIF(Monday!I:I, B1023)</f>
        <v>0</v>
      </c>
      <c r="D1023">
        <f>COUNTIF(Tuesday!I:I, B1023)</f>
        <v>0</v>
      </c>
      <c r="E1023">
        <f>COUNTIF(Wednesday!I:I, B1023)</f>
        <v>0</v>
      </c>
      <c r="F1023">
        <f>COUNTIF(Thursday!I:I, B1023)</f>
        <v>0</v>
      </c>
      <c r="G1023">
        <f>COUNTIF(Friday!I:I, B1023)</f>
        <v>0</v>
      </c>
      <c r="H1023">
        <f>SUM(C1023:G1023)</f>
        <v>0</v>
      </c>
    </row>
    <row r="1024" spans="1:8" x14ac:dyDescent="0.25">
      <c r="A1024" s="5" t="s">
        <v>1017</v>
      </c>
      <c r="B1024" t="str">
        <f>"*"&amp;A1024&amp;"*"</f>
        <v>*1342: Difficult To Reconstrain*</v>
      </c>
      <c r="C1024">
        <f>COUNTIF(Monday!I:I, B1024)</f>
        <v>0</v>
      </c>
      <c r="D1024">
        <f>COUNTIF(Tuesday!I:I, B1024)</f>
        <v>0</v>
      </c>
      <c r="E1024">
        <f>COUNTIF(Wednesday!I:I, B1024)</f>
        <v>0</v>
      </c>
      <c r="F1024">
        <f>COUNTIF(Thursday!I:I, B1024)</f>
        <v>0</v>
      </c>
      <c r="G1024">
        <f>COUNTIF(Friday!I:I, B1024)</f>
        <v>0</v>
      </c>
      <c r="H1024">
        <f>SUM(C1024:G1024)</f>
        <v>0</v>
      </c>
    </row>
    <row r="1025" spans="1:8" x14ac:dyDescent="0.25">
      <c r="A1025" s="5" t="s">
        <v>1018</v>
      </c>
      <c r="B1025" t="str">
        <f>"*"&amp;A1025&amp;"*"</f>
        <v>*1521: Failure To Expand*</v>
      </c>
      <c r="C1025">
        <f>COUNTIF(Monday!I:I, B1025)</f>
        <v>0</v>
      </c>
      <c r="D1025">
        <f>COUNTIF(Tuesday!I:I, B1025)</f>
        <v>0</v>
      </c>
      <c r="E1025">
        <f>COUNTIF(Wednesday!I:I, B1025)</f>
        <v>0</v>
      </c>
      <c r="F1025">
        <f>COUNTIF(Thursday!I:I, B1025)</f>
        <v>0</v>
      </c>
      <c r="G1025">
        <f>COUNTIF(Friday!I:I, B1025)</f>
        <v>0</v>
      </c>
      <c r="H1025">
        <f>SUM(C1025:G1025)</f>
        <v>0</v>
      </c>
    </row>
    <row r="1026" spans="1:8" x14ac:dyDescent="0.25">
      <c r="A1026" s="5" t="s">
        <v>1019</v>
      </c>
      <c r="B1026" t="str">
        <f>"*"&amp;A1026&amp;"*"</f>
        <v>*1631: Folded*</v>
      </c>
      <c r="C1026">
        <f>COUNTIF(Monday!I:I, B1026)</f>
        <v>0</v>
      </c>
      <c r="D1026">
        <f>COUNTIF(Tuesday!I:I, B1026)</f>
        <v>0</v>
      </c>
      <c r="E1026">
        <f>COUNTIF(Wednesday!I:I, B1026)</f>
        <v>0</v>
      </c>
      <c r="F1026">
        <f>COUNTIF(Thursday!I:I, B1026)</f>
        <v>0</v>
      </c>
      <c r="G1026">
        <f>COUNTIF(Friday!I:I, B1026)</f>
        <v>0</v>
      </c>
      <c r="H1026">
        <f>SUM(C1026:G1026)</f>
        <v>0</v>
      </c>
    </row>
    <row r="1027" spans="1:8" x14ac:dyDescent="0.25">
      <c r="A1027" s="5" t="s">
        <v>1020</v>
      </c>
      <c r="B1027" t="str">
        <f>"*"&amp;A1027&amp;"*"</f>
        <v>*2166: Overgrowth*</v>
      </c>
      <c r="C1027">
        <f>COUNTIF(Monday!I:I, B1027)</f>
        <v>0</v>
      </c>
      <c r="D1027">
        <f>COUNTIF(Tuesday!I:I, B1027)</f>
        <v>0</v>
      </c>
      <c r="E1027">
        <f>COUNTIF(Wednesday!I:I, B1027)</f>
        <v>0</v>
      </c>
      <c r="F1027">
        <f>COUNTIF(Thursday!I:I, B1027)</f>
        <v>0</v>
      </c>
      <c r="G1027">
        <f>COUNTIF(Friday!I:I, B1027)</f>
        <v>0</v>
      </c>
      <c r="H1027">
        <f>SUM(C1027:G1027)</f>
        <v>0</v>
      </c>
    </row>
    <row r="1028" spans="1:8" x14ac:dyDescent="0.25">
      <c r="A1028" s="5" t="s">
        <v>1021</v>
      </c>
      <c r="B1028" t="str">
        <f>"*"&amp;A1028&amp;"*"</f>
        <v>*2181: Partially Deployed*</v>
      </c>
      <c r="C1028">
        <f>COUNTIF(Monday!I:I, B1028)</f>
        <v>0</v>
      </c>
      <c r="D1028">
        <f>COUNTIF(Tuesday!I:I, B1028)</f>
        <v>0</v>
      </c>
      <c r="E1028">
        <f>COUNTIF(Wednesday!I:I, B1028)</f>
        <v>0</v>
      </c>
      <c r="F1028">
        <f>COUNTIF(Thursday!I:I, B1028)</f>
        <v>0</v>
      </c>
      <c r="G1028">
        <f>COUNTIF(Friday!I:I, B1028)</f>
        <v>0</v>
      </c>
      <c r="H1028">
        <f>SUM(C1028:G1028)</f>
        <v>0</v>
      </c>
    </row>
    <row r="1029" spans="1:8" x14ac:dyDescent="0.25">
      <c r="A1029" s="5" t="s">
        <v>1022</v>
      </c>
      <c r="B1029" t="str">
        <f>"*"&amp;A1029&amp;"*"</f>
        <v>*1765: Knotted*</v>
      </c>
      <c r="C1029">
        <f>COUNTIF(Monday!I:I, B1029)</f>
        <v>0</v>
      </c>
      <c r="D1029">
        <f>COUNTIF(Tuesday!I:I, B1029)</f>
        <v>0</v>
      </c>
      <c r="E1029">
        <f>COUNTIF(Wednesday!I:I, B1029)</f>
        <v>0</v>
      </c>
      <c r="F1029">
        <f>COUNTIF(Thursday!I:I, B1029)</f>
        <v>0</v>
      </c>
      <c r="G1029">
        <f>COUNTIF(Friday!I:I, B1029)</f>
        <v>0</v>
      </c>
      <c r="H1029">
        <f>SUM(C1029:G1029)</f>
        <v>0</v>
      </c>
    </row>
    <row r="1030" spans="1:8" x14ac:dyDescent="0.25">
      <c r="A1030" s="5" t="s">
        <v>1023</v>
      </c>
      <c r="B1030" t="str">
        <f>"*"&amp;A1030&amp;"*"</f>
        <v>*1569: Failure To Refill*</v>
      </c>
      <c r="C1030">
        <f>COUNTIF(Monday!I:I, B1030)</f>
        <v>0</v>
      </c>
      <c r="D1030">
        <f>COUNTIF(Tuesday!I:I, B1030)</f>
        <v>0</v>
      </c>
      <c r="E1030">
        <f>COUNTIF(Wednesday!I:I, B1030)</f>
        <v>0</v>
      </c>
      <c r="F1030">
        <f>COUNTIF(Thursday!I:I, B1030)</f>
        <v>0</v>
      </c>
      <c r="G1030">
        <f>COUNTIF(Friday!I:I, B1030)</f>
        <v>0</v>
      </c>
      <c r="H1030">
        <f>SUM(C1030:G1030)</f>
        <v>0</v>
      </c>
    </row>
    <row r="1031" spans="1:8" x14ac:dyDescent="0.25">
      <c r="A1031" s="5" t="s">
        <v>1024</v>
      </c>
      <c r="B1031" t="str">
        <f>"*"&amp;A1031&amp;"*"</f>
        <v>*2128: Not Crimped*</v>
      </c>
      <c r="C1031">
        <f>COUNTIF(Monday!I:I, B1031)</f>
        <v>0</v>
      </c>
      <c r="D1031">
        <f>COUNTIF(Tuesday!I:I, B1031)</f>
        <v>0</v>
      </c>
      <c r="E1031">
        <f>COUNTIF(Wednesday!I:I, B1031)</f>
        <v>0</v>
      </c>
      <c r="F1031">
        <f>COUNTIF(Thursday!I:I, B1031)</f>
        <v>0</v>
      </c>
      <c r="G1031">
        <f>COUNTIF(Friday!I:I, B1031)</f>
        <v>0</v>
      </c>
      <c r="H1031">
        <f>SUM(C1031:G1031)</f>
        <v>0</v>
      </c>
    </row>
    <row r="1032" spans="1:8" x14ac:dyDescent="0.25">
      <c r="A1032" s="5" t="s">
        <v>1025</v>
      </c>
      <c r="B1032" t="str">
        <f>"*"&amp;A1032&amp;"*"</f>
        <v>*1449: Emitting Smoke*</v>
      </c>
      <c r="C1032">
        <f>COUNTIF(Monday!I:I, B1032)</f>
        <v>0</v>
      </c>
      <c r="D1032">
        <f>COUNTIF(Tuesday!I:I, B1032)</f>
        <v>0</v>
      </c>
      <c r="E1032">
        <f>COUNTIF(Wednesday!I:I, B1032)</f>
        <v>0</v>
      </c>
      <c r="F1032">
        <f>COUNTIF(Thursday!I:I, B1032)</f>
        <v>0</v>
      </c>
      <c r="G1032">
        <f>COUNTIF(Friday!I:I, B1032)</f>
        <v>0</v>
      </c>
      <c r="H1032">
        <f>SUM(C1032:G1032)</f>
        <v>0</v>
      </c>
    </row>
    <row r="1033" spans="1:8" x14ac:dyDescent="0.25">
      <c r="A1033" s="5" t="s">
        <v>1026</v>
      </c>
      <c r="B1033" t="str">
        <f>"*"&amp;A1033&amp;"*"</f>
        <v>*1615: Fire*</v>
      </c>
      <c r="C1033">
        <f>COUNTIF(Monday!I:I, B1033)</f>
        <v>0</v>
      </c>
      <c r="D1033">
        <f>COUNTIF(Tuesday!I:I, B1033)</f>
        <v>0</v>
      </c>
      <c r="E1033">
        <f>COUNTIF(Wednesday!I:I, B1033)</f>
        <v>0</v>
      </c>
      <c r="F1033">
        <f>COUNTIF(Thursday!I:I, B1033)</f>
        <v>0</v>
      </c>
      <c r="G1033">
        <f>COUNTIF(Friday!I:I, B1033)</f>
        <v>0</v>
      </c>
      <c r="H1033">
        <f>SUM(C1033:G1033)</f>
        <v>0</v>
      </c>
    </row>
    <row r="1034" spans="1:8" x14ac:dyDescent="0.25">
      <c r="A1034" s="5" t="s">
        <v>1027</v>
      </c>
      <c r="B1034" t="str">
        <f>"*"&amp;A1034&amp;"*"</f>
        <v>*2080: Movement Problem*</v>
      </c>
      <c r="C1034">
        <f>COUNTIF(Monday!I:I, B1034)</f>
        <v>0</v>
      </c>
      <c r="D1034">
        <f>COUNTIF(Tuesday!I:I, B1034)</f>
        <v>0</v>
      </c>
      <c r="E1034">
        <f>COUNTIF(Wednesday!I:I, B1034)</f>
        <v>0</v>
      </c>
      <c r="F1034">
        <f>COUNTIF(Thursday!I:I, B1034)</f>
        <v>0</v>
      </c>
      <c r="G1034">
        <f>COUNTIF(Friday!I:I, B1034)</f>
        <v>0</v>
      </c>
      <c r="H1034">
        <f>SUM(C1034:G1034)</f>
        <v>0</v>
      </c>
    </row>
    <row r="1035" spans="1:8" x14ac:dyDescent="0.25">
      <c r="A1035" s="5" t="s">
        <v>1028</v>
      </c>
      <c r="B1035" t="str">
        <f>"*"&amp;A1035&amp;"*"</f>
        <v>*2095: No Image On Main System Monitor*</v>
      </c>
      <c r="C1035">
        <f>COUNTIF(Monday!I:I, B1035)</f>
        <v>0</v>
      </c>
      <c r="D1035">
        <f>COUNTIF(Tuesday!I:I, B1035)</f>
        <v>0</v>
      </c>
      <c r="E1035">
        <f>COUNTIF(Wednesday!I:I, B1035)</f>
        <v>0</v>
      </c>
      <c r="F1035">
        <f>COUNTIF(Thursday!I:I, B1035)</f>
        <v>0</v>
      </c>
      <c r="G1035">
        <f>COUNTIF(Friday!I:I, B1035)</f>
        <v>0</v>
      </c>
      <c r="H1035">
        <f>SUM(C1035:G1035)</f>
        <v>0</v>
      </c>
    </row>
    <row r="1036" spans="1:8" x14ac:dyDescent="0.25">
      <c r="A1036" s="5" t="s">
        <v>1029</v>
      </c>
      <c r="B1036" t="str">
        <f>"*"&amp;A1036&amp;"*"</f>
        <v>*2343: Stability Issues*</v>
      </c>
      <c r="C1036">
        <f>COUNTIF(Monday!I:I, B1036)</f>
        <v>0</v>
      </c>
      <c r="D1036">
        <f>COUNTIF(Tuesday!I:I, B1036)</f>
        <v>0</v>
      </c>
      <c r="E1036">
        <f>COUNTIF(Wednesday!I:I, B1036)</f>
        <v>0</v>
      </c>
      <c r="F1036">
        <f>COUNTIF(Thursday!I:I, B1036)</f>
        <v>0</v>
      </c>
      <c r="G1036">
        <f>COUNTIF(Friday!I:I, B1036)</f>
        <v>0</v>
      </c>
      <c r="H1036">
        <f>SUM(C1036:G1036)</f>
        <v>0</v>
      </c>
    </row>
    <row r="1037" spans="1:8" x14ac:dyDescent="0.25">
      <c r="A1037" s="5" t="s">
        <v>1030</v>
      </c>
      <c r="B1037" t="str">
        <f>"*"&amp;A1037&amp;"*"</f>
        <v>*2441: Unintended Connection*</v>
      </c>
      <c r="C1037">
        <f>COUNTIF(Monday!I:I, B1037)</f>
        <v>0</v>
      </c>
      <c r="D1037">
        <f>COUNTIF(Tuesday!I:I, B1037)</f>
        <v>0</v>
      </c>
      <c r="E1037">
        <f>COUNTIF(Wednesday!I:I, B1037)</f>
        <v>0</v>
      </c>
      <c r="F1037">
        <f>COUNTIF(Thursday!I:I, B1037)</f>
        <v>0</v>
      </c>
      <c r="G1037">
        <f>COUNTIF(Friday!I:I, B1037)</f>
        <v>0</v>
      </c>
      <c r="H1037">
        <f>SUM(C1037:G1037)</f>
        <v>0</v>
      </c>
    </row>
    <row r="1038" spans="1:8" x14ac:dyDescent="0.25">
      <c r="A1038" s="5" t="s">
        <v>1031</v>
      </c>
      <c r="B1038" t="str">
        <f>"*"&amp;A1038&amp;"*"</f>
        <v>*3025: I/O Port Inoperative*</v>
      </c>
      <c r="C1038">
        <f>COUNTIF(Monday!I:I, B1038)</f>
        <v>0</v>
      </c>
      <c r="D1038">
        <f>COUNTIF(Tuesday!I:I, B1038)</f>
        <v>0</v>
      </c>
      <c r="E1038">
        <f>COUNTIF(Wednesday!I:I, B1038)</f>
        <v>0</v>
      </c>
      <c r="F1038">
        <f>COUNTIF(Thursday!I:I, B1038)</f>
        <v>0</v>
      </c>
      <c r="G1038">
        <f>COUNTIF(Friday!I:I, B1038)</f>
        <v>0</v>
      </c>
      <c r="H1038">
        <f>SUM(C1038:G1038)</f>
        <v>0</v>
      </c>
    </row>
    <row r="1039" spans="1:8" x14ac:dyDescent="0.25">
      <c r="A1039" s="5" t="s">
        <v>1032</v>
      </c>
      <c r="B1039" t="str">
        <f>"*"&amp;A1039&amp;"*"</f>
        <v>*3046: Tablet Attachment Issue*</v>
      </c>
      <c r="C1039">
        <f>COUNTIF(Monday!I:I, B1039)</f>
        <v>0</v>
      </c>
      <c r="D1039">
        <f>COUNTIF(Tuesday!I:I, B1039)</f>
        <v>0</v>
      </c>
      <c r="E1039">
        <f>COUNTIF(Wednesday!I:I, B1039)</f>
        <v>0</v>
      </c>
      <c r="F1039">
        <f>COUNTIF(Thursday!I:I, B1039)</f>
        <v>0</v>
      </c>
      <c r="G1039">
        <f>COUNTIF(Friday!I:I, B1039)</f>
        <v>0</v>
      </c>
      <c r="H1039">
        <f>SUM(C1039:G1039)</f>
        <v>0</v>
      </c>
    </row>
    <row r="1040" spans="1:8" x14ac:dyDescent="0.25">
      <c r="A1040" s="5" t="s">
        <v>1033</v>
      </c>
      <c r="B1040" t="str">
        <f>"*"&amp;A1040&amp;"*"</f>
        <v>*3011: Antivirus Error*</v>
      </c>
      <c r="C1040">
        <f>COUNTIF(Monday!I:I, B1040)</f>
        <v>0</v>
      </c>
      <c r="D1040">
        <f>COUNTIF(Tuesday!I:I, B1040)</f>
        <v>0</v>
      </c>
      <c r="E1040">
        <f>COUNTIF(Wednesday!I:I, B1040)</f>
        <v>0</v>
      </c>
      <c r="F1040">
        <f>COUNTIF(Thursday!I:I, B1040)</f>
        <v>0</v>
      </c>
      <c r="G1040">
        <f>COUNTIF(Friday!I:I, B1040)</f>
        <v>0</v>
      </c>
      <c r="H1040">
        <f>SUM(C1040:G1040)</f>
        <v>0</v>
      </c>
    </row>
    <row r="1041" spans="1:8" x14ac:dyDescent="0.25">
      <c r="A1041" s="5" t="s">
        <v>1034</v>
      </c>
      <c r="B1041" t="str">
        <f>"*"&amp;A1041&amp;"*"</f>
        <v>*3017: Demo Case Issue*</v>
      </c>
      <c r="C1041">
        <f>COUNTIF(Monday!I:I, B1041)</f>
        <v>0</v>
      </c>
      <c r="D1041">
        <f>COUNTIF(Tuesday!I:I, B1041)</f>
        <v>0</v>
      </c>
      <c r="E1041">
        <f>COUNTIF(Wednesday!I:I, B1041)</f>
        <v>0</v>
      </c>
      <c r="F1041">
        <f>COUNTIF(Thursday!I:I, B1041)</f>
        <v>0</v>
      </c>
      <c r="G1041">
        <f>COUNTIF(Friday!I:I, B1041)</f>
        <v>0</v>
      </c>
      <c r="H1041">
        <f>SUM(C1041:G1041)</f>
        <v>0</v>
      </c>
    </row>
    <row r="1042" spans="1:8" x14ac:dyDescent="0.25">
      <c r="A1042" s="5" t="s">
        <v>1035</v>
      </c>
      <c r="B1042" t="str">
        <f>"*"&amp;A1042&amp;"*"</f>
        <v>*3033: Modality Worklist Error*</v>
      </c>
      <c r="C1042">
        <f>COUNTIF(Monday!I:I, B1042)</f>
        <v>0</v>
      </c>
      <c r="D1042">
        <f>COUNTIF(Tuesday!I:I, B1042)</f>
        <v>0</v>
      </c>
      <c r="E1042">
        <f>COUNTIF(Wednesday!I:I, B1042)</f>
        <v>0</v>
      </c>
      <c r="F1042">
        <f>COUNTIF(Thursday!I:I, B1042)</f>
        <v>0</v>
      </c>
      <c r="G1042">
        <f>COUNTIF(Friday!I:I, B1042)</f>
        <v>0</v>
      </c>
      <c r="H1042">
        <f>SUM(C1042:G1042)</f>
        <v>0</v>
      </c>
    </row>
    <row r="1043" spans="1:8" x14ac:dyDescent="0.25">
      <c r="A1043" s="5" t="s">
        <v>1036</v>
      </c>
      <c r="B1043" t="str">
        <f>"*"&amp;A1043&amp;"*"</f>
        <v>*3040: Profile Backup Error*</v>
      </c>
      <c r="C1043">
        <f>COUNTIF(Monday!I:I, B1043)</f>
        <v>0</v>
      </c>
      <c r="D1043">
        <f>COUNTIF(Tuesday!I:I, B1043)</f>
        <v>0</v>
      </c>
      <c r="E1043">
        <f>COUNTIF(Wednesday!I:I, B1043)</f>
        <v>0</v>
      </c>
      <c r="F1043">
        <f>COUNTIF(Thursday!I:I, B1043)</f>
        <v>0</v>
      </c>
      <c r="G1043">
        <f>COUNTIF(Friday!I:I, B1043)</f>
        <v>0</v>
      </c>
      <c r="H1043">
        <f>SUM(C1043:G1043)</f>
        <v>0</v>
      </c>
    </row>
    <row r="1044" spans="1:8" x14ac:dyDescent="0.25">
      <c r="A1044" s="5" t="s">
        <v>1037</v>
      </c>
      <c r="B1044" t="str">
        <f>"*"&amp;A1044&amp;"*"</f>
        <v>*3043: Self Test Error*</v>
      </c>
      <c r="C1044">
        <f>COUNTIF(Monday!I:I, B1044)</f>
        <v>0</v>
      </c>
      <c r="D1044">
        <f>COUNTIF(Tuesday!I:I, B1044)</f>
        <v>0</v>
      </c>
      <c r="E1044">
        <f>COUNTIF(Wednesday!I:I, B1044)</f>
        <v>0</v>
      </c>
      <c r="F1044">
        <f>COUNTIF(Thursday!I:I, B1044)</f>
        <v>0</v>
      </c>
      <c r="G1044">
        <f>COUNTIF(Friday!I:I, B1044)</f>
        <v>0</v>
      </c>
      <c r="H1044">
        <f>SUM(C1044:G1044)</f>
        <v>0</v>
      </c>
    </row>
    <row r="1045" spans="1:8" x14ac:dyDescent="0.25">
      <c r="A1045" s="5" t="s">
        <v>1038</v>
      </c>
      <c r="B1045" t="str">
        <f>"*"&amp;A1045&amp;"*"</f>
        <v>*3050: Unable To Stop Recording*</v>
      </c>
      <c r="C1045">
        <f>COUNTIF(Monday!I:I, B1045)</f>
        <v>0</v>
      </c>
      <c r="D1045">
        <f>COUNTIF(Tuesday!I:I, B1045)</f>
        <v>0</v>
      </c>
      <c r="E1045">
        <f>COUNTIF(Wednesday!I:I, B1045)</f>
        <v>0</v>
      </c>
      <c r="F1045">
        <f>COUNTIF(Thursday!I:I, B1045)</f>
        <v>0</v>
      </c>
      <c r="G1045">
        <f>COUNTIF(Friday!I:I, B1045)</f>
        <v>0</v>
      </c>
      <c r="H1045">
        <f>SUM(C1045:G1045)</f>
        <v>0</v>
      </c>
    </row>
    <row r="1046" spans="1:8" x14ac:dyDescent="0.25">
      <c r="A1046" s="5" t="s">
        <v>1039</v>
      </c>
      <c r="B1046" t="str">
        <f>"*"&amp;A1046&amp;"*"</f>
        <v>*3052: User Locked Out Of System*</v>
      </c>
      <c r="C1046">
        <f>COUNTIF(Monday!I:I, B1046)</f>
        <v>0</v>
      </c>
      <c r="D1046">
        <f>COUNTIF(Tuesday!I:I, B1046)</f>
        <v>0</v>
      </c>
      <c r="E1046">
        <f>COUNTIF(Wednesday!I:I, B1046)</f>
        <v>0</v>
      </c>
      <c r="F1046">
        <f>COUNTIF(Thursday!I:I, B1046)</f>
        <v>0</v>
      </c>
      <c r="G1046">
        <f>COUNTIF(Friday!I:I, B1046)</f>
        <v>0</v>
      </c>
      <c r="H1046">
        <f>SUM(C1046:G1046)</f>
        <v>0</v>
      </c>
    </row>
    <row r="1047" spans="1:8" x14ac:dyDescent="0.25">
      <c r="A1047" s="5" t="s">
        <v>1040</v>
      </c>
      <c r="B1047" t="str">
        <f>"*"&amp;A1047&amp;"*"</f>
        <v>*3178: Archive To Drive Failure*</v>
      </c>
      <c r="C1047">
        <f>COUNTIF(Monday!I:I, B1047)</f>
        <v>0</v>
      </c>
      <c r="D1047">
        <f>COUNTIF(Tuesday!I:I, B1047)</f>
        <v>0</v>
      </c>
      <c r="E1047">
        <f>COUNTIF(Wednesday!I:I, B1047)</f>
        <v>0</v>
      </c>
      <c r="F1047">
        <f>COUNTIF(Thursday!I:I, B1047)</f>
        <v>0</v>
      </c>
      <c r="G1047">
        <f>COUNTIF(Friday!I:I, B1047)</f>
        <v>0</v>
      </c>
      <c r="H1047">
        <f>SUM(C1047:G1047)</f>
        <v>0</v>
      </c>
    </row>
    <row r="1048" spans="1:8" x14ac:dyDescent="0.25">
      <c r="A1048" s="5" t="s">
        <v>1041</v>
      </c>
      <c r="B1048" t="str">
        <f>"*"&amp;A1048&amp;"*"</f>
        <v>*2449: Unstable*</v>
      </c>
      <c r="C1048">
        <f>COUNTIF(Monday!I:I, B1048)</f>
        <v>0</v>
      </c>
      <c r="D1048">
        <f>COUNTIF(Tuesday!I:I, B1048)</f>
        <v>0</v>
      </c>
      <c r="E1048">
        <f>COUNTIF(Wednesday!I:I, B1048)</f>
        <v>0</v>
      </c>
      <c r="F1048">
        <f>COUNTIF(Thursday!I:I, B1048)</f>
        <v>0</v>
      </c>
      <c r="G1048">
        <f>COUNTIF(Friday!I:I, B1048)</f>
        <v>0</v>
      </c>
      <c r="H1048">
        <f>SUM(C1048:G1048)</f>
        <v>0</v>
      </c>
    </row>
    <row r="1049" spans="1:8" x14ac:dyDescent="0.25">
      <c r="A1049" s="5" t="s">
        <v>1042</v>
      </c>
      <c r="B1049" t="str">
        <f>"*"&amp;A1049&amp;"*"</f>
        <v>*1640: Friction*</v>
      </c>
      <c r="C1049">
        <f>COUNTIF(Monday!I:I, B1049)</f>
        <v>0</v>
      </c>
      <c r="D1049">
        <f>COUNTIF(Tuesday!I:I, B1049)</f>
        <v>0</v>
      </c>
      <c r="E1049">
        <f>COUNTIF(Wednesday!I:I, B1049)</f>
        <v>0</v>
      </c>
      <c r="F1049">
        <f>COUNTIF(Thursday!I:I, B1049)</f>
        <v>0</v>
      </c>
      <c r="G1049">
        <f>COUNTIF(Friday!I:I, B1049)</f>
        <v>0</v>
      </c>
      <c r="H1049">
        <f>SUM(C1049:G1049)</f>
        <v>0</v>
      </c>
    </row>
    <row r="1050" spans="1:8" x14ac:dyDescent="0.25">
      <c r="A1050" s="5" t="s">
        <v>1043</v>
      </c>
      <c r="B1050" t="str">
        <f>"*"&amp;A1050&amp;"*"</f>
        <v>*2503: Hung Up/Stuck*</v>
      </c>
      <c r="C1050">
        <f>COUNTIF(Monday!I:I, B1050)</f>
        <v>0</v>
      </c>
      <c r="D1050">
        <f>COUNTIF(Tuesday!I:I, B1050)</f>
        <v>0</v>
      </c>
      <c r="E1050">
        <f>COUNTIF(Wednesday!I:I, B1050)</f>
        <v>0</v>
      </c>
      <c r="F1050">
        <f>COUNTIF(Thursday!I:I, B1050)</f>
        <v>0</v>
      </c>
      <c r="G1050">
        <f>COUNTIF(Friday!I:I, B1050)</f>
        <v>0</v>
      </c>
      <c r="H1050">
        <f>SUM(C1050:G1050)</f>
        <v>0</v>
      </c>
    </row>
    <row r="1051" spans="1:8" x14ac:dyDescent="0.25">
      <c r="A1051" s="5" t="s">
        <v>1044</v>
      </c>
      <c r="B1051" t="str">
        <f>"*"&amp;A1051&amp;"*"</f>
        <v>*1654: Guidewire Restriction*</v>
      </c>
      <c r="C1051">
        <f>COUNTIF(Monday!I:I, B1051)</f>
        <v>0</v>
      </c>
      <c r="D1051">
        <f>COUNTIF(Tuesday!I:I, B1051)</f>
        <v>0</v>
      </c>
      <c r="E1051">
        <f>COUNTIF(Wednesday!I:I, B1051)</f>
        <v>0</v>
      </c>
      <c r="F1051">
        <f>COUNTIF(Thursday!I:I, B1051)</f>
        <v>0</v>
      </c>
      <c r="G1051">
        <f>COUNTIF(Friday!I:I, B1051)</f>
        <v>0</v>
      </c>
      <c r="H1051">
        <f>SUM(C1051:G1051)</f>
        <v>0</v>
      </c>
    </row>
    <row r="1052" spans="1:8" x14ac:dyDescent="0.25">
      <c r="A1052" s="5" t="s">
        <v>1045</v>
      </c>
      <c r="B1052" t="str">
        <f>"*"&amp;A1052&amp;"*"</f>
        <v>*2500: Fluid Flow Blocked or Restricted*</v>
      </c>
      <c r="C1052">
        <f>COUNTIF(Monday!I:I, B1052)</f>
        <v>0</v>
      </c>
      <c r="D1052">
        <f>COUNTIF(Tuesday!I:I, B1052)</f>
        <v>0</v>
      </c>
      <c r="E1052">
        <f>COUNTIF(Wednesday!I:I, B1052)</f>
        <v>0</v>
      </c>
      <c r="F1052">
        <f>COUNTIF(Thursday!I:I, B1052)</f>
        <v>0</v>
      </c>
      <c r="G1052">
        <f>COUNTIF(Friday!I:I, B1052)</f>
        <v>0</v>
      </c>
      <c r="H1052">
        <f>SUM(C1052:G1052)</f>
        <v>0</v>
      </c>
    </row>
    <row r="1053" spans="1:8" x14ac:dyDescent="0.25">
      <c r="A1053" s="5" t="s">
        <v>1046</v>
      </c>
      <c r="B1053" t="str">
        <f>"*"&amp;A1053&amp;"*"</f>
        <v>*1187: Detachment Of Device Component*</v>
      </c>
      <c r="C1053">
        <f>COUNTIF(Monday!I:I, B1053)</f>
        <v>0</v>
      </c>
      <c r="D1053">
        <f>COUNTIF(Tuesday!I:I, B1053)</f>
        <v>0</v>
      </c>
      <c r="E1053">
        <f>COUNTIF(Wednesday!I:I, B1053)</f>
        <v>0</v>
      </c>
      <c r="F1053">
        <f>COUNTIF(Thursday!I:I, B1053)</f>
        <v>0</v>
      </c>
      <c r="G1053">
        <f>COUNTIF(Friday!I:I, B1053)</f>
        <v>0</v>
      </c>
      <c r="H1053">
        <f>SUM(C1053:G1053)</f>
        <v>0</v>
      </c>
    </row>
    <row r="1054" spans="1:8" x14ac:dyDescent="0.25">
      <c r="A1054" s="5" t="s">
        <v>1047</v>
      </c>
      <c r="B1054" t="str">
        <f>"*"&amp;A1054&amp;"*"</f>
        <v>*2524: Failure To Release Wire*</v>
      </c>
      <c r="C1054">
        <f>COUNTIF(Monday!I:I, B1054)</f>
        <v>0</v>
      </c>
      <c r="D1054">
        <f>COUNTIF(Tuesday!I:I, B1054)</f>
        <v>0</v>
      </c>
      <c r="E1054">
        <f>COUNTIF(Wednesday!I:I, B1054)</f>
        <v>0</v>
      </c>
      <c r="F1054">
        <f>COUNTIF(Thursday!I:I, B1054)</f>
        <v>0</v>
      </c>
      <c r="G1054">
        <f>COUNTIF(Friday!I:I, B1054)</f>
        <v>0</v>
      </c>
      <c r="H1054">
        <f>SUM(C1054:G1054)</f>
        <v>0</v>
      </c>
    </row>
    <row r="1055" spans="1:8" x14ac:dyDescent="0.25">
      <c r="A1055" s="5" t="s">
        <v>1048</v>
      </c>
      <c r="B1055" t="str">
        <f>"*"&amp;A1055&amp;"*"</f>
        <v>*1476: Failure To Ablate Lesion*</v>
      </c>
      <c r="C1055">
        <f>COUNTIF(Monday!I:I, B1055)</f>
        <v>0</v>
      </c>
      <c r="D1055">
        <f>COUNTIF(Tuesday!I:I, B1055)</f>
        <v>0</v>
      </c>
      <c r="E1055">
        <f>COUNTIF(Wednesday!I:I, B1055)</f>
        <v>0</v>
      </c>
      <c r="F1055">
        <f>COUNTIF(Thursday!I:I, B1055)</f>
        <v>0</v>
      </c>
      <c r="G1055">
        <f>COUNTIF(Friday!I:I, B1055)</f>
        <v>0</v>
      </c>
      <c r="H1055">
        <f>SUM(C1055:G1055)</f>
        <v>0</v>
      </c>
    </row>
    <row r="1056" spans="1:8" x14ac:dyDescent="0.25">
      <c r="A1056" s="5" t="s">
        <v>1049</v>
      </c>
      <c r="B1056" t="str">
        <f>"*"&amp;A1056&amp;"*"</f>
        <v>*1483: Failure To Advance To Lesion*</v>
      </c>
      <c r="C1056">
        <f>COUNTIF(Monday!I:I, B1056)</f>
        <v>0</v>
      </c>
      <c r="D1056">
        <f>COUNTIF(Tuesday!I:I, B1056)</f>
        <v>0</v>
      </c>
      <c r="E1056">
        <f>COUNTIF(Wednesday!I:I, B1056)</f>
        <v>0</v>
      </c>
      <c r="F1056">
        <f>COUNTIF(Thursday!I:I, B1056)</f>
        <v>0</v>
      </c>
      <c r="G1056">
        <f>COUNTIF(Friday!I:I, B1056)</f>
        <v>0</v>
      </c>
      <c r="H1056">
        <f>SUM(C1056:G1056)</f>
        <v>0</v>
      </c>
    </row>
    <row r="1057" spans="1:8" x14ac:dyDescent="0.25">
      <c r="A1057" s="5" t="s">
        <v>1050</v>
      </c>
      <c r="B1057" t="str">
        <f>"*"&amp;A1057&amp;"*"</f>
        <v>*1520: Failure To Exit/Go Through Guiding Catheter*</v>
      </c>
      <c r="C1057">
        <f>COUNTIF(Monday!I:I, B1057)</f>
        <v>0</v>
      </c>
      <c r="D1057">
        <f>COUNTIF(Tuesday!I:I, B1057)</f>
        <v>0</v>
      </c>
      <c r="E1057">
        <f>COUNTIF(Wednesday!I:I, B1057)</f>
        <v>0</v>
      </c>
      <c r="F1057">
        <f>COUNTIF(Thursday!I:I, B1057)</f>
        <v>0</v>
      </c>
      <c r="G1057">
        <f>COUNTIF(Friday!I:I, B1057)</f>
        <v>0</v>
      </c>
      <c r="H1057">
        <f>SUM(C1057:G1057)</f>
        <v>0</v>
      </c>
    </row>
    <row r="1058" spans="1:8" x14ac:dyDescent="0.25">
      <c r="A1058" s="5" t="s">
        <v>1051</v>
      </c>
      <c r="B1058" t="str">
        <f>"*"&amp;A1058&amp;"*"</f>
        <v>*1536: Failure To Load Onto Guidewire*</v>
      </c>
      <c r="C1058">
        <f>COUNTIF(Monday!I:I, B1058)</f>
        <v>0</v>
      </c>
      <c r="D1058">
        <f>COUNTIF(Tuesday!I:I, B1058)</f>
        <v>0</v>
      </c>
      <c r="E1058">
        <f>COUNTIF(Wednesday!I:I, B1058)</f>
        <v>0</v>
      </c>
      <c r="F1058">
        <f>COUNTIF(Thursday!I:I, B1058)</f>
        <v>0</v>
      </c>
      <c r="G1058">
        <f>COUNTIF(Friday!I:I, B1058)</f>
        <v>0</v>
      </c>
      <c r="H1058">
        <f>SUM(C1058:G1058)</f>
        <v>0</v>
      </c>
    </row>
    <row r="1059" spans="1:8" x14ac:dyDescent="0.25">
      <c r="A1059" s="5" t="s">
        <v>1052</v>
      </c>
      <c r="B1059" t="str">
        <f>"*"&amp;A1059&amp;"*"</f>
        <v>*1652: Guidewire Fracture Issue*</v>
      </c>
      <c r="C1059">
        <f>COUNTIF(Monday!I:I, B1059)</f>
        <v>0</v>
      </c>
      <c r="D1059">
        <f>COUNTIF(Tuesday!I:I, B1059)</f>
        <v>0</v>
      </c>
      <c r="E1059">
        <f>COUNTIF(Wednesday!I:I, B1059)</f>
        <v>0</v>
      </c>
      <c r="F1059">
        <f>COUNTIF(Thursday!I:I, B1059)</f>
        <v>0</v>
      </c>
      <c r="G1059">
        <f>COUNTIF(Friday!I:I, B1059)</f>
        <v>0</v>
      </c>
      <c r="H1059">
        <f>SUM(C1059:G1059)</f>
        <v>0</v>
      </c>
    </row>
    <row r="1060" spans="1:8" x14ac:dyDescent="0.25">
      <c r="A1060" s="5" t="s">
        <v>1053</v>
      </c>
      <c r="B1060" t="str">
        <f>"*"&amp;A1060&amp;"*"</f>
        <v>*1734: Insufficient Diamonds*</v>
      </c>
      <c r="C1060">
        <f>COUNTIF(Monday!I:I, B1060)</f>
        <v>0</v>
      </c>
      <c r="D1060">
        <f>COUNTIF(Tuesday!I:I, B1060)</f>
        <v>0</v>
      </c>
      <c r="E1060">
        <f>COUNTIF(Wednesday!I:I, B1060)</f>
        <v>0</v>
      </c>
      <c r="F1060">
        <f>COUNTIF(Thursday!I:I, B1060)</f>
        <v>0</v>
      </c>
      <c r="G1060">
        <f>COUNTIF(Friday!I:I, B1060)</f>
        <v>0</v>
      </c>
      <c r="H1060">
        <f>SUM(C1060:G1060)</f>
        <v>0</v>
      </c>
    </row>
    <row r="1061" spans="1:8" x14ac:dyDescent="0.25">
      <c r="A1061" s="5" t="s">
        <v>1054</v>
      </c>
      <c r="B1061" t="str">
        <f>"*"&amp;A1061&amp;"*"</f>
        <v>*2373: Stuck On Guidewire*</v>
      </c>
      <c r="C1061">
        <f>COUNTIF(Monday!I:I, B1061)</f>
        <v>0</v>
      </c>
      <c r="D1061">
        <f>COUNTIF(Tuesday!I:I, B1061)</f>
        <v>0</v>
      </c>
      <c r="E1061">
        <f>COUNTIF(Wednesday!I:I, B1061)</f>
        <v>0</v>
      </c>
      <c r="F1061">
        <f>COUNTIF(Thursday!I:I, B1061)</f>
        <v>0</v>
      </c>
      <c r="G1061">
        <f>COUNTIF(Friday!I:I, B1061)</f>
        <v>0</v>
      </c>
      <c r="H1061">
        <f>SUM(C1061:G1061)</f>
        <v>0</v>
      </c>
    </row>
    <row r="1062" spans="1:8" x14ac:dyDescent="0.25">
      <c r="A1062" s="5" t="s">
        <v>1055</v>
      </c>
      <c r="B1062" t="str">
        <f>"*"&amp;A1062&amp;"*"</f>
        <v>*2517: Loose Screws*</v>
      </c>
      <c r="C1062">
        <f>COUNTIF(Monday!I:I, B1062)</f>
        <v>0</v>
      </c>
      <c r="D1062">
        <f>COUNTIF(Tuesday!I:I, B1062)</f>
        <v>0</v>
      </c>
      <c r="E1062">
        <f>COUNTIF(Wednesday!I:I, B1062)</f>
        <v>0</v>
      </c>
      <c r="F1062">
        <f>COUNTIF(Thursday!I:I, B1062)</f>
        <v>0</v>
      </c>
      <c r="G1062">
        <f>COUNTIF(Friday!I:I, B1062)</f>
        <v>0</v>
      </c>
      <c r="H1062">
        <f>SUM(C1062:G1062)</f>
        <v>0</v>
      </c>
    </row>
    <row r="1063" spans="1:8" x14ac:dyDescent="0.25">
      <c r="A1063" s="5" t="s">
        <v>1056</v>
      </c>
      <c r="B1063" t="str">
        <f>"*"&amp;A1063&amp;"*"</f>
        <v>*2408: Threads Or Fibers*</v>
      </c>
      <c r="C1063">
        <f>COUNTIF(Monday!I:I, B1063)</f>
        <v>0</v>
      </c>
      <c r="D1063">
        <f>COUNTIF(Tuesday!I:I, B1063)</f>
        <v>0</v>
      </c>
      <c r="E1063">
        <f>COUNTIF(Wednesday!I:I, B1063)</f>
        <v>0</v>
      </c>
      <c r="F1063">
        <f>COUNTIF(Thursday!I:I, B1063)</f>
        <v>0</v>
      </c>
      <c r="G1063">
        <f>COUNTIF(Friday!I:I, B1063)</f>
        <v>0</v>
      </c>
      <c r="H1063">
        <f>SUM(C1063:G1063)</f>
        <v>0</v>
      </c>
    </row>
    <row r="1064" spans="1:8" x14ac:dyDescent="0.25">
      <c r="A1064" s="5" t="s">
        <v>1057</v>
      </c>
      <c r="B1064" t="str">
        <f>"*"&amp;A1064&amp;"*"</f>
        <v>*1434: Dynaglide Mode Malfunctioned*</v>
      </c>
      <c r="C1064">
        <f>COUNTIF(Monday!I:I, B1064)</f>
        <v>0</v>
      </c>
      <c r="D1064">
        <f>COUNTIF(Tuesday!I:I, B1064)</f>
        <v>0</v>
      </c>
      <c r="E1064">
        <f>COUNTIF(Wednesday!I:I, B1064)</f>
        <v>0</v>
      </c>
      <c r="F1064">
        <f>COUNTIF(Thursday!I:I, B1064)</f>
        <v>0</v>
      </c>
      <c r="G1064">
        <f>COUNTIF(Friday!I:I, B1064)</f>
        <v>0</v>
      </c>
      <c r="H1064">
        <f>SUM(C1064:G1064)</f>
        <v>0</v>
      </c>
    </row>
    <row r="1065" spans="1:8" x14ac:dyDescent="0.25">
      <c r="A1065" s="5" t="s">
        <v>1058</v>
      </c>
      <c r="B1065" t="str">
        <f>"*"&amp;A1065&amp;"*"</f>
        <v>*1459: Erratic Speeds*</v>
      </c>
      <c r="C1065">
        <f>COUNTIF(Monday!I:I, B1065)</f>
        <v>0</v>
      </c>
      <c r="D1065">
        <f>COUNTIF(Tuesday!I:I, B1065)</f>
        <v>0</v>
      </c>
      <c r="E1065">
        <f>COUNTIF(Wednesday!I:I, B1065)</f>
        <v>0</v>
      </c>
      <c r="F1065">
        <f>COUNTIF(Thursday!I:I, B1065)</f>
        <v>0</v>
      </c>
      <c r="G1065">
        <f>COUNTIF(Friday!I:I, B1065)</f>
        <v>0</v>
      </c>
      <c r="H1065">
        <f>SUM(C1065:G1065)</f>
        <v>0</v>
      </c>
    </row>
    <row r="1066" spans="1:8" x14ac:dyDescent="0.25">
      <c r="A1066" s="5" t="s">
        <v>1059</v>
      </c>
      <c r="B1066" t="str">
        <f>"*"&amp;A1066&amp;"*"</f>
        <v>*2484: Air Leak Noise*</v>
      </c>
      <c r="C1066">
        <f>COUNTIF(Monday!I:I, B1066)</f>
        <v>0</v>
      </c>
      <c r="D1066">
        <f>COUNTIF(Tuesday!I:I, B1066)</f>
        <v>0</v>
      </c>
      <c r="E1066">
        <f>COUNTIF(Wednesday!I:I, B1066)</f>
        <v>0</v>
      </c>
      <c r="F1066">
        <f>COUNTIF(Thursday!I:I, B1066)</f>
        <v>0</v>
      </c>
      <c r="G1066">
        <f>COUNTIF(Friday!I:I, B1066)</f>
        <v>0</v>
      </c>
      <c r="H1066">
        <f>SUM(C1066:G1066)</f>
        <v>0</v>
      </c>
    </row>
    <row r="1067" spans="1:8" x14ac:dyDescent="0.25">
      <c r="A1067" s="5" t="s">
        <v>1060</v>
      </c>
      <c r="B1067" t="str">
        <f>"*"&amp;A1067&amp;"*"</f>
        <v>*2491: Does Not Respond To Advancer Buttons*</v>
      </c>
      <c r="C1067">
        <f>COUNTIF(Monday!I:I, B1067)</f>
        <v>0</v>
      </c>
      <c r="D1067">
        <f>COUNTIF(Tuesday!I:I, B1067)</f>
        <v>0</v>
      </c>
      <c r="E1067">
        <f>COUNTIF(Wednesday!I:I, B1067)</f>
        <v>0</v>
      </c>
      <c r="F1067">
        <f>COUNTIF(Thursday!I:I, B1067)</f>
        <v>0</v>
      </c>
      <c r="G1067">
        <f>COUNTIF(Friday!I:I, B1067)</f>
        <v>0</v>
      </c>
      <c r="H1067">
        <f>SUM(C1067:G1067)</f>
        <v>0</v>
      </c>
    </row>
    <row r="1068" spans="1:8" x14ac:dyDescent="0.25">
      <c r="A1068" s="5" t="s">
        <v>1061</v>
      </c>
      <c r="B1068" t="str">
        <f>"*"&amp;A1068&amp;"*"</f>
        <v>*2504: Loose Components*</v>
      </c>
      <c r="C1068">
        <f>COUNTIF(Monday!I:I, B1068)</f>
        <v>0</v>
      </c>
      <c r="D1068">
        <f>COUNTIF(Tuesday!I:I, B1068)</f>
        <v>0</v>
      </c>
      <c r="E1068">
        <f>COUNTIF(Wednesday!I:I, B1068)</f>
        <v>0</v>
      </c>
      <c r="F1068">
        <f>COUNTIF(Thursday!I:I, B1068)</f>
        <v>0</v>
      </c>
      <c r="G1068">
        <f>COUNTIF(Friday!I:I, B1068)</f>
        <v>0</v>
      </c>
      <c r="H1068">
        <f>SUM(C1068:G1068)</f>
        <v>0</v>
      </c>
    </row>
    <row r="1069" spans="1:8" x14ac:dyDescent="0.25">
      <c r="A1069" s="5" t="s">
        <v>1062</v>
      </c>
      <c r="B1069" t="str">
        <f>"*"&amp;A1069&amp;"*"</f>
        <v>*2519: Electrical Interference*</v>
      </c>
      <c r="C1069">
        <f>COUNTIF(Monday!I:I, B1069)</f>
        <v>0</v>
      </c>
      <c r="D1069">
        <f>COUNTIF(Tuesday!I:I, B1069)</f>
        <v>0</v>
      </c>
      <c r="E1069">
        <f>COUNTIF(Wednesday!I:I, B1069)</f>
        <v>0</v>
      </c>
      <c r="F1069">
        <f>COUNTIF(Thursday!I:I, B1069)</f>
        <v>0</v>
      </c>
      <c r="G1069">
        <f>COUNTIF(Friday!I:I, B1069)</f>
        <v>0</v>
      </c>
      <c r="H1069">
        <f>SUM(C1069:G1069)</f>
        <v>0</v>
      </c>
    </row>
    <row r="1070" spans="1:8" x14ac:dyDescent="0.25">
      <c r="A1070" s="5" t="s">
        <v>1063</v>
      </c>
      <c r="B1070" t="str">
        <f>"*"&amp;A1070&amp;"*"</f>
        <v>*2520: Electrical Shock*</v>
      </c>
      <c r="C1070">
        <f>COUNTIF(Monday!I:I, B1070)</f>
        <v>0</v>
      </c>
      <c r="D1070">
        <f>COUNTIF(Tuesday!I:I, B1070)</f>
        <v>0</v>
      </c>
      <c r="E1070">
        <f>COUNTIF(Wednesday!I:I, B1070)</f>
        <v>0</v>
      </c>
      <c r="F1070">
        <f>COUNTIF(Thursday!I:I, B1070)</f>
        <v>0</v>
      </c>
      <c r="G1070">
        <f>COUNTIF(Friday!I:I, B1070)</f>
        <v>0</v>
      </c>
      <c r="H1070">
        <f>SUM(C1070:G1070)</f>
        <v>0</v>
      </c>
    </row>
    <row r="1071" spans="1:8" x14ac:dyDescent="0.25">
      <c r="A1071" s="5" t="s">
        <v>1064</v>
      </c>
      <c r="B1071" t="str">
        <f>"*"&amp;A1071&amp;"*"</f>
        <v>*2544: Unexpected Restart*</v>
      </c>
      <c r="C1071">
        <f>COUNTIF(Monday!I:I, B1071)</f>
        <v>0</v>
      </c>
      <c r="D1071">
        <f>COUNTIF(Tuesday!I:I, B1071)</f>
        <v>0</v>
      </c>
      <c r="E1071">
        <f>COUNTIF(Wednesday!I:I, B1071)</f>
        <v>0</v>
      </c>
      <c r="F1071">
        <f>COUNTIF(Thursday!I:I, B1071)</f>
        <v>0</v>
      </c>
      <c r="G1071">
        <f>COUNTIF(Friday!I:I, B1071)</f>
        <v>0</v>
      </c>
      <c r="H1071">
        <f>SUM(C1071:G1071)</f>
        <v>0</v>
      </c>
    </row>
    <row r="1072" spans="1:8" x14ac:dyDescent="0.25">
      <c r="A1072" s="5" t="s">
        <v>1065</v>
      </c>
      <c r="B1072" t="str">
        <f>"*"&amp;A1072&amp;"*"</f>
        <v>*1477: Failure To Activate*</v>
      </c>
      <c r="C1072">
        <f>COUNTIF(Monday!I:I, B1072)</f>
        <v>0</v>
      </c>
      <c r="D1072">
        <f>COUNTIF(Tuesday!I:I, B1072)</f>
        <v>0</v>
      </c>
      <c r="E1072">
        <f>COUNTIF(Wednesday!I:I, B1072)</f>
        <v>0</v>
      </c>
      <c r="F1072">
        <f>COUNTIF(Thursday!I:I, B1072)</f>
        <v>0</v>
      </c>
      <c r="G1072">
        <f>COUNTIF(Friday!I:I, B1072)</f>
        <v>0</v>
      </c>
      <c r="H1072">
        <f>SUM(C1072:G1072)</f>
        <v>0</v>
      </c>
    </row>
    <row r="1073" spans="1:8" x14ac:dyDescent="0.25">
      <c r="A1073" s="5" t="s">
        <v>1066</v>
      </c>
      <c r="B1073" t="str">
        <f>"*"&amp;A1073&amp;"*"</f>
        <v>*1519: Failure To Evacuate*</v>
      </c>
      <c r="C1073">
        <f>COUNTIF(Monday!I:I, B1073)</f>
        <v>0</v>
      </c>
      <c r="D1073">
        <f>COUNTIF(Tuesday!I:I, B1073)</f>
        <v>0</v>
      </c>
      <c r="E1073">
        <f>COUNTIF(Wednesday!I:I, B1073)</f>
        <v>0</v>
      </c>
      <c r="F1073">
        <f>COUNTIF(Thursday!I:I, B1073)</f>
        <v>0</v>
      </c>
      <c r="G1073">
        <f>COUNTIF(Friday!I:I, B1073)</f>
        <v>0</v>
      </c>
      <c r="H1073">
        <f>SUM(C1073:G1073)</f>
        <v>0</v>
      </c>
    </row>
    <row r="1074" spans="1:8" x14ac:dyDescent="0.25">
      <c r="A1074" s="5" t="s">
        <v>1067</v>
      </c>
      <c r="B1074" t="str">
        <f>"*"&amp;A1074&amp;"*"</f>
        <v>*1556: Failure To Prime*</v>
      </c>
      <c r="C1074">
        <f>COUNTIF(Monday!I:I, B1074)</f>
        <v>0</v>
      </c>
      <c r="D1074">
        <f>COUNTIF(Tuesday!I:I, B1074)</f>
        <v>0</v>
      </c>
      <c r="E1074">
        <f>COUNTIF(Wednesday!I:I, B1074)</f>
        <v>0</v>
      </c>
      <c r="F1074">
        <f>COUNTIF(Thursday!I:I, B1074)</f>
        <v>0</v>
      </c>
      <c r="G1074">
        <f>COUNTIF(Friday!I:I, B1074)</f>
        <v>0</v>
      </c>
      <c r="H1074">
        <f>SUM(C1074:G1074)</f>
        <v>0</v>
      </c>
    </row>
    <row r="1075" spans="1:8" x14ac:dyDescent="0.25">
      <c r="A1075" s="5" t="s">
        <v>1069</v>
      </c>
      <c r="B1075" t="str">
        <f>"*"&amp;A1075&amp;"*"</f>
        <v>*1643: Frozen*</v>
      </c>
      <c r="C1075">
        <f>COUNTIF(Monday!I:I, B1075)</f>
        <v>0</v>
      </c>
      <c r="D1075">
        <f>COUNTIF(Tuesday!I:I, B1075)</f>
        <v>0</v>
      </c>
      <c r="E1075">
        <f>COUNTIF(Wednesday!I:I, B1075)</f>
        <v>0</v>
      </c>
      <c r="F1075">
        <f>COUNTIF(Thursday!I:I, B1075)</f>
        <v>0</v>
      </c>
      <c r="G1075">
        <f>COUNTIF(Friday!I:I, B1075)</f>
        <v>0</v>
      </c>
      <c r="H1075">
        <f>SUM(C1075:G1075)</f>
        <v>0</v>
      </c>
    </row>
    <row r="1076" spans="1:8" x14ac:dyDescent="0.25">
      <c r="A1076" s="5" t="s">
        <v>1070</v>
      </c>
      <c r="B1076" t="str">
        <f>"*"&amp;A1076&amp;"*"</f>
        <v>*2072: Missing Icons/Lights/Characters*</v>
      </c>
      <c r="C1076">
        <f>COUNTIF(Monday!I:I, B1076)</f>
        <v>0</v>
      </c>
      <c r="D1076">
        <f>COUNTIF(Tuesday!I:I, B1076)</f>
        <v>0</v>
      </c>
      <c r="E1076">
        <f>COUNTIF(Wednesday!I:I, B1076)</f>
        <v>0</v>
      </c>
      <c r="F1076">
        <f>COUNTIF(Thursday!I:I, B1076)</f>
        <v>0</v>
      </c>
      <c r="G1076">
        <f>COUNTIF(Friday!I:I, B1076)</f>
        <v>0</v>
      </c>
      <c r="H1076">
        <f>SUM(C1076:G1076)</f>
        <v>0</v>
      </c>
    </row>
    <row r="1077" spans="1:8" x14ac:dyDescent="0.25">
      <c r="A1077" s="5" t="s">
        <v>1071</v>
      </c>
      <c r="B1077" t="str">
        <f>"*"&amp;A1077&amp;"*"</f>
        <v>*2105: Failure to Display Rotational Speed*</v>
      </c>
      <c r="C1077">
        <f>COUNTIF(Monday!I:I, B1077)</f>
        <v>0</v>
      </c>
      <c r="D1077">
        <f>COUNTIF(Tuesday!I:I, B1077)</f>
        <v>0</v>
      </c>
      <c r="E1077">
        <f>COUNTIF(Wednesday!I:I, B1077)</f>
        <v>0</v>
      </c>
      <c r="F1077">
        <f>COUNTIF(Thursday!I:I, B1077)</f>
        <v>0</v>
      </c>
      <c r="G1077">
        <f>COUNTIF(Friday!I:I, B1077)</f>
        <v>0</v>
      </c>
      <c r="H1077">
        <f>SUM(C1077:G1077)</f>
        <v>0</v>
      </c>
    </row>
    <row r="1078" spans="1:8" x14ac:dyDescent="0.25">
      <c r="A1078" s="5" t="s">
        <v>1072</v>
      </c>
      <c r="B1078" t="str">
        <f>"*"&amp;A1078&amp;"*"</f>
        <v>*2545: Dynaglide Always Displayed*</v>
      </c>
      <c r="C1078">
        <f>COUNTIF(Monday!I:I, B1078)</f>
        <v>0</v>
      </c>
      <c r="D1078">
        <f>COUNTIF(Tuesday!I:I, B1078)</f>
        <v>0</v>
      </c>
      <c r="E1078">
        <f>COUNTIF(Wednesday!I:I, B1078)</f>
        <v>0</v>
      </c>
      <c r="F1078">
        <f>COUNTIF(Thursday!I:I, B1078)</f>
        <v>0</v>
      </c>
      <c r="G1078">
        <f>COUNTIF(Friday!I:I, B1078)</f>
        <v>0</v>
      </c>
      <c r="H1078">
        <f>SUM(C1078:G1078)</f>
        <v>0</v>
      </c>
    </row>
    <row r="1079" spans="1:8" x14ac:dyDescent="0.25">
      <c r="A1079" s="5" t="s">
        <v>1073</v>
      </c>
      <c r="B1079" t="str">
        <f>"*"&amp;A1079&amp;"*"</f>
        <v>*2546: Dynaglide Not Displayed*</v>
      </c>
      <c r="C1079">
        <f>COUNTIF(Monday!I:I, B1079)</f>
        <v>0</v>
      </c>
      <c r="D1079">
        <f>COUNTIF(Tuesday!I:I, B1079)</f>
        <v>0</v>
      </c>
      <c r="E1079">
        <f>COUNTIF(Wednesday!I:I, B1079)</f>
        <v>0</v>
      </c>
      <c r="F1079">
        <f>COUNTIF(Thursday!I:I, B1079)</f>
        <v>0</v>
      </c>
      <c r="G1079">
        <f>COUNTIF(Friday!I:I, B1079)</f>
        <v>0</v>
      </c>
      <c r="H1079">
        <f>SUM(C1079:G1079)</f>
        <v>0</v>
      </c>
    </row>
    <row r="1080" spans="1:8" x14ac:dyDescent="0.25">
      <c r="A1080" s="5" t="s">
        <v>1074</v>
      </c>
      <c r="B1080" t="str">
        <f>"*"&amp;A1080&amp;"*"</f>
        <v>*2547: Event Timer Display Error*</v>
      </c>
      <c r="C1080">
        <f>COUNTIF(Monday!I:I, B1080)</f>
        <v>0</v>
      </c>
      <c r="D1080">
        <f>COUNTIF(Tuesday!I:I, B1080)</f>
        <v>0</v>
      </c>
      <c r="E1080">
        <f>COUNTIF(Wednesday!I:I, B1080)</f>
        <v>0</v>
      </c>
      <c r="F1080">
        <f>COUNTIF(Thursday!I:I, B1080)</f>
        <v>0</v>
      </c>
      <c r="G1080">
        <f>COUNTIF(Friday!I:I, B1080)</f>
        <v>0</v>
      </c>
      <c r="H1080">
        <f>SUM(C1080:G1080)</f>
        <v>0</v>
      </c>
    </row>
    <row r="1081" spans="1:8" x14ac:dyDescent="0.25">
      <c r="A1081" s="5" t="s">
        <v>1075</v>
      </c>
      <c r="B1081" t="str">
        <f>"*"&amp;A1081&amp;"*"</f>
        <v>*2548: Failure To Display Event Timer*</v>
      </c>
      <c r="C1081">
        <f>COUNTIF(Monday!I:I, B1081)</f>
        <v>0</v>
      </c>
      <c r="D1081">
        <f>COUNTIF(Tuesday!I:I, B1081)</f>
        <v>0</v>
      </c>
      <c r="E1081">
        <f>COUNTIF(Wednesday!I:I, B1081)</f>
        <v>0</v>
      </c>
      <c r="F1081">
        <f>COUNTIF(Thursday!I:I, B1081)</f>
        <v>0</v>
      </c>
      <c r="G1081">
        <f>COUNTIF(Friday!I:I, B1081)</f>
        <v>0</v>
      </c>
      <c r="H1081">
        <f>SUM(C1081:G1081)</f>
        <v>0</v>
      </c>
    </row>
    <row r="1082" spans="1:8" x14ac:dyDescent="0.25">
      <c r="A1082" s="5" t="s">
        <v>1076</v>
      </c>
      <c r="B1082" t="str">
        <f>"*"&amp;A1082&amp;"*"</f>
        <v>*2550: Failure To Display Procedure Timer*</v>
      </c>
      <c r="C1082">
        <f>COUNTIF(Monday!I:I, B1082)</f>
        <v>0</v>
      </c>
      <c r="D1082">
        <f>COUNTIF(Tuesday!I:I, B1082)</f>
        <v>0</v>
      </c>
      <c r="E1082">
        <f>COUNTIF(Wednesday!I:I, B1082)</f>
        <v>0</v>
      </c>
      <c r="F1082">
        <f>COUNTIF(Thursday!I:I, B1082)</f>
        <v>0</v>
      </c>
      <c r="G1082">
        <f>COUNTIF(Friday!I:I, B1082)</f>
        <v>0</v>
      </c>
      <c r="H1082">
        <f>SUM(C1082:G1082)</f>
        <v>0</v>
      </c>
    </row>
    <row r="1083" spans="1:8" x14ac:dyDescent="0.25">
      <c r="A1083" s="5" t="s">
        <v>1077</v>
      </c>
      <c r="B1083" t="str">
        <f>"*"&amp;A1083&amp;"*"</f>
        <v>*2553: No Orientation Change/Locked*</v>
      </c>
      <c r="C1083">
        <f>COUNTIF(Monday!I:I, B1083)</f>
        <v>0</v>
      </c>
      <c r="D1083">
        <f>COUNTIF(Tuesday!I:I, B1083)</f>
        <v>0</v>
      </c>
      <c r="E1083">
        <f>COUNTIF(Wednesday!I:I, B1083)</f>
        <v>0</v>
      </c>
      <c r="F1083">
        <f>COUNTIF(Thursday!I:I, B1083)</f>
        <v>0</v>
      </c>
      <c r="G1083">
        <f>COUNTIF(Friday!I:I, B1083)</f>
        <v>0</v>
      </c>
      <c r="H1083">
        <f>SUM(C1083:G1083)</f>
        <v>0</v>
      </c>
    </row>
    <row r="1084" spans="1:8" x14ac:dyDescent="0.25">
      <c r="A1084" s="5" t="s">
        <v>1078</v>
      </c>
      <c r="B1084" t="str">
        <f>"*"&amp;A1084&amp;"*"</f>
        <v>*2555: Procedure Timer Display Error*</v>
      </c>
      <c r="C1084">
        <f>COUNTIF(Monday!I:I, B1084)</f>
        <v>0</v>
      </c>
      <c r="D1084">
        <f>COUNTIF(Tuesday!I:I, B1084)</f>
        <v>0</v>
      </c>
      <c r="E1084">
        <f>COUNTIF(Wednesday!I:I, B1084)</f>
        <v>0</v>
      </c>
      <c r="F1084">
        <f>COUNTIF(Thursday!I:I, B1084)</f>
        <v>0</v>
      </c>
      <c r="G1084">
        <f>COUNTIF(Friday!I:I, B1084)</f>
        <v>0</v>
      </c>
      <c r="H1084">
        <f>SUM(C1084:G1084)</f>
        <v>0</v>
      </c>
    </row>
    <row r="1085" spans="1:8" x14ac:dyDescent="0.25">
      <c r="A1085" s="5" t="s">
        <v>1079</v>
      </c>
      <c r="B1085" t="str">
        <f>"*"&amp;A1085&amp;"*"</f>
        <v>*2725: Check Pressure Indicator Not Displayed*</v>
      </c>
      <c r="C1085">
        <f>COUNTIF(Monday!I:I, B1085)</f>
        <v>0</v>
      </c>
      <c r="D1085">
        <f>COUNTIF(Tuesday!I:I, B1085)</f>
        <v>0</v>
      </c>
      <c r="E1085">
        <f>COUNTIF(Wednesday!I:I, B1085)</f>
        <v>0</v>
      </c>
      <c r="F1085">
        <f>COUNTIF(Thursday!I:I, B1085)</f>
        <v>0</v>
      </c>
      <c r="G1085">
        <f>COUNTIF(Friday!I:I, B1085)</f>
        <v>0</v>
      </c>
      <c r="H1085">
        <f>SUM(C1085:G1085)</f>
        <v>0</v>
      </c>
    </row>
    <row r="1086" spans="1:8" x14ac:dyDescent="0.25">
      <c r="A1086" s="5" t="s">
        <v>1080</v>
      </c>
      <c r="B1086" t="str">
        <f>"*"&amp;A1086&amp;"*"</f>
        <v>*2726: Check Pressure Indicator Remains On*</v>
      </c>
      <c r="C1086">
        <f>COUNTIF(Monday!I:I, B1086)</f>
        <v>0</v>
      </c>
      <c r="D1086">
        <f>COUNTIF(Tuesday!I:I, B1086)</f>
        <v>0</v>
      </c>
      <c r="E1086">
        <f>COUNTIF(Wednesday!I:I, B1086)</f>
        <v>0</v>
      </c>
      <c r="F1086">
        <f>COUNTIF(Thursday!I:I, B1086)</f>
        <v>0</v>
      </c>
      <c r="G1086">
        <f>COUNTIF(Friday!I:I, B1086)</f>
        <v>0</v>
      </c>
      <c r="H1086">
        <f>SUM(C1086:G1086)</f>
        <v>0</v>
      </c>
    </row>
    <row r="1087" spans="1:8" x14ac:dyDescent="0.25">
      <c r="A1087" s="5" t="s">
        <v>1081</v>
      </c>
      <c r="B1087" t="str">
        <f>"*"&amp;A1087&amp;"*"</f>
        <v>*2727: Deceleration Indicators Not Displayed*</v>
      </c>
      <c r="C1087">
        <f>COUNTIF(Monday!I:I, B1087)</f>
        <v>0</v>
      </c>
      <c r="D1087">
        <f>COUNTIF(Tuesday!I:I, B1087)</f>
        <v>0</v>
      </c>
      <c r="E1087">
        <f>COUNTIF(Wednesday!I:I, B1087)</f>
        <v>0</v>
      </c>
      <c r="F1087">
        <f>COUNTIF(Thursday!I:I, B1087)</f>
        <v>0</v>
      </c>
      <c r="G1087">
        <f>COUNTIF(Friday!I:I, B1087)</f>
        <v>0</v>
      </c>
      <c r="H1087">
        <f>SUM(C1087:G1087)</f>
        <v>0</v>
      </c>
    </row>
    <row r="1088" spans="1:8" x14ac:dyDescent="0.25">
      <c r="A1088" s="5" t="s">
        <v>1082</v>
      </c>
      <c r="B1088" t="str">
        <f>"*"&amp;A1088&amp;"*"</f>
        <v>*2728: Deceleration Indicators Remains On*</v>
      </c>
      <c r="C1088">
        <f>COUNTIF(Monday!I:I, B1088)</f>
        <v>0</v>
      </c>
      <c r="D1088">
        <f>COUNTIF(Tuesday!I:I, B1088)</f>
        <v>0</v>
      </c>
      <c r="E1088">
        <f>COUNTIF(Wednesday!I:I, B1088)</f>
        <v>0</v>
      </c>
      <c r="F1088">
        <f>COUNTIF(Thursday!I:I, B1088)</f>
        <v>0</v>
      </c>
      <c r="G1088">
        <f>COUNTIF(Friday!I:I, B1088)</f>
        <v>0</v>
      </c>
      <c r="H1088">
        <f>SUM(C1088:G1088)</f>
        <v>0</v>
      </c>
    </row>
    <row r="1089" spans="1:8" x14ac:dyDescent="0.25">
      <c r="A1089" s="5" t="s">
        <v>1083</v>
      </c>
      <c r="B1089" t="str">
        <f>"*"&amp;A1089&amp;"*"</f>
        <v>*2729: STALL Indicator Remains On*</v>
      </c>
      <c r="C1089">
        <f>COUNTIF(Monday!I:I, B1089)</f>
        <v>0</v>
      </c>
      <c r="D1089">
        <f>COUNTIF(Tuesday!I:I, B1089)</f>
        <v>0</v>
      </c>
      <c r="E1089">
        <f>COUNTIF(Wednesday!I:I, B1089)</f>
        <v>0</v>
      </c>
      <c r="F1089">
        <f>COUNTIF(Thursday!I:I, B1089)</f>
        <v>0</v>
      </c>
      <c r="G1089">
        <f>COUNTIF(Friday!I:I, B1089)</f>
        <v>0</v>
      </c>
      <c r="H1089">
        <f>SUM(C1089:G1089)</f>
        <v>0</v>
      </c>
    </row>
    <row r="1090" spans="1:8" x14ac:dyDescent="0.25">
      <c r="A1090" s="5" t="s">
        <v>1084</v>
      </c>
      <c r="B1090" t="str">
        <f>"*"&amp;A1090&amp;"*"</f>
        <v>*1466: Excessive Wear*</v>
      </c>
      <c r="C1090">
        <f>COUNTIF(Monday!I:I, B1090)</f>
        <v>0</v>
      </c>
      <c r="D1090">
        <f>COUNTIF(Tuesday!I:I, B1090)</f>
        <v>0</v>
      </c>
      <c r="E1090">
        <f>COUNTIF(Wednesday!I:I, B1090)</f>
        <v>0</v>
      </c>
      <c r="F1090">
        <f>COUNTIF(Thursday!I:I, B1090)</f>
        <v>0</v>
      </c>
      <c r="G1090">
        <f>COUNTIF(Friday!I:I, B1090)</f>
        <v>0</v>
      </c>
      <c r="H1090">
        <f>SUM(C1090:G1090)</f>
        <v>0</v>
      </c>
    </row>
    <row r="1091" spans="1:8" x14ac:dyDescent="0.25">
      <c r="A1091" s="5" t="s">
        <v>1085</v>
      </c>
      <c r="B1091" t="str">
        <f>"*"&amp;A1091&amp;"*"</f>
        <v>*2032: Message - Switch Fault*</v>
      </c>
      <c r="C1091">
        <f>COUNTIF(Monday!I:I, B1091)</f>
        <v>0</v>
      </c>
      <c r="D1091">
        <f>COUNTIF(Tuesday!I:I, B1091)</f>
        <v>0</v>
      </c>
      <c r="E1091">
        <f>COUNTIF(Wednesday!I:I, B1091)</f>
        <v>0</v>
      </c>
      <c r="F1091">
        <f>COUNTIF(Thursday!I:I, B1091)</f>
        <v>0</v>
      </c>
      <c r="G1091">
        <f>COUNTIF(Friday!I:I, B1091)</f>
        <v>0</v>
      </c>
      <c r="H1091">
        <f>SUM(C1091:G1091)</f>
        <v>0</v>
      </c>
    </row>
    <row r="1092" spans="1:8" x14ac:dyDescent="0.25">
      <c r="A1092" s="5" t="s">
        <v>1086</v>
      </c>
      <c r="B1092" t="str">
        <f>"*"&amp;A1092&amp;"*"</f>
        <v>*2126: Not Audible Alarm*</v>
      </c>
      <c r="C1092">
        <f>COUNTIF(Monday!I:I, B1092)</f>
        <v>0</v>
      </c>
      <c r="D1092">
        <f>COUNTIF(Tuesday!I:I, B1092)</f>
        <v>0</v>
      </c>
      <c r="E1092">
        <f>COUNTIF(Wednesday!I:I, B1092)</f>
        <v>0</v>
      </c>
      <c r="F1092">
        <f>COUNTIF(Thursday!I:I, B1092)</f>
        <v>0</v>
      </c>
      <c r="G1092">
        <f>COUNTIF(Friday!I:I, B1092)</f>
        <v>0</v>
      </c>
      <c r="H1092">
        <f>SUM(C1092:G1092)</f>
        <v>0</v>
      </c>
    </row>
    <row r="1093" spans="1:8" x14ac:dyDescent="0.25">
      <c r="A1093" s="5" t="s">
        <v>1087</v>
      </c>
      <c r="B1093" t="str">
        <f>"*"&amp;A1093&amp;"*"</f>
        <v>*2223: Position Lost*</v>
      </c>
      <c r="C1093">
        <f>COUNTIF(Monday!I:I, B1093)</f>
        <v>0</v>
      </c>
      <c r="D1093">
        <f>COUNTIF(Tuesday!I:I, B1093)</f>
        <v>0</v>
      </c>
      <c r="E1093">
        <f>COUNTIF(Wednesday!I:I, B1093)</f>
        <v>0</v>
      </c>
      <c r="F1093">
        <f>COUNTIF(Thursday!I:I, B1093)</f>
        <v>0</v>
      </c>
      <c r="G1093">
        <f>COUNTIF(Friday!I:I, B1093)</f>
        <v>0</v>
      </c>
      <c r="H1093">
        <f>SUM(C1093:G1093)</f>
        <v>0</v>
      </c>
    </row>
    <row r="1094" spans="1:8" x14ac:dyDescent="0.25">
      <c r="A1094" s="5" t="s">
        <v>1088</v>
      </c>
      <c r="B1094" t="str">
        <f>"*"&amp;A1094&amp;"*"</f>
        <v>*2332: Slow Response To Activation*</v>
      </c>
      <c r="C1094">
        <f>COUNTIF(Monday!I:I, B1094)</f>
        <v>0</v>
      </c>
      <c r="D1094">
        <f>COUNTIF(Tuesday!I:I, B1094)</f>
        <v>0</v>
      </c>
      <c r="E1094">
        <f>COUNTIF(Wednesday!I:I, B1094)</f>
        <v>0</v>
      </c>
      <c r="F1094">
        <f>COUNTIF(Thursday!I:I, B1094)</f>
        <v>0</v>
      </c>
      <c r="G1094">
        <f>COUNTIF(Friday!I:I, B1094)</f>
        <v>0</v>
      </c>
      <c r="H1094">
        <f>SUM(C1094:G1094)</f>
        <v>0</v>
      </c>
    </row>
    <row r="1095" spans="1:8" x14ac:dyDescent="0.25">
      <c r="A1095" s="5" t="s">
        <v>1089</v>
      </c>
      <c r="B1095" t="str">
        <f>"*"&amp;A1095&amp;"*"</f>
        <v>*2528: Power Interruptions*</v>
      </c>
      <c r="C1095">
        <f>COUNTIF(Monday!I:I, B1095)</f>
        <v>0</v>
      </c>
      <c r="D1095">
        <f>COUNTIF(Tuesday!I:I, B1095)</f>
        <v>0</v>
      </c>
      <c r="E1095">
        <f>COUNTIF(Wednesday!I:I, B1095)</f>
        <v>0</v>
      </c>
      <c r="F1095">
        <f>COUNTIF(Thursday!I:I, B1095)</f>
        <v>0</v>
      </c>
      <c r="G1095">
        <f>COUNTIF(Friday!I:I, B1095)</f>
        <v>0</v>
      </c>
      <c r="H1095">
        <f>SUM(C1095:G1095)</f>
        <v>0</v>
      </c>
    </row>
    <row r="1096" spans="1:8" x14ac:dyDescent="0.25">
      <c r="A1096" s="5" t="s">
        <v>1090</v>
      </c>
      <c r="B1096" t="str">
        <f>"*"&amp;A1096&amp;"*"</f>
        <v>*1960: Message - General Fault*</v>
      </c>
      <c r="C1096">
        <f>COUNTIF(Monday!I:I, B1096)</f>
        <v>0</v>
      </c>
      <c r="D1096">
        <f>COUNTIF(Tuesday!I:I, B1096)</f>
        <v>0</v>
      </c>
      <c r="E1096">
        <f>COUNTIF(Wednesday!I:I, B1096)</f>
        <v>0</v>
      </c>
      <c r="F1096">
        <f>COUNTIF(Thursday!I:I, B1096)</f>
        <v>0</v>
      </c>
      <c r="G1096">
        <f>COUNTIF(Friday!I:I, B1096)</f>
        <v>0</v>
      </c>
      <c r="H1096">
        <f>SUM(C1096:G1096)</f>
        <v>0</v>
      </c>
    </row>
    <row r="1097" spans="1:8" x14ac:dyDescent="0.25">
      <c r="A1097" s="5" t="s">
        <v>1091</v>
      </c>
      <c r="B1097" t="str">
        <f>"*"&amp;A1097&amp;"*"</f>
        <v>*1900: Message - bubL error*</v>
      </c>
      <c r="C1097">
        <f>COUNTIF(Monday!I:I, B1097)</f>
        <v>0</v>
      </c>
      <c r="D1097">
        <f>COUNTIF(Tuesday!I:I, B1097)</f>
        <v>0</v>
      </c>
      <c r="E1097">
        <f>COUNTIF(Wednesday!I:I, B1097)</f>
        <v>0</v>
      </c>
      <c r="F1097">
        <f>COUNTIF(Thursday!I:I, B1097)</f>
        <v>0</v>
      </c>
      <c r="G1097">
        <f>COUNTIF(Friday!I:I, B1097)</f>
        <v>0</v>
      </c>
      <c r="H1097">
        <f>SUM(C1097:G1097)</f>
        <v>0</v>
      </c>
    </row>
    <row r="1098" spans="1:8" x14ac:dyDescent="0.25">
      <c r="A1098" s="5" t="s">
        <v>1092</v>
      </c>
      <c r="B1098" t="str">
        <f>"*"&amp;A1098&amp;"*"</f>
        <v>*1924: Message - Door Error*</v>
      </c>
      <c r="C1098">
        <f>COUNTIF(Monday!I:I, B1098)</f>
        <v>0</v>
      </c>
      <c r="D1098">
        <f>COUNTIF(Tuesday!I:I, B1098)</f>
        <v>0</v>
      </c>
      <c r="E1098">
        <f>COUNTIF(Wednesday!I:I, B1098)</f>
        <v>0</v>
      </c>
      <c r="F1098">
        <f>COUNTIF(Thursday!I:I, B1098)</f>
        <v>0</v>
      </c>
      <c r="G1098">
        <f>COUNTIF(Friday!I:I, B1098)</f>
        <v>0</v>
      </c>
      <c r="H1098">
        <f>SUM(C1098:G1098)</f>
        <v>0</v>
      </c>
    </row>
    <row r="1099" spans="1:8" x14ac:dyDescent="0.25">
      <c r="A1099" s="5" t="s">
        <v>1093</v>
      </c>
      <c r="B1099" t="str">
        <f>"*"&amp;A1099&amp;"*"</f>
        <v>*1929: Message - Error 1*</v>
      </c>
      <c r="C1099">
        <f>COUNTIF(Monday!I:I, B1099)</f>
        <v>0</v>
      </c>
      <c r="D1099">
        <f>COUNTIF(Tuesday!I:I, B1099)</f>
        <v>0</v>
      </c>
      <c r="E1099">
        <f>COUNTIF(Wednesday!I:I, B1099)</f>
        <v>0</v>
      </c>
      <c r="F1099">
        <f>COUNTIF(Thursday!I:I, B1099)</f>
        <v>0</v>
      </c>
      <c r="G1099">
        <f>COUNTIF(Friday!I:I, B1099)</f>
        <v>0</v>
      </c>
      <c r="H1099">
        <f>SUM(C1099:G1099)</f>
        <v>0</v>
      </c>
    </row>
    <row r="1100" spans="1:8" x14ac:dyDescent="0.25">
      <c r="A1100" s="5" t="s">
        <v>1094</v>
      </c>
      <c r="B1100" t="str">
        <f>"*"&amp;A1100&amp;"*"</f>
        <v>*1930: Message - Error 2 (Pump Alarm)*</v>
      </c>
      <c r="C1100">
        <f>COUNTIF(Monday!I:I, B1100)</f>
        <v>0</v>
      </c>
      <c r="D1100">
        <f>COUNTIF(Tuesday!I:I, B1100)</f>
        <v>0</v>
      </c>
      <c r="E1100">
        <f>COUNTIF(Wednesday!I:I, B1100)</f>
        <v>0</v>
      </c>
      <c r="F1100">
        <f>COUNTIF(Thursday!I:I, B1100)</f>
        <v>0</v>
      </c>
      <c r="G1100">
        <f>COUNTIF(Friday!I:I, B1100)</f>
        <v>0</v>
      </c>
      <c r="H1100">
        <f>SUM(C1100:G1100)</f>
        <v>0</v>
      </c>
    </row>
    <row r="1101" spans="1:8" x14ac:dyDescent="0.25">
      <c r="A1101" s="5" t="s">
        <v>1095</v>
      </c>
      <c r="B1101" t="str">
        <f>"*"&amp;A1101&amp;"*"</f>
        <v>*1941: Message - Error 3-9*</v>
      </c>
      <c r="C1101">
        <f>COUNTIF(Monday!I:I, B1101)</f>
        <v>0</v>
      </c>
      <c r="D1101">
        <f>COUNTIF(Tuesday!I:I, B1101)</f>
        <v>0</v>
      </c>
      <c r="E1101">
        <f>COUNTIF(Wednesday!I:I, B1101)</f>
        <v>0</v>
      </c>
      <c r="F1101">
        <f>COUNTIF(Thursday!I:I, B1101)</f>
        <v>0</v>
      </c>
      <c r="G1101">
        <f>COUNTIF(Friday!I:I, B1101)</f>
        <v>0</v>
      </c>
      <c r="H1101">
        <f>SUM(C1101:G1101)</f>
        <v>0</v>
      </c>
    </row>
    <row r="1102" spans="1:8" x14ac:dyDescent="0.25">
      <c r="A1102" s="5" t="s">
        <v>1096</v>
      </c>
      <c r="B1102" t="str">
        <f>"*"&amp;A1102&amp;"*"</f>
        <v>*1944: Message - Fault 1-9*</v>
      </c>
      <c r="C1102">
        <f>COUNTIF(Monday!I:I, B1102)</f>
        <v>0</v>
      </c>
      <c r="D1102">
        <f>COUNTIF(Tuesday!I:I, B1102)</f>
        <v>0</v>
      </c>
      <c r="E1102">
        <f>COUNTIF(Wednesday!I:I, B1102)</f>
        <v>0</v>
      </c>
      <c r="F1102">
        <f>COUNTIF(Thursday!I:I, B1102)</f>
        <v>0</v>
      </c>
      <c r="G1102">
        <f>COUNTIF(Friday!I:I, B1102)</f>
        <v>0</v>
      </c>
      <c r="H1102">
        <f>SUM(C1102:G1102)</f>
        <v>0</v>
      </c>
    </row>
    <row r="1103" spans="1:8" x14ac:dyDescent="0.25">
      <c r="A1103" s="5" t="s">
        <v>1097</v>
      </c>
      <c r="B1103" t="str">
        <f>"*"&amp;A1103&amp;"*"</f>
        <v>*1986: Message - Guard Error (grd 1 or grd 2)*</v>
      </c>
      <c r="C1103">
        <f>COUNTIF(Monday!I:I, B1103)</f>
        <v>0</v>
      </c>
      <c r="D1103">
        <f>COUNTIF(Tuesday!I:I, B1103)</f>
        <v>0</v>
      </c>
      <c r="E1103">
        <f>COUNTIF(Wednesday!I:I, B1103)</f>
        <v>0</v>
      </c>
      <c r="F1103">
        <f>COUNTIF(Thursday!I:I, B1103)</f>
        <v>0</v>
      </c>
      <c r="G1103">
        <f>COUNTIF(Friday!I:I, B1103)</f>
        <v>0</v>
      </c>
      <c r="H1103">
        <f>SUM(C1103:G1103)</f>
        <v>0</v>
      </c>
    </row>
    <row r="1104" spans="1:8" x14ac:dyDescent="0.25">
      <c r="A1104" s="5" t="s">
        <v>1098</v>
      </c>
      <c r="B1104" t="str">
        <f>"*"&amp;A1104&amp;"*"</f>
        <v>*2019: Message - POD Error*</v>
      </c>
      <c r="C1104">
        <f>COUNTIF(Monday!I:I, B1104)</f>
        <v>0</v>
      </c>
      <c r="D1104">
        <f>COUNTIF(Tuesday!I:I, B1104)</f>
        <v>0</v>
      </c>
      <c r="E1104">
        <f>COUNTIF(Wednesday!I:I, B1104)</f>
        <v>0</v>
      </c>
      <c r="F1104">
        <f>COUNTIF(Thursday!I:I, B1104)</f>
        <v>0</v>
      </c>
      <c r="G1104">
        <f>COUNTIF(Friday!I:I, B1104)</f>
        <v>0</v>
      </c>
      <c r="H1104">
        <f>SUM(C1104:G1104)</f>
        <v>0</v>
      </c>
    </row>
    <row r="1105" spans="1:8" x14ac:dyDescent="0.25">
      <c r="A1105" s="5" t="s">
        <v>1099</v>
      </c>
      <c r="B1105" t="str">
        <f>"*"&amp;A1105&amp;"*"</f>
        <v>*2057: Message - Tube Error*</v>
      </c>
      <c r="C1105">
        <f>COUNTIF(Monday!I:I, B1105)</f>
        <v>0</v>
      </c>
      <c r="D1105">
        <f>COUNTIF(Tuesday!I:I, B1105)</f>
        <v>0</v>
      </c>
      <c r="E1105">
        <f>COUNTIF(Wednesday!I:I, B1105)</f>
        <v>0</v>
      </c>
      <c r="F1105">
        <f>COUNTIF(Thursday!I:I, B1105)</f>
        <v>0</v>
      </c>
      <c r="G1105">
        <f>COUNTIF(Friday!I:I, B1105)</f>
        <v>0</v>
      </c>
      <c r="H1105">
        <f>SUM(C1105:G1105)</f>
        <v>0</v>
      </c>
    </row>
    <row r="1106" spans="1:8" x14ac:dyDescent="0.25">
      <c r="A1106" s="5" t="s">
        <v>1100</v>
      </c>
      <c r="B1106" t="str">
        <f>"*"&amp;A1106&amp;"*"</f>
        <v>*2345: Stalled*</v>
      </c>
      <c r="C1106">
        <f>COUNTIF(Monday!I:I, B1106)</f>
        <v>0</v>
      </c>
      <c r="D1106">
        <f>COUNTIF(Tuesday!I:I, B1106)</f>
        <v>0</v>
      </c>
      <c r="E1106">
        <f>COUNTIF(Wednesday!I:I, B1106)</f>
        <v>0</v>
      </c>
      <c r="F1106">
        <f>COUNTIF(Thursday!I:I, B1106)</f>
        <v>0</v>
      </c>
      <c r="G1106">
        <f>COUNTIF(Friday!I:I, B1106)</f>
        <v>0</v>
      </c>
      <c r="H1106">
        <f>SUM(C1106:G1106)</f>
        <v>0</v>
      </c>
    </row>
    <row r="1107" spans="1:8" x14ac:dyDescent="0.25">
      <c r="A1107" s="5" t="s">
        <v>1101</v>
      </c>
      <c r="B1107" t="str">
        <f>"*"&amp;A1107&amp;"*"</f>
        <v>*2450: Unstable Speed*</v>
      </c>
      <c r="C1107">
        <f>COUNTIF(Monday!I:I, B1107)</f>
        <v>0</v>
      </c>
      <c r="D1107">
        <f>COUNTIF(Tuesday!I:I, B1107)</f>
        <v>0</v>
      </c>
      <c r="E1107">
        <f>COUNTIF(Wednesday!I:I, B1107)</f>
        <v>0</v>
      </c>
      <c r="F1107">
        <f>COUNTIF(Thursday!I:I, B1107)</f>
        <v>0</v>
      </c>
      <c r="G1107">
        <f>COUNTIF(Friday!I:I, B1107)</f>
        <v>0</v>
      </c>
      <c r="H1107">
        <f>SUM(C1107:G1107)</f>
        <v>0</v>
      </c>
    </row>
    <row r="1108" spans="1:8" x14ac:dyDescent="0.25">
      <c r="A1108" s="5" t="s">
        <v>1102</v>
      </c>
      <c r="B1108" t="str">
        <f>"*"&amp;A1108&amp;"*"</f>
        <v>*2485: Gas/Air Leak*</v>
      </c>
      <c r="C1108">
        <f>COUNTIF(Monday!I:I, B1108)</f>
        <v>0</v>
      </c>
      <c r="D1108">
        <f>COUNTIF(Tuesday!I:I, B1108)</f>
        <v>0</v>
      </c>
      <c r="E1108">
        <f>COUNTIF(Wednesday!I:I, B1108)</f>
        <v>0</v>
      </c>
      <c r="F1108">
        <f>COUNTIF(Thursday!I:I, B1108)</f>
        <v>0</v>
      </c>
      <c r="G1108">
        <f>COUNTIF(Friday!I:I, B1108)</f>
        <v>0</v>
      </c>
      <c r="H1108">
        <f>SUM(C1108:G1108)</f>
        <v>0</v>
      </c>
    </row>
    <row r="1109" spans="1:8" x14ac:dyDescent="0.25">
      <c r="A1109" s="5" t="s">
        <v>1103</v>
      </c>
      <c r="B1109" t="str">
        <f>"*"&amp;A1109&amp;"*"</f>
        <v>*2510: Failure to Reach Optimum Speed - During Ablation/Procedure*</v>
      </c>
      <c r="C1109">
        <f>COUNTIF(Monday!I:I, B1109)</f>
        <v>0</v>
      </c>
      <c r="D1109">
        <f>COUNTIF(Tuesday!I:I, B1109)</f>
        <v>0</v>
      </c>
      <c r="E1109">
        <f>COUNTIF(Wednesday!I:I, B1109)</f>
        <v>0</v>
      </c>
      <c r="F1109">
        <f>COUNTIF(Thursday!I:I, B1109)</f>
        <v>0</v>
      </c>
      <c r="G1109">
        <f>COUNTIF(Friday!I:I, B1109)</f>
        <v>0</v>
      </c>
      <c r="H1109">
        <f>SUM(C1109:G1109)</f>
        <v>0</v>
      </c>
    </row>
    <row r="1110" spans="1:8" x14ac:dyDescent="0.25">
      <c r="A1110" s="5" t="s">
        <v>1104</v>
      </c>
      <c r="B1110" t="str">
        <f>"*"&amp;A1110&amp;"*"</f>
        <v>*2511: Failure to Reach Optimum Speed - In Dynaglide Mode*</v>
      </c>
      <c r="C1110">
        <f>COUNTIF(Monday!I:I, B1110)</f>
        <v>0</v>
      </c>
      <c r="D1110">
        <f>COUNTIF(Tuesday!I:I, B1110)</f>
        <v>0</v>
      </c>
      <c r="E1110">
        <f>COUNTIF(Wednesday!I:I, B1110)</f>
        <v>0</v>
      </c>
      <c r="F1110">
        <f>COUNTIF(Thursday!I:I, B1110)</f>
        <v>0</v>
      </c>
      <c r="G1110">
        <f>COUNTIF(Friday!I:I, B1110)</f>
        <v>0</v>
      </c>
      <c r="H1110">
        <f>SUM(C1110:G1110)</f>
        <v>0</v>
      </c>
    </row>
    <row r="1111" spans="1:8" x14ac:dyDescent="0.25">
      <c r="A1111" s="5" t="s">
        <v>1105</v>
      </c>
      <c r="B1111" t="str">
        <f>"*"&amp;A1111&amp;"*"</f>
        <v>*2512: Failure to Reach Optimum Speed - During Preparation/Test*</v>
      </c>
      <c r="C1111">
        <f>COUNTIF(Monday!I:I, B1111)</f>
        <v>0</v>
      </c>
      <c r="D1111">
        <f>COUNTIF(Tuesday!I:I, B1111)</f>
        <v>0</v>
      </c>
      <c r="E1111">
        <f>COUNTIF(Wednesday!I:I, B1111)</f>
        <v>0</v>
      </c>
      <c r="F1111">
        <f>COUNTIF(Thursday!I:I, B1111)</f>
        <v>0</v>
      </c>
      <c r="G1111">
        <f>COUNTIF(Friday!I:I, B1111)</f>
        <v>0</v>
      </c>
      <c r="H1111">
        <f>SUM(C1111:G1111)</f>
        <v>0</v>
      </c>
    </row>
    <row r="1112" spans="1:8" x14ac:dyDescent="0.25">
      <c r="A1112" s="5" t="s">
        <v>1106</v>
      </c>
      <c r="B1112" t="str">
        <f>"*"&amp;A1112&amp;"*"</f>
        <v>*2530: Abnormal Noise - In Dynaglide Mode*</v>
      </c>
      <c r="C1112">
        <f>COUNTIF(Monday!I:I, B1112)</f>
        <v>0</v>
      </c>
      <c r="D1112">
        <f>COUNTIF(Tuesday!I:I, B1112)</f>
        <v>0</v>
      </c>
      <c r="E1112">
        <f>COUNTIF(Wednesday!I:I, B1112)</f>
        <v>0</v>
      </c>
      <c r="F1112">
        <f>COUNTIF(Thursday!I:I, B1112)</f>
        <v>0</v>
      </c>
      <c r="G1112">
        <f>COUNTIF(Friday!I:I, B1112)</f>
        <v>0</v>
      </c>
      <c r="H1112">
        <f>SUM(C1112:G1112)</f>
        <v>0</v>
      </c>
    </row>
    <row r="1113" spans="1:8" x14ac:dyDescent="0.25">
      <c r="A1113" s="5" t="s">
        <v>1107</v>
      </c>
      <c r="B1113" t="str">
        <f>"*"&amp;A1113&amp;"*"</f>
        <v>*2531: Abnormal Noise - In Normal Mode*</v>
      </c>
      <c r="C1113">
        <f>COUNTIF(Monday!I:I, B1113)</f>
        <v>0</v>
      </c>
      <c r="D1113">
        <f>COUNTIF(Tuesday!I:I, B1113)</f>
        <v>0</v>
      </c>
      <c r="E1113">
        <f>COUNTIF(Wednesday!I:I, B1113)</f>
        <v>0</v>
      </c>
      <c r="F1113">
        <f>COUNTIF(Thursday!I:I, B1113)</f>
        <v>0</v>
      </c>
      <c r="G1113">
        <f>COUNTIF(Friday!I:I, B1113)</f>
        <v>0</v>
      </c>
      <c r="H1113">
        <f>SUM(C1113:G1113)</f>
        <v>0</v>
      </c>
    </row>
    <row r="1114" spans="1:8" x14ac:dyDescent="0.25">
      <c r="A1114" s="5" t="s">
        <v>1108</v>
      </c>
      <c r="B1114" t="str">
        <f>"*"&amp;A1114&amp;"*"</f>
        <v>*2543: Unexpected Output*</v>
      </c>
      <c r="C1114">
        <f>COUNTIF(Monday!I:I, B1114)</f>
        <v>0</v>
      </c>
      <c r="D1114">
        <f>COUNTIF(Tuesday!I:I, B1114)</f>
        <v>0</v>
      </c>
      <c r="E1114">
        <f>COUNTIF(Wednesday!I:I, B1114)</f>
        <v>0</v>
      </c>
      <c r="F1114">
        <f>COUNTIF(Thursday!I:I, B1114)</f>
        <v>0</v>
      </c>
      <c r="G1114">
        <f>COUNTIF(Friday!I:I, B1114)</f>
        <v>0</v>
      </c>
      <c r="H1114">
        <f>SUM(C1114:G1114)</f>
        <v>0</v>
      </c>
    </row>
    <row r="1115" spans="1:8" x14ac:dyDescent="0.25">
      <c r="A1115" s="5" t="s">
        <v>1109</v>
      </c>
      <c r="B1115" t="str">
        <f>"*"&amp;A1115&amp;"*"</f>
        <v>*2507: Failure to Start Rotation*</v>
      </c>
      <c r="C1115">
        <f>COUNTIF(Monday!I:I, B1115)</f>
        <v>0</v>
      </c>
      <c r="D1115">
        <f>COUNTIF(Tuesday!I:I, B1115)</f>
        <v>0</v>
      </c>
      <c r="E1115">
        <f>COUNTIF(Wednesday!I:I, B1115)</f>
        <v>0</v>
      </c>
      <c r="F1115">
        <f>COUNTIF(Thursday!I:I, B1115)</f>
        <v>0</v>
      </c>
      <c r="G1115">
        <f>COUNTIF(Friday!I:I, B1115)</f>
        <v>0</v>
      </c>
      <c r="H1115">
        <f>SUM(C1115:G1115)</f>
        <v>0</v>
      </c>
    </row>
    <row r="1116" spans="1:8" x14ac:dyDescent="0.25">
      <c r="A1116" s="5" t="s">
        <v>1110</v>
      </c>
      <c r="B1116" t="str">
        <f>"*"&amp;A1116&amp;"*"</f>
        <v>*2508: Failure to Stop Rotation*</v>
      </c>
      <c r="C1116">
        <f>COUNTIF(Monday!I:I, B1116)</f>
        <v>0</v>
      </c>
      <c r="D1116">
        <f>COUNTIF(Tuesday!I:I, B1116)</f>
        <v>0</v>
      </c>
      <c r="E1116">
        <f>COUNTIF(Wednesday!I:I, B1116)</f>
        <v>0</v>
      </c>
      <c r="F1116">
        <f>COUNTIF(Thursday!I:I, B1116)</f>
        <v>0</v>
      </c>
      <c r="G1116">
        <f>COUNTIF(Friday!I:I, B1116)</f>
        <v>0</v>
      </c>
      <c r="H1116">
        <f>SUM(C1116:G1116)</f>
        <v>0</v>
      </c>
    </row>
    <row r="1117" spans="1:8" x14ac:dyDescent="0.25">
      <c r="A1117" s="5" t="s">
        <v>1111</v>
      </c>
      <c r="B1117" t="str">
        <f>"*"&amp;A1117&amp;"*"</f>
        <v>*2506: Failure To Change Modes*</v>
      </c>
      <c r="C1117">
        <f>COUNTIF(Monday!I:I, B1117)</f>
        <v>0</v>
      </c>
      <c r="D1117">
        <f>COUNTIF(Tuesday!I:I, B1117)</f>
        <v>0</v>
      </c>
      <c r="E1117">
        <f>COUNTIF(Wednesday!I:I, B1117)</f>
        <v>0</v>
      </c>
      <c r="F1117">
        <f>COUNTIF(Thursday!I:I, B1117)</f>
        <v>0</v>
      </c>
      <c r="G1117">
        <f>COUNTIF(Friday!I:I, B1117)</f>
        <v>0</v>
      </c>
      <c r="H1117">
        <f>SUM(C1117:G1117)</f>
        <v>0</v>
      </c>
    </row>
    <row r="1118" spans="1:8" x14ac:dyDescent="0.25">
      <c r="A1118" s="5" t="s">
        <v>1112</v>
      </c>
      <c r="B1118" t="str">
        <f>"*"&amp;A1118&amp;"*"</f>
        <v>*2513: Modes Change Unintentionally*</v>
      </c>
      <c r="C1118">
        <f>COUNTIF(Monday!I:I, B1118)</f>
        <v>0</v>
      </c>
      <c r="D1118">
        <f>COUNTIF(Tuesday!I:I, B1118)</f>
        <v>0</v>
      </c>
      <c r="E1118">
        <f>COUNTIF(Wednesday!I:I, B1118)</f>
        <v>0</v>
      </c>
      <c r="F1118">
        <f>COUNTIF(Thursday!I:I, B1118)</f>
        <v>0</v>
      </c>
      <c r="G1118">
        <f>COUNTIF(Friday!I:I, B1118)</f>
        <v>0</v>
      </c>
      <c r="H1118">
        <f>SUM(C1118:G1118)</f>
        <v>0</v>
      </c>
    </row>
    <row r="1119" spans="1:8" x14ac:dyDescent="0.25">
      <c r="A1119" s="5" t="s">
        <v>1113</v>
      </c>
      <c r="B1119" t="str">
        <f>"*"&amp;A1119&amp;"*"</f>
        <v>*2483: Luer Leak*</v>
      </c>
      <c r="C1119">
        <f>COUNTIF(Monday!I:I, B1119)</f>
        <v>0</v>
      </c>
      <c r="D1119">
        <f>COUNTIF(Tuesday!I:I, B1119)</f>
        <v>0</v>
      </c>
      <c r="E1119">
        <f>COUNTIF(Wednesday!I:I, B1119)</f>
        <v>0</v>
      </c>
      <c r="F1119">
        <f>COUNTIF(Thursday!I:I, B1119)</f>
        <v>0</v>
      </c>
      <c r="G1119">
        <f>COUNTIF(Friday!I:I, B1119)</f>
        <v>0</v>
      </c>
      <c r="H1119">
        <f>SUM(C1119:G1119)</f>
        <v>0</v>
      </c>
    </row>
    <row r="1120" spans="1:8" x14ac:dyDescent="0.25">
      <c r="A1120" s="5" t="s">
        <v>1114</v>
      </c>
      <c r="B1120" t="str">
        <f>"*"&amp;A1120&amp;"*"</f>
        <v>*2766: Unintentionally Start/Stop*</v>
      </c>
      <c r="C1120">
        <f>COUNTIF(Monday!I:I, B1120)</f>
        <v>0</v>
      </c>
      <c r="D1120">
        <f>COUNTIF(Tuesday!I:I, B1120)</f>
        <v>0</v>
      </c>
      <c r="E1120">
        <f>COUNTIF(Wednesday!I:I, B1120)</f>
        <v>0</v>
      </c>
      <c r="F1120">
        <f>COUNTIF(Thursday!I:I, B1120)</f>
        <v>0</v>
      </c>
      <c r="G1120">
        <f>COUNTIF(Friday!I:I, B1120)</f>
        <v>0</v>
      </c>
      <c r="H1120">
        <f>SUM(C1120:G1120)</f>
        <v>0</v>
      </c>
    </row>
    <row r="1121" spans="1:8" x14ac:dyDescent="0.25">
      <c r="A1121" s="5" t="s">
        <v>1115</v>
      </c>
      <c r="B1121" t="str">
        <f>"*"&amp;A1121&amp;"*"</f>
        <v>*2522: No Electrical Supply*</v>
      </c>
      <c r="C1121">
        <f>COUNTIF(Monday!I:I, B1121)</f>
        <v>0</v>
      </c>
      <c r="D1121">
        <f>COUNTIF(Tuesday!I:I, B1121)</f>
        <v>0</v>
      </c>
      <c r="E1121">
        <f>COUNTIF(Wednesday!I:I, B1121)</f>
        <v>0</v>
      </c>
      <c r="F1121">
        <f>COUNTIF(Thursday!I:I, B1121)</f>
        <v>0</v>
      </c>
      <c r="G1121">
        <f>COUNTIF(Friday!I:I, B1121)</f>
        <v>0</v>
      </c>
      <c r="H1121">
        <f>SUM(C1121:G1121)</f>
        <v>0</v>
      </c>
    </row>
    <row r="1122" spans="1:8" x14ac:dyDescent="0.25">
      <c r="A1122" s="5" t="s">
        <v>1116</v>
      </c>
      <c r="B1122" t="str">
        <f>"*"&amp;A1122&amp;"*"</f>
        <v>*2509: Failure To Adjust Speed*</v>
      </c>
      <c r="C1122">
        <f>COUNTIF(Monday!I:I, B1122)</f>
        <v>0</v>
      </c>
      <c r="D1122">
        <f>COUNTIF(Tuesday!I:I, B1122)</f>
        <v>0</v>
      </c>
      <c r="E1122">
        <f>COUNTIF(Wednesday!I:I, B1122)</f>
        <v>0</v>
      </c>
      <c r="F1122">
        <f>COUNTIF(Thursday!I:I, B1122)</f>
        <v>0</v>
      </c>
      <c r="G1122">
        <f>COUNTIF(Friday!I:I, B1122)</f>
        <v>0</v>
      </c>
      <c r="H1122">
        <f>SUM(C1122:G1122)</f>
        <v>0</v>
      </c>
    </row>
    <row r="1123" spans="1:8" x14ac:dyDescent="0.25">
      <c r="A1123" s="5" t="s">
        <v>1117</v>
      </c>
      <c r="B1123" t="str">
        <f>"*"&amp;A1123&amp;"*"</f>
        <v>*2526: Remains Adjustable In Dynaglide Mode*</v>
      </c>
      <c r="C1123">
        <f>COUNTIF(Monday!I:I, B1123)</f>
        <v>0</v>
      </c>
      <c r="D1123">
        <f>COUNTIF(Tuesday!I:I, B1123)</f>
        <v>0</v>
      </c>
      <c r="E1123">
        <f>COUNTIF(Wednesday!I:I, B1123)</f>
        <v>0</v>
      </c>
      <c r="F1123">
        <f>COUNTIF(Thursday!I:I, B1123)</f>
        <v>0</v>
      </c>
      <c r="G1123">
        <f>COUNTIF(Friday!I:I, B1123)</f>
        <v>0</v>
      </c>
      <c r="H1123">
        <f>SUM(C1123:G1123)</f>
        <v>0</v>
      </c>
    </row>
    <row r="1124" spans="1:8" x14ac:dyDescent="0.25">
      <c r="A1124" s="5" t="s">
        <v>1118</v>
      </c>
      <c r="B1124" t="str">
        <f>"*"&amp;A1124&amp;"*"</f>
        <v>*2567: Difficult To Turn*</v>
      </c>
      <c r="C1124">
        <f>COUNTIF(Monday!I:I, B1124)</f>
        <v>0</v>
      </c>
      <c r="D1124">
        <f>COUNTIF(Tuesday!I:I, B1124)</f>
        <v>0</v>
      </c>
      <c r="E1124">
        <f>COUNTIF(Wednesday!I:I, B1124)</f>
        <v>0</v>
      </c>
      <c r="F1124">
        <f>COUNTIF(Thursday!I:I, B1124)</f>
        <v>0</v>
      </c>
      <c r="G1124">
        <f>COUNTIF(Friday!I:I, B1124)</f>
        <v>0</v>
      </c>
      <c r="H1124">
        <f>SUM(C1124:G1124)</f>
        <v>0</v>
      </c>
    </row>
    <row r="1125" spans="1:8" x14ac:dyDescent="0.25">
      <c r="A1125" s="5" t="s">
        <v>1119</v>
      </c>
      <c r="B1125" t="str">
        <f>"*"&amp;A1125&amp;"*"</f>
        <v>*1577: Failure To Reset*</v>
      </c>
      <c r="C1125">
        <f>COUNTIF(Monday!I:I, B1125)</f>
        <v>0</v>
      </c>
      <c r="D1125">
        <f>COUNTIF(Tuesday!I:I, B1125)</f>
        <v>0</v>
      </c>
      <c r="E1125">
        <f>COUNTIF(Wednesday!I:I, B1125)</f>
        <v>0</v>
      </c>
      <c r="F1125">
        <f>COUNTIF(Thursday!I:I, B1125)</f>
        <v>0</v>
      </c>
      <c r="G1125">
        <f>COUNTIF(Friday!I:I, B1125)</f>
        <v>0</v>
      </c>
      <c r="H1125">
        <f>SUM(C1125:G1125)</f>
        <v>0</v>
      </c>
    </row>
    <row r="1126" spans="1:8" x14ac:dyDescent="0.25">
      <c r="A1126" s="5" t="s">
        <v>1120</v>
      </c>
      <c r="B1126" t="str">
        <f>"*"&amp;A1126&amp;"*"</f>
        <v>*2558: Failure To Supply Gas*</v>
      </c>
      <c r="C1126">
        <f>COUNTIF(Monday!I:I, B1126)</f>
        <v>0</v>
      </c>
      <c r="D1126">
        <f>COUNTIF(Tuesday!I:I, B1126)</f>
        <v>0</v>
      </c>
      <c r="E1126">
        <f>COUNTIF(Wednesday!I:I, B1126)</f>
        <v>0</v>
      </c>
      <c r="F1126">
        <f>COUNTIF(Thursday!I:I, B1126)</f>
        <v>0</v>
      </c>
      <c r="G1126">
        <f>COUNTIF(Friday!I:I, B1126)</f>
        <v>0</v>
      </c>
      <c r="H1126">
        <f>SUM(C1126:G1126)</f>
        <v>0</v>
      </c>
    </row>
    <row r="1127" spans="1:8" x14ac:dyDescent="0.25">
      <c r="A1127" s="5" t="s">
        <v>1121</v>
      </c>
      <c r="B1127" t="str">
        <f>"*"&amp;A1127&amp;"*"</f>
        <v>*2560: Missing Screws*</v>
      </c>
      <c r="C1127">
        <f>COUNTIF(Monday!I:I, B1127)</f>
        <v>0</v>
      </c>
      <c r="D1127">
        <f>COUNTIF(Tuesday!I:I, B1127)</f>
        <v>0</v>
      </c>
      <c r="E1127">
        <f>COUNTIF(Wednesday!I:I, B1127)</f>
        <v>0</v>
      </c>
      <c r="F1127">
        <f>COUNTIF(Thursday!I:I, B1127)</f>
        <v>0</v>
      </c>
      <c r="G1127">
        <f>COUNTIF(Friday!I:I, B1127)</f>
        <v>0</v>
      </c>
      <c r="H1127">
        <f>SUM(C1127:G1127)</f>
        <v>0</v>
      </c>
    </row>
    <row r="1128" spans="1:8" x14ac:dyDescent="0.25">
      <c r="A1128" s="5" t="s">
        <v>1122</v>
      </c>
      <c r="B1128" t="str">
        <f>"*"&amp;A1128&amp;"*"</f>
        <v>*2561: Pole Clamp Missing*</v>
      </c>
      <c r="C1128">
        <f>COUNTIF(Monday!I:I, B1128)</f>
        <v>0</v>
      </c>
      <c r="D1128">
        <f>COUNTIF(Tuesday!I:I, B1128)</f>
        <v>0</v>
      </c>
      <c r="E1128">
        <f>COUNTIF(Wednesday!I:I, B1128)</f>
        <v>0</v>
      </c>
      <c r="F1128">
        <f>COUNTIF(Thursday!I:I, B1128)</f>
        <v>0</v>
      </c>
      <c r="G1128">
        <f>COUNTIF(Friday!I:I, B1128)</f>
        <v>0</v>
      </c>
      <c r="H1128">
        <f>SUM(C1128:G1128)</f>
        <v>0</v>
      </c>
    </row>
    <row r="1129" spans="1:8" x14ac:dyDescent="0.25">
      <c r="A1129" s="5" t="s">
        <v>1123</v>
      </c>
      <c r="B1129" t="str">
        <f>"*"&amp;A1129&amp;"*"</f>
        <v>*2722: Wrong Part*</v>
      </c>
      <c r="C1129">
        <f>COUNTIF(Monday!I:I, B1129)</f>
        <v>0</v>
      </c>
      <c r="D1129">
        <f>COUNTIF(Tuesday!I:I, B1129)</f>
        <v>0</v>
      </c>
      <c r="E1129">
        <f>COUNTIF(Wednesday!I:I, B1129)</f>
        <v>0</v>
      </c>
      <c r="F1129">
        <f>COUNTIF(Thursday!I:I, B1129)</f>
        <v>0</v>
      </c>
      <c r="G1129">
        <f>COUNTIF(Friday!I:I, B1129)</f>
        <v>0</v>
      </c>
      <c r="H1129">
        <f>SUM(C1129:G1129)</f>
        <v>0</v>
      </c>
    </row>
    <row r="1130" spans="1:8" x14ac:dyDescent="0.25">
      <c r="A1130" s="5" t="s">
        <v>1124</v>
      </c>
      <c r="B1130" t="str">
        <f>"*"&amp;A1130&amp;"*"</f>
        <v>*2723: Cannot Replace*</v>
      </c>
      <c r="C1130">
        <f>COUNTIF(Monday!I:I, B1130)</f>
        <v>0</v>
      </c>
      <c r="D1130">
        <f>COUNTIF(Tuesday!I:I, B1130)</f>
        <v>0</v>
      </c>
      <c r="E1130">
        <f>COUNTIF(Wednesday!I:I, B1130)</f>
        <v>0</v>
      </c>
      <c r="F1130">
        <f>COUNTIF(Thursday!I:I, B1130)</f>
        <v>0</v>
      </c>
      <c r="G1130">
        <f>COUNTIF(Friday!I:I, B1130)</f>
        <v>0</v>
      </c>
      <c r="H1130">
        <f>SUM(C1130:G1130)</f>
        <v>0</v>
      </c>
    </row>
    <row r="1131" spans="1:8" x14ac:dyDescent="0.25">
      <c r="A1131" s="5" t="s">
        <v>1125</v>
      </c>
      <c r="B1131" t="str">
        <f>"*"&amp;A1131&amp;"*"</f>
        <v>*1173: Deflation Slow*</v>
      </c>
      <c r="C1131">
        <f>COUNTIF(Monday!I:I, B1131)</f>
        <v>0</v>
      </c>
      <c r="D1131">
        <f>COUNTIF(Tuesday!I:I, B1131)</f>
        <v>0</v>
      </c>
      <c r="E1131">
        <f>COUNTIF(Wednesday!I:I, B1131)</f>
        <v>0</v>
      </c>
      <c r="F1131">
        <f>COUNTIF(Thursday!I:I, B1131)</f>
        <v>0</v>
      </c>
      <c r="G1131">
        <f>COUNTIF(Friday!I:I, B1131)</f>
        <v>0</v>
      </c>
      <c r="H1131">
        <f>SUM(C1131:G1131)</f>
        <v>0</v>
      </c>
    </row>
    <row r="1132" spans="1:8" x14ac:dyDescent="0.25">
      <c r="A1132" s="5" t="s">
        <v>1126</v>
      </c>
      <c r="B1132" t="str">
        <f>"*"&amp;A1132&amp;"*"</f>
        <v>*1356: Difficult To Remove/Withdraw From Lesion*</v>
      </c>
      <c r="C1132">
        <f>COUNTIF(Monday!I:I, B1132)</f>
        <v>0</v>
      </c>
      <c r="D1132">
        <f>COUNTIF(Tuesday!I:I, B1132)</f>
        <v>0</v>
      </c>
      <c r="E1132">
        <f>COUNTIF(Wednesday!I:I, B1132)</f>
        <v>0</v>
      </c>
      <c r="F1132">
        <f>COUNTIF(Thursday!I:I, B1132)</f>
        <v>0</v>
      </c>
      <c r="G1132">
        <f>COUNTIF(Friday!I:I, B1132)</f>
        <v>0</v>
      </c>
      <c r="H1132">
        <f>SUM(C1132:G1132)</f>
        <v>0</v>
      </c>
    </row>
    <row r="1133" spans="1:8" x14ac:dyDescent="0.25">
      <c r="A1133" s="5" t="s">
        <v>1127</v>
      </c>
      <c r="B1133" t="str">
        <f>"*"&amp;A1133&amp;"*"</f>
        <v>*1357: Difficult To Remove/Withdraw From Sheath*</v>
      </c>
      <c r="C1133">
        <f>COUNTIF(Monday!I:I, B1133)</f>
        <v>0</v>
      </c>
      <c r="D1133">
        <f>COUNTIF(Tuesday!I:I, B1133)</f>
        <v>0</v>
      </c>
      <c r="E1133">
        <f>COUNTIF(Wednesday!I:I, B1133)</f>
        <v>0</v>
      </c>
      <c r="F1133">
        <f>COUNTIF(Thursday!I:I, B1133)</f>
        <v>0</v>
      </c>
      <c r="G1133">
        <f>COUNTIF(Friday!I:I, B1133)</f>
        <v>0</v>
      </c>
      <c r="H1133">
        <f>SUM(C1133:G1133)</f>
        <v>0</v>
      </c>
    </row>
    <row r="1134" spans="1:8" x14ac:dyDescent="0.25">
      <c r="A1134" s="5" t="s">
        <v>1128</v>
      </c>
      <c r="B1134" t="str">
        <f>"*"&amp;A1134&amp;"*"</f>
        <v>*1358: Difficult To Remove/Withdraw From Stent*</v>
      </c>
      <c r="C1134">
        <f>COUNTIF(Monday!I:I, B1134)</f>
        <v>0</v>
      </c>
      <c r="D1134">
        <f>COUNTIF(Tuesday!I:I, B1134)</f>
        <v>0</v>
      </c>
      <c r="E1134">
        <f>COUNTIF(Wednesday!I:I, B1134)</f>
        <v>0</v>
      </c>
      <c r="F1134">
        <f>COUNTIF(Thursday!I:I, B1134)</f>
        <v>0</v>
      </c>
      <c r="G1134">
        <f>COUNTIF(Friday!I:I, B1134)</f>
        <v>0</v>
      </c>
      <c r="H1134">
        <f>SUM(C1134:G1134)</f>
        <v>0</v>
      </c>
    </row>
    <row r="1135" spans="1:8" x14ac:dyDescent="0.25">
      <c r="A1135" s="5" t="s">
        <v>1129</v>
      </c>
      <c r="B1135" t="str">
        <f>"*"&amp;A1135&amp;"*"</f>
        <v>*1616: First Inflation*</v>
      </c>
      <c r="C1135">
        <f>COUNTIF(Monday!I:I, B1135)</f>
        <v>0</v>
      </c>
      <c r="D1135">
        <f>COUNTIF(Tuesday!I:I, B1135)</f>
        <v>0</v>
      </c>
      <c r="E1135">
        <f>COUNTIF(Wednesday!I:I, B1135)</f>
        <v>0</v>
      </c>
      <c r="F1135">
        <f>COUNTIF(Thursday!I:I, B1135)</f>
        <v>0</v>
      </c>
      <c r="G1135">
        <f>COUNTIF(Friday!I:I, B1135)</f>
        <v>0</v>
      </c>
      <c r="H1135">
        <f>SUM(C1135:G1135)</f>
        <v>0</v>
      </c>
    </row>
    <row r="1136" spans="1:8" x14ac:dyDescent="0.25">
      <c r="A1136" s="5" t="s">
        <v>1130</v>
      </c>
      <c r="B1136" t="str">
        <f>"*"&amp;A1136&amp;"*"</f>
        <v>*1728: Inflation Slow*</v>
      </c>
      <c r="C1136">
        <f>COUNTIF(Monday!I:I, B1136)</f>
        <v>0</v>
      </c>
      <c r="D1136">
        <f>COUNTIF(Tuesday!I:I, B1136)</f>
        <v>0</v>
      </c>
      <c r="E1136">
        <f>COUNTIF(Wednesday!I:I, B1136)</f>
        <v>0</v>
      </c>
      <c r="F1136">
        <f>COUNTIF(Thursday!I:I, B1136)</f>
        <v>0</v>
      </c>
      <c r="G1136">
        <f>COUNTIF(Friday!I:I, B1136)</f>
        <v>0</v>
      </c>
      <c r="H1136">
        <f>SUM(C1136:G1136)</f>
        <v>0</v>
      </c>
    </row>
    <row r="1137" spans="1:8" x14ac:dyDescent="0.25">
      <c r="A1137" s="5" t="s">
        <v>1131</v>
      </c>
      <c r="B1137" t="str">
        <f>"*"&amp;A1137&amp;"*"</f>
        <v>*2081: Multiple Inflations*</v>
      </c>
      <c r="C1137">
        <f>COUNTIF(Monday!I:I, B1137)</f>
        <v>0</v>
      </c>
      <c r="D1137">
        <f>COUNTIF(Tuesday!I:I, B1137)</f>
        <v>0</v>
      </c>
      <c r="E1137">
        <f>COUNTIF(Wednesday!I:I, B1137)</f>
        <v>0</v>
      </c>
      <c r="F1137">
        <f>COUNTIF(Thursday!I:I, B1137)</f>
        <v>0</v>
      </c>
      <c r="G1137">
        <f>COUNTIF(Friday!I:I, B1137)</f>
        <v>0</v>
      </c>
      <c r="H1137">
        <f>SUM(C1137:G1137)</f>
        <v>0</v>
      </c>
    </row>
    <row r="1138" spans="1:8" x14ac:dyDescent="0.25">
      <c r="A1138" s="5" t="s">
        <v>1132</v>
      </c>
      <c r="B1138" t="str">
        <f>"*"&amp;A1138&amp;"*"</f>
        <v>*2144: Number Of Inflations Unknown*</v>
      </c>
      <c r="C1138">
        <f>COUNTIF(Monday!I:I, B1138)</f>
        <v>0</v>
      </c>
      <c r="D1138">
        <f>COUNTIF(Tuesday!I:I, B1138)</f>
        <v>0</v>
      </c>
      <c r="E1138">
        <f>COUNTIF(Wednesday!I:I, B1138)</f>
        <v>0</v>
      </c>
      <c r="F1138">
        <f>COUNTIF(Thursday!I:I, B1138)</f>
        <v>0</v>
      </c>
      <c r="G1138">
        <f>COUNTIF(Friday!I:I, B1138)</f>
        <v>0</v>
      </c>
      <c r="H1138">
        <f>SUM(C1138:G1138)</f>
        <v>0</v>
      </c>
    </row>
    <row r="1139" spans="1:8" x14ac:dyDescent="0.25">
      <c r="A1139" s="7" t="s">
        <v>1133</v>
      </c>
      <c r="B1139" t="str">
        <f>"*"&amp;A1139&amp;"*"</f>
        <v>*3073: Diameter Too Large*</v>
      </c>
      <c r="C1139">
        <f>COUNTIF(Monday!I:I, B1139)</f>
        <v>0</v>
      </c>
      <c r="D1139">
        <f>COUNTIF(Tuesday!I:I, B1139)</f>
        <v>0</v>
      </c>
      <c r="E1139">
        <f>COUNTIF(Wednesday!I:I, B1139)</f>
        <v>0</v>
      </c>
      <c r="F1139">
        <f>COUNTIF(Thursday!I:I, B1139)</f>
        <v>0</v>
      </c>
      <c r="G1139">
        <f>COUNTIF(Friday!I:I, B1139)</f>
        <v>0</v>
      </c>
      <c r="H1139">
        <f>SUM(C1139:G1139)</f>
        <v>0</v>
      </c>
    </row>
    <row r="1140" spans="1:8" x14ac:dyDescent="0.25">
      <c r="A1140" s="7" t="s">
        <v>1134</v>
      </c>
      <c r="B1140" t="str">
        <f>"*"&amp;A1140&amp;"*"</f>
        <v>*3074: Diameter Too Small*</v>
      </c>
      <c r="C1140">
        <f>COUNTIF(Monday!I:I, B1140)</f>
        <v>0</v>
      </c>
      <c r="D1140">
        <f>COUNTIF(Tuesday!I:I, B1140)</f>
        <v>0</v>
      </c>
      <c r="E1140">
        <f>COUNTIF(Wednesday!I:I, B1140)</f>
        <v>0</v>
      </c>
      <c r="F1140">
        <f>COUNTIF(Thursday!I:I, B1140)</f>
        <v>0</v>
      </c>
      <c r="G1140">
        <f>COUNTIF(Friday!I:I, B1140)</f>
        <v>0</v>
      </c>
      <c r="H1140">
        <f>SUM(C1140:G1140)</f>
        <v>0</v>
      </c>
    </row>
    <row r="1141" spans="1:8" x14ac:dyDescent="0.25">
      <c r="A1141" s="5" t="s">
        <v>1135</v>
      </c>
      <c r="B1141" t="str">
        <f>"*"&amp;A1141&amp;"*"</f>
        <v>*3237: Balloon Jumps During Inflation*</v>
      </c>
      <c r="C1141">
        <f>COUNTIF(Monday!I:I, B1141)</f>
        <v>0</v>
      </c>
      <c r="D1141">
        <f>COUNTIF(Tuesday!I:I, B1141)</f>
        <v>0</v>
      </c>
      <c r="E1141">
        <f>COUNTIF(Wednesday!I:I, B1141)</f>
        <v>0</v>
      </c>
      <c r="F1141">
        <f>COUNTIF(Thursday!I:I, B1141)</f>
        <v>0</v>
      </c>
      <c r="G1141">
        <f>COUNTIF(Friday!I:I, B1141)</f>
        <v>0</v>
      </c>
      <c r="H1141">
        <f>SUM(C1141:G1141)</f>
        <v>0</v>
      </c>
    </row>
    <row r="1142" spans="1:8" x14ac:dyDescent="0.25">
      <c r="A1142" s="5" t="s">
        <v>1136</v>
      </c>
      <c r="B1142" t="str">
        <f>"*"&amp;A1142&amp;"*"</f>
        <v>*1786: Lifted*</v>
      </c>
      <c r="C1142">
        <f>COUNTIF(Monday!I:I, B1142)</f>
        <v>0</v>
      </c>
      <c r="D1142">
        <f>COUNTIF(Tuesday!I:I, B1142)</f>
        <v>0</v>
      </c>
      <c r="E1142">
        <f>COUNTIF(Wednesday!I:I, B1142)</f>
        <v>0</v>
      </c>
      <c r="F1142">
        <f>COUNTIF(Thursday!I:I, B1142)</f>
        <v>0</v>
      </c>
      <c r="G1142">
        <f>COUNTIF(Friday!I:I, B1142)</f>
        <v>0</v>
      </c>
      <c r="H1142">
        <f>SUM(C1142:G1142)</f>
        <v>0</v>
      </c>
    </row>
    <row r="1143" spans="1:8" x14ac:dyDescent="0.25">
      <c r="A1143" s="5" t="s">
        <v>1137</v>
      </c>
      <c r="B1143" t="str">
        <f>"*"&amp;A1143&amp;"*"</f>
        <v>*1259: Device Or Device Component Damaged By Another Device*</v>
      </c>
      <c r="C1143">
        <f>COUNTIF(Monday!I:I, B1143)</f>
        <v>0</v>
      </c>
      <c r="D1143">
        <f>COUNTIF(Tuesday!I:I, B1143)</f>
        <v>0</v>
      </c>
      <c r="E1143">
        <f>COUNTIF(Wednesday!I:I, B1143)</f>
        <v>0</v>
      </c>
      <c r="F1143">
        <f>COUNTIF(Thursday!I:I, B1143)</f>
        <v>0</v>
      </c>
      <c r="G1143">
        <f>COUNTIF(Friday!I:I, B1143)</f>
        <v>0</v>
      </c>
      <c r="H1143">
        <f>SUM(C1143:G1143)</f>
        <v>0</v>
      </c>
    </row>
    <row r="1144" spans="1:8" x14ac:dyDescent="0.25">
      <c r="A1144" s="5" t="s">
        <v>1138</v>
      </c>
      <c r="B1144" t="str">
        <f>"*"&amp;A1144&amp;"*"</f>
        <v>*1271: Did Not Secure Wire*</v>
      </c>
      <c r="C1144">
        <f>COUNTIF(Monday!I:I, B1144)</f>
        <v>0</v>
      </c>
      <c r="D1144">
        <f>COUNTIF(Tuesday!I:I, B1144)</f>
        <v>0</v>
      </c>
      <c r="E1144">
        <f>COUNTIF(Wednesday!I:I, B1144)</f>
        <v>0</v>
      </c>
      <c r="F1144">
        <f>COUNTIF(Thursday!I:I, B1144)</f>
        <v>0</v>
      </c>
      <c r="G1144">
        <f>COUNTIF(Friday!I:I, B1144)</f>
        <v>0</v>
      </c>
      <c r="H1144">
        <f>SUM(C1144:G1144)</f>
        <v>0</v>
      </c>
    </row>
    <row r="1145" spans="1:8" x14ac:dyDescent="0.25">
      <c r="A1145" s="5" t="s">
        <v>1139</v>
      </c>
      <c r="B1145" t="str">
        <f>"*"&amp;A1145&amp;"*"</f>
        <v>*1281: Difficult To Advance Through The Guide Catheter*</v>
      </c>
      <c r="C1145">
        <f>COUNTIF(Monday!I:I, B1145)</f>
        <v>0</v>
      </c>
      <c r="D1145">
        <f>COUNTIF(Tuesday!I:I, B1145)</f>
        <v>0</v>
      </c>
      <c r="E1145">
        <f>COUNTIF(Wednesday!I:I, B1145)</f>
        <v>0</v>
      </c>
      <c r="F1145">
        <f>COUNTIF(Thursday!I:I, B1145)</f>
        <v>0</v>
      </c>
      <c r="G1145">
        <f>COUNTIF(Friday!I:I, B1145)</f>
        <v>0</v>
      </c>
      <c r="H1145">
        <f>SUM(C1145:G1145)</f>
        <v>0</v>
      </c>
    </row>
    <row r="1146" spans="1:8" x14ac:dyDescent="0.25">
      <c r="A1146" s="5" t="s">
        <v>1140</v>
      </c>
      <c r="B1146" t="str">
        <f>"*"&amp;A1146&amp;"*"</f>
        <v>*1642: Froze On Wire*</v>
      </c>
      <c r="C1146">
        <f>COUNTIF(Monday!I:I, B1146)</f>
        <v>0</v>
      </c>
      <c r="D1146">
        <f>COUNTIF(Tuesday!I:I, B1146)</f>
        <v>0</v>
      </c>
      <c r="E1146">
        <f>COUNTIF(Wednesday!I:I, B1146)</f>
        <v>0</v>
      </c>
      <c r="F1146">
        <f>COUNTIF(Thursday!I:I, B1146)</f>
        <v>0</v>
      </c>
      <c r="G1146">
        <f>COUNTIF(Friday!I:I, B1146)</f>
        <v>0</v>
      </c>
      <c r="H1146">
        <f>SUM(C1146:G1146)</f>
        <v>0</v>
      </c>
    </row>
    <row r="1147" spans="1:8" x14ac:dyDescent="0.25">
      <c r="A1147" s="5" t="s">
        <v>1141</v>
      </c>
      <c r="B1147" t="str">
        <f>"*"&amp;A1147&amp;"*"</f>
        <v>*2222: Port Obstruction*</v>
      </c>
      <c r="C1147">
        <f>COUNTIF(Monday!I:I, B1147)</f>
        <v>0</v>
      </c>
      <c r="D1147">
        <f>COUNTIF(Tuesday!I:I, B1147)</f>
        <v>0</v>
      </c>
      <c r="E1147">
        <f>COUNTIF(Wednesday!I:I, B1147)</f>
        <v>0</v>
      </c>
      <c r="F1147">
        <f>COUNTIF(Thursday!I:I, B1147)</f>
        <v>0</v>
      </c>
      <c r="G1147">
        <f>COUNTIF(Friday!I:I, B1147)</f>
        <v>0</v>
      </c>
      <c r="H1147">
        <f>SUM(C1147:G1147)</f>
        <v>0</v>
      </c>
    </row>
    <row r="1148" spans="1:8" x14ac:dyDescent="0.25">
      <c r="A1148" s="5" t="s">
        <v>1142</v>
      </c>
      <c r="B1148" t="str">
        <f>"*"&amp;A1148&amp;"*"</f>
        <v>*1415: Dislodged Outside The Patient*</v>
      </c>
      <c r="C1148">
        <f>COUNTIF(Monday!I:I, B1148)</f>
        <v>0</v>
      </c>
      <c r="D1148">
        <f>COUNTIF(Tuesday!I:I, B1148)</f>
        <v>0</v>
      </c>
      <c r="E1148">
        <f>COUNTIF(Wednesday!I:I, B1148)</f>
        <v>0</v>
      </c>
      <c r="F1148">
        <f>COUNTIF(Thursday!I:I, B1148)</f>
        <v>0</v>
      </c>
      <c r="G1148">
        <f>COUNTIF(Friday!I:I, B1148)</f>
        <v>0</v>
      </c>
      <c r="H1148">
        <f>SUM(C1148:G1148)</f>
        <v>0</v>
      </c>
    </row>
    <row r="1149" spans="1:8" x14ac:dyDescent="0.25">
      <c r="A1149" s="5" t="s">
        <v>1143</v>
      </c>
      <c r="B1149" t="str">
        <f>"*"&amp;A1149&amp;"*"</f>
        <v>*2249: Profile Problem*</v>
      </c>
      <c r="C1149">
        <f>COUNTIF(Monday!I:I, B1149)</f>
        <v>0</v>
      </c>
      <c r="D1149">
        <f>COUNTIF(Tuesday!I:I, B1149)</f>
        <v>0</v>
      </c>
      <c r="E1149">
        <f>COUNTIF(Wednesday!I:I, B1149)</f>
        <v>0</v>
      </c>
      <c r="F1149">
        <f>COUNTIF(Thursday!I:I, B1149)</f>
        <v>0</v>
      </c>
      <c r="G1149">
        <f>COUNTIF(Friday!I:I, B1149)</f>
        <v>0</v>
      </c>
      <c r="H1149">
        <f>SUM(C1149:G1149)</f>
        <v>0</v>
      </c>
    </row>
    <row r="1150" spans="1:8" x14ac:dyDescent="0.25">
      <c r="A1150" s="5" t="s">
        <v>1144</v>
      </c>
      <c r="B1150" t="str">
        <f>"*"&amp;A1150&amp;"*"</f>
        <v>*1479: Failure To Adjust (Too Loose)*</v>
      </c>
      <c r="C1150">
        <f>COUNTIF(Monday!I:I, B1150)</f>
        <v>0</v>
      </c>
      <c r="D1150">
        <f>COUNTIF(Tuesday!I:I, B1150)</f>
        <v>0</v>
      </c>
      <c r="E1150">
        <f>COUNTIF(Wednesday!I:I, B1150)</f>
        <v>0</v>
      </c>
      <c r="F1150">
        <f>COUNTIF(Thursday!I:I, B1150)</f>
        <v>0</v>
      </c>
      <c r="G1150">
        <f>COUNTIF(Friday!I:I, B1150)</f>
        <v>0</v>
      </c>
      <c r="H1150">
        <f>SUM(C1150:G1150)</f>
        <v>0</v>
      </c>
    </row>
    <row r="1151" spans="1:8" x14ac:dyDescent="0.25">
      <c r="A1151" s="5" t="s">
        <v>1145</v>
      </c>
      <c r="B1151" t="str">
        <f>"*"&amp;A1151&amp;"*"</f>
        <v>*1480: Failure To Adjust (Too Tight)*</v>
      </c>
      <c r="C1151">
        <f>COUNTIF(Monday!I:I, B1151)</f>
        <v>0</v>
      </c>
      <c r="D1151">
        <f>COUNTIF(Tuesday!I:I, B1151)</f>
        <v>0</v>
      </c>
      <c r="E1151">
        <f>COUNTIF(Wednesday!I:I, B1151)</f>
        <v>0</v>
      </c>
      <c r="F1151">
        <f>COUNTIF(Thursday!I:I, B1151)</f>
        <v>0</v>
      </c>
      <c r="G1151">
        <f>COUNTIF(Friday!I:I, B1151)</f>
        <v>0</v>
      </c>
      <c r="H1151">
        <f>SUM(C1151:G1151)</f>
        <v>0</v>
      </c>
    </row>
    <row r="1152" spans="1:8" x14ac:dyDescent="0.25">
      <c r="A1152" s="5" t="s">
        <v>1146</v>
      </c>
      <c r="B1152" t="str">
        <f>"*"&amp;A1152&amp;"*"</f>
        <v>*2305: Setting Moved*</v>
      </c>
      <c r="C1152">
        <f>COUNTIF(Monday!I:I, B1152)</f>
        <v>0</v>
      </c>
      <c r="D1152">
        <f>COUNTIF(Tuesday!I:I, B1152)</f>
        <v>0</v>
      </c>
      <c r="E1152">
        <f>COUNTIF(Wednesday!I:I, B1152)</f>
        <v>0</v>
      </c>
      <c r="F1152">
        <f>COUNTIF(Thursday!I:I, B1152)</f>
        <v>0</v>
      </c>
      <c r="G1152">
        <f>COUNTIF(Friday!I:I, B1152)</f>
        <v>0</v>
      </c>
      <c r="H1152">
        <f>SUM(C1152:G1152)</f>
        <v>0</v>
      </c>
    </row>
    <row r="1153" spans="1:8" x14ac:dyDescent="0.25">
      <c r="A1153" s="5" t="s">
        <v>1147</v>
      </c>
      <c r="B1153" t="str">
        <f>"*"&amp;A1153&amp;"*"</f>
        <v>*2356: Stop Detached*</v>
      </c>
      <c r="C1153">
        <f>COUNTIF(Monday!I:I, B1153)</f>
        <v>0</v>
      </c>
      <c r="D1153">
        <f>COUNTIF(Tuesday!I:I, B1153)</f>
        <v>0</v>
      </c>
      <c r="E1153">
        <f>COUNTIF(Wednesday!I:I, B1153)</f>
        <v>0</v>
      </c>
      <c r="F1153">
        <f>COUNTIF(Thursday!I:I, B1153)</f>
        <v>0</v>
      </c>
      <c r="G1153">
        <f>COUNTIF(Friday!I:I, B1153)</f>
        <v>0</v>
      </c>
      <c r="H1153">
        <f>SUM(C1153:G1153)</f>
        <v>0</v>
      </c>
    </row>
    <row r="1154" spans="1:8" x14ac:dyDescent="0.25">
      <c r="A1154" s="5" t="s">
        <v>1148</v>
      </c>
      <c r="B1154" t="str">
        <f>"*"&amp;A1154&amp;"*"</f>
        <v>*2458: Use Of Incorrect Control Settings*</v>
      </c>
      <c r="C1154">
        <f>COUNTIF(Monday!I:I, B1154)</f>
        <v>0</v>
      </c>
      <c r="D1154">
        <f>COUNTIF(Tuesday!I:I, B1154)</f>
        <v>0</v>
      </c>
      <c r="E1154">
        <f>COUNTIF(Wednesday!I:I, B1154)</f>
        <v>0</v>
      </c>
      <c r="F1154">
        <f>COUNTIF(Thursday!I:I, B1154)</f>
        <v>0</v>
      </c>
      <c r="G1154">
        <f>COUNTIF(Friday!I:I, B1154)</f>
        <v>0</v>
      </c>
      <c r="H1154">
        <f>SUM(C1154:G1154)</f>
        <v>0</v>
      </c>
    </row>
    <row r="1155" spans="1:8" x14ac:dyDescent="0.25">
      <c r="A1155" s="5" t="s">
        <v>1149</v>
      </c>
      <c r="B1155" t="str">
        <f>"*"&amp;A1155&amp;"*"</f>
        <v>*2535: Inflated*</v>
      </c>
      <c r="C1155">
        <f>COUNTIF(Monday!I:I, B1155)</f>
        <v>0</v>
      </c>
      <c r="D1155">
        <f>COUNTIF(Tuesday!I:I, B1155)</f>
        <v>0</v>
      </c>
      <c r="E1155">
        <f>COUNTIF(Wednesday!I:I, B1155)</f>
        <v>0</v>
      </c>
      <c r="F1155">
        <f>COUNTIF(Thursday!I:I, B1155)</f>
        <v>0</v>
      </c>
      <c r="G1155">
        <f>COUNTIF(Friday!I:I, B1155)</f>
        <v>0</v>
      </c>
      <c r="H1155">
        <f>SUM(C1155:G1155)</f>
        <v>0</v>
      </c>
    </row>
    <row r="1156" spans="1:8" x14ac:dyDescent="0.25">
      <c r="A1156" s="5" t="s">
        <v>1150</v>
      </c>
      <c r="B1156" t="str">
        <f>"*"&amp;A1156&amp;"*"</f>
        <v>*2324: Side Holes Missing*</v>
      </c>
      <c r="C1156">
        <f>COUNTIF(Monday!I:I, B1156)</f>
        <v>0</v>
      </c>
      <c r="D1156">
        <f>COUNTIF(Tuesday!I:I, B1156)</f>
        <v>0</v>
      </c>
      <c r="E1156">
        <f>COUNTIF(Wednesday!I:I, B1156)</f>
        <v>0</v>
      </c>
      <c r="F1156">
        <f>COUNTIF(Thursday!I:I, B1156)</f>
        <v>0</v>
      </c>
      <c r="G1156">
        <f>COUNTIF(Friday!I:I, B1156)</f>
        <v>0</v>
      </c>
      <c r="H1156">
        <f>SUM(C1156:G1156)</f>
        <v>0</v>
      </c>
    </row>
    <row r="1157" spans="1:8" x14ac:dyDescent="0.25">
      <c r="A1157" s="5" t="s">
        <v>1151</v>
      </c>
      <c r="B1157" t="str">
        <f>"*"&amp;A1157&amp;"*"</f>
        <v>*1758: Jammed*</v>
      </c>
      <c r="C1157">
        <f>COUNTIF(Monday!I:I, B1157)</f>
        <v>0</v>
      </c>
      <c r="D1157">
        <f>COUNTIF(Tuesday!I:I, B1157)</f>
        <v>0</v>
      </c>
      <c r="E1157">
        <f>COUNTIF(Wednesday!I:I, B1157)</f>
        <v>0</v>
      </c>
      <c r="F1157">
        <f>COUNTIF(Thursday!I:I, B1157)</f>
        <v>0</v>
      </c>
      <c r="G1157">
        <f>COUNTIF(Friday!I:I, B1157)</f>
        <v>0</v>
      </c>
      <c r="H1157">
        <f>SUM(C1157:G1157)</f>
        <v>0</v>
      </c>
    </row>
    <row r="1158" spans="1:8" x14ac:dyDescent="0.25">
      <c r="A1158" s="5" t="s">
        <v>1152</v>
      </c>
      <c r="B1158" t="str">
        <f>"*"&amp;A1158&amp;"*"</f>
        <v>*2492: Difficult / Unable To Advance Ancillary Device*</v>
      </c>
      <c r="C1158">
        <f>COUNTIF(Monday!I:I, B1158)</f>
        <v>0</v>
      </c>
      <c r="D1158">
        <f>COUNTIF(Tuesday!I:I, B1158)</f>
        <v>0</v>
      </c>
      <c r="E1158">
        <f>COUNTIF(Wednesday!I:I, B1158)</f>
        <v>0</v>
      </c>
      <c r="F1158">
        <f>COUNTIF(Thursday!I:I, B1158)</f>
        <v>0</v>
      </c>
      <c r="G1158">
        <f>COUNTIF(Friday!I:I, B1158)</f>
        <v>0</v>
      </c>
      <c r="H1158">
        <f>SUM(C1158:G1158)</f>
        <v>0</v>
      </c>
    </row>
    <row r="1159" spans="1:8" x14ac:dyDescent="0.25">
      <c r="A1159" s="5" t="s">
        <v>1153</v>
      </c>
      <c r="B1159" t="str">
        <f>"*"&amp;A1159&amp;"*"</f>
        <v>*2594: Difficulty Withdrawing Another Device Through Catheter*</v>
      </c>
      <c r="C1159">
        <f>COUNTIF(Monday!I:I, B1159)</f>
        <v>0</v>
      </c>
      <c r="D1159">
        <f>COUNTIF(Tuesday!I:I, B1159)</f>
        <v>0</v>
      </c>
      <c r="E1159">
        <f>COUNTIF(Wednesday!I:I, B1159)</f>
        <v>0</v>
      </c>
      <c r="F1159">
        <f>COUNTIF(Thursday!I:I, B1159)</f>
        <v>0</v>
      </c>
      <c r="G1159">
        <f>COUNTIF(Friday!I:I, B1159)</f>
        <v>0</v>
      </c>
      <c r="H1159">
        <f>SUM(C1159:G1159)</f>
        <v>0</v>
      </c>
    </row>
    <row r="1160" spans="1:8" x14ac:dyDescent="0.25">
      <c r="A1160" s="5" t="s">
        <v>1154</v>
      </c>
      <c r="B1160" t="str">
        <f>"*"&amp;A1160&amp;"*"</f>
        <v>*1277: Difficult To Advance Another Device Through Collar*</v>
      </c>
      <c r="C1160">
        <f>COUNTIF(Monday!I:I, B1160)</f>
        <v>0</v>
      </c>
      <c r="D1160">
        <f>COUNTIF(Tuesday!I:I, B1160)</f>
        <v>0</v>
      </c>
      <c r="E1160">
        <f>COUNTIF(Wednesday!I:I, B1160)</f>
        <v>0</v>
      </c>
      <c r="F1160">
        <f>COUNTIF(Thursday!I:I, B1160)</f>
        <v>0</v>
      </c>
      <c r="G1160">
        <f>COUNTIF(Friday!I:I, B1160)</f>
        <v>0</v>
      </c>
      <c r="H1160">
        <f>SUM(C1160:G1160)</f>
        <v>0</v>
      </c>
    </row>
    <row r="1161" spans="1:8" x14ac:dyDescent="0.25">
      <c r="A1161" s="5" t="s">
        <v>1155</v>
      </c>
      <c r="B1161" t="str">
        <f>"*"&amp;A1161&amp;"*"</f>
        <v>*1416: Dislodges A Stent*</v>
      </c>
      <c r="C1161">
        <f>COUNTIF(Monday!I:I, B1161)</f>
        <v>0</v>
      </c>
      <c r="D1161">
        <f>COUNTIF(Tuesday!I:I, B1161)</f>
        <v>0</v>
      </c>
      <c r="E1161">
        <f>COUNTIF(Wednesday!I:I, B1161)</f>
        <v>0</v>
      </c>
      <c r="F1161">
        <f>COUNTIF(Thursday!I:I, B1161)</f>
        <v>0</v>
      </c>
      <c r="G1161">
        <f>COUNTIF(Friday!I:I, B1161)</f>
        <v>0</v>
      </c>
      <c r="H1161">
        <f>SUM(C1161:G1161)</f>
        <v>0</v>
      </c>
    </row>
    <row r="1162" spans="1:8" x14ac:dyDescent="0.25">
      <c r="A1162" s="5" t="s">
        <v>1156</v>
      </c>
      <c r="B1162" t="str">
        <f>"*"&amp;A1162&amp;"*"</f>
        <v>*1276: Difficult To Advance Another Device Through Catheter Section*</v>
      </c>
      <c r="C1162">
        <f>COUNTIF(Monday!I:I, B1162)</f>
        <v>0</v>
      </c>
      <c r="D1162">
        <f>COUNTIF(Tuesday!I:I, B1162)</f>
        <v>0</v>
      </c>
      <c r="E1162">
        <f>COUNTIF(Wednesday!I:I, B1162)</f>
        <v>0</v>
      </c>
      <c r="F1162">
        <f>COUNTIF(Thursday!I:I, B1162)</f>
        <v>0</v>
      </c>
      <c r="G1162">
        <f>COUNTIF(Friday!I:I, B1162)</f>
        <v>0</v>
      </c>
      <c r="H1162">
        <f>SUM(C1162:G1162)</f>
        <v>0</v>
      </c>
    </row>
    <row r="1163" spans="1:8" x14ac:dyDescent="0.25">
      <c r="A1163" s="5" t="s">
        <v>1157</v>
      </c>
      <c r="B1163" t="str">
        <f>"*"&amp;A1163&amp;"*"</f>
        <v>*1295: Difficult To Cross A Placed Stent*</v>
      </c>
      <c r="C1163">
        <f>COUNTIF(Monday!I:I, B1163)</f>
        <v>0</v>
      </c>
      <c r="D1163">
        <f>COUNTIF(Tuesday!I:I, B1163)</f>
        <v>0</v>
      </c>
      <c r="E1163">
        <f>COUNTIF(Wednesday!I:I, B1163)</f>
        <v>0</v>
      </c>
      <c r="F1163">
        <f>COUNTIF(Thursday!I:I, B1163)</f>
        <v>0</v>
      </c>
      <c r="G1163">
        <f>COUNTIF(Friday!I:I, B1163)</f>
        <v>0</v>
      </c>
      <c r="H1163">
        <f>SUM(C1163:G1163)</f>
        <v>0</v>
      </c>
    </row>
    <row r="1164" spans="1:8" x14ac:dyDescent="0.25">
      <c r="A1164" s="5" t="s">
        <v>1158</v>
      </c>
      <c r="B1164" t="str">
        <f>"*"&amp;A1164&amp;"*"</f>
        <v>*1619: Flat/Crushed*</v>
      </c>
      <c r="C1164">
        <f>COUNTIF(Monday!I:I, B1164)</f>
        <v>0</v>
      </c>
      <c r="D1164">
        <f>COUNTIF(Tuesday!I:I, B1164)</f>
        <v>0</v>
      </c>
      <c r="E1164">
        <f>COUNTIF(Wednesday!I:I, B1164)</f>
        <v>0</v>
      </c>
      <c r="F1164">
        <f>COUNTIF(Thursday!I:I, B1164)</f>
        <v>0</v>
      </c>
      <c r="G1164">
        <f>COUNTIF(Friday!I:I, B1164)</f>
        <v>0</v>
      </c>
      <c r="H1164">
        <f>SUM(C1164:G1164)</f>
        <v>0</v>
      </c>
    </row>
    <row r="1165" spans="1:8" x14ac:dyDescent="0.25">
      <c r="A1165" s="5" t="s">
        <v>1159</v>
      </c>
      <c r="B1165" t="str">
        <f>"*"&amp;A1165&amp;"*"</f>
        <v>*2593: Damages Another Device*</v>
      </c>
      <c r="C1165">
        <f>COUNTIF(Monday!I:I, B1165)</f>
        <v>0</v>
      </c>
      <c r="D1165">
        <f>COUNTIF(Tuesday!I:I, B1165)</f>
        <v>0</v>
      </c>
      <c r="E1165">
        <f>COUNTIF(Wednesday!I:I, B1165)</f>
        <v>0</v>
      </c>
      <c r="F1165">
        <f>COUNTIF(Thursday!I:I, B1165)</f>
        <v>0</v>
      </c>
      <c r="G1165">
        <f>COUNTIF(Friday!I:I, B1165)</f>
        <v>0</v>
      </c>
      <c r="H1165">
        <f>SUM(C1165:G1165)</f>
        <v>0</v>
      </c>
    </row>
    <row r="1166" spans="1:8" x14ac:dyDescent="0.25">
      <c r="A1166" s="5" t="s">
        <v>1160</v>
      </c>
      <c r="B1166" t="str">
        <f>"*"&amp;A1166&amp;"*"</f>
        <v>*1081: Catheter Fit*</v>
      </c>
      <c r="C1166">
        <f>COUNTIF(Monday!I:I, B1166)</f>
        <v>0</v>
      </c>
      <c r="D1166">
        <f>COUNTIF(Tuesday!I:I, B1166)</f>
        <v>0</v>
      </c>
      <c r="E1166">
        <f>COUNTIF(Wednesday!I:I, B1166)</f>
        <v>0</v>
      </c>
      <c r="F1166">
        <f>COUNTIF(Thursday!I:I, B1166)</f>
        <v>0</v>
      </c>
      <c r="G1166">
        <f>COUNTIF(Friday!I:I, B1166)</f>
        <v>0</v>
      </c>
      <c r="H1166">
        <f>SUM(C1166:G1166)</f>
        <v>0</v>
      </c>
    </row>
    <row r="1167" spans="1:8" x14ac:dyDescent="0.25">
      <c r="A1167" s="5" t="s">
        <v>1161</v>
      </c>
      <c r="B1167" t="str">
        <f>"*"&amp;A1167&amp;"*"</f>
        <v>*1736: Insufficient Flush*</v>
      </c>
      <c r="C1167">
        <f>COUNTIF(Monday!I:I, B1167)</f>
        <v>0</v>
      </c>
      <c r="D1167">
        <f>COUNTIF(Tuesday!I:I, B1167)</f>
        <v>0</v>
      </c>
      <c r="E1167">
        <f>COUNTIF(Wednesday!I:I, B1167)</f>
        <v>0</v>
      </c>
      <c r="F1167">
        <f>COUNTIF(Thursday!I:I, B1167)</f>
        <v>0</v>
      </c>
      <c r="G1167">
        <f>COUNTIF(Friday!I:I, B1167)</f>
        <v>0</v>
      </c>
      <c r="H1167">
        <f>SUM(C1167:G1167)</f>
        <v>0</v>
      </c>
    </row>
    <row r="1168" spans="1:8" x14ac:dyDescent="0.25">
      <c r="A1168" s="5" t="s">
        <v>1162</v>
      </c>
      <c r="B1168" t="str">
        <f>"*"&amp;A1168&amp;"*"</f>
        <v>*1341: Difficult To Recapture During Implant*</v>
      </c>
      <c r="C1168">
        <f>COUNTIF(Monday!I:I, B1168)</f>
        <v>0</v>
      </c>
      <c r="D1168">
        <f>COUNTIF(Tuesday!I:I, B1168)</f>
        <v>0</v>
      </c>
      <c r="E1168">
        <f>COUNTIF(Wednesday!I:I, B1168)</f>
        <v>0</v>
      </c>
      <c r="F1168">
        <f>COUNTIF(Thursday!I:I, B1168)</f>
        <v>0</v>
      </c>
      <c r="G1168">
        <f>COUNTIF(Friday!I:I, B1168)</f>
        <v>0</v>
      </c>
      <c r="H1168">
        <f>SUM(C1168:G1168)</f>
        <v>0</v>
      </c>
    </row>
    <row r="1169" spans="1:8" x14ac:dyDescent="0.25">
      <c r="A1169" s="5" t="s">
        <v>1163</v>
      </c>
      <c r="B1169" t="str">
        <f>"*"&amp;A1169&amp;"*"</f>
        <v>*1578: Failure To Re-Sheath*</v>
      </c>
      <c r="C1169">
        <f>COUNTIF(Monday!I:I, B1169)</f>
        <v>0</v>
      </c>
      <c r="D1169">
        <f>COUNTIF(Tuesday!I:I, B1169)</f>
        <v>0</v>
      </c>
      <c r="E1169">
        <f>COUNTIF(Wednesday!I:I, B1169)</f>
        <v>0</v>
      </c>
      <c r="F1169">
        <f>COUNTIF(Thursday!I:I, B1169)</f>
        <v>0</v>
      </c>
      <c r="G1169">
        <f>COUNTIF(Friday!I:I, B1169)</f>
        <v>0</v>
      </c>
      <c r="H1169">
        <f>SUM(C1169:G1169)</f>
        <v>0</v>
      </c>
    </row>
    <row r="1170" spans="1:8" x14ac:dyDescent="0.25">
      <c r="A1170" s="5" t="s">
        <v>1165</v>
      </c>
      <c r="B1170" t="str">
        <f>"*"&amp;A1170&amp;"*"</f>
        <v>*2330: Size Incorrect For Patient*</v>
      </c>
      <c r="C1170">
        <f>COUNTIF(Monday!I:I, B1170)</f>
        <v>0</v>
      </c>
      <c r="D1170">
        <f>COUNTIF(Tuesday!I:I, B1170)</f>
        <v>0</v>
      </c>
      <c r="E1170">
        <f>COUNTIF(Wednesday!I:I, B1170)</f>
        <v>0</v>
      </c>
      <c r="F1170">
        <f>COUNTIF(Thursday!I:I, B1170)</f>
        <v>0</v>
      </c>
      <c r="G1170">
        <f>COUNTIF(Friday!I:I, B1170)</f>
        <v>0</v>
      </c>
      <c r="H1170">
        <f>SUM(C1170:G1170)</f>
        <v>0</v>
      </c>
    </row>
    <row r="1171" spans="1:8" x14ac:dyDescent="0.25">
      <c r="A1171" s="5" t="s">
        <v>1166</v>
      </c>
      <c r="B1171" t="str">
        <f>"*"&amp;A1171&amp;"*"</f>
        <v>*1265: Device/Component Broken/Separated During Procedure*</v>
      </c>
      <c r="C1171">
        <f>COUNTIF(Monday!I:I, B1171)</f>
        <v>0</v>
      </c>
      <c r="D1171">
        <f>COUNTIF(Tuesday!I:I, B1171)</f>
        <v>0</v>
      </c>
      <c r="E1171">
        <f>COUNTIF(Wednesday!I:I, B1171)</f>
        <v>0</v>
      </c>
      <c r="F1171">
        <f>COUNTIF(Thursday!I:I, B1171)</f>
        <v>0</v>
      </c>
      <c r="G1171">
        <f>COUNTIF(Friday!I:I, B1171)</f>
        <v>0</v>
      </c>
      <c r="H1171">
        <f>SUM(C1171:G1171)</f>
        <v>0</v>
      </c>
    </row>
    <row r="1172" spans="1:8" x14ac:dyDescent="0.25">
      <c r="A1172" s="5" t="s">
        <v>1167</v>
      </c>
      <c r="B1172" t="str">
        <f>"*"&amp;A1172&amp;"*"</f>
        <v>*1308: Difficult To Insert Device Into Introducer*</v>
      </c>
      <c r="C1172">
        <f>COUNTIF(Monday!I:I, B1172)</f>
        <v>0</v>
      </c>
      <c r="D1172">
        <f>COUNTIF(Tuesday!I:I, B1172)</f>
        <v>0</v>
      </c>
      <c r="E1172">
        <f>COUNTIF(Wednesday!I:I, B1172)</f>
        <v>0</v>
      </c>
      <c r="F1172">
        <f>COUNTIF(Thursday!I:I, B1172)</f>
        <v>0</v>
      </c>
      <c r="G1172">
        <f>COUNTIF(Friday!I:I, B1172)</f>
        <v>0</v>
      </c>
      <c r="H1172">
        <f>SUM(C1172:G1172)</f>
        <v>0</v>
      </c>
    </row>
    <row r="1173" spans="1:8" x14ac:dyDescent="0.25">
      <c r="A1173" s="5" t="s">
        <v>1168</v>
      </c>
      <c r="B1173" t="str">
        <f>"*"&amp;A1173&amp;"*"</f>
        <v>*2688: Difficult To Load Onto Guidewire*</v>
      </c>
      <c r="C1173">
        <f>COUNTIF(Monday!I:I, B1173)</f>
        <v>0</v>
      </c>
      <c r="D1173">
        <f>COUNTIF(Tuesday!I:I, B1173)</f>
        <v>0</v>
      </c>
      <c r="E1173">
        <f>COUNTIF(Wednesday!I:I, B1173)</f>
        <v>0</v>
      </c>
      <c r="F1173">
        <f>COUNTIF(Thursday!I:I, B1173)</f>
        <v>0</v>
      </c>
      <c r="G1173">
        <f>COUNTIF(Friday!I:I, B1173)</f>
        <v>0</v>
      </c>
      <c r="H1173">
        <f>SUM(C1173:G1173)</f>
        <v>0</v>
      </c>
    </row>
    <row r="1174" spans="1:8" x14ac:dyDescent="0.25">
      <c r="A1174" s="5" t="s">
        <v>1169</v>
      </c>
      <c r="B1174" t="str">
        <f>"*"&amp;A1174&amp;"*"</f>
        <v>*2717: Failure To Advance Guidewire*</v>
      </c>
      <c r="C1174">
        <f>COUNTIF(Monday!I:I, B1174)</f>
        <v>0</v>
      </c>
      <c r="D1174">
        <f>COUNTIF(Tuesday!I:I, B1174)</f>
        <v>0</v>
      </c>
      <c r="E1174">
        <f>COUNTIF(Wednesday!I:I, B1174)</f>
        <v>0</v>
      </c>
      <c r="F1174">
        <f>COUNTIF(Thursday!I:I, B1174)</f>
        <v>0</v>
      </c>
      <c r="G1174">
        <f>COUNTIF(Friday!I:I, B1174)</f>
        <v>0</v>
      </c>
      <c r="H1174">
        <f>SUM(C1174:G1174)</f>
        <v>0</v>
      </c>
    </row>
    <row r="1175" spans="1:8" x14ac:dyDescent="0.25">
      <c r="A1175" s="5" t="s">
        <v>1170</v>
      </c>
      <c r="B1175" t="str">
        <f>"*"&amp;A1175&amp;"*"</f>
        <v>*2695: Air Bubbles*</v>
      </c>
      <c r="C1175">
        <f>COUNTIF(Monday!I:I, B1175)</f>
        <v>0</v>
      </c>
      <c r="D1175">
        <f>COUNTIF(Tuesday!I:I, B1175)</f>
        <v>0</v>
      </c>
      <c r="E1175">
        <f>COUNTIF(Wednesday!I:I, B1175)</f>
        <v>0</v>
      </c>
      <c r="F1175">
        <f>COUNTIF(Thursday!I:I, B1175)</f>
        <v>0</v>
      </c>
      <c r="G1175">
        <f>COUNTIF(Friday!I:I, B1175)</f>
        <v>0</v>
      </c>
      <c r="H1175">
        <f>SUM(C1175:G1175)</f>
        <v>0</v>
      </c>
    </row>
    <row r="1176" spans="1:8" x14ac:dyDescent="0.25">
      <c r="A1176" s="5" t="s">
        <v>1171</v>
      </c>
      <c r="B1176" t="str">
        <f>"*"&amp;A1176&amp;"*"</f>
        <v>*2720: Difficult To Tighten*</v>
      </c>
      <c r="C1176">
        <f>COUNTIF(Monday!I:I, B1176)</f>
        <v>0</v>
      </c>
      <c r="D1176">
        <f>COUNTIF(Tuesday!I:I, B1176)</f>
        <v>0</v>
      </c>
      <c r="E1176">
        <f>COUNTIF(Wednesday!I:I, B1176)</f>
        <v>0</v>
      </c>
      <c r="F1176">
        <f>COUNTIF(Thursday!I:I, B1176)</f>
        <v>0</v>
      </c>
      <c r="G1176">
        <f>COUNTIF(Friday!I:I, B1176)</f>
        <v>0</v>
      </c>
      <c r="H1176">
        <f>SUM(C1176:G1176)</f>
        <v>0</v>
      </c>
    </row>
    <row r="1177" spans="1:8" x14ac:dyDescent="0.25">
      <c r="A1177" s="5" t="s">
        <v>1172</v>
      </c>
      <c r="B1177" t="str">
        <f>"*"&amp;A1177&amp;"*"</f>
        <v>*2691: Difficult To Visualize Device*</v>
      </c>
      <c r="C1177">
        <f>COUNTIF(Monday!I:I, B1177)</f>
        <v>0</v>
      </c>
      <c r="D1177">
        <f>COUNTIF(Tuesday!I:I, B1177)</f>
        <v>0</v>
      </c>
      <c r="E1177">
        <f>COUNTIF(Wednesday!I:I, B1177)</f>
        <v>0</v>
      </c>
      <c r="F1177">
        <f>COUNTIF(Thursday!I:I, B1177)</f>
        <v>0</v>
      </c>
      <c r="G1177">
        <f>COUNTIF(Friday!I:I, B1177)</f>
        <v>0</v>
      </c>
      <c r="H1177">
        <f>SUM(C1177:G1177)</f>
        <v>0</v>
      </c>
    </row>
    <row r="1178" spans="1:8" x14ac:dyDescent="0.25">
      <c r="A1178" s="5" t="s">
        <v>1173</v>
      </c>
      <c r="B1178" t="str">
        <f>"*"&amp;A1178&amp;"*"</f>
        <v>*2692: Failure To Visualize Device*</v>
      </c>
      <c r="C1178">
        <f>COUNTIF(Monday!I:I, B1178)</f>
        <v>0</v>
      </c>
      <c r="D1178">
        <f>COUNTIF(Tuesday!I:I, B1178)</f>
        <v>0</v>
      </c>
      <c r="E1178">
        <f>COUNTIF(Wednesday!I:I, B1178)</f>
        <v>0</v>
      </c>
      <c r="F1178">
        <f>COUNTIF(Thursday!I:I, B1178)</f>
        <v>0</v>
      </c>
      <c r="G1178">
        <f>COUNTIF(Friday!I:I, B1178)</f>
        <v>0</v>
      </c>
      <c r="H1178">
        <f>SUM(C1178:G1178)</f>
        <v>0</v>
      </c>
    </row>
    <row r="1179" spans="1:8" x14ac:dyDescent="0.25">
      <c r="A1179" s="5" t="s">
        <v>1174</v>
      </c>
      <c r="B1179" t="str">
        <f>"*"&amp;A1179&amp;"*"</f>
        <v>*2689: Difficult To Maintain Position/Reposition*</v>
      </c>
      <c r="C1179">
        <f>COUNTIF(Monday!I:I, B1179)</f>
        <v>0</v>
      </c>
      <c r="D1179">
        <f>COUNTIF(Tuesday!I:I, B1179)</f>
        <v>0</v>
      </c>
      <c r="E1179">
        <f>COUNTIF(Wednesday!I:I, B1179)</f>
        <v>0</v>
      </c>
      <c r="F1179">
        <f>COUNTIF(Thursday!I:I, B1179)</f>
        <v>0</v>
      </c>
      <c r="G1179">
        <f>COUNTIF(Friday!I:I, B1179)</f>
        <v>0</v>
      </c>
      <c r="H1179">
        <f>SUM(C1179:G1179)</f>
        <v>0</v>
      </c>
    </row>
    <row r="1180" spans="1:8" x14ac:dyDescent="0.25">
      <c r="A1180" s="5" t="s">
        <v>1175</v>
      </c>
      <c r="B1180" t="str">
        <f>"*"&amp;A1180&amp;"*"</f>
        <v>*2690: Failure To Maintain Position/Reposition*</v>
      </c>
      <c r="C1180">
        <f>COUNTIF(Monday!I:I, B1180)</f>
        <v>0</v>
      </c>
      <c r="D1180">
        <f>COUNTIF(Tuesday!I:I, B1180)</f>
        <v>0</v>
      </c>
      <c r="E1180">
        <f>COUNTIF(Wednesday!I:I, B1180)</f>
        <v>0</v>
      </c>
      <c r="F1180">
        <f>COUNTIF(Thursday!I:I, B1180)</f>
        <v>0</v>
      </c>
      <c r="G1180">
        <f>COUNTIF(Friday!I:I, B1180)</f>
        <v>0</v>
      </c>
      <c r="H1180">
        <f>SUM(C1180:G1180)</f>
        <v>0</v>
      </c>
    </row>
    <row r="1181" spans="1:8" x14ac:dyDescent="0.25">
      <c r="A1181" s="5" t="s">
        <v>1176</v>
      </c>
      <c r="B1181" t="str">
        <f>"*"&amp;A1181&amp;"*"</f>
        <v>*2693: Difficult To Capture/Retrieve*</v>
      </c>
      <c r="C1181">
        <f>COUNTIF(Monday!I:I, B1181)</f>
        <v>0</v>
      </c>
      <c r="D1181">
        <f>COUNTIF(Tuesday!I:I, B1181)</f>
        <v>0</v>
      </c>
      <c r="E1181">
        <f>COUNTIF(Wednesday!I:I, B1181)</f>
        <v>0</v>
      </c>
      <c r="F1181">
        <f>COUNTIF(Thursday!I:I, B1181)</f>
        <v>0</v>
      </c>
      <c r="G1181">
        <f>COUNTIF(Friday!I:I, B1181)</f>
        <v>0</v>
      </c>
      <c r="H1181">
        <f>SUM(C1181:G1181)</f>
        <v>0</v>
      </c>
    </row>
    <row r="1182" spans="1:8" x14ac:dyDescent="0.25">
      <c r="A1182" s="5" t="s">
        <v>1177</v>
      </c>
      <c r="B1182" t="str">
        <f>"*"&amp;A1182&amp;"*"</f>
        <v>*2694: Failure To Capture/Retrieve*</v>
      </c>
      <c r="C1182">
        <f>COUNTIF(Monday!I:I, B1182)</f>
        <v>0</v>
      </c>
      <c r="D1182">
        <f>COUNTIF(Tuesday!I:I, B1182)</f>
        <v>0</v>
      </c>
      <c r="E1182">
        <f>COUNTIF(Wednesday!I:I, B1182)</f>
        <v>0</v>
      </c>
      <c r="F1182">
        <f>COUNTIF(Thursday!I:I, B1182)</f>
        <v>0</v>
      </c>
      <c r="G1182">
        <f>COUNTIF(Friday!I:I, B1182)</f>
        <v>0</v>
      </c>
      <c r="H1182">
        <f>SUM(C1182:G1182)</f>
        <v>0</v>
      </c>
    </row>
    <row r="1183" spans="1:8" x14ac:dyDescent="0.25">
      <c r="A1183" s="5" t="s">
        <v>1178</v>
      </c>
      <c r="B1183" t="str">
        <f>"*"&amp;A1183&amp;"*"</f>
        <v>*2612: Difficult To Relax ADS*</v>
      </c>
      <c r="C1183">
        <f>COUNTIF(Monday!I:I, B1183)</f>
        <v>0</v>
      </c>
      <c r="D1183">
        <f>COUNTIF(Tuesday!I:I, B1183)</f>
        <v>0</v>
      </c>
      <c r="E1183">
        <f>COUNTIF(Wednesday!I:I, B1183)</f>
        <v>0</v>
      </c>
      <c r="F1183">
        <f>COUNTIF(Thursday!I:I, B1183)</f>
        <v>0</v>
      </c>
      <c r="G1183">
        <f>COUNTIF(Friday!I:I, B1183)</f>
        <v>0</v>
      </c>
      <c r="H1183">
        <f>SUM(C1183:G1183)</f>
        <v>0</v>
      </c>
    </row>
    <row r="1184" spans="1:8" x14ac:dyDescent="0.25">
      <c r="A1184" s="5" t="s">
        <v>1179</v>
      </c>
      <c r="B1184" t="str">
        <f>"*"&amp;A1184&amp;"*"</f>
        <v>*2613: Failure To Relax ADS*</v>
      </c>
      <c r="C1184">
        <f>COUNTIF(Monday!I:I, B1184)</f>
        <v>0</v>
      </c>
      <c r="D1184">
        <f>COUNTIF(Tuesday!I:I, B1184)</f>
        <v>0</v>
      </c>
      <c r="E1184">
        <f>COUNTIF(Wednesday!I:I, B1184)</f>
        <v>0</v>
      </c>
      <c r="F1184">
        <f>COUNTIF(Thursday!I:I, B1184)</f>
        <v>0</v>
      </c>
      <c r="G1184">
        <f>COUNTIF(Friday!I:I, B1184)</f>
        <v>0</v>
      </c>
      <c r="H1184">
        <f>SUM(C1184:G1184)</f>
        <v>0</v>
      </c>
    </row>
    <row r="1185" spans="1:8" x14ac:dyDescent="0.25">
      <c r="A1185" s="5" t="s">
        <v>1180</v>
      </c>
      <c r="B1185" t="str">
        <f>"*"&amp;A1185&amp;"*"</f>
        <v>*1386: Difficult/Failure To Cross Lesion*</v>
      </c>
      <c r="C1185">
        <f>COUNTIF(Monday!I:I, B1185)</f>
        <v>0</v>
      </c>
      <c r="D1185">
        <f>COUNTIF(Tuesday!I:I, B1185)</f>
        <v>0</v>
      </c>
      <c r="E1185">
        <f>COUNTIF(Wednesday!I:I, B1185)</f>
        <v>0</v>
      </c>
      <c r="F1185">
        <f>COUNTIF(Thursday!I:I, B1185)</f>
        <v>0</v>
      </c>
      <c r="G1185">
        <f>COUNTIF(Friday!I:I, B1185)</f>
        <v>0</v>
      </c>
      <c r="H1185">
        <f>SUM(C1185:G1185)</f>
        <v>0</v>
      </c>
    </row>
    <row r="1186" spans="1:8" x14ac:dyDescent="0.25">
      <c r="A1186" s="5" t="s">
        <v>1181</v>
      </c>
      <c r="B1186" t="str">
        <f>"*"&amp;A1186&amp;"*"</f>
        <v>*1385: Difficult/Failure To Capture/Retrieve Filter*</v>
      </c>
      <c r="C1186">
        <f>COUNTIF(Monday!I:I, B1186)</f>
        <v>0</v>
      </c>
      <c r="D1186">
        <f>COUNTIF(Tuesday!I:I, B1186)</f>
        <v>0</v>
      </c>
      <c r="E1186">
        <f>COUNTIF(Wednesday!I:I, B1186)</f>
        <v>0</v>
      </c>
      <c r="F1186">
        <f>COUNTIF(Thursday!I:I, B1186)</f>
        <v>0</v>
      </c>
      <c r="G1186">
        <f>COUNTIF(Friday!I:I, B1186)</f>
        <v>0</v>
      </c>
      <c r="H1186">
        <f>SUM(C1186:G1186)</f>
        <v>0</v>
      </c>
    </row>
    <row r="1187" spans="1:8" x14ac:dyDescent="0.25">
      <c r="A1187" s="5" t="s">
        <v>1182</v>
      </c>
      <c r="B1187" t="str">
        <f>"*"&amp;A1187&amp;"*"</f>
        <v>*1394: Difficult/Failure To Maintain Filter Position/Reposition*</v>
      </c>
      <c r="C1187">
        <f>COUNTIF(Monday!I:I, B1187)</f>
        <v>0</v>
      </c>
      <c r="D1187">
        <f>COUNTIF(Tuesday!I:I, B1187)</f>
        <v>0</v>
      </c>
      <c r="E1187">
        <f>COUNTIF(Wednesday!I:I, B1187)</f>
        <v>0</v>
      </c>
      <c r="F1187">
        <f>COUNTIF(Thursday!I:I, B1187)</f>
        <v>0</v>
      </c>
      <c r="G1187">
        <f>COUNTIF(Friday!I:I, B1187)</f>
        <v>0</v>
      </c>
      <c r="H1187">
        <f>SUM(C1187:G1187)</f>
        <v>0</v>
      </c>
    </row>
    <row r="1188" spans="1:8" x14ac:dyDescent="0.25">
      <c r="A1188" s="5" t="s">
        <v>1183</v>
      </c>
      <c r="B1188" t="str">
        <f>"*"&amp;A1188&amp;"*"</f>
        <v>*1400: Difficult/Failure To Visualize Device*</v>
      </c>
      <c r="C1188">
        <f>COUNTIF(Monday!I:I, B1188)</f>
        <v>0</v>
      </c>
      <c r="D1188">
        <f>COUNTIF(Tuesday!I:I, B1188)</f>
        <v>0</v>
      </c>
      <c r="E1188">
        <f>COUNTIF(Wednesday!I:I, B1188)</f>
        <v>0</v>
      </c>
      <c r="F1188">
        <f>COUNTIF(Thursday!I:I, B1188)</f>
        <v>0</v>
      </c>
      <c r="G1188">
        <f>COUNTIF(Friday!I:I, B1188)</f>
        <v>0</v>
      </c>
      <c r="H1188">
        <f>SUM(C1188:G1188)</f>
        <v>0</v>
      </c>
    </row>
    <row r="1189" spans="1:8" x14ac:dyDescent="0.25">
      <c r="A1189" s="5" t="s">
        <v>1184</v>
      </c>
      <c r="B1189" t="str">
        <f>"*"&amp;A1189&amp;"*"</f>
        <v>*2155: Other Device Complaint*</v>
      </c>
      <c r="C1189">
        <f>COUNTIF(Monday!I:I, B1189)</f>
        <v>0</v>
      </c>
      <c r="D1189">
        <f>COUNTIF(Tuesday!I:I, B1189)</f>
        <v>0</v>
      </c>
      <c r="E1189">
        <f>COUNTIF(Wednesday!I:I, B1189)</f>
        <v>0</v>
      </c>
      <c r="F1189">
        <f>COUNTIF(Thursday!I:I, B1189)</f>
        <v>0</v>
      </c>
      <c r="G1189">
        <f>COUNTIF(Friday!I:I, B1189)</f>
        <v>0</v>
      </c>
      <c r="H1189">
        <f>SUM(C1189:G1189)</f>
        <v>0</v>
      </c>
    </row>
    <row r="1190" spans="1:8" x14ac:dyDescent="0.25">
      <c r="A1190" s="5" t="s">
        <v>1185</v>
      </c>
      <c r="B1190" t="str">
        <f>"*"&amp;A1190&amp;"*"</f>
        <v>*1146: Core Protrusion From Tip*</v>
      </c>
      <c r="C1190">
        <f>COUNTIF(Monday!I:I, B1190)</f>
        <v>0</v>
      </c>
      <c r="D1190">
        <f>COUNTIF(Tuesday!I:I, B1190)</f>
        <v>0</v>
      </c>
      <c r="E1190">
        <f>COUNTIF(Wednesday!I:I, B1190)</f>
        <v>0</v>
      </c>
      <c r="F1190">
        <f>COUNTIF(Thursday!I:I, B1190)</f>
        <v>0</v>
      </c>
      <c r="G1190">
        <f>COUNTIF(Friday!I:I, B1190)</f>
        <v>0</v>
      </c>
      <c r="H1190">
        <f>SUM(C1190:G1190)</f>
        <v>0</v>
      </c>
    </row>
    <row r="1191" spans="1:8" x14ac:dyDescent="0.25">
      <c r="A1191" s="5" t="s">
        <v>1186</v>
      </c>
      <c r="B1191" t="str">
        <f>"*"&amp;A1191&amp;"*"</f>
        <v>*2380: Surface Uneven*</v>
      </c>
      <c r="C1191">
        <f>COUNTIF(Monday!I:I, B1191)</f>
        <v>0</v>
      </c>
      <c r="D1191">
        <f>COUNTIF(Tuesday!I:I, B1191)</f>
        <v>0</v>
      </c>
      <c r="E1191">
        <f>COUNTIF(Wednesday!I:I, B1191)</f>
        <v>0</v>
      </c>
      <c r="F1191">
        <f>COUNTIF(Thursday!I:I, B1191)</f>
        <v>0</v>
      </c>
      <c r="G1191">
        <f>COUNTIF(Friday!I:I, B1191)</f>
        <v>0</v>
      </c>
      <c r="H1191">
        <f>SUM(C1191:G1191)</f>
        <v>0</v>
      </c>
    </row>
    <row r="1192" spans="1:8" x14ac:dyDescent="0.25">
      <c r="A1192" s="5" t="s">
        <v>1187</v>
      </c>
      <c r="B1192" t="str">
        <f>"*"&amp;A1192&amp;"*"</f>
        <v>*1060: Burr Sheared Wire*</v>
      </c>
      <c r="C1192">
        <f>COUNTIF(Monday!I:I, B1192)</f>
        <v>0</v>
      </c>
      <c r="D1192">
        <f>COUNTIF(Tuesday!I:I, B1192)</f>
        <v>0</v>
      </c>
      <c r="E1192">
        <f>COUNTIF(Wednesday!I:I, B1192)</f>
        <v>0</v>
      </c>
      <c r="F1192">
        <f>COUNTIF(Thursday!I:I, B1192)</f>
        <v>0</v>
      </c>
      <c r="G1192">
        <f>COUNTIF(Friday!I:I, B1192)</f>
        <v>0</v>
      </c>
      <c r="H1192">
        <f>SUM(C1192:G1192)</f>
        <v>0</v>
      </c>
    </row>
    <row r="1193" spans="1:8" x14ac:dyDescent="0.25">
      <c r="A1193" s="5" t="s">
        <v>1188</v>
      </c>
      <c r="B1193" t="str">
        <f>"*"&amp;A1193&amp;"*"</f>
        <v>*1061: Burr Stuck On Wire*</v>
      </c>
      <c r="C1193">
        <f>COUNTIF(Monday!I:I, B1193)</f>
        <v>0</v>
      </c>
      <c r="D1193">
        <f>COUNTIF(Tuesday!I:I, B1193)</f>
        <v>0</v>
      </c>
      <c r="E1193">
        <f>COUNTIF(Wednesday!I:I, B1193)</f>
        <v>0</v>
      </c>
      <c r="F1193">
        <f>COUNTIF(Thursday!I:I, B1193)</f>
        <v>0</v>
      </c>
      <c r="G1193">
        <f>COUNTIF(Friday!I:I, B1193)</f>
        <v>0</v>
      </c>
      <c r="H1193">
        <f>SUM(C1193:G1193)</f>
        <v>0</v>
      </c>
    </row>
    <row r="1194" spans="1:8" x14ac:dyDescent="0.25">
      <c r="A1194" s="5" t="s">
        <v>1189</v>
      </c>
      <c r="B1194" t="str">
        <f>"*"&amp;A1194&amp;"*"</f>
        <v>*1809: Magnet Would Not Hold Wire*</v>
      </c>
      <c r="C1194">
        <f>COUNTIF(Monday!I:I, B1194)</f>
        <v>0</v>
      </c>
      <c r="D1194">
        <f>COUNTIF(Tuesday!I:I, B1194)</f>
        <v>0</v>
      </c>
      <c r="E1194">
        <f>COUNTIF(Wednesday!I:I, B1194)</f>
        <v>0</v>
      </c>
      <c r="F1194">
        <f>COUNTIF(Thursday!I:I, B1194)</f>
        <v>0</v>
      </c>
      <c r="G1194">
        <f>COUNTIF(Friday!I:I, B1194)</f>
        <v>0</v>
      </c>
      <c r="H1194">
        <f>SUM(C1194:G1194)</f>
        <v>0</v>
      </c>
    </row>
    <row r="1195" spans="1:8" x14ac:dyDescent="0.25">
      <c r="A1195" s="5" t="s">
        <v>1190</v>
      </c>
      <c r="B1195" t="str">
        <f>"*"&amp;A1195&amp;"*"</f>
        <v>*1042: Body/Hydrophilic Coating/Jacket Issue*</v>
      </c>
      <c r="C1195">
        <f>COUNTIF(Monday!I:I, B1195)</f>
        <v>0</v>
      </c>
      <c r="D1195">
        <f>COUNTIF(Tuesday!I:I, B1195)</f>
        <v>0</v>
      </c>
      <c r="E1195">
        <f>COUNTIF(Wednesday!I:I, B1195)</f>
        <v>0</v>
      </c>
      <c r="F1195">
        <f>COUNTIF(Thursday!I:I, B1195)</f>
        <v>0</v>
      </c>
      <c r="G1195">
        <f>COUNTIF(Friday!I:I, B1195)</f>
        <v>0</v>
      </c>
      <c r="H1195">
        <f>SUM(C1195:G1195)</f>
        <v>0</v>
      </c>
    </row>
    <row r="1196" spans="1:8" x14ac:dyDescent="0.25">
      <c r="A1196" s="5" t="s">
        <v>1191</v>
      </c>
      <c r="B1196" t="str">
        <f>"*"&amp;A1196&amp;"*"</f>
        <v>*1399: Difficult/Failure To To Remove/Replace In Dispenser*</v>
      </c>
      <c r="C1196">
        <f>COUNTIF(Monday!I:I, B1196)</f>
        <v>0</v>
      </c>
      <c r="D1196">
        <f>COUNTIF(Tuesday!I:I, B1196)</f>
        <v>0</v>
      </c>
      <c r="E1196">
        <f>COUNTIF(Wednesday!I:I, B1196)</f>
        <v>0</v>
      </c>
      <c r="F1196">
        <f>COUNTIF(Thursday!I:I, B1196)</f>
        <v>0</v>
      </c>
      <c r="G1196">
        <f>COUNTIF(Friday!I:I, B1196)</f>
        <v>0</v>
      </c>
      <c r="H1196">
        <f>SUM(C1196:G1196)</f>
        <v>0</v>
      </c>
    </row>
    <row r="1197" spans="1:8" x14ac:dyDescent="0.25">
      <c r="A1197" s="5" t="s">
        <v>1192</v>
      </c>
      <c r="B1197" t="str">
        <f>"*"&amp;A1197&amp;"*"</f>
        <v>*1545: Failure To Move Wire*</v>
      </c>
      <c r="C1197">
        <f>COUNTIF(Monday!I:I, B1197)</f>
        <v>0</v>
      </c>
      <c r="D1197">
        <f>COUNTIF(Tuesday!I:I, B1197)</f>
        <v>0</v>
      </c>
      <c r="E1197">
        <f>COUNTIF(Wednesday!I:I, B1197)</f>
        <v>0</v>
      </c>
      <c r="F1197">
        <f>COUNTIF(Thursday!I:I, B1197)</f>
        <v>0</v>
      </c>
      <c r="G1197">
        <f>COUNTIF(Friday!I:I, B1197)</f>
        <v>0</v>
      </c>
      <c r="H1197">
        <f>SUM(C1197:G1197)</f>
        <v>0</v>
      </c>
    </row>
    <row r="1198" spans="1:8" x14ac:dyDescent="0.25">
      <c r="A1198" s="5" t="s">
        <v>1193</v>
      </c>
      <c r="B1198" t="str">
        <f>"*"&amp;A1198&amp;"*"</f>
        <v>*2419: Torqueability/Steerability*</v>
      </c>
      <c r="C1198">
        <f>COUNTIF(Monday!I:I, B1198)</f>
        <v>0</v>
      </c>
      <c r="D1198">
        <f>COUNTIF(Tuesday!I:I, B1198)</f>
        <v>0</v>
      </c>
      <c r="E1198">
        <f>COUNTIF(Wednesday!I:I, B1198)</f>
        <v>0</v>
      </c>
      <c r="F1198">
        <f>COUNTIF(Thursday!I:I, B1198)</f>
        <v>0</v>
      </c>
      <c r="G1198">
        <f>COUNTIF(Friday!I:I, B1198)</f>
        <v>0</v>
      </c>
      <c r="H1198">
        <f>SUM(C1198:G1198)</f>
        <v>0</v>
      </c>
    </row>
    <row r="1199" spans="1:8" x14ac:dyDescent="0.25">
      <c r="A1199" s="5" t="s">
        <v>1194</v>
      </c>
      <c r="B1199" t="str">
        <f>"*"&amp;A1199&amp;"*"</f>
        <v>*2308: Shape Issue*</v>
      </c>
      <c r="C1199">
        <f>COUNTIF(Monday!I:I, B1199)</f>
        <v>0</v>
      </c>
      <c r="D1199">
        <f>COUNTIF(Tuesday!I:I, B1199)</f>
        <v>0</v>
      </c>
      <c r="E1199">
        <f>COUNTIF(Wednesday!I:I, B1199)</f>
        <v>0</v>
      </c>
      <c r="F1199">
        <f>COUNTIF(Thursday!I:I, B1199)</f>
        <v>0</v>
      </c>
      <c r="G1199">
        <f>COUNTIF(Friday!I:I, B1199)</f>
        <v>0</v>
      </c>
      <c r="H1199">
        <f>SUM(C1199:G1199)</f>
        <v>0</v>
      </c>
    </row>
    <row r="1200" spans="1:8" x14ac:dyDescent="0.25">
      <c r="A1200" s="5" t="s">
        <v>1195</v>
      </c>
      <c r="B1200" t="str">
        <f>"*"&amp;A1200&amp;"*"</f>
        <v>*1543: Failure To Maintain Pressure*</v>
      </c>
      <c r="C1200">
        <f>COUNTIF(Monday!I:I, B1200)</f>
        <v>0</v>
      </c>
      <c r="D1200">
        <f>COUNTIF(Tuesday!I:I, B1200)</f>
        <v>0</v>
      </c>
      <c r="E1200">
        <f>COUNTIF(Wednesday!I:I, B1200)</f>
        <v>0</v>
      </c>
      <c r="F1200">
        <f>COUNTIF(Thursday!I:I, B1200)</f>
        <v>0</v>
      </c>
      <c r="G1200">
        <f>COUNTIF(Friday!I:I, B1200)</f>
        <v>0</v>
      </c>
      <c r="H1200">
        <f>SUM(C1200:G1200)</f>
        <v>0</v>
      </c>
    </row>
    <row r="1201" spans="1:8" x14ac:dyDescent="0.25">
      <c r="A1201" s="5" t="s">
        <v>1196</v>
      </c>
      <c r="B1201" t="str">
        <f>"*"&amp;A1201&amp;"*"</f>
        <v>*1600: Failure To Zero*</v>
      </c>
      <c r="C1201">
        <f>COUNTIF(Monday!I:I, B1201)</f>
        <v>0</v>
      </c>
      <c r="D1201">
        <f>COUNTIF(Tuesday!I:I, B1201)</f>
        <v>0</v>
      </c>
      <c r="E1201">
        <f>COUNTIF(Wednesday!I:I, B1201)</f>
        <v>0</v>
      </c>
      <c r="F1201">
        <f>COUNTIF(Thursday!I:I, B1201)</f>
        <v>0</v>
      </c>
      <c r="G1201">
        <f>COUNTIF(Friday!I:I, B1201)</f>
        <v>0</v>
      </c>
      <c r="H1201">
        <f>SUM(C1201:G1201)</f>
        <v>0</v>
      </c>
    </row>
    <row r="1202" spans="1:8" x14ac:dyDescent="0.25">
      <c r="A1202" s="5" t="s">
        <v>1197</v>
      </c>
      <c r="B1202" t="str">
        <f>"*"&amp;A1202&amp;"*"</f>
        <v>*1398: Difficult/Failure To Recognize/Zero*</v>
      </c>
      <c r="C1202">
        <f>COUNTIF(Monday!I:I, B1202)</f>
        <v>0</v>
      </c>
      <c r="D1202">
        <f>COUNTIF(Tuesday!I:I, B1202)</f>
        <v>0</v>
      </c>
      <c r="E1202">
        <f>COUNTIF(Wednesday!I:I, B1202)</f>
        <v>0</v>
      </c>
      <c r="F1202">
        <f>COUNTIF(Thursday!I:I, B1202)</f>
        <v>0</v>
      </c>
      <c r="G1202">
        <f>COUNTIF(Friday!I:I, B1202)</f>
        <v>0</v>
      </c>
      <c r="H1202">
        <f>SUM(C1202:G1202)</f>
        <v>0</v>
      </c>
    </row>
    <row r="1203" spans="1:8" x14ac:dyDescent="0.25">
      <c r="A1203" s="5" t="s">
        <v>1198</v>
      </c>
      <c r="B1203" t="str">
        <f>"*"&amp;A1203&amp;"*"</f>
        <v>*2132: Not Free Spinning Or Difficult To Spin*</v>
      </c>
      <c r="C1203">
        <f>COUNTIF(Monday!I:I, B1203)</f>
        <v>0</v>
      </c>
      <c r="D1203">
        <f>COUNTIF(Tuesday!I:I, B1203)</f>
        <v>0</v>
      </c>
      <c r="E1203">
        <f>COUNTIF(Wednesday!I:I, B1203)</f>
        <v>0</v>
      </c>
      <c r="F1203">
        <f>COUNTIF(Thursday!I:I, B1203)</f>
        <v>0</v>
      </c>
      <c r="G1203">
        <f>COUNTIF(Friday!I:I, B1203)</f>
        <v>0</v>
      </c>
      <c r="H1203">
        <f>SUM(C1203:G1203)</f>
        <v>0</v>
      </c>
    </row>
    <row r="1204" spans="1:8" x14ac:dyDescent="0.25">
      <c r="A1204" s="5" t="s">
        <v>1199</v>
      </c>
      <c r="B1204" t="str">
        <f>"*"&amp;A1204&amp;"*"</f>
        <v>*1528: Failure To Grab The Wire*</v>
      </c>
      <c r="C1204">
        <f>COUNTIF(Monday!I:I, B1204)</f>
        <v>0</v>
      </c>
      <c r="D1204">
        <f>COUNTIF(Tuesday!I:I, B1204)</f>
        <v>0</v>
      </c>
      <c r="E1204">
        <f>COUNTIF(Wednesday!I:I, B1204)</f>
        <v>0</v>
      </c>
      <c r="F1204">
        <f>COUNTIF(Thursday!I:I, B1204)</f>
        <v>0</v>
      </c>
      <c r="G1204">
        <f>COUNTIF(Friday!I:I, B1204)</f>
        <v>0</v>
      </c>
      <c r="H1204">
        <f>SUM(C1204:G1204)</f>
        <v>0</v>
      </c>
    </row>
    <row r="1205" spans="1:8" x14ac:dyDescent="0.25">
      <c r="A1205" s="5" t="s">
        <v>1200</v>
      </c>
      <c r="B1205" t="str">
        <f>"*"&amp;A1205&amp;"*"</f>
        <v>*1268: Did Not Equalize/Re-Equalize*</v>
      </c>
      <c r="C1205">
        <f>COUNTIF(Monday!I:I, B1205)</f>
        <v>0</v>
      </c>
      <c r="D1205">
        <f>COUNTIF(Tuesday!I:I, B1205)</f>
        <v>0</v>
      </c>
      <c r="E1205">
        <f>COUNTIF(Wednesday!I:I, B1205)</f>
        <v>0</v>
      </c>
      <c r="F1205">
        <f>COUNTIF(Thursday!I:I, B1205)</f>
        <v>0</v>
      </c>
      <c r="G1205">
        <f>COUNTIF(Friday!I:I, B1205)</f>
        <v>0</v>
      </c>
      <c r="H1205">
        <f>SUM(C1205:G1205)</f>
        <v>0</v>
      </c>
    </row>
    <row r="1206" spans="1:8" x14ac:dyDescent="0.25">
      <c r="A1206" s="5" t="s">
        <v>1201</v>
      </c>
      <c r="B1206" t="str">
        <f>"*"&amp;A1206&amp;"*"</f>
        <v>*2102: No Pressure Signal During Procedure*</v>
      </c>
      <c r="C1206">
        <f>COUNTIF(Monday!I:I, B1206)</f>
        <v>0</v>
      </c>
      <c r="D1206">
        <f>COUNTIF(Tuesday!I:I, B1206)</f>
        <v>0</v>
      </c>
      <c r="E1206">
        <f>COUNTIF(Wednesday!I:I, B1206)</f>
        <v>0</v>
      </c>
      <c r="F1206">
        <f>COUNTIF(Thursday!I:I, B1206)</f>
        <v>0</v>
      </c>
      <c r="G1206">
        <f>COUNTIF(Friday!I:I, B1206)</f>
        <v>0</v>
      </c>
      <c r="H1206">
        <f>SUM(C1206:G1206)</f>
        <v>0</v>
      </c>
    </row>
    <row r="1207" spans="1:8" x14ac:dyDescent="0.25">
      <c r="A1207" s="5" t="s">
        <v>1202</v>
      </c>
      <c r="B1207" t="str">
        <f>"*"&amp;A1207&amp;"*"</f>
        <v>*2103: No Pressure Signal Out Of Box*</v>
      </c>
      <c r="C1207">
        <f>COUNTIF(Monday!I:I, B1207)</f>
        <v>0</v>
      </c>
      <c r="D1207">
        <f>COUNTIF(Tuesday!I:I, B1207)</f>
        <v>0</v>
      </c>
      <c r="E1207">
        <f>COUNTIF(Wednesday!I:I, B1207)</f>
        <v>0</v>
      </c>
      <c r="F1207">
        <f>COUNTIF(Thursday!I:I, B1207)</f>
        <v>0</v>
      </c>
      <c r="G1207">
        <f>COUNTIF(Friday!I:I, B1207)</f>
        <v>0</v>
      </c>
      <c r="H1207">
        <f>SUM(C1207:G1207)</f>
        <v>0</v>
      </c>
    </row>
    <row r="1208" spans="1:8" x14ac:dyDescent="0.25">
      <c r="A1208" s="5" t="s">
        <v>1203</v>
      </c>
      <c r="B1208" t="str">
        <f>"*"&amp;A1208&amp;"*"</f>
        <v>*2238: Pressure Signal Inaccurate/Drifts*</v>
      </c>
      <c r="C1208">
        <f>COUNTIF(Monday!I:I, B1208)</f>
        <v>0</v>
      </c>
      <c r="D1208">
        <f>COUNTIF(Tuesday!I:I, B1208)</f>
        <v>0</v>
      </c>
      <c r="E1208">
        <f>COUNTIF(Wednesday!I:I, B1208)</f>
        <v>0</v>
      </c>
      <c r="F1208">
        <f>COUNTIF(Thursday!I:I, B1208)</f>
        <v>0</v>
      </c>
      <c r="G1208">
        <f>COUNTIF(Friday!I:I, B1208)</f>
        <v>0</v>
      </c>
      <c r="H1208">
        <f>SUM(C1208:G1208)</f>
        <v>0</v>
      </c>
    </row>
    <row r="1209" spans="1:8" x14ac:dyDescent="0.25">
      <c r="A1209" s="5" t="s">
        <v>1204</v>
      </c>
      <c r="B1209" t="str">
        <f>"*"&amp;A1209&amp;"*"</f>
        <v>*2432: Unacceptable Pressure Waveforms*</v>
      </c>
      <c r="C1209">
        <f>COUNTIF(Monday!I:I, B1209)</f>
        <v>0</v>
      </c>
      <c r="D1209">
        <f>COUNTIF(Tuesday!I:I, B1209)</f>
        <v>0</v>
      </c>
      <c r="E1209">
        <f>COUNTIF(Wednesday!I:I, B1209)</f>
        <v>0</v>
      </c>
      <c r="F1209">
        <f>COUNTIF(Thursday!I:I, B1209)</f>
        <v>0</v>
      </c>
      <c r="G1209">
        <f>COUNTIF(Friday!I:I, B1209)</f>
        <v>0</v>
      </c>
      <c r="H1209">
        <f>SUM(C1209:G1209)</f>
        <v>0</v>
      </c>
    </row>
    <row r="1210" spans="1:8" x14ac:dyDescent="0.25">
      <c r="A1210" s="5" t="s">
        <v>1205</v>
      </c>
      <c r="B1210" t="str">
        <f>"*"&amp;A1210&amp;"*"</f>
        <v>*1368: Difficult To Track To Re-Entry Site*</v>
      </c>
      <c r="C1210">
        <f>COUNTIF(Monday!I:I, B1210)</f>
        <v>0</v>
      </c>
      <c r="D1210">
        <f>COUNTIF(Tuesday!I:I, B1210)</f>
        <v>0</v>
      </c>
      <c r="E1210">
        <f>COUNTIF(Wednesday!I:I, B1210)</f>
        <v>0</v>
      </c>
      <c r="F1210">
        <f>COUNTIF(Thursday!I:I, B1210)</f>
        <v>0</v>
      </c>
      <c r="G1210">
        <f>COUNTIF(Friday!I:I, B1210)</f>
        <v>0</v>
      </c>
      <c r="H1210">
        <f>SUM(C1210:G1210)</f>
        <v>0</v>
      </c>
    </row>
    <row r="1211" spans="1:8" x14ac:dyDescent="0.25">
      <c r="A1211" s="5" t="s">
        <v>1206</v>
      </c>
      <c r="B1211" t="str">
        <f>"*"&amp;A1211&amp;"*"</f>
        <v>*1592: Failure To Track To Re-Entry Site*</v>
      </c>
      <c r="C1211">
        <f>COUNTIF(Monday!I:I, B1211)</f>
        <v>0</v>
      </c>
      <c r="D1211">
        <f>COUNTIF(Tuesday!I:I, B1211)</f>
        <v>0</v>
      </c>
      <c r="E1211">
        <f>COUNTIF(Wednesday!I:I, B1211)</f>
        <v>0</v>
      </c>
      <c r="F1211">
        <f>COUNTIF(Thursday!I:I, B1211)</f>
        <v>0</v>
      </c>
      <c r="G1211">
        <f>COUNTIF(Friday!I:I, B1211)</f>
        <v>0</v>
      </c>
      <c r="H1211">
        <f>SUM(C1211:G1211)</f>
        <v>0</v>
      </c>
    </row>
    <row r="1212" spans="1:8" x14ac:dyDescent="0.25">
      <c r="A1212" s="5" t="s">
        <v>1207</v>
      </c>
      <c r="B1212" t="str">
        <f>"*"&amp;A1212&amp;"*"</f>
        <v>*2307: Shaft Incompatible With Guidewire*</v>
      </c>
      <c r="C1212">
        <f>COUNTIF(Monday!I:I, B1212)</f>
        <v>0</v>
      </c>
      <c r="D1212">
        <f>COUNTIF(Tuesday!I:I, B1212)</f>
        <v>0</v>
      </c>
      <c r="E1212">
        <f>COUNTIF(Wednesday!I:I, B1212)</f>
        <v>0</v>
      </c>
      <c r="F1212">
        <f>COUNTIF(Thursday!I:I, B1212)</f>
        <v>0</v>
      </c>
      <c r="G1212">
        <f>COUNTIF(Friday!I:I, B1212)</f>
        <v>0</v>
      </c>
      <c r="H1212">
        <f>SUM(C1212:G1212)</f>
        <v>0</v>
      </c>
    </row>
    <row r="1213" spans="1:8" x14ac:dyDescent="0.25">
      <c r="A1213" s="5" t="s">
        <v>1208</v>
      </c>
      <c r="B1213" t="str">
        <f>"*"&amp;A1213&amp;"*"</f>
        <v>*1701: Incompatibility Problem With Guidewire*</v>
      </c>
      <c r="C1213">
        <f>COUNTIF(Monday!I:I, B1213)</f>
        <v>0</v>
      </c>
      <c r="D1213">
        <f>COUNTIF(Tuesday!I:I, B1213)</f>
        <v>0</v>
      </c>
      <c r="E1213">
        <f>COUNTIF(Wednesday!I:I, B1213)</f>
        <v>0</v>
      </c>
      <c r="F1213">
        <f>COUNTIF(Thursday!I:I, B1213)</f>
        <v>0</v>
      </c>
      <c r="G1213">
        <f>COUNTIF(Friday!I:I, B1213)</f>
        <v>0</v>
      </c>
      <c r="H1213">
        <f>SUM(C1213:G1213)</f>
        <v>0</v>
      </c>
    </row>
    <row r="1214" spans="1:8" x14ac:dyDescent="0.25">
      <c r="A1214" s="5" t="s">
        <v>1209</v>
      </c>
      <c r="B1214" t="str">
        <f>"*"&amp;A1214&amp;"*"</f>
        <v>*1670: Hub Leak*</v>
      </c>
      <c r="C1214">
        <f>COUNTIF(Monday!I:I, B1214)</f>
        <v>0</v>
      </c>
      <c r="D1214">
        <f>COUNTIF(Tuesday!I:I, B1214)</f>
        <v>0</v>
      </c>
      <c r="E1214">
        <f>COUNTIF(Wednesday!I:I, B1214)</f>
        <v>0</v>
      </c>
      <c r="F1214">
        <f>COUNTIF(Thursday!I:I, B1214)</f>
        <v>0</v>
      </c>
      <c r="G1214">
        <f>COUNTIF(Friday!I:I, B1214)</f>
        <v>0</v>
      </c>
      <c r="H1214">
        <f>SUM(C1214:G1214)</f>
        <v>0</v>
      </c>
    </row>
    <row r="1215" spans="1:8" x14ac:dyDescent="0.25">
      <c r="A1215" s="5" t="s">
        <v>1210</v>
      </c>
      <c r="B1215" t="str">
        <f>"*"&amp;A1215&amp;"*"</f>
        <v>*1343: Difficult To Re-Enter Vessel True Lumen*</v>
      </c>
      <c r="C1215">
        <f>COUNTIF(Monday!I:I, B1215)</f>
        <v>0</v>
      </c>
      <c r="D1215">
        <f>COUNTIF(Tuesday!I:I, B1215)</f>
        <v>0</v>
      </c>
      <c r="E1215">
        <f>COUNTIF(Wednesday!I:I, B1215)</f>
        <v>0</v>
      </c>
      <c r="F1215">
        <f>COUNTIF(Thursday!I:I, B1215)</f>
        <v>0</v>
      </c>
      <c r="G1215">
        <f>COUNTIF(Friday!I:I, B1215)</f>
        <v>0</v>
      </c>
      <c r="H1215">
        <f>SUM(C1215:G1215)</f>
        <v>0</v>
      </c>
    </row>
    <row r="1216" spans="1:8" x14ac:dyDescent="0.25">
      <c r="A1216" s="5" t="s">
        <v>1211</v>
      </c>
      <c r="B1216" t="str">
        <f>"*"&amp;A1216&amp;"*"</f>
        <v>*1568: Failure To Re-Enter True Lumen*</v>
      </c>
      <c r="C1216">
        <f>COUNTIF(Monday!I:I, B1216)</f>
        <v>0</v>
      </c>
      <c r="D1216">
        <f>COUNTIF(Tuesday!I:I, B1216)</f>
        <v>0</v>
      </c>
      <c r="E1216">
        <f>COUNTIF(Wednesday!I:I, B1216)</f>
        <v>0</v>
      </c>
      <c r="F1216">
        <f>COUNTIF(Thursday!I:I, B1216)</f>
        <v>0</v>
      </c>
      <c r="G1216">
        <f>COUNTIF(Friday!I:I, B1216)</f>
        <v>0</v>
      </c>
      <c r="H1216">
        <f>SUM(C1216:G1216)</f>
        <v>0</v>
      </c>
    </row>
    <row r="1217" spans="1:8" x14ac:dyDescent="0.25">
      <c r="A1217" s="5" t="s">
        <v>1212</v>
      </c>
      <c r="B1217" t="str">
        <f>"*"&amp;A1217&amp;"*"</f>
        <v>*1421: Distal Shaft Separation*</v>
      </c>
      <c r="C1217">
        <f>COUNTIF(Monday!I:I, B1217)</f>
        <v>0</v>
      </c>
      <c r="D1217">
        <f>COUNTIF(Tuesday!I:I, B1217)</f>
        <v>0</v>
      </c>
      <c r="E1217">
        <f>COUNTIF(Wednesday!I:I, B1217)</f>
        <v>0</v>
      </c>
      <c r="F1217">
        <f>COUNTIF(Thursday!I:I, B1217)</f>
        <v>0</v>
      </c>
      <c r="G1217">
        <f>COUNTIF(Friday!I:I, B1217)</f>
        <v>0</v>
      </c>
      <c r="H1217">
        <f>SUM(C1217:G1217)</f>
        <v>0</v>
      </c>
    </row>
    <row r="1218" spans="1:8" x14ac:dyDescent="0.25">
      <c r="A1218" s="5" t="s">
        <v>1213</v>
      </c>
      <c r="B1218" t="str">
        <f>"*"&amp;A1218&amp;"*"</f>
        <v>*1159: Damage Post-Deployment With Secondary Device Interaction*</v>
      </c>
      <c r="C1218">
        <f>COUNTIF(Monday!I:I, B1218)</f>
        <v>0</v>
      </c>
      <c r="D1218">
        <f>COUNTIF(Tuesday!I:I, B1218)</f>
        <v>0</v>
      </c>
      <c r="E1218">
        <f>COUNTIF(Wednesday!I:I, B1218)</f>
        <v>0</v>
      </c>
      <c r="F1218">
        <f>COUNTIF(Thursday!I:I, B1218)</f>
        <v>0</v>
      </c>
      <c r="G1218">
        <f>COUNTIF(Friday!I:I, B1218)</f>
        <v>0</v>
      </c>
      <c r="H1218">
        <f>SUM(C1218:G1218)</f>
        <v>0</v>
      </c>
    </row>
    <row r="1219" spans="1:8" x14ac:dyDescent="0.25">
      <c r="A1219" s="5" t="s">
        <v>1214</v>
      </c>
      <c r="B1219" t="str">
        <f>"*"&amp;A1219&amp;"*"</f>
        <v>*1413: Dislodged Inside The Patient*</v>
      </c>
      <c r="C1219">
        <f>COUNTIF(Monday!I:I, B1219)</f>
        <v>0</v>
      </c>
      <c r="D1219">
        <f>COUNTIF(Tuesday!I:I, B1219)</f>
        <v>0</v>
      </c>
      <c r="E1219">
        <f>COUNTIF(Wednesday!I:I, B1219)</f>
        <v>0</v>
      </c>
      <c r="F1219">
        <f>COUNTIF(Thursday!I:I, B1219)</f>
        <v>0</v>
      </c>
      <c r="G1219">
        <f>COUNTIF(Friday!I:I, B1219)</f>
        <v>0</v>
      </c>
      <c r="H1219">
        <f>SUM(C1219:G1219)</f>
        <v>0</v>
      </c>
    </row>
    <row r="1220" spans="1:8" x14ac:dyDescent="0.25">
      <c r="A1220" s="5" t="s">
        <v>1215</v>
      </c>
      <c r="B1220" t="str">
        <f>"*"&amp;A1220&amp;"*"</f>
        <v>*1694: Inadequate/Insufficient Apposition*</v>
      </c>
      <c r="C1220">
        <f>COUNTIF(Monday!I:I, B1220)</f>
        <v>0</v>
      </c>
      <c r="D1220">
        <f>COUNTIF(Tuesday!I:I, B1220)</f>
        <v>0</v>
      </c>
      <c r="E1220">
        <f>COUNTIF(Wednesday!I:I, B1220)</f>
        <v>0</v>
      </c>
      <c r="F1220">
        <f>COUNTIF(Thursday!I:I, B1220)</f>
        <v>0</v>
      </c>
      <c r="G1220">
        <f>COUNTIF(Friday!I:I, B1220)</f>
        <v>0</v>
      </c>
      <c r="H1220">
        <f>SUM(C1220:G1220)</f>
        <v>0</v>
      </c>
    </row>
    <row r="1221" spans="1:8" x14ac:dyDescent="0.25">
      <c r="A1221" s="5" t="s">
        <v>1216</v>
      </c>
      <c r="B1221" t="str">
        <f>"*"&amp;A1221&amp;"*"</f>
        <v>*2079: Moved On Balloon*</v>
      </c>
      <c r="C1221">
        <f>COUNTIF(Monday!I:I, B1221)</f>
        <v>0</v>
      </c>
      <c r="D1221">
        <f>COUNTIF(Tuesday!I:I, B1221)</f>
        <v>0</v>
      </c>
      <c r="E1221">
        <f>COUNTIF(Wednesday!I:I, B1221)</f>
        <v>0</v>
      </c>
      <c r="F1221">
        <f>COUNTIF(Thursday!I:I, B1221)</f>
        <v>0</v>
      </c>
      <c r="G1221">
        <f>COUNTIF(Friday!I:I, B1221)</f>
        <v>0</v>
      </c>
      <c r="H1221">
        <f>SUM(C1221:G1221)</f>
        <v>0</v>
      </c>
    </row>
    <row r="1222" spans="1:8" x14ac:dyDescent="0.25">
      <c r="A1222" s="5" t="s">
        <v>1217</v>
      </c>
      <c r="B1222" t="str">
        <f>"*"&amp;A1222&amp;"*"</f>
        <v>*1731: Ink Integrity*</v>
      </c>
      <c r="C1222">
        <f>COUNTIF(Monday!I:I, B1222)</f>
        <v>0</v>
      </c>
      <c r="D1222">
        <f>COUNTIF(Tuesday!I:I, B1222)</f>
        <v>0</v>
      </c>
      <c r="E1222">
        <f>COUNTIF(Wednesday!I:I, B1222)</f>
        <v>0</v>
      </c>
      <c r="F1222">
        <f>COUNTIF(Thursday!I:I, B1222)</f>
        <v>0</v>
      </c>
      <c r="G1222">
        <f>COUNTIF(Friday!I:I, B1222)</f>
        <v>0</v>
      </c>
      <c r="H1222">
        <f>SUM(C1222:G1222)</f>
        <v>0</v>
      </c>
    </row>
    <row r="1223" spans="1:8" x14ac:dyDescent="0.25">
      <c r="A1223" s="5" t="s">
        <v>1218</v>
      </c>
      <c r="B1223" t="str">
        <f>"*"&amp;A1223&amp;"*"</f>
        <v>*1095: Check Saline Supply*</v>
      </c>
      <c r="C1223">
        <f>COUNTIF(Monday!I:I, B1223)</f>
        <v>0</v>
      </c>
      <c r="D1223">
        <f>COUNTIF(Tuesday!I:I, B1223)</f>
        <v>0</v>
      </c>
      <c r="E1223">
        <f>COUNTIF(Wednesday!I:I, B1223)</f>
        <v>0</v>
      </c>
      <c r="F1223">
        <f>COUNTIF(Thursday!I:I, B1223)</f>
        <v>0</v>
      </c>
      <c r="G1223">
        <f>COUNTIF(Friday!I:I, B1223)</f>
        <v>0</v>
      </c>
      <c r="H1223">
        <f>SUM(C1223:G1223)</f>
        <v>0</v>
      </c>
    </row>
    <row r="1224" spans="1:8" x14ac:dyDescent="0.25">
      <c r="A1224" s="5" t="s">
        <v>1219</v>
      </c>
      <c r="B1224" t="str">
        <f>"*"&amp;A1224&amp;"*"</f>
        <v>*1145: Cord Wrap/Footswitch Holder Broken/Missing*</v>
      </c>
      <c r="C1224">
        <f>COUNTIF(Monday!I:I, B1224)</f>
        <v>0</v>
      </c>
      <c r="D1224">
        <f>COUNTIF(Tuesday!I:I, B1224)</f>
        <v>0</v>
      </c>
      <c r="E1224">
        <f>COUNTIF(Wednesday!I:I, B1224)</f>
        <v>0</v>
      </c>
      <c r="F1224">
        <f>COUNTIF(Thursday!I:I, B1224)</f>
        <v>0</v>
      </c>
      <c r="G1224">
        <f>COUNTIF(Friday!I:I, B1224)</f>
        <v>0</v>
      </c>
      <c r="H1224">
        <f>SUM(C1224:G1224)</f>
        <v>0</v>
      </c>
    </row>
    <row r="1225" spans="1:8" x14ac:dyDescent="0.25">
      <c r="A1225" s="5" t="s">
        <v>1220</v>
      </c>
      <c r="B1225" t="str">
        <f>"*"&amp;A1225&amp;"*"</f>
        <v>*1896: Message - Actuator Code*</v>
      </c>
      <c r="C1225">
        <f>COUNTIF(Monday!I:I, B1225)</f>
        <v>0</v>
      </c>
      <c r="D1225">
        <f>COUNTIF(Tuesday!I:I, B1225)</f>
        <v>0</v>
      </c>
      <c r="E1225">
        <f>COUNTIF(Wednesday!I:I, B1225)</f>
        <v>0</v>
      </c>
      <c r="F1225">
        <f>COUNTIF(Thursday!I:I, B1225)</f>
        <v>0</v>
      </c>
      <c r="G1225">
        <f>COUNTIF(Friday!I:I, B1225)</f>
        <v>0</v>
      </c>
      <c r="H1225">
        <f>SUM(C1225:G1225)</f>
        <v>0</v>
      </c>
    </row>
    <row r="1226" spans="1:8" x14ac:dyDescent="0.25">
      <c r="A1226" s="5" t="s">
        <v>1221</v>
      </c>
      <c r="B1226" t="str">
        <f>"*"&amp;A1226&amp;"*"</f>
        <v>*1899: Message - Barcode Code*</v>
      </c>
      <c r="C1226">
        <f>COUNTIF(Monday!I:I, B1226)</f>
        <v>0</v>
      </c>
      <c r="D1226">
        <f>COUNTIF(Tuesday!I:I, B1226)</f>
        <v>0</v>
      </c>
      <c r="E1226">
        <f>COUNTIF(Wednesday!I:I, B1226)</f>
        <v>0</v>
      </c>
      <c r="F1226">
        <f>COUNTIF(Thursday!I:I, B1226)</f>
        <v>0</v>
      </c>
      <c r="G1226">
        <f>COUNTIF(Friday!I:I, B1226)</f>
        <v>0</v>
      </c>
      <c r="H1226">
        <f>SUM(C1226:G1226)</f>
        <v>0</v>
      </c>
    </row>
    <row r="1227" spans="1:8" x14ac:dyDescent="0.25">
      <c r="A1227" s="5" t="s">
        <v>1222</v>
      </c>
      <c r="B1227" t="str">
        <f>"*"&amp;A1227&amp;"*"</f>
        <v>*1903: Message - Check For Kinks*</v>
      </c>
      <c r="C1227">
        <f>COUNTIF(Monday!I:I, B1227)</f>
        <v>0</v>
      </c>
      <c r="D1227">
        <f>COUNTIF(Tuesday!I:I, B1227)</f>
        <v>0</v>
      </c>
      <c r="E1227">
        <f>COUNTIF(Wednesday!I:I, B1227)</f>
        <v>0</v>
      </c>
      <c r="F1227">
        <f>COUNTIF(Thursday!I:I, B1227)</f>
        <v>0</v>
      </c>
      <c r="G1227">
        <f>COUNTIF(Friday!I:I, B1227)</f>
        <v>0</v>
      </c>
      <c r="H1227">
        <f>SUM(C1227:G1227)</f>
        <v>0</v>
      </c>
    </row>
    <row r="1228" spans="1:8" x14ac:dyDescent="0.25">
      <c r="A1228" s="5" t="s">
        <v>1223</v>
      </c>
      <c r="B1228" t="str">
        <f>"*"&amp;A1228&amp;"*"</f>
        <v>*1923: Message - Display Code*</v>
      </c>
      <c r="C1228">
        <f>COUNTIF(Monday!I:I, B1228)</f>
        <v>0</v>
      </c>
      <c r="D1228">
        <f>COUNTIF(Tuesday!I:I, B1228)</f>
        <v>0</v>
      </c>
      <c r="E1228">
        <f>COUNTIF(Wednesday!I:I, B1228)</f>
        <v>0</v>
      </c>
      <c r="F1228">
        <f>COUNTIF(Thursday!I:I, B1228)</f>
        <v>0</v>
      </c>
      <c r="G1228">
        <f>COUNTIF(Friday!I:I, B1228)</f>
        <v>0</v>
      </c>
      <c r="H1228">
        <f>SUM(C1228:G1228)</f>
        <v>0</v>
      </c>
    </row>
    <row r="1229" spans="1:8" x14ac:dyDescent="0.25">
      <c r="A1229" s="5" t="s">
        <v>1224</v>
      </c>
      <c r="B1229" t="str">
        <f>"*"&amp;A1229&amp;"*"</f>
        <v>*1925: Message - Drawer Code*</v>
      </c>
      <c r="C1229">
        <f>COUNTIF(Monday!I:I, B1229)</f>
        <v>0</v>
      </c>
      <c r="D1229">
        <f>COUNTIF(Tuesday!I:I, B1229)</f>
        <v>0</v>
      </c>
      <c r="E1229">
        <f>COUNTIF(Wednesday!I:I, B1229)</f>
        <v>0</v>
      </c>
      <c r="F1229">
        <f>COUNTIF(Thursday!I:I, B1229)</f>
        <v>0</v>
      </c>
      <c r="G1229">
        <f>COUNTIF(Friday!I:I, B1229)</f>
        <v>0</v>
      </c>
      <c r="H1229">
        <f>SUM(C1229:G1229)</f>
        <v>0</v>
      </c>
    </row>
    <row r="1230" spans="1:8" x14ac:dyDescent="0.25">
      <c r="A1230" s="5" t="s">
        <v>1225</v>
      </c>
      <c r="B1230" t="str">
        <f>"*"&amp;A1230&amp;"*"</f>
        <v>*2020: Message - Power Code*</v>
      </c>
      <c r="C1230">
        <f>COUNTIF(Monday!I:I, B1230)</f>
        <v>0</v>
      </c>
      <c r="D1230">
        <f>COUNTIF(Tuesday!I:I, B1230)</f>
        <v>0</v>
      </c>
      <c r="E1230">
        <f>COUNTIF(Wednesday!I:I, B1230)</f>
        <v>0</v>
      </c>
      <c r="F1230">
        <f>COUNTIF(Thursday!I:I, B1230)</f>
        <v>0</v>
      </c>
      <c r="G1230">
        <f>COUNTIF(Friday!I:I, B1230)</f>
        <v>0</v>
      </c>
      <c r="H1230">
        <f>SUM(C1230:G1230)</f>
        <v>0</v>
      </c>
    </row>
    <row r="1231" spans="1:8" x14ac:dyDescent="0.25">
      <c r="A1231" s="5" t="s">
        <v>1226</v>
      </c>
      <c r="B1231" t="str">
        <f>"*"&amp;A1231&amp;"*"</f>
        <v>*2024: Message - Roller Pump Code*</v>
      </c>
      <c r="C1231">
        <f>COUNTIF(Monday!I:I, B1231)</f>
        <v>0</v>
      </c>
      <c r="D1231">
        <f>COUNTIF(Tuesday!I:I, B1231)</f>
        <v>0</v>
      </c>
      <c r="E1231">
        <f>COUNTIF(Wednesday!I:I, B1231)</f>
        <v>0</v>
      </c>
      <c r="F1231">
        <f>COUNTIF(Thursday!I:I, B1231)</f>
        <v>0</v>
      </c>
      <c r="G1231">
        <f>COUNTIF(Friday!I:I, B1231)</f>
        <v>0</v>
      </c>
      <c r="H1231">
        <f>SUM(C1231:G1231)</f>
        <v>0</v>
      </c>
    </row>
    <row r="1232" spans="1:8" x14ac:dyDescent="0.25">
      <c r="A1232" s="5" t="s">
        <v>1227</v>
      </c>
      <c r="B1232" t="str">
        <f>"*"&amp;A1232&amp;"*"</f>
        <v>*2030: Message - Software Code*</v>
      </c>
      <c r="C1232">
        <f>COUNTIF(Monday!I:I, B1232)</f>
        <v>0</v>
      </c>
      <c r="D1232">
        <f>COUNTIF(Tuesday!I:I, B1232)</f>
        <v>0</v>
      </c>
      <c r="E1232">
        <f>COUNTIF(Wednesday!I:I, B1232)</f>
        <v>0</v>
      </c>
      <c r="F1232">
        <f>COUNTIF(Thursday!I:I, B1232)</f>
        <v>0</v>
      </c>
      <c r="G1232">
        <f>COUNTIF(Friday!I:I, B1232)</f>
        <v>0</v>
      </c>
      <c r="H1232">
        <f>SUM(C1232:G1232)</f>
        <v>0</v>
      </c>
    </row>
    <row r="1233" spans="1:8" x14ac:dyDescent="0.25">
      <c r="A1233" s="5" t="s">
        <v>1228</v>
      </c>
      <c r="B1233" t="str">
        <f>"*"&amp;A1233&amp;"*"</f>
        <v>*1427: Drawer Movement Not Smooth*</v>
      </c>
      <c r="C1233">
        <f>COUNTIF(Monday!I:I, B1233)</f>
        <v>0</v>
      </c>
      <c r="D1233">
        <f>COUNTIF(Tuesday!I:I, B1233)</f>
        <v>0</v>
      </c>
      <c r="E1233">
        <f>COUNTIF(Wednesday!I:I, B1233)</f>
        <v>0</v>
      </c>
      <c r="F1233">
        <f>COUNTIF(Thursday!I:I, B1233)</f>
        <v>0</v>
      </c>
      <c r="G1233">
        <f>COUNTIF(Friday!I:I, B1233)</f>
        <v>0</v>
      </c>
      <c r="H1233">
        <f>SUM(C1233:G1233)</f>
        <v>0</v>
      </c>
    </row>
    <row r="1234" spans="1:8" x14ac:dyDescent="0.25">
      <c r="A1234" s="5" t="s">
        <v>1229</v>
      </c>
      <c r="B1234" t="str">
        <f>"*"&amp;A1234&amp;"*"</f>
        <v>*1428: Drawer Stalled*</v>
      </c>
      <c r="C1234">
        <f>COUNTIF(Monday!I:I, B1234)</f>
        <v>0</v>
      </c>
      <c r="D1234">
        <f>COUNTIF(Tuesday!I:I, B1234)</f>
        <v>0</v>
      </c>
      <c r="E1234">
        <f>COUNTIF(Wednesday!I:I, B1234)</f>
        <v>0</v>
      </c>
      <c r="F1234">
        <f>COUNTIF(Thursday!I:I, B1234)</f>
        <v>0</v>
      </c>
      <c r="G1234">
        <f>COUNTIF(Friday!I:I, B1234)</f>
        <v>0</v>
      </c>
      <c r="H1234">
        <f>SUM(C1234:G1234)</f>
        <v>0</v>
      </c>
    </row>
    <row r="1235" spans="1:8" x14ac:dyDescent="0.25">
      <c r="A1235" s="5" t="s">
        <v>1230</v>
      </c>
      <c r="B1235" t="str">
        <f>"*"&amp;A1235&amp;"*"</f>
        <v>*1128: Component Or Accessory Incompatibility*</v>
      </c>
      <c r="C1235">
        <f>COUNTIF(Monday!I:I, B1235)</f>
        <v>0</v>
      </c>
      <c r="D1235">
        <f>COUNTIF(Tuesday!I:I, B1235)</f>
        <v>0</v>
      </c>
      <c r="E1235">
        <f>COUNTIF(Wednesday!I:I, B1235)</f>
        <v>0</v>
      </c>
      <c r="F1235">
        <f>COUNTIF(Thursday!I:I, B1235)</f>
        <v>0</v>
      </c>
      <c r="G1235">
        <f>COUNTIF(Friday!I:I, B1235)</f>
        <v>0</v>
      </c>
      <c r="H1235">
        <f>SUM(C1235:G1235)</f>
        <v>0</v>
      </c>
    </row>
    <row r="1236" spans="1:8" x14ac:dyDescent="0.25">
      <c r="A1236" s="5" t="s">
        <v>1231</v>
      </c>
      <c r="B1236" t="str">
        <f>"*"&amp;A1236&amp;"*"</f>
        <v>*2271: Restriction*</v>
      </c>
      <c r="C1236">
        <f>COUNTIF(Monday!I:I, B1236)</f>
        <v>0</v>
      </c>
      <c r="D1236">
        <f>COUNTIF(Tuesday!I:I, B1236)</f>
        <v>0</v>
      </c>
      <c r="E1236">
        <f>COUNTIF(Wednesday!I:I, B1236)</f>
        <v>0</v>
      </c>
      <c r="F1236">
        <f>COUNTIF(Thursday!I:I, B1236)</f>
        <v>0</v>
      </c>
      <c r="G1236">
        <f>COUNTIF(Friday!I:I, B1236)</f>
        <v>0</v>
      </c>
      <c r="H1236">
        <f>SUM(C1236:G1236)</f>
        <v>0</v>
      </c>
    </row>
    <row r="1237" spans="1:8" x14ac:dyDescent="0.25">
      <c r="A1237" s="5" t="s">
        <v>1232</v>
      </c>
      <c r="B1237" t="str">
        <f>"*"&amp;A1237&amp;"*"</f>
        <v>*1624: Fluid Flow Back Issue*</v>
      </c>
      <c r="C1237">
        <f>COUNTIF(Monday!I:I, B1237)</f>
        <v>0</v>
      </c>
      <c r="D1237">
        <f>COUNTIF(Tuesday!I:I, B1237)</f>
        <v>0</v>
      </c>
      <c r="E1237">
        <f>COUNTIF(Wednesday!I:I, B1237)</f>
        <v>0</v>
      </c>
      <c r="F1237">
        <f>COUNTIF(Thursday!I:I, B1237)</f>
        <v>0</v>
      </c>
      <c r="G1237">
        <f>COUNTIF(Friday!I:I, B1237)</f>
        <v>0</v>
      </c>
      <c r="H1237">
        <f>SUM(C1237:G1237)</f>
        <v>0</v>
      </c>
    </row>
    <row r="1238" spans="1:8" x14ac:dyDescent="0.25">
      <c r="A1238" s="5" t="s">
        <v>1233</v>
      </c>
      <c r="B1238" t="str">
        <f>"*"&amp;A1238&amp;"*"</f>
        <v>*1044: Boot Leak*</v>
      </c>
      <c r="C1238">
        <f>COUNTIF(Monday!I:I, B1238)</f>
        <v>0</v>
      </c>
      <c r="D1238">
        <f>COUNTIF(Tuesday!I:I, B1238)</f>
        <v>0</v>
      </c>
      <c r="E1238">
        <f>COUNTIF(Wednesday!I:I, B1238)</f>
        <v>0</v>
      </c>
      <c r="F1238">
        <f>COUNTIF(Thursday!I:I, B1238)</f>
        <v>0</v>
      </c>
      <c r="G1238">
        <f>COUNTIF(Friday!I:I, B1238)</f>
        <v>0</v>
      </c>
      <c r="H1238">
        <f>SUM(C1238:G1238)</f>
        <v>0</v>
      </c>
    </row>
    <row r="1239" spans="1:8" x14ac:dyDescent="0.25">
      <c r="A1239" s="5" t="s">
        <v>1234</v>
      </c>
      <c r="B1239" t="str">
        <f>"*"&amp;A1239&amp;"*"</f>
        <v>*2027: Seal Fault*</v>
      </c>
      <c r="C1239">
        <f>COUNTIF(Monday!I:I, B1239)</f>
        <v>0</v>
      </c>
      <c r="D1239">
        <f>COUNTIF(Tuesday!I:I, B1239)</f>
        <v>0</v>
      </c>
      <c r="E1239">
        <f>COUNTIF(Wednesday!I:I, B1239)</f>
        <v>0</v>
      </c>
      <c r="F1239">
        <f>COUNTIF(Thursday!I:I, B1239)</f>
        <v>0</v>
      </c>
      <c r="G1239">
        <f>COUNTIF(Friday!I:I, B1239)</f>
        <v>0</v>
      </c>
      <c r="H1239">
        <f>SUM(C1239:G1239)</f>
        <v>0</v>
      </c>
    </row>
    <row r="1240" spans="1:8" x14ac:dyDescent="0.25">
      <c r="A1240" s="5" t="s">
        <v>1235</v>
      </c>
      <c r="B1240" t="str">
        <f>"*"&amp;A1240&amp;"*"</f>
        <v>*2058: Unspecified Fault*</v>
      </c>
      <c r="C1240">
        <f>COUNTIF(Monday!I:I, B1240)</f>
        <v>0</v>
      </c>
      <c r="D1240">
        <f>COUNTIF(Tuesday!I:I, B1240)</f>
        <v>0</v>
      </c>
      <c r="E1240">
        <f>COUNTIF(Wednesday!I:I, B1240)</f>
        <v>0</v>
      </c>
      <c r="F1240">
        <f>COUNTIF(Thursday!I:I, B1240)</f>
        <v>0</v>
      </c>
      <c r="G1240">
        <f>COUNTIF(Friday!I:I, B1240)</f>
        <v>0</v>
      </c>
      <c r="H1240">
        <f>SUM(C1240:G1240)</f>
        <v>0</v>
      </c>
    </row>
    <row r="1241" spans="1:8" x14ac:dyDescent="0.25">
      <c r="A1241" s="5" t="s">
        <v>1236</v>
      </c>
      <c r="B1241" t="str">
        <f>"*"&amp;A1241&amp;"*"</f>
        <v>*1672: Hydrophylic Coating Problem*</v>
      </c>
      <c r="C1241">
        <f>COUNTIF(Monday!I:I, B1241)</f>
        <v>0</v>
      </c>
      <c r="D1241">
        <f>COUNTIF(Tuesday!I:I, B1241)</f>
        <v>0</v>
      </c>
      <c r="E1241">
        <f>COUNTIF(Wednesday!I:I, B1241)</f>
        <v>0</v>
      </c>
      <c r="F1241">
        <f>COUNTIF(Thursday!I:I, B1241)</f>
        <v>0</v>
      </c>
      <c r="G1241">
        <f>COUNTIF(Friday!I:I, B1241)</f>
        <v>0</v>
      </c>
      <c r="H1241">
        <f>SUM(C1241:G1241)</f>
        <v>0</v>
      </c>
    </row>
    <row r="1242" spans="1:8" x14ac:dyDescent="0.25">
      <c r="A1242" s="5" t="s">
        <v>1237</v>
      </c>
      <c r="B1242" t="str">
        <f>"*"&amp;A1242&amp;"*"</f>
        <v>*2031: Software Fault*</v>
      </c>
      <c r="C1242">
        <f>COUNTIF(Monday!I:I, B1242)</f>
        <v>0</v>
      </c>
      <c r="D1242">
        <f>COUNTIF(Tuesday!I:I, B1242)</f>
        <v>0</v>
      </c>
      <c r="E1242">
        <f>COUNTIF(Wednesday!I:I, B1242)</f>
        <v>0</v>
      </c>
      <c r="F1242">
        <f>COUNTIF(Thursday!I:I, B1242)</f>
        <v>0</v>
      </c>
      <c r="G1242">
        <f>COUNTIF(Friday!I:I, B1242)</f>
        <v>0</v>
      </c>
      <c r="H1242">
        <f>SUM(C1242:G1242)</f>
        <v>0</v>
      </c>
    </row>
    <row r="1243" spans="1:8" x14ac:dyDescent="0.25">
      <c r="A1243" s="5" t="s">
        <v>1238</v>
      </c>
      <c r="B1243" t="str">
        <f>"*"&amp;A1243&amp;"*"</f>
        <v>*1761: Joint Fault*</v>
      </c>
      <c r="C1243">
        <f>COUNTIF(Monday!I:I, B1243)</f>
        <v>0</v>
      </c>
      <c r="D1243">
        <f>COUNTIF(Tuesday!I:I, B1243)</f>
        <v>0</v>
      </c>
      <c r="E1243">
        <f>COUNTIF(Wednesday!I:I, B1243)</f>
        <v>0</v>
      </c>
      <c r="F1243">
        <f>COUNTIF(Thursday!I:I, B1243)</f>
        <v>0</v>
      </c>
      <c r="G1243">
        <f>COUNTIF(Friday!I:I, B1243)</f>
        <v>0</v>
      </c>
      <c r="H1243">
        <f>SUM(C1243:G1243)</f>
        <v>0</v>
      </c>
    </row>
    <row r="1244" spans="1:8" x14ac:dyDescent="0.25">
      <c r="A1244" s="5" t="s">
        <v>1239</v>
      </c>
      <c r="B1244" t="str">
        <f>"*"&amp;A1244&amp;"*"</f>
        <v>*2381: System Does Not Boot Into Software Application*</v>
      </c>
      <c r="C1244">
        <f>COUNTIF(Monday!I:I, B1244)</f>
        <v>0</v>
      </c>
      <c r="D1244">
        <f>COUNTIF(Tuesday!I:I, B1244)</f>
        <v>0</v>
      </c>
      <c r="E1244">
        <f>COUNTIF(Wednesday!I:I, B1244)</f>
        <v>0</v>
      </c>
      <c r="F1244">
        <f>COUNTIF(Thursday!I:I, B1244)</f>
        <v>0</v>
      </c>
      <c r="G1244">
        <f>COUNTIF(Friday!I:I, B1244)</f>
        <v>0</v>
      </c>
      <c r="H1244">
        <f>SUM(C1244:G1244)</f>
        <v>0</v>
      </c>
    </row>
    <row r="1245" spans="1:8" x14ac:dyDescent="0.25">
      <c r="A1245" s="5" t="s">
        <v>1240</v>
      </c>
      <c r="B1245" t="str">
        <f>"*"&amp;A1245&amp;"*"</f>
        <v>*2296: Seal Failure*</v>
      </c>
      <c r="C1245">
        <f>COUNTIF(Monday!I:I, B1245)</f>
        <v>0</v>
      </c>
      <c r="D1245">
        <f>COUNTIF(Tuesday!I:I, B1245)</f>
        <v>0</v>
      </c>
      <c r="E1245">
        <f>COUNTIF(Wednesday!I:I, B1245)</f>
        <v>0</v>
      </c>
      <c r="F1245">
        <f>COUNTIF(Thursday!I:I, B1245)</f>
        <v>0</v>
      </c>
      <c r="G1245">
        <f>COUNTIF(Friday!I:I, B1245)</f>
        <v>0</v>
      </c>
      <c r="H1245">
        <f>SUM(C1245:G1245)</f>
        <v>0</v>
      </c>
    </row>
    <row r="1246" spans="1:8" x14ac:dyDescent="0.25">
      <c r="A1246" s="5" t="s">
        <v>1241</v>
      </c>
      <c r="B1246" t="str">
        <f>"*"&amp;A1246&amp;"*"</f>
        <v>*1518: Failure To Establish Connection With FFR Link*</v>
      </c>
      <c r="C1246">
        <f>COUNTIF(Monday!I:I, B1246)</f>
        <v>0</v>
      </c>
      <c r="D1246">
        <f>COUNTIF(Tuesday!I:I, B1246)</f>
        <v>0</v>
      </c>
      <c r="E1246">
        <f>COUNTIF(Wednesday!I:I, B1246)</f>
        <v>0</v>
      </c>
      <c r="F1246">
        <f>COUNTIF(Thursday!I:I, B1246)</f>
        <v>0</v>
      </c>
      <c r="G1246">
        <f>COUNTIF(Friday!I:I, B1246)</f>
        <v>0</v>
      </c>
      <c r="H1246">
        <f>SUM(C1246:G1246)</f>
        <v>0</v>
      </c>
    </row>
    <row r="1247" spans="1:8" x14ac:dyDescent="0.25">
      <c r="A1247" s="5" t="s">
        <v>1242</v>
      </c>
      <c r="B1247" t="str">
        <f>"*"&amp;A1247&amp;"*"</f>
        <v>*1928: Message - Equalization Error Detected*</v>
      </c>
      <c r="C1247">
        <f>COUNTIF(Monday!I:I, B1247)</f>
        <v>0</v>
      </c>
      <c r="D1247">
        <f>COUNTIF(Tuesday!I:I, B1247)</f>
        <v>0</v>
      </c>
      <c r="E1247">
        <f>COUNTIF(Wednesday!I:I, B1247)</f>
        <v>0</v>
      </c>
      <c r="F1247">
        <f>COUNTIF(Thursday!I:I, B1247)</f>
        <v>0</v>
      </c>
      <c r="G1247">
        <f>COUNTIF(Friday!I:I, B1247)</f>
        <v>0</v>
      </c>
      <c r="H1247">
        <f>SUM(C1247:G1247)</f>
        <v>0</v>
      </c>
    </row>
    <row r="1248" spans="1:8" x14ac:dyDescent="0.25">
      <c r="A1248" s="5" t="s">
        <v>1243</v>
      </c>
      <c r="B1248" t="str">
        <f>"*"&amp;A1248&amp;"*"</f>
        <v>*2359: Stopped Working - LED*</v>
      </c>
      <c r="C1248">
        <f>COUNTIF(Monday!I:I, B1248)</f>
        <v>0</v>
      </c>
      <c r="D1248">
        <f>COUNTIF(Tuesday!I:I, B1248)</f>
        <v>0</v>
      </c>
      <c r="E1248">
        <f>COUNTIF(Wednesday!I:I, B1248)</f>
        <v>0</v>
      </c>
      <c r="F1248">
        <f>COUNTIF(Thursday!I:I, B1248)</f>
        <v>0</v>
      </c>
      <c r="G1248">
        <f>COUNTIF(Friday!I:I, B1248)</f>
        <v>0</v>
      </c>
      <c r="H1248">
        <f>SUM(C1248:G1248)</f>
        <v>0</v>
      </c>
    </row>
    <row r="1249" spans="1:8" x14ac:dyDescent="0.25">
      <c r="A1249" s="5" t="s">
        <v>1244</v>
      </c>
      <c r="B1249" t="str">
        <f>"*"&amp;A1249&amp;"*"</f>
        <v>*1426: Does Not Spin*</v>
      </c>
      <c r="C1249">
        <f>COUNTIF(Monday!I:I, B1249)</f>
        <v>0</v>
      </c>
      <c r="D1249">
        <f>COUNTIF(Tuesday!I:I, B1249)</f>
        <v>0</v>
      </c>
      <c r="E1249">
        <f>COUNTIF(Wednesday!I:I, B1249)</f>
        <v>0</v>
      </c>
      <c r="F1249">
        <f>COUNTIF(Thursday!I:I, B1249)</f>
        <v>0</v>
      </c>
      <c r="G1249">
        <f>COUNTIF(Friday!I:I, B1249)</f>
        <v>0</v>
      </c>
      <c r="H1249">
        <f>SUM(C1249:G1249)</f>
        <v>0</v>
      </c>
    </row>
    <row r="1250" spans="1:8" x14ac:dyDescent="0.25">
      <c r="A1250" s="5" t="s">
        <v>1245</v>
      </c>
      <c r="B1250" t="str">
        <f>"*"&amp;A1250&amp;"*"</f>
        <v>*2114: No Video To LCD*</v>
      </c>
      <c r="C1250">
        <f>COUNTIF(Monday!I:I, B1250)</f>
        <v>0</v>
      </c>
      <c r="D1250">
        <f>COUNTIF(Tuesday!I:I, B1250)</f>
        <v>0</v>
      </c>
      <c r="E1250">
        <f>COUNTIF(Wednesday!I:I, B1250)</f>
        <v>0</v>
      </c>
      <c r="F1250">
        <f>COUNTIF(Thursday!I:I, B1250)</f>
        <v>0</v>
      </c>
      <c r="G1250">
        <f>COUNTIF(Friday!I:I, B1250)</f>
        <v>0</v>
      </c>
      <c r="H1250">
        <f>SUM(C1250:G1250)</f>
        <v>0</v>
      </c>
    </row>
    <row r="1251" spans="1:8" x14ac:dyDescent="0.25">
      <c r="A1251" s="5" t="s">
        <v>1246</v>
      </c>
      <c r="B1251" t="str">
        <f>"*"&amp;A1251&amp;"*"</f>
        <v>*2115: No Video To Touch Panel*</v>
      </c>
      <c r="C1251">
        <f>COUNTIF(Monday!I:I, B1251)</f>
        <v>0</v>
      </c>
      <c r="D1251">
        <f>COUNTIF(Tuesday!I:I, B1251)</f>
        <v>0</v>
      </c>
      <c r="E1251">
        <f>COUNTIF(Wednesday!I:I, B1251)</f>
        <v>0</v>
      </c>
      <c r="F1251">
        <f>COUNTIF(Thursday!I:I, B1251)</f>
        <v>0</v>
      </c>
      <c r="G1251">
        <f>COUNTIF(Friday!I:I, B1251)</f>
        <v>0</v>
      </c>
      <c r="H1251">
        <f>SUM(C1251:G1251)</f>
        <v>0</v>
      </c>
    </row>
    <row r="1252" spans="1:8" x14ac:dyDescent="0.25">
      <c r="A1252" s="5" t="s">
        <v>1247</v>
      </c>
      <c r="B1252" t="str">
        <f>"*"&amp;A1252&amp;"*"</f>
        <v>*2461: Video Issue*</v>
      </c>
      <c r="C1252">
        <f>COUNTIF(Monday!I:I, B1252)</f>
        <v>0</v>
      </c>
      <c r="D1252">
        <f>COUNTIF(Tuesday!I:I, B1252)</f>
        <v>0</v>
      </c>
      <c r="E1252">
        <f>COUNTIF(Wednesday!I:I, B1252)</f>
        <v>0</v>
      </c>
      <c r="F1252">
        <f>COUNTIF(Thursday!I:I, B1252)</f>
        <v>0</v>
      </c>
      <c r="G1252">
        <f>COUNTIF(Friday!I:I, B1252)</f>
        <v>0</v>
      </c>
      <c r="H1252">
        <f>SUM(C1252:G1252)</f>
        <v>0</v>
      </c>
    </row>
    <row r="1253" spans="1:8" x14ac:dyDescent="0.25">
      <c r="A1253" s="5" t="s">
        <v>1248</v>
      </c>
      <c r="B1253" t="str">
        <f>"*"&amp;A1253&amp;"*"</f>
        <v>*2476: Zeroed LED On FFR Link Solid Red*</v>
      </c>
      <c r="C1253">
        <f>COUNTIF(Monday!I:I, B1253)</f>
        <v>0</v>
      </c>
      <c r="D1253">
        <f>COUNTIF(Tuesday!I:I, B1253)</f>
        <v>0</v>
      </c>
      <c r="E1253">
        <f>COUNTIF(Wednesday!I:I, B1253)</f>
        <v>0</v>
      </c>
      <c r="F1253">
        <f>COUNTIF(Thursday!I:I, B1253)</f>
        <v>0</v>
      </c>
      <c r="G1253">
        <f>COUNTIF(Friday!I:I, B1253)</f>
        <v>0</v>
      </c>
      <c r="H1253">
        <f>SUM(C1253:G1253)</f>
        <v>0</v>
      </c>
    </row>
    <row r="1254" spans="1:8" x14ac:dyDescent="0.25">
      <c r="A1254" s="5" t="s">
        <v>1249</v>
      </c>
      <c r="B1254" t="str">
        <f>"*"&amp;A1254&amp;"*"</f>
        <v>*1033: Bipolar TX PCA Board*</v>
      </c>
      <c r="C1254">
        <f>COUNTIF(Monday!I:I, B1254)</f>
        <v>0</v>
      </c>
      <c r="D1254">
        <f>COUNTIF(Tuesday!I:I, B1254)</f>
        <v>0</v>
      </c>
      <c r="E1254">
        <f>COUNTIF(Wednesday!I:I, B1254)</f>
        <v>0</v>
      </c>
      <c r="F1254">
        <f>COUNTIF(Thursday!I:I, B1254)</f>
        <v>0</v>
      </c>
      <c r="G1254">
        <f>COUNTIF(Friday!I:I, B1254)</f>
        <v>0</v>
      </c>
      <c r="H1254">
        <f>SUM(C1254:G1254)</f>
        <v>0</v>
      </c>
    </row>
    <row r="1255" spans="1:8" x14ac:dyDescent="0.25">
      <c r="A1255" s="6" t="s">
        <v>1250</v>
      </c>
      <c r="B1255" t="str">
        <f>"*"&amp;A1255&amp;"*"</f>
        <v>*2213: Poor Image On Main System Monitor*</v>
      </c>
      <c r="C1255">
        <f>COUNTIF(Monday!I:I, B1255)</f>
        <v>0</v>
      </c>
      <c r="D1255">
        <f>COUNTIF(Tuesday!I:I, B1255)</f>
        <v>0</v>
      </c>
      <c r="E1255">
        <f>COUNTIF(Wednesday!I:I, B1255)</f>
        <v>0</v>
      </c>
      <c r="F1255">
        <f>COUNTIF(Thursday!I:I, B1255)</f>
        <v>0</v>
      </c>
      <c r="G1255">
        <f>COUNTIF(Friday!I:I, B1255)</f>
        <v>0</v>
      </c>
      <c r="H1255">
        <f>SUM(C1255:G1255)</f>
        <v>0</v>
      </c>
    </row>
    <row r="1256" spans="1:8" x14ac:dyDescent="0.25">
      <c r="A1256" s="5" t="s">
        <v>1251</v>
      </c>
      <c r="B1256" t="str">
        <f>"*"&amp;A1256&amp;"*"</f>
        <v>*1593: Failure To Turn*</v>
      </c>
      <c r="C1256">
        <f>COUNTIF(Monday!I:I, B1256)</f>
        <v>0</v>
      </c>
      <c r="D1256">
        <f>COUNTIF(Tuesday!I:I, B1256)</f>
        <v>0</v>
      </c>
      <c r="E1256">
        <f>COUNTIF(Wednesday!I:I, B1256)</f>
        <v>0</v>
      </c>
      <c r="F1256">
        <f>COUNTIF(Thursday!I:I, B1256)</f>
        <v>0</v>
      </c>
      <c r="G1256">
        <f>COUNTIF(Friday!I:I, B1256)</f>
        <v>0</v>
      </c>
      <c r="H1256">
        <f>SUM(C1256:G1256)</f>
        <v>0</v>
      </c>
    </row>
    <row r="1257" spans="1:8" x14ac:dyDescent="0.25">
      <c r="A1257" s="5" t="s">
        <v>1252</v>
      </c>
      <c r="B1257" t="str">
        <f>"*"&amp;A1257&amp;"*"</f>
        <v>*2201: Physical Damage*</v>
      </c>
      <c r="C1257">
        <f>COUNTIF(Monday!I:I, B1257)</f>
        <v>0</v>
      </c>
      <c r="D1257">
        <f>COUNTIF(Tuesday!I:I, B1257)</f>
        <v>0</v>
      </c>
      <c r="E1257">
        <f>COUNTIF(Wednesday!I:I, B1257)</f>
        <v>0</v>
      </c>
      <c r="F1257">
        <f>COUNTIF(Thursday!I:I, B1257)</f>
        <v>0</v>
      </c>
      <c r="G1257">
        <f>COUNTIF(Friday!I:I, B1257)</f>
        <v>0</v>
      </c>
      <c r="H1257">
        <f>SUM(C1257:G1257)</f>
        <v>0</v>
      </c>
    </row>
    <row r="1258" spans="1:8" x14ac:dyDescent="0.25">
      <c r="A1258" s="5" t="s">
        <v>1253</v>
      </c>
      <c r="B1258" t="str">
        <f>"*"&amp;A1258&amp;"*"</f>
        <v>*1720: Incorrect Power Cable Installation*</v>
      </c>
      <c r="C1258">
        <f>COUNTIF(Monday!I:I, B1258)</f>
        <v>0</v>
      </c>
      <c r="D1258">
        <f>COUNTIF(Tuesday!I:I, B1258)</f>
        <v>0</v>
      </c>
      <c r="E1258">
        <f>COUNTIF(Wednesday!I:I, B1258)</f>
        <v>0</v>
      </c>
      <c r="F1258">
        <f>COUNTIF(Thursday!I:I, B1258)</f>
        <v>0</v>
      </c>
      <c r="G1258">
        <f>COUNTIF(Friday!I:I, B1258)</f>
        <v>0</v>
      </c>
      <c r="H1258">
        <f>SUM(C1258:G1258)</f>
        <v>0</v>
      </c>
    </row>
    <row r="1259" spans="1:8" x14ac:dyDescent="0.25">
      <c r="A1259" s="5" t="s">
        <v>1254</v>
      </c>
      <c r="B1259" t="str">
        <f>"*"&amp;A1259&amp;"*"</f>
        <v>*1931: Message - Error 3005 - Calibrate AO failed*</v>
      </c>
      <c r="C1259">
        <f>COUNTIF(Monday!I:I, B1259)</f>
        <v>0</v>
      </c>
      <c r="D1259">
        <f>COUNTIF(Tuesday!I:I, B1259)</f>
        <v>0</v>
      </c>
      <c r="E1259">
        <f>COUNTIF(Wednesday!I:I, B1259)</f>
        <v>0</v>
      </c>
      <c r="F1259">
        <f>COUNTIF(Thursday!I:I, B1259)</f>
        <v>0</v>
      </c>
      <c r="G1259">
        <f>COUNTIF(Friday!I:I, B1259)</f>
        <v>0</v>
      </c>
      <c r="H1259">
        <f>SUM(C1259:G1259)</f>
        <v>0</v>
      </c>
    </row>
    <row r="1260" spans="1:8" x14ac:dyDescent="0.25">
      <c r="A1260" s="5" t="s">
        <v>1255</v>
      </c>
      <c r="B1260" t="str">
        <f>"*"&amp;A1260&amp;"*"</f>
        <v>*1934: Message - Error 3021 - Equalize Failed*</v>
      </c>
      <c r="C1260">
        <f>COUNTIF(Monday!I:I, B1260)</f>
        <v>0</v>
      </c>
      <c r="D1260">
        <f>COUNTIF(Tuesday!I:I, B1260)</f>
        <v>0</v>
      </c>
      <c r="E1260">
        <f>COUNTIF(Wednesday!I:I, B1260)</f>
        <v>0</v>
      </c>
      <c r="F1260">
        <f>COUNTIF(Thursday!I:I, B1260)</f>
        <v>0</v>
      </c>
      <c r="G1260">
        <f>COUNTIF(Friday!I:I, B1260)</f>
        <v>0</v>
      </c>
      <c r="H1260">
        <f>SUM(C1260:G1260)</f>
        <v>0</v>
      </c>
    </row>
    <row r="1261" spans="1:8" x14ac:dyDescent="0.25">
      <c r="A1261" s="5" t="s">
        <v>1256</v>
      </c>
      <c r="B1261" t="str">
        <f>"*"&amp;A1261&amp;"*"</f>
        <v>*1936: Message - Error 3032 - Failed To Connect To FFR Link {0}*</v>
      </c>
      <c r="C1261">
        <f>COUNTIF(Monday!I:I, B1261)</f>
        <v>0</v>
      </c>
      <c r="D1261">
        <f>COUNTIF(Tuesday!I:I, B1261)</f>
        <v>0</v>
      </c>
      <c r="E1261">
        <f>COUNTIF(Wednesday!I:I, B1261)</f>
        <v>0</v>
      </c>
      <c r="F1261">
        <f>COUNTIF(Thursday!I:I, B1261)</f>
        <v>0</v>
      </c>
      <c r="G1261">
        <f>COUNTIF(Friday!I:I, B1261)</f>
        <v>0</v>
      </c>
      <c r="H1261">
        <f>SUM(C1261:G1261)</f>
        <v>0</v>
      </c>
    </row>
    <row r="1262" spans="1:8" x14ac:dyDescent="0.25">
      <c r="A1262" s="5" t="s">
        <v>1257</v>
      </c>
      <c r="B1262" t="str">
        <f>"*"&amp;A1262&amp;"*"</f>
        <v>*1938: Message - Error 3052 - Polaris has detected a difference between aorti*</v>
      </c>
      <c r="C1262">
        <f>COUNTIF(Monday!I:I, B1262)</f>
        <v>0</v>
      </c>
      <c r="D1262">
        <f>COUNTIF(Tuesday!I:I, B1262)</f>
        <v>0</v>
      </c>
      <c r="E1262">
        <f>COUNTIF(Wednesday!I:I, B1262)</f>
        <v>0</v>
      </c>
      <c r="F1262">
        <f>COUNTIF(Thursday!I:I, B1262)</f>
        <v>0</v>
      </c>
      <c r="G1262">
        <f>COUNTIF(Friday!I:I, B1262)</f>
        <v>0</v>
      </c>
      <c r="H1262">
        <f>SUM(C1262:G1262)</f>
        <v>0</v>
      </c>
    </row>
    <row r="1263" spans="1:8" x14ac:dyDescent="0.25">
      <c r="A1263" s="5" t="s">
        <v>1258</v>
      </c>
      <c r="B1263" t="str">
        <f>"*"&amp;A1263&amp;"*"</f>
        <v>*1939: Message - Error 3053 - Polaris has detected a difference between aorti*</v>
      </c>
      <c r="C1263">
        <f>COUNTIF(Monday!I:I, B1263)</f>
        <v>0</v>
      </c>
      <c r="D1263">
        <f>COUNTIF(Tuesday!I:I, B1263)</f>
        <v>0</v>
      </c>
      <c r="E1263">
        <f>COUNTIF(Wednesday!I:I, B1263)</f>
        <v>0</v>
      </c>
      <c r="F1263">
        <f>COUNTIF(Thursday!I:I, B1263)</f>
        <v>0</v>
      </c>
      <c r="G1263">
        <f>COUNTIF(Friday!I:I, B1263)</f>
        <v>0</v>
      </c>
      <c r="H1263">
        <f>SUM(C1263:G1263)</f>
        <v>0</v>
      </c>
    </row>
    <row r="1264" spans="1:8" x14ac:dyDescent="0.25">
      <c r="A1264" s="5" t="s">
        <v>1259</v>
      </c>
      <c r="B1264" t="str">
        <f>"*"&amp;A1264&amp;"*"</f>
        <v>*2015: Message - Pa Waveform Incorrect*</v>
      </c>
      <c r="C1264">
        <f>COUNTIF(Monday!I:I, B1264)</f>
        <v>0</v>
      </c>
      <c r="D1264">
        <f>COUNTIF(Tuesday!I:I, B1264)</f>
        <v>0</v>
      </c>
      <c r="E1264">
        <f>COUNTIF(Wednesday!I:I, B1264)</f>
        <v>0</v>
      </c>
      <c r="F1264">
        <f>COUNTIF(Thursday!I:I, B1264)</f>
        <v>0</v>
      </c>
      <c r="G1264">
        <f>COUNTIF(Friday!I:I, B1264)</f>
        <v>0</v>
      </c>
      <c r="H1264">
        <f>SUM(C1264:G1264)</f>
        <v>0</v>
      </c>
    </row>
    <row r="1265" spans="1:8" x14ac:dyDescent="0.25">
      <c r="A1265" s="5" t="s">
        <v>1260</v>
      </c>
      <c r="B1265" t="str">
        <f>"*"&amp;A1265&amp;"*"</f>
        <v>*2016: Message - Pd Values Incorrect*</v>
      </c>
      <c r="C1265">
        <f>COUNTIF(Monday!I:I, B1265)</f>
        <v>0</v>
      </c>
      <c r="D1265">
        <f>COUNTIF(Tuesday!I:I, B1265)</f>
        <v>0</v>
      </c>
      <c r="E1265">
        <f>COUNTIF(Wednesday!I:I, B1265)</f>
        <v>0</v>
      </c>
      <c r="F1265">
        <f>COUNTIF(Thursday!I:I, B1265)</f>
        <v>0</v>
      </c>
      <c r="G1265">
        <f>COUNTIF(Friday!I:I, B1265)</f>
        <v>0</v>
      </c>
      <c r="H1265">
        <f>SUM(C1265:G1265)</f>
        <v>0</v>
      </c>
    </row>
    <row r="1266" spans="1:8" x14ac:dyDescent="0.25">
      <c r="A1266" s="5" t="s">
        <v>1261</v>
      </c>
      <c r="B1266" t="str">
        <f>"*"&amp;A1266&amp;"*"</f>
        <v>*2017: Message - Pd Waveform Incorrect*</v>
      </c>
      <c r="C1266">
        <f>COUNTIF(Monday!I:I, B1266)</f>
        <v>0</v>
      </c>
      <c r="D1266">
        <f>COUNTIF(Tuesday!I:I, B1266)</f>
        <v>0</v>
      </c>
      <c r="E1266">
        <f>COUNTIF(Wednesday!I:I, B1266)</f>
        <v>0</v>
      </c>
      <c r="F1266">
        <f>COUNTIF(Thursday!I:I, B1266)</f>
        <v>0</v>
      </c>
      <c r="G1266">
        <f>COUNTIF(Friday!I:I, B1266)</f>
        <v>0</v>
      </c>
      <c r="H1266">
        <f>SUM(C1266:G1266)</f>
        <v>0</v>
      </c>
    </row>
    <row r="1267" spans="1:8" x14ac:dyDescent="0.25">
      <c r="A1267" s="5" t="s">
        <v>1262</v>
      </c>
      <c r="B1267" t="str">
        <f>"*"&amp;A1267&amp;"*"</f>
        <v>*2018: Message - Pd/Pa Values Incorrect*</v>
      </c>
      <c r="C1267">
        <f>COUNTIF(Monday!I:I, B1267)</f>
        <v>0</v>
      </c>
      <c r="D1267">
        <f>COUNTIF(Tuesday!I:I, B1267)</f>
        <v>0</v>
      </c>
      <c r="E1267">
        <f>COUNTIF(Wednesday!I:I, B1267)</f>
        <v>0</v>
      </c>
      <c r="F1267">
        <f>COUNTIF(Thursday!I:I, B1267)</f>
        <v>0</v>
      </c>
      <c r="G1267">
        <f>COUNTIF(Friday!I:I, B1267)</f>
        <v>0</v>
      </c>
      <c r="H1267">
        <f>SUM(C1267:G1267)</f>
        <v>0</v>
      </c>
    </row>
    <row r="1268" spans="1:8" x14ac:dyDescent="0.25">
      <c r="A1268" s="5" t="s">
        <v>1263</v>
      </c>
      <c r="B1268" t="str">
        <f>"*"&amp;A1268&amp;"*"</f>
        <v>*2093: No ECG Signal*</v>
      </c>
      <c r="C1268">
        <f>COUNTIF(Monday!I:I, B1268)</f>
        <v>0</v>
      </c>
      <c r="D1268">
        <f>COUNTIF(Tuesday!I:I, B1268)</f>
        <v>0</v>
      </c>
      <c r="E1268">
        <f>COUNTIF(Wednesday!I:I, B1268)</f>
        <v>0</v>
      </c>
      <c r="F1268">
        <f>COUNTIF(Thursday!I:I, B1268)</f>
        <v>0</v>
      </c>
      <c r="G1268">
        <f>COUNTIF(Friday!I:I, B1268)</f>
        <v>0</v>
      </c>
      <c r="H1268">
        <f>SUM(C1268:G1268)</f>
        <v>0</v>
      </c>
    </row>
    <row r="1269" spans="1:8" x14ac:dyDescent="0.25">
      <c r="A1269" s="5" t="s">
        <v>1264</v>
      </c>
      <c r="B1269" t="str">
        <f>"*"&amp;A1269&amp;"*"</f>
        <v>*2327: Signal Strength LED on FFR Link Solid Yellow*</v>
      </c>
      <c r="C1269">
        <f>COUNTIF(Monday!I:I, B1269)</f>
        <v>0</v>
      </c>
      <c r="D1269">
        <f>COUNTIF(Tuesday!I:I, B1269)</f>
        <v>0</v>
      </c>
      <c r="E1269">
        <f>COUNTIF(Wednesday!I:I, B1269)</f>
        <v>0</v>
      </c>
      <c r="F1269">
        <f>COUNTIF(Thursday!I:I, B1269)</f>
        <v>0</v>
      </c>
      <c r="G1269">
        <f>COUNTIF(Friday!I:I, B1269)</f>
        <v>0</v>
      </c>
      <c r="H1269">
        <f>SUM(C1269:G1269)</f>
        <v>0</v>
      </c>
    </row>
    <row r="1270" spans="1:8" x14ac:dyDescent="0.25">
      <c r="A1270" s="6" t="s">
        <v>1265</v>
      </c>
      <c r="B1270" t="str">
        <f>"*"&amp;A1270&amp;"*"</f>
        <v>*3077: Failure To Create FFR Acquisition Session*</v>
      </c>
      <c r="C1270">
        <f>COUNTIF(Monday!I:I, B1270)</f>
        <v>0</v>
      </c>
      <c r="D1270">
        <f>COUNTIF(Tuesday!I:I, B1270)</f>
        <v>0</v>
      </c>
      <c r="E1270">
        <f>COUNTIF(Wednesday!I:I, B1270)</f>
        <v>0</v>
      </c>
      <c r="F1270">
        <f>COUNTIF(Thursday!I:I, B1270)</f>
        <v>0</v>
      </c>
      <c r="G1270">
        <f>COUNTIF(Friday!I:I, B1270)</f>
        <v>0</v>
      </c>
      <c r="H1270">
        <f>SUM(C1270:G1270)</f>
        <v>0</v>
      </c>
    </row>
    <row r="1271" spans="1:8" x14ac:dyDescent="0.25">
      <c r="A1271" s="5" t="s">
        <v>1266</v>
      </c>
      <c r="B1271" t="str">
        <f>"*"&amp;A1271&amp;"*"</f>
        <v>*2923: Overload - Pullback Error 7003*</v>
      </c>
      <c r="C1271">
        <f>COUNTIF(Monday!I:I, B1271)</f>
        <v>0</v>
      </c>
      <c r="D1271">
        <f>COUNTIF(Tuesday!I:I, B1271)</f>
        <v>0</v>
      </c>
      <c r="E1271">
        <f>COUNTIF(Wednesday!I:I, B1271)</f>
        <v>0</v>
      </c>
      <c r="F1271">
        <f>COUNTIF(Thursday!I:I, B1271)</f>
        <v>0</v>
      </c>
      <c r="G1271">
        <f>COUNTIF(Friday!I:I, B1271)</f>
        <v>0</v>
      </c>
      <c r="H1271">
        <f>SUM(C1271:G1271)</f>
        <v>0</v>
      </c>
    </row>
    <row r="1272" spans="1:8" x14ac:dyDescent="0.25">
      <c r="A1272" s="5" t="s">
        <v>1267</v>
      </c>
      <c r="B1272" t="str">
        <f>"*"&amp;A1272&amp;"*"</f>
        <v>*2924: Overload - Rotational*</v>
      </c>
      <c r="C1272">
        <f>COUNTIF(Monday!I:I, B1272)</f>
        <v>0</v>
      </c>
      <c r="D1272">
        <f>COUNTIF(Tuesday!I:I, B1272)</f>
        <v>0</v>
      </c>
      <c r="E1272">
        <f>COUNTIF(Wednesday!I:I, B1272)</f>
        <v>0</v>
      </c>
      <c r="F1272">
        <f>COUNTIF(Thursday!I:I, B1272)</f>
        <v>0</v>
      </c>
      <c r="G1272">
        <f>COUNTIF(Friday!I:I, B1272)</f>
        <v>0</v>
      </c>
      <c r="H1272">
        <f>SUM(C1272:G1272)</f>
        <v>0</v>
      </c>
    </row>
    <row r="1273" spans="1:8" x14ac:dyDescent="0.25">
      <c r="A1273" s="5" t="s">
        <v>1268</v>
      </c>
      <c r="B1273" t="str">
        <f>"*"&amp;A1273&amp;"*"</f>
        <v>*1531: Failure To Hold Its Charge*</v>
      </c>
      <c r="C1273">
        <f>COUNTIF(Monday!I:I, B1273)</f>
        <v>0</v>
      </c>
      <c r="D1273">
        <f>COUNTIF(Tuesday!I:I, B1273)</f>
        <v>0</v>
      </c>
      <c r="E1273">
        <f>COUNTIF(Wednesday!I:I, B1273)</f>
        <v>0</v>
      </c>
      <c r="F1273">
        <f>COUNTIF(Thursday!I:I, B1273)</f>
        <v>0</v>
      </c>
      <c r="G1273">
        <f>COUNTIF(Friday!I:I, B1273)</f>
        <v>0</v>
      </c>
      <c r="H1273">
        <f>SUM(C1273:G1273)</f>
        <v>0</v>
      </c>
    </row>
    <row r="1274" spans="1:8" x14ac:dyDescent="0.25">
      <c r="A1274" s="5" t="s">
        <v>1269</v>
      </c>
      <c r="B1274" t="str">
        <f>"*"&amp;A1274&amp;"*"</f>
        <v>*2773: Unable To Find Bluetooth Device*</v>
      </c>
      <c r="C1274">
        <f>COUNTIF(Monday!I:I, B1274)</f>
        <v>0</v>
      </c>
      <c r="D1274">
        <f>COUNTIF(Tuesday!I:I, B1274)</f>
        <v>0</v>
      </c>
      <c r="E1274">
        <f>COUNTIF(Wednesday!I:I, B1274)</f>
        <v>0</v>
      </c>
      <c r="F1274">
        <f>COUNTIF(Thursday!I:I, B1274)</f>
        <v>0</v>
      </c>
      <c r="G1274">
        <f>COUNTIF(Friday!I:I, B1274)</f>
        <v>0</v>
      </c>
      <c r="H1274">
        <f>SUM(C1274:G1274)</f>
        <v>0</v>
      </c>
    </row>
    <row r="1275" spans="1:8" x14ac:dyDescent="0.25">
      <c r="A1275" s="5" t="s">
        <v>1270</v>
      </c>
      <c r="B1275" t="str">
        <f>"*"&amp;A1275&amp;"*"</f>
        <v>*3014: Bluetooth Signal Lost*</v>
      </c>
      <c r="C1275">
        <f>COUNTIF(Monday!I:I, B1275)</f>
        <v>0</v>
      </c>
      <c r="D1275">
        <f>COUNTIF(Tuesday!I:I, B1275)</f>
        <v>0</v>
      </c>
      <c r="E1275">
        <f>COUNTIF(Wednesday!I:I, B1275)</f>
        <v>0</v>
      </c>
      <c r="F1275">
        <f>COUNTIF(Thursday!I:I, B1275)</f>
        <v>0</v>
      </c>
      <c r="G1275">
        <f>COUNTIF(Friday!I:I, B1275)</f>
        <v>0</v>
      </c>
      <c r="H1275">
        <f>SUM(C1275:G1275)</f>
        <v>0</v>
      </c>
    </row>
    <row r="1276" spans="1:8" x14ac:dyDescent="0.25">
      <c r="A1276" s="5" t="s">
        <v>1271</v>
      </c>
      <c r="B1276" t="str">
        <f>"*"&amp;A1276&amp;"*"</f>
        <v>*3015: Case Data Stored On The Tablet Lost / Corrupted/ Irretrievable/ Deleted*</v>
      </c>
      <c r="C1276">
        <f>COUNTIF(Monday!I:I, B1276)</f>
        <v>0</v>
      </c>
      <c r="D1276">
        <f>COUNTIF(Tuesday!I:I, B1276)</f>
        <v>0</v>
      </c>
      <c r="E1276">
        <f>COUNTIF(Wednesday!I:I, B1276)</f>
        <v>0</v>
      </c>
      <c r="F1276">
        <f>COUNTIF(Thursday!I:I, B1276)</f>
        <v>0</v>
      </c>
      <c r="G1276">
        <f>COUNTIF(Friday!I:I, B1276)</f>
        <v>0</v>
      </c>
      <c r="H1276">
        <f>SUM(C1276:G1276)</f>
        <v>0</v>
      </c>
    </row>
    <row r="1277" spans="1:8" x14ac:dyDescent="0.25">
      <c r="A1277" s="5" t="s">
        <v>1272</v>
      </c>
      <c r="B1277" t="str">
        <f>"*"&amp;A1277&amp;"*"</f>
        <v>*3018: DFR Measurement Cannot Be Calculated Due To Irregular Heart Beats*</v>
      </c>
      <c r="C1277">
        <f>COUNTIF(Monday!I:I, B1277)</f>
        <v>0</v>
      </c>
      <c r="D1277">
        <f>COUNTIF(Tuesday!I:I, B1277)</f>
        <v>0</v>
      </c>
      <c r="E1277">
        <f>COUNTIF(Wednesday!I:I, B1277)</f>
        <v>0</v>
      </c>
      <c r="F1277">
        <f>COUNTIF(Thursday!I:I, B1277)</f>
        <v>0</v>
      </c>
      <c r="G1277">
        <f>COUNTIF(Friday!I:I, B1277)</f>
        <v>0</v>
      </c>
      <c r="H1277">
        <f>SUM(C1277:G1277)</f>
        <v>0</v>
      </c>
    </row>
    <row r="1278" spans="1:8" x14ac:dyDescent="0.25">
      <c r="A1278" s="5" t="s">
        <v>1273</v>
      </c>
      <c r="B1278" t="str">
        <f>"*"&amp;A1278&amp;"*"</f>
        <v>*3019: Diagnostic Test - FFR Link Connection Test Fails*</v>
      </c>
      <c r="C1278">
        <f>COUNTIF(Monday!I:I, B1278)</f>
        <v>0</v>
      </c>
      <c r="D1278">
        <f>COUNTIF(Tuesday!I:I, B1278)</f>
        <v>0</v>
      </c>
      <c r="E1278">
        <f>COUNTIF(Wednesday!I:I, B1278)</f>
        <v>0</v>
      </c>
      <c r="F1278">
        <f>COUNTIF(Thursday!I:I, B1278)</f>
        <v>0</v>
      </c>
      <c r="G1278">
        <f>COUNTIF(Friday!I:I, B1278)</f>
        <v>0</v>
      </c>
      <c r="H1278">
        <f>SUM(C1278:G1278)</f>
        <v>0</v>
      </c>
    </row>
    <row r="1279" spans="1:8" x14ac:dyDescent="0.25">
      <c r="A1279" s="5" t="s">
        <v>1274</v>
      </c>
      <c r="B1279" t="str">
        <f>"*"&amp;A1279&amp;"*"</f>
        <v>*3020: Diagnostic Test - Pa Connection Failure*</v>
      </c>
      <c r="C1279">
        <f>COUNTIF(Monday!I:I, B1279)</f>
        <v>0</v>
      </c>
      <c r="D1279">
        <f>COUNTIF(Tuesday!I:I, B1279)</f>
        <v>0</v>
      </c>
      <c r="E1279">
        <f>COUNTIF(Wednesday!I:I, B1279)</f>
        <v>0</v>
      </c>
      <c r="F1279">
        <f>COUNTIF(Thursday!I:I, B1279)</f>
        <v>0</v>
      </c>
      <c r="G1279">
        <f>COUNTIF(Friday!I:I, B1279)</f>
        <v>0</v>
      </c>
      <c r="H1279">
        <f>SUM(C1279:G1279)</f>
        <v>0</v>
      </c>
    </row>
    <row r="1280" spans="1:8" x14ac:dyDescent="0.25">
      <c r="A1280" s="5" t="s">
        <v>1275</v>
      </c>
      <c r="B1280" t="str">
        <f>"*"&amp;A1280&amp;"*"</f>
        <v>*3021: Diagnostic Test- Hemo Test Failure*</v>
      </c>
      <c r="C1280">
        <f>COUNTIF(Monday!I:I, B1280)</f>
        <v>0</v>
      </c>
      <c r="D1280">
        <f>COUNTIF(Tuesday!I:I, B1280)</f>
        <v>0</v>
      </c>
      <c r="E1280">
        <f>COUNTIF(Wednesday!I:I, B1280)</f>
        <v>0</v>
      </c>
      <c r="F1280">
        <f>COUNTIF(Thursday!I:I, B1280)</f>
        <v>0</v>
      </c>
      <c r="G1280">
        <f>COUNTIF(Friday!I:I, B1280)</f>
        <v>0</v>
      </c>
      <c r="H1280">
        <f>SUM(C1280:G1280)</f>
        <v>0</v>
      </c>
    </row>
    <row r="1281" spans="1:8" x14ac:dyDescent="0.25">
      <c r="A1281" s="5" t="s">
        <v>1276</v>
      </c>
      <c r="B1281" t="str">
        <f>"*"&amp;A1281&amp;"*"</f>
        <v>*3023: FFR Set Up Issue*</v>
      </c>
      <c r="C1281">
        <f>COUNTIF(Monday!I:I, B1281)</f>
        <v>0</v>
      </c>
      <c r="D1281">
        <f>COUNTIF(Tuesday!I:I, B1281)</f>
        <v>0</v>
      </c>
      <c r="E1281">
        <f>COUNTIF(Wednesday!I:I, B1281)</f>
        <v>0</v>
      </c>
      <c r="F1281">
        <f>COUNTIF(Thursday!I:I, B1281)</f>
        <v>0</v>
      </c>
      <c r="G1281">
        <f>COUNTIF(Friday!I:I, B1281)</f>
        <v>0</v>
      </c>
      <c r="H1281">
        <f>SUM(C1281:G1281)</f>
        <v>0</v>
      </c>
    </row>
    <row r="1282" spans="1:8" x14ac:dyDescent="0.25">
      <c r="A1282" s="5" t="s">
        <v>1277</v>
      </c>
      <c r="B1282" t="str">
        <f>"*"&amp;A1282&amp;"*"</f>
        <v>*3029: Intermittent Bluetooth Signal*</v>
      </c>
      <c r="C1282">
        <f>COUNTIF(Monday!I:I, B1282)</f>
        <v>0</v>
      </c>
      <c r="D1282">
        <f>COUNTIF(Tuesday!I:I, B1282)</f>
        <v>0</v>
      </c>
      <c r="E1282">
        <f>COUNTIF(Wednesday!I:I, B1282)</f>
        <v>0</v>
      </c>
      <c r="F1282">
        <f>COUNTIF(Thursday!I:I, B1282)</f>
        <v>0</v>
      </c>
      <c r="G1282">
        <f>COUNTIF(Friday!I:I, B1282)</f>
        <v>0</v>
      </c>
      <c r="H1282">
        <f>SUM(C1282:G1282)</f>
        <v>0</v>
      </c>
    </row>
    <row r="1283" spans="1:8" x14ac:dyDescent="0.25">
      <c r="A1283" s="5" t="s">
        <v>1278</v>
      </c>
      <c r="B1283" t="str">
        <f>"*"&amp;A1283&amp;"*"</f>
        <v>*3039: Power Button Is Not Functioning*</v>
      </c>
      <c r="C1283">
        <f>COUNTIF(Monday!I:I, B1283)</f>
        <v>0</v>
      </c>
      <c r="D1283">
        <f>COUNTIF(Tuesday!I:I, B1283)</f>
        <v>0</v>
      </c>
      <c r="E1283">
        <f>COUNTIF(Wednesday!I:I, B1283)</f>
        <v>0</v>
      </c>
      <c r="F1283">
        <f>COUNTIF(Thursday!I:I, B1283)</f>
        <v>0</v>
      </c>
      <c r="G1283">
        <f>COUNTIF(Friday!I:I, B1283)</f>
        <v>0</v>
      </c>
      <c r="H1283">
        <f>SUM(C1283:G1283)</f>
        <v>0</v>
      </c>
    </row>
    <row r="1284" spans="1:8" x14ac:dyDescent="0.25">
      <c r="A1284" s="5" t="s">
        <v>1279</v>
      </c>
      <c r="B1284" t="str">
        <f>"*"&amp;A1284&amp;"*"</f>
        <v>*3042: Save Run File Issues*</v>
      </c>
      <c r="C1284">
        <f>COUNTIF(Monday!I:I, B1284)</f>
        <v>0</v>
      </c>
      <c r="D1284">
        <f>COUNTIF(Tuesday!I:I, B1284)</f>
        <v>0</v>
      </c>
      <c r="E1284">
        <f>COUNTIF(Wednesday!I:I, B1284)</f>
        <v>0</v>
      </c>
      <c r="F1284">
        <f>COUNTIF(Thursday!I:I, B1284)</f>
        <v>0</v>
      </c>
      <c r="G1284">
        <f>COUNTIF(Friday!I:I, B1284)</f>
        <v>0</v>
      </c>
      <c r="H1284">
        <f>SUM(C1284:G1284)</f>
        <v>0</v>
      </c>
    </row>
    <row r="1285" spans="1:8" x14ac:dyDescent="0.25">
      <c r="A1285" s="5" t="s">
        <v>1280</v>
      </c>
      <c r="B1285" t="str">
        <f>"*"&amp;A1285&amp;"*"</f>
        <v>*3045: System Settings Issue*</v>
      </c>
      <c r="C1285">
        <f>COUNTIF(Monday!I:I, B1285)</f>
        <v>0</v>
      </c>
      <c r="D1285">
        <f>COUNTIF(Tuesday!I:I, B1285)</f>
        <v>0</v>
      </c>
      <c r="E1285">
        <f>COUNTIF(Wednesday!I:I, B1285)</f>
        <v>0</v>
      </c>
      <c r="F1285">
        <f>COUNTIF(Thursday!I:I, B1285)</f>
        <v>0</v>
      </c>
      <c r="G1285">
        <f>COUNTIF(Friday!I:I, B1285)</f>
        <v>0</v>
      </c>
      <c r="H1285">
        <f>SUM(C1285:G1285)</f>
        <v>0</v>
      </c>
    </row>
    <row r="1286" spans="1:8" x14ac:dyDescent="0.25">
      <c r="A1286" s="5" t="s">
        <v>1281</v>
      </c>
      <c r="B1286" t="str">
        <f>"*"&amp;A1286&amp;"*"</f>
        <v>*3048: Unable To Connect To Local Network*</v>
      </c>
      <c r="C1286">
        <f>COUNTIF(Monday!I:I, B1286)</f>
        <v>0</v>
      </c>
      <c r="D1286">
        <f>COUNTIF(Tuesday!I:I, B1286)</f>
        <v>0</v>
      </c>
      <c r="E1286">
        <f>COUNTIF(Wednesday!I:I, B1286)</f>
        <v>0</v>
      </c>
      <c r="F1286">
        <f>COUNTIF(Thursday!I:I, B1286)</f>
        <v>0</v>
      </c>
      <c r="G1286">
        <f>COUNTIF(Friday!I:I, B1286)</f>
        <v>0</v>
      </c>
      <c r="H1286">
        <f>SUM(C1286:G1286)</f>
        <v>0</v>
      </c>
    </row>
    <row r="1287" spans="1:8" x14ac:dyDescent="0.25">
      <c r="A1287" s="5" t="s">
        <v>1282</v>
      </c>
      <c r="B1287" t="str">
        <f>"*"&amp;A1287&amp;"*"</f>
        <v>*3049: Unable To Restore Profile*</v>
      </c>
      <c r="C1287">
        <f>COUNTIF(Monday!I:I, B1287)</f>
        <v>0</v>
      </c>
      <c r="D1287">
        <f>COUNTIF(Tuesday!I:I, B1287)</f>
        <v>0</v>
      </c>
      <c r="E1287">
        <f>COUNTIF(Wednesday!I:I, B1287)</f>
        <v>0</v>
      </c>
      <c r="F1287">
        <f>COUNTIF(Thursday!I:I, B1287)</f>
        <v>0</v>
      </c>
      <c r="G1287">
        <f>COUNTIF(Friday!I:I, B1287)</f>
        <v>0</v>
      </c>
      <c r="H1287">
        <f>SUM(C1287:G1287)</f>
        <v>0</v>
      </c>
    </row>
    <row r="1288" spans="1:8" x14ac:dyDescent="0.25">
      <c r="A1288" s="5" t="s">
        <v>1283</v>
      </c>
      <c r="B1288" t="str">
        <f>"*"&amp;A1288&amp;"*"</f>
        <v>*3051: Unexpected Sleep Mode (Fault State)*</v>
      </c>
      <c r="C1288">
        <f>COUNTIF(Monday!I:I, B1288)</f>
        <v>0</v>
      </c>
      <c r="D1288">
        <f>COUNTIF(Tuesday!I:I, B1288)</f>
        <v>0</v>
      </c>
      <c r="E1288">
        <f>COUNTIF(Wednesday!I:I, B1288)</f>
        <v>0</v>
      </c>
      <c r="F1288">
        <f>COUNTIF(Thursday!I:I, B1288)</f>
        <v>0</v>
      </c>
      <c r="G1288">
        <f>COUNTIF(Friday!I:I, B1288)</f>
        <v>0</v>
      </c>
      <c r="H1288">
        <f>SUM(C1288:G1288)</f>
        <v>0</v>
      </c>
    </row>
    <row r="1289" spans="1:8" x14ac:dyDescent="0.25">
      <c r="A1289" s="5" t="s">
        <v>1284</v>
      </c>
      <c r="B1289" t="str">
        <f>"*"&amp;A1289&amp;"*"</f>
        <v>*3168: Fluids Are Known To Have Ingressed Into The Component/System*</v>
      </c>
      <c r="C1289">
        <f>COUNTIF(Monday!I:I, B1289)</f>
        <v>0</v>
      </c>
      <c r="D1289">
        <f>COUNTIF(Tuesday!I:I, B1289)</f>
        <v>0</v>
      </c>
      <c r="E1289">
        <f>COUNTIF(Wednesday!I:I, B1289)</f>
        <v>0</v>
      </c>
      <c r="F1289">
        <f>COUNTIF(Thursday!I:I, B1289)</f>
        <v>0</v>
      </c>
      <c r="G1289">
        <f>COUNTIF(Friday!I:I, B1289)</f>
        <v>0</v>
      </c>
      <c r="H1289">
        <f>SUM(C1289:G1289)</f>
        <v>0</v>
      </c>
    </row>
    <row r="1290" spans="1:8" x14ac:dyDescent="0.25">
      <c r="A1290" s="5" t="s">
        <v>1285</v>
      </c>
      <c r="B1290" t="str">
        <f>"*"&amp;A1290&amp;"*"</f>
        <v>*3169: Incorrect FFR/DFR Value Or Waveform Recorded*</v>
      </c>
      <c r="C1290">
        <f>COUNTIF(Monday!I:I, B1290)</f>
        <v>0</v>
      </c>
      <c r="D1290">
        <f>COUNTIF(Tuesday!I:I, B1290)</f>
        <v>0</v>
      </c>
      <c r="E1290">
        <f>COUNTIF(Wednesday!I:I, B1290)</f>
        <v>0</v>
      </c>
      <c r="F1290">
        <f>COUNTIF(Thursday!I:I, B1290)</f>
        <v>0</v>
      </c>
      <c r="G1290">
        <f>COUNTIF(Friday!I:I, B1290)</f>
        <v>0</v>
      </c>
      <c r="H1290">
        <f>SUM(C1290:G1290)</f>
        <v>0</v>
      </c>
    </row>
    <row r="1291" spans="1:8" x14ac:dyDescent="0.25">
      <c r="A1291" s="5" t="s">
        <v>1286</v>
      </c>
      <c r="B1291" t="str">
        <f>"*"&amp;A1291&amp;"*"</f>
        <v>*3170: Display DFR Value During Live Imaging Of DFR Run*</v>
      </c>
      <c r="C1291">
        <f>COUNTIF(Monday!I:I, B1291)</f>
        <v>0</v>
      </c>
      <c r="D1291">
        <f>COUNTIF(Tuesday!I:I, B1291)</f>
        <v>0</v>
      </c>
      <c r="E1291">
        <f>COUNTIF(Wednesday!I:I, B1291)</f>
        <v>0</v>
      </c>
      <c r="F1291">
        <f>COUNTIF(Thursday!I:I, B1291)</f>
        <v>0</v>
      </c>
      <c r="G1291">
        <f>COUNTIF(Friday!I:I, B1291)</f>
        <v>0</v>
      </c>
      <c r="H1291">
        <f>SUM(C1291:G1291)</f>
        <v>0</v>
      </c>
    </row>
    <row r="1292" spans="1:8" x14ac:dyDescent="0.25">
      <c r="A1292" s="5" t="s">
        <v>1287</v>
      </c>
      <c r="B1292" t="str">
        <f>"*"&amp;A1292&amp;"*"</f>
        <v>*3171: The System Records The FFR Data Being In DFR Mode*</v>
      </c>
      <c r="C1292">
        <f>COUNTIF(Monday!I:I, B1292)</f>
        <v>0</v>
      </c>
      <c r="D1292">
        <f>COUNTIF(Tuesday!I:I, B1292)</f>
        <v>0</v>
      </c>
      <c r="E1292">
        <f>COUNTIF(Wednesday!I:I, B1292)</f>
        <v>0</v>
      </c>
      <c r="F1292">
        <f>COUNTIF(Thursday!I:I, B1292)</f>
        <v>0</v>
      </c>
      <c r="G1292">
        <f>COUNTIF(Friday!I:I, B1292)</f>
        <v>0</v>
      </c>
      <c r="H1292">
        <f>SUM(C1292:G1292)</f>
        <v>0</v>
      </c>
    </row>
    <row r="1293" spans="1:8" x14ac:dyDescent="0.25">
      <c r="A1293" s="5" t="s">
        <v>1288</v>
      </c>
      <c r="B1293" t="str">
        <f>"*"&amp;A1293&amp;"*"</f>
        <v>*3172: DFR/FFR Value Not Displayed After Equalization*</v>
      </c>
      <c r="C1293">
        <f>COUNTIF(Monday!I:I, B1293)</f>
        <v>0</v>
      </c>
      <c r="D1293">
        <f>COUNTIF(Tuesday!I:I, B1293)</f>
        <v>0</v>
      </c>
      <c r="E1293">
        <f>COUNTIF(Wednesday!I:I, B1293)</f>
        <v>0</v>
      </c>
      <c r="F1293">
        <f>COUNTIF(Thursday!I:I, B1293)</f>
        <v>0</v>
      </c>
      <c r="G1293">
        <f>COUNTIF(Friday!I:I, B1293)</f>
        <v>0</v>
      </c>
      <c r="H1293">
        <f>SUM(C1293:G1293)</f>
        <v>0</v>
      </c>
    </row>
    <row r="1294" spans="1:8" x14ac:dyDescent="0.25">
      <c r="A1294" s="5" t="s">
        <v>1289</v>
      </c>
      <c r="B1294" t="str">
        <f>"*"&amp;A1294&amp;"*"</f>
        <v>*3173: Not Able To Select Imaging Modes During Recording*</v>
      </c>
      <c r="C1294">
        <f>COUNTIF(Monday!I:I, B1294)</f>
        <v>0</v>
      </c>
      <c r="D1294">
        <f>COUNTIF(Tuesday!I:I, B1294)</f>
        <v>0</v>
      </c>
      <c r="E1294">
        <f>COUNTIF(Wednesday!I:I, B1294)</f>
        <v>0</v>
      </c>
      <c r="F1294">
        <f>COUNTIF(Thursday!I:I, B1294)</f>
        <v>0</v>
      </c>
      <c r="G1294">
        <f>COUNTIF(Friday!I:I, B1294)</f>
        <v>0</v>
      </c>
      <c r="H1294">
        <f>SUM(C1294:G1294)</f>
        <v>0</v>
      </c>
    </row>
    <row r="1295" spans="1:8" x14ac:dyDescent="0.25">
      <c r="A1295" s="5" t="s">
        <v>1290</v>
      </c>
      <c r="B1295" t="str">
        <f>"*"&amp;A1295&amp;"*"</f>
        <v>*3174: Incorrect Pullback Speed Option Displayed*</v>
      </c>
      <c r="C1295">
        <f>COUNTIF(Monday!I:I, B1295)</f>
        <v>0</v>
      </c>
      <c r="D1295">
        <f>COUNTIF(Tuesday!I:I, B1295)</f>
        <v>0</v>
      </c>
      <c r="E1295">
        <f>COUNTIF(Wednesday!I:I, B1295)</f>
        <v>0</v>
      </c>
      <c r="F1295">
        <f>COUNTIF(Thursday!I:I, B1295)</f>
        <v>0</v>
      </c>
      <c r="G1295">
        <f>COUNTIF(Friday!I:I, B1295)</f>
        <v>0</v>
      </c>
      <c r="H1295">
        <f>SUM(C1295:G1295)</f>
        <v>0</v>
      </c>
    </row>
    <row r="1296" spans="1:8" x14ac:dyDescent="0.25">
      <c r="A1296" s="5" t="s">
        <v>1291</v>
      </c>
      <c r="B1296" t="str">
        <f>"*"&amp;A1296&amp;"*"</f>
        <v>*3175: The Reset Button Does Not Reset On The MDU*</v>
      </c>
      <c r="C1296">
        <f>COUNTIF(Monday!I:I, B1296)</f>
        <v>0</v>
      </c>
      <c r="D1296">
        <f>COUNTIF(Tuesday!I:I, B1296)</f>
        <v>0</v>
      </c>
      <c r="E1296">
        <f>COUNTIF(Wednesday!I:I, B1296)</f>
        <v>0</v>
      </c>
      <c r="F1296">
        <f>COUNTIF(Thursday!I:I, B1296)</f>
        <v>0</v>
      </c>
      <c r="G1296">
        <f>COUNTIF(Friday!I:I, B1296)</f>
        <v>0</v>
      </c>
      <c r="H1296">
        <f>SUM(C1296:G1296)</f>
        <v>0</v>
      </c>
    </row>
    <row r="1297" spans="1:8" x14ac:dyDescent="0.25">
      <c r="A1297" s="5" t="s">
        <v>1292</v>
      </c>
      <c r="B1297" t="str">
        <f>"*"&amp;A1297&amp;"*"</f>
        <v>*3176: Trace Assist Inaccurate/Inaccessible*</v>
      </c>
      <c r="C1297">
        <f>COUNTIF(Monday!I:I, B1297)</f>
        <v>0</v>
      </c>
      <c r="D1297">
        <f>COUNTIF(Tuesday!I:I, B1297)</f>
        <v>0</v>
      </c>
      <c r="E1297">
        <f>COUNTIF(Wednesday!I:I, B1297)</f>
        <v>0</v>
      </c>
      <c r="F1297">
        <f>COUNTIF(Thursday!I:I, B1297)</f>
        <v>0</v>
      </c>
      <c r="G1297">
        <f>COUNTIF(Friday!I:I, B1297)</f>
        <v>0</v>
      </c>
      <c r="H1297">
        <f>SUM(C1297:G1297)</f>
        <v>0</v>
      </c>
    </row>
    <row r="1298" spans="1:8" x14ac:dyDescent="0.25">
      <c r="A1298" s="5" t="s">
        <v>1293</v>
      </c>
      <c r="B1298" t="str">
        <f>"*"&amp;A1298&amp;"*"</f>
        <v>*3177: PC Or Components Damaged - External (Durability)*</v>
      </c>
      <c r="C1298">
        <f>COUNTIF(Monday!I:I, B1298)</f>
        <v>0</v>
      </c>
      <c r="D1298">
        <f>COUNTIF(Tuesday!I:I, B1298)</f>
        <v>0</v>
      </c>
      <c r="E1298">
        <f>COUNTIF(Wednesday!I:I, B1298)</f>
        <v>0</v>
      </c>
      <c r="F1298">
        <f>COUNTIF(Thursday!I:I, B1298)</f>
        <v>0</v>
      </c>
      <c r="G1298">
        <f>COUNTIF(Friday!I:I, B1298)</f>
        <v>0</v>
      </c>
      <c r="H1298">
        <f>SUM(C1298:G1298)</f>
        <v>0</v>
      </c>
    </row>
    <row r="1299" spans="1:8" x14ac:dyDescent="0.25">
      <c r="A1299" s="5" t="s">
        <v>1294</v>
      </c>
      <c r="B1299" t="str">
        <f>"*"&amp;A1299&amp;"*"</f>
        <v>*3179: Lost Image*</v>
      </c>
      <c r="C1299">
        <f>COUNTIF(Monday!I:I, B1299)</f>
        <v>0</v>
      </c>
      <c r="D1299">
        <f>COUNTIF(Tuesday!I:I, B1299)</f>
        <v>0</v>
      </c>
      <c r="E1299">
        <f>COUNTIF(Wednesday!I:I, B1299)</f>
        <v>0</v>
      </c>
      <c r="F1299">
        <f>COUNTIF(Thursday!I:I, B1299)</f>
        <v>0</v>
      </c>
      <c r="G1299">
        <f>COUNTIF(Friday!I:I, B1299)</f>
        <v>0</v>
      </c>
      <c r="H1299">
        <f>SUM(C1299:G1299)</f>
        <v>0</v>
      </c>
    </row>
    <row r="1300" spans="1:8" x14ac:dyDescent="0.25">
      <c r="A1300" s="5" t="s">
        <v>1295</v>
      </c>
      <c r="B1300" t="str">
        <f>"*"&amp;A1300&amp;"*"</f>
        <v>*3180: Message - Error 3053 - Difference Between PA And PD Waveforms During Equalization*</v>
      </c>
      <c r="C1300">
        <f>COUNTIF(Monday!I:I, B1300)</f>
        <v>0</v>
      </c>
      <c r="D1300">
        <f>COUNTIF(Tuesday!I:I, B1300)</f>
        <v>0</v>
      </c>
      <c r="E1300">
        <f>COUNTIF(Wednesday!I:I, B1300)</f>
        <v>0</v>
      </c>
      <c r="F1300">
        <f>COUNTIF(Thursday!I:I, B1300)</f>
        <v>0</v>
      </c>
      <c r="G1300">
        <f>COUNTIF(Friday!I:I, B1300)</f>
        <v>0</v>
      </c>
      <c r="H1300">
        <f>SUM(C1300:G1300)</f>
        <v>0</v>
      </c>
    </row>
    <row r="1301" spans="1:8" x14ac:dyDescent="0.25">
      <c r="A1301" s="5" t="s">
        <v>1296</v>
      </c>
      <c r="B1301" t="str">
        <f>"*"&amp;A1301&amp;"*"</f>
        <v>*3022: Enclosure Cracked*</v>
      </c>
      <c r="C1301">
        <f>COUNTIF(Monday!I:I, B1301)</f>
        <v>0</v>
      </c>
      <c r="D1301">
        <f>COUNTIF(Tuesday!I:I, B1301)</f>
        <v>0</v>
      </c>
      <c r="E1301">
        <f>COUNTIF(Wednesday!I:I, B1301)</f>
        <v>0</v>
      </c>
      <c r="F1301">
        <f>COUNTIF(Thursday!I:I, B1301)</f>
        <v>0</v>
      </c>
      <c r="G1301">
        <f>COUNTIF(Friday!I:I, B1301)</f>
        <v>0</v>
      </c>
      <c r="H1301">
        <f>SUM(C1301:G1301)</f>
        <v>0</v>
      </c>
    </row>
    <row r="1302" spans="1:8" x14ac:dyDescent="0.25">
      <c r="A1302" s="5" t="s">
        <v>1297</v>
      </c>
      <c r="B1302" t="str">
        <f>"*"&amp;A1302&amp;"*"</f>
        <v>*3035: Network Card Error*</v>
      </c>
      <c r="C1302">
        <f>COUNTIF(Monday!I:I, B1302)</f>
        <v>0</v>
      </c>
      <c r="D1302">
        <f>COUNTIF(Tuesday!I:I, B1302)</f>
        <v>0</v>
      </c>
      <c r="E1302">
        <f>COUNTIF(Wednesday!I:I, B1302)</f>
        <v>0</v>
      </c>
      <c r="F1302">
        <f>COUNTIF(Thursday!I:I, B1302)</f>
        <v>0</v>
      </c>
      <c r="G1302">
        <f>COUNTIF(Friday!I:I, B1302)</f>
        <v>0</v>
      </c>
      <c r="H1302">
        <f>SUM(C1302:G1302)</f>
        <v>0</v>
      </c>
    </row>
    <row r="1303" spans="1:8" x14ac:dyDescent="0.25">
      <c r="A1303" s="5" t="s">
        <v>1298</v>
      </c>
      <c r="B1303" t="str">
        <f>"*"&amp;A1303&amp;"*"</f>
        <v>*3047: Tablet Self Test Fails*</v>
      </c>
      <c r="C1303">
        <f>COUNTIF(Monday!I:I, B1303)</f>
        <v>0</v>
      </c>
      <c r="D1303">
        <f>COUNTIF(Tuesday!I:I, B1303)</f>
        <v>0</v>
      </c>
      <c r="E1303">
        <f>COUNTIF(Wednesday!I:I, B1303)</f>
        <v>0</v>
      </c>
      <c r="F1303">
        <f>COUNTIF(Thursday!I:I, B1303)</f>
        <v>0</v>
      </c>
      <c r="G1303">
        <f>COUNTIF(Friday!I:I, B1303)</f>
        <v>0</v>
      </c>
      <c r="H1303">
        <f>SUM(C1303:G1303)</f>
        <v>0</v>
      </c>
    </row>
    <row r="1304" spans="1:8" x14ac:dyDescent="0.25">
      <c r="A1304" s="5" t="s">
        <v>1299</v>
      </c>
      <c r="B1304" t="str">
        <f>"*"&amp;A1304&amp;"*"</f>
        <v>*3024: Highly Sensitive*</v>
      </c>
      <c r="C1304">
        <f>COUNTIF(Monday!I:I, B1304)</f>
        <v>0</v>
      </c>
      <c r="D1304">
        <f>COUNTIF(Tuesday!I:I, B1304)</f>
        <v>0</v>
      </c>
      <c r="E1304">
        <f>COUNTIF(Wednesday!I:I, B1304)</f>
        <v>0</v>
      </c>
      <c r="F1304">
        <f>COUNTIF(Thursday!I:I, B1304)</f>
        <v>0</v>
      </c>
      <c r="G1304">
        <f>COUNTIF(Friday!I:I, B1304)</f>
        <v>0</v>
      </c>
      <c r="H1304">
        <f>SUM(C1304:G1304)</f>
        <v>0</v>
      </c>
    </row>
    <row r="1305" spans="1:8" x14ac:dyDescent="0.25">
      <c r="A1305" s="5" t="s">
        <v>1300</v>
      </c>
      <c r="B1305" t="str">
        <f>"*"&amp;A1305&amp;"*"</f>
        <v>*1297: Difficult To Cross Septum*</v>
      </c>
      <c r="C1305">
        <f>COUNTIF(Monday!I:I, B1305)</f>
        <v>0</v>
      </c>
      <c r="D1305">
        <f>COUNTIF(Tuesday!I:I, B1305)</f>
        <v>0</v>
      </c>
      <c r="E1305">
        <f>COUNTIF(Wednesday!I:I, B1305)</f>
        <v>0</v>
      </c>
      <c r="F1305">
        <f>COUNTIF(Thursday!I:I, B1305)</f>
        <v>0</v>
      </c>
      <c r="G1305">
        <f>COUNTIF(Friday!I:I, B1305)</f>
        <v>0</v>
      </c>
      <c r="H1305">
        <f>SUM(C1305:G1305)</f>
        <v>0</v>
      </c>
    </row>
    <row r="1306" spans="1:8" x14ac:dyDescent="0.25">
      <c r="A1306" s="5" t="s">
        <v>1301</v>
      </c>
      <c r="B1306" t="str">
        <f>"*"&amp;A1306&amp;"*"</f>
        <v>*1692: Inadequate Snap Fit*</v>
      </c>
      <c r="C1306">
        <f>COUNTIF(Monday!I:I, B1306)</f>
        <v>0</v>
      </c>
      <c r="D1306">
        <f>COUNTIF(Tuesday!I:I, B1306)</f>
        <v>0</v>
      </c>
      <c r="E1306">
        <f>COUNTIF(Wednesday!I:I, B1306)</f>
        <v>0</v>
      </c>
      <c r="F1306">
        <f>COUNTIF(Thursday!I:I, B1306)</f>
        <v>0</v>
      </c>
      <c r="G1306">
        <f>COUNTIF(Friday!I:I, B1306)</f>
        <v>0</v>
      </c>
      <c r="H1306">
        <f>SUM(C1306:G1306)</f>
        <v>0</v>
      </c>
    </row>
    <row r="1307" spans="1:8" x14ac:dyDescent="0.25">
      <c r="A1307" s="5" t="s">
        <v>1302</v>
      </c>
      <c r="B1307" t="str">
        <f>"*"&amp;A1307&amp;"*"</f>
        <v>*1711: Incorrect Curve*</v>
      </c>
      <c r="C1307">
        <f>COUNTIF(Monday!I:I, B1307)</f>
        <v>0</v>
      </c>
      <c r="D1307">
        <f>COUNTIF(Tuesday!I:I, B1307)</f>
        <v>0</v>
      </c>
      <c r="E1307">
        <f>COUNTIF(Wednesday!I:I, B1307)</f>
        <v>0</v>
      </c>
      <c r="F1307">
        <f>COUNTIF(Thursday!I:I, B1307)</f>
        <v>0</v>
      </c>
      <c r="G1307">
        <f>COUNTIF(Friday!I:I, B1307)</f>
        <v>0</v>
      </c>
      <c r="H1307">
        <f>SUM(C1307:G1307)</f>
        <v>0</v>
      </c>
    </row>
    <row r="1308" spans="1:8" x14ac:dyDescent="0.25">
      <c r="A1308" s="5" t="s">
        <v>1303</v>
      </c>
      <c r="B1308" t="str">
        <f>"*"&amp;A1308&amp;"*"</f>
        <v>*1300: Difficult To Detach*</v>
      </c>
      <c r="C1308">
        <f>COUNTIF(Monday!I:I, B1308)</f>
        <v>0</v>
      </c>
      <c r="D1308">
        <f>COUNTIF(Tuesday!I:I, B1308)</f>
        <v>0</v>
      </c>
      <c r="E1308">
        <f>COUNTIF(Wednesday!I:I, B1308)</f>
        <v>0</v>
      </c>
      <c r="F1308">
        <f>COUNTIF(Thursday!I:I, B1308)</f>
        <v>0</v>
      </c>
      <c r="G1308">
        <f>COUNTIF(Friday!I:I, B1308)</f>
        <v>0</v>
      </c>
      <c r="H1308">
        <f>SUM(C1308:G1308)</f>
        <v>0</v>
      </c>
    </row>
    <row r="1309" spans="1:8" x14ac:dyDescent="0.25">
      <c r="A1309" s="5" t="s">
        <v>1304</v>
      </c>
      <c r="B1309" t="str">
        <f>"*"&amp;A1309&amp;"*"</f>
        <v>*2499: Implant Movement/Shift*</v>
      </c>
      <c r="C1309">
        <f>COUNTIF(Monday!I:I, B1309)</f>
        <v>0</v>
      </c>
      <c r="D1309">
        <f>COUNTIF(Tuesday!I:I, B1309)</f>
        <v>0</v>
      </c>
      <c r="E1309">
        <f>COUNTIF(Wednesday!I:I, B1309)</f>
        <v>0</v>
      </c>
      <c r="F1309">
        <f>COUNTIF(Thursday!I:I, B1309)</f>
        <v>0</v>
      </c>
      <c r="G1309">
        <f>COUNTIF(Friday!I:I, B1309)</f>
        <v>0</v>
      </c>
      <c r="H1309">
        <f>SUM(C1309:G1309)</f>
        <v>0</v>
      </c>
    </row>
    <row r="1310" spans="1:8" x14ac:dyDescent="0.25">
      <c r="A1310" s="5" t="s">
        <v>1305</v>
      </c>
      <c r="B1310" t="str">
        <f>"*"&amp;A1310&amp;"*"</f>
        <v>*1270: Did Not Seal*</v>
      </c>
      <c r="C1310">
        <f>COUNTIF(Monday!I:I, B1310)</f>
        <v>0</v>
      </c>
      <c r="D1310">
        <f>COUNTIF(Tuesday!I:I, B1310)</f>
        <v>0</v>
      </c>
      <c r="E1310">
        <f>COUNTIF(Wednesday!I:I, B1310)</f>
        <v>0</v>
      </c>
      <c r="F1310">
        <f>COUNTIF(Thursday!I:I, B1310)</f>
        <v>0</v>
      </c>
      <c r="G1310">
        <f>COUNTIF(Friday!I:I, B1310)</f>
        <v>0</v>
      </c>
      <c r="H1310">
        <f>SUM(C1310:G1310)</f>
        <v>0</v>
      </c>
    </row>
    <row r="1311" spans="1:8" x14ac:dyDescent="0.25">
      <c r="A1311" s="5" t="s">
        <v>1306</v>
      </c>
      <c r="B1311" t="str">
        <f>"*"&amp;A1311&amp;"*"</f>
        <v>*1447: Embolization*</v>
      </c>
      <c r="C1311">
        <f>COUNTIF(Monday!I:I, B1311)</f>
        <v>0</v>
      </c>
      <c r="D1311">
        <f>COUNTIF(Tuesday!I:I, B1311)</f>
        <v>0</v>
      </c>
      <c r="E1311">
        <f>COUNTIF(Wednesday!I:I, B1311)</f>
        <v>0</v>
      </c>
      <c r="F1311">
        <f>COUNTIF(Thursday!I:I, B1311)</f>
        <v>0</v>
      </c>
      <c r="G1311">
        <f>COUNTIF(Friday!I:I, B1311)</f>
        <v>0</v>
      </c>
      <c r="H1311">
        <f>SUM(C1311:G1311)</f>
        <v>0</v>
      </c>
    </row>
    <row r="1312" spans="1:8" x14ac:dyDescent="0.25">
      <c r="A1312" s="5" t="s">
        <v>1307</v>
      </c>
      <c r="B1312" t="str">
        <f>"*"&amp;A1312&amp;"*"</f>
        <v>*1544: Failure To Meet Anchor Criteria*</v>
      </c>
      <c r="C1312">
        <f>COUNTIF(Monday!I:I, B1312)</f>
        <v>0</v>
      </c>
      <c r="D1312">
        <f>COUNTIF(Tuesday!I:I, B1312)</f>
        <v>0</v>
      </c>
      <c r="E1312">
        <f>COUNTIF(Wednesday!I:I, B1312)</f>
        <v>0</v>
      </c>
      <c r="F1312">
        <f>COUNTIF(Thursday!I:I, B1312)</f>
        <v>0</v>
      </c>
      <c r="G1312">
        <f>COUNTIF(Friday!I:I, B1312)</f>
        <v>0</v>
      </c>
      <c r="H1312">
        <f>SUM(C1312:G1312)</f>
        <v>0</v>
      </c>
    </row>
    <row r="1313" spans="1:8" x14ac:dyDescent="0.25">
      <c r="A1313" s="5" t="s">
        <v>1308</v>
      </c>
      <c r="B1313" t="str">
        <f>"*"&amp;A1313&amp;"*"</f>
        <v>*3137: Implant Movement/Shift/Shape Change*</v>
      </c>
      <c r="C1313">
        <f>COUNTIF(Monday!I:I, B1313)</f>
        <v>0</v>
      </c>
      <c r="D1313">
        <f>COUNTIF(Tuesday!I:I, B1313)</f>
        <v>0</v>
      </c>
      <c r="E1313">
        <f>COUNTIF(Wednesday!I:I, B1313)</f>
        <v>0</v>
      </c>
      <c r="F1313">
        <f>COUNTIF(Thursday!I:I, B1313)</f>
        <v>0</v>
      </c>
      <c r="G1313">
        <f>COUNTIF(Friday!I:I, B1313)</f>
        <v>0</v>
      </c>
      <c r="H1313">
        <f>SUM(C1313:G1313)</f>
        <v>0</v>
      </c>
    </row>
    <row r="1314" spans="1:8" x14ac:dyDescent="0.25">
      <c r="A1314" s="5" t="s">
        <v>1309</v>
      </c>
      <c r="B1314" t="str">
        <f>"*"&amp;A1314&amp;"*"</f>
        <v>*2357: Stopped Working*</v>
      </c>
      <c r="C1314">
        <f>COUNTIF(Monday!I:I, B1314)</f>
        <v>0</v>
      </c>
      <c r="D1314">
        <f>COUNTIF(Tuesday!I:I, B1314)</f>
        <v>0</v>
      </c>
      <c r="E1314">
        <f>COUNTIF(Wednesday!I:I, B1314)</f>
        <v>0</v>
      </c>
      <c r="F1314">
        <f>COUNTIF(Thursday!I:I, B1314)</f>
        <v>0</v>
      </c>
      <c r="G1314">
        <f>COUNTIF(Friday!I:I, B1314)</f>
        <v>0</v>
      </c>
      <c r="H1314">
        <f>SUM(C1314:G1314)</f>
        <v>0</v>
      </c>
    </row>
    <row r="1315" spans="1:8" x14ac:dyDescent="0.25">
      <c r="A1315" s="5" t="s">
        <v>1310</v>
      </c>
      <c r="B1315" t="str">
        <f>"*"&amp;A1315&amp;"*"</f>
        <v>*3272: Wrong Size Connector*</v>
      </c>
      <c r="C1315">
        <f>COUNTIF(Monday!I:I, B1315)</f>
        <v>0</v>
      </c>
      <c r="D1315">
        <f>COUNTIF(Tuesday!I:I, B1315)</f>
        <v>0</v>
      </c>
      <c r="E1315">
        <f>COUNTIF(Wednesday!I:I, B1315)</f>
        <v>0</v>
      </c>
      <c r="F1315">
        <f>COUNTIF(Thursday!I:I, B1315)</f>
        <v>0</v>
      </c>
      <c r="G1315">
        <f>COUNTIF(Friday!I:I, B1315)</f>
        <v>0</v>
      </c>
      <c r="H1315">
        <f>SUM(C1315:G1315)</f>
        <v>0</v>
      </c>
    </row>
    <row r="1316" spans="1:8" x14ac:dyDescent="0.25">
      <c r="A1316" s="5" t="s">
        <v>1311</v>
      </c>
      <c r="B1316" t="str">
        <f>"*"&amp;A1316&amp;"*"</f>
        <v>*1071: Cannula/Needle Appears Bent Beyond Spec*</v>
      </c>
      <c r="C1316">
        <f>COUNTIF(Monday!I:I, B1316)</f>
        <v>0</v>
      </c>
      <c r="D1316">
        <f>COUNTIF(Tuesday!I:I, B1316)</f>
        <v>0</v>
      </c>
      <c r="E1316">
        <f>COUNTIF(Wednesday!I:I, B1316)</f>
        <v>0</v>
      </c>
      <c r="F1316">
        <f>COUNTIF(Thursday!I:I, B1316)</f>
        <v>0</v>
      </c>
      <c r="G1316">
        <f>COUNTIF(Friday!I:I, B1316)</f>
        <v>0</v>
      </c>
      <c r="H1316">
        <f>SUM(C1316:G1316)</f>
        <v>0</v>
      </c>
    </row>
    <row r="1317" spans="1:8" x14ac:dyDescent="0.25">
      <c r="A1317" s="5" t="s">
        <v>1312</v>
      </c>
      <c r="B1317" t="str">
        <f>"*"&amp;A1317&amp;"*"</f>
        <v>*1445: Electrode Not Heating Up*</v>
      </c>
      <c r="C1317">
        <f>COUNTIF(Monday!I:I, B1317)</f>
        <v>0</v>
      </c>
      <c r="D1317">
        <f>COUNTIF(Tuesday!I:I, B1317)</f>
        <v>0</v>
      </c>
      <c r="E1317">
        <f>COUNTIF(Wednesday!I:I, B1317)</f>
        <v>0</v>
      </c>
      <c r="F1317">
        <f>COUNTIF(Thursday!I:I, B1317)</f>
        <v>0</v>
      </c>
      <c r="G1317">
        <f>COUNTIF(Friday!I:I, B1317)</f>
        <v>0</v>
      </c>
      <c r="H1317">
        <f>SUM(C1317:G1317)</f>
        <v>0</v>
      </c>
    </row>
    <row r="1318" spans="1:8" x14ac:dyDescent="0.25">
      <c r="A1318" s="5" t="s">
        <v>1313</v>
      </c>
      <c r="B1318" t="str">
        <f>"*"&amp;A1318&amp;"*"</f>
        <v>*2730: Temperature Reading Issue*</v>
      </c>
      <c r="C1318">
        <f>COUNTIF(Monday!I:I, B1318)</f>
        <v>0</v>
      </c>
      <c r="D1318">
        <f>COUNTIF(Tuesday!I:I, B1318)</f>
        <v>0</v>
      </c>
      <c r="E1318">
        <f>COUNTIF(Wednesday!I:I, B1318)</f>
        <v>0</v>
      </c>
      <c r="F1318">
        <f>COUNTIF(Thursday!I:I, B1318)</f>
        <v>0</v>
      </c>
      <c r="G1318">
        <f>COUNTIF(Friday!I:I, B1318)</f>
        <v>0</v>
      </c>
      <c r="H1318">
        <f>SUM(C1318:G1318)</f>
        <v>0</v>
      </c>
    </row>
    <row r="1319" spans="1:8" x14ac:dyDescent="0.25">
      <c r="A1319" s="5" t="s">
        <v>1314</v>
      </c>
      <c r="B1319" t="str">
        <f>"*"&amp;A1319&amp;"*"</f>
        <v>*1184: Desired Temperature Not Reached*</v>
      </c>
      <c r="C1319">
        <f>COUNTIF(Monday!I:I, B1319)</f>
        <v>0</v>
      </c>
      <c r="D1319">
        <f>COUNTIF(Tuesday!I:I, B1319)</f>
        <v>0</v>
      </c>
      <c r="E1319">
        <f>COUNTIF(Wednesday!I:I, B1319)</f>
        <v>0</v>
      </c>
      <c r="F1319">
        <f>COUNTIF(Thursday!I:I, B1319)</f>
        <v>0</v>
      </c>
      <c r="G1319">
        <f>COUNTIF(Friday!I:I, B1319)</f>
        <v>0</v>
      </c>
      <c r="H1319">
        <f>SUM(C1319:G1319)</f>
        <v>0</v>
      </c>
    </row>
    <row r="1320" spans="1:8" x14ac:dyDescent="0.25">
      <c r="A1320" s="5" t="s">
        <v>1315</v>
      </c>
      <c r="B1320" t="str">
        <f>"*"&amp;A1320&amp;"*"</f>
        <v>*2110: No Temperature Display*</v>
      </c>
      <c r="C1320">
        <f>COUNTIF(Monday!I:I, B1320)</f>
        <v>0</v>
      </c>
      <c r="D1320">
        <f>COUNTIF(Tuesday!I:I, B1320)</f>
        <v>0</v>
      </c>
      <c r="E1320">
        <f>COUNTIF(Wednesday!I:I, B1320)</f>
        <v>0</v>
      </c>
      <c r="F1320">
        <f>COUNTIF(Thursday!I:I, B1320)</f>
        <v>0</v>
      </c>
      <c r="G1320">
        <f>COUNTIF(Friday!I:I, B1320)</f>
        <v>0</v>
      </c>
      <c r="H1320">
        <f>SUM(C1320:G1320)</f>
        <v>0</v>
      </c>
    </row>
    <row r="1321" spans="1:8" x14ac:dyDescent="0.25">
      <c r="A1321" s="5" t="s">
        <v>1316</v>
      </c>
      <c r="B1321" t="str">
        <f>"*"&amp;A1321&amp;"*"</f>
        <v>*2360: Stopped Working - Touchscreen*</v>
      </c>
      <c r="C1321">
        <f>COUNTIF(Monday!I:I, B1321)</f>
        <v>0</v>
      </c>
      <c r="D1321">
        <f>COUNTIF(Tuesday!I:I, B1321)</f>
        <v>0</v>
      </c>
      <c r="E1321">
        <f>COUNTIF(Wednesday!I:I, B1321)</f>
        <v>0</v>
      </c>
      <c r="F1321">
        <f>COUNTIF(Thursday!I:I, B1321)</f>
        <v>0</v>
      </c>
      <c r="G1321">
        <f>COUNTIF(Friday!I:I, B1321)</f>
        <v>0</v>
      </c>
      <c r="H1321">
        <f>SUM(C1321:G1321)</f>
        <v>0</v>
      </c>
    </row>
    <row r="1322" spans="1:8" x14ac:dyDescent="0.25">
      <c r="A1322" s="5" t="s">
        <v>1317</v>
      </c>
      <c r="B1322" t="str">
        <f>"*"&amp;A1322&amp;"*"</f>
        <v>*2403: Temperature Reading Intermittent*</v>
      </c>
      <c r="C1322">
        <f>COUNTIF(Monday!I:I, B1322)</f>
        <v>0</v>
      </c>
      <c r="D1322">
        <f>COUNTIF(Tuesday!I:I, B1322)</f>
        <v>0</v>
      </c>
      <c r="E1322">
        <f>COUNTIF(Wednesday!I:I, B1322)</f>
        <v>0</v>
      </c>
      <c r="F1322">
        <f>COUNTIF(Thursday!I:I, B1322)</f>
        <v>0</v>
      </c>
      <c r="G1322">
        <f>COUNTIF(Friday!I:I, B1322)</f>
        <v>0</v>
      </c>
      <c r="H1322">
        <f>SUM(C1322:G1322)</f>
        <v>0</v>
      </c>
    </row>
    <row r="1323" spans="1:8" x14ac:dyDescent="0.25">
      <c r="A1323" s="5" t="s">
        <v>1318</v>
      </c>
      <c r="B1323" t="str">
        <f>"*"&amp;A1323&amp;"*"</f>
        <v>*3241: Calibration Is Expired*</v>
      </c>
      <c r="C1323">
        <f>COUNTIF(Monday!I:I, B1323)</f>
        <v>0</v>
      </c>
      <c r="D1323">
        <f>COUNTIF(Tuesday!I:I, B1323)</f>
        <v>0</v>
      </c>
      <c r="E1323">
        <f>COUNTIF(Wednesday!I:I, B1323)</f>
        <v>0</v>
      </c>
      <c r="F1323">
        <f>COUNTIF(Thursday!I:I, B1323)</f>
        <v>0</v>
      </c>
      <c r="G1323">
        <f>COUNTIF(Friday!I:I, B1323)</f>
        <v>0</v>
      </c>
      <c r="H1323">
        <f>SUM(C1323:G1323)</f>
        <v>0</v>
      </c>
    </row>
    <row r="1324" spans="1:8" x14ac:dyDescent="0.25">
      <c r="A1324" s="5" t="s">
        <v>1319</v>
      </c>
      <c r="B1324" t="str">
        <f>"*"&amp;A1324&amp;"*"</f>
        <v>*3262: Failure To Power-Up Display*</v>
      </c>
      <c r="C1324">
        <f>COUNTIF(Monday!I:I, B1324)</f>
        <v>0</v>
      </c>
      <c r="D1324">
        <f>COUNTIF(Tuesday!I:I, B1324)</f>
        <v>0</v>
      </c>
      <c r="E1324">
        <f>COUNTIF(Wednesday!I:I, B1324)</f>
        <v>0</v>
      </c>
      <c r="F1324">
        <f>COUNTIF(Thursday!I:I, B1324)</f>
        <v>0</v>
      </c>
      <c r="G1324">
        <f>COUNTIF(Friday!I:I, B1324)</f>
        <v>0</v>
      </c>
      <c r="H1324">
        <f>SUM(C1324:G1324)</f>
        <v>0</v>
      </c>
    </row>
    <row r="1325" spans="1:8" x14ac:dyDescent="0.25">
      <c r="A1325" s="5" t="s">
        <v>1320</v>
      </c>
      <c r="B1325" t="str">
        <f>"*"&amp;A1325&amp;"*"</f>
        <v>*3264: Intermittent Impedance*</v>
      </c>
      <c r="C1325">
        <f>COUNTIF(Monday!I:I, B1325)</f>
        <v>0</v>
      </c>
      <c r="D1325">
        <f>COUNTIF(Tuesday!I:I, B1325)</f>
        <v>0</v>
      </c>
      <c r="E1325">
        <f>COUNTIF(Wednesday!I:I, B1325)</f>
        <v>0</v>
      </c>
      <c r="F1325">
        <f>COUNTIF(Thursday!I:I, B1325)</f>
        <v>0</v>
      </c>
      <c r="G1325">
        <f>COUNTIF(Friday!I:I, B1325)</f>
        <v>0</v>
      </c>
      <c r="H1325">
        <f>SUM(C1325:G1325)</f>
        <v>0</v>
      </c>
    </row>
    <row r="1326" spans="1:8" x14ac:dyDescent="0.25">
      <c r="A1326" s="5" t="s">
        <v>1321</v>
      </c>
      <c r="B1326" t="str">
        <f>"*"&amp;A1326&amp;"*"</f>
        <v>*3271: Temperature Reading Is Inaccurate*</v>
      </c>
      <c r="C1326">
        <f>COUNTIF(Monday!I:I, B1326)</f>
        <v>0</v>
      </c>
      <c r="D1326">
        <f>COUNTIF(Tuesday!I:I, B1326)</f>
        <v>0</v>
      </c>
      <c r="E1326">
        <f>COUNTIF(Wednesday!I:I, B1326)</f>
        <v>0</v>
      </c>
      <c r="F1326">
        <f>COUNTIF(Thursday!I:I, B1326)</f>
        <v>0</v>
      </c>
      <c r="G1326">
        <f>COUNTIF(Friday!I:I, B1326)</f>
        <v>0</v>
      </c>
      <c r="H1326">
        <f>SUM(C1326:G1326)</f>
        <v>0</v>
      </c>
    </row>
    <row r="1327" spans="1:8" x14ac:dyDescent="0.25">
      <c r="A1327" s="5" t="s">
        <v>1322</v>
      </c>
      <c r="B1327" t="str">
        <f>"*"&amp;A1327&amp;"*"</f>
        <v>*2431: Unable To Remove Needle From Cannula*</v>
      </c>
      <c r="C1327">
        <f>COUNTIF(Monday!I:I, B1327)</f>
        <v>0</v>
      </c>
      <c r="D1327">
        <f>COUNTIF(Tuesday!I:I, B1327)</f>
        <v>0</v>
      </c>
      <c r="E1327">
        <f>COUNTIF(Wednesday!I:I, B1327)</f>
        <v>0</v>
      </c>
      <c r="F1327">
        <f>COUNTIF(Thursday!I:I, B1327)</f>
        <v>0</v>
      </c>
      <c r="G1327">
        <f>COUNTIF(Friday!I:I, B1327)</f>
        <v>0</v>
      </c>
      <c r="H1327">
        <f>SUM(C1327:G1327)</f>
        <v>0</v>
      </c>
    </row>
    <row r="1328" spans="1:8" x14ac:dyDescent="0.25">
      <c r="A1328" s="5" t="s">
        <v>1323</v>
      </c>
      <c r="B1328" t="str">
        <f>"*"&amp;A1328&amp;"*"</f>
        <v>*1376: Difficult To Use Device*</v>
      </c>
      <c r="C1328">
        <f>COUNTIF(Monday!I:I, B1328)</f>
        <v>0</v>
      </c>
      <c r="D1328">
        <f>COUNTIF(Tuesday!I:I, B1328)</f>
        <v>0</v>
      </c>
      <c r="E1328">
        <f>COUNTIF(Wednesday!I:I, B1328)</f>
        <v>0</v>
      </c>
      <c r="F1328">
        <f>COUNTIF(Thursday!I:I, B1328)</f>
        <v>0</v>
      </c>
      <c r="G1328">
        <f>COUNTIF(Friday!I:I, B1328)</f>
        <v>0</v>
      </c>
      <c r="H1328">
        <f>SUM(C1328:G1328)</f>
        <v>0</v>
      </c>
    </row>
    <row r="1329" spans="1:8" x14ac:dyDescent="0.25">
      <c r="A1329" s="5" t="s">
        <v>1324</v>
      </c>
      <c r="B1329" t="str">
        <f>"*"&amp;A1329&amp;"*"</f>
        <v>*1311: Difficult To Insert Lead In Needle*</v>
      </c>
      <c r="C1329">
        <f>COUNTIF(Monday!I:I, B1329)</f>
        <v>0</v>
      </c>
      <c r="D1329">
        <f>COUNTIF(Tuesday!I:I, B1329)</f>
        <v>0</v>
      </c>
      <c r="E1329">
        <f>COUNTIF(Wednesday!I:I, B1329)</f>
        <v>0</v>
      </c>
      <c r="F1329">
        <f>COUNTIF(Thursday!I:I, B1329)</f>
        <v>0</v>
      </c>
      <c r="G1329">
        <f>COUNTIF(Friday!I:I, B1329)</f>
        <v>0</v>
      </c>
      <c r="H1329">
        <f>SUM(C1329:G1329)</f>
        <v>0</v>
      </c>
    </row>
    <row r="1330" spans="1:8" x14ac:dyDescent="0.25">
      <c r="A1330" s="5" t="s">
        <v>1325</v>
      </c>
      <c r="B1330" t="str">
        <f>"*"&amp;A1330&amp;"*"</f>
        <v>*1319: Difficult To Insert Stylet*</v>
      </c>
      <c r="C1330">
        <f>COUNTIF(Monday!I:I, B1330)</f>
        <v>0</v>
      </c>
      <c r="D1330">
        <f>COUNTIF(Tuesday!I:I, B1330)</f>
        <v>0</v>
      </c>
      <c r="E1330">
        <f>COUNTIF(Wednesday!I:I, B1330)</f>
        <v>0</v>
      </c>
      <c r="F1330">
        <f>COUNTIF(Thursday!I:I, B1330)</f>
        <v>0</v>
      </c>
      <c r="G1330">
        <f>COUNTIF(Friday!I:I, B1330)</f>
        <v>0</v>
      </c>
      <c r="H1330">
        <f>SUM(C1330:G1330)</f>
        <v>0</v>
      </c>
    </row>
    <row r="1331" spans="1:8" x14ac:dyDescent="0.25">
      <c r="A1331" s="5" t="s">
        <v>1326</v>
      </c>
      <c r="B1331" t="str">
        <f>"*"&amp;A1331&amp;"*"</f>
        <v>*1352: Difficult To Remove Stylet*</v>
      </c>
      <c r="C1331">
        <f>COUNTIF(Monday!I:I, B1331)</f>
        <v>0</v>
      </c>
      <c r="D1331">
        <f>COUNTIF(Tuesday!I:I, B1331)</f>
        <v>0</v>
      </c>
      <c r="E1331">
        <f>COUNTIF(Wednesday!I:I, B1331)</f>
        <v>0</v>
      </c>
      <c r="F1331">
        <f>COUNTIF(Thursday!I:I, B1331)</f>
        <v>0</v>
      </c>
      <c r="G1331">
        <f>COUNTIF(Friday!I:I, B1331)</f>
        <v>0</v>
      </c>
      <c r="H1331">
        <f>SUM(C1331:G1331)</f>
        <v>0</v>
      </c>
    </row>
    <row r="1332" spans="1:8" x14ac:dyDescent="0.25">
      <c r="A1332" s="5" t="s">
        <v>1327</v>
      </c>
      <c r="B1332" t="str">
        <f>"*"&amp;A1332&amp;"*"</f>
        <v>*2376: Stylet Punctures And Protrudes Through The Lead*</v>
      </c>
      <c r="C1332">
        <f>COUNTIF(Monday!I:I, B1332)</f>
        <v>0</v>
      </c>
      <c r="D1332">
        <f>COUNTIF(Tuesday!I:I, B1332)</f>
        <v>0</v>
      </c>
      <c r="E1332">
        <f>COUNTIF(Wednesday!I:I, B1332)</f>
        <v>0</v>
      </c>
      <c r="F1332">
        <f>COUNTIF(Thursday!I:I, B1332)</f>
        <v>0</v>
      </c>
      <c r="G1332">
        <f>COUNTIF(Friday!I:I, B1332)</f>
        <v>0</v>
      </c>
      <c r="H1332">
        <f>SUM(C1332:G1332)</f>
        <v>0</v>
      </c>
    </row>
    <row r="1333" spans="1:8" x14ac:dyDescent="0.25">
      <c r="A1333" s="5" t="s">
        <v>1328</v>
      </c>
      <c r="B1333" t="str">
        <f>"*"&amp;A1333&amp;"*"</f>
        <v>*1366: Difficult To Tighten IPG Setscrew*</v>
      </c>
      <c r="C1333">
        <f>COUNTIF(Monday!I:I, B1333)</f>
        <v>0</v>
      </c>
      <c r="D1333">
        <f>COUNTIF(Tuesday!I:I, B1333)</f>
        <v>0</v>
      </c>
      <c r="E1333">
        <f>COUNTIF(Wednesday!I:I, B1333)</f>
        <v>0</v>
      </c>
      <c r="F1333">
        <f>COUNTIF(Thursday!I:I, B1333)</f>
        <v>0</v>
      </c>
      <c r="G1333">
        <f>COUNTIF(Friday!I:I, B1333)</f>
        <v>0</v>
      </c>
      <c r="H1333">
        <f>SUM(C1333:G1333)</f>
        <v>0</v>
      </c>
    </row>
    <row r="1334" spans="1:8" x14ac:dyDescent="0.25">
      <c r="A1334" s="5" t="s">
        <v>1329</v>
      </c>
      <c r="B1334" t="str">
        <f>"*"&amp;A1334&amp;"*"</f>
        <v>*1056: BSN Representative Requests Training*</v>
      </c>
      <c r="C1334">
        <f>COUNTIF(Monday!I:I, B1334)</f>
        <v>0</v>
      </c>
      <c r="D1334">
        <f>COUNTIF(Tuesday!I:I, B1334)</f>
        <v>0</v>
      </c>
      <c r="E1334">
        <f>COUNTIF(Wednesday!I:I, B1334)</f>
        <v>0</v>
      </c>
      <c r="F1334">
        <f>COUNTIF(Thursday!I:I, B1334)</f>
        <v>0</v>
      </c>
      <c r="G1334">
        <f>COUNTIF(Friday!I:I, B1334)</f>
        <v>0</v>
      </c>
      <c r="H1334">
        <f>SUM(C1334:G1334)</f>
        <v>0</v>
      </c>
    </row>
    <row r="1335" spans="1:8" x14ac:dyDescent="0.25">
      <c r="A1335" s="5" t="s">
        <v>1330</v>
      </c>
      <c r="B1335" t="str">
        <f>"*"&amp;A1335&amp;"*"</f>
        <v>*1124: Complaint About BSC Company Rep*</v>
      </c>
      <c r="C1335">
        <f>COUNTIF(Monday!I:I, B1335)</f>
        <v>0</v>
      </c>
      <c r="D1335">
        <f>COUNTIF(Tuesday!I:I, B1335)</f>
        <v>0</v>
      </c>
      <c r="E1335">
        <f>COUNTIF(Wednesday!I:I, B1335)</f>
        <v>0</v>
      </c>
      <c r="F1335">
        <f>COUNTIF(Thursday!I:I, B1335)</f>
        <v>0</v>
      </c>
      <c r="G1335">
        <f>COUNTIF(Friday!I:I, B1335)</f>
        <v>0</v>
      </c>
      <c r="H1335">
        <f>SUM(C1335:G1335)</f>
        <v>0</v>
      </c>
    </row>
    <row r="1336" spans="1:8" x14ac:dyDescent="0.25">
      <c r="A1336" s="5" t="s">
        <v>1331</v>
      </c>
      <c r="B1336" t="str">
        <f>"*"&amp;A1336&amp;"*"</f>
        <v>*1125: Complaint About Doctor*</v>
      </c>
      <c r="C1336">
        <f>COUNTIF(Monday!I:I, B1336)</f>
        <v>0</v>
      </c>
      <c r="D1336">
        <f>COUNTIF(Tuesday!I:I, B1336)</f>
        <v>0</v>
      </c>
      <c r="E1336">
        <f>COUNTIF(Wednesday!I:I, B1336)</f>
        <v>0</v>
      </c>
      <c r="F1336">
        <f>COUNTIF(Thursday!I:I, B1336)</f>
        <v>0</v>
      </c>
      <c r="G1336">
        <f>COUNTIF(Friday!I:I, B1336)</f>
        <v>0</v>
      </c>
      <c r="H1336">
        <f>SUM(C1336:G1336)</f>
        <v>0</v>
      </c>
    </row>
    <row r="1337" spans="1:8" x14ac:dyDescent="0.25">
      <c r="A1337" s="5" t="s">
        <v>1332</v>
      </c>
      <c r="B1337" t="str">
        <f>"*"&amp;A1337&amp;"*"</f>
        <v>*1170: Defective*</v>
      </c>
      <c r="C1337">
        <f>COUNTIF(Monday!I:I, B1337)</f>
        <v>0</v>
      </c>
      <c r="D1337">
        <f>COUNTIF(Tuesday!I:I, B1337)</f>
        <v>0</v>
      </c>
      <c r="E1337">
        <f>COUNTIF(Wednesday!I:I, B1337)</f>
        <v>0</v>
      </c>
      <c r="F1337">
        <f>COUNTIF(Thursday!I:I, B1337)</f>
        <v>0</v>
      </c>
      <c r="G1337">
        <f>COUNTIF(Friday!I:I, B1337)</f>
        <v>0</v>
      </c>
      <c r="H1337">
        <f>SUM(C1337:G1337)</f>
        <v>0</v>
      </c>
    </row>
    <row r="1338" spans="1:8" x14ac:dyDescent="0.25">
      <c r="A1338" s="5" t="s">
        <v>1333</v>
      </c>
      <c r="B1338" t="str">
        <f>"*"&amp;A1338&amp;"*"</f>
        <v>*1177: Delivered As Unsterile Product*</v>
      </c>
      <c r="C1338">
        <f>COUNTIF(Monday!I:I, B1338)</f>
        <v>0</v>
      </c>
      <c r="D1338">
        <f>COUNTIF(Tuesday!I:I, B1338)</f>
        <v>0</v>
      </c>
      <c r="E1338">
        <f>COUNTIF(Wednesday!I:I, B1338)</f>
        <v>0</v>
      </c>
      <c r="F1338">
        <f>COUNTIF(Thursday!I:I, B1338)</f>
        <v>0</v>
      </c>
      <c r="G1338">
        <f>COUNTIF(Friday!I:I, B1338)</f>
        <v>0</v>
      </c>
      <c r="H1338">
        <f>SUM(C1338:G1338)</f>
        <v>0</v>
      </c>
    </row>
    <row r="1339" spans="1:8" x14ac:dyDescent="0.25">
      <c r="A1339" s="5" t="s">
        <v>1334</v>
      </c>
      <c r="B1339" t="str">
        <f>"*"&amp;A1339&amp;"*"</f>
        <v>*1249: Device Dropped In OR*</v>
      </c>
      <c r="C1339">
        <f>COUNTIF(Monday!I:I, B1339)</f>
        <v>0</v>
      </c>
      <c r="D1339">
        <f>COUNTIF(Tuesday!I:I, B1339)</f>
        <v>0</v>
      </c>
      <c r="E1339">
        <f>COUNTIF(Wednesday!I:I, B1339)</f>
        <v>0</v>
      </c>
      <c r="F1339">
        <f>COUNTIF(Thursday!I:I, B1339)</f>
        <v>0</v>
      </c>
      <c r="G1339">
        <f>COUNTIF(Friday!I:I, B1339)</f>
        <v>0</v>
      </c>
      <c r="H1339">
        <f>SUM(C1339:G1339)</f>
        <v>0</v>
      </c>
    </row>
    <row r="1340" spans="1:8" x14ac:dyDescent="0.25">
      <c r="A1340" s="5" t="s">
        <v>1335</v>
      </c>
      <c r="B1340" t="str">
        <f>"*"&amp;A1340&amp;"*"</f>
        <v>*1253: Device Interaction*</v>
      </c>
      <c r="C1340">
        <f>COUNTIF(Monday!I:I, B1340)</f>
        <v>0</v>
      </c>
      <c r="D1340">
        <f>COUNTIF(Tuesday!I:I, B1340)</f>
        <v>0</v>
      </c>
      <c r="E1340">
        <f>COUNTIF(Wednesday!I:I, B1340)</f>
        <v>0</v>
      </c>
      <c r="F1340">
        <f>COUNTIF(Thursday!I:I, B1340)</f>
        <v>0</v>
      </c>
      <c r="G1340">
        <f>COUNTIF(Friday!I:I, B1340)</f>
        <v>0</v>
      </c>
      <c r="H1340">
        <f>SUM(C1340:G1340)</f>
        <v>0</v>
      </c>
    </row>
    <row r="1341" spans="1:8" x14ac:dyDescent="0.25">
      <c r="A1341" s="5" t="s">
        <v>1336</v>
      </c>
      <c r="B1341" t="str">
        <f>"*"&amp;A1341&amp;"*"</f>
        <v>*1438: Elective Removal - MRI*</v>
      </c>
      <c r="C1341">
        <f>COUNTIF(Monday!I:I, B1341)</f>
        <v>0</v>
      </c>
      <c r="D1341">
        <f>COUNTIF(Tuesday!I:I, B1341)</f>
        <v>0</v>
      </c>
      <c r="E1341">
        <f>COUNTIF(Wednesday!I:I, B1341)</f>
        <v>0</v>
      </c>
      <c r="F1341">
        <f>COUNTIF(Thursday!I:I, B1341)</f>
        <v>0</v>
      </c>
      <c r="G1341">
        <f>COUNTIF(Friday!I:I, B1341)</f>
        <v>0</v>
      </c>
      <c r="H1341">
        <f>SUM(C1341:G1341)</f>
        <v>0</v>
      </c>
    </row>
    <row r="1342" spans="1:8" x14ac:dyDescent="0.25">
      <c r="A1342" s="5" t="s">
        <v>1337</v>
      </c>
      <c r="B1342" t="str">
        <f>"*"&amp;A1342&amp;"*"</f>
        <v>*1439: Elective Removal - Non MRI*</v>
      </c>
      <c r="C1342">
        <f>COUNTIF(Monday!I:I, B1342)</f>
        <v>0</v>
      </c>
      <c r="D1342">
        <f>COUNTIF(Tuesday!I:I, B1342)</f>
        <v>0</v>
      </c>
      <c r="E1342">
        <f>COUNTIF(Wednesday!I:I, B1342)</f>
        <v>0</v>
      </c>
      <c r="F1342">
        <f>COUNTIF(Thursday!I:I, B1342)</f>
        <v>0</v>
      </c>
      <c r="G1342">
        <f>COUNTIF(Friday!I:I, B1342)</f>
        <v>0</v>
      </c>
      <c r="H1342">
        <f>SUM(C1342:G1342)</f>
        <v>0</v>
      </c>
    </row>
    <row r="1343" spans="1:8" x14ac:dyDescent="0.25">
      <c r="A1343" s="5" t="s">
        <v>1338</v>
      </c>
      <c r="B1343" t="str">
        <f>"*"&amp;A1343&amp;"*"</f>
        <v>*1725: Indications/Warnings*</v>
      </c>
      <c r="C1343">
        <f>COUNTIF(Monday!I:I, B1343)</f>
        <v>0</v>
      </c>
      <c r="D1343">
        <f>COUNTIF(Tuesday!I:I, B1343)</f>
        <v>0</v>
      </c>
      <c r="E1343">
        <f>COUNTIF(Wednesday!I:I, B1343)</f>
        <v>0</v>
      </c>
      <c r="F1343">
        <f>COUNTIF(Thursday!I:I, B1343)</f>
        <v>0</v>
      </c>
      <c r="G1343">
        <f>COUNTIF(Friday!I:I, B1343)</f>
        <v>0</v>
      </c>
      <c r="H1343">
        <f>SUM(C1343:G1343)</f>
        <v>0</v>
      </c>
    </row>
    <row r="1344" spans="1:8" x14ac:dyDescent="0.25">
      <c r="A1344" s="5" t="s">
        <v>1339</v>
      </c>
      <c r="B1344" t="str">
        <f>"*"&amp;A1344&amp;"*"</f>
        <v>*1755: Item Contaminated During Manufacturing Or Shipping*</v>
      </c>
      <c r="C1344">
        <f>COUNTIF(Monday!I:I, B1344)</f>
        <v>0</v>
      </c>
      <c r="D1344">
        <f>COUNTIF(Tuesday!I:I, B1344)</f>
        <v>0</v>
      </c>
      <c r="E1344">
        <f>COUNTIF(Wednesday!I:I, B1344)</f>
        <v>0</v>
      </c>
      <c r="F1344">
        <f>COUNTIF(Thursday!I:I, B1344)</f>
        <v>0</v>
      </c>
      <c r="G1344">
        <f>COUNTIF(Friday!I:I, B1344)</f>
        <v>0</v>
      </c>
      <c r="H1344">
        <f>SUM(C1344:G1344)</f>
        <v>0</v>
      </c>
    </row>
    <row r="1345" spans="1:8" x14ac:dyDescent="0.25">
      <c r="A1345" s="5" t="s">
        <v>1340</v>
      </c>
      <c r="B1345" t="str">
        <f>"*"&amp;A1345&amp;"*"</f>
        <v>*1757: Item Missing From Packaging*</v>
      </c>
      <c r="C1345">
        <f>COUNTIF(Monday!I:I, B1345)</f>
        <v>0</v>
      </c>
      <c r="D1345">
        <f>COUNTIF(Tuesday!I:I, B1345)</f>
        <v>0</v>
      </c>
      <c r="E1345">
        <f>COUNTIF(Wednesday!I:I, B1345)</f>
        <v>0</v>
      </c>
      <c r="F1345">
        <f>COUNTIF(Thursday!I:I, B1345)</f>
        <v>0</v>
      </c>
      <c r="G1345">
        <f>COUNTIF(Friday!I:I, B1345)</f>
        <v>0</v>
      </c>
      <c r="H1345">
        <f>SUM(C1345:G1345)</f>
        <v>0</v>
      </c>
    </row>
    <row r="1346" spans="1:8" x14ac:dyDescent="0.25">
      <c r="A1346" s="5" t="s">
        <v>1341</v>
      </c>
      <c r="B1346" t="str">
        <f>"*"&amp;A1346&amp;"*"</f>
        <v>*1785: Letter Requested*</v>
      </c>
      <c r="C1346">
        <f>COUNTIF(Monday!I:I, B1346)</f>
        <v>0</v>
      </c>
      <c r="D1346">
        <f>COUNTIF(Tuesday!I:I, B1346)</f>
        <v>0</v>
      </c>
      <c r="E1346">
        <f>COUNTIF(Wednesday!I:I, B1346)</f>
        <v>0</v>
      </c>
      <c r="F1346">
        <f>COUNTIF(Thursday!I:I, B1346)</f>
        <v>0</v>
      </c>
      <c r="G1346">
        <f>COUNTIF(Friday!I:I, B1346)</f>
        <v>0</v>
      </c>
      <c r="H1346">
        <f>SUM(C1346:G1346)</f>
        <v>0</v>
      </c>
    </row>
    <row r="1347" spans="1:8" x14ac:dyDescent="0.25">
      <c r="A1347" s="5" t="s">
        <v>1342</v>
      </c>
      <c r="B1347" t="str">
        <f>"*"&amp;A1347&amp;"*"</f>
        <v>*1837: Medical Question*</v>
      </c>
      <c r="C1347">
        <f>COUNTIF(Monday!I:I, B1347)</f>
        <v>0</v>
      </c>
      <c r="D1347">
        <f>COUNTIF(Tuesday!I:I, B1347)</f>
        <v>0</v>
      </c>
      <c r="E1347">
        <f>COUNTIF(Wednesday!I:I, B1347)</f>
        <v>0</v>
      </c>
      <c r="F1347">
        <f>COUNTIF(Thursday!I:I, B1347)</f>
        <v>0</v>
      </c>
      <c r="G1347">
        <f>COUNTIF(Friday!I:I, B1347)</f>
        <v>0</v>
      </c>
      <c r="H1347">
        <f>SUM(C1347:G1347)</f>
        <v>0</v>
      </c>
    </row>
    <row r="1348" spans="1:8" x14ac:dyDescent="0.25">
      <c r="A1348" s="5" t="s">
        <v>1343</v>
      </c>
      <c r="B1348" t="str">
        <f>"*"&amp;A1348&amp;"*"</f>
        <v>*2086: New Code Request*</v>
      </c>
      <c r="C1348">
        <f>COUNTIF(Monday!I:I, B1348)</f>
        <v>0</v>
      </c>
      <c r="D1348">
        <f>COUNTIF(Tuesday!I:I, B1348)</f>
        <v>0</v>
      </c>
      <c r="E1348">
        <f>COUNTIF(Wednesday!I:I, B1348)</f>
        <v>0</v>
      </c>
      <c r="F1348">
        <f>COUNTIF(Thursday!I:I, B1348)</f>
        <v>0</v>
      </c>
      <c r="G1348">
        <f>COUNTIF(Friday!I:I, B1348)</f>
        <v>0</v>
      </c>
      <c r="H1348">
        <f>SUM(C1348:G1348)</f>
        <v>0</v>
      </c>
    </row>
    <row r="1349" spans="1:8" x14ac:dyDescent="0.25">
      <c r="A1349" s="5" t="s">
        <v>1344</v>
      </c>
      <c r="B1349" t="str">
        <f>"*"&amp;A1349&amp;"*"</f>
        <v>*2187: Patient Or Non-Employee Requests Training*</v>
      </c>
      <c r="C1349">
        <f>COUNTIF(Monday!I:I, B1349)</f>
        <v>0</v>
      </c>
      <c r="D1349">
        <f>COUNTIF(Tuesday!I:I, B1349)</f>
        <v>0</v>
      </c>
      <c r="E1349">
        <f>COUNTIF(Wednesday!I:I, B1349)</f>
        <v>0</v>
      </c>
      <c r="F1349">
        <f>COUNTIF(Thursday!I:I, B1349)</f>
        <v>0</v>
      </c>
      <c r="G1349">
        <f>COUNTIF(Friday!I:I, B1349)</f>
        <v>0</v>
      </c>
      <c r="H1349">
        <f>SUM(C1349:G1349)</f>
        <v>0</v>
      </c>
    </row>
    <row r="1350" spans="1:8" x14ac:dyDescent="0.25">
      <c r="A1350" s="5" t="s">
        <v>1345</v>
      </c>
      <c r="B1350" t="str">
        <f>"*"&amp;A1350&amp;"*"</f>
        <v>*2189: Patient Requests Device Upgrade*</v>
      </c>
      <c r="C1350">
        <f>COUNTIF(Monday!I:I, B1350)</f>
        <v>0</v>
      </c>
      <c r="D1350">
        <f>COUNTIF(Tuesday!I:I, B1350)</f>
        <v>0</v>
      </c>
      <c r="E1350">
        <f>COUNTIF(Wednesday!I:I, B1350)</f>
        <v>0</v>
      </c>
      <c r="F1350">
        <f>COUNTIF(Thursday!I:I, B1350)</f>
        <v>0</v>
      </c>
      <c r="G1350">
        <f>COUNTIF(Friday!I:I, B1350)</f>
        <v>0</v>
      </c>
      <c r="H1350">
        <f>SUM(C1350:G1350)</f>
        <v>0</v>
      </c>
    </row>
    <row r="1351" spans="1:8" x14ac:dyDescent="0.25">
      <c r="A1351" s="5" t="s">
        <v>1346</v>
      </c>
      <c r="B1351" t="str">
        <f>"*"&amp;A1351&amp;"*"</f>
        <v>*2190: Patient Requests Info For Ordering Product*</v>
      </c>
      <c r="C1351">
        <f>COUNTIF(Monday!I:I, B1351)</f>
        <v>0</v>
      </c>
      <c r="D1351">
        <f>COUNTIF(Tuesday!I:I, B1351)</f>
        <v>0</v>
      </c>
      <c r="E1351">
        <f>COUNTIF(Wednesday!I:I, B1351)</f>
        <v>0</v>
      </c>
      <c r="F1351">
        <f>COUNTIF(Thursday!I:I, B1351)</f>
        <v>0</v>
      </c>
      <c r="G1351">
        <f>COUNTIF(Friday!I:I, B1351)</f>
        <v>0</v>
      </c>
      <c r="H1351">
        <f>SUM(C1351:G1351)</f>
        <v>0</v>
      </c>
    </row>
    <row r="1352" spans="1:8" x14ac:dyDescent="0.25">
      <c r="A1352" s="5" t="s">
        <v>1347</v>
      </c>
      <c r="B1352" t="str">
        <f>"*"&amp;A1352&amp;"*"</f>
        <v>*2191: Patient Requests To Meet W/ Rep At Physician Office*</v>
      </c>
      <c r="C1352">
        <f>COUNTIF(Monday!I:I, B1352)</f>
        <v>0</v>
      </c>
      <c r="D1352">
        <f>COUNTIF(Tuesday!I:I, B1352)</f>
        <v>0</v>
      </c>
      <c r="E1352">
        <f>COUNTIF(Wednesday!I:I, B1352)</f>
        <v>0</v>
      </c>
      <c r="F1352">
        <f>COUNTIF(Thursday!I:I, B1352)</f>
        <v>0</v>
      </c>
      <c r="G1352">
        <f>COUNTIF(Friday!I:I, B1352)</f>
        <v>0</v>
      </c>
      <c r="H1352">
        <f>SUM(C1352:G1352)</f>
        <v>0</v>
      </c>
    </row>
    <row r="1353" spans="1:8" x14ac:dyDescent="0.25">
      <c r="A1353" s="5" t="s">
        <v>1348</v>
      </c>
      <c r="B1353" t="str">
        <f>"*"&amp;A1353&amp;"*"</f>
        <v>*2225: Potential Legal Action*</v>
      </c>
      <c r="C1353">
        <f>COUNTIF(Monday!I:I, B1353)</f>
        <v>0</v>
      </c>
      <c r="D1353">
        <f>COUNTIF(Tuesday!I:I, B1353)</f>
        <v>0</v>
      </c>
      <c r="E1353">
        <f>COUNTIF(Wednesday!I:I, B1353)</f>
        <v>0</v>
      </c>
      <c r="F1353">
        <f>COUNTIF(Thursday!I:I, B1353)</f>
        <v>0</v>
      </c>
      <c r="G1353">
        <f>COUNTIF(Friday!I:I, B1353)</f>
        <v>0</v>
      </c>
      <c r="H1353">
        <f>SUM(C1353:G1353)</f>
        <v>0</v>
      </c>
    </row>
    <row r="1354" spans="1:8" x14ac:dyDescent="0.25">
      <c r="A1354" s="5" t="s">
        <v>1349</v>
      </c>
      <c r="B1354" t="str">
        <f>"*"&amp;A1354&amp;"*"</f>
        <v>*2226: Potential Patient*</v>
      </c>
      <c r="C1354">
        <f>COUNTIF(Monday!I:I, B1354)</f>
        <v>0</v>
      </c>
      <c r="D1354">
        <f>COUNTIF(Tuesday!I:I, B1354)</f>
        <v>0</v>
      </c>
      <c r="E1354">
        <f>COUNTIF(Wednesday!I:I, B1354)</f>
        <v>0</v>
      </c>
      <c r="F1354">
        <f>COUNTIF(Thursday!I:I, B1354)</f>
        <v>0</v>
      </c>
      <c r="G1354">
        <f>COUNTIF(Friday!I:I, B1354)</f>
        <v>0</v>
      </c>
      <c r="H1354">
        <f>SUM(C1354:G1354)</f>
        <v>0</v>
      </c>
    </row>
    <row r="1355" spans="1:8" x14ac:dyDescent="0.25">
      <c r="A1355" s="5" t="s">
        <v>1350</v>
      </c>
      <c r="B1355" t="str">
        <f>"*"&amp;A1355&amp;"*"</f>
        <v>*2244: Product Did Not Arrive When Promised*</v>
      </c>
      <c r="C1355">
        <f>COUNTIF(Monday!I:I, B1355)</f>
        <v>0</v>
      </c>
      <c r="D1355">
        <f>COUNTIF(Tuesday!I:I, B1355)</f>
        <v>0</v>
      </c>
      <c r="E1355">
        <f>COUNTIF(Wednesday!I:I, B1355)</f>
        <v>0</v>
      </c>
      <c r="F1355">
        <f>COUNTIF(Thursday!I:I, B1355)</f>
        <v>0</v>
      </c>
      <c r="G1355">
        <f>COUNTIF(Friday!I:I, B1355)</f>
        <v>0</v>
      </c>
      <c r="H1355">
        <f>SUM(C1355:G1355)</f>
        <v>0</v>
      </c>
    </row>
    <row r="1356" spans="1:8" x14ac:dyDescent="0.25">
      <c r="A1356" s="5" t="s">
        <v>1351</v>
      </c>
      <c r="B1356" t="str">
        <f>"*"&amp;A1356&amp;"*"</f>
        <v>*2246: Product Opened*</v>
      </c>
      <c r="C1356">
        <f>COUNTIF(Monday!I:I, B1356)</f>
        <v>0</v>
      </c>
      <c r="D1356">
        <f>COUNTIF(Tuesday!I:I, B1356)</f>
        <v>0</v>
      </c>
      <c r="E1356">
        <f>COUNTIF(Wednesday!I:I, B1356)</f>
        <v>0</v>
      </c>
      <c r="F1356">
        <f>COUNTIF(Thursday!I:I, B1356)</f>
        <v>0</v>
      </c>
      <c r="G1356">
        <f>COUNTIF(Friday!I:I, B1356)</f>
        <v>0</v>
      </c>
      <c r="H1356">
        <f>SUM(C1356:G1356)</f>
        <v>0</v>
      </c>
    </row>
    <row r="1357" spans="1:8" x14ac:dyDescent="0.25">
      <c r="A1357" s="5" t="s">
        <v>1352</v>
      </c>
      <c r="B1357" t="str">
        <f>"*"&amp;A1357&amp;"*"</f>
        <v>*2247: Product Received In Error*</v>
      </c>
      <c r="C1357">
        <f>COUNTIF(Monday!I:I, B1357)</f>
        <v>0</v>
      </c>
      <c r="D1357">
        <f>COUNTIF(Tuesday!I:I, B1357)</f>
        <v>0</v>
      </c>
      <c r="E1357">
        <f>COUNTIF(Wednesday!I:I, B1357)</f>
        <v>0</v>
      </c>
      <c r="F1357">
        <f>COUNTIF(Thursday!I:I, B1357)</f>
        <v>0</v>
      </c>
      <c r="G1357">
        <f>COUNTIF(Friday!I:I, B1357)</f>
        <v>0</v>
      </c>
      <c r="H1357">
        <f>SUM(C1357:G1357)</f>
        <v>0</v>
      </c>
    </row>
    <row r="1358" spans="1:8" x14ac:dyDescent="0.25">
      <c r="A1358" s="5" t="s">
        <v>1353</v>
      </c>
      <c r="B1358" t="str">
        <f>"*"&amp;A1358&amp;"*"</f>
        <v>*2275: Returning Product No Longer Needed*</v>
      </c>
      <c r="C1358">
        <f>COUNTIF(Monday!I:I, B1358)</f>
        <v>0</v>
      </c>
      <c r="D1358">
        <f>COUNTIF(Tuesday!I:I, B1358)</f>
        <v>0</v>
      </c>
      <c r="E1358">
        <f>COUNTIF(Wednesday!I:I, B1358)</f>
        <v>0</v>
      </c>
      <c r="F1358">
        <f>COUNTIF(Thursday!I:I, B1358)</f>
        <v>0</v>
      </c>
      <c r="G1358">
        <f>COUNTIF(Friday!I:I, B1358)</f>
        <v>0</v>
      </c>
      <c r="H1358">
        <f>SUM(C1358:G1358)</f>
        <v>0</v>
      </c>
    </row>
    <row r="1359" spans="1:8" x14ac:dyDescent="0.25">
      <c r="A1359" s="5" t="s">
        <v>1354</v>
      </c>
      <c r="B1359" t="str">
        <f>"*"&amp;A1359&amp;"*"</f>
        <v>*2277: RGA Receiving Error*</v>
      </c>
      <c r="C1359">
        <f>COUNTIF(Monday!I:I, B1359)</f>
        <v>0</v>
      </c>
      <c r="D1359">
        <f>COUNTIF(Tuesday!I:I, B1359)</f>
        <v>0</v>
      </c>
      <c r="E1359">
        <f>COUNTIF(Wednesday!I:I, B1359)</f>
        <v>0</v>
      </c>
      <c r="F1359">
        <f>COUNTIF(Thursday!I:I, B1359)</f>
        <v>0</v>
      </c>
      <c r="G1359">
        <f>COUNTIF(Friday!I:I, B1359)</f>
        <v>0</v>
      </c>
      <c r="H1359">
        <f>SUM(C1359:G1359)</f>
        <v>0</v>
      </c>
    </row>
    <row r="1360" spans="1:8" x14ac:dyDescent="0.25">
      <c r="A1360" s="5" t="s">
        <v>1355</v>
      </c>
      <c r="B1360" t="str">
        <f>"*"&amp;A1360&amp;"*"</f>
        <v>*2304: Service Improvement Recommendation*</v>
      </c>
      <c r="C1360">
        <f>COUNTIF(Monday!I:I, B1360)</f>
        <v>0</v>
      </c>
      <c r="D1360">
        <f>COUNTIF(Tuesday!I:I, B1360)</f>
        <v>0</v>
      </c>
      <c r="E1360">
        <f>COUNTIF(Wednesday!I:I, B1360)</f>
        <v>0</v>
      </c>
      <c r="F1360">
        <f>COUNTIF(Thursday!I:I, B1360)</f>
        <v>0</v>
      </c>
      <c r="G1360">
        <f>COUNTIF(Friday!I:I, B1360)</f>
        <v>0</v>
      </c>
      <c r="H1360">
        <f>SUM(C1360:G1360)</f>
        <v>0</v>
      </c>
    </row>
    <row r="1361" spans="1:8" x14ac:dyDescent="0.25">
      <c r="A1361" s="5" t="s">
        <v>1356</v>
      </c>
      <c r="B1361" t="str">
        <f>"*"&amp;A1361&amp;"*"</f>
        <v>*2314: Ship Hold Or Field Action*</v>
      </c>
      <c r="C1361">
        <f>COUNTIF(Monday!I:I, B1361)</f>
        <v>0</v>
      </c>
      <c r="D1361">
        <f>COUNTIF(Tuesday!I:I, B1361)</f>
        <v>0</v>
      </c>
      <c r="E1361">
        <f>COUNTIF(Wednesday!I:I, B1361)</f>
        <v>0</v>
      </c>
      <c r="F1361">
        <f>COUNTIF(Thursday!I:I, B1361)</f>
        <v>0</v>
      </c>
      <c r="G1361">
        <f>COUNTIF(Friday!I:I, B1361)</f>
        <v>0</v>
      </c>
      <c r="H1361">
        <f>SUM(C1361:G1361)</f>
        <v>0</v>
      </c>
    </row>
    <row r="1362" spans="1:8" x14ac:dyDescent="0.25">
      <c r="A1362" s="5" t="s">
        <v>1357</v>
      </c>
      <c r="B1362" t="str">
        <f>"*"&amp;A1362&amp;"*"</f>
        <v>*2316: Shipping Package Damage*</v>
      </c>
      <c r="C1362">
        <f>COUNTIF(Monday!I:I, B1362)</f>
        <v>0</v>
      </c>
      <c r="D1362">
        <f>COUNTIF(Tuesday!I:I, B1362)</f>
        <v>0</v>
      </c>
      <c r="E1362">
        <f>COUNTIF(Wednesday!I:I, B1362)</f>
        <v>0</v>
      </c>
      <c r="F1362">
        <f>COUNTIF(Thursday!I:I, B1362)</f>
        <v>0</v>
      </c>
      <c r="G1362">
        <f>COUNTIF(Friday!I:I, B1362)</f>
        <v>0</v>
      </c>
      <c r="H1362">
        <f>SUM(C1362:G1362)</f>
        <v>0</v>
      </c>
    </row>
    <row r="1363" spans="1:8" x14ac:dyDescent="0.25">
      <c r="A1363" s="5" t="s">
        <v>1358</v>
      </c>
      <c r="B1363" t="str">
        <f>"*"&amp;A1363&amp;"*"</f>
        <v>*2378: Suggested Product Service Enhancement*</v>
      </c>
      <c r="C1363">
        <f>COUNTIF(Monday!I:I, B1363)</f>
        <v>0</v>
      </c>
      <c r="D1363">
        <f>COUNTIF(Tuesday!I:I, B1363)</f>
        <v>0</v>
      </c>
      <c r="E1363">
        <f>COUNTIF(Wednesday!I:I, B1363)</f>
        <v>0</v>
      </c>
      <c r="F1363">
        <f>COUNTIF(Thursday!I:I, B1363)</f>
        <v>0</v>
      </c>
      <c r="G1363">
        <f>COUNTIF(Friday!I:I, B1363)</f>
        <v>0</v>
      </c>
      <c r="H1363">
        <f>SUM(C1363:G1363)</f>
        <v>0</v>
      </c>
    </row>
    <row r="1364" spans="1:8" x14ac:dyDescent="0.25">
      <c r="A1364" s="5" t="s">
        <v>1359</v>
      </c>
      <c r="B1364" t="str">
        <f>"*"&amp;A1364&amp;"*"</f>
        <v>*2396: Tamper Evidence Seal Compromised*</v>
      </c>
      <c r="C1364">
        <f>COUNTIF(Monday!I:I, B1364)</f>
        <v>0</v>
      </c>
      <c r="D1364">
        <f>COUNTIF(Tuesday!I:I, B1364)</f>
        <v>0</v>
      </c>
      <c r="E1364">
        <f>COUNTIF(Wednesday!I:I, B1364)</f>
        <v>0</v>
      </c>
      <c r="F1364">
        <f>COUNTIF(Thursday!I:I, B1364)</f>
        <v>0</v>
      </c>
      <c r="G1364">
        <f>COUNTIF(Friday!I:I, B1364)</f>
        <v>0</v>
      </c>
      <c r="H1364">
        <f>SUM(C1364:G1364)</f>
        <v>0</v>
      </c>
    </row>
    <row r="1365" spans="1:8" x14ac:dyDescent="0.25">
      <c r="A1365" s="5" t="s">
        <v>1360</v>
      </c>
      <c r="B1365" t="str">
        <f>"*"&amp;A1365&amp;"*"</f>
        <v>*2465: Warranty Policy*</v>
      </c>
      <c r="C1365">
        <f>COUNTIF(Monday!I:I, B1365)</f>
        <v>0</v>
      </c>
      <c r="D1365">
        <f>COUNTIF(Tuesday!I:I, B1365)</f>
        <v>0</v>
      </c>
      <c r="E1365">
        <f>COUNTIF(Wednesday!I:I, B1365)</f>
        <v>0</v>
      </c>
      <c r="F1365">
        <f>COUNTIF(Thursday!I:I, B1365)</f>
        <v>0</v>
      </c>
      <c r="G1365">
        <f>COUNTIF(Friday!I:I, B1365)</f>
        <v>0</v>
      </c>
      <c r="H1365">
        <f>SUM(C1365:G1365)</f>
        <v>0</v>
      </c>
    </row>
    <row r="1366" spans="1:8" x14ac:dyDescent="0.25">
      <c r="A1366" s="5" t="s">
        <v>1361</v>
      </c>
      <c r="B1366" t="str">
        <f>"*"&amp;A1366&amp;"*"</f>
        <v>*2732: Damaged During Surgery*</v>
      </c>
      <c r="C1366">
        <f>COUNTIF(Monday!I:I, B1366)</f>
        <v>0</v>
      </c>
      <c r="D1366">
        <f>COUNTIF(Tuesday!I:I, B1366)</f>
        <v>0</v>
      </c>
      <c r="E1366">
        <f>COUNTIF(Wednesday!I:I, B1366)</f>
        <v>0</v>
      </c>
      <c r="F1366">
        <f>COUNTIF(Thursday!I:I, B1366)</f>
        <v>0</v>
      </c>
      <c r="G1366">
        <f>COUNTIF(Friday!I:I, B1366)</f>
        <v>0</v>
      </c>
      <c r="H1366">
        <f>SUM(C1366:G1366)</f>
        <v>0</v>
      </c>
    </row>
    <row r="1367" spans="1:8" x14ac:dyDescent="0.25">
      <c r="A1367" s="5" t="s">
        <v>1362</v>
      </c>
      <c r="B1367" t="str">
        <f>"*"&amp;A1367&amp;"*"</f>
        <v>*3130: Patient/Customer Unhappy With SunMed*</v>
      </c>
      <c r="C1367">
        <f>COUNTIF(Monday!I:I, B1367)</f>
        <v>0</v>
      </c>
      <c r="D1367">
        <f>COUNTIF(Tuesday!I:I, B1367)</f>
        <v>0</v>
      </c>
      <c r="E1367">
        <f>COUNTIF(Wednesday!I:I, B1367)</f>
        <v>0</v>
      </c>
      <c r="F1367">
        <f>COUNTIF(Thursday!I:I, B1367)</f>
        <v>0</v>
      </c>
      <c r="G1367">
        <f>COUNTIF(Friday!I:I, B1367)</f>
        <v>0</v>
      </c>
      <c r="H1367">
        <f>SUM(C1367:G1367)</f>
        <v>0</v>
      </c>
    </row>
    <row r="1368" spans="1:8" x14ac:dyDescent="0.25">
      <c r="A1368" s="5" t="s">
        <v>1363</v>
      </c>
      <c r="B1368" t="str">
        <f>"*"&amp;A1368&amp;"*"</f>
        <v>*1515: Failure To Disconnect*</v>
      </c>
      <c r="C1368">
        <f>COUNTIF(Monday!I:I, B1368)</f>
        <v>0</v>
      </c>
      <c r="D1368">
        <f>COUNTIF(Tuesday!I:I, B1368)</f>
        <v>0</v>
      </c>
      <c r="E1368">
        <f>COUNTIF(Wednesday!I:I, B1368)</f>
        <v>0</v>
      </c>
      <c r="F1368">
        <f>COUNTIF(Thursday!I:I, B1368)</f>
        <v>0</v>
      </c>
      <c r="G1368">
        <f>COUNTIF(Friday!I:I, B1368)</f>
        <v>0</v>
      </c>
      <c r="H1368">
        <f>SUM(C1368:G1368)</f>
        <v>0</v>
      </c>
    </row>
    <row r="1369" spans="1:8" x14ac:dyDescent="0.25">
      <c r="A1369" s="5" t="s">
        <v>1364</v>
      </c>
      <c r="B1369" t="str">
        <f>"*"&amp;A1369&amp;"*"</f>
        <v>*3261: Failure To Power Base Station*</v>
      </c>
      <c r="C1369">
        <f>COUNTIF(Monday!I:I, B1369)</f>
        <v>0</v>
      </c>
      <c r="D1369">
        <f>COUNTIF(Tuesday!I:I, B1369)</f>
        <v>0</v>
      </c>
      <c r="E1369">
        <f>COUNTIF(Wednesday!I:I, B1369)</f>
        <v>0</v>
      </c>
      <c r="F1369">
        <f>COUNTIF(Thursday!I:I, B1369)</f>
        <v>0</v>
      </c>
      <c r="G1369">
        <f>COUNTIF(Friday!I:I, B1369)</f>
        <v>0</v>
      </c>
      <c r="H1369">
        <f>SUM(C1369:G1369)</f>
        <v>0</v>
      </c>
    </row>
    <row r="1370" spans="1:8" x14ac:dyDescent="0.25">
      <c r="A1370" s="5" t="s">
        <v>1365</v>
      </c>
      <c r="B1370" t="str">
        <f>"*"&amp;A1370&amp;"*"</f>
        <v>*1373: Difficult To Use Adhesive Patch*</v>
      </c>
      <c r="C1370">
        <f>COUNTIF(Monday!I:I, B1370)</f>
        <v>0</v>
      </c>
      <c r="D1370">
        <f>COUNTIF(Tuesday!I:I, B1370)</f>
        <v>0</v>
      </c>
      <c r="E1370">
        <f>COUNTIF(Wednesday!I:I, B1370)</f>
        <v>0</v>
      </c>
      <c r="F1370">
        <f>COUNTIF(Thursday!I:I, B1370)</f>
        <v>0</v>
      </c>
      <c r="G1370">
        <f>COUNTIF(Friday!I:I, B1370)</f>
        <v>0</v>
      </c>
      <c r="H1370">
        <f>SUM(C1370:G1370)</f>
        <v>0</v>
      </c>
    </row>
    <row r="1371" spans="1:8" x14ac:dyDescent="0.25">
      <c r="A1371" s="5" t="s">
        <v>1366</v>
      </c>
      <c r="B1371" t="str">
        <f>"*"&amp;A1371&amp;"*"</f>
        <v>*1091: Charger Cant Be Removed From The Base Station*</v>
      </c>
      <c r="C1371">
        <f>COUNTIF(Monday!I:I, B1371)</f>
        <v>0</v>
      </c>
      <c r="D1371">
        <f>COUNTIF(Tuesday!I:I, B1371)</f>
        <v>0</v>
      </c>
      <c r="E1371">
        <f>COUNTIF(Wednesday!I:I, B1371)</f>
        <v>0</v>
      </c>
      <c r="F1371">
        <f>COUNTIF(Thursday!I:I, B1371)</f>
        <v>0</v>
      </c>
      <c r="G1371">
        <f>COUNTIF(Friday!I:I, B1371)</f>
        <v>0</v>
      </c>
      <c r="H1371">
        <f>SUM(C1371:G1371)</f>
        <v>0</v>
      </c>
    </row>
    <row r="1372" spans="1:8" x14ac:dyDescent="0.25">
      <c r="A1372" s="5" t="s">
        <v>1367</v>
      </c>
      <c r="B1372" t="str">
        <f>"*"&amp;A1372&amp;"*"</f>
        <v>*1287: Difficult To Charge Charger In Base*</v>
      </c>
      <c r="C1372">
        <f>COUNTIF(Monday!I:I, B1372)</f>
        <v>0</v>
      </c>
      <c r="D1372">
        <f>COUNTIF(Tuesday!I:I, B1372)</f>
        <v>0</v>
      </c>
      <c r="E1372">
        <f>COUNTIF(Wednesday!I:I, B1372)</f>
        <v>0</v>
      </c>
      <c r="F1372">
        <f>COUNTIF(Thursday!I:I, B1372)</f>
        <v>0</v>
      </c>
      <c r="G1372">
        <f>COUNTIF(Friday!I:I, B1372)</f>
        <v>0</v>
      </c>
      <c r="H1372">
        <f>SUM(C1372:G1372)</f>
        <v>0</v>
      </c>
    </row>
    <row r="1373" spans="1:8" x14ac:dyDescent="0.25">
      <c r="A1373" s="5" t="s">
        <v>1368</v>
      </c>
      <c r="B1373" t="str">
        <f>"*"&amp;A1373&amp;"*"</f>
        <v>*1804: Lost or Damaged By Patient*</v>
      </c>
      <c r="C1373">
        <f>COUNTIF(Monday!I:I, B1373)</f>
        <v>0</v>
      </c>
      <c r="D1373">
        <f>COUNTIF(Tuesday!I:I, B1373)</f>
        <v>0</v>
      </c>
      <c r="E1373">
        <f>COUNTIF(Wednesday!I:I, B1373)</f>
        <v>0</v>
      </c>
      <c r="F1373">
        <f>COUNTIF(Thursday!I:I, B1373)</f>
        <v>0</v>
      </c>
      <c r="G1373">
        <f>COUNTIF(Friday!I:I, B1373)</f>
        <v>0</v>
      </c>
      <c r="H1373">
        <f>SUM(C1373:G1373)</f>
        <v>0</v>
      </c>
    </row>
    <row r="1374" spans="1:8" x14ac:dyDescent="0.25">
      <c r="A1374" s="5" t="s">
        <v>1369</v>
      </c>
      <c r="B1374" t="str">
        <f>"*"&amp;A1374&amp;"*"</f>
        <v>*1092: Charger LED Malfunction*</v>
      </c>
      <c r="C1374">
        <f>COUNTIF(Monday!I:I, B1374)</f>
        <v>0</v>
      </c>
      <c r="D1374">
        <f>COUNTIF(Tuesday!I:I, B1374)</f>
        <v>0</v>
      </c>
      <c r="E1374">
        <f>COUNTIF(Wednesday!I:I, B1374)</f>
        <v>0</v>
      </c>
      <c r="F1374">
        <f>COUNTIF(Thursday!I:I, B1374)</f>
        <v>0</v>
      </c>
      <c r="G1374">
        <f>COUNTIF(Friday!I:I, B1374)</f>
        <v>0</v>
      </c>
      <c r="H1374">
        <f>SUM(C1374:G1374)</f>
        <v>0</v>
      </c>
    </row>
    <row r="1375" spans="1:8" x14ac:dyDescent="0.25">
      <c r="A1375" s="5" t="s">
        <v>1370</v>
      </c>
      <c r="B1375" t="str">
        <f>"*"&amp;A1375&amp;"*"</f>
        <v>*1284: Difficult To Align Charger*</v>
      </c>
      <c r="C1375">
        <f>COUNTIF(Monday!I:I, B1375)</f>
        <v>0</v>
      </c>
      <c r="D1375">
        <f>COUNTIF(Tuesday!I:I, B1375)</f>
        <v>0</v>
      </c>
      <c r="E1375">
        <f>COUNTIF(Wednesday!I:I, B1375)</f>
        <v>0</v>
      </c>
      <c r="F1375">
        <f>COUNTIF(Thursday!I:I, B1375)</f>
        <v>0</v>
      </c>
      <c r="G1375">
        <f>COUNTIF(Friday!I:I, B1375)</f>
        <v>0</v>
      </c>
      <c r="H1375">
        <f>SUM(C1375:G1375)</f>
        <v>0</v>
      </c>
    </row>
    <row r="1376" spans="1:8" x14ac:dyDescent="0.25">
      <c r="A1376" s="5" t="s">
        <v>1371</v>
      </c>
      <c r="B1376" t="str">
        <f>"*"&amp;A1376&amp;"*"</f>
        <v>*1286: Difficult To Charge*</v>
      </c>
      <c r="C1376">
        <f>COUNTIF(Monday!I:I, B1376)</f>
        <v>0</v>
      </c>
      <c r="D1376">
        <f>COUNTIF(Tuesday!I:I, B1376)</f>
        <v>0</v>
      </c>
      <c r="E1376">
        <f>COUNTIF(Wednesday!I:I, B1376)</f>
        <v>0</v>
      </c>
      <c r="F1376">
        <f>COUNTIF(Thursday!I:I, B1376)</f>
        <v>0</v>
      </c>
      <c r="G1376">
        <f>COUNTIF(Friday!I:I, B1376)</f>
        <v>0</v>
      </c>
      <c r="H1376">
        <f>SUM(C1376:G1376)</f>
        <v>0</v>
      </c>
    </row>
    <row r="1377" spans="1:8" x14ac:dyDescent="0.25">
      <c r="A1377" s="5" t="s">
        <v>1372</v>
      </c>
      <c r="B1377" t="str">
        <f>"*"&amp;A1377&amp;"*"</f>
        <v>*1288: Difficult To Charge IPG*</v>
      </c>
      <c r="C1377">
        <f>COUNTIF(Monday!I:I, B1377)</f>
        <v>0</v>
      </c>
      <c r="D1377">
        <f>COUNTIF(Tuesday!I:I, B1377)</f>
        <v>0</v>
      </c>
      <c r="E1377">
        <f>COUNTIF(Wednesday!I:I, B1377)</f>
        <v>0</v>
      </c>
      <c r="F1377">
        <f>COUNTIF(Thursday!I:I, B1377)</f>
        <v>0</v>
      </c>
      <c r="G1377">
        <f>COUNTIF(Friday!I:I, B1377)</f>
        <v>0</v>
      </c>
      <c r="H1377">
        <f>SUM(C1377:G1377)</f>
        <v>0</v>
      </c>
    </row>
    <row r="1378" spans="1:8" x14ac:dyDescent="0.25">
      <c r="A1378" s="5" t="s">
        <v>1373</v>
      </c>
      <c r="B1378" t="str">
        <f>"*"&amp;A1378&amp;"*"</f>
        <v>*1470: Extended IPG Charging Time*</v>
      </c>
      <c r="C1378">
        <f>COUNTIF(Monday!I:I, B1378)</f>
        <v>0</v>
      </c>
      <c r="D1378">
        <f>COUNTIF(Tuesday!I:I, B1378)</f>
        <v>0</v>
      </c>
      <c r="E1378">
        <f>COUNTIF(Wednesday!I:I, B1378)</f>
        <v>0</v>
      </c>
      <c r="F1378">
        <f>COUNTIF(Thursday!I:I, B1378)</f>
        <v>0</v>
      </c>
      <c r="G1378">
        <f>COUNTIF(Friday!I:I, B1378)</f>
        <v>0</v>
      </c>
      <c r="H1378">
        <f>SUM(C1378:G1378)</f>
        <v>0</v>
      </c>
    </row>
    <row r="1379" spans="1:8" x14ac:dyDescent="0.25">
      <c r="A1379" s="5" t="s">
        <v>1374</v>
      </c>
      <c r="B1379" t="str">
        <f>"*"&amp;A1379&amp;"*"</f>
        <v>*1474: Failure Of Locator Beep To Stop*</v>
      </c>
      <c r="C1379">
        <f>COUNTIF(Monday!I:I, B1379)</f>
        <v>0</v>
      </c>
      <c r="D1379">
        <f>COUNTIF(Tuesday!I:I, B1379)</f>
        <v>0</v>
      </c>
      <c r="E1379">
        <f>COUNTIF(Wednesday!I:I, B1379)</f>
        <v>0</v>
      </c>
      <c r="F1379">
        <f>COUNTIF(Thursday!I:I, B1379)</f>
        <v>0</v>
      </c>
      <c r="G1379">
        <f>COUNTIF(Friday!I:I, B1379)</f>
        <v>0</v>
      </c>
      <c r="H1379">
        <f>SUM(C1379:G1379)</f>
        <v>0</v>
      </c>
    </row>
    <row r="1380" spans="1:8" x14ac:dyDescent="0.25">
      <c r="A1380" s="5" t="s">
        <v>1375</v>
      </c>
      <c r="B1380" t="str">
        <f>"*"&amp;A1380&amp;"*"</f>
        <v>*1516: Failure To Double Beep*</v>
      </c>
      <c r="C1380">
        <f>COUNTIF(Monday!I:I, B1380)</f>
        <v>0</v>
      </c>
      <c r="D1380">
        <f>COUNTIF(Tuesday!I:I, B1380)</f>
        <v>0</v>
      </c>
      <c r="E1380">
        <f>COUNTIF(Wednesday!I:I, B1380)</f>
        <v>0</v>
      </c>
      <c r="F1380">
        <f>COUNTIF(Thursday!I:I, B1380)</f>
        <v>0</v>
      </c>
      <c r="G1380">
        <f>COUNTIF(Friday!I:I, B1380)</f>
        <v>0</v>
      </c>
      <c r="H1380">
        <f>SUM(C1380:G1380)</f>
        <v>0</v>
      </c>
    </row>
    <row r="1381" spans="1:8" x14ac:dyDescent="0.25">
      <c r="A1381" s="5" t="s">
        <v>1376</v>
      </c>
      <c r="B1381" t="str">
        <f>"*"&amp;A1381&amp;"*"</f>
        <v>*1590: Failure To Stop Beeping When Coupled With Metal*</v>
      </c>
      <c r="C1381">
        <f>COUNTIF(Monday!I:I, B1381)</f>
        <v>0</v>
      </c>
      <c r="D1381">
        <f>COUNTIF(Tuesday!I:I, B1381)</f>
        <v>0</v>
      </c>
      <c r="E1381">
        <f>COUNTIF(Wednesday!I:I, B1381)</f>
        <v>0</v>
      </c>
      <c r="F1381">
        <f>COUNTIF(Thursday!I:I, B1381)</f>
        <v>0</v>
      </c>
      <c r="G1381">
        <f>COUNTIF(Friday!I:I, B1381)</f>
        <v>0</v>
      </c>
      <c r="H1381">
        <f>SUM(C1381:G1381)</f>
        <v>0</v>
      </c>
    </row>
    <row r="1382" spans="1:8" x14ac:dyDescent="0.25">
      <c r="A1382" s="5" t="s">
        <v>1377</v>
      </c>
      <c r="B1382" t="str">
        <f>"*"&amp;A1382&amp;"*"</f>
        <v>*1639: Frequent IPG Charging*</v>
      </c>
      <c r="C1382">
        <f>COUNTIF(Monday!I:I, B1382)</f>
        <v>0</v>
      </c>
      <c r="D1382">
        <f>COUNTIF(Tuesday!I:I, B1382)</f>
        <v>0</v>
      </c>
      <c r="E1382">
        <f>COUNTIF(Wednesday!I:I, B1382)</f>
        <v>0</v>
      </c>
      <c r="F1382">
        <f>COUNTIF(Thursday!I:I, B1382)</f>
        <v>0</v>
      </c>
      <c r="G1382">
        <f>COUNTIF(Friday!I:I, B1382)</f>
        <v>0</v>
      </c>
      <c r="H1382">
        <f>SUM(C1382:G1382)</f>
        <v>0</v>
      </c>
    </row>
    <row r="1383" spans="1:8" x14ac:dyDescent="0.25">
      <c r="A1383" s="5" t="s">
        <v>1378</v>
      </c>
      <c r="B1383" t="str">
        <f>"*"&amp;A1383&amp;"*"</f>
        <v>*1687: Inability To Charge Beyond Two Bars*</v>
      </c>
      <c r="C1383">
        <f>COUNTIF(Monday!I:I, B1383)</f>
        <v>0</v>
      </c>
      <c r="D1383">
        <f>COUNTIF(Tuesday!I:I, B1383)</f>
        <v>0</v>
      </c>
      <c r="E1383">
        <f>COUNTIF(Wednesday!I:I, B1383)</f>
        <v>0</v>
      </c>
      <c r="F1383">
        <f>COUNTIF(Thursday!I:I, B1383)</f>
        <v>0</v>
      </c>
      <c r="G1383">
        <f>COUNTIF(Friday!I:I, B1383)</f>
        <v>0</v>
      </c>
      <c r="H1383">
        <f>SUM(C1383:G1383)</f>
        <v>0</v>
      </c>
    </row>
    <row r="1384" spans="1:8" x14ac:dyDescent="0.25">
      <c r="A1384" s="5" t="s">
        <v>1379</v>
      </c>
      <c r="B1384" t="str">
        <f>"*"&amp;A1384&amp;"*"</f>
        <v>*2731: Premature Double Beep*</v>
      </c>
      <c r="C1384">
        <f>COUNTIF(Monday!I:I, B1384)</f>
        <v>0</v>
      </c>
      <c r="D1384">
        <f>COUNTIF(Tuesday!I:I, B1384)</f>
        <v>0</v>
      </c>
      <c r="E1384">
        <f>COUNTIF(Wednesday!I:I, B1384)</f>
        <v>0</v>
      </c>
      <c r="F1384">
        <f>COUNTIF(Thursday!I:I, B1384)</f>
        <v>0</v>
      </c>
      <c r="G1384">
        <f>COUNTIF(Friday!I:I, B1384)</f>
        <v>0</v>
      </c>
      <c r="H1384">
        <f>SUM(C1384:G1384)</f>
        <v>0</v>
      </c>
    </row>
    <row r="1385" spans="1:8" x14ac:dyDescent="0.25">
      <c r="A1385" s="5" t="s">
        <v>1380</v>
      </c>
      <c r="B1385" t="str">
        <f>"*"&amp;A1385&amp;"*"</f>
        <v>*3239: Abnormal Beep*</v>
      </c>
      <c r="C1385">
        <f>COUNTIF(Monday!I:I, B1385)</f>
        <v>0</v>
      </c>
      <c r="D1385">
        <f>COUNTIF(Tuesday!I:I, B1385)</f>
        <v>0</v>
      </c>
      <c r="E1385">
        <f>COUNTIF(Wednesday!I:I, B1385)</f>
        <v>0</v>
      </c>
      <c r="F1385">
        <f>COUNTIF(Thursday!I:I, B1385)</f>
        <v>0</v>
      </c>
      <c r="G1385">
        <f>COUNTIF(Friday!I:I, B1385)</f>
        <v>0</v>
      </c>
      <c r="H1385">
        <f>SUM(C1385:G1385)</f>
        <v>0</v>
      </c>
    </row>
    <row r="1386" spans="1:8" x14ac:dyDescent="0.25">
      <c r="A1386" s="5" t="s">
        <v>1381</v>
      </c>
      <c r="B1386" t="str">
        <f>"*"&amp;A1386&amp;"*"</f>
        <v>*3265: On/Off Button Malfunction*</v>
      </c>
      <c r="C1386">
        <f>COUNTIF(Monday!I:I, B1386)</f>
        <v>0</v>
      </c>
      <c r="D1386">
        <f>COUNTIF(Tuesday!I:I, B1386)</f>
        <v>0</v>
      </c>
      <c r="E1386">
        <f>COUNTIF(Wednesday!I:I, B1386)</f>
        <v>0</v>
      </c>
      <c r="F1386">
        <f>COUNTIF(Thursday!I:I, B1386)</f>
        <v>0</v>
      </c>
      <c r="G1386">
        <f>COUNTIF(Friday!I:I, B1386)</f>
        <v>0</v>
      </c>
      <c r="H1386">
        <f>SUM(C1386:G1386)</f>
        <v>0</v>
      </c>
    </row>
    <row r="1387" spans="1:8" x14ac:dyDescent="0.25">
      <c r="A1387" s="5" t="s">
        <v>1382</v>
      </c>
      <c r="B1387" t="str">
        <f>"*"&amp;A1387&amp;"*"</f>
        <v>*1374: Difficult To Use Belt To Charge*</v>
      </c>
      <c r="C1387">
        <f>COUNTIF(Monday!I:I, B1387)</f>
        <v>0</v>
      </c>
      <c r="D1387">
        <f>COUNTIF(Tuesday!I:I, B1387)</f>
        <v>0</v>
      </c>
      <c r="E1387">
        <f>COUNTIF(Wednesday!I:I, B1387)</f>
        <v>0</v>
      </c>
      <c r="F1387">
        <f>COUNTIF(Thursday!I:I, B1387)</f>
        <v>0</v>
      </c>
      <c r="G1387">
        <f>COUNTIF(Friday!I:I, B1387)</f>
        <v>0</v>
      </c>
      <c r="H1387">
        <f>SUM(C1387:G1387)</f>
        <v>0</v>
      </c>
    </row>
    <row r="1388" spans="1:8" x14ac:dyDescent="0.25">
      <c r="A1388" s="5" t="s">
        <v>1383</v>
      </c>
      <c r="B1388" t="str">
        <f>"*"&amp;A1388&amp;"*"</f>
        <v>*2241: Problem With ETS Belt*</v>
      </c>
      <c r="C1388">
        <f>COUNTIF(Monday!I:I, B1388)</f>
        <v>0</v>
      </c>
      <c r="D1388">
        <f>COUNTIF(Tuesday!I:I, B1388)</f>
        <v>0</v>
      </c>
      <c r="E1388">
        <f>COUNTIF(Wednesday!I:I, B1388)</f>
        <v>0</v>
      </c>
      <c r="F1388">
        <f>COUNTIF(Thursday!I:I, B1388)</f>
        <v>0</v>
      </c>
      <c r="G1388">
        <f>COUNTIF(Friday!I:I, B1388)</f>
        <v>0</v>
      </c>
      <c r="H1388">
        <f>SUM(C1388:G1388)</f>
        <v>0</v>
      </c>
    </row>
    <row r="1389" spans="1:8" x14ac:dyDescent="0.25">
      <c r="A1389" s="5" t="s">
        <v>1384</v>
      </c>
      <c r="B1389" t="str">
        <f>"*"&amp;A1389&amp;"*"</f>
        <v>*1291: Difficult To Communicate RC To ETS*</v>
      </c>
      <c r="C1389">
        <f>COUNTIF(Monday!I:I, B1389)</f>
        <v>0</v>
      </c>
      <c r="D1389">
        <f>COUNTIF(Tuesday!I:I, B1389)</f>
        <v>0</v>
      </c>
      <c r="E1389">
        <f>COUNTIF(Wednesday!I:I, B1389)</f>
        <v>0</v>
      </c>
      <c r="F1389">
        <f>COUNTIF(Thursday!I:I, B1389)</f>
        <v>0</v>
      </c>
      <c r="G1389">
        <f>COUNTIF(Friday!I:I, B1389)</f>
        <v>0</v>
      </c>
      <c r="H1389">
        <f>SUM(C1389:G1389)</f>
        <v>0</v>
      </c>
    </row>
    <row r="1390" spans="1:8" x14ac:dyDescent="0.25">
      <c r="A1390" s="5" t="s">
        <v>1385</v>
      </c>
      <c r="B1390" t="str">
        <f>"*"&amp;A1390&amp;"*"</f>
        <v>*1292: Difficult To Communicate RC/HHP To CP*</v>
      </c>
      <c r="C1390">
        <f>COUNTIF(Monday!I:I, B1390)</f>
        <v>0</v>
      </c>
      <c r="D1390">
        <f>COUNTIF(Tuesday!I:I, B1390)</f>
        <v>0</v>
      </c>
      <c r="E1390">
        <f>COUNTIF(Wednesday!I:I, B1390)</f>
        <v>0</v>
      </c>
      <c r="F1390">
        <f>COUNTIF(Thursday!I:I, B1390)</f>
        <v>0</v>
      </c>
      <c r="G1390">
        <f>COUNTIF(Friday!I:I, B1390)</f>
        <v>0</v>
      </c>
      <c r="H1390">
        <f>SUM(C1390:G1390)</f>
        <v>0</v>
      </c>
    </row>
    <row r="1391" spans="1:8" x14ac:dyDescent="0.25">
      <c r="A1391" s="5" t="s">
        <v>1386</v>
      </c>
      <c r="B1391" t="str">
        <f>"*"&amp;A1391&amp;"*"</f>
        <v>*1293: Difficult To Communicate RC/HHP To IPG*</v>
      </c>
      <c r="C1391">
        <f>COUNTIF(Monday!I:I, B1391)</f>
        <v>0</v>
      </c>
      <c r="D1391">
        <f>COUNTIF(Tuesday!I:I, B1391)</f>
        <v>0</v>
      </c>
      <c r="E1391">
        <f>COUNTIF(Wednesday!I:I, B1391)</f>
        <v>0</v>
      </c>
      <c r="F1391">
        <f>COUNTIF(Thursday!I:I, B1391)</f>
        <v>0</v>
      </c>
      <c r="G1391">
        <f>COUNTIF(Friday!I:I, B1391)</f>
        <v>0</v>
      </c>
      <c r="H1391">
        <f>SUM(C1391:G1391)</f>
        <v>0</v>
      </c>
    </row>
    <row r="1392" spans="1:8" x14ac:dyDescent="0.25">
      <c r="A1392" s="5" t="s">
        <v>1387</v>
      </c>
      <c r="B1392" t="str">
        <f>"*"&amp;A1392&amp;"*"</f>
        <v>*1462: ETS Will Not Link Or Synchronize*</v>
      </c>
      <c r="C1392">
        <f>COUNTIF(Monday!I:I, B1392)</f>
        <v>0</v>
      </c>
      <c r="D1392">
        <f>COUNTIF(Tuesday!I:I, B1392)</f>
        <v>0</v>
      </c>
      <c r="E1392">
        <f>COUNTIF(Wednesday!I:I, B1392)</f>
        <v>0</v>
      </c>
      <c r="F1392">
        <f>COUNTIF(Thursday!I:I, B1392)</f>
        <v>0</v>
      </c>
      <c r="G1392">
        <f>COUNTIF(Friday!I:I, B1392)</f>
        <v>0</v>
      </c>
      <c r="H1392">
        <f>SUM(C1392:G1392)</f>
        <v>0</v>
      </c>
    </row>
    <row r="1393" spans="1:8" x14ac:dyDescent="0.25">
      <c r="A1393" s="5" t="s">
        <v>1388</v>
      </c>
      <c r="B1393" t="str">
        <f>"*"&amp;A1393&amp;"*"</f>
        <v>*1494: Failure To Change Between Programs*</v>
      </c>
      <c r="C1393">
        <f>COUNTIF(Monday!I:I, B1393)</f>
        <v>0</v>
      </c>
      <c r="D1393">
        <f>COUNTIF(Tuesday!I:I, B1393)</f>
        <v>0</v>
      </c>
      <c r="E1393">
        <f>COUNTIF(Wednesday!I:I, B1393)</f>
        <v>0</v>
      </c>
      <c r="F1393">
        <f>COUNTIF(Thursday!I:I, B1393)</f>
        <v>0</v>
      </c>
      <c r="G1393">
        <f>COUNTIF(Friday!I:I, B1393)</f>
        <v>0</v>
      </c>
      <c r="H1393">
        <f>SUM(C1393:G1393)</f>
        <v>0</v>
      </c>
    </row>
    <row r="1394" spans="1:8" x14ac:dyDescent="0.25">
      <c r="A1394" s="5" t="s">
        <v>1389</v>
      </c>
      <c r="B1394" t="str">
        <f>"*"&amp;A1394&amp;"*"</f>
        <v>*1495: Failure To Change/Turn Stimulation On/Off*</v>
      </c>
      <c r="C1394">
        <f>COUNTIF(Monday!I:I, B1394)</f>
        <v>0</v>
      </c>
      <c r="D1394">
        <f>COUNTIF(Tuesday!I:I, B1394)</f>
        <v>0</v>
      </c>
      <c r="E1394">
        <f>COUNTIF(Wednesday!I:I, B1394)</f>
        <v>0</v>
      </c>
      <c r="F1394">
        <f>COUNTIF(Thursday!I:I, B1394)</f>
        <v>0</v>
      </c>
      <c r="G1394">
        <f>COUNTIF(Friday!I:I, B1394)</f>
        <v>0</v>
      </c>
      <c r="H1394">
        <f>SUM(C1394:G1394)</f>
        <v>0</v>
      </c>
    </row>
    <row r="1395" spans="1:8" x14ac:dyDescent="0.25">
      <c r="A1395" s="5" t="s">
        <v>1390</v>
      </c>
      <c r="B1395" t="str">
        <f>"*"&amp;A1395&amp;"*"</f>
        <v>*1595: Failure To Unlock Programs*</v>
      </c>
      <c r="C1395">
        <f>COUNTIF(Monday!I:I, B1395)</f>
        <v>0</v>
      </c>
      <c r="D1395">
        <f>COUNTIF(Tuesday!I:I, B1395)</f>
        <v>0</v>
      </c>
      <c r="E1395">
        <f>COUNTIF(Wednesday!I:I, B1395)</f>
        <v>0</v>
      </c>
      <c r="F1395">
        <f>COUNTIF(Thursday!I:I, B1395)</f>
        <v>0</v>
      </c>
      <c r="G1395">
        <f>COUNTIF(Friday!I:I, B1395)</f>
        <v>0</v>
      </c>
      <c r="H1395">
        <f>SUM(C1395:G1395)</f>
        <v>0</v>
      </c>
    </row>
    <row r="1396" spans="1:8" x14ac:dyDescent="0.25">
      <c r="A1396" s="5" t="s">
        <v>1391</v>
      </c>
      <c r="B1396" t="str">
        <f>"*"&amp;A1396&amp;"*"</f>
        <v>*1942: Message - Error Codes Displayed On CP*</v>
      </c>
      <c r="C1396">
        <f>COUNTIF(Monday!I:I, B1396)</f>
        <v>0</v>
      </c>
      <c r="D1396">
        <f>COUNTIF(Tuesday!I:I, B1396)</f>
        <v>0</v>
      </c>
      <c r="E1396">
        <f>COUNTIF(Wednesday!I:I, B1396)</f>
        <v>0</v>
      </c>
      <c r="F1396">
        <f>COUNTIF(Thursday!I:I, B1396)</f>
        <v>0</v>
      </c>
      <c r="G1396">
        <f>COUNTIF(Friday!I:I, B1396)</f>
        <v>0</v>
      </c>
      <c r="H1396">
        <f>SUM(C1396:G1396)</f>
        <v>0</v>
      </c>
    </row>
    <row r="1397" spans="1:8" x14ac:dyDescent="0.25">
      <c r="A1397" s="5" t="s">
        <v>1392</v>
      </c>
      <c r="B1397" t="str">
        <f>"*"&amp;A1397&amp;"*"</f>
        <v>*1943: Message - Error Codes Displayed On RC*</v>
      </c>
      <c r="C1397">
        <f>COUNTIF(Monday!I:I, B1397)</f>
        <v>0</v>
      </c>
      <c r="D1397">
        <f>COUNTIF(Tuesday!I:I, B1397)</f>
        <v>0</v>
      </c>
      <c r="E1397">
        <f>COUNTIF(Wednesday!I:I, B1397)</f>
        <v>0</v>
      </c>
      <c r="F1397">
        <f>COUNTIF(Thursday!I:I, B1397)</f>
        <v>0</v>
      </c>
      <c r="G1397">
        <f>COUNTIF(Friday!I:I, B1397)</f>
        <v>0</v>
      </c>
      <c r="H1397">
        <f>SUM(C1397:G1397)</f>
        <v>0</v>
      </c>
    </row>
    <row r="1398" spans="1:8" x14ac:dyDescent="0.25">
      <c r="A1398" s="5" t="s">
        <v>1393</v>
      </c>
      <c r="B1398" t="str">
        <f>"*"&amp;A1398&amp;"*"</f>
        <v>*2186: Patient Database Synchronization Error*</v>
      </c>
      <c r="C1398">
        <f>COUNTIF(Monday!I:I, B1398)</f>
        <v>0</v>
      </c>
      <c r="D1398">
        <f>COUNTIF(Tuesday!I:I, B1398)</f>
        <v>0</v>
      </c>
      <c r="E1398">
        <f>COUNTIF(Wednesday!I:I, B1398)</f>
        <v>0</v>
      </c>
      <c r="F1398">
        <f>COUNTIF(Thursday!I:I, B1398)</f>
        <v>0</v>
      </c>
      <c r="G1398">
        <f>COUNTIF(Friday!I:I, B1398)</f>
        <v>0</v>
      </c>
      <c r="H1398">
        <f>SUM(C1398:G1398)</f>
        <v>0</v>
      </c>
    </row>
    <row r="1399" spans="1:8" x14ac:dyDescent="0.25">
      <c r="A1399" s="5" t="s">
        <v>1394</v>
      </c>
      <c r="B1399" t="str">
        <f>"*"&amp;A1399&amp;"*"</f>
        <v>*2256: RC Reportedly Beeps*</v>
      </c>
      <c r="C1399">
        <f>COUNTIF(Monday!I:I, B1399)</f>
        <v>0</v>
      </c>
      <c r="D1399">
        <f>COUNTIF(Tuesday!I:I, B1399)</f>
        <v>0</v>
      </c>
      <c r="E1399">
        <f>COUNTIF(Wednesday!I:I, B1399)</f>
        <v>0</v>
      </c>
      <c r="F1399">
        <f>COUNTIF(Thursday!I:I, B1399)</f>
        <v>0</v>
      </c>
      <c r="G1399">
        <f>COUNTIF(Friday!I:I, B1399)</f>
        <v>0</v>
      </c>
      <c r="H1399">
        <f>SUM(C1399:G1399)</f>
        <v>0</v>
      </c>
    </row>
    <row r="1400" spans="1:8" x14ac:dyDescent="0.25">
      <c r="A1400" s="5" t="s">
        <v>1395</v>
      </c>
      <c r="B1400" t="str">
        <f>"*"&amp;A1400&amp;"*"</f>
        <v>*2257: RC/HHP Fast Battery Depletion*</v>
      </c>
      <c r="C1400">
        <f>COUNTIF(Monday!I:I, B1400)</f>
        <v>0</v>
      </c>
      <c r="D1400">
        <f>COUNTIF(Tuesday!I:I, B1400)</f>
        <v>0</v>
      </c>
      <c r="E1400">
        <f>COUNTIF(Wednesday!I:I, B1400)</f>
        <v>0</v>
      </c>
      <c r="F1400">
        <f>COUNTIF(Thursday!I:I, B1400)</f>
        <v>0</v>
      </c>
      <c r="G1400">
        <f>COUNTIF(Friday!I:I, B1400)</f>
        <v>0</v>
      </c>
      <c r="H1400">
        <f>SUM(C1400:G1400)</f>
        <v>0</v>
      </c>
    </row>
    <row r="1401" spans="1:8" x14ac:dyDescent="0.25">
      <c r="A1401" s="5" t="s">
        <v>1396</v>
      </c>
      <c r="B1401" t="str">
        <f>"*"&amp;A1401&amp;"*"</f>
        <v>*2258: RC/HHP LCD Anomaly*</v>
      </c>
      <c r="C1401">
        <f>COUNTIF(Monday!I:I, B1401)</f>
        <v>0</v>
      </c>
      <c r="D1401">
        <f>COUNTIF(Tuesday!I:I, B1401)</f>
        <v>0</v>
      </c>
      <c r="E1401">
        <f>COUNTIF(Wednesday!I:I, B1401)</f>
        <v>0</v>
      </c>
      <c r="F1401">
        <f>COUNTIF(Thursday!I:I, B1401)</f>
        <v>0</v>
      </c>
      <c r="G1401">
        <f>COUNTIF(Friday!I:I, B1401)</f>
        <v>0</v>
      </c>
      <c r="H1401">
        <f>SUM(C1401:G1401)</f>
        <v>0</v>
      </c>
    </row>
    <row r="1402" spans="1:8" x14ac:dyDescent="0.25">
      <c r="A1402" s="5" t="s">
        <v>1397</v>
      </c>
      <c r="B1402" t="str">
        <f>"*"&amp;A1402&amp;"*"</f>
        <v>*2352: Stimulation Change When RC Sleeps*</v>
      </c>
      <c r="C1402">
        <f>COUNTIF(Monday!I:I, B1402)</f>
        <v>0</v>
      </c>
      <c r="D1402">
        <f>COUNTIF(Tuesday!I:I, B1402)</f>
        <v>0</v>
      </c>
      <c r="E1402">
        <f>COUNTIF(Wednesday!I:I, B1402)</f>
        <v>0</v>
      </c>
      <c r="F1402">
        <f>COUNTIF(Thursday!I:I, B1402)</f>
        <v>0</v>
      </c>
      <c r="G1402">
        <f>COUNTIF(Friday!I:I, B1402)</f>
        <v>0</v>
      </c>
      <c r="H1402">
        <f>SUM(C1402:G1402)</f>
        <v>0</v>
      </c>
    </row>
    <row r="1403" spans="1:8" x14ac:dyDescent="0.25">
      <c r="A1403" s="5" t="s">
        <v>1398</v>
      </c>
      <c r="B1403" t="str">
        <f>"*"&amp;A1403&amp;"*"</f>
        <v>*2358: Stopped Working - Backlight*</v>
      </c>
      <c r="C1403">
        <f>COUNTIF(Monday!I:I, B1403)</f>
        <v>0</v>
      </c>
      <c r="D1403">
        <f>COUNTIF(Tuesday!I:I, B1403)</f>
        <v>0</v>
      </c>
      <c r="E1403">
        <f>COUNTIF(Wednesday!I:I, B1403)</f>
        <v>0</v>
      </c>
      <c r="F1403">
        <f>COUNTIF(Thursday!I:I, B1403)</f>
        <v>0</v>
      </c>
      <c r="G1403">
        <f>COUNTIF(Friday!I:I, B1403)</f>
        <v>0</v>
      </c>
      <c r="H1403">
        <f>SUM(C1403:G1403)</f>
        <v>0</v>
      </c>
    </row>
    <row r="1404" spans="1:8" x14ac:dyDescent="0.25">
      <c r="A1404" s="5" t="s">
        <v>1399</v>
      </c>
      <c r="B1404" t="str">
        <f>"*"&amp;A1404&amp;"*"</f>
        <v>*2733: Program Lost*</v>
      </c>
      <c r="C1404">
        <f>COUNTIF(Monday!I:I, B1404)</f>
        <v>0</v>
      </c>
      <c r="D1404">
        <f>COUNTIF(Tuesday!I:I, B1404)</f>
        <v>0</v>
      </c>
      <c r="E1404">
        <f>COUNTIF(Wednesday!I:I, B1404)</f>
        <v>0</v>
      </c>
      <c r="F1404">
        <f>COUNTIF(Thursday!I:I, B1404)</f>
        <v>0</v>
      </c>
      <c r="G1404">
        <f>COUNTIF(Friday!I:I, B1404)</f>
        <v>0</v>
      </c>
      <c r="H1404">
        <f>SUM(C1404:G1404)</f>
        <v>0</v>
      </c>
    </row>
    <row r="1405" spans="1:8" x14ac:dyDescent="0.25">
      <c r="A1405" s="5" t="s">
        <v>1400</v>
      </c>
      <c r="B1405" t="str">
        <f>"*"&amp;A1405&amp;"*"</f>
        <v>*1289: Difficult To Charge The RC*</v>
      </c>
      <c r="C1405">
        <f>COUNTIF(Monday!I:I, B1405)</f>
        <v>0</v>
      </c>
      <c r="D1405">
        <f>COUNTIF(Tuesday!I:I, B1405)</f>
        <v>0</v>
      </c>
      <c r="E1405">
        <f>COUNTIF(Wednesday!I:I, B1405)</f>
        <v>0</v>
      </c>
      <c r="F1405">
        <f>COUNTIF(Thursday!I:I, B1405)</f>
        <v>0</v>
      </c>
      <c r="G1405">
        <f>COUNTIF(Friday!I:I, B1405)</f>
        <v>0</v>
      </c>
      <c r="H1405">
        <f>SUM(C1405:G1405)</f>
        <v>0</v>
      </c>
    </row>
    <row r="1406" spans="1:8" x14ac:dyDescent="0.25">
      <c r="A1406" s="5" t="s">
        <v>1401</v>
      </c>
      <c r="B1406" t="str">
        <f>"*"&amp;A1406&amp;"*"</f>
        <v>*1317: Difficult To Insert Or Cable Into ETS*</v>
      </c>
      <c r="C1406">
        <f>COUNTIF(Monday!I:I, B1406)</f>
        <v>0</v>
      </c>
      <c r="D1406">
        <f>COUNTIF(Tuesday!I:I, B1406)</f>
        <v>0</v>
      </c>
      <c r="E1406">
        <f>COUNTIF(Wednesday!I:I, B1406)</f>
        <v>0</v>
      </c>
      <c r="F1406">
        <f>COUNTIF(Thursday!I:I, B1406)</f>
        <v>0</v>
      </c>
      <c r="G1406">
        <f>COUNTIF(Friday!I:I, B1406)</f>
        <v>0</v>
      </c>
      <c r="H1406">
        <f>SUM(C1406:G1406)</f>
        <v>0</v>
      </c>
    </row>
    <row r="1407" spans="1:8" x14ac:dyDescent="0.25">
      <c r="A1407" s="5" t="s">
        <v>1402</v>
      </c>
      <c r="B1407" t="str">
        <f>"*"&amp;A1407&amp;"*"</f>
        <v>*1460: ETS Battery Life Short*</v>
      </c>
      <c r="C1407">
        <f>COUNTIF(Monday!I:I, B1407)</f>
        <v>0</v>
      </c>
      <c r="D1407">
        <f>COUNTIF(Tuesday!I:I, B1407)</f>
        <v>0</v>
      </c>
      <c r="E1407">
        <f>COUNTIF(Wednesday!I:I, B1407)</f>
        <v>0</v>
      </c>
      <c r="F1407">
        <f>COUNTIF(Thursday!I:I, B1407)</f>
        <v>0</v>
      </c>
      <c r="G1407">
        <f>COUNTIF(Friday!I:I, B1407)</f>
        <v>0</v>
      </c>
      <c r="H1407">
        <f>SUM(C1407:G1407)</f>
        <v>0</v>
      </c>
    </row>
    <row r="1408" spans="1:8" x14ac:dyDescent="0.25">
      <c r="A1408" s="5" t="s">
        <v>1403</v>
      </c>
      <c r="B1408" t="str">
        <f>"*"&amp;A1408&amp;"*"</f>
        <v>*1461: ETS LED Does Not Come On*</v>
      </c>
      <c r="C1408">
        <f>COUNTIF(Monday!I:I, B1408)</f>
        <v>0</v>
      </c>
      <c r="D1408">
        <f>COUNTIF(Tuesday!I:I, B1408)</f>
        <v>0</v>
      </c>
      <c r="E1408">
        <f>COUNTIF(Wednesday!I:I, B1408)</f>
        <v>0</v>
      </c>
      <c r="F1408">
        <f>COUNTIF(Thursday!I:I, B1408)</f>
        <v>0</v>
      </c>
      <c r="G1408">
        <f>COUNTIF(Friday!I:I, B1408)</f>
        <v>0</v>
      </c>
      <c r="H1408">
        <f>SUM(C1408:G1408)</f>
        <v>0</v>
      </c>
    </row>
    <row r="1409" spans="1:8" x14ac:dyDescent="0.25">
      <c r="A1409" s="5" t="s">
        <v>1404</v>
      </c>
      <c r="B1409" t="str">
        <f>"*"&amp;A1409&amp;"*"</f>
        <v>*1741: Intermittent Stimulation Caused By ETS*</v>
      </c>
      <c r="C1409">
        <f>COUNTIF(Monday!I:I, B1409)</f>
        <v>0</v>
      </c>
      <c r="D1409">
        <f>COUNTIF(Tuesday!I:I, B1409)</f>
        <v>0</v>
      </c>
      <c r="E1409">
        <f>COUNTIF(Wednesday!I:I, B1409)</f>
        <v>0</v>
      </c>
      <c r="F1409">
        <f>COUNTIF(Thursday!I:I, B1409)</f>
        <v>0</v>
      </c>
      <c r="G1409">
        <f>COUNTIF(Friday!I:I, B1409)</f>
        <v>0</v>
      </c>
      <c r="H1409">
        <f>SUM(C1409:G1409)</f>
        <v>0</v>
      </c>
    </row>
    <row r="1410" spans="1:8" x14ac:dyDescent="0.25">
      <c r="A1410" s="5" t="s">
        <v>1405</v>
      </c>
      <c r="B1410" t="str">
        <f>"*"&amp;A1410&amp;"*"</f>
        <v>*1802: Loss/No Stimulation*</v>
      </c>
      <c r="C1410">
        <f>COUNTIF(Monday!I:I, B1410)</f>
        <v>0</v>
      </c>
      <c r="D1410">
        <f>COUNTIF(Tuesday!I:I, B1410)</f>
        <v>0</v>
      </c>
      <c r="E1410">
        <f>COUNTIF(Wednesday!I:I, B1410)</f>
        <v>0</v>
      </c>
      <c r="F1410">
        <f>COUNTIF(Thursday!I:I, B1410)</f>
        <v>0</v>
      </c>
      <c r="G1410">
        <f>COUNTIF(Friday!I:I, B1410)</f>
        <v>0</v>
      </c>
      <c r="H1410">
        <f>SUM(C1410:G1410)</f>
        <v>0</v>
      </c>
    </row>
    <row r="1411" spans="1:8" x14ac:dyDescent="0.25">
      <c r="A1411" s="5" t="s">
        <v>1406</v>
      </c>
      <c r="B1411" t="str">
        <f>"*"&amp;A1411&amp;"*"</f>
        <v>*2162: Over Stimulation Caused By ETS*</v>
      </c>
      <c r="C1411">
        <f>COUNTIF(Monday!I:I, B1411)</f>
        <v>0</v>
      </c>
      <c r="D1411">
        <f>COUNTIF(Tuesday!I:I, B1411)</f>
        <v>0</v>
      </c>
      <c r="E1411">
        <f>COUNTIF(Wednesday!I:I, B1411)</f>
        <v>0</v>
      </c>
      <c r="F1411">
        <f>COUNTIF(Thursday!I:I, B1411)</f>
        <v>0</v>
      </c>
      <c r="G1411">
        <f>COUNTIF(Friday!I:I, B1411)</f>
        <v>0</v>
      </c>
      <c r="H1411">
        <f>SUM(C1411:G1411)</f>
        <v>0</v>
      </c>
    </row>
    <row r="1412" spans="1:8" x14ac:dyDescent="0.25">
      <c r="A1412" s="5" t="s">
        <v>1407</v>
      </c>
      <c r="B1412" t="str">
        <f>"*"&amp;A1412&amp;"*"</f>
        <v>*2354: Stimulation Inadequate*</v>
      </c>
      <c r="C1412">
        <f>COUNTIF(Monday!I:I, B1412)</f>
        <v>0</v>
      </c>
      <c r="D1412">
        <f>COUNTIF(Tuesday!I:I, B1412)</f>
        <v>0</v>
      </c>
      <c r="E1412">
        <f>COUNTIF(Wednesday!I:I, B1412)</f>
        <v>0</v>
      </c>
      <c r="F1412">
        <f>COUNTIF(Thursday!I:I, B1412)</f>
        <v>0</v>
      </c>
      <c r="G1412">
        <f>COUNTIF(Friday!I:I, B1412)</f>
        <v>0</v>
      </c>
      <c r="H1412">
        <f>SUM(C1412:G1412)</f>
        <v>0</v>
      </c>
    </row>
    <row r="1413" spans="1:8" x14ac:dyDescent="0.25">
      <c r="A1413" s="5" t="s">
        <v>1408</v>
      </c>
      <c r="B1413" t="str">
        <f>"*"&amp;A1413&amp;"*"</f>
        <v>*1312: Difficult To Insert Lead In Or Cable*</v>
      </c>
      <c r="C1413">
        <f>COUNTIF(Monday!I:I, B1413)</f>
        <v>0</v>
      </c>
      <c r="D1413">
        <f>COUNTIF(Tuesday!I:I, B1413)</f>
        <v>0</v>
      </c>
      <c r="E1413">
        <f>COUNTIF(Wednesday!I:I, B1413)</f>
        <v>0</v>
      </c>
      <c r="F1413">
        <f>COUNTIF(Thursday!I:I, B1413)</f>
        <v>0</v>
      </c>
      <c r="G1413">
        <f>COUNTIF(Friday!I:I, B1413)</f>
        <v>0</v>
      </c>
      <c r="H1413">
        <f>SUM(C1413:G1413)</f>
        <v>0</v>
      </c>
    </row>
    <row r="1414" spans="1:8" x14ac:dyDescent="0.25">
      <c r="A1414" s="5" t="s">
        <v>1409</v>
      </c>
      <c r="B1414" t="str">
        <f>"*"&amp;A1414&amp;"*"</f>
        <v>*1313: Difficult To Insert Lead Into Adapter*</v>
      </c>
      <c r="C1414">
        <f>COUNTIF(Monday!I:I, B1414)</f>
        <v>0</v>
      </c>
      <c r="D1414">
        <f>COUNTIF(Tuesday!I:I, B1414)</f>
        <v>0</v>
      </c>
      <c r="E1414">
        <f>COUNTIF(Wednesday!I:I, B1414)</f>
        <v>0</v>
      </c>
      <c r="F1414">
        <f>COUNTIF(Thursday!I:I, B1414)</f>
        <v>0</v>
      </c>
      <c r="G1414">
        <f>COUNTIF(Friday!I:I, B1414)</f>
        <v>0</v>
      </c>
      <c r="H1414">
        <f>SUM(C1414:G1414)</f>
        <v>0</v>
      </c>
    </row>
    <row r="1415" spans="1:8" x14ac:dyDescent="0.25">
      <c r="A1415" s="5" t="s">
        <v>1410</v>
      </c>
      <c r="B1415" t="str">
        <f>"*"&amp;A1415&amp;"*"</f>
        <v>*1375: Difficult To Use Burr Hole Cover*</v>
      </c>
      <c r="C1415">
        <f>COUNTIF(Monday!I:I, B1415)</f>
        <v>0</v>
      </c>
      <c r="D1415">
        <f>COUNTIF(Tuesday!I:I, B1415)</f>
        <v>0</v>
      </c>
      <c r="E1415">
        <f>COUNTIF(Wednesday!I:I, B1415)</f>
        <v>0</v>
      </c>
      <c r="F1415">
        <f>COUNTIF(Thursday!I:I, B1415)</f>
        <v>0</v>
      </c>
      <c r="G1415">
        <f>COUNTIF(Friday!I:I, B1415)</f>
        <v>0</v>
      </c>
      <c r="H1415">
        <f>SUM(C1415:G1415)</f>
        <v>0</v>
      </c>
    </row>
    <row r="1416" spans="1:8" x14ac:dyDescent="0.25">
      <c r="A1416" s="5" t="s">
        <v>1411</v>
      </c>
      <c r="B1416" t="str">
        <f>"*"&amp;A1416&amp;"*"</f>
        <v>*1314: Difficult To Insert Lead Into Anchoring Device*</v>
      </c>
      <c r="C1416">
        <f>COUNTIF(Monday!I:I, B1416)</f>
        <v>0</v>
      </c>
      <c r="D1416">
        <f>COUNTIF(Tuesday!I:I, B1416)</f>
        <v>0</v>
      </c>
      <c r="E1416">
        <f>COUNTIF(Wednesday!I:I, B1416)</f>
        <v>0</v>
      </c>
      <c r="F1416">
        <f>COUNTIF(Thursday!I:I, B1416)</f>
        <v>0</v>
      </c>
      <c r="G1416">
        <f>COUNTIF(Friday!I:I, B1416)</f>
        <v>0</v>
      </c>
      <c r="H1416">
        <f>SUM(C1416:G1416)</f>
        <v>0</v>
      </c>
    </row>
    <row r="1417" spans="1:8" x14ac:dyDescent="0.25">
      <c r="A1417" s="5" t="s">
        <v>1412</v>
      </c>
      <c r="B1417" t="str">
        <f>"*"&amp;A1417&amp;"*"</f>
        <v>*1318: Difficult To Insert Port Plug*</v>
      </c>
      <c r="C1417">
        <f>COUNTIF(Monday!I:I, B1417)</f>
        <v>0</v>
      </c>
      <c r="D1417">
        <f>COUNTIF(Tuesday!I:I, B1417)</f>
        <v>0</v>
      </c>
      <c r="E1417">
        <f>COUNTIF(Wednesday!I:I, B1417)</f>
        <v>0</v>
      </c>
      <c r="F1417">
        <f>COUNTIF(Thursday!I:I, B1417)</f>
        <v>0</v>
      </c>
      <c r="G1417">
        <f>COUNTIF(Friday!I:I, B1417)</f>
        <v>0</v>
      </c>
      <c r="H1417">
        <f>SUM(C1417:G1417)</f>
        <v>0</v>
      </c>
    </row>
    <row r="1418" spans="1:8" x14ac:dyDescent="0.25">
      <c r="A1418" s="5" t="s">
        <v>1413</v>
      </c>
      <c r="B1418" t="str">
        <f>"*"&amp;A1418&amp;"*"</f>
        <v>*1252: Device Handling Issue*</v>
      </c>
      <c r="C1418">
        <f>COUNTIF(Monday!I:I, B1418)</f>
        <v>0</v>
      </c>
      <c r="D1418">
        <f>COUNTIF(Tuesday!I:I, B1418)</f>
        <v>0</v>
      </c>
      <c r="E1418">
        <f>COUNTIF(Wednesday!I:I, B1418)</f>
        <v>0</v>
      </c>
      <c r="F1418">
        <f>COUNTIF(Thursday!I:I, B1418)</f>
        <v>0</v>
      </c>
      <c r="G1418">
        <f>COUNTIF(Friday!I:I, B1418)</f>
        <v>0</v>
      </c>
      <c r="H1418">
        <f>SUM(C1418:G1418)</f>
        <v>0</v>
      </c>
    </row>
    <row r="1419" spans="1:8" x14ac:dyDescent="0.25">
      <c r="A1419" s="5" t="s">
        <v>1414</v>
      </c>
      <c r="B1419" t="str">
        <f>"*"&amp;A1419&amp;"*"</f>
        <v>*1262: Device Shipped Without Being Fully Charged*</v>
      </c>
      <c r="C1419">
        <f>COUNTIF(Monday!I:I, B1419)</f>
        <v>0</v>
      </c>
      <c r="D1419">
        <f>COUNTIF(Tuesday!I:I, B1419)</f>
        <v>0</v>
      </c>
      <c r="E1419">
        <f>COUNTIF(Wednesday!I:I, B1419)</f>
        <v>0</v>
      </c>
      <c r="F1419">
        <f>COUNTIF(Thursday!I:I, B1419)</f>
        <v>0</v>
      </c>
      <c r="G1419">
        <f>COUNTIF(Friday!I:I, B1419)</f>
        <v>0</v>
      </c>
      <c r="H1419">
        <f>SUM(C1419:G1419)</f>
        <v>0</v>
      </c>
    </row>
    <row r="1420" spans="1:8" x14ac:dyDescent="0.25">
      <c r="A1420" s="5" t="s">
        <v>1415</v>
      </c>
      <c r="B1420" t="str">
        <f>"*"&amp;A1420&amp;"*"</f>
        <v>*1316: Difficult To Insert Lead Into IPG*</v>
      </c>
      <c r="C1420">
        <f>COUNTIF(Monday!I:I, B1420)</f>
        <v>0</v>
      </c>
      <c r="D1420">
        <f>COUNTIF(Tuesday!I:I, B1420)</f>
        <v>0</v>
      </c>
      <c r="E1420">
        <f>COUNTIF(Wednesday!I:I, B1420)</f>
        <v>0</v>
      </c>
      <c r="F1420">
        <f>COUNTIF(Thursday!I:I, B1420)</f>
        <v>0</v>
      </c>
      <c r="G1420">
        <f>COUNTIF(Friday!I:I, B1420)</f>
        <v>0</v>
      </c>
      <c r="H1420">
        <f>SUM(C1420:G1420)</f>
        <v>0</v>
      </c>
    </row>
    <row r="1421" spans="1:8" x14ac:dyDescent="0.25">
      <c r="A1421" s="5" t="s">
        <v>1416</v>
      </c>
      <c r="B1421" t="str">
        <f>"*"&amp;A1421&amp;"*"</f>
        <v>*1340: Difficult To Program Patient*</v>
      </c>
      <c r="C1421">
        <f>COUNTIF(Monday!I:I, B1421)</f>
        <v>0</v>
      </c>
      <c r="D1421">
        <f>COUNTIF(Tuesday!I:I, B1421)</f>
        <v>0</v>
      </c>
      <c r="E1421">
        <f>COUNTIF(Wednesday!I:I, B1421)</f>
        <v>0</v>
      </c>
      <c r="F1421">
        <f>COUNTIF(Thursday!I:I, B1421)</f>
        <v>0</v>
      </c>
      <c r="G1421">
        <f>COUNTIF(Friday!I:I, B1421)</f>
        <v>0</v>
      </c>
      <c r="H1421">
        <f>SUM(C1421:G1421)</f>
        <v>0</v>
      </c>
    </row>
    <row r="1422" spans="1:8" x14ac:dyDescent="0.25">
      <c r="A1422" s="5" t="s">
        <v>1417</v>
      </c>
      <c r="B1422" t="str">
        <f>"*"&amp;A1422&amp;"*"</f>
        <v>*1351: Difficult To Remove Port Plug*</v>
      </c>
      <c r="C1422">
        <f>COUNTIF(Monday!I:I, B1422)</f>
        <v>0</v>
      </c>
      <c r="D1422">
        <f>COUNTIF(Tuesday!I:I, B1422)</f>
        <v>0</v>
      </c>
      <c r="E1422">
        <f>COUNTIF(Wednesday!I:I, B1422)</f>
        <v>0</v>
      </c>
      <c r="F1422">
        <f>COUNTIF(Thursday!I:I, B1422)</f>
        <v>0</v>
      </c>
      <c r="G1422">
        <f>COUNTIF(Friday!I:I, B1422)</f>
        <v>0</v>
      </c>
      <c r="H1422">
        <f>SUM(C1422:G1422)</f>
        <v>0</v>
      </c>
    </row>
    <row r="1423" spans="1:8" x14ac:dyDescent="0.25">
      <c r="A1423" s="5" t="s">
        <v>1418</v>
      </c>
      <c r="B1423" t="str">
        <f>"*"&amp;A1423&amp;"*"</f>
        <v>*1354: Difficult To Remove The Lead From The IPG*</v>
      </c>
      <c r="C1423">
        <f>COUNTIF(Monday!I:I, B1423)</f>
        <v>0</v>
      </c>
      <c r="D1423">
        <f>COUNTIF(Tuesday!I:I, B1423)</f>
        <v>0</v>
      </c>
      <c r="E1423">
        <f>COUNTIF(Wednesday!I:I, B1423)</f>
        <v>0</v>
      </c>
      <c r="F1423">
        <f>COUNTIF(Thursday!I:I, B1423)</f>
        <v>0</v>
      </c>
      <c r="G1423">
        <f>COUNTIF(Friday!I:I, B1423)</f>
        <v>0</v>
      </c>
      <c r="H1423">
        <f>SUM(C1423:G1423)</f>
        <v>0</v>
      </c>
    </row>
    <row r="1424" spans="1:8" x14ac:dyDescent="0.25">
      <c r="A1424" s="5" t="s">
        <v>1419</v>
      </c>
      <c r="B1424" t="str">
        <f>"*"&amp;A1424&amp;"*"</f>
        <v>*1371: Difficult To Upgrade IPG Firmware*</v>
      </c>
      <c r="C1424">
        <f>COUNTIF(Monday!I:I, B1424)</f>
        <v>0</v>
      </c>
      <c r="D1424">
        <f>COUNTIF(Tuesday!I:I, B1424)</f>
        <v>0</v>
      </c>
      <c r="E1424">
        <f>COUNTIF(Wednesday!I:I, B1424)</f>
        <v>0</v>
      </c>
      <c r="F1424">
        <f>COUNTIF(Thursday!I:I, B1424)</f>
        <v>0</v>
      </c>
      <c r="G1424">
        <f>COUNTIF(Friday!I:I, B1424)</f>
        <v>0</v>
      </c>
      <c r="H1424">
        <f>SUM(C1424:G1424)</f>
        <v>0</v>
      </c>
    </row>
    <row r="1425" spans="1:8" x14ac:dyDescent="0.25">
      <c r="A1425" s="5" t="s">
        <v>1420</v>
      </c>
      <c r="B1425" t="str">
        <f>"*"&amp;A1425&amp;"*"</f>
        <v>*1742: Intermittent Stimulation Caused By IPG*</v>
      </c>
      <c r="C1425">
        <f>COUNTIF(Monday!I:I, B1425)</f>
        <v>0</v>
      </c>
      <c r="D1425">
        <f>COUNTIF(Tuesday!I:I, B1425)</f>
        <v>0</v>
      </c>
      <c r="E1425">
        <f>COUNTIF(Wednesday!I:I, B1425)</f>
        <v>0</v>
      </c>
      <c r="F1425">
        <f>COUNTIF(Thursday!I:I, B1425)</f>
        <v>0</v>
      </c>
      <c r="G1425">
        <f>COUNTIF(Friday!I:I, B1425)</f>
        <v>0</v>
      </c>
      <c r="H1425">
        <f>SUM(C1425:G1425)</f>
        <v>0</v>
      </c>
    </row>
    <row r="1426" spans="1:8" x14ac:dyDescent="0.25">
      <c r="A1426" s="5" t="s">
        <v>1421</v>
      </c>
      <c r="B1426" t="str">
        <f>"*"&amp;A1426&amp;"*"</f>
        <v>*1749: IPG Beeps*</v>
      </c>
      <c r="C1426">
        <f>COUNTIF(Monday!I:I, B1426)</f>
        <v>0</v>
      </c>
      <c r="D1426">
        <f>COUNTIF(Tuesday!I:I, B1426)</f>
        <v>0</v>
      </c>
      <c r="E1426">
        <f>COUNTIF(Wednesday!I:I, B1426)</f>
        <v>0</v>
      </c>
      <c r="F1426">
        <f>COUNTIF(Thursday!I:I, B1426)</f>
        <v>0</v>
      </c>
      <c r="G1426">
        <f>COUNTIF(Friday!I:I, B1426)</f>
        <v>0</v>
      </c>
      <c r="H1426">
        <f>SUM(C1426:G1426)</f>
        <v>0</v>
      </c>
    </row>
    <row r="1427" spans="1:8" x14ac:dyDescent="0.25">
      <c r="A1427" s="5" t="s">
        <v>1422</v>
      </c>
      <c r="B1427" t="str">
        <f>"*"&amp;A1427&amp;"*"</f>
        <v>*1750: IPG Pocket Warm During Charging*</v>
      </c>
      <c r="C1427">
        <f>COUNTIF(Monday!I:I, B1427)</f>
        <v>0</v>
      </c>
      <c r="D1427">
        <f>COUNTIF(Tuesday!I:I, B1427)</f>
        <v>0</v>
      </c>
      <c r="E1427">
        <f>COUNTIF(Wednesday!I:I, B1427)</f>
        <v>0</v>
      </c>
      <c r="F1427">
        <f>COUNTIF(Thursday!I:I, B1427)</f>
        <v>0</v>
      </c>
      <c r="G1427">
        <f>COUNTIF(Friday!I:I, B1427)</f>
        <v>0</v>
      </c>
      <c r="H1427">
        <f>SUM(C1427:G1427)</f>
        <v>0</v>
      </c>
    </row>
    <row r="1428" spans="1:8" x14ac:dyDescent="0.25">
      <c r="A1428" s="5" t="s">
        <v>1423</v>
      </c>
      <c r="B1428" t="str">
        <f>"*"&amp;A1428&amp;"*"</f>
        <v>*2021: Message - Received Elective Replacement Indicator*</v>
      </c>
      <c r="C1428">
        <f>COUNTIF(Monday!I:I, B1428)</f>
        <v>0</v>
      </c>
      <c r="D1428">
        <f>COUNTIF(Tuesday!I:I, B1428)</f>
        <v>0</v>
      </c>
      <c r="E1428">
        <f>COUNTIF(Wednesday!I:I, B1428)</f>
        <v>0</v>
      </c>
      <c r="F1428">
        <f>COUNTIF(Thursday!I:I, B1428)</f>
        <v>0</v>
      </c>
      <c r="G1428">
        <f>COUNTIF(Friday!I:I, B1428)</f>
        <v>0</v>
      </c>
      <c r="H1428">
        <f>SUM(C1428:G1428)</f>
        <v>0</v>
      </c>
    </row>
    <row r="1429" spans="1:8" x14ac:dyDescent="0.25">
      <c r="A1429" s="5" t="s">
        <v>1424</v>
      </c>
      <c r="B1429" t="str">
        <f>"*"&amp;A1429&amp;"*"</f>
        <v>*2022: Message - Received End of Battery Life message*</v>
      </c>
      <c r="C1429">
        <f>COUNTIF(Monday!I:I, B1429)</f>
        <v>0</v>
      </c>
      <c r="D1429">
        <f>COUNTIF(Tuesday!I:I, B1429)</f>
        <v>0</v>
      </c>
      <c r="E1429">
        <f>COUNTIF(Wednesday!I:I, B1429)</f>
        <v>0</v>
      </c>
      <c r="F1429">
        <f>COUNTIF(Thursday!I:I, B1429)</f>
        <v>0</v>
      </c>
      <c r="G1429">
        <f>COUNTIF(Friday!I:I, B1429)</f>
        <v>0</v>
      </c>
      <c r="H1429">
        <f>SUM(C1429:G1429)</f>
        <v>0</v>
      </c>
    </row>
    <row r="1430" spans="1:8" x14ac:dyDescent="0.25">
      <c r="A1430" s="5" t="s">
        <v>1425</v>
      </c>
      <c r="B1430" t="str">
        <f>"*"&amp;A1430&amp;"*"</f>
        <v>*2163: Over Stimulation Caused By IPG*</v>
      </c>
      <c r="C1430">
        <f>COUNTIF(Monday!I:I, B1430)</f>
        <v>0</v>
      </c>
      <c r="D1430">
        <f>COUNTIF(Tuesday!I:I, B1430)</f>
        <v>0</v>
      </c>
      <c r="E1430">
        <f>COUNTIF(Wednesday!I:I, B1430)</f>
        <v>0</v>
      </c>
      <c r="F1430">
        <f>COUNTIF(Thursday!I:I, B1430)</f>
        <v>0</v>
      </c>
      <c r="G1430">
        <f>COUNTIF(Friday!I:I, B1430)</f>
        <v>0</v>
      </c>
      <c r="H1430">
        <f>SUM(C1430:G1430)</f>
        <v>0</v>
      </c>
    </row>
    <row r="1431" spans="1:8" x14ac:dyDescent="0.25">
      <c r="A1431" s="5" t="s">
        <v>1426</v>
      </c>
      <c r="B1431" t="str">
        <f>"*"&amp;A1431&amp;"*"</f>
        <v>*2353: Stimulation Changes With Posture*</v>
      </c>
      <c r="C1431">
        <f>COUNTIF(Monday!I:I, B1431)</f>
        <v>0</v>
      </c>
      <c r="D1431">
        <f>COUNTIF(Tuesday!I:I, B1431)</f>
        <v>0</v>
      </c>
      <c r="E1431">
        <f>COUNTIF(Wednesday!I:I, B1431)</f>
        <v>0</v>
      </c>
      <c r="F1431">
        <f>COUNTIF(Thursday!I:I, B1431)</f>
        <v>0</v>
      </c>
      <c r="G1431">
        <f>COUNTIF(Friday!I:I, B1431)</f>
        <v>0</v>
      </c>
      <c r="H1431">
        <f>SUM(C1431:G1431)</f>
        <v>0</v>
      </c>
    </row>
    <row r="1432" spans="1:8" x14ac:dyDescent="0.25">
      <c r="A1432" s="5" t="s">
        <v>1427</v>
      </c>
      <c r="B1432" t="str">
        <f>"*"&amp;A1432&amp;"*"</f>
        <v>*2462: Visible Debris In Port Or Header Of The IPG*</v>
      </c>
      <c r="C1432">
        <f>COUNTIF(Monday!I:I, B1432)</f>
        <v>0</v>
      </c>
      <c r="D1432">
        <f>COUNTIF(Tuesday!I:I, B1432)</f>
        <v>0</v>
      </c>
      <c r="E1432">
        <f>COUNTIF(Wednesday!I:I, B1432)</f>
        <v>0</v>
      </c>
      <c r="F1432">
        <f>COUNTIF(Thursday!I:I, B1432)</f>
        <v>0</v>
      </c>
      <c r="G1432">
        <f>COUNTIF(Friday!I:I, B1432)</f>
        <v>0</v>
      </c>
      <c r="H1432">
        <f>SUM(C1432:G1432)</f>
        <v>0</v>
      </c>
    </row>
    <row r="1433" spans="1:8" x14ac:dyDescent="0.25">
      <c r="A1433" s="5" t="s">
        <v>1428</v>
      </c>
      <c r="B1433" t="str">
        <f>"*"&amp;A1433&amp;"*"</f>
        <v>*3267: Stimulation Changes While Charging*</v>
      </c>
      <c r="C1433">
        <f>COUNTIF(Monday!I:I, B1433)</f>
        <v>0</v>
      </c>
      <c r="D1433">
        <f>COUNTIF(Tuesday!I:I, B1433)</f>
        <v>0</v>
      </c>
      <c r="E1433">
        <f>COUNTIF(Wednesday!I:I, B1433)</f>
        <v>0</v>
      </c>
      <c r="F1433">
        <f>COUNTIF(Thursday!I:I, B1433)</f>
        <v>0</v>
      </c>
      <c r="G1433">
        <f>COUNTIF(Friday!I:I, B1433)</f>
        <v>0</v>
      </c>
      <c r="H1433">
        <f>SUM(C1433:G1433)</f>
        <v>0</v>
      </c>
    </row>
    <row r="1434" spans="1:8" x14ac:dyDescent="0.25">
      <c r="A1434" s="5" t="s">
        <v>1429</v>
      </c>
      <c r="B1434" t="str">
        <f>"*"&amp;A1434&amp;"*"</f>
        <v>*3268: Stimulation In Non-Target Pain Area*</v>
      </c>
      <c r="C1434">
        <f>COUNTIF(Monday!I:I, B1434)</f>
        <v>0</v>
      </c>
      <c r="D1434">
        <f>COUNTIF(Tuesday!I:I, B1434)</f>
        <v>0</v>
      </c>
      <c r="E1434">
        <f>COUNTIF(Wednesday!I:I, B1434)</f>
        <v>0</v>
      </c>
      <c r="F1434">
        <f>COUNTIF(Thursday!I:I, B1434)</f>
        <v>0</v>
      </c>
      <c r="G1434">
        <f>COUNTIF(Friday!I:I, B1434)</f>
        <v>0</v>
      </c>
      <c r="H1434">
        <f>SUM(C1434:G1434)</f>
        <v>0</v>
      </c>
    </row>
    <row r="1435" spans="1:8" x14ac:dyDescent="0.25">
      <c r="A1435" s="5" t="s">
        <v>1430</v>
      </c>
      <c r="B1435" t="str">
        <f>"*"&amp;A1435&amp;"*"</f>
        <v>*1309: Difficult To Insert Into ETS*</v>
      </c>
      <c r="C1435">
        <f>COUNTIF(Monday!I:I, B1435)</f>
        <v>0</v>
      </c>
      <c r="D1435">
        <f>COUNTIF(Tuesday!I:I, B1435)</f>
        <v>0</v>
      </c>
      <c r="E1435">
        <f>COUNTIF(Wednesday!I:I, B1435)</f>
        <v>0</v>
      </c>
      <c r="F1435">
        <f>COUNTIF(Thursday!I:I, B1435)</f>
        <v>0</v>
      </c>
      <c r="G1435">
        <f>COUNTIF(Friday!I:I, B1435)</f>
        <v>0</v>
      </c>
      <c r="H1435">
        <f>SUM(C1435:G1435)</f>
        <v>0</v>
      </c>
    </row>
    <row r="1436" spans="1:8" x14ac:dyDescent="0.25">
      <c r="A1436" s="5" t="s">
        <v>1431</v>
      </c>
      <c r="B1436" t="str">
        <f>"*"&amp;A1436&amp;"*"</f>
        <v>*1310: Difficult To Insert Lead In Lead Extension*</v>
      </c>
      <c r="C1436">
        <f>COUNTIF(Monday!I:I, B1436)</f>
        <v>0</v>
      </c>
      <c r="D1436">
        <f>COUNTIF(Tuesday!I:I, B1436)</f>
        <v>0</v>
      </c>
      <c r="E1436">
        <f>COUNTIF(Wednesday!I:I, B1436)</f>
        <v>0</v>
      </c>
      <c r="F1436">
        <f>COUNTIF(Thursday!I:I, B1436)</f>
        <v>0</v>
      </c>
      <c r="G1436">
        <f>COUNTIF(Friday!I:I, B1436)</f>
        <v>0</v>
      </c>
      <c r="H1436">
        <f>SUM(C1436:G1436)</f>
        <v>0</v>
      </c>
    </row>
    <row r="1437" spans="1:8" x14ac:dyDescent="0.25">
      <c r="A1437" s="5" t="s">
        <v>1432</v>
      </c>
      <c r="B1437" t="str">
        <f>"*"&amp;A1437&amp;"*"</f>
        <v>*1350: Difficult To Remove Lead From Extension*</v>
      </c>
      <c r="C1437">
        <f>COUNTIF(Monday!I:I, B1437)</f>
        <v>0</v>
      </c>
      <c r="D1437">
        <f>COUNTIF(Tuesday!I:I, B1437)</f>
        <v>0</v>
      </c>
      <c r="E1437">
        <f>COUNTIF(Wednesday!I:I, B1437)</f>
        <v>0</v>
      </c>
      <c r="F1437">
        <f>COUNTIF(Thursday!I:I, B1437)</f>
        <v>0</v>
      </c>
      <c r="G1437">
        <f>COUNTIF(Friday!I:I, B1437)</f>
        <v>0</v>
      </c>
      <c r="H1437">
        <f>SUM(C1437:G1437)</f>
        <v>0</v>
      </c>
    </row>
    <row r="1438" spans="1:8" x14ac:dyDescent="0.25">
      <c r="A1438" s="5" t="s">
        <v>1433</v>
      </c>
      <c r="B1438" t="str">
        <f>"*"&amp;A1438&amp;"*"</f>
        <v>*1353: Difficult To Remove The Lead Extension From The IPG*</v>
      </c>
      <c r="C1438">
        <f>COUNTIF(Monday!I:I, B1438)</f>
        <v>0</v>
      </c>
      <c r="D1438">
        <f>COUNTIF(Tuesday!I:I, B1438)</f>
        <v>0</v>
      </c>
      <c r="E1438">
        <f>COUNTIF(Wednesday!I:I, B1438)</f>
        <v>0</v>
      </c>
      <c r="F1438">
        <f>COUNTIF(Thursday!I:I, B1438)</f>
        <v>0</v>
      </c>
      <c r="G1438">
        <f>COUNTIF(Friday!I:I, B1438)</f>
        <v>0</v>
      </c>
      <c r="H1438">
        <f>SUM(C1438:G1438)</f>
        <v>0</v>
      </c>
    </row>
    <row r="1439" spans="1:8" x14ac:dyDescent="0.25">
      <c r="A1439" s="5" t="s">
        <v>1434</v>
      </c>
      <c r="B1439" t="str">
        <f>"*"&amp;A1439&amp;"*"</f>
        <v>*1315: Difficult To Insert Lead Into Insertion Needle*</v>
      </c>
      <c r="C1439">
        <f>COUNTIF(Monday!I:I, B1439)</f>
        <v>0</v>
      </c>
      <c r="D1439">
        <f>COUNTIF(Tuesday!I:I, B1439)</f>
        <v>0</v>
      </c>
      <c r="E1439">
        <f>COUNTIF(Wednesday!I:I, B1439)</f>
        <v>0</v>
      </c>
      <c r="F1439">
        <f>COUNTIF(Thursday!I:I, B1439)</f>
        <v>0</v>
      </c>
      <c r="G1439">
        <f>COUNTIF(Friday!I:I, B1439)</f>
        <v>0</v>
      </c>
      <c r="H1439">
        <f>SUM(C1439:G1439)</f>
        <v>0</v>
      </c>
    </row>
    <row r="1440" spans="1:8" x14ac:dyDescent="0.25">
      <c r="A1440" s="5" t="s">
        <v>1435</v>
      </c>
      <c r="B1440" t="str">
        <f>"*"&amp;A1440&amp;"*"</f>
        <v>*1420: Distal End Moves When Lead Is Bent*</v>
      </c>
      <c r="C1440">
        <f>COUNTIF(Monday!I:I, B1440)</f>
        <v>0</v>
      </c>
      <c r="D1440">
        <f>COUNTIF(Tuesday!I:I, B1440)</f>
        <v>0</v>
      </c>
      <c r="E1440">
        <f>COUNTIF(Wednesday!I:I, B1440)</f>
        <v>0</v>
      </c>
      <c r="F1440">
        <f>COUNTIF(Thursday!I:I, B1440)</f>
        <v>0</v>
      </c>
      <c r="G1440">
        <f>COUNTIF(Friday!I:I, B1440)</f>
        <v>0</v>
      </c>
      <c r="H1440">
        <f>SUM(C1440:G1440)</f>
        <v>0</v>
      </c>
    </row>
    <row r="1441" spans="1:8" x14ac:dyDescent="0.25">
      <c r="A1441" s="5" t="s">
        <v>1436</v>
      </c>
      <c r="B1441" t="str">
        <f>"*"&amp;A1441&amp;"*"</f>
        <v>*1743: Intermittent Stimulation Caused By Leads*</v>
      </c>
      <c r="C1441">
        <f>COUNTIF(Monday!I:I, B1441)</f>
        <v>0</v>
      </c>
      <c r="D1441">
        <f>COUNTIF(Tuesday!I:I, B1441)</f>
        <v>0</v>
      </c>
      <c r="E1441">
        <f>COUNTIF(Wednesday!I:I, B1441)</f>
        <v>0</v>
      </c>
      <c r="F1441">
        <f>COUNTIF(Thursday!I:I, B1441)</f>
        <v>0</v>
      </c>
      <c r="G1441">
        <f>COUNTIF(Friday!I:I, B1441)</f>
        <v>0</v>
      </c>
      <c r="H1441">
        <f>SUM(C1441:G1441)</f>
        <v>0</v>
      </c>
    </row>
    <row r="1442" spans="1:8" x14ac:dyDescent="0.25">
      <c r="A1442" s="5" t="s">
        <v>1437</v>
      </c>
      <c r="B1442" t="str">
        <f>"*"&amp;A1442&amp;"*"</f>
        <v>*1772: Lead Body Not Straight*</v>
      </c>
      <c r="C1442">
        <f>COUNTIF(Monday!I:I, B1442)</f>
        <v>0</v>
      </c>
      <c r="D1442">
        <f>COUNTIF(Tuesday!I:I, B1442)</f>
        <v>0</v>
      </c>
      <c r="E1442">
        <f>COUNTIF(Wednesday!I:I, B1442)</f>
        <v>0</v>
      </c>
      <c r="F1442">
        <f>COUNTIF(Thursday!I:I, B1442)</f>
        <v>0</v>
      </c>
      <c r="G1442">
        <f>COUNTIF(Friday!I:I, B1442)</f>
        <v>0</v>
      </c>
      <c r="H1442">
        <f>SUM(C1442:G1442)</f>
        <v>0</v>
      </c>
    </row>
    <row r="1443" spans="1:8" x14ac:dyDescent="0.25">
      <c r="A1443" s="5" t="s">
        <v>1438</v>
      </c>
      <c r="B1443" t="str">
        <f>"*"&amp;A1443&amp;"*"</f>
        <v>*1773: Lead Contact Dislodged*</v>
      </c>
      <c r="C1443">
        <f>COUNTIF(Monday!I:I, B1443)</f>
        <v>0</v>
      </c>
      <c r="D1443">
        <f>COUNTIF(Tuesday!I:I, B1443)</f>
        <v>0</v>
      </c>
      <c r="E1443">
        <f>COUNTIF(Wednesday!I:I, B1443)</f>
        <v>0</v>
      </c>
      <c r="F1443">
        <f>COUNTIF(Thursday!I:I, B1443)</f>
        <v>0</v>
      </c>
      <c r="G1443">
        <f>COUNTIF(Friday!I:I, B1443)</f>
        <v>0</v>
      </c>
      <c r="H1443">
        <f>SUM(C1443:G1443)</f>
        <v>0</v>
      </c>
    </row>
    <row r="1444" spans="1:8" x14ac:dyDescent="0.25">
      <c r="A1444" s="5" t="s">
        <v>1439</v>
      </c>
      <c r="B1444" t="str">
        <f>"*"&amp;A1444&amp;"*"</f>
        <v>*1774: Lead Deviates From Target When Inserting*</v>
      </c>
      <c r="C1444">
        <f>COUNTIF(Monday!I:I, B1444)</f>
        <v>0</v>
      </c>
      <c r="D1444">
        <f>COUNTIF(Tuesday!I:I, B1444)</f>
        <v>0</v>
      </c>
      <c r="E1444">
        <f>COUNTIF(Wednesday!I:I, B1444)</f>
        <v>0</v>
      </c>
      <c r="F1444">
        <f>COUNTIF(Thursday!I:I, B1444)</f>
        <v>0</v>
      </c>
      <c r="G1444">
        <f>COUNTIF(Friday!I:I, B1444)</f>
        <v>0</v>
      </c>
      <c r="H1444">
        <f>SUM(C1444:G1444)</f>
        <v>0</v>
      </c>
    </row>
    <row r="1445" spans="1:8" x14ac:dyDescent="0.25">
      <c r="A1445" s="5" t="s">
        <v>1440</v>
      </c>
      <c r="B1445" t="str">
        <f>"*"&amp;A1445&amp;"*"</f>
        <v>*1775: Lead Popped Out Of Tray*</v>
      </c>
      <c r="C1445">
        <f>COUNTIF(Monday!I:I, B1445)</f>
        <v>0</v>
      </c>
      <c r="D1445">
        <f>COUNTIF(Tuesday!I:I, B1445)</f>
        <v>0</v>
      </c>
      <c r="E1445">
        <f>COUNTIF(Wednesday!I:I, B1445)</f>
        <v>0</v>
      </c>
      <c r="F1445">
        <f>COUNTIF(Thursday!I:I, B1445)</f>
        <v>0</v>
      </c>
      <c r="G1445">
        <f>COUNTIF(Friday!I:I, B1445)</f>
        <v>0</v>
      </c>
      <c r="H1445">
        <f>SUM(C1445:G1445)</f>
        <v>0</v>
      </c>
    </row>
    <row r="1446" spans="1:8" x14ac:dyDescent="0.25">
      <c r="A1446" s="5" t="s">
        <v>1441</v>
      </c>
      <c r="B1446" t="str">
        <f>"*"&amp;A1446&amp;"*"</f>
        <v>*2164: Over Stimulation Caused By Leads*</v>
      </c>
      <c r="C1446">
        <f>COUNTIF(Monday!I:I, B1446)</f>
        <v>0</v>
      </c>
      <c r="D1446">
        <f>COUNTIF(Tuesday!I:I, B1446)</f>
        <v>0</v>
      </c>
      <c r="E1446">
        <f>COUNTIF(Wednesday!I:I, B1446)</f>
        <v>0</v>
      </c>
      <c r="F1446">
        <f>COUNTIF(Thursday!I:I, B1446)</f>
        <v>0</v>
      </c>
      <c r="G1446">
        <f>COUNTIF(Friday!I:I, B1446)</f>
        <v>0</v>
      </c>
      <c r="H1446">
        <f>SUM(C1446:G1446)</f>
        <v>0</v>
      </c>
    </row>
    <row r="1447" spans="1:8" x14ac:dyDescent="0.25">
      <c r="A1447" s="5" t="s">
        <v>1442</v>
      </c>
      <c r="B1447" t="str">
        <f>"*"&amp;A1447&amp;"*"</f>
        <v>*2375: Stylet Perforated Lead*</v>
      </c>
      <c r="C1447">
        <f>COUNTIF(Monday!I:I, B1447)</f>
        <v>0</v>
      </c>
      <c r="D1447">
        <f>COUNTIF(Tuesday!I:I, B1447)</f>
        <v>0</v>
      </c>
      <c r="E1447">
        <f>COUNTIF(Wednesday!I:I, B1447)</f>
        <v>0</v>
      </c>
      <c r="F1447">
        <f>COUNTIF(Thursday!I:I, B1447)</f>
        <v>0</v>
      </c>
      <c r="G1447">
        <f>COUNTIF(Friday!I:I, B1447)</f>
        <v>0</v>
      </c>
      <c r="H1447">
        <f>SUM(C1447:G1447)</f>
        <v>0</v>
      </c>
    </row>
    <row r="1448" spans="1:8" x14ac:dyDescent="0.25">
      <c r="A1448" s="5" t="s">
        <v>1443</v>
      </c>
      <c r="B1448" t="str">
        <f>"*"&amp;A1448&amp;"*"</f>
        <v>*2426: Trial Lead Used In Error*</v>
      </c>
      <c r="C1448">
        <f>COUNTIF(Monday!I:I, B1448)</f>
        <v>0</v>
      </c>
      <c r="D1448">
        <f>COUNTIF(Tuesday!I:I, B1448)</f>
        <v>0</v>
      </c>
      <c r="E1448">
        <f>COUNTIF(Wednesday!I:I, B1448)</f>
        <v>0</v>
      </c>
      <c r="F1448">
        <f>COUNTIF(Thursday!I:I, B1448)</f>
        <v>0</v>
      </c>
      <c r="G1448">
        <f>COUNTIF(Friday!I:I, B1448)</f>
        <v>0</v>
      </c>
      <c r="H1448">
        <f>SUM(C1448:G1448)</f>
        <v>0</v>
      </c>
    </row>
    <row r="1449" spans="1:8" x14ac:dyDescent="0.25">
      <c r="A1449" s="5" t="s">
        <v>1444</v>
      </c>
      <c r="B1449" t="str">
        <f>"*"&amp;A1449&amp;"*"</f>
        <v>*1401: Difficulty Using International Power Converter*</v>
      </c>
      <c r="C1449">
        <f>COUNTIF(Monday!I:I, B1449)</f>
        <v>0</v>
      </c>
      <c r="D1449">
        <f>COUNTIF(Tuesday!I:I, B1449)</f>
        <v>0</v>
      </c>
      <c r="E1449">
        <f>COUNTIF(Wednesday!I:I, B1449)</f>
        <v>0</v>
      </c>
      <c r="F1449">
        <f>COUNTIF(Thursday!I:I, B1449)</f>
        <v>0</v>
      </c>
      <c r="G1449">
        <f>COUNTIF(Friday!I:I, B1449)</f>
        <v>0</v>
      </c>
      <c r="H1449">
        <f>SUM(C1449:G1449)</f>
        <v>0</v>
      </c>
    </row>
    <row r="1450" spans="1:8" x14ac:dyDescent="0.25">
      <c r="A1450" s="5" t="s">
        <v>1445</v>
      </c>
      <c r="B1450" t="str">
        <f>"*"&amp;A1450&amp;"*"</f>
        <v>*1294: Difficult To Communicate With IR Dongle*</v>
      </c>
      <c r="C1450">
        <f>COUNTIF(Monday!I:I, B1450)</f>
        <v>0</v>
      </c>
      <c r="D1450">
        <f>COUNTIF(Tuesday!I:I, B1450)</f>
        <v>0</v>
      </c>
      <c r="E1450">
        <f>COUNTIF(Wednesday!I:I, B1450)</f>
        <v>0</v>
      </c>
      <c r="F1450">
        <f>COUNTIF(Thursday!I:I, B1450)</f>
        <v>0</v>
      </c>
      <c r="G1450">
        <f>COUNTIF(Friday!I:I, B1450)</f>
        <v>0</v>
      </c>
      <c r="H1450">
        <f>SUM(C1450:G1450)</f>
        <v>0</v>
      </c>
    </row>
    <row r="1451" spans="1:8" x14ac:dyDescent="0.25">
      <c r="A1451" s="5" t="s">
        <v>1446</v>
      </c>
      <c r="B1451" t="str">
        <f>"*"&amp;A1451&amp;"*"</f>
        <v>*1377: Difficult To Use Programming Wand*</v>
      </c>
      <c r="C1451">
        <f>COUNTIF(Monday!I:I, B1451)</f>
        <v>0</v>
      </c>
      <c r="D1451">
        <f>COUNTIF(Tuesday!I:I, B1451)</f>
        <v>0</v>
      </c>
      <c r="E1451">
        <f>COUNTIF(Wednesday!I:I, B1451)</f>
        <v>0</v>
      </c>
      <c r="F1451">
        <f>COUNTIF(Thursday!I:I, B1451)</f>
        <v>0</v>
      </c>
      <c r="G1451">
        <f>COUNTIF(Friday!I:I, B1451)</f>
        <v>0</v>
      </c>
      <c r="H1451">
        <f>SUM(C1451:G1451)</f>
        <v>0</v>
      </c>
    </row>
    <row r="1452" spans="1:8" x14ac:dyDescent="0.25">
      <c r="A1452" s="5" t="s">
        <v>1447</v>
      </c>
      <c r="B1452" t="str">
        <f>"*"&amp;A1452&amp;"*"</f>
        <v>*1338: Difficult To Print Or Run Reports*</v>
      </c>
      <c r="C1452">
        <f>COUNTIF(Monday!I:I, B1452)</f>
        <v>0</v>
      </c>
      <c r="D1452">
        <f>COUNTIF(Tuesday!I:I, B1452)</f>
        <v>0</v>
      </c>
      <c r="E1452">
        <f>COUNTIF(Wednesday!I:I, B1452)</f>
        <v>0</v>
      </c>
      <c r="F1452">
        <f>COUNTIF(Thursday!I:I, B1452)</f>
        <v>0</v>
      </c>
      <c r="G1452">
        <f>COUNTIF(Friday!I:I, B1452)</f>
        <v>0</v>
      </c>
      <c r="H1452">
        <f>SUM(C1452:G1452)</f>
        <v>0</v>
      </c>
    </row>
    <row r="1453" spans="1:8" x14ac:dyDescent="0.25">
      <c r="A1453" s="5" t="s">
        <v>1448</v>
      </c>
      <c r="B1453" t="str">
        <f>"*"&amp;A1453&amp;"*"</f>
        <v>*1360: Difficult To Restore Program*</v>
      </c>
      <c r="C1453">
        <f>COUNTIF(Monday!I:I, B1453)</f>
        <v>0</v>
      </c>
      <c r="D1453">
        <f>COUNTIF(Tuesday!I:I, B1453)</f>
        <v>0</v>
      </c>
      <c r="E1453">
        <f>COUNTIF(Wednesday!I:I, B1453)</f>
        <v>0</v>
      </c>
      <c r="F1453">
        <f>COUNTIF(Thursday!I:I, B1453)</f>
        <v>0</v>
      </c>
      <c r="G1453">
        <f>COUNTIF(Friday!I:I, B1453)</f>
        <v>0</v>
      </c>
      <c r="H1453">
        <f>SUM(C1453:G1453)</f>
        <v>0</v>
      </c>
    </row>
    <row r="1454" spans="1:8" x14ac:dyDescent="0.25">
      <c r="A1454" s="5" t="s">
        <v>1449</v>
      </c>
      <c r="B1454" t="str">
        <f>"*"&amp;A1454&amp;"*"</f>
        <v>*1363: Difficult To Run Software*</v>
      </c>
      <c r="C1454">
        <f>COUNTIF(Monday!I:I, B1454)</f>
        <v>0</v>
      </c>
      <c r="D1454">
        <f>COUNTIF(Tuesday!I:I, B1454)</f>
        <v>0</v>
      </c>
      <c r="E1454">
        <f>COUNTIF(Wednesday!I:I, B1454)</f>
        <v>0</v>
      </c>
      <c r="F1454">
        <f>COUNTIF(Thursday!I:I, B1454)</f>
        <v>0</v>
      </c>
      <c r="G1454">
        <f>COUNTIF(Friday!I:I, B1454)</f>
        <v>0</v>
      </c>
      <c r="H1454">
        <f>SUM(C1454:G1454)</f>
        <v>0</v>
      </c>
    </row>
    <row r="1455" spans="1:8" x14ac:dyDescent="0.25">
      <c r="A1455" s="5" t="s">
        <v>1450</v>
      </c>
      <c r="B1455" t="str">
        <f>"*"&amp;A1455&amp;"*"</f>
        <v>*2997: Application Control Error*</v>
      </c>
      <c r="C1455">
        <f>COUNTIF(Monday!I:I, B1455)</f>
        <v>0</v>
      </c>
      <c r="D1455">
        <f>COUNTIF(Tuesday!I:I, B1455)</f>
        <v>0</v>
      </c>
      <c r="E1455">
        <f>COUNTIF(Wednesday!I:I, B1455)</f>
        <v>0</v>
      </c>
      <c r="F1455">
        <f>COUNTIF(Thursday!I:I, B1455)</f>
        <v>0</v>
      </c>
      <c r="G1455">
        <f>COUNTIF(Friday!I:I, B1455)</f>
        <v>0</v>
      </c>
      <c r="H1455">
        <f>SUM(C1455:G1455)</f>
        <v>0</v>
      </c>
    </row>
    <row r="1456" spans="1:8" x14ac:dyDescent="0.25">
      <c r="A1456" s="5" t="s">
        <v>1451</v>
      </c>
      <c r="B1456" t="str">
        <f>"*"&amp;A1456&amp;"*"</f>
        <v>*3002: Stimulator Will Not Link Or Synchronize*</v>
      </c>
      <c r="C1456">
        <f>COUNTIF(Monday!I:I, B1456)</f>
        <v>0</v>
      </c>
      <c r="D1456">
        <f>COUNTIF(Tuesday!I:I, B1456)</f>
        <v>0</v>
      </c>
      <c r="E1456">
        <f>COUNTIF(Wednesday!I:I, B1456)</f>
        <v>0</v>
      </c>
      <c r="F1456">
        <f>COUNTIF(Thursday!I:I, B1456)</f>
        <v>0</v>
      </c>
      <c r="G1456">
        <f>COUNTIF(Friday!I:I, B1456)</f>
        <v>0</v>
      </c>
      <c r="H1456">
        <f>SUM(C1456:G1456)</f>
        <v>0</v>
      </c>
    </row>
    <row r="1457" spans="1:8" x14ac:dyDescent="0.25">
      <c r="A1457" s="5" t="s">
        <v>1452</v>
      </c>
      <c r="B1457" t="str">
        <f>"*"&amp;A1457&amp;"*"</f>
        <v>*3129: Install/Uninstall Issue*</v>
      </c>
      <c r="C1457">
        <f>COUNTIF(Monday!I:I, B1457)</f>
        <v>0</v>
      </c>
      <c r="D1457">
        <f>COUNTIF(Tuesday!I:I, B1457)</f>
        <v>0</v>
      </c>
      <c r="E1457">
        <f>COUNTIF(Wednesday!I:I, B1457)</f>
        <v>0</v>
      </c>
      <c r="F1457">
        <f>COUNTIF(Thursday!I:I, B1457)</f>
        <v>0</v>
      </c>
      <c r="G1457">
        <f>COUNTIF(Friday!I:I, B1457)</f>
        <v>0</v>
      </c>
      <c r="H1457">
        <f>SUM(C1457:G1457)</f>
        <v>0</v>
      </c>
    </row>
    <row r="1458" spans="1:8" x14ac:dyDescent="0.25">
      <c r="A1458" s="5" t="s">
        <v>1453</v>
      </c>
      <c r="B1458" t="str">
        <f>"*"&amp;A1458&amp;"*"</f>
        <v>*1151: CP Keyboard Malfunction*</v>
      </c>
      <c r="C1458">
        <f>COUNTIF(Monday!I:I, B1458)</f>
        <v>0</v>
      </c>
      <c r="D1458">
        <f>COUNTIF(Tuesday!I:I, B1458)</f>
        <v>0</v>
      </c>
      <c r="E1458">
        <f>COUNTIF(Wednesday!I:I, B1458)</f>
        <v>0</v>
      </c>
      <c r="F1458">
        <f>COUNTIF(Thursday!I:I, B1458)</f>
        <v>0</v>
      </c>
      <c r="G1458">
        <f>COUNTIF(Friday!I:I, B1458)</f>
        <v>0</v>
      </c>
      <c r="H1458">
        <f>SUM(C1458:G1458)</f>
        <v>0</v>
      </c>
    </row>
    <row r="1459" spans="1:8" x14ac:dyDescent="0.25">
      <c r="A1459" s="5" t="s">
        <v>1454</v>
      </c>
      <c r="B1459" t="str">
        <f>"*"&amp;A1459&amp;"*"</f>
        <v>*2998: BLE Communication Failure*</v>
      </c>
      <c r="C1459">
        <f>COUNTIF(Monday!I:I, B1459)</f>
        <v>0</v>
      </c>
      <c r="D1459">
        <f>COUNTIF(Tuesday!I:I, B1459)</f>
        <v>0</v>
      </c>
      <c r="E1459">
        <f>COUNTIF(Wednesday!I:I, B1459)</f>
        <v>0</v>
      </c>
      <c r="F1459">
        <f>COUNTIF(Thursday!I:I, B1459)</f>
        <v>0</v>
      </c>
      <c r="G1459">
        <f>COUNTIF(Friday!I:I, B1459)</f>
        <v>0</v>
      </c>
      <c r="H1459">
        <f>SUM(C1459:G1459)</f>
        <v>0</v>
      </c>
    </row>
    <row r="1460" spans="1:8" x14ac:dyDescent="0.25">
      <c r="A1460" s="5" t="s">
        <v>1455</v>
      </c>
      <c r="B1460" t="str">
        <f>"*"&amp;A1460&amp;"*"</f>
        <v>*2999: Difficulty with Operating System*</v>
      </c>
      <c r="C1460">
        <f>COUNTIF(Monday!I:I, B1460)</f>
        <v>0</v>
      </c>
      <c r="D1460">
        <f>COUNTIF(Tuesday!I:I, B1460)</f>
        <v>0</v>
      </c>
      <c r="E1460">
        <f>COUNTIF(Wednesday!I:I, B1460)</f>
        <v>0</v>
      </c>
      <c r="F1460">
        <f>COUNTIF(Thursday!I:I, B1460)</f>
        <v>0</v>
      </c>
      <c r="G1460">
        <f>COUNTIF(Friday!I:I, B1460)</f>
        <v>0</v>
      </c>
      <c r="H1460">
        <f>SUM(C1460:G1460)</f>
        <v>0</v>
      </c>
    </row>
    <row r="1461" spans="1:8" x14ac:dyDescent="0.25">
      <c r="A1461" s="5" t="s">
        <v>1456</v>
      </c>
      <c r="B1461" t="str">
        <f>"*"&amp;A1461&amp;"*"</f>
        <v>*3001: Product Activation Issue*</v>
      </c>
      <c r="C1461">
        <f>COUNTIF(Monday!I:I, B1461)</f>
        <v>0</v>
      </c>
      <c r="D1461">
        <f>COUNTIF(Tuesday!I:I, B1461)</f>
        <v>0</v>
      </c>
      <c r="E1461">
        <f>COUNTIF(Wednesday!I:I, B1461)</f>
        <v>0</v>
      </c>
      <c r="F1461">
        <f>COUNTIF(Thursday!I:I, B1461)</f>
        <v>0</v>
      </c>
      <c r="G1461">
        <f>COUNTIF(Friday!I:I, B1461)</f>
        <v>0</v>
      </c>
      <c r="H1461">
        <f>SUM(C1461:G1461)</f>
        <v>0</v>
      </c>
    </row>
    <row r="1462" spans="1:8" x14ac:dyDescent="0.25">
      <c r="A1462" s="5" t="s">
        <v>1457</v>
      </c>
      <c r="B1462" t="str">
        <f>"*"&amp;A1462&amp;"*"</f>
        <v>*2361: Stopped Working - USB Port*</v>
      </c>
      <c r="C1462">
        <f>COUNTIF(Monday!I:I, B1462)</f>
        <v>0</v>
      </c>
      <c r="D1462">
        <f>COUNTIF(Tuesday!I:I, B1462)</f>
        <v>0</v>
      </c>
      <c r="E1462">
        <f>COUNTIF(Wednesday!I:I, B1462)</f>
        <v>0</v>
      </c>
      <c r="F1462">
        <f>COUNTIF(Thursday!I:I, B1462)</f>
        <v>0</v>
      </c>
      <c r="G1462">
        <f>COUNTIF(Friday!I:I, B1462)</f>
        <v>0</v>
      </c>
      <c r="H1462">
        <f>SUM(C1462:G1462)</f>
        <v>0</v>
      </c>
    </row>
    <row r="1463" spans="1:8" x14ac:dyDescent="0.25">
      <c r="A1463" s="6" t="s">
        <v>1458</v>
      </c>
      <c r="B1463" t="str">
        <f>"*"&amp;A1463&amp;"*"</f>
        <v>*1756: Item Left in Patient - Not Intended for Implant*</v>
      </c>
      <c r="C1463">
        <f>COUNTIF(Monday!I:I, B1463)</f>
        <v>0</v>
      </c>
      <c r="D1463">
        <f>COUNTIF(Tuesday!I:I, B1463)</f>
        <v>0</v>
      </c>
      <c r="E1463">
        <f>COUNTIF(Wednesday!I:I, B1463)</f>
        <v>0</v>
      </c>
      <c r="F1463">
        <f>COUNTIF(Thursday!I:I, B1463)</f>
        <v>0</v>
      </c>
      <c r="G1463">
        <f>COUNTIF(Friday!I:I, B1463)</f>
        <v>0</v>
      </c>
      <c r="H1463">
        <f>SUM(C1463:G1463)</f>
        <v>0</v>
      </c>
    </row>
    <row r="1464" spans="1:8" x14ac:dyDescent="0.25">
      <c r="A1464" s="6" t="s">
        <v>1459</v>
      </c>
      <c r="B1464" t="str">
        <f>"*"&amp;A1464&amp;"*"</f>
        <v>*2151: Optical Issue*</v>
      </c>
      <c r="C1464">
        <f>COUNTIF(Monday!I:I, B1464)</f>
        <v>0</v>
      </c>
      <c r="D1464">
        <f>COUNTIF(Tuesday!I:I, B1464)</f>
        <v>0</v>
      </c>
      <c r="E1464">
        <f>COUNTIF(Wednesday!I:I, B1464)</f>
        <v>0</v>
      </c>
      <c r="F1464">
        <f>COUNTIF(Thursday!I:I, B1464)</f>
        <v>0</v>
      </c>
      <c r="G1464">
        <f>COUNTIF(Friday!I:I, B1464)</f>
        <v>0</v>
      </c>
      <c r="H1464">
        <f>SUM(C1464:G1464)</f>
        <v>0</v>
      </c>
    </row>
    <row r="1465" spans="1:8" x14ac:dyDescent="0.25">
      <c r="A1465" s="6" t="s">
        <v>1460</v>
      </c>
      <c r="B1465" t="str">
        <f>"*"&amp;A1465&amp;"*"</f>
        <v>*1052: Broken Connector*</v>
      </c>
      <c r="C1465">
        <f>COUNTIF(Monday!I:I, B1465)</f>
        <v>0</v>
      </c>
      <c r="D1465">
        <f>COUNTIF(Tuesday!I:I, B1465)</f>
        <v>0</v>
      </c>
      <c r="E1465">
        <f>COUNTIF(Wednesday!I:I, B1465)</f>
        <v>0</v>
      </c>
      <c r="F1465">
        <f>COUNTIF(Thursday!I:I, B1465)</f>
        <v>0</v>
      </c>
      <c r="G1465">
        <f>COUNTIF(Friday!I:I, B1465)</f>
        <v>0</v>
      </c>
      <c r="H1465">
        <f>SUM(C1465:G1465)</f>
        <v>0</v>
      </c>
    </row>
    <row r="1466" spans="1:8" x14ac:dyDescent="0.25">
      <c r="A1466" s="6" t="s">
        <v>1461</v>
      </c>
      <c r="B1466" t="str">
        <f>"*"&amp;A1466&amp;"*"</f>
        <v>*1469: Exposed Wiring*</v>
      </c>
      <c r="C1466">
        <f>COUNTIF(Monday!I:I, B1466)</f>
        <v>0</v>
      </c>
      <c r="D1466">
        <f>COUNTIF(Tuesday!I:I, B1466)</f>
        <v>0</v>
      </c>
      <c r="E1466">
        <f>COUNTIF(Wednesday!I:I, B1466)</f>
        <v>0</v>
      </c>
      <c r="F1466">
        <f>COUNTIF(Thursday!I:I, B1466)</f>
        <v>0</v>
      </c>
      <c r="G1466">
        <f>COUNTIF(Friday!I:I, B1466)</f>
        <v>0</v>
      </c>
      <c r="H1466">
        <f>SUM(C1466:G1466)</f>
        <v>0</v>
      </c>
    </row>
    <row r="1467" spans="1:8" x14ac:dyDescent="0.25">
      <c r="A1467" s="5" t="s">
        <v>1462</v>
      </c>
      <c r="B1467" t="str">
        <f>"*"&amp;A1467&amp;"*"</f>
        <v>*2826: Stuck In On Position*</v>
      </c>
      <c r="C1467">
        <f>COUNTIF(Monday!I:I, B1467)</f>
        <v>0</v>
      </c>
      <c r="D1467">
        <f>COUNTIF(Tuesday!I:I, B1467)</f>
        <v>0</v>
      </c>
      <c r="E1467">
        <f>COUNTIF(Wednesday!I:I, B1467)</f>
        <v>0</v>
      </c>
      <c r="F1467">
        <f>COUNTIF(Thursday!I:I, B1467)</f>
        <v>0</v>
      </c>
      <c r="G1467">
        <f>COUNTIF(Friday!I:I, B1467)</f>
        <v>0</v>
      </c>
      <c r="H1467">
        <f>SUM(C1467:G1467)</f>
        <v>0</v>
      </c>
    </row>
    <row r="1468" spans="1:8" x14ac:dyDescent="0.25">
      <c r="A1468" s="6" t="s">
        <v>1463</v>
      </c>
      <c r="B1468" t="str">
        <f>"*"&amp;A1468&amp;"*"</f>
        <v>*1113: Collet Upside Down On Holder*</v>
      </c>
      <c r="C1468">
        <f>COUNTIF(Monday!I:I, B1468)</f>
        <v>0</v>
      </c>
      <c r="D1468">
        <f>COUNTIF(Tuesday!I:I, B1468)</f>
        <v>0</v>
      </c>
      <c r="E1468">
        <f>COUNTIF(Wednesday!I:I, B1468)</f>
        <v>0</v>
      </c>
      <c r="F1468">
        <f>COUNTIF(Thursday!I:I, B1468)</f>
        <v>0</v>
      </c>
      <c r="G1468">
        <f>COUNTIF(Friday!I:I, B1468)</f>
        <v>0</v>
      </c>
      <c r="H1468">
        <f>SUM(C1468:G1468)</f>
        <v>0</v>
      </c>
    </row>
    <row r="1469" spans="1:8" x14ac:dyDescent="0.25">
      <c r="A1469" s="6" t="s">
        <v>1464</v>
      </c>
      <c r="B1469" t="str">
        <f>"*"&amp;A1469&amp;"*"</f>
        <v>*1149: Cosmetic Damage*</v>
      </c>
      <c r="C1469">
        <f>COUNTIF(Monday!I:I, B1469)</f>
        <v>0</v>
      </c>
      <c r="D1469">
        <f>COUNTIF(Tuesday!I:I, B1469)</f>
        <v>0</v>
      </c>
      <c r="E1469">
        <f>COUNTIF(Wednesday!I:I, B1469)</f>
        <v>0</v>
      </c>
      <c r="F1469">
        <f>COUNTIF(Thursday!I:I, B1469)</f>
        <v>0</v>
      </c>
      <c r="G1469">
        <f>COUNTIF(Friday!I:I, B1469)</f>
        <v>0</v>
      </c>
      <c r="H1469">
        <f>SUM(C1469:G1469)</f>
        <v>0</v>
      </c>
    </row>
    <row r="1470" spans="1:8" x14ac:dyDescent="0.25">
      <c r="A1470" s="6" t="s">
        <v>1465</v>
      </c>
      <c r="B1470" t="str">
        <f>"*"&amp;A1470&amp;"*"</f>
        <v>*1647: Goes Into Stand By*</v>
      </c>
      <c r="C1470">
        <f>COUNTIF(Monday!I:I, B1470)</f>
        <v>0</v>
      </c>
      <c r="D1470">
        <f>COUNTIF(Tuesday!I:I, B1470)</f>
        <v>0</v>
      </c>
      <c r="E1470">
        <f>COUNTIF(Wednesday!I:I, B1470)</f>
        <v>0</v>
      </c>
      <c r="F1470">
        <f>COUNTIF(Thursday!I:I, B1470)</f>
        <v>0</v>
      </c>
      <c r="G1470">
        <f>COUNTIF(Friday!I:I, B1470)</f>
        <v>0</v>
      </c>
      <c r="H1470">
        <f>SUM(C1470:G1470)</f>
        <v>0</v>
      </c>
    </row>
    <row r="1471" spans="1:8" x14ac:dyDescent="0.25">
      <c r="A1471" s="6" t="s">
        <v>1466</v>
      </c>
      <c r="B1471" t="str">
        <f>"*"&amp;A1471&amp;"*"</f>
        <v>*2178: Packaging Issue*</v>
      </c>
      <c r="C1471">
        <f>COUNTIF(Monday!I:I, B1471)</f>
        <v>0</v>
      </c>
      <c r="D1471">
        <f>COUNTIF(Tuesday!I:I, B1471)</f>
        <v>0</v>
      </c>
      <c r="E1471">
        <f>COUNTIF(Wednesday!I:I, B1471)</f>
        <v>0</v>
      </c>
      <c r="F1471">
        <f>COUNTIF(Thursday!I:I, B1471)</f>
        <v>0</v>
      </c>
      <c r="G1471">
        <f>COUNTIF(Friday!I:I, B1471)</f>
        <v>0</v>
      </c>
      <c r="H1471">
        <f>SUM(C1471:G1471)</f>
        <v>0</v>
      </c>
    </row>
    <row r="1472" spans="1:8" x14ac:dyDescent="0.25">
      <c r="A1472" s="5" t="s">
        <v>1467</v>
      </c>
      <c r="B1472" t="str">
        <f>"*"&amp;A1472&amp;"*"</f>
        <v>*2806: Off Label Sterilization*</v>
      </c>
      <c r="C1472">
        <f>COUNTIF(Monday!I:I, B1472)</f>
        <v>0</v>
      </c>
      <c r="D1472">
        <f>COUNTIF(Tuesday!I:I, B1472)</f>
        <v>0</v>
      </c>
      <c r="E1472">
        <f>COUNTIF(Wednesday!I:I, B1472)</f>
        <v>0</v>
      </c>
      <c r="F1472">
        <f>COUNTIF(Thursday!I:I, B1472)</f>
        <v>0</v>
      </c>
      <c r="G1472">
        <f>COUNTIF(Friday!I:I, B1472)</f>
        <v>0</v>
      </c>
      <c r="H1472">
        <f>SUM(C1472:G1472)</f>
        <v>0</v>
      </c>
    </row>
    <row r="1473" spans="1:8" x14ac:dyDescent="0.25">
      <c r="A1473" s="6" t="s">
        <v>1468</v>
      </c>
      <c r="B1473" t="str">
        <f>"*"&amp;A1473&amp;"*"</f>
        <v>*3081: Incorrect Device Or Component Included in Product Packaging*</v>
      </c>
      <c r="C1473">
        <f>COUNTIF(Monday!I:I, B1473)</f>
        <v>0</v>
      </c>
      <c r="D1473">
        <f>COUNTIF(Tuesday!I:I, B1473)</f>
        <v>0</v>
      </c>
      <c r="E1473">
        <f>COUNTIF(Wednesday!I:I, B1473)</f>
        <v>0</v>
      </c>
      <c r="F1473">
        <f>COUNTIF(Thursday!I:I, B1473)</f>
        <v>0</v>
      </c>
      <c r="G1473">
        <f>COUNTIF(Friday!I:I, B1473)</f>
        <v>0</v>
      </c>
      <c r="H1473">
        <f>SUM(C1473:G1473)</f>
        <v>0</v>
      </c>
    </row>
    <row r="1474" spans="1:8" x14ac:dyDescent="0.25">
      <c r="A1474" s="6" t="s">
        <v>1469</v>
      </c>
      <c r="B1474" t="str">
        <f>"*"&amp;A1474&amp;"*"</f>
        <v>*1806: Low Aim Beam Output*</v>
      </c>
      <c r="C1474">
        <f>COUNTIF(Monday!I:I, B1474)</f>
        <v>0</v>
      </c>
      <c r="D1474">
        <f>COUNTIF(Tuesday!I:I, B1474)</f>
        <v>0</v>
      </c>
      <c r="E1474">
        <f>COUNTIF(Wednesday!I:I, B1474)</f>
        <v>0</v>
      </c>
      <c r="F1474">
        <f>COUNTIF(Thursday!I:I, B1474)</f>
        <v>0</v>
      </c>
      <c r="G1474">
        <f>COUNTIF(Friday!I:I, B1474)</f>
        <v>0</v>
      </c>
      <c r="H1474">
        <f>SUM(C1474:G1474)</f>
        <v>0</v>
      </c>
    </row>
    <row r="1475" spans="1:8" x14ac:dyDescent="0.25">
      <c r="A1475" s="5" t="s">
        <v>1470</v>
      </c>
      <c r="B1475" t="str">
        <f>"*"&amp;A1475&amp;"*"</f>
        <v>*2088: No Aiming Beam*</v>
      </c>
      <c r="C1475">
        <f>COUNTIF(Monday!I:I, B1475)</f>
        <v>0</v>
      </c>
      <c r="D1475">
        <f>COUNTIF(Tuesday!I:I, B1475)</f>
        <v>0</v>
      </c>
      <c r="E1475">
        <f>COUNTIF(Wednesday!I:I, B1475)</f>
        <v>0</v>
      </c>
      <c r="F1475">
        <f>COUNTIF(Thursday!I:I, B1475)</f>
        <v>0</v>
      </c>
      <c r="G1475">
        <f>COUNTIF(Friday!I:I, B1475)</f>
        <v>0</v>
      </c>
      <c r="H1475">
        <f>SUM(C1475:G1475)</f>
        <v>0</v>
      </c>
    </row>
    <row r="1476" spans="1:8" x14ac:dyDescent="0.25">
      <c r="A1476" s="6" t="s">
        <v>1471</v>
      </c>
      <c r="B1476" t="str">
        <f>"*"&amp;A1476&amp;"*"</f>
        <v>*1193: Device Displays 10 - 19 Error Message*</v>
      </c>
      <c r="C1476">
        <f>COUNTIF(Monday!I:I, B1476)</f>
        <v>0</v>
      </c>
      <c r="D1476">
        <f>COUNTIF(Tuesday!I:I, B1476)</f>
        <v>0</v>
      </c>
      <c r="E1476">
        <f>COUNTIF(Wednesday!I:I, B1476)</f>
        <v>0</v>
      </c>
      <c r="F1476">
        <f>COUNTIF(Thursday!I:I, B1476)</f>
        <v>0</v>
      </c>
      <c r="G1476">
        <f>COUNTIF(Friday!I:I, B1476)</f>
        <v>0</v>
      </c>
      <c r="H1476">
        <f>SUM(C1476:G1476)</f>
        <v>0</v>
      </c>
    </row>
    <row r="1477" spans="1:8" x14ac:dyDescent="0.25">
      <c r="A1477" s="5" t="s">
        <v>1472</v>
      </c>
      <c r="B1477" t="str">
        <f>"*"&amp;A1477&amp;"*"</f>
        <v>*1194: Device Displays 100 Series Error Message*</v>
      </c>
      <c r="C1477">
        <f>COUNTIF(Monday!I:I, B1477)</f>
        <v>0</v>
      </c>
      <c r="D1477">
        <f>COUNTIF(Tuesday!I:I, B1477)</f>
        <v>0</v>
      </c>
      <c r="E1477">
        <f>COUNTIF(Wednesday!I:I, B1477)</f>
        <v>0</v>
      </c>
      <c r="F1477">
        <f>COUNTIF(Thursday!I:I, B1477)</f>
        <v>0</v>
      </c>
      <c r="G1477">
        <f>COUNTIF(Friday!I:I, B1477)</f>
        <v>0</v>
      </c>
      <c r="H1477">
        <f>SUM(C1477:G1477)</f>
        <v>0</v>
      </c>
    </row>
    <row r="1478" spans="1:8" x14ac:dyDescent="0.25">
      <c r="A1478" s="6" t="s">
        <v>1473</v>
      </c>
      <c r="B1478" t="str">
        <f>"*"&amp;A1478&amp;"*"</f>
        <v>*1195: Device Displays 1000 Error Message*</v>
      </c>
      <c r="C1478">
        <f>COUNTIF(Monday!I:I, B1478)</f>
        <v>0</v>
      </c>
      <c r="D1478">
        <f>COUNTIF(Tuesday!I:I, B1478)</f>
        <v>0</v>
      </c>
      <c r="E1478">
        <f>COUNTIF(Wednesday!I:I, B1478)</f>
        <v>0</v>
      </c>
      <c r="F1478">
        <f>COUNTIF(Thursday!I:I, B1478)</f>
        <v>0</v>
      </c>
      <c r="G1478">
        <f>COUNTIF(Friday!I:I, B1478)</f>
        <v>0</v>
      </c>
      <c r="H1478">
        <f>SUM(C1478:G1478)</f>
        <v>0</v>
      </c>
    </row>
    <row r="1479" spans="1:8" x14ac:dyDescent="0.25">
      <c r="A1479" s="6" t="s">
        <v>1474</v>
      </c>
      <c r="B1479" t="str">
        <f>"*"&amp;A1479&amp;"*"</f>
        <v>*1196: Device Displays 20 - 29 Error Message*</v>
      </c>
      <c r="C1479">
        <f>COUNTIF(Monday!I:I, B1479)</f>
        <v>0</v>
      </c>
      <c r="D1479">
        <f>COUNTIF(Tuesday!I:I, B1479)</f>
        <v>0</v>
      </c>
      <c r="E1479">
        <f>COUNTIF(Wednesday!I:I, B1479)</f>
        <v>0</v>
      </c>
      <c r="F1479">
        <f>COUNTIF(Thursday!I:I, B1479)</f>
        <v>0</v>
      </c>
      <c r="G1479">
        <f>COUNTIF(Friday!I:I, B1479)</f>
        <v>0</v>
      </c>
      <c r="H1479">
        <f>SUM(C1479:G1479)</f>
        <v>0</v>
      </c>
    </row>
    <row r="1480" spans="1:8" x14ac:dyDescent="0.25">
      <c r="A1480" s="6" t="s">
        <v>1475</v>
      </c>
      <c r="B1480" t="str">
        <f>"*"&amp;A1480&amp;"*"</f>
        <v>*1197: Device Displays 200 Error Message*</v>
      </c>
      <c r="C1480">
        <f>COUNTIF(Monday!I:I, B1480)</f>
        <v>0</v>
      </c>
      <c r="D1480">
        <f>COUNTIF(Tuesday!I:I, B1480)</f>
        <v>0</v>
      </c>
      <c r="E1480">
        <f>COUNTIF(Wednesday!I:I, B1480)</f>
        <v>0</v>
      </c>
      <c r="F1480">
        <f>COUNTIF(Thursday!I:I, B1480)</f>
        <v>0</v>
      </c>
      <c r="G1480">
        <f>COUNTIF(Friday!I:I, B1480)</f>
        <v>0</v>
      </c>
      <c r="H1480">
        <f>SUM(C1480:G1480)</f>
        <v>0</v>
      </c>
    </row>
    <row r="1481" spans="1:8" x14ac:dyDescent="0.25">
      <c r="A1481" s="6" t="s">
        <v>1476</v>
      </c>
      <c r="B1481" t="str">
        <f>"*"&amp;A1481&amp;"*"</f>
        <v>*1198: Device Displays 30 - 39 Error Message*</v>
      </c>
      <c r="C1481">
        <f>COUNTIF(Monday!I:I, B1481)</f>
        <v>0</v>
      </c>
      <c r="D1481">
        <f>COUNTIF(Tuesday!I:I, B1481)</f>
        <v>0</v>
      </c>
      <c r="E1481">
        <f>COUNTIF(Wednesday!I:I, B1481)</f>
        <v>0</v>
      </c>
      <c r="F1481">
        <f>COUNTIF(Thursday!I:I, B1481)</f>
        <v>0</v>
      </c>
      <c r="G1481">
        <f>COUNTIF(Friday!I:I, B1481)</f>
        <v>0</v>
      </c>
      <c r="H1481">
        <f>SUM(C1481:G1481)</f>
        <v>0</v>
      </c>
    </row>
    <row r="1482" spans="1:8" x14ac:dyDescent="0.25">
      <c r="A1482" s="6" t="s">
        <v>1477</v>
      </c>
      <c r="B1482" t="str">
        <f>"*"&amp;A1482&amp;"*"</f>
        <v>*1199: Device Displays 300 Error Message*</v>
      </c>
      <c r="C1482">
        <f>COUNTIF(Monday!I:I, B1482)</f>
        <v>0</v>
      </c>
      <c r="D1482">
        <f>COUNTIF(Tuesday!I:I, B1482)</f>
        <v>0</v>
      </c>
      <c r="E1482">
        <f>COUNTIF(Wednesday!I:I, B1482)</f>
        <v>0</v>
      </c>
      <c r="F1482">
        <f>COUNTIF(Thursday!I:I, B1482)</f>
        <v>0</v>
      </c>
      <c r="G1482">
        <f>COUNTIF(Friday!I:I, B1482)</f>
        <v>0</v>
      </c>
      <c r="H1482">
        <f>SUM(C1482:G1482)</f>
        <v>0</v>
      </c>
    </row>
    <row r="1483" spans="1:8" x14ac:dyDescent="0.25">
      <c r="A1483" s="6" t="s">
        <v>1478</v>
      </c>
      <c r="B1483" t="str">
        <f>"*"&amp;A1483&amp;"*"</f>
        <v>*1200: Device Displays 40 - 49 Error Message*</v>
      </c>
      <c r="C1483">
        <f>COUNTIF(Monday!I:I, B1483)</f>
        <v>0</v>
      </c>
      <c r="D1483">
        <f>COUNTIF(Tuesday!I:I, B1483)</f>
        <v>0</v>
      </c>
      <c r="E1483">
        <f>COUNTIF(Wednesday!I:I, B1483)</f>
        <v>0</v>
      </c>
      <c r="F1483">
        <f>COUNTIF(Thursday!I:I, B1483)</f>
        <v>0</v>
      </c>
      <c r="G1483">
        <f>COUNTIF(Friday!I:I, B1483)</f>
        <v>0</v>
      </c>
      <c r="H1483">
        <f>SUM(C1483:G1483)</f>
        <v>0</v>
      </c>
    </row>
    <row r="1484" spans="1:8" x14ac:dyDescent="0.25">
      <c r="A1484" s="6" t="s">
        <v>1479</v>
      </c>
      <c r="B1484" t="str">
        <f>"*"&amp;A1484&amp;"*"</f>
        <v>*1201: Device Displays 400 Error Message*</v>
      </c>
      <c r="C1484">
        <f>COUNTIF(Monday!I:I, B1484)</f>
        <v>0</v>
      </c>
      <c r="D1484">
        <f>COUNTIF(Tuesday!I:I, B1484)</f>
        <v>0</v>
      </c>
      <c r="E1484">
        <f>COUNTIF(Wednesday!I:I, B1484)</f>
        <v>0</v>
      </c>
      <c r="F1484">
        <f>COUNTIF(Thursday!I:I, B1484)</f>
        <v>0</v>
      </c>
      <c r="G1484">
        <f>COUNTIF(Friday!I:I, B1484)</f>
        <v>0</v>
      </c>
      <c r="H1484">
        <f>SUM(C1484:G1484)</f>
        <v>0</v>
      </c>
    </row>
    <row r="1485" spans="1:8" x14ac:dyDescent="0.25">
      <c r="A1485" s="6" t="s">
        <v>1480</v>
      </c>
      <c r="B1485" t="str">
        <f>"*"&amp;A1485&amp;"*"</f>
        <v>*1202: Device Displays 500 Error Message*</v>
      </c>
      <c r="C1485">
        <f>COUNTIF(Monday!I:I, B1485)</f>
        <v>0</v>
      </c>
      <c r="D1485">
        <f>COUNTIF(Tuesday!I:I, B1485)</f>
        <v>0</v>
      </c>
      <c r="E1485">
        <f>COUNTIF(Wednesday!I:I, B1485)</f>
        <v>0</v>
      </c>
      <c r="F1485">
        <f>COUNTIF(Thursday!I:I, B1485)</f>
        <v>0</v>
      </c>
      <c r="G1485">
        <f>COUNTIF(Friday!I:I, B1485)</f>
        <v>0</v>
      </c>
      <c r="H1485">
        <f>SUM(C1485:G1485)</f>
        <v>0</v>
      </c>
    </row>
    <row r="1486" spans="1:8" x14ac:dyDescent="0.25">
      <c r="A1486" s="6" t="s">
        <v>1481</v>
      </c>
      <c r="B1486" t="str">
        <f>"*"&amp;A1486&amp;"*"</f>
        <v>*1203: Device Displays 60 - 69 Error Message*</v>
      </c>
      <c r="C1486">
        <f>COUNTIF(Monday!I:I, B1486)</f>
        <v>0</v>
      </c>
      <c r="D1486">
        <f>COUNTIF(Tuesday!I:I, B1486)</f>
        <v>0</v>
      </c>
      <c r="E1486">
        <f>COUNTIF(Wednesday!I:I, B1486)</f>
        <v>0</v>
      </c>
      <c r="F1486">
        <f>COUNTIF(Thursday!I:I, B1486)</f>
        <v>0</v>
      </c>
      <c r="G1486">
        <f>COUNTIF(Friday!I:I, B1486)</f>
        <v>0</v>
      </c>
      <c r="H1486">
        <f>SUM(C1486:G1486)</f>
        <v>0</v>
      </c>
    </row>
    <row r="1487" spans="1:8" x14ac:dyDescent="0.25">
      <c r="A1487" s="6" t="s">
        <v>1482</v>
      </c>
      <c r="B1487" t="str">
        <f>"*"&amp;A1487&amp;"*"</f>
        <v>*1204: Device Displays 600 Error Message*</v>
      </c>
      <c r="C1487">
        <f>COUNTIF(Monday!I:I, B1487)</f>
        <v>0</v>
      </c>
      <c r="D1487">
        <f>COUNTIF(Tuesday!I:I, B1487)</f>
        <v>0</v>
      </c>
      <c r="E1487">
        <f>COUNTIF(Wednesday!I:I, B1487)</f>
        <v>0</v>
      </c>
      <c r="F1487">
        <f>COUNTIF(Thursday!I:I, B1487)</f>
        <v>0</v>
      </c>
      <c r="G1487">
        <f>COUNTIF(Friday!I:I, B1487)</f>
        <v>0</v>
      </c>
      <c r="H1487">
        <f>SUM(C1487:G1487)</f>
        <v>0</v>
      </c>
    </row>
    <row r="1488" spans="1:8" x14ac:dyDescent="0.25">
      <c r="A1488" s="6" t="s">
        <v>1483</v>
      </c>
      <c r="B1488" t="str">
        <f>"*"&amp;A1488&amp;"*"</f>
        <v>*1205: Device Displays 70 - 79 Error Message*</v>
      </c>
      <c r="C1488">
        <f>COUNTIF(Monday!I:I, B1488)</f>
        <v>0</v>
      </c>
      <c r="D1488">
        <f>COUNTIF(Tuesday!I:I, B1488)</f>
        <v>0</v>
      </c>
      <c r="E1488">
        <f>COUNTIF(Wednesday!I:I, B1488)</f>
        <v>0</v>
      </c>
      <c r="F1488">
        <f>COUNTIF(Thursday!I:I, B1488)</f>
        <v>0</v>
      </c>
      <c r="G1488">
        <f>COUNTIF(Friday!I:I, B1488)</f>
        <v>0</v>
      </c>
      <c r="H1488">
        <f>SUM(C1488:G1488)</f>
        <v>0</v>
      </c>
    </row>
    <row r="1489" spans="1:8" x14ac:dyDescent="0.25">
      <c r="A1489" s="6" t="s">
        <v>1484</v>
      </c>
      <c r="B1489" t="str">
        <f>"*"&amp;A1489&amp;"*"</f>
        <v>*1206: Device Displays 700 Error Message*</v>
      </c>
      <c r="C1489">
        <f>COUNTIF(Monday!I:I, B1489)</f>
        <v>0</v>
      </c>
      <c r="D1489">
        <f>COUNTIF(Tuesday!I:I, B1489)</f>
        <v>0</v>
      </c>
      <c r="E1489">
        <f>COUNTIF(Wednesday!I:I, B1489)</f>
        <v>0</v>
      </c>
      <c r="F1489">
        <f>COUNTIF(Thursday!I:I, B1489)</f>
        <v>0</v>
      </c>
      <c r="G1489">
        <f>COUNTIF(Friday!I:I, B1489)</f>
        <v>0</v>
      </c>
      <c r="H1489">
        <f>SUM(C1489:G1489)</f>
        <v>0</v>
      </c>
    </row>
    <row r="1490" spans="1:8" x14ac:dyDescent="0.25">
      <c r="A1490" s="6" t="s">
        <v>1485</v>
      </c>
      <c r="B1490" t="str">
        <f>"*"&amp;A1490&amp;"*"</f>
        <v>*1207: Device Displays 80 - 89 Error Message*</v>
      </c>
      <c r="C1490">
        <f>COUNTIF(Monday!I:I, B1490)</f>
        <v>0</v>
      </c>
      <c r="D1490">
        <f>COUNTIF(Tuesday!I:I, B1490)</f>
        <v>0</v>
      </c>
      <c r="E1490">
        <f>COUNTIF(Wednesday!I:I, B1490)</f>
        <v>0</v>
      </c>
      <c r="F1490">
        <f>COUNTIF(Thursday!I:I, B1490)</f>
        <v>0</v>
      </c>
      <c r="G1490">
        <f>COUNTIF(Friday!I:I, B1490)</f>
        <v>0</v>
      </c>
      <c r="H1490">
        <f>SUM(C1490:G1490)</f>
        <v>0</v>
      </c>
    </row>
    <row r="1491" spans="1:8" x14ac:dyDescent="0.25">
      <c r="A1491" s="6" t="s">
        <v>1486</v>
      </c>
      <c r="B1491" t="str">
        <f>"*"&amp;A1491&amp;"*"</f>
        <v>*1208: Device Displays 800 Error Message*</v>
      </c>
      <c r="C1491">
        <f>COUNTIF(Monday!I:I, B1491)</f>
        <v>0</v>
      </c>
      <c r="D1491">
        <f>COUNTIF(Tuesday!I:I, B1491)</f>
        <v>0</v>
      </c>
      <c r="E1491">
        <f>COUNTIF(Wednesday!I:I, B1491)</f>
        <v>0</v>
      </c>
      <c r="F1491">
        <f>COUNTIF(Thursday!I:I, B1491)</f>
        <v>0</v>
      </c>
      <c r="G1491">
        <f>COUNTIF(Friday!I:I, B1491)</f>
        <v>0</v>
      </c>
      <c r="H1491">
        <f>SUM(C1491:G1491)</f>
        <v>0</v>
      </c>
    </row>
    <row r="1492" spans="1:8" x14ac:dyDescent="0.25">
      <c r="A1492" s="6" t="s">
        <v>1487</v>
      </c>
      <c r="B1492" t="str">
        <f>"*"&amp;A1492&amp;"*"</f>
        <v>*1209: Device Displays 90 - 99 Error Message*</v>
      </c>
      <c r="C1492">
        <f>COUNTIF(Monday!I:I, B1492)</f>
        <v>0</v>
      </c>
      <c r="D1492">
        <f>COUNTIF(Tuesday!I:I, B1492)</f>
        <v>0</v>
      </c>
      <c r="E1492">
        <f>COUNTIF(Wednesday!I:I, B1492)</f>
        <v>0</v>
      </c>
      <c r="F1492">
        <f>COUNTIF(Thursday!I:I, B1492)</f>
        <v>0</v>
      </c>
      <c r="G1492">
        <f>COUNTIF(Friday!I:I, B1492)</f>
        <v>0</v>
      </c>
      <c r="H1492">
        <f>SUM(C1492:G1492)</f>
        <v>0</v>
      </c>
    </row>
    <row r="1493" spans="1:8" x14ac:dyDescent="0.25">
      <c r="A1493" s="6" t="s">
        <v>1488</v>
      </c>
      <c r="B1493" t="str">
        <f>"*"&amp;A1493&amp;"*"</f>
        <v>*1210: Device Displays 900 Error Message*</v>
      </c>
      <c r="C1493">
        <f>COUNTIF(Monday!I:I, B1493)</f>
        <v>0</v>
      </c>
      <c r="D1493">
        <f>COUNTIF(Tuesday!I:I, B1493)</f>
        <v>0</v>
      </c>
      <c r="E1493">
        <f>COUNTIF(Wednesday!I:I, B1493)</f>
        <v>0</v>
      </c>
      <c r="F1493">
        <f>COUNTIF(Thursday!I:I, B1493)</f>
        <v>0</v>
      </c>
      <c r="G1493">
        <f>COUNTIF(Friday!I:I, B1493)</f>
        <v>0</v>
      </c>
      <c r="H1493">
        <f>SUM(C1493:G1493)</f>
        <v>0</v>
      </c>
    </row>
    <row r="1494" spans="1:8" x14ac:dyDescent="0.25">
      <c r="A1494" s="6" t="s">
        <v>1489</v>
      </c>
      <c r="B1494" t="str">
        <f>"*"&amp;A1494&amp;"*"</f>
        <v>*1214: Device Displays Card Reader Courtesy Error Message*</v>
      </c>
      <c r="C1494">
        <f>COUNTIF(Monday!I:I, B1494)</f>
        <v>0</v>
      </c>
      <c r="D1494">
        <f>COUNTIF(Tuesday!I:I, B1494)</f>
        <v>0</v>
      </c>
      <c r="E1494">
        <f>COUNTIF(Wednesday!I:I, B1494)</f>
        <v>0</v>
      </c>
      <c r="F1494">
        <f>COUNTIF(Thursday!I:I, B1494)</f>
        <v>0</v>
      </c>
      <c r="G1494">
        <f>COUNTIF(Friday!I:I, B1494)</f>
        <v>0</v>
      </c>
      <c r="H1494">
        <f>SUM(C1494:G1494)</f>
        <v>0</v>
      </c>
    </row>
    <row r="1495" spans="1:8" x14ac:dyDescent="0.25">
      <c r="A1495" s="6" t="s">
        <v>1490</v>
      </c>
      <c r="B1495" t="str">
        <f>"*"&amp;A1495&amp;"*"</f>
        <v>*1217: Device Displays Coag Disabled Courtesy Error Message*</v>
      </c>
      <c r="C1495">
        <f>COUNTIF(Monday!I:I, B1495)</f>
        <v>0</v>
      </c>
      <c r="D1495">
        <f>COUNTIF(Tuesday!I:I, B1495)</f>
        <v>0</v>
      </c>
      <c r="E1495">
        <f>COUNTIF(Wednesday!I:I, B1495)</f>
        <v>0</v>
      </c>
      <c r="F1495">
        <f>COUNTIF(Thursday!I:I, B1495)</f>
        <v>0</v>
      </c>
      <c r="G1495">
        <f>COUNTIF(Friday!I:I, B1495)</f>
        <v>0</v>
      </c>
      <c r="H1495">
        <f>SUM(C1495:G1495)</f>
        <v>0</v>
      </c>
    </row>
    <row r="1496" spans="1:8" x14ac:dyDescent="0.25">
      <c r="A1496" s="6" t="s">
        <v>1491</v>
      </c>
      <c r="B1496" t="str">
        <f>"*"&amp;A1496&amp;"*"</f>
        <v>*1219: Device Displays Coolant Over Temperature Error Message (E12)*</v>
      </c>
      <c r="C1496">
        <f>COUNTIF(Monday!I:I, B1496)</f>
        <v>0</v>
      </c>
      <c r="D1496">
        <f>COUNTIF(Tuesday!I:I, B1496)</f>
        <v>0</v>
      </c>
      <c r="E1496">
        <f>COUNTIF(Wednesday!I:I, B1496)</f>
        <v>0</v>
      </c>
      <c r="F1496">
        <f>COUNTIF(Thursday!I:I, B1496)</f>
        <v>0</v>
      </c>
      <c r="G1496">
        <f>COUNTIF(Friday!I:I, B1496)</f>
        <v>0</v>
      </c>
      <c r="H1496">
        <f>SUM(C1496:G1496)</f>
        <v>0</v>
      </c>
    </row>
    <row r="1497" spans="1:8" x14ac:dyDescent="0.25">
      <c r="A1497" s="6" t="s">
        <v>1492</v>
      </c>
      <c r="B1497" t="str">
        <f>"*"&amp;A1497&amp;"*"</f>
        <v>*1221: Device Displays Courtesy Messages*</v>
      </c>
      <c r="C1497">
        <f>COUNTIF(Monday!I:I, B1497)</f>
        <v>0</v>
      </c>
      <c r="D1497">
        <f>COUNTIF(Tuesday!I:I, B1497)</f>
        <v>0</v>
      </c>
      <c r="E1497">
        <f>COUNTIF(Wednesday!I:I, B1497)</f>
        <v>0</v>
      </c>
      <c r="F1497">
        <f>COUNTIF(Thursday!I:I, B1497)</f>
        <v>0</v>
      </c>
      <c r="G1497">
        <f>COUNTIF(Friday!I:I, B1497)</f>
        <v>0</v>
      </c>
      <c r="H1497">
        <f>SUM(C1497:G1497)</f>
        <v>0</v>
      </c>
    </row>
    <row r="1498" spans="1:8" x14ac:dyDescent="0.25">
      <c r="A1498" s="6" t="s">
        <v>1493</v>
      </c>
      <c r="B1498" t="str">
        <f>"*"&amp;A1498&amp;"*"</f>
        <v>*1222: Device Displays Device Not Recognized Courtesy Error Message*</v>
      </c>
      <c r="C1498">
        <f>COUNTIF(Monday!I:I, B1498)</f>
        <v>0</v>
      </c>
      <c r="D1498">
        <f>COUNTIF(Tuesday!I:I, B1498)</f>
        <v>0</v>
      </c>
      <c r="E1498">
        <f>COUNTIF(Wednesday!I:I, B1498)</f>
        <v>0</v>
      </c>
      <c r="F1498">
        <f>COUNTIF(Thursday!I:I, B1498)</f>
        <v>0</v>
      </c>
      <c r="G1498">
        <f>COUNTIF(Friday!I:I, B1498)</f>
        <v>0</v>
      </c>
      <c r="H1498">
        <f>SUM(C1498:G1498)</f>
        <v>0</v>
      </c>
    </row>
    <row r="1499" spans="1:8" x14ac:dyDescent="0.25">
      <c r="A1499" s="6" t="s">
        <v>1494</v>
      </c>
      <c r="B1499" t="str">
        <f>"*"&amp;A1499&amp;"*"</f>
        <v>*1225: Device Displays Error Message: 15 Volt Error (E08)*</v>
      </c>
      <c r="C1499">
        <f>COUNTIF(Monday!I:I, B1499)</f>
        <v>0</v>
      </c>
      <c r="D1499">
        <f>COUNTIF(Tuesday!I:I, B1499)</f>
        <v>0</v>
      </c>
      <c r="E1499">
        <f>COUNTIF(Wednesday!I:I, B1499)</f>
        <v>0</v>
      </c>
      <c r="F1499">
        <f>COUNTIF(Thursday!I:I, B1499)</f>
        <v>0</v>
      </c>
      <c r="G1499">
        <f>COUNTIF(Friday!I:I, B1499)</f>
        <v>0</v>
      </c>
      <c r="H1499">
        <f>SUM(C1499:G1499)</f>
        <v>0</v>
      </c>
    </row>
    <row r="1500" spans="1:8" x14ac:dyDescent="0.25">
      <c r="A1500" s="6" t="s">
        <v>1495</v>
      </c>
      <c r="B1500" t="str">
        <f>"*"&amp;A1500&amp;"*"</f>
        <v>*1226: Device Displays Error Message: Shutter Error (E01)*</v>
      </c>
      <c r="C1500">
        <f>COUNTIF(Monday!I:I, B1500)</f>
        <v>0</v>
      </c>
      <c r="D1500">
        <f>COUNTIF(Tuesday!I:I, B1500)</f>
        <v>0</v>
      </c>
      <c r="E1500">
        <f>COUNTIF(Wednesday!I:I, B1500)</f>
        <v>0</v>
      </c>
      <c r="F1500">
        <f>COUNTIF(Thursday!I:I, B1500)</f>
        <v>0</v>
      </c>
      <c r="G1500">
        <f>COUNTIF(Friday!I:I, B1500)</f>
        <v>0</v>
      </c>
      <c r="H1500">
        <f>SUM(C1500:G1500)</f>
        <v>0</v>
      </c>
    </row>
    <row r="1501" spans="1:8" x14ac:dyDescent="0.25">
      <c r="A1501" s="6" t="s">
        <v>1496</v>
      </c>
      <c r="B1501" t="str">
        <f>"*"&amp;A1501&amp;"*"</f>
        <v>*1227: Device Displays Excessive Output From Detector Error Message (E16)*</v>
      </c>
      <c r="C1501">
        <f>COUNTIF(Monday!I:I, B1501)</f>
        <v>0</v>
      </c>
      <c r="D1501">
        <f>COUNTIF(Tuesday!I:I, B1501)</f>
        <v>0</v>
      </c>
      <c r="E1501">
        <f>COUNTIF(Wednesday!I:I, B1501)</f>
        <v>0</v>
      </c>
      <c r="F1501">
        <f>COUNTIF(Thursday!I:I, B1501)</f>
        <v>0</v>
      </c>
      <c r="G1501">
        <f>COUNTIF(Friday!I:I, B1501)</f>
        <v>0</v>
      </c>
      <c r="H1501">
        <f>SUM(C1501:G1501)</f>
        <v>0</v>
      </c>
    </row>
    <row r="1502" spans="1:8" x14ac:dyDescent="0.25">
      <c r="A1502" s="6" t="s">
        <v>1497</v>
      </c>
      <c r="B1502" t="str">
        <f>"*"&amp;A1502&amp;"*"</f>
        <v>*1228: Device Displays Excessive Output Rear Detector Error Message (E09)*</v>
      </c>
      <c r="C1502">
        <f>COUNTIF(Monday!I:I, B1502)</f>
        <v>0</v>
      </c>
      <c r="D1502">
        <f>COUNTIF(Tuesday!I:I, B1502)</f>
        <v>0</v>
      </c>
      <c r="E1502">
        <f>COUNTIF(Wednesday!I:I, B1502)</f>
        <v>0</v>
      </c>
      <c r="F1502">
        <f>COUNTIF(Thursday!I:I, B1502)</f>
        <v>0</v>
      </c>
      <c r="G1502">
        <f>COUNTIF(Friday!I:I, B1502)</f>
        <v>0</v>
      </c>
      <c r="H1502">
        <f>SUM(C1502:G1502)</f>
        <v>0</v>
      </c>
    </row>
    <row r="1503" spans="1:8" x14ac:dyDescent="0.25">
      <c r="A1503" s="6" t="s">
        <v>1498</v>
      </c>
      <c r="B1503" t="str">
        <f>"*"&amp;A1503&amp;"*"</f>
        <v>*1229: Device Displays Fiber Card Expired Courtesy Error Message*</v>
      </c>
      <c r="C1503">
        <f>COUNTIF(Monday!I:I, B1503)</f>
        <v>0</v>
      </c>
      <c r="D1503">
        <f>COUNTIF(Tuesday!I:I, B1503)</f>
        <v>0</v>
      </c>
      <c r="E1503">
        <f>COUNTIF(Wednesday!I:I, B1503)</f>
        <v>0</v>
      </c>
      <c r="F1503">
        <f>COUNTIF(Thursday!I:I, B1503)</f>
        <v>0</v>
      </c>
      <c r="G1503">
        <f>COUNTIF(Friday!I:I, B1503)</f>
        <v>0</v>
      </c>
      <c r="H1503">
        <f>SUM(C1503:G1503)</f>
        <v>0</v>
      </c>
    </row>
    <row r="1504" spans="1:8" x14ac:dyDescent="0.25">
      <c r="A1504" s="6" t="s">
        <v>1499</v>
      </c>
      <c r="B1504" t="str">
        <f>"*"&amp;A1504&amp;"*"</f>
        <v>*1230: Device Displays Fiber Connection Courtesy Error Message*</v>
      </c>
      <c r="C1504">
        <f>COUNTIF(Monday!I:I, B1504)</f>
        <v>0</v>
      </c>
      <c r="D1504">
        <f>COUNTIF(Tuesday!I:I, B1504)</f>
        <v>0</v>
      </c>
      <c r="E1504">
        <f>COUNTIF(Wednesday!I:I, B1504)</f>
        <v>0</v>
      </c>
      <c r="F1504">
        <f>COUNTIF(Thursday!I:I, B1504)</f>
        <v>0</v>
      </c>
      <c r="G1504">
        <f>COUNTIF(Friday!I:I, B1504)</f>
        <v>0</v>
      </c>
      <c r="H1504">
        <f>SUM(C1504:G1504)</f>
        <v>0</v>
      </c>
    </row>
    <row r="1505" spans="1:8" x14ac:dyDescent="0.25">
      <c r="A1505" s="6" t="s">
        <v>1500</v>
      </c>
      <c r="B1505" t="str">
        <f>"*"&amp;A1505&amp;"*"</f>
        <v>*1232: Device Displays Fiber Timed Out Courtesy Error Message*</v>
      </c>
      <c r="C1505">
        <f>COUNTIF(Monday!I:I, B1505)</f>
        <v>0</v>
      </c>
      <c r="D1505">
        <f>COUNTIF(Tuesday!I:I, B1505)</f>
        <v>0</v>
      </c>
      <c r="E1505">
        <f>COUNTIF(Wednesday!I:I, B1505)</f>
        <v>0</v>
      </c>
      <c r="F1505">
        <f>COUNTIF(Thursday!I:I, B1505)</f>
        <v>0</v>
      </c>
      <c r="G1505">
        <f>COUNTIF(Friday!I:I, B1505)</f>
        <v>0</v>
      </c>
      <c r="H1505">
        <f>SUM(C1505:G1505)</f>
        <v>0</v>
      </c>
    </row>
    <row r="1506" spans="1:8" x14ac:dyDescent="0.25">
      <c r="A1506" s="6" t="s">
        <v>1501</v>
      </c>
      <c r="B1506" t="str">
        <f>"*"&amp;A1506&amp;"*"</f>
        <v>*1235: Device Displays Fiberlife Courtesy Error Message*</v>
      </c>
      <c r="C1506">
        <f>COUNTIF(Monday!I:I, B1506)</f>
        <v>0</v>
      </c>
      <c r="D1506">
        <f>COUNTIF(Tuesday!I:I, B1506)</f>
        <v>0</v>
      </c>
      <c r="E1506">
        <f>COUNTIF(Wednesday!I:I, B1506)</f>
        <v>0</v>
      </c>
      <c r="F1506">
        <f>COUNTIF(Thursday!I:I, B1506)</f>
        <v>0</v>
      </c>
      <c r="G1506">
        <f>COUNTIF(Friday!I:I, B1506)</f>
        <v>0</v>
      </c>
      <c r="H1506">
        <f>SUM(C1506:G1506)</f>
        <v>0</v>
      </c>
    </row>
    <row r="1507" spans="1:8" x14ac:dyDescent="0.25">
      <c r="A1507" s="6" t="s">
        <v>1502</v>
      </c>
      <c r="B1507" t="str">
        <f>"*"&amp;A1507&amp;"*"</f>
        <v>*1236: Device Displays Fill Chiller Reservoir Courtesy Error Message*</v>
      </c>
      <c r="C1507">
        <f>COUNTIF(Monday!I:I, B1507)</f>
        <v>0</v>
      </c>
      <c r="D1507">
        <f>COUNTIF(Tuesday!I:I, B1507)</f>
        <v>0</v>
      </c>
      <c r="E1507">
        <f>COUNTIF(Wednesday!I:I, B1507)</f>
        <v>0</v>
      </c>
      <c r="F1507">
        <f>COUNTIF(Thursday!I:I, B1507)</f>
        <v>0</v>
      </c>
      <c r="G1507">
        <f>COUNTIF(Friday!I:I, B1507)</f>
        <v>0</v>
      </c>
      <c r="H1507">
        <f>SUM(C1507:G1507)</f>
        <v>0</v>
      </c>
    </row>
    <row r="1508" spans="1:8" x14ac:dyDescent="0.25">
      <c r="A1508" s="6" t="s">
        <v>1503</v>
      </c>
      <c r="B1508" t="str">
        <f>"*"&amp;A1508&amp;"*"</f>
        <v>*1237: Device Displays Footswitch Connection Courtesy Error Message*</v>
      </c>
      <c r="C1508">
        <f>COUNTIF(Monday!I:I, B1508)</f>
        <v>0</v>
      </c>
      <c r="D1508">
        <f>COUNTIF(Tuesday!I:I, B1508)</f>
        <v>0</v>
      </c>
      <c r="E1508">
        <f>COUNTIF(Wednesday!I:I, B1508)</f>
        <v>0</v>
      </c>
      <c r="F1508">
        <f>COUNTIF(Thursday!I:I, B1508)</f>
        <v>0</v>
      </c>
      <c r="G1508">
        <f>COUNTIF(Friday!I:I, B1508)</f>
        <v>0</v>
      </c>
      <c r="H1508">
        <f>SUM(C1508:G1508)</f>
        <v>0</v>
      </c>
    </row>
    <row r="1509" spans="1:8" x14ac:dyDescent="0.25">
      <c r="A1509" s="6" t="s">
        <v>1504</v>
      </c>
      <c r="B1509" t="str">
        <f>"*"&amp;A1509&amp;"*"</f>
        <v>*1238: Device Displays Footswitch Courtesy Error Message*</v>
      </c>
      <c r="C1509">
        <f>COUNTIF(Monday!I:I, B1509)</f>
        <v>0</v>
      </c>
      <c r="D1509">
        <f>COUNTIF(Tuesday!I:I, B1509)</f>
        <v>0</v>
      </c>
      <c r="E1509">
        <f>COUNTIF(Wednesday!I:I, B1509)</f>
        <v>0</v>
      </c>
      <c r="F1509">
        <f>COUNTIF(Thursday!I:I, B1509)</f>
        <v>0</v>
      </c>
      <c r="G1509">
        <f>COUNTIF(Friday!I:I, B1509)</f>
        <v>0</v>
      </c>
      <c r="H1509">
        <f>SUM(C1509:G1509)</f>
        <v>0</v>
      </c>
    </row>
    <row r="1510" spans="1:8" x14ac:dyDescent="0.25">
      <c r="A1510" s="6" t="s">
        <v>1505</v>
      </c>
      <c r="B1510" t="str">
        <f>"*"&amp;A1510&amp;"*"</f>
        <v>*1239: Device Displays HVPS Too High Error Message (E02)*</v>
      </c>
      <c r="C1510">
        <f>COUNTIF(Monday!I:I, B1510)</f>
        <v>0</v>
      </c>
      <c r="D1510">
        <f>COUNTIF(Tuesday!I:I, B1510)</f>
        <v>0</v>
      </c>
      <c r="E1510">
        <f>COUNTIF(Wednesday!I:I, B1510)</f>
        <v>0</v>
      </c>
      <c r="F1510">
        <f>COUNTIF(Thursday!I:I, B1510)</f>
        <v>0</v>
      </c>
      <c r="G1510">
        <f>COUNTIF(Friday!I:I, B1510)</f>
        <v>0</v>
      </c>
      <c r="H1510">
        <f>SUM(C1510:G1510)</f>
        <v>0</v>
      </c>
    </row>
    <row r="1511" spans="1:8" x14ac:dyDescent="0.25">
      <c r="A1511" s="6" t="s">
        <v>1506</v>
      </c>
      <c r="B1511" t="str">
        <f>"*"&amp;A1511&amp;"*"</f>
        <v>*1242: Device Displays Not In Ready Courtesy Error Message*</v>
      </c>
      <c r="C1511">
        <f>COUNTIF(Monday!I:I, B1511)</f>
        <v>0</v>
      </c>
      <c r="D1511">
        <f>COUNTIF(Tuesday!I:I, B1511)</f>
        <v>0</v>
      </c>
      <c r="E1511">
        <f>COUNTIF(Wednesday!I:I, B1511)</f>
        <v>0</v>
      </c>
      <c r="F1511">
        <f>COUNTIF(Thursday!I:I, B1511)</f>
        <v>0</v>
      </c>
      <c r="G1511">
        <f>COUNTIF(Friday!I:I, B1511)</f>
        <v>0</v>
      </c>
      <c r="H1511">
        <f>SUM(C1511:G1511)</f>
        <v>0</v>
      </c>
    </row>
    <row r="1512" spans="1:8" x14ac:dyDescent="0.25">
      <c r="A1512" s="6" t="s">
        <v>1507</v>
      </c>
      <c r="B1512" t="str">
        <f>"*"&amp;A1512&amp;"*"</f>
        <v>*1244: Device Displays Output Too Low Front Detector Error Message (E17)*</v>
      </c>
      <c r="C1512">
        <f>COUNTIF(Monday!I:I, B1512)</f>
        <v>0</v>
      </c>
      <c r="D1512">
        <f>COUNTIF(Tuesday!I:I, B1512)</f>
        <v>0</v>
      </c>
      <c r="E1512">
        <f>COUNTIF(Wednesday!I:I, B1512)</f>
        <v>0</v>
      </c>
      <c r="F1512">
        <f>COUNTIF(Thursday!I:I, B1512)</f>
        <v>0</v>
      </c>
      <c r="G1512">
        <f>COUNTIF(Friday!I:I, B1512)</f>
        <v>0</v>
      </c>
      <c r="H1512">
        <f>SUM(C1512:G1512)</f>
        <v>0</v>
      </c>
    </row>
    <row r="1513" spans="1:8" x14ac:dyDescent="0.25">
      <c r="A1513" s="6" t="s">
        <v>1508</v>
      </c>
      <c r="B1513" t="str">
        <f>"*"&amp;A1513&amp;"*"</f>
        <v>*1245: Device Displays Output Too Low Rear Detector Error Message (E10)*</v>
      </c>
      <c r="C1513">
        <f>COUNTIF(Monday!I:I, B1513)</f>
        <v>0</v>
      </c>
      <c r="D1513">
        <f>COUNTIF(Tuesday!I:I, B1513)</f>
        <v>0</v>
      </c>
      <c r="E1513">
        <f>COUNTIF(Wednesday!I:I, B1513)</f>
        <v>0</v>
      </c>
      <c r="F1513">
        <f>COUNTIF(Thursday!I:I, B1513)</f>
        <v>0</v>
      </c>
      <c r="G1513">
        <f>COUNTIF(Friday!I:I, B1513)</f>
        <v>0</v>
      </c>
      <c r="H1513">
        <f>SUM(C1513:G1513)</f>
        <v>0</v>
      </c>
    </row>
    <row r="1514" spans="1:8" x14ac:dyDescent="0.25">
      <c r="A1514" s="6" t="s">
        <v>1509</v>
      </c>
      <c r="B1514" t="str">
        <f>"*"&amp;A1514&amp;"*"</f>
        <v>*1246: Device Displays Overtemperature Error Message (E42)*</v>
      </c>
      <c r="C1514">
        <f>COUNTIF(Monday!I:I, B1514)</f>
        <v>0</v>
      </c>
      <c r="D1514">
        <f>COUNTIF(Tuesday!I:I, B1514)</f>
        <v>0</v>
      </c>
      <c r="E1514">
        <f>COUNTIF(Wednesday!I:I, B1514)</f>
        <v>0</v>
      </c>
      <c r="F1514">
        <f>COUNTIF(Thursday!I:I, B1514)</f>
        <v>0</v>
      </c>
      <c r="G1514">
        <f>COUNTIF(Friday!I:I, B1514)</f>
        <v>0</v>
      </c>
      <c r="H1514">
        <f>SUM(C1514:G1514)</f>
        <v>0</v>
      </c>
    </row>
    <row r="1515" spans="1:8" x14ac:dyDescent="0.25">
      <c r="A1515" s="6" t="s">
        <v>1510</v>
      </c>
      <c r="B1515" t="str">
        <f>"*"&amp;A1515&amp;"*"</f>
        <v>*1247: Device Displays Warm Up Courtesy Error Message*</v>
      </c>
      <c r="C1515">
        <f>COUNTIF(Monday!I:I, B1515)</f>
        <v>0</v>
      </c>
      <c r="D1515">
        <f>COUNTIF(Tuesday!I:I, B1515)</f>
        <v>0</v>
      </c>
      <c r="E1515">
        <f>COUNTIF(Wednesday!I:I, B1515)</f>
        <v>0</v>
      </c>
      <c r="F1515">
        <f>COUNTIF(Thursday!I:I, B1515)</f>
        <v>0</v>
      </c>
      <c r="G1515">
        <f>COUNTIF(Friday!I:I, B1515)</f>
        <v>0</v>
      </c>
      <c r="H1515">
        <f>SUM(C1515:G1515)</f>
        <v>0</v>
      </c>
    </row>
    <row r="1516" spans="1:8" x14ac:dyDescent="0.25">
      <c r="A1516" s="6" t="s">
        <v>1511</v>
      </c>
      <c r="B1516" t="str">
        <f>"*"&amp;A1516&amp;"*"</f>
        <v>*1248: Device Displays Watch Dog Fail Error Message (E03)*</v>
      </c>
      <c r="C1516">
        <f>COUNTIF(Monday!I:I, B1516)</f>
        <v>0</v>
      </c>
      <c r="D1516">
        <f>COUNTIF(Tuesday!I:I, B1516)</f>
        <v>0</v>
      </c>
      <c r="E1516">
        <f>COUNTIF(Wednesday!I:I, B1516)</f>
        <v>0</v>
      </c>
      <c r="F1516">
        <f>COUNTIF(Thursday!I:I, B1516)</f>
        <v>0</v>
      </c>
      <c r="G1516">
        <f>COUNTIF(Friday!I:I, B1516)</f>
        <v>0</v>
      </c>
      <c r="H1516">
        <f>SUM(C1516:G1516)</f>
        <v>0</v>
      </c>
    </row>
    <row r="1517" spans="1:8" x14ac:dyDescent="0.25">
      <c r="A1517" s="6" t="s">
        <v>1512</v>
      </c>
      <c r="B1517" t="str">
        <f>"*"&amp;A1517&amp;"*"</f>
        <v>*1448: Emergency Off Switch*</v>
      </c>
      <c r="C1517">
        <f>COUNTIF(Monday!I:I, B1517)</f>
        <v>0</v>
      </c>
      <c r="D1517">
        <f>COUNTIF(Tuesday!I:I, B1517)</f>
        <v>0</v>
      </c>
      <c r="E1517">
        <f>COUNTIF(Wednesday!I:I, B1517)</f>
        <v>0</v>
      </c>
      <c r="F1517">
        <f>COUNTIF(Thursday!I:I, B1517)</f>
        <v>0</v>
      </c>
      <c r="G1517">
        <f>COUNTIF(Friday!I:I, B1517)</f>
        <v>0</v>
      </c>
      <c r="H1517">
        <f>SUM(C1517:G1517)</f>
        <v>0</v>
      </c>
    </row>
    <row r="1518" spans="1:8" x14ac:dyDescent="0.25">
      <c r="A1518" s="6" t="s">
        <v>1513</v>
      </c>
      <c r="B1518" t="str">
        <f>"*"&amp;A1518&amp;"*"</f>
        <v>*1667: High Power*</v>
      </c>
      <c r="C1518">
        <f>COUNTIF(Monday!I:I, B1518)</f>
        <v>0</v>
      </c>
      <c r="D1518">
        <f>COUNTIF(Tuesday!I:I, B1518)</f>
        <v>0</v>
      </c>
      <c r="E1518">
        <f>COUNTIF(Wednesday!I:I, B1518)</f>
        <v>0</v>
      </c>
      <c r="F1518">
        <f>COUNTIF(Thursday!I:I, B1518)</f>
        <v>0</v>
      </c>
      <c r="G1518">
        <f>COUNTIF(Friday!I:I, B1518)</f>
        <v>0</v>
      </c>
      <c r="H1518">
        <f>SUM(C1518:G1518)</f>
        <v>0</v>
      </c>
    </row>
    <row r="1519" spans="1:8" x14ac:dyDescent="0.25">
      <c r="A1519" s="6" t="s">
        <v>1514</v>
      </c>
      <c r="B1519" t="str">
        <f>"*"&amp;A1519&amp;"*"</f>
        <v>*2130: Not Firing*</v>
      </c>
      <c r="C1519">
        <f>COUNTIF(Monday!I:I, B1519)</f>
        <v>0</v>
      </c>
      <c r="D1519">
        <f>COUNTIF(Tuesday!I:I, B1519)</f>
        <v>0</v>
      </c>
      <c r="E1519">
        <f>COUNTIF(Wednesday!I:I, B1519)</f>
        <v>0</v>
      </c>
      <c r="F1519">
        <f>COUNTIF(Thursday!I:I, B1519)</f>
        <v>0</v>
      </c>
      <c r="G1519">
        <f>COUNTIF(Friday!I:I, B1519)</f>
        <v>0</v>
      </c>
      <c r="H1519">
        <f>SUM(C1519:G1519)</f>
        <v>0</v>
      </c>
    </row>
    <row r="1520" spans="1:8" x14ac:dyDescent="0.25">
      <c r="A1520" s="6" t="s">
        <v>1515</v>
      </c>
      <c r="B1520" t="str">
        <f>"*"&amp;A1520&amp;"*"</f>
        <v>*2261: Ready/Standby Button Sticking*</v>
      </c>
      <c r="C1520">
        <f>COUNTIF(Monday!I:I, B1520)</f>
        <v>0</v>
      </c>
      <c r="D1520">
        <f>COUNTIF(Tuesday!I:I, B1520)</f>
        <v>0</v>
      </c>
      <c r="E1520">
        <f>COUNTIF(Wednesday!I:I, B1520)</f>
        <v>0</v>
      </c>
      <c r="F1520">
        <f>COUNTIF(Thursday!I:I, B1520)</f>
        <v>0</v>
      </c>
      <c r="G1520">
        <f>COUNTIF(Friday!I:I, B1520)</f>
        <v>0</v>
      </c>
      <c r="H1520">
        <f>SUM(C1520:G1520)</f>
        <v>0</v>
      </c>
    </row>
    <row r="1521" spans="1:8" x14ac:dyDescent="0.25">
      <c r="A1521" s="6" t="s">
        <v>1516</v>
      </c>
      <c r="B1521" t="str">
        <f>"*"&amp;A1521&amp;"*"</f>
        <v>*2389: System Shut Down*</v>
      </c>
      <c r="C1521">
        <f>COUNTIF(Monday!I:I, B1521)</f>
        <v>0</v>
      </c>
      <c r="D1521">
        <f>COUNTIF(Tuesday!I:I, B1521)</f>
        <v>0</v>
      </c>
      <c r="E1521">
        <f>COUNTIF(Wednesday!I:I, B1521)</f>
        <v>0</v>
      </c>
      <c r="F1521">
        <f>COUNTIF(Thursday!I:I, B1521)</f>
        <v>0</v>
      </c>
      <c r="G1521">
        <f>COUNTIF(Friday!I:I, B1521)</f>
        <v>0</v>
      </c>
      <c r="H1521">
        <f>SUM(C1521:G1521)</f>
        <v>0</v>
      </c>
    </row>
    <row r="1522" spans="1:8" x14ac:dyDescent="0.25">
      <c r="A1522" s="6" t="s">
        <v>1517</v>
      </c>
      <c r="B1522" t="str">
        <f>"*"&amp;A1522&amp;"*"</f>
        <v>*2395: Tab Window/Blast Shield Issue*</v>
      </c>
      <c r="C1522">
        <f>COUNTIF(Monday!I:I, B1522)</f>
        <v>0</v>
      </c>
      <c r="D1522">
        <f>COUNTIF(Tuesday!I:I, B1522)</f>
        <v>0</v>
      </c>
      <c r="E1522">
        <f>COUNTIF(Wednesday!I:I, B1522)</f>
        <v>0</v>
      </c>
      <c r="F1522">
        <f>COUNTIF(Thursday!I:I, B1522)</f>
        <v>0</v>
      </c>
      <c r="G1522">
        <f>COUNTIF(Friday!I:I, B1522)</f>
        <v>0</v>
      </c>
      <c r="H1522">
        <f>SUM(C1522:G1522)</f>
        <v>0</v>
      </c>
    </row>
    <row r="1523" spans="1:8" x14ac:dyDescent="0.25">
      <c r="A1523" s="6" t="s">
        <v>1518</v>
      </c>
      <c r="B1523" t="str">
        <f>"*"&amp;A1523&amp;"*"</f>
        <v>*2427: Tripping The Breaker*</v>
      </c>
      <c r="C1523">
        <f>COUNTIF(Monday!I:I, B1523)</f>
        <v>0</v>
      </c>
      <c r="D1523">
        <f>COUNTIF(Tuesday!I:I, B1523)</f>
        <v>0</v>
      </c>
      <c r="E1523">
        <f>COUNTIF(Wednesday!I:I, B1523)</f>
        <v>0</v>
      </c>
      <c r="F1523">
        <f>COUNTIF(Thursday!I:I, B1523)</f>
        <v>0</v>
      </c>
      <c r="G1523">
        <f>COUNTIF(Friday!I:I, B1523)</f>
        <v>0</v>
      </c>
      <c r="H1523">
        <f>SUM(C1523:G1523)</f>
        <v>0</v>
      </c>
    </row>
    <row r="1524" spans="1:8" x14ac:dyDescent="0.25">
      <c r="A1524" s="5" t="s">
        <v>1519</v>
      </c>
      <c r="B1524" t="str">
        <f>"*"&amp;A1524&amp;"*"</f>
        <v>*3242: Case Saver Mode*</v>
      </c>
      <c r="C1524">
        <f>COUNTIF(Monday!I:I, B1524)</f>
        <v>0</v>
      </c>
      <c r="D1524">
        <f>COUNTIF(Tuesday!I:I, B1524)</f>
        <v>0</v>
      </c>
      <c r="E1524">
        <f>COUNTIF(Wednesday!I:I, B1524)</f>
        <v>0</v>
      </c>
      <c r="F1524">
        <f>COUNTIF(Thursday!I:I, B1524)</f>
        <v>0</v>
      </c>
      <c r="G1524">
        <f>COUNTIF(Friday!I:I, B1524)</f>
        <v>0</v>
      </c>
      <c r="H1524">
        <f>SUM(C1524:G1524)</f>
        <v>0</v>
      </c>
    </row>
    <row r="1525" spans="1:8" x14ac:dyDescent="0.25">
      <c r="A1525" s="5" t="s">
        <v>1520</v>
      </c>
      <c r="B1525" t="str">
        <f>"*"&amp;A1525&amp;"*"</f>
        <v>*3244: Device Displays 50-59 Error Message*</v>
      </c>
      <c r="C1525">
        <f>COUNTIF(Monday!I:I, B1525)</f>
        <v>0</v>
      </c>
      <c r="D1525">
        <f>COUNTIF(Tuesday!I:I, B1525)</f>
        <v>0</v>
      </c>
      <c r="E1525">
        <f>COUNTIF(Wednesday!I:I, B1525)</f>
        <v>0</v>
      </c>
      <c r="F1525">
        <f>COUNTIF(Thursday!I:I, B1525)</f>
        <v>0</v>
      </c>
      <c r="G1525">
        <f>COUNTIF(Friday!I:I, B1525)</f>
        <v>0</v>
      </c>
      <c r="H1525">
        <f>SUM(C1525:G1525)</f>
        <v>0</v>
      </c>
    </row>
    <row r="1526" spans="1:8" x14ac:dyDescent="0.25">
      <c r="A1526" s="5" t="s">
        <v>1521</v>
      </c>
      <c r="B1526" t="str">
        <f>"*"&amp;A1526&amp;"*"</f>
        <v>*3245: Device Displays Advisory Message All Lasers Are Malfunctioning*</v>
      </c>
      <c r="C1526">
        <f>COUNTIF(Monday!I:I, B1526)</f>
        <v>0</v>
      </c>
      <c r="D1526">
        <f>COUNTIF(Tuesday!I:I, B1526)</f>
        <v>0</v>
      </c>
      <c r="E1526">
        <f>COUNTIF(Wednesday!I:I, B1526)</f>
        <v>0</v>
      </c>
      <c r="F1526">
        <f>COUNTIF(Thursday!I:I, B1526)</f>
        <v>0</v>
      </c>
      <c r="G1526">
        <f>COUNTIF(Friday!I:I, B1526)</f>
        <v>0</v>
      </c>
      <c r="H1526">
        <f>SUM(C1526:G1526)</f>
        <v>0</v>
      </c>
    </row>
    <row r="1527" spans="1:8" x14ac:dyDescent="0.25">
      <c r="A1527" s="5" t="s">
        <v>1522</v>
      </c>
      <c r="B1527" t="str">
        <f>"*"&amp;A1527&amp;"*"</f>
        <v>*3246: Device Displays Advisory Message Attach Fiber*</v>
      </c>
      <c r="C1527">
        <f>COUNTIF(Monday!I:I, B1527)</f>
        <v>0</v>
      </c>
      <c r="D1527">
        <f>COUNTIF(Tuesday!I:I, B1527)</f>
        <v>0</v>
      </c>
      <c r="E1527">
        <f>COUNTIF(Wednesday!I:I, B1527)</f>
        <v>0</v>
      </c>
      <c r="F1527">
        <f>COUNTIF(Thursday!I:I, B1527)</f>
        <v>0</v>
      </c>
      <c r="G1527">
        <f>COUNTIF(Friday!I:I, B1527)</f>
        <v>0</v>
      </c>
      <c r="H1527">
        <f>SUM(C1527:G1527)</f>
        <v>0</v>
      </c>
    </row>
    <row r="1528" spans="1:8" x14ac:dyDescent="0.25">
      <c r="A1528" s="5" t="s">
        <v>1523</v>
      </c>
      <c r="B1528" t="str">
        <f>"*"&amp;A1528&amp;"*"</f>
        <v>*3247: Device Displays Advisory Message Attach Footswitch*</v>
      </c>
      <c r="C1528">
        <f>COUNTIF(Monday!I:I, B1528)</f>
        <v>0</v>
      </c>
      <c r="D1528">
        <f>COUNTIF(Tuesday!I:I, B1528)</f>
        <v>0</v>
      </c>
      <c r="E1528">
        <f>COUNTIF(Wednesday!I:I, B1528)</f>
        <v>0</v>
      </c>
      <c r="F1528">
        <f>COUNTIF(Thursday!I:I, B1528)</f>
        <v>0</v>
      </c>
      <c r="G1528">
        <f>COUNTIF(Friday!I:I, B1528)</f>
        <v>0</v>
      </c>
      <c r="H1528">
        <f>SUM(C1528:G1528)</f>
        <v>0</v>
      </c>
    </row>
    <row r="1529" spans="1:8" x14ac:dyDescent="0.25">
      <c r="A1529" s="5" t="s">
        <v>1524</v>
      </c>
      <c r="B1529" t="str">
        <f>"*"&amp;A1529&amp;"*"</f>
        <v>*3248: Device Displays Advisory Message Check Footswitch*</v>
      </c>
      <c r="C1529">
        <f>COUNTIF(Monday!I:I, B1529)</f>
        <v>0</v>
      </c>
      <c r="D1529">
        <f>COUNTIF(Tuesday!I:I, B1529)</f>
        <v>0</v>
      </c>
      <c r="E1529">
        <f>COUNTIF(Wednesday!I:I, B1529)</f>
        <v>0</v>
      </c>
      <c r="F1529">
        <f>COUNTIF(Thursday!I:I, B1529)</f>
        <v>0</v>
      </c>
      <c r="G1529">
        <f>COUNTIF(Friday!I:I, B1529)</f>
        <v>0</v>
      </c>
      <c r="H1529">
        <f>SUM(C1529:G1529)</f>
        <v>0</v>
      </c>
    </row>
    <row r="1530" spans="1:8" x14ac:dyDescent="0.25">
      <c r="A1530" s="5" t="s">
        <v>1525</v>
      </c>
      <c r="B1530" t="str">
        <f>"*"&amp;A1530&amp;"*"</f>
        <v>*3249: Device Displays Advisory Message Check Interlock*</v>
      </c>
      <c r="C1530">
        <f>COUNTIF(Monday!I:I, B1530)</f>
        <v>0</v>
      </c>
      <c r="D1530">
        <f>COUNTIF(Tuesday!I:I, B1530)</f>
        <v>0</v>
      </c>
      <c r="E1530">
        <f>COUNTIF(Wednesday!I:I, B1530)</f>
        <v>0</v>
      </c>
      <c r="F1530">
        <f>COUNTIF(Thursday!I:I, B1530)</f>
        <v>0</v>
      </c>
      <c r="G1530">
        <f>COUNTIF(Friday!I:I, B1530)</f>
        <v>0</v>
      </c>
      <c r="H1530">
        <f>SUM(C1530:G1530)</f>
        <v>0</v>
      </c>
    </row>
    <row r="1531" spans="1:8" x14ac:dyDescent="0.25">
      <c r="A1531" s="5" t="s">
        <v>1526</v>
      </c>
      <c r="B1531" t="str">
        <f>"*"&amp;A1531&amp;"*"</f>
        <v>*3250: Device Displays Advisory Message Energy High*</v>
      </c>
      <c r="C1531">
        <f>COUNTIF(Monday!I:I, B1531)</f>
        <v>0</v>
      </c>
      <c r="D1531">
        <f>COUNTIF(Tuesday!I:I, B1531)</f>
        <v>0</v>
      </c>
      <c r="E1531">
        <f>COUNTIF(Wednesday!I:I, B1531)</f>
        <v>0</v>
      </c>
      <c r="F1531">
        <f>COUNTIF(Thursday!I:I, B1531)</f>
        <v>0</v>
      </c>
      <c r="G1531">
        <f>COUNTIF(Friday!I:I, B1531)</f>
        <v>0</v>
      </c>
      <c r="H1531">
        <f>SUM(C1531:G1531)</f>
        <v>0</v>
      </c>
    </row>
    <row r="1532" spans="1:8" x14ac:dyDescent="0.25">
      <c r="A1532" s="5" t="s">
        <v>1527</v>
      </c>
      <c r="B1532" t="str">
        <f>"*"&amp;A1532&amp;"*"</f>
        <v>*3251: Device Displays Advisory Message Energy Low*</v>
      </c>
      <c r="C1532">
        <f>COUNTIF(Monday!I:I, B1532)</f>
        <v>0</v>
      </c>
      <c r="D1532">
        <f>COUNTIF(Tuesday!I:I, B1532)</f>
        <v>0</v>
      </c>
      <c r="E1532">
        <f>COUNTIF(Wednesday!I:I, B1532)</f>
        <v>0</v>
      </c>
      <c r="F1532">
        <f>COUNTIF(Thursday!I:I, B1532)</f>
        <v>0</v>
      </c>
      <c r="G1532">
        <f>COUNTIF(Friday!I:I, B1532)</f>
        <v>0</v>
      </c>
      <c r="H1532">
        <f>SUM(C1532:G1532)</f>
        <v>0</v>
      </c>
    </row>
    <row r="1533" spans="1:8" x14ac:dyDescent="0.25">
      <c r="A1533" s="5" t="s">
        <v>1528</v>
      </c>
      <c r="B1533" t="str">
        <f>"*"&amp;A1533&amp;"*"</f>
        <v>*3252: Device Displays Advisory Message Insert Debris Shield*</v>
      </c>
      <c r="C1533">
        <f>COUNTIF(Monday!I:I, B1533)</f>
        <v>0</v>
      </c>
      <c r="D1533">
        <f>COUNTIF(Tuesday!I:I, B1533)</f>
        <v>0</v>
      </c>
      <c r="E1533">
        <f>COUNTIF(Wednesday!I:I, B1533)</f>
        <v>0</v>
      </c>
      <c r="F1533">
        <f>COUNTIF(Thursday!I:I, B1533)</f>
        <v>0</v>
      </c>
      <c r="G1533">
        <f>COUNTIF(Friday!I:I, B1533)</f>
        <v>0</v>
      </c>
      <c r="H1533">
        <f>SUM(C1533:G1533)</f>
        <v>0</v>
      </c>
    </row>
    <row r="1534" spans="1:8" x14ac:dyDescent="0.25">
      <c r="A1534" s="5" t="s">
        <v>1529</v>
      </c>
      <c r="B1534" t="str">
        <f>"*"&amp;A1534&amp;"*"</f>
        <v>*3253: Device Displays Advisory Message Pulse Rate High*</v>
      </c>
      <c r="C1534">
        <f>COUNTIF(Monday!I:I, B1534)</f>
        <v>0</v>
      </c>
      <c r="D1534">
        <f>COUNTIF(Tuesday!I:I, B1534)</f>
        <v>0</v>
      </c>
      <c r="E1534">
        <f>COUNTIF(Wednesday!I:I, B1534)</f>
        <v>0</v>
      </c>
      <c r="F1534">
        <f>COUNTIF(Thursday!I:I, B1534)</f>
        <v>0</v>
      </c>
      <c r="G1534">
        <f>COUNTIF(Friday!I:I, B1534)</f>
        <v>0</v>
      </c>
      <c r="H1534">
        <f>SUM(C1534:G1534)</f>
        <v>0</v>
      </c>
    </row>
    <row r="1535" spans="1:8" x14ac:dyDescent="0.25">
      <c r="A1535" s="5" t="s">
        <v>1530</v>
      </c>
      <c r="B1535" t="str">
        <f>"*"&amp;A1535&amp;"*"</f>
        <v>*3254: Device Displays Advisory Message Pulse Rate Low*</v>
      </c>
      <c r="C1535">
        <f>COUNTIF(Monday!I:I, B1535)</f>
        <v>0</v>
      </c>
      <c r="D1535">
        <f>COUNTIF(Tuesday!I:I, B1535)</f>
        <v>0</v>
      </c>
      <c r="E1535">
        <f>COUNTIF(Wednesday!I:I, B1535)</f>
        <v>0</v>
      </c>
      <c r="F1535">
        <f>COUNTIF(Thursday!I:I, B1535)</f>
        <v>0</v>
      </c>
      <c r="G1535">
        <f>COUNTIF(Friday!I:I, B1535)</f>
        <v>0</v>
      </c>
      <c r="H1535">
        <f>SUM(C1535:G1535)</f>
        <v>0</v>
      </c>
    </row>
    <row r="1536" spans="1:8" x14ac:dyDescent="0.25">
      <c r="A1536" s="5" t="s">
        <v>1531</v>
      </c>
      <c r="B1536" t="str">
        <f>"*"&amp;A1536&amp;"*"</f>
        <v>*3255: Device Displays Advisory Message System Is Overheating*</v>
      </c>
      <c r="C1536">
        <f>COUNTIF(Monday!I:I, B1536)</f>
        <v>0</v>
      </c>
      <c r="D1536">
        <f>COUNTIF(Tuesday!I:I, B1536)</f>
        <v>0</v>
      </c>
      <c r="E1536">
        <f>COUNTIF(Wednesday!I:I, B1536)</f>
        <v>0</v>
      </c>
      <c r="F1536">
        <f>COUNTIF(Thursday!I:I, B1536)</f>
        <v>0</v>
      </c>
      <c r="G1536">
        <f>COUNTIF(Friday!I:I, B1536)</f>
        <v>0</v>
      </c>
      <c r="H1536">
        <f>SUM(C1536:G1536)</f>
        <v>0</v>
      </c>
    </row>
    <row r="1537" spans="1:8" x14ac:dyDescent="0.25">
      <c r="A1537" s="5" t="s">
        <v>1532</v>
      </c>
      <c r="B1537" t="str">
        <f>"*"&amp;A1537&amp;"*"</f>
        <v>*3256: Device Displays Error 01-09*</v>
      </c>
      <c r="C1537">
        <f>COUNTIF(Monday!I:I, B1537)</f>
        <v>0</v>
      </c>
      <c r="D1537">
        <f>COUNTIF(Tuesday!I:I, B1537)</f>
        <v>0</v>
      </c>
      <c r="E1537">
        <f>COUNTIF(Wednesday!I:I, B1537)</f>
        <v>0</v>
      </c>
      <c r="F1537">
        <f>COUNTIF(Thursday!I:I, B1537)</f>
        <v>0</v>
      </c>
      <c r="G1537">
        <f>COUNTIF(Friday!I:I, B1537)</f>
        <v>0</v>
      </c>
      <c r="H1537">
        <f>SUM(C1537:G1537)</f>
        <v>0</v>
      </c>
    </row>
    <row r="1538" spans="1:8" x14ac:dyDescent="0.25">
      <c r="A1538" s="6" t="s">
        <v>1533</v>
      </c>
      <c r="B1538" t="str">
        <f>"*"&amp;A1538&amp;"*"</f>
        <v>*1419: Display screen does not function*</v>
      </c>
      <c r="C1538">
        <f>COUNTIF(Monday!I:I, B1538)</f>
        <v>0</v>
      </c>
      <c r="D1538">
        <f>COUNTIF(Tuesday!I:I, B1538)</f>
        <v>0</v>
      </c>
      <c r="E1538">
        <f>COUNTIF(Wednesday!I:I, B1538)</f>
        <v>0</v>
      </c>
      <c r="F1538">
        <f>COUNTIF(Thursday!I:I, B1538)</f>
        <v>0</v>
      </c>
      <c r="G1538">
        <f>COUNTIF(Friday!I:I, B1538)</f>
        <v>0</v>
      </c>
      <c r="H1538">
        <f>SUM(C1538:G1538)</f>
        <v>0</v>
      </c>
    </row>
    <row r="1539" spans="1:8" x14ac:dyDescent="0.25">
      <c r="A1539" s="6" t="s">
        <v>1534</v>
      </c>
      <c r="B1539" t="str">
        <f>"*"&amp;A1539&amp;"*"</f>
        <v>*1481: Failure To Adjust Audio*</v>
      </c>
      <c r="C1539">
        <f>COUNTIF(Monday!I:I, B1539)</f>
        <v>0</v>
      </c>
      <c r="D1539">
        <f>COUNTIF(Tuesday!I:I, B1539)</f>
        <v>0</v>
      </c>
      <c r="E1539">
        <f>COUNTIF(Wednesday!I:I, B1539)</f>
        <v>0</v>
      </c>
      <c r="F1539">
        <f>COUNTIF(Thursday!I:I, B1539)</f>
        <v>0</v>
      </c>
      <c r="G1539">
        <f>COUNTIF(Friday!I:I, B1539)</f>
        <v>0</v>
      </c>
      <c r="H1539">
        <f>SUM(C1539:G1539)</f>
        <v>0</v>
      </c>
    </row>
    <row r="1540" spans="1:8" x14ac:dyDescent="0.25">
      <c r="A1540" s="6" t="s">
        <v>1535</v>
      </c>
      <c r="B1540" t="str">
        <f>"*"&amp;A1540&amp;"*"</f>
        <v>*1562: Failure To Read Display*</v>
      </c>
      <c r="C1540">
        <f>COUNTIF(Monday!I:I, B1540)</f>
        <v>0</v>
      </c>
      <c r="D1540">
        <f>COUNTIF(Tuesday!I:I, B1540)</f>
        <v>0</v>
      </c>
      <c r="E1540">
        <f>COUNTIF(Wednesday!I:I, B1540)</f>
        <v>0</v>
      </c>
      <c r="F1540">
        <f>COUNTIF(Thursday!I:I, B1540)</f>
        <v>0</v>
      </c>
      <c r="G1540">
        <f>COUNTIF(Friday!I:I, B1540)</f>
        <v>0</v>
      </c>
      <c r="H1540">
        <f>SUM(C1540:G1540)</f>
        <v>0</v>
      </c>
    </row>
    <row r="1541" spans="1:8" x14ac:dyDescent="0.25">
      <c r="A1541" s="5" t="s">
        <v>1536</v>
      </c>
      <c r="B1541" t="str">
        <f>"*"&amp;A1541&amp;"*"</f>
        <v>*2827: Image Display Artifact/Distortion*</v>
      </c>
      <c r="C1541">
        <f>COUNTIF(Monday!I:I, B1541)</f>
        <v>0</v>
      </c>
      <c r="D1541">
        <f>COUNTIF(Tuesday!I:I, B1541)</f>
        <v>0</v>
      </c>
      <c r="E1541">
        <f>COUNTIF(Wednesday!I:I, B1541)</f>
        <v>0</v>
      </c>
      <c r="F1541">
        <f>COUNTIF(Thursday!I:I, B1541)</f>
        <v>0</v>
      </c>
      <c r="G1541">
        <f>COUNTIF(Friday!I:I, B1541)</f>
        <v>0</v>
      </c>
      <c r="H1541">
        <f>SUM(C1541:G1541)</f>
        <v>0</v>
      </c>
    </row>
    <row r="1542" spans="1:8" x14ac:dyDescent="0.25">
      <c r="A1542" s="6" t="s">
        <v>1537</v>
      </c>
      <c r="B1542" t="str">
        <f>"*"&amp;A1542&amp;"*"</f>
        <v>*1072: Card Reader Issue*</v>
      </c>
      <c r="C1542">
        <f>COUNTIF(Monday!I:I, B1542)</f>
        <v>0</v>
      </c>
      <c r="D1542">
        <f>COUNTIF(Tuesday!I:I, B1542)</f>
        <v>0</v>
      </c>
      <c r="E1542">
        <f>COUNTIF(Wednesday!I:I, B1542)</f>
        <v>0</v>
      </c>
      <c r="F1542">
        <f>COUNTIF(Thursday!I:I, B1542)</f>
        <v>0</v>
      </c>
      <c r="G1542">
        <f>COUNTIF(Friday!I:I, B1542)</f>
        <v>0</v>
      </c>
      <c r="H1542">
        <f>SUM(C1542:G1542)</f>
        <v>0</v>
      </c>
    </row>
    <row r="1543" spans="1:8" x14ac:dyDescent="0.25">
      <c r="A1543" s="5" t="s">
        <v>1538</v>
      </c>
      <c r="B1543" t="str">
        <f>"*"&amp;A1543&amp;"*"</f>
        <v>*2620: Device Displays 200 Unable To Read From Delivery Device Memory*</v>
      </c>
      <c r="C1543">
        <f>COUNTIF(Monday!I:I, B1543)</f>
        <v>0</v>
      </c>
      <c r="D1543">
        <f>COUNTIF(Tuesday!I:I, B1543)</f>
        <v>0</v>
      </c>
      <c r="E1543">
        <f>COUNTIF(Wednesday!I:I, B1543)</f>
        <v>0</v>
      </c>
      <c r="F1543">
        <f>COUNTIF(Thursday!I:I, B1543)</f>
        <v>0</v>
      </c>
      <c r="G1543">
        <f>COUNTIF(Friday!I:I, B1543)</f>
        <v>0</v>
      </c>
      <c r="H1543">
        <f>SUM(C1543:G1543)</f>
        <v>0</v>
      </c>
    </row>
    <row r="1544" spans="1:8" x14ac:dyDescent="0.25">
      <c r="A1544" s="5" t="s">
        <v>1539</v>
      </c>
      <c r="B1544" t="str">
        <f>"*"&amp;A1544&amp;"*"</f>
        <v>*2621: Device Displays 205 Unable To Write To Delivery Device Memory*</v>
      </c>
      <c r="C1544">
        <f>COUNTIF(Monday!I:I, B1544)</f>
        <v>0</v>
      </c>
      <c r="D1544">
        <f>COUNTIF(Tuesday!I:I, B1544)</f>
        <v>0</v>
      </c>
      <c r="E1544">
        <f>COUNTIF(Wednesday!I:I, B1544)</f>
        <v>0</v>
      </c>
      <c r="F1544">
        <f>COUNTIF(Thursday!I:I, B1544)</f>
        <v>0</v>
      </c>
      <c r="G1544">
        <f>COUNTIF(Friday!I:I, B1544)</f>
        <v>0</v>
      </c>
      <c r="H1544">
        <f>SUM(C1544:G1544)</f>
        <v>0</v>
      </c>
    </row>
    <row r="1545" spans="1:8" x14ac:dyDescent="0.25">
      <c r="A1545" s="5" t="s">
        <v>1540</v>
      </c>
      <c r="B1545" t="str">
        <f>"*"&amp;A1545&amp;"*"</f>
        <v>*2622: Device Displays 210 Faulty Delivery Device Thermocouple*</v>
      </c>
      <c r="C1545">
        <f>COUNTIF(Monday!I:I, B1545)</f>
        <v>0</v>
      </c>
      <c r="D1545">
        <f>COUNTIF(Tuesday!I:I, B1545)</f>
        <v>0</v>
      </c>
      <c r="E1545">
        <f>COUNTIF(Wednesday!I:I, B1545)</f>
        <v>0</v>
      </c>
      <c r="F1545">
        <f>COUNTIF(Thursday!I:I, B1545)</f>
        <v>0</v>
      </c>
      <c r="G1545">
        <f>COUNTIF(Friday!I:I, B1545)</f>
        <v>0</v>
      </c>
      <c r="H1545">
        <f>SUM(C1545:G1545)</f>
        <v>0</v>
      </c>
    </row>
    <row r="1546" spans="1:8" x14ac:dyDescent="0.25">
      <c r="A1546" s="5" t="s">
        <v>1541</v>
      </c>
      <c r="B1546" t="str">
        <f>"*"&amp;A1546&amp;"*"</f>
        <v>*2623: Device Displays 211 Faulty Delivery Device Trigger Signals*</v>
      </c>
      <c r="C1546">
        <f>COUNTIF(Monday!I:I, B1546)</f>
        <v>0</v>
      </c>
      <c r="D1546">
        <f>COUNTIF(Tuesday!I:I, B1546)</f>
        <v>0</v>
      </c>
      <c r="E1546">
        <f>COUNTIF(Wednesday!I:I, B1546)</f>
        <v>0</v>
      </c>
      <c r="F1546">
        <f>COUNTIF(Thursday!I:I, B1546)</f>
        <v>0</v>
      </c>
      <c r="G1546">
        <f>COUNTIF(Friday!I:I, B1546)</f>
        <v>0</v>
      </c>
      <c r="H1546">
        <f>SUM(C1546:G1546)</f>
        <v>0</v>
      </c>
    </row>
    <row r="1547" spans="1:8" x14ac:dyDescent="0.25">
      <c r="A1547" s="5" t="s">
        <v>1542</v>
      </c>
      <c r="B1547" t="str">
        <f>"*"&amp;A1547&amp;"*"</f>
        <v>*2624: Device Displays 215 Invalid Therapy Code*</v>
      </c>
      <c r="C1547">
        <f>COUNTIF(Monday!I:I, B1547)</f>
        <v>0</v>
      </c>
      <c r="D1547">
        <f>COUNTIF(Tuesday!I:I, B1547)</f>
        <v>0</v>
      </c>
      <c r="E1547">
        <f>COUNTIF(Wednesday!I:I, B1547)</f>
        <v>0</v>
      </c>
      <c r="F1547">
        <f>COUNTIF(Thursday!I:I, B1547)</f>
        <v>0</v>
      </c>
      <c r="G1547">
        <f>COUNTIF(Friday!I:I, B1547)</f>
        <v>0</v>
      </c>
      <c r="H1547">
        <f>SUM(C1547:G1547)</f>
        <v>0</v>
      </c>
    </row>
    <row r="1548" spans="1:8" x14ac:dyDescent="0.25">
      <c r="A1548" s="5" t="s">
        <v>1543</v>
      </c>
      <c r="B1548" t="str">
        <f>"*"&amp;A1548&amp;"*"</f>
        <v>*2625: Device Displays 218 Delivery Device Impedance Error*</v>
      </c>
      <c r="C1548">
        <f>COUNTIF(Monday!I:I, B1548)</f>
        <v>0</v>
      </c>
      <c r="D1548">
        <f>COUNTIF(Tuesday!I:I, B1548)</f>
        <v>0</v>
      </c>
      <c r="E1548">
        <f>COUNTIF(Wednesday!I:I, B1548)</f>
        <v>0</v>
      </c>
      <c r="F1548">
        <f>COUNTIF(Thursday!I:I, B1548)</f>
        <v>0</v>
      </c>
      <c r="G1548">
        <f>COUNTIF(Friday!I:I, B1548)</f>
        <v>0</v>
      </c>
      <c r="H1548">
        <f>SUM(C1548:G1548)</f>
        <v>0</v>
      </c>
    </row>
    <row r="1549" spans="1:8" x14ac:dyDescent="0.25">
      <c r="A1549" s="5" t="s">
        <v>1544</v>
      </c>
      <c r="B1549" t="str">
        <f>"*"&amp;A1549&amp;"*"</f>
        <v>*2626: Device Displays 219 Delivery Device Frequency Error*</v>
      </c>
      <c r="C1549">
        <f>COUNTIF(Monday!I:I, B1549)</f>
        <v>0</v>
      </c>
      <c r="D1549">
        <f>COUNTIF(Tuesday!I:I, B1549)</f>
        <v>0</v>
      </c>
      <c r="E1549">
        <f>COUNTIF(Wednesday!I:I, B1549)</f>
        <v>0</v>
      </c>
      <c r="F1549">
        <f>COUNTIF(Thursday!I:I, B1549)</f>
        <v>0</v>
      </c>
      <c r="G1549">
        <f>COUNTIF(Friday!I:I, B1549)</f>
        <v>0</v>
      </c>
      <c r="H1549">
        <f>SUM(C1549:G1549)</f>
        <v>0</v>
      </c>
    </row>
    <row r="1550" spans="1:8" x14ac:dyDescent="0.25">
      <c r="A1550" s="5" t="s">
        <v>1545</v>
      </c>
      <c r="B1550" t="str">
        <f>"*"&amp;A1550&amp;"*"</f>
        <v>*2627: Device Displays 220 Maximum Full Treatments Exceeded*</v>
      </c>
      <c r="C1550">
        <f>COUNTIF(Monday!I:I, B1550)</f>
        <v>0</v>
      </c>
      <c r="D1550">
        <f>COUNTIF(Tuesday!I:I, B1550)</f>
        <v>0</v>
      </c>
      <c r="E1550">
        <f>COUNTIF(Wednesday!I:I, B1550)</f>
        <v>0</v>
      </c>
      <c r="F1550">
        <f>COUNTIF(Thursday!I:I, B1550)</f>
        <v>0</v>
      </c>
      <c r="G1550">
        <f>COUNTIF(Friday!I:I, B1550)</f>
        <v>0</v>
      </c>
      <c r="H1550">
        <f>SUM(C1550:G1550)</f>
        <v>0</v>
      </c>
    </row>
    <row r="1551" spans="1:8" x14ac:dyDescent="0.25">
      <c r="A1551" s="5" t="s">
        <v>1546</v>
      </c>
      <c r="B1551" t="str">
        <f>"*"&amp;A1551&amp;"*"</f>
        <v>*2628: Device Displays 225 Delivery Device Is Permanently Disabled*</v>
      </c>
      <c r="C1551">
        <f>COUNTIF(Monday!I:I, B1551)</f>
        <v>0</v>
      </c>
      <c r="D1551">
        <f>COUNTIF(Tuesday!I:I, B1551)</f>
        <v>0</v>
      </c>
      <c r="E1551">
        <f>COUNTIF(Wednesday!I:I, B1551)</f>
        <v>0</v>
      </c>
      <c r="F1551">
        <f>COUNTIF(Thursday!I:I, B1551)</f>
        <v>0</v>
      </c>
      <c r="G1551">
        <f>COUNTIF(Friday!I:I, B1551)</f>
        <v>0</v>
      </c>
      <c r="H1551">
        <f>SUM(C1551:G1551)</f>
        <v>0</v>
      </c>
    </row>
    <row r="1552" spans="1:8" x14ac:dyDescent="0.25">
      <c r="A1552" s="5" t="s">
        <v>1547</v>
      </c>
      <c r="B1552" t="str">
        <f>"*"&amp;A1552&amp;"*"</f>
        <v>*2629: Device Displays 230 Maximum Vapor Time Exceeded*</v>
      </c>
      <c r="C1552">
        <f>COUNTIF(Monday!I:I, B1552)</f>
        <v>0</v>
      </c>
      <c r="D1552">
        <f>COUNTIF(Tuesday!I:I, B1552)</f>
        <v>0</v>
      </c>
      <c r="E1552">
        <f>COUNTIF(Wednesday!I:I, B1552)</f>
        <v>0</v>
      </c>
      <c r="F1552">
        <f>COUNTIF(Thursday!I:I, B1552)</f>
        <v>0</v>
      </c>
      <c r="G1552">
        <f>COUNTIF(Friday!I:I, B1552)</f>
        <v>0</v>
      </c>
      <c r="H1552">
        <f>SUM(C1552:G1552)</f>
        <v>0</v>
      </c>
    </row>
    <row r="1553" spans="1:8" x14ac:dyDescent="0.25">
      <c r="A1553" s="5" t="s">
        <v>1548</v>
      </c>
      <c r="B1553" t="str">
        <f>"*"&amp;A1553&amp;"*"</f>
        <v>*2630: Device Displays 235 Low Temperature (Prime)*</v>
      </c>
      <c r="C1553">
        <f>COUNTIF(Monday!I:I, B1553)</f>
        <v>0</v>
      </c>
      <c r="D1553">
        <f>COUNTIF(Tuesday!I:I, B1553)</f>
        <v>0</v>
      </c>
      <c r="E1553">
        <f>COUNTIF(Wednesday!I:I, B1553)</f>
        <v>0</v>
      </c>
      <c r="F1553">
        <f>COUNTIF(Thursday!I:I, B1553)</f>
        <v>0</v>
      </c>
      <c r="G1553">
        <f>COUNTIF(Friday!I:I, B1553)</f>
        <v>0</v>
      </c>
      <c r="H1553">
        <f>SUM(C1553:G1553)</f>
        <v>0</v>
      </c>
    </row>
    <row r="1554" spans="1:8" x14ac:dyDescent="0.25">
      <c r="A1554" s="5" t="s">
        <v>1549</v>
      </c>
      <c r="B1554" t="str">
        <f>"*"&amp;A1554&amp;"*"</f>
        <v>*2631: Device Displays 236 Low Temperature (Pre-Treatment)*</v>
      </c>
      <c r="C1554">
        <f>COUNTIF(Monday!I:I, B1554)</f>
        <v>0</v>
      </c>
      <c r="D1554">
        <f>COUNTIF(Tuesday!I:I, B1554)</f>
        <v>0</v>
      </c>
      <c r="E1554">
        <f>COUNTIF(Wednesday!I:I, B1554)</f>
        <v>0</v>
      </c>
      <c r="F1554">
        <f>COUNTIF(Thursday!I:I, B1554)</f>
        <v>0</v>
      </c>
      <c r="G1554">
        <f>COUNTIF(Friday!I:I, B1554)</f>
        <v>0</v>
      </c>
      <c r="H1554">
        <f>SUM(C1554:G1554)</f>
        <v>0</v>
      </c>
    </row>
    <row r="1555" spans="1:8" x14ac:dyDescent="0.25">
      <c r="A1555" s="5" t="s">
        <v>1550</v>
      </c>
      <c r="B1555" t="str">
        <f>"*"&amp;A1555&amp;"*"</f>
        <v>*2632: Device Displays 240 Low Water Pressure (Prime)*</v>
      </c>
      <c r="C1555">
        <f>COUNTIF(Monday!I:I, B1555)</f>
        <v>0</v>
      </c>
      <c r="D1555">
        <f>COUNTIF(Tuesday!I:I, B1555)</f>
        <v>0</v>
      </c>
      <c r="E1555">
        <f>COUNTIF(Wednesday!I:I, B1555)</f>
        <v>0</v>
      </c>
      <c r="F1555">
        <f>COUNTIF(Thursday!I:I, B1555)</f>
        <v>0</v>
      </c>
      <c r="G1555">
        <f>COUNTIF(Friday!I:I, B1555)</f>
        <v>0</v>
      </c>
      <c r="H1555">
        <f>SUM(C1555:G1555)</f>
        <v>0</v>
      </c>
    </row>
    <row r="1556" spans="1:8" x14ac:dyDescent="0.25">
      <c r="A1556" s="5" t="s">
        <v>1551</v>
      </c>
      <c r="B1556" t="str">
        <f>"*"&amp;A1556&amp;"*"</f>
        <v>*2633: Device Displays 241 High Water Pressure (Prime)*</v>
      </c>
      <c r="C1556">
        <f>COUNTIF(Monday!I:I, B1556)</f>
        <v>0</v>
      </c>
      <c r="D1556">
        <f>COUNTIF(Tuesday!I:I, B1556)</f>
        <v>0</v>
      </c>
      <c r="E1556">
        <f>COUNTIF(Wednesday!I:I, B1556)</f>
        <v>0</v>
      </c>
      <c r="F1556">
        <f>COUNTIF(Thursday!I:I, B1556)</f>
        <v>0</v>
      </c>
      <c r="G1556">
        <f>COUNTIF(Friday!I:I, B1556)</f>
        <v>0</v>
      </c>
      <c r="H1556">
        <f>SUM(C1556:G1556)</f>
        <v>0</v>
      </c>
    </row>
    <row r="1557" spans="1:8" x14ac:dyDescent="0.25">
      <c r="A1557" s="5" t="s">
        <v>1552</v>
      </c>
      <c r="B1557" t="str">
        <f>"*"&amp;A1557&amp;"*"</f>
        <v>*2634: Device Displays 242 Low Water Pressure (Pre-Treatment)*</v>
      </c>
      <c r="C1557">
        <f>COUNTIF(Monday!I:I, B1557)</f>
        <v>0</v>
      </c>
      <c r="D1557">
        <f>COUNTIF(Tuesday!I:I, B1557)</f>
        <v>0</v>
      </c>
      <c r="E1557">
        <f>COUNTIF(Wednesday!I:I, B1557)</f>
        <v>0</v>
      </c>
      <c r="F1557">
        <f>COUNTIF(Thursday!I:I, B1557)</f>
        <v>0</v>
      </c>
      <c r="G1557">
        <f>COUNTIF(Friday!I:I, B1557)</f>
        <v>0</v>
      </c>
      <c r="H1557">
        <f>SUM(C1557:G1557)</f>
        <v>0</v>
      </c>
    </row>
    <row r="1558" spans="1:8" x14ac:dyDescent="0.25">
      <c r="A1558" s="5" t="s">
        <v>1553</v>
      </c>
      <c r="B1558" t="str">
        <f>"*"&amp;A1558&amp;"*"</f>
        <v>*2635: Device Displays 243 High Water Pressure (Pre-Treatment)*</v>
      </c>
      <c r="C1558">
        <f>COUNTIF(Monday!I:I, B1558)</f>
        <v>0</v>
      </c>
      <c r="D1558">
        <f>COUNTIF(Tuesday!I:I, B1558)</f>
        <v>0</v>
      </c>
      <c r="E1558">
        <f>COUNTIF(Wednesday!I:I, B1558)</f>
        <v>0</v>
      </c>
      <c r="F1558">
        <f>COUNTIF(Thursday!I:I, B1558)</f>
        <v>0</v>
      </c>
      <c r="G1558">
        <f>COUNTIF(Friday!I:I, B1558)</f>
        <v>0</v>
      </c>
      <c r="H1558">
        <f>SUM(C1558:G1558)</f>
        <v>0</v>
      </c>
    </row>
    <row r="1559" spans="1:8" x14ac:dyDescent="0.25">
      <c r="A1559" s="5" t="s">
        <v>1554</v>
      </c>
      <c r="B1559" t="str">
        <f>"*"&amp;A1559&amp;"*"</f>
        <v>*2636: Device Displays 245 High Temperature (Prime)*</v>
      </c>
      <c r="C1559">
        <f>COUNTIF(Monday!I:I, B1559)</f>
        <v>0</v>
      </c>
      <c r="D1559">
        <f>COUNTIF(Tuesday!I:I, B1559)</f>
        <v>0</v>
      </c>
      <c r="E1559">
        <f>COUNTIF(Wednesday!I:I, B1559)</f>
        <v>0</v>
      </c>
      <c r="F1559">
        <f>COUNTIF(Thursday!I:I, B1559)</f>
        <v>0</v>
      </c>
      <c r="G1559">
        <f>COUNTIF(Friday!I:I, B1559)</f>
        <v>0</v>
      </c>
      <c r="H1559">
        <f>SUM(C1559:G1559)</f>
        <v>0</v>
      </c>
    </row>
    <row r="1560" spans="1:8" x14ac:dyDescent="0.25">
      <c r="A1560" s="5" t="s">
        <v>1555</v>
      </c>
      <c r="B1560" t="str">
        <f>"*"&amp;A1560&amp;"*"</f>
        <v>*2637: Device Displays 246 High Temperature (Pre-Treatment)*</v>
      </c>
      <c r="C1560">
        <f>COUNTIF(Monday!I:I, B1560)</f>
        <v>0</v>
      </c>
      <c r="D1560">
        <f>COUNTIF(Tuesday!I:I, B1560)</f>
        <v>0</v>
      </c>
      <c r="E1560">
        <f>COUNTIF(Wednesday!I:I, B1560)</f>
        <v>0</v>
      </c>
      <c r="F1560">
        <f>COUNTIF(Thursday!I:I, B1560)</f>
        <v>0</v>
      </c>
      <c r="G1560">
        <f>COUNTIF(Friday!I:I, B1560)</f>
        <v>0</v>
      </c>
      <c r="H1560">
        <f>SUM(C1560:G1560)</f>
        <v>0</v>
      </c>
    </row>
    <row r="1561" spans="1:8" x14ac:dyDescent="0.25">
      <c r="A1561" s="5" t="s">
        <v>1556</v>
      </c>
      <c r="B1561" t="str">
        <f>"*"&amp;A1561&amp;"*"</f>
        <v>*2638: Device Displays 250 Vapor Activation Button Released (Prime)*</v>
      </c>
      <c r="C1561">
        <f>COUNTIF(Monday!I:I, B1561)</f>
        <v>0</v>
      </c>
      <c r="D1561">
        <f>COUNTIF(Tuesday!I:I, B1561)</f>
        <v>0</v>
      </c>
      <c r="E1561">
        <f>COUNTIF(Wednesday!I:I, B1561)</f>
        <v>0</v>
      </c>
      <c r="F1561">
        <f>COUNTIF(Thursday!I:I, B1561)</f>
        <v>0</v>
      </c>
      <c r="G1561">
        <f>COUNTIF(Friday!I:I, B1561)</f>
        <v>0</v>
      </c>
      <c r="H1561">
        <f>SUM(C1561:G1561)</f>
        <v>0</v>
      </c>
    </row>
    <row r="1562" spans="1:8" x14ac:dyDescent="0.25">
      <c r="A1562" s="5" t="s">
        <v>1557</v>
      </c>
      <c r="B1562" t="str">
        <f>"*"&amp;A1562&amp;"*"</f>
        <v>*2639: Device Displays 251 Vapor Activation Button Released (Pre-Treatment)*</v>
      </c>
      <c r="C1562">
        <f>COUNTIF(Monday!I:I, B1562)</f>
        <v>0</v>
      </c>
      <c r="D1562">
        <f>COUNTIF(Tuesday!I:I, B1562)</f>
        <v>0</v>
      </c>
      <c r="E1562">
        <f>COUNTIF(Wednesday!I:I, B1562)</f>
        <v>0</v>
      </c>
      <c r="F1562">
        <f>COUNTIF(Thursday!I:I, B1562)</f>
        <v>0</v>
      </c>
      <c r="G1562">
        <f>COUNTIF(Friday!I:I, B1562)</f>
        <v>0</v>
      </c>
      <c r="H1562">
        <f>SUM(C1562:G1562)</f>
        <v>0</v>
      </c>
    </row>
    <row r="1563" spans="1:8" x14ac:dyDescent="0.25">
      <c r="A1563" s="5" t="s">
        <v>1558</v>
      </c>
      <c r="B1563" t="str">
        <f>"*"&amp;A1563&amp;"*"</f>
        <v>*2640: Device Displays 255 Low Temperature (Treatment)*</v>
      </c>
      <c r="C1563">
        <f>COUNTIF(Monday!I:I, B1563)</f>
        <v>0</v>
      </c>
      <c r="D1563">
        <f>COUNTIF(Tuesday!I:I, B1563)</f>
        <v>0</v>
      </c>
      <c r="E1563">
        <f>COUNTIF(Wednesday!I:I, B1563)</f>
        <v>0</v>
      </c>
      <c r="F1563">
        <f>COUNTIF(Thursday!I:I, B1563)</f>
        <v>0</v>
      </c>
      <c r="G1563">
        <f>COUNTIF(Friday!I:I, B1563)</f>
        <v>0</v>
      </c>
      <c r="H1563">
        <f>SUM(C1563:G1563)</f>
        <v>0</v>
      </c>
    </row>
    <row r="1564" spans="1:8" x14ac:dyDescent="0.25">
      <c r="A1564" s="5" t="s">
        <v>1559</v>
      </c>
      <c r="B1564" t="str">
        <f>"*"&amp;A1564&amp;"*"</f>
        <v>*2641: Device Displays 260 High Water Pressure (Treatment)*</v>
      </c>
      <c r="C1564">
        <f>COUNTIF(Monday!I:I, B1564)</f>
        <v>0</v>
      </c>
      <c r="D1564">
        <f>COUNTIF(Tuesday!I:I, B1564)</f>
        <v>0</v>
      </c>
      <c r="E1564">
        <f>COUNTIF(Wednesday!I:I, B1564)</f>
        <v>0</v>
      </c>
      <c r="F1564">
        <f>COUNTIF(Thursday!I:I, B1564)</f>
        <v>0</v>
      </c>
      <c r="G1564">
        <f>COUNTIF(Friday!I:I, B1564)</f>
        <v>0</v>
      </c>
      <c r="H1564">
        <f>SUM(C1564:G1564)</f>
        <v>0</v>
      </c>
    </row>
    <row r="1565" spans="1:8" x14ac:dyDescent="0.25">
      <c r="A1565" s="5" t="s">
        <v>1560</v>
      </c>
      <c r="B1565" t="str">
        <f>"*"&amp;A1565&amp;"*"</f>
        <v>*2642: Device Displays 265 Low Water Pressure (Treatment)*</v>
      </c>
      <c r="C1565">
        <f>COUNTIF(Monday!I:I, B1565)</f>
        <v>0</v>
      </c>
      <c r="D1565">
        <f>COUNTIF(Tuesday!I:I, B1565)</f>
        <v>0</v>
      </c>
      <c r="E1565">
        <f>COUNTIF(Wednesday!I:I, B1565)</f>
        <v>0</v>
      </c>
      <c r="F1565">
        <f>COUNTIF(Thursday!I:I, B1565)</f>
        <v>0</v>
      </c>
      <c r="G1565">
        <f>COUNTIF(Friday!I:I, B1565)</f>
        <v>0</v>
      </c>
      <c r="H1565">
        <f>SUM(C1565:G1565)</f>
        <v>0</v>
      </c>
    </row>
    <row r="1566" spans="1:8" x14ac:dyDescent="0.25">
      <c r="A1566" s="5" t="s">
        <v>1561</v>
      </c>
      <c r="B1566" t="str">
        <f>"*"&amp;A1566&amp;"*"</f>
        <v>*2643: Device Displays 270 Syringe Empty*</v>
      </c>
      <c r="C1566">
        <f>COUNTIF(Monday!I:I, B1566)</f>
        <v>0</v>
      </c>
      <c r="D1566">
        <f>COUNTIF(Tuesday!I:I, B1566)</f>
        <v>0</v>
      </c>
      <c r="E1566">
        <f>COUNTIF(Wednesday!I:I, B1566)</f>
        <v>0</v>
      </c>
      <c r="F1566">
        <f>COUNTIF(Thursday!I:I, B1566)</f>
        <v>0</v>
      </c>
      <c r="G1566">
        <f>COUNTIF(Friday!I:I, B1566)</f>
        <v>0</v>
      </c>
      <c r="H1566">
        <f>SUM(C1566:G1566)</f>
        <v>0</v>
      </c>
    </row>
    <row r="1567" spans="1:8" x14ac:dyDescent="0.25">
      <c r="A1567" s="5" t="s">
        <v>1562</v>
      </c>
      <c r="B1567" t="str">
        <f>"*"&amp;A1567&amp;"*"</f>
        <v>*2644: Device Displays 275 Syringe Water Fill Error*</v>
      </c>
      <c r="C1567">
        <f>COUNTIF(Monday!I:I, B1567)</f>
        <v>0</v>
      </c>
      <c r="D1567">
        <f>COUNTIF(Tuesday!I:I, B1567)</f>
        <v>0</v>
      </c>
      <c r="E1567">
        <f>COUNTIF(Wednesday!I:I, B1567)</f>
        <v>0</v>
      </c>
      <c r="F1567">
        <f>COUNTIF(Thursday!I:I, B1567)</f>
        <v>0</v>
      </c>
      <c r="G1567">
        <f>COUNTIF(Friday!I:I, B1567)</f>
        <v>0</v>
      </c>
      <c r="H1567">
        <f>SUM(C1567:G1567)</f>
        <v>0</v>
      </c>
    </row>
    <row r="1568" spans="1:8" x14ac:dyDescent="0.25">
      <c r="A1568" s="5" t="s">
        <v>1563</v>
      </c>
      <c r="B1568" t="str">
        <f>"*"&amp;A1568&amp;"*"</f>
        <v>*2645: Device Displays 280 Elevated Coil Temperature*</v>
      </c>
      <c r="C1568">
        <f>COUNTIF(Monday!I:I, B1568)</f>
        <v>0</v>
      </c>
      <c r="D1568">
        <f>COUNTIF(Tuesday!I:I, B1568)</f>
        <v>0</v>
      </c>
      <c r="E1568">
        <f>COUNTIF(Wednesday!I:I, B1568)</f>
        <v>0</v>
      </c>
      <c r="F1568">
        <f>COUNTIF(Thursday!I:I, B1568)</f>
        <v>0</v>
      </c>
      <c r="G1568">
        <f>COUNTIF(Friday!I:I, B1568)</f>
        <v>0</v>
      </c>
      <c r="H1568">
        <f>SUM(C1568:G1568)</f>
        <v>0</v>
      </c>
    </row>
    <row r="1569" spans="1:8" x14ac:dyDescent="0.25">
      <c r="A1569" s="5" t="s">
        <v>1564</v>
      </c>
      <c r="B1569" t="str">
        <f>"*"&amp;A1569&amp;"*"</f>
        <v>*2646: Device Displays 290 High Temperature (Idling)*</v>
      </c>
      <c r="C1569">
        <f>COUNTIF(Monday!I:I, B1569)</f>
        <v>0</v>
      </c>
      <c r="D1569">
        <f>COUNTIF(Tuesday!I:I, B1569)</f>
        <v>0</v>
      </c>
      <c r="E1569">
        <f>COUNTIF(Wednesday!I:I, B1569)</f>
        <v>0</v>
      </c>
      <c r="F1569">
        <f>COUNTIF(Thursday!I:I, B1569)</f>
        <v>0</v>
      </c>
      <c r="G1569">
        <f>COUNTIF(Friday!I:I, B1569)</f>
        <v>0</v>
      </c>
      <c r="H1569">
        <f>SUM(C1569:G1569)</f>
        <v>0</v>
      </c>
    </row>
    <row r="1570" spans="1:8" x14ac:dyDescent="0.25">
      <c r="A1570" s="5" t="s">
        <v>1565</v>
      </c>
      <c r="B1570" t="str">
        <f>"*"&amp;A1570&amp;"*"</f>
        <v>*2647: Device Displays 291 High Water Pressure (Idling)*</v>
      </c>
      <c r="C1570">
        <f>COUNTIF(Monday!I:I, B1570)</f>
        <v>0</v>
      </c>
      <c r="D1570">
        <f>COUNTIF(Tuesday!I:I, B1570)</f>
        <v>0</v>
      </c>
      <c r="E1570">
        <f>COUNTIF(Wednesday!I:I, B1570)</f>
        <v>0</v>
      </c>
      <c r="F1570">
        <f>COUNTIF(Thursday!I:I, B1570)</f>
        <v>0</v>
      </c>
      <c r="G1570">
        <f>COUNTIF(Friday!I:I, B1570)</f>
        <v>0</v>
      </c>
      <c r="H1570">
        <f>SUM(C1570:G1570)</f>
        <v>0</v>
      </c>
    </row>
    <row r="1571" spans="1:8" x14ac:dyDescent="0.25">
      <c r="A1571" s="5" t="s">
        <v>1566</v>
      </c>
      <c r="B1571" t="str">
        <f>"*"&amp;A1571&amp;"*"</f>
        <v>*2648: Device Displays 295 Needle Deployment Error*</v>
      </c>
      <c r="C1571">
        <f>COUNTIF(Monday!I:I, B1571)</f>
        <v>0</v>
      </c>
      <c r="D1571">
        <f>COUNTIF(Tuesday!I:I, B1571)</f>
        <v>0</v>
      </c>
      <c r="E1571">
        <f>COUNTIF(Wednesday!I:I, B1571)</f>
        <v>0</v>
      </c>
      <c r="F1571">
        <f>COUNTIF(Thursday!I:I, B1571)</f>
        <v>0</v>
      </c>
      <c r="G1571">
        <f>COUNTIF(Friday!I:I, B1571)</f>
        <v>0</v>
      </c>
      <c r="H1571">
        <f>SUM(C1571:G1571)</f>
        <v>0</v>
      </c>
    </row>
    <row r="1572" spans="1:8" x14ac:dyDescent="0.25">
      <c r="A1572" s="5" t="s">
        <v>1567</v>
      </c>
      <c r="B1572" t="str">
        <f>"*"&amp;A1572&amp;"*"</f>
        <v>*2649: Device Displays 296 Needle Retraction Error*</v>
      </c>
      <c r="C1572">
        <f>COUNTIF(Monday!I:I, B1572)</f>
        <v>0</v>
      </c>
      <c r="D1572">
        <f>COUNTIF(Tuesday!I:I, B1572)</f>
        <v>0</v>
      </c>
      <c r="E1572">
        <f>COUNTIF(Wednesday!I:I, B1572)</f>
        <v>0</v>
      </c>
      <c r="F1572">
        <f>COUNTIF(Thursday!I:I, B1572)</f>
        <v>0</v>
      </c>
      <c r="G1572">
        <f>COUNTIF(Friday!I:I, B1572)</f>
        <v>0</v>
      </c>
      <c r="H1572">
        <f>SUM(C1572:G1572)</f>
        <v>0</v>
      </c>
    </row>
    <row r="1573" spans="1:8" x14ac:dyDescent="0.25">
      <c r="A1573" s="5" t="s">
        <v>1568</v>
      </c>
      <c r="B1573" t="str">
        <f>"*"&amp;A1573&amp;"*"</f>
        <v>*2651: Device Displays 325 Saline Instilled Limit Exceeded*</v>
      </c>
      <c r="C1573">
        <f>COUNTIF(Monday!I:I, B1573)</f>
        <v>0</v>
      </c>
      <c r="D1573">
        <f>COUNTIF(Tuesday!I:I, B1573)</f>
        <v>0</v>
      </c>
      <c r="E1573">
        <f>COUNTIF(Wednesday!I:I, B1573)</f>
        <v>0</v>
      </c>
      <c r="F1573">
        <f>COUNTIF(Thursday!I:I, B1573)</f>
        <v>0</v>
      </c>
      <c r="G1573">
        <f>COUNTIF(Friday!I:I, B1573)</f>
        <v>0</v>
      </c>
      <c r="H1573">
        <f>SUM(C1573:G1573)</f>
        <v>0</v>
      </c>
    </row>
    <row r="1574" spans="1:8" x14ac:dyDescent="0.25">
      <c r="A1574" s="5" t="s">
        <v>1569</v>
      </c>
      <c r="B1574" t="str">
        <f>"*"&amp;A1574&amp;"*"</f>
        <v>*2678: Device Not Detected*</v>
      </c>
      <c r="C1574">
        <f>COUNTIF(Monday!I:I, B1574)</f>
        <v>0</v>
      </c>
      <c r="D1574">
        <f>COUNTIF(Tuesday!I:I, B1574)</f>
        <v>0</v>
      </c>
      <c r="E1574">
        <f>COUNTIF(Wednesday!I:I, B1574)</f>
        <v>0</v>
      </c>
      <c r="F1574">
        <f>COUNTIF(Thursday!I:I, B1574)</f>
        <v>0</v>
      </c>
      <c r="G1574">
        <f>COUNTIF(Friday!I:I, B1574)</f>
        <v>0</v>
      </c>
      <c r="H1574">
        <f>SUM(C1574:G1574)</f>
        <v>0</v>
      </c>
    </row>
    <row r="1575" spans="1:8" x14ac:dyDescent="0.25">
      <c r="A1575" s="5" t="s">
        <v>1570</v>
      </c>
      <c r="B1575" t="str">
        <f>"*"&amp;A1575&amp;"*"</f>
        <v>*2682: Incomplete Treatment*</v>
      </c>
      <c r="C1575">
        <f>COUNTIF(Monday!I:I, B1575)</f>
        <v>0</v>
      </c>
      <c r="D1575">
        <f>COUNTIF(Tuesday!I:I, B1575)</f>
        <v>0</v>
      </c>
      <c r="E1575">
        <f>COUNTIF(Wednesday!I:I, B1575)</f>
        <v>0</v>
      </c>
      <c r="F1575">
        <f>COUNTIF(Thursday!I:I, B1575)</f>
        <v>0</v>
      </c>
      <c r="G1575">
        <f>COUNTIF(Friday!I:I, B1575)</f>
        <v>0</v>
      </c>
      <c r="H1575">
        <f>SUM(C1575:G1575)</f>
        <v>0</v>
      </c>
    </row>
    <row r="1576" spans="1:8" x14ac:dyDescent="0.25">
      <c r="A1576" s="5" t="s">
        <v>1571</v>
      </c>
      <c r="B1576" t="str">
        <f>"*"&amp;A1576&amp;"*"</f>
        <v>*2685: Vapor Not Delivered*</v>
      </c>
      <c r="C1576">
        <f>COUNTIF(Monday!I:I, B1576)</f>
        <v>0</v>
      </c>
      <c r="D1576">
        <f>COUNTIF(Tuesday!I:I, B1576)</f>
        <v>0</v>
      </c>
      <c r="E1576">
        <f>COUNTIF(Wednesday!I:I, B1576)</f>
        <v>0</v>
      </c>
      <c r="F1576">
        <f>COUNTIF(Thursday!I:I, B1576)</f>
        <v>0</v>
      </c>
      <c r="G1576">
        <f>COUNTIF(Friday!I:I, B1576)</f>
        <v>0</v>
      </c>
      <c r="H1576">
        <f>SUM(C1576:G1576)</f>
        <v>0</v>
      </c>
    </row>
    <row r="1577" spans="1:8" x14ac:dyDescent="0.25">
      <c r="A1577" s="5" t="s">
        <v>1572</v>
      </c>
      <c r="B1577" t="str">
        <f>"*"&amp;A1577&amp;"*"</f>
        <v>*3163: Excessive Water Delivered*</v>
      </c>
      <c r="C1577">
        <f>COUNTIF(Monday!I:I, B1577)</f>
        <v>0</v>
      </c>
      <c r="D1577">
        <f>COUNTIF(Tuesday!I:I, B1577)</f>
        <v>0</v>
      </c>
      <c r="E1577">
        <f>COUNTIF(Wednesday!I:I, B1577)</f>
        <v>0</v>
      </c>
      <c r="F1577">
        <f>COUNTIF(Thursday!I:I, B1577)</f>
        <v>0</v>
      </c>
      <c r="G1577">
        <f>COUNTIF(Friday!I:I, B1577)</f>
        <v>0</v>
      </c>
      <c r="H1577">
        <f>SUM(C1577:G1577)</f>
        <v>0</v>
      </c>
    </row>
    <row r="1578" spans="1:8" x14ac:dyDescent="0.25">
      <c r="A1578" s="5" t="s">
        <v>1573</v>
      </c>
      <c r="B1578" t="str">
        <f>"*"&amp;A1578&amp;"*"</f>
        <v>*3164: Saline Not Delivered*</v>
      </c>
      <c r="C1578">
        <f>COUNTIF(Monday!I:I, B1578)</f>
        <v>0</v>
      </c>
      <c r="D1578">
        <f>COUNTIF(Tuesday!I:I, B1578)</f>
        <v>0</v>
      </c>
      <c r="E1578">
        <f>COUNTIF(Wednesday!I:I, B1578)</f>
        <v>0</v>
      </c>
      <c r="F1578">
        <f>COUNTIF(Thursday!I:I, B1578)</f>
        <v>0</v>
      </c>
      <c r="G1578">
        <f>COUNTIF(Friday!I:I, B1578)</f>
        <v>0</v>
      </c>
      <c r="H1578">
        <f>SUM(C1578:G1578)</f>
        <v>0</v>
      </c>
    </row>
    <row r="1579" spans="1:8" x14ac:dyDescent="0.25">
      <c r="A1579" s="5" t="s">
        <v>1574</v>
      </c>
      <c r="B1579" t="str">
        <f>"*"&amp;A1579&amp;"*"</f>
        <v>*3166: Vapor Prematurely Delivered*</v>
      </c>
      <c r="C1579">
        <f>COUNTIF(Monday!I:I, B1579)</f>
        <v>0</v>
      </c>
      <c r="D1579">
        <f>COUNTIF(Tuesday!I:I, B1579)</f>
        <v>0</v>
      </c>
      <c r="E1579">
        <f>COUNTIF(Wednesday!I:I, B1579)</f>
        <v>0</v>
      </c>
      <c r="F1579">
        <f>COUNTIF(Thursday!I:I, B1579)</f>
        <v>0</v>
      </c>
      <c r="G1579">
        <f>COUNTIF(Friday!I:I, B1579)</f>
        <v>0</v>
      </c>
      <c r="H1579">
        <f>SUM(C1579:G1579)</f>
        <v>0</v>
      </c>
    </row>
    <row r="1580" spans="1:8" x14ac:dyDescent="0.25">
      <c r="A1580" s="5" t="s">
        <v>1575</v>
      </c>
      <c r="B1580" t="str">
        <f>"*"&amp;A1580&amp;"*"</f>
        <v>*3165: Scope Unable to Enter Handpiece*</v>
      </c>
      <c r="C1580">
        <f>COUNTIF(Monday!I:I, B1580)</f>
        <v>0</v>
      </c>
      <c r="D1580">
        <f>COUNTIF(Tuesday!I:I, B1580)</f>
        <v>0</v>
      </c>
      <c r="E1580">
        <f>COUNTIF(Wednesday!I:I, B1580)</f>
        <v>0</v>
      </c>
      <c r="F1580">
        <f>COUNTIF(Thursday!I:I, B1580)</f>
        <v>0</v>
      </c>
      <c r="G1580">
        <f>COUNTIF(Friday!I:I, B1580)</f>
        <v>0</v>
      </c>
      <c r="H1580">
        <f>SUM(C1580:G1580)</f>
        <v>0</v>
      </c>
    </row>
    <row r="1581" spans="1:8" x14ac:dyDescent="0.25">
      <c r="A1581" s="5" t="s">
        <v>1576</v>
      </c>
      <c r="B1581" t="str">
        <f>"*"&amp;A1581&amp;"*"</f>
        <v>*1551: Failure To Penetrate Tissue*</v>
      </c>
      <c r="C1581">
        <f>COUNTIF(Monday!I:I, B1581)</f>
        <v>0</v>
      </c>
      <c r="D1581">
        <f>COUNTIF(Tuesday!I:I, B1581)</f>
        <v>0</v>
      </c>
      <c r="E1581">
        <f>COUNTIF(Wednesday!I:I, B1581)</f>
        <v>0</v>
      </c>
      <c r="F1581">
        <f>COUNTIF(Thursday!I:I, B1581)</f>
        <v>0</v>
      </c>
      <c r="G1581">
        <f>COUNTIF(Friday!I:I, B1581)</f>
        <v>0</v>
      </c>
      <c r="H1581">
        <f>SUM(C1581:G1581)</f>
        <v>0</v>
      </c>
    </row>
    <row r="1582" spans="1:8" x14ac:dyDescent="0.25">
      <c r="A1582" s="5" t="s">
        <v>1577</v>
      </c>
      <c r="B1582" t="str">
        <f>"*"&amp;A1582&amp;"*"</f>
        <v>*1695: Inadvertent Deployment*</v>
      </c>
      <c r="C1582">
        <f>COUNTIF(Monday!I:I, B1582)</f>
        <v>0</v>
      </c>
      <c r="D1582">
        <f>COUNTIF(Tuesday!I:I, B1582)</f>
        <v>0</v>
      </c>
      <c r="E1582">
        <f>COUNTIF(Wednesday!I:I, B1582)</f>
        <v>0</v>
      </c>
      <c r="F1582">
        <f>COUNTIF(Thursday!I:I, B1582)</f>
        <v>0</v>
      </c>
      <c r="G1582">
        <f>COUNTIF(Friday!I:I, B1582)</f>
        <v>0</v>
      </c>
      <c r="H1582">
        <f>SUM(C1582:G1582)</f>
        <v>0</v>
      </c>
    </row>
    <row r="1583" spans="1:8" x14ac:dyDescent="0.25">
      <c r="A1583" s="5" t="s">
        <v>1578</v>
      </c>
      <c r="B1583" t="str">
        <f>"*"&amp;A1583&amp;"*"</f>
        <v>*2679: Failure To Retract At Setup*</v>
      </c>
      <c r="C1583">
        <f>COUNTIF(Monday!I:I, B1583)</f>
        <v>0</v>
      </c>
      <c r="D1583">
        <f>COUNTIF(Tuesday!I:I, B1583)</f>
        <v>0</v>
      </c>
      <c r="E1583">
        <f>COUNTIF(Wednesday!I:I, B1583)</f>
        <v>0</v>
      </c>
      <c r="F1583">
        <f>COUNTIF(Thursday!I:I, B1583)</f>
        <v>0</v>
      </c>
      <c r="G1583">
        <f>COUNTIF(Friday!I:I, B1583)</f>
        <v>0</v>
      </c>
      <c r="H1583">
        <f>SUM(C1583:G1583)</f>
        <v>0</v>
      </c>
    </row>
    <row r="1584" spans="1:8" x14ac:dyDescent="0.25">
      <c r="A1584" s="5" t="s">
        <v>1579</v>
      </c>
      <c r="B1584" t="str">
        <f>"*"&amp;A1584&amp;"*"</f>
        <v>*2680: Failure To Retract During Procedure*</v>
      </c>
      <c r="C1584">
        <f>COUNTIF(Monday!I:I, B1584)</f>
        <v>0</v>
      </c>
      <c r="D1584">
        <f>COUNTIF(Tuesday!I:I, B1584)</f>
        <v>0</v>
      </c>
      <c r="E1584">
        <f>COUNTIF(Wednesday!I:I, B1584)</f>
        <v>0</v>
      </c>
      <c r="F1584">
        <f>COUNTIF(Thursday!I:I, B1584)</f>
        <v>0</v>
      </c>
      <c r="G1584">
        <f>COUNTIF(Friday!I:I, B1584)</f>
        <v>0</v>
      </c>
      <c r="H1584">
        <f>SUM(C1584:G1584)</f>
        <v>0</v>
      </c>
    </row>
    <row r="1585" spans="1:8" x14ac:dyDescent="0.25">
      <c r="A1585" s="5" t="s">
        <v>1580</v>
      </c>
      <c r="B1585" t="str">
        <f>"*"&amp;A1585&amp;"*"</f>
        <v>*2681: Failure To Retract During Procedure/ Manual Retraction Failed*</v>
      </c>
      <c r="C1585">
        <f>COUNTIF(Monday!I:I, B1585)</f>
        <v>0</v>
      </c>
      <c r="D1585">
        <f>COUNTIF(Tuesday!I:I, B1585)</f>
        <v>0</v>
      </c>
      <c r="E1585">
        <f>COUNTIF(Wednesday!I:I, B1585)</f>
        <v>0</v>
      </c>
      <c r="F1585">
        <f>COUNTIF(Thursday!I:I, B1585)</f>
        <v>0</v>
      </c>
      <c r="G1585">
        <f>COUNTIF(Friday!I:I, B1585)</f>
        <v>0</v>
      </c>
      <c r="H1585">
        <f>SUM(C1585:G1585)</f>
        <v>0</v>
      </c>
    </row>
    <row r="1586" spans="1:8" x14ac:dyDescent="0.25">
      <c r="A1586" s="5" t="s">
        <v>1581</v>
      </c>
      <c r="B1586" t="str">
        <f>"*"&amp;A1586&amp;"*"</f>
        <v>*2683: Not Deployed In Package*</v>
      </c>
      <c r="C1586">
        <f>COUNTIF(Monday!I:I, B1586)</f>
        <v>0</v>
      </c>
      <c r="D1586">
        <f>COUNTIF(Tuesday!I:I, B1586)</f>
        <v>0</v>
      </c>
      <c r="E1586">
        <f>COUNTIF(Wednesday!I:I, B1586)</f>
        <v>0</v>
      </c>
      <c r="F1586">
        <f>COUNTIF(Thursday!I:I, B1586)</f>
        <v>0</v>
      </c>
      <c r="G1586">
        <f>COUNTIF(Friday!I:I, B1586)</f>
        <v>0</v>
      </c>
      <c r="H1586">
        <f>SUM(C1586:G1586)</f>
        <v>0</v>
      </c>
    </row>
    <row r="1587" spans="1:8" x14ac:dyDescent="0.25">
      <c r="A1587" s="5" t="s">
        <v>1582</v>
      </c>
      <c r="B1587" t="str">
        <f>"*"&amp;A1587&amp;"*"</f>
        <v>*2686: Failure To Retract During Procedure/ Manual Retraction Used*</v>
      </c>
      <c r="C1587">
        <f>COUNTIF(Monday!I:I, B1587)</f>
        <v>0</v>
      </c>
      <c r="D1587">
        <f>COUNTIF(Tuesday!I:I, B1587)</f>
        <v>0</v>
      </c>
      <c r="E1587">
        <f>COUNTIF(Wednesday!I:I, B1587)</f>
        <v>0</v>
      </c>
      <c r="F1587">
        <f>COUNTIF(Thursday!I:I, B1587)</f>
        <v>0</v>
      </c>
      <c r="G1587">
        <f>COUNTIF(Friday!I:I, B1587)</f>
        <v>0</v>
      </c>
      <c r="H1587">
        <f>SUM(C1587:G1587)</f>
        <v>0</v>
      </c>
    </row>
    <row r="1588" spans="1:8" x14ac:dyDescent="0.25">
      <c r="A1588" s="5" t="s">
        <v>1583</v>
      </c>
      <c r="B1588" t="str">
        <f>"*"&amp;A1588&amp;"*"</f>
        <v>*1186: Detached/Broke Inside Patient*</v>
      </c>
      <c r="C1588">
        <f>COUNTIF(Monday!I:I, B1588)</f>
        <v>0</v>
      </c>
      <c r="D1588">
        <f>COUNTIF(Tuesday!I:I, B1588)</f>
        <v>0</v>
      </c>
      <c r="E1588">
        <f>COUNTIF(Wednesday!I:I, B1588)</f>
        <v>0</v>
      </c>
      <c r="F1588">
        <f>COUNTIF(Thursday!I:I, B1588)</f>
        <v>0</v>
      </c>
      <c r="G1588">
        <f>COUNTIF(Friday!I:I, B1588)</f>
        <v>0</v>
      </c>
      <c r="H1588">
        <f>SUM(C1588:G1588)</f>
        <v>0</v>
      </c>
    </row>
    <row r="1589" spans="1:8" x14ac:dyDescent="0.25">
      <c r="A1589" s="5" t="s">
        <v>1584</v>
      </c>
      <c r="B1589" t="str">
        <f>"*"&amp;A1589&amp;"*"</f>
        <v>*3162: Detached/Broke Outside Patient*</v>
      </c>
      <c r="C1589">
        <f>COUNTIF(Monday!I:I, B1589)</f>
        <v>0</v>
      </c>
      <c r="D1589">
        <f>COUNTIF(Tuesday!I:I, B1589)</f>
        <v>0</v>
      </c>
      <c r="E1589">
        <f>COUNTIF(Wednesday!I:I, B1589)</f>
        <v>0</v>
      </c>
      <c r="F1589">
        <f>COUNTIF(Thursday!I:I, B1589)</f>
        <v>0</v>
      </c>
      <c r="G1589">
        <f>COUNTIF(Friday!I:I, B1589)</f>
        <v>0</v>
      </c>
      <c r="H1589">
        <f>SUM(C1589:G1589)</f>
        <v>0</v>
      </c>
    </row>
    <row r="1590" spans="1:8" x14ac:dyDescent="0.25">
      <c r="A1590" s="5" t="s">
        <v>1585</v>
      </c>
      <c r="B1590" t="str">
        <f>"*"&amp;A1590&amp;"*"</f>
        <v>*2687: Falls Off*</v>
      </c>
      <c r="C1590">
        <f>COUNTIF(Monday!I:I, B1590)</f>
        <v>0</v>
      </c>
      <c r="D1590">
        <f>COUNTIF(Tuesday!I:I, B1590)</f>
        <v>0</v>
      </c>
      <c r="E1590">
        <f>COUNTIF(Wednesday!I:I, B1590)</f>
        <v>0</v>
      </c>
      <c r="F1590">
        <f>COUNTIF(Thursday!I:I, B1590)</f>
        <v>0</v>
      </c>
      <c r="G1590">
        <f>COUNTIF(Friday!I:I, B1590)</f>
        <v>0</v>
      </c>
      <c r="H1590">
        <f>SUM(C1590:G1590)</f>
        <v>0</v>
      </c>
    </row>
    <row r="1591" spans="1:8" x14ac:dyDescent="0.25">
      <c r="A1591" s="5" t="s">
        <v>1586</v>
      </c>
      <c r="B1591" t="str">
        <f>"*"&amp;A1591&amp;"*"</f>
        <v>*2684: Obstruction / No Flush*</v>
      </c>
      <c r="C1591">
        <f>COUNTIF(Monday!I:I, B1591)</f>
        <v>0</v>
      </c>
      <c r="D1591">
        <f>COUNTIF(Tuesday!I:I, B1591)</f>
        <v>0</v>
      </c>
      <c r="E1591">
        <f>COUNTIF(Wednesday!I:I, B1591)</f>
        <v>0</v>
      </c>
      <c r="F1591">
        <f>COUNTIF(Thursday!I:I, B1591)</f>
        <v>0</v>
      </c>
      <c r="G1591">
        <f>COUNTIF(Friday!I:I, B1591)</f>
        <v>0</v>
      </c>
      <c r="H1591">
        <f>SUM(C1591:G1591)</f>
        <v>0</v>
      </c>
    </row>
    <row r="1592" spans="1:8" x14ac:dyDescent="0.25">
      <c r="A1592" s="5" t="s">
        <v>1587</v>
      </c>
      <c r="B1592" t="str">
        <f>"*"&amp;A1592&amp;"*"</f>
        <v>*2495: Failure of Pressure Relief Valve*</v>
      </c>
      <c r="C1592">
        <f>COUNTIF(Monday!I:I, B1592)</f>
        <v>0</v>
      </c>
      <c r="D1592">
        <f>COUNTIF(Tuesday!I:I, B1592)</f>
        <v>0</v>
      </c>
      <c r="E1592">
        <f>COUNTIF(Wednesday!I:I, B1592)</f>
        <v>0</v>
      </c>
      <c r="F1592">
        <f>COUNTIF(Thursday!I:I, B1592)</f>
        <v>0</v>
      </c>
      <c r="G1592">
        <f>COUNTIF(Friday!I:I, B1592)</f>
        <v>0</v>
      </c>
      <c r="H1592">
        <f>SUM(C1592:G1592)</f>
        <v>0</v>
      </c>
    </row>
    <row r="1593" spans="1:8" x14ac:dyDescent="0.25">
      <c r="A1593" s="6" t="s">
        <v>1588</v>
      </c>
      <c r="B1593" t="str">
        <f>"*"&amp;A1593&amp;"*"</f>
        <v>*1172: Deflation Issue*</v>
      </c>
      <c r="C1593">
        <f>COUNTIF(Monday!I:I, B1593)</f>
        <v>0</v>
      </c>
      <c r="D1593">
        <f>COUNTIF(Tuesday!I:I, B1593)</f>
        <v>0</v>
      </c>
      <c r="E1593">
        <f>COUNTIF(Wednesday!I:I, B1593)</f>
        <v>0</v>
      </c>
      <c r="F1593">
        <f>COUNTIF(Thursday!I:I, B1593)</f>
        <v>0</v>
      </c>
      <c r="G1593">
        <f>COUNTIF(Friday!I:I, B1593)</f>
        <v>0</v>
      </c>
      <c r="H1593">
        <f>SUM(C1593:G1593)</f>
        <v>0</v>
      </c>
    </row>
    <row r="1594" spans="1:8" x14ac:dyDescent="0.25">
      <c r="A1594" s="6" t="s">
        <v>1589</v>
      </c>
      <c r="B1594" t="str">
        <f>"*"&amp;A1594&amp;"*"</f>
        <v>*2193: Patient-Device Incompatibility*</v>
      </c>
      <c r="C1594">
        <f>COUNTIF(Monday!I:I, B1594)</f>
        <v>0</v>
      </c>
      <c r="D1594">
        <f>COUNTIF(Tuesday!I:I, B1594)</f>
        <v>0</v>
      </c>
      <c r="E1594">
        <f>COUNTIF(Wednesday!I:I, B1594)</f>
        <v>0</v>
      </c>
      <c r="F1594">
        <f>COUNTIF(Thursday!I:I, B1594)</f>
        <v>0</v>
      </c>
      <c r="G1594">
        <f>COUNTIF(Friday!I:I, B1594)</f>
        <v>0</v>
      </c>
      <c r="H1594">
        <f>SUM(C1594:G1594)</f>
        <v>0</v>
      </c>
    </row>
    <row r="1595" spans="1:8" x14ac:dyDescent="0.25">
      <c r="A1595" s="6" t="s">
        <v>1590</v>
      </c>
      <c r="B1595" t="str">
        <f>"*"&amp;A1595&amp;"*"</f>
        <v>*3068: Bond Separation*</v>
      </c>
      <c r="C1595">
        <f>COUNTIF(Monday!I:I, B1595)</f>
        <v>0</v>
      </c>
      <c r="D1595">
        <f>COUNTIF(Tuesday!I:I, B1595)</f>
        <v>0</v>
      </c>
      <c r="E1595">
        <f>COUNTIF(Wednesday!I:I, B1595)</f>
        <v>0</v>
      </c>
      <c r="F1595">
        <f>COUNTIF(Thursday!I:I, B1595)</f>
        <v>0</v>
      </c>
      <c r="G1595">
        <f>COUNTIF(Friday!I:I, B1595)</f>
        <v>0</v>
      </c>
      <c r="H1595">
        <f>SUM(C1595:G1595)</f>
        <v>0</v>
      </c>
    </row>
    <row r="1596" spans="1:8" x14ac:dyDescent="0.25">
      <c r="A1596" s="6" t="s">
        <v>1591</v>
      </c>
      <c r="B1596" t="str">
        <f>"*"&amp;A1596&amp;"*"</f>
        <v>*3069: Bulge*</v>
      </c>
      <c r="C1596">
        <f>COUNTIF(Monday!I:I, B1596)</f>
        <v>0</v>
      </c>
      <c r="D1596">
        <f>COUNTIF(Tuesday!I:I, B1596)</f>
        <v>0</v>
      </c>
      <c r="E1596">
        <f>COUNTIF(Wednesday!I:I, B1596)</f>
        <v>0</v>
      </c>
      <c r="F1596">
        <f>COUNTIF(Thursday!I:I, B1596)</f>
        <v>0</v>
      </c>
      <c r="G1596">
        <f>COUNTIF(Friday!I:I, B1596)</f>
        <v>0</v>
      </c>
      <c r="H1596">
        <f>SUM(C1596:G1596)</f>
        <v>0</v>
      </c>
    </row>
    <row r="1597" spans="1:8" x14ac:dyDescent="0.25">
      <c r="A1597" s="6" t="s">
        <v>1592</v>
      </c>
      <c r="B1597" t="str">
        <f>"*"&amp;A1597&amp;"*"</f>
        <v>*3101: Spontaneous Deflation*</v>
      </c>
      <c r="C1597">
        <f>COUNTIF(Monday!I:I, B1597)</f>
        <v>0</v>
      </c>
      <c r="D1597">
        <f>COUNTIF(Tuesday!I:I, B1597)</f>
        <v>0</v>
      </c>
      <c r="E1597">
        <f>COUNTIF(Wednesday!I:I, B1597)</f>
        <v>0</v>
      </c>
      <c r="F1597">
        <f>COUNTIF(Thursday!I:I, B1597)</f>
        <v>0</v>
      </c>
      <c r="G1597">
        <f>COUNTIF(Friday!I:I, B1597)</f>
        <v>0</v>
      </c>
      <c r="H1597">
        <f>SUM(C1597:G1597)</f>
        <v>0</v>
      </c>
    </row>
    <row r="1598" spans="1:8" x14ac:dyDescent="0.25">
      <c r="A1598" s="6" t="s">
        <v>1593</v>
      </c>
      <c r="B1598" t="str">
        <f>"*"&amp;A1598&amp;"*"</f>
        <v>*3102: Spontaneous Inflation*</v>
      </c>
      <c r="C1598">
        <f>COUNTIF(Monday!I:I, B1598)</f>
        <v>0</v>
      </c>
      <c r="D1598">
        <f>COUNTIF(Tuesday!I:I, B1598)</f>
        <v>0</v>
      </c>
      <c r="E1598">
        <f>COUNTIF(Wednesday!I:I, B1598)</f>
        <v>0</v>
      </c>
      <c r="F1598">
        <f>COUNTIF(Thursday!I:I, B1598)</f>
        <v>0</v>
      </c>
      <c r="G1598">
        <f>COUNTIF(Friday!I:I, B1598)</f>
        <v>0</v>
      </c>
      <c r="H1598">
        <f>SUM(C1598:G1598)</f>
        <v>0</v>
      </c>
    </row>
    <row r="1599" spans="1:8" x14ac:dyDescent="0.25">
      <c r="A1599" s="6" t="s">
        <v>1594</v>
      </c>
      <c r="B1599" t="str">
        <f>"*"&amp;A1599&amp;"*"</f>
        <v>*3084: Mechanical Issue During Device Implant Procedure*</v>
      </c>
      <c r="C1599">
        <f>COUNTIF(Monday!I:I, B1599)</f>
        <v>0</v>
      </c>
      <c r="D1599">
        <f>COUNTIF(Tuesday!I:I, B1599)</f>
        <v>0</v>
      </c>
      <c r="E1599">
        <f>COUNTIF(Wednesday!I:I, B1599)</f>
        <v>0</v>
      </c>
      <c r="F1599">
        <f>COUNTIF(Thursday!I:I, B1599)</f>
        <v>0</v>
      </c>
      <c r="G1599">
        <f>COUNTIF(Friday!I:I, B1599)</f>
        <v>0</v>
      </c>
      <c r="H1599">
        <f>SUM(C1599:G1599)</f>
        <v>0</v>
      </c>
    </row>
    <row r="1600" spans="1:8" x14ac:dyDescent="0.25">
      <c r="A1600" s="6" t="s">
        <v>1595</v>
      </c>
      <c r="B1600" t="str">
        <f>"*"&amp;A1600&amp;"*"</f>
        <v>*3085: Mechanical Issue Occurring From One Year to Ten Years After Device Implantation*</v>
      </c>
      <c r="C1600">
        <f>COUNTIF(Monday!I:I, B1600)</f>
        <v>0</v>
      </c>
      <c r="D1600">
        <f>COUNTIF(Tuesday!I:I, B1600)</f>
        <v>0</v>
      </c>
      <c r="E1600">
        <f>COUNTIF(Wednesday!I:I, B1600)</f>
        <v>0</v>
      </c>
      <c r="F1600">
        <f>COUNTIF(Thursday!I:I, B1600)</f>
        <v>0</v>
      </c>
      <c r="G1600">
        <f>COUNTIF(Friday!I:I, B1600)</f>
        <v>0</v>
      </c>
      <c r="H1600">
        <f>SUM(C1600:G1600)</f>
        <v>0</v>
      </c>
    </row>
    <row r="1601" spans="1:8" x14ac:dyDescent="0.25">
      <c r="A1601" s="6" t="s">
        <v>1596</v>
      </c>
      <c r="B1601" t="str">
        <f>"*"&amp;A1601&amp;"*"</f>
        <v>*3086: Mechanical Issue Occurring From Two Months to a Year After Device Implantation*</v>
      </c>
      <c r="C1601">
        <f>COUNTIF(Monday!I:I, B1601)</f>
        <v>0</v>
      </c>
      <c r="D1601">
        <f>COUNTIF(Tuesday!I:I, B1601)</f>
        <v>0</v>
      </c>
      <c r="E1601">
        <f>COUNTIF(Wednesday!I:I, B1601)</f>
        <v>0</v>
      </c>
      <c r="F1601">
        <f>COUNTIF(Thursday!I:I, B1601)</f>
        <v>0</v>
      </c>
      <c r="G1601">
        <f>COUNTIF(Friday!I:I, B1601)</f>
        <v>0</v>
      </c>
      <c r="H1601">
        <f>SUM(C1601:G1601)</f>
        <v>0</v>
      </c>
    </row>
    <row r="1602" spans="1:8" x14ac:dyDescent="0.25">
      <c r="A1602" s="6" t="s">
        <v>1597</v>
      </c>
      <c r="B1602" t="str">
        <f>"*"&amp;A1602&amp;"*"</f>
        <v>*3087: Mechanical Issue Occurring Greater than Ten Years After Implantation*</v>
      </c>
      <c r="C1602">
        <f>COUNTIF(Monday!I:I, B1602)</f>
        <v>0</v>
      </c>
      <c r="D1602">
        <f>COUNTIF(Tuesday!I:I, B1602)</f>
        <v>0</v>
      </c>
      <c r="E1602">
        <f>COUNTIF(Wednesday!I:I, B1602)</f>
        <v>0</v>
      </c>
      <c r="F1602">
        <f>COUNTIF(Thursday!I:I, B1602)</f>
        <v>0</v>
      </c>
      <c r="G1602">
        <f>COUNTIF(Friday!I:I, B1602)</f>
        <v>0</v>
      </c>
      <c r="H1602">
        <f>SUM(C1602:G1602)</f>
        <v>0</v>
      </c>
    </row>
    <row r="1603" spans="1:8" x14ac:dyDescent="0.25">
      <c r="A1603" s="6" t="s">
        <v>1598</v>
      </c>
      <c r="B1603" t="str">
        <f>"*"&amp;A1603&amp;"*"</f>
        <v>*3088: Mechanical Issue Within Two Months of Device Implantation*</v>
      </c>
      <c r="C1603">
        <f>COUNTIF(Monday!I:I, B1603)</f>
        <v>0</v>
      </c>
      <c r="D1603">
        <f>COUNTIF(Tuesday!I:I, B1603)</f>
        <v>0</v>
      </c>
      <c r="E1603">
        <f>COUNTIF(Wednesday!I:I, B1603)</f>
        <v>0</v>
      </c>
      <c r="F1603">
        <f>COUNTIF(Thursday!I:I, B1603)</f>
        <v>0</v>
      </c>
      <c r="G1603">
        <f>COUNTIF(Friday!I:I, B1603)</f>
        <v>0</v>
      </c>
      <c r="H1603">
        <f>SUM(C1603:G1603)</f>
        <v>0</v>
      </c>
    </row>
    <row r="1604" spans="1:8" x14ac:dyDescent="0.25">
      <c r="A1604" s="6" t="s">
        <v>1599</v>
      </c>
      <c r="B1604" t="str">
        <f>"*"&amp;A1604&amp;"*"</f>
        <v>*2413: Too Large*</v>
      </c>
      <c r="C1604">
        <f>COUNTIF(Monday!I:I, B1604)</f>
        <v>0</v>
      </c>
      <c r="D1604">
        <f>COUNTIF(Tuesday!I:I, B1604)</f>
        <v>0</v>
      </c>
      <c r="E1604">
        <f>COUNTIF(Wednesday!I:I, B1604)</f>
        <v>0</v>
      </c>
      <c r="F1604">
        <f>COUNTIF(Thursday!I:I, B1604)</f>
        <v>0</v>
      </c>
      <c r="G1604">
        <f>COUNTIF(Friday!I:I, B1604)</f>
        <v>0</v>
      </c>
      <c r="H1604">
        <f>SUM(C1604:G1604)</f>
        <v>0</v>
      </c>
    </row>
    <row r="1605" spans="1:8" x14ac:dyDescent="0.25">
      <c r="A1605" s="6" t="s">
        <v>1600</v>
      </c>
      <c r="B1605" t="str">
        <f>"*"&amp;A1605&amp;"*"</f>
        <v>*3071: Collapsed/Dimpled/Flat*</v>
      </c>
      <c r="C1605">
        <f>COUNTIF(Monday!I:I, B1605)</f>
        <v>0</v>
      </c>
      <c r="D1605">
        <f>COUNTIF(Tuesday!I:I, B1605)</f>
        <v>0</v>
      </c>
      <c r="E1605">
        <f>COUNTIF(Wednesday!I:I, B1605)</f>
        <v>0</v>
      </c>
      <c r="F1605">
        <f>COUNTIF(Thursday!I:I, B1605)</f>
        <v>0</v>
      </c>
      <c r="G1605">
        <f>COUNTIF(Friday!I:I, B1605)</f>
        <v>0</v>
      </c>
      <c r="H1605">
        <f>SUM(C1605:G1605)</f>
        <v>0</v>
      </c>
    </row>
    <row r="1606" spans="1:8" x14ac:dyDescent="0.25">
      <c r="A1606" s="6" t="s">
        <v>1601</v>
      </c>
      <c r="B1606" t="str">
        <f>"*"&amp;A1606&amp;"*"</f>
        <v>*1006: Aim Beam Fired Straight*</v>
      </c>
      <c r="C1606">
        <f>COUNTIF(Monday!I:I, B1606)</f>
        <v>0</v>
      </c>
      <c r="D1606">
        <f>COUNTIF(Tuesday!I:I, B1606)</f>
        <v>0</v>
      </c>
      <c r="E1606">
        <f>COUNTIF(Wednesday!I:I, B1606)</f>
        <v>0</v>
      </c>
      <c r="F1606">
        <f>COUNTIF(Thursday!I:I, B1606)</f>
        <v>0</v>
      </c>
      <c r="G1606">
        <f>COUNTIF(Friday!I:I, B1606)</f>
        <v>0</v>
      </c>
      <c r="H1606">
        <f>SUM(C1606:G1606)</f>
        <v>0</v>
      </c>
    </row>
    <row r="1607" spans="1:8" x14ac:dyDescent="0.25">
      <c r="A1607" s="6" t="s">
        <v>1602</v>
      </c>
      <c r="B1607" t="str">
        <f>"*"&amp;A1607&amp;"*"</f>
        <v>*1036: Blinking/Flashing/Pulsing*</v>
      </c>
      <c r="C1607">
        <f>COUNTIF(Monday!I:I, B1607)</f>
        <v>0</v>
      </c>
      <c r="D1607">
        <f>COUNTIF(Tuesday!I:I, B1607)</f>
        <v>0</v>
      </c>
      <c r="E1607">
        <f>COUNTIF(Wednesday!I:I, B1607)</f>
        <v>0</v>
      </c>
      <c r="F1607">
        <f>COUNTIF(Thursday!I:I, B1607)</f>
        <v>0</v>
      </c>
      <c r="G1607">
        <f>COUNTIF(Friday!I:I, B1607)</f>
        <v>0</v>
      </c>
      <c r="H1607">
        <f>SUM(C1607:G1607)</f>
        <v>0</v>
      </c>
    </row>
    <row r="1608" spans="1:8" x14ac:dyDescent="0.25">
      <c r="A1608" s="6" t="s">
        <v>1603</v>
      </c>
      <c r="B1608" t="str">
        <f>"*"&amp;A1608&amp;"*"</f>
        <v>*1406: Diminished Vaporization*</v>
      </c>
      <c r="C1608">
        <f>COUNTIF(Monday!I:I, B1608)</f>
        <v>0</v>
      </c>
      <c r="D1608">
        <f>COUNTIF(Tuesday!I:I, B1608)</f>
        <v>0</v>
      </c>
      <c r="E1608">
        <f>COUNTIF(Wednesday!I:I, B1608)</f>
        <v>0</v>
      </c>
      <c r="F1608">
        <f>COUNTIF(Thursday!I:I, B1608)</f>
        <v>0</v>
      </c>
      <c r="G1608">
        <f>COUNTIF(Friday!I:I, B1608)</f>
        <v>0</v>
      </c>
      <c r="H1608">
        <f>SUM(C1608:G1608)</f>
        <v>0</v>
      </c>
    </row>
    <row r="1609" spans="1:8" x14ac:dyDescent="0.25">
      <c r="A1609" s="6" t="s">
        <v>1604</v>
      </c>
      <c r="B1609" t="str">
        <f>"*"&amp;A1609&amp;"*"</f>
        <v>*1634: Forward Firing*</v>
      </c>
      <c r="C1609">
        <f>COUNTIF(Monday!I:I, B1609)</f>
        <v>0</v>
      </c>
      <c r="D1609">
        <f>COUNTIF(Tuesday!I:I, B1609)</f>
        <v>0</v>
      </c>
      <c r="E1609">
        <f>COUNTIF(Wednesday!I:I, B1609)</f>
        <v>0</v>
      </c>
      <c r="F1609">
        <f>COUNTIF(Thursday!I:I, B1609)</f>
        <v>0</v>
      </c>
      <c r="G1609">
        <f>COUNTIF(Friday!I:I, B1609)</f>
        <v>0</v>
      </c>
      <c r="H1609">
        <f>SUM(C1609:G1609)</f>
        <v>0</v>
      </c>
    </row>
    <row r="1610" spans="1:8" x14ac:dyDescent="0.25">
      <c r="A1610" s="6" t="s">
        <v>1605</v>
      </c>
      <c r="B1610" t="str">
        <f>"*"&amp;A1610&amp;"*"</f>
        <v>*1709: Incorrect Beam Direction*</v>
      </c>
      <c r="C1610">
        <f>COUNTIF(Monday!I:I, B1610)</f>
        <v>0</v>
      </c>
      <c r="D1610">
        <f>COUNTIF(Tuesday!I:I, B1610)</f>
        <v>0</v>
      </c>
      <c r="E1610">
        <f>COUNTIF(Wednesday!I:I, B1610)</f>
        <v>0</v>
      </c>
      <c r="F1610">
        <f>COUNTIF(Thursday!I:I, B1610)</f>
        <v>0</v>
      </c>
      <c r="G1610">
        <f>COUNTIF(Friday!I:I, B1610)</f>
        <v>0</v>
      </c>
      <c r="H1610">
        <f>SUM(C1610:G1610)</f>
        <v>0</v>
      </c>
    </row>
    <row r="1611" spans="1:8" x14ac:dyDescent="0.25">
      <c r="A1611" s="6" t="s">
        <v>1606</v>
      </c>
      <c r="B1611" t="str">
        <f>"*"&amp;A1611&amp;"*"</f>
        <v>*1797: Loss Of Aiming Beam*</v>
      </c>
      <c r="C1611">
        <f>COUNTIF(Monday!I:I, B1611)</f>
        <v>0</v>
      </c>
      <c r="D1611">
        <f>COUNTIF(Tuesday!I:I, B1611)</f>
        <v>0</v>
      </c>
      <c r="E1611">
        <f>COUNTIF(Wednesday!I:I, B1611)</f>
        <v>0</v>
      </c>
      <c r="F1611">
        <f>COUNTIF(Thursday!I:I, B1611)</f>
        <v>0</v>
      </c>
      <c r="G1611">
        <f>COUNTIF(Friday!I:I, B1611)</f>
        <v>0</v>
      </c>
      <c r="H1611">
        <f>SUM(C1611:G1611)</f>
        <v>0</v>
      </c>
    </row>
    <row r="1612" spans="1:8" x14ac:dyDescent="0.25">
      <c r="A1612" s="6" t="s">
        <v>1607</v>
      </c>
      <c r="B1612" t="str">
        <f>"*"&amp;A1612&amp;"*"</f>
        <v>*2089: No Beam*</v>
      </c>
      <c r="C1612">
        <f>COUNTIF(Monday!I:I, B1612)</f>
        <v>0</v>
      </c>
      <c r="D1612">
        <f>COUNTIF(Tuesday!I:I, B1612)</f>
        <v>0</v>
      </c>
      <c r="E1612">
        <f>COUNTIF(Wednesday!I:I, B1612)</f>
        <v>0</v>
      </c>
      <c r="F1612">
        <f>COUNTIF(Thursday!I:I, B1612)</f>
        <v>0</v>
      </c>
      <c r="G1612">
        <f>COUNTIF(Friday!I:I, B1612)</f>
        <v>0</v>
      </c>
      <c r="H1612">
        <f>SUM(C1612:G1612)</f>
        <v>0</v>
      </c>
    </row>
    <row r="1613" spans="1:8" x14ac:dyDescent="0.25">
      <c r="A1613" s="6" t="s">
        <v>1608</v>
      </c>
      <c r="B1613" t="str">
        <f>"*"&amp;A1613&amp;"*"</f>
        <v>*2138: Not Recognized*</v>
      </c>
      <c r="C1613">
        <f>COUNTIF(Monday!I:I, B1613)</f>
        <v>0</v>
      </c>
      <c r="D1613">
        <f>COUNTIF(Tuesday!I:I, B1613)</f>
        <v>0</v>
      </c>
      <c r="E1613">
        <f>COUNTIF(Wednesday!I:I, B1613)</f>
        <v>0</v>
      </c>
      <c r="F1613">
        <f>COUNTIF(Thursday!I:I, B1613)</f>
        <v>0</v>
      </c>
      <c r="G1613">
        <f>COUNTIF(Friday!I:I, B1613)</f>
        <v>0</v>
      </c>
      <c r="H1613">
        <f>SUM(C1613:G1613)</f>
        <v>0</v>
      </c>
    </row>
    <row r="1614" spans="1:8" x14ac:dyDescent="0.25">
      <c r="A1614" s="5" t="s">
        <v>1609</v>
      </c>
      <c r="B1614" t="str">
        <f>"*"&amp;A1614&amp;"*"</f>
        <v>*2828: Card Reading Failure*</v>
      </c>
      <c r="C1614">
        <f>COUNTIF(Monday!I:I, B1614)</f>
        <v>0</v>
      </c>
      <c r="D1614">
        <f>COUNTIF(Tuesday!I:I, B1614)</f>
        <v>0</v>
      </c>
      <c r="E1614">
        <f>COUNTIF(Wednesday!I:I, B1614)</f>
        <v>0</v>
      </c>
      <c r="F1614">
        <f>COUNTIF(Thursday!I:I, B1614)</f>
        <v>0</v>
      </c>
      <c r="G1614">
        <f>COUNTIF(Friday!I:I, B1614)</f>
        <v>0</v>
      </c>
      <c r="H1614">
        <f>SUM(C1614:G1614)</f>
        <v>0</v>
      </c>
    </row>
    <row r="1615" spans="1:8" x14ac:dyDescent="0.25">
      <c r="A1615" s="6" t="s">
        <v>1610</v>
      </c>
      <c r="B1615" t="str">
        <f>"*"&amp;A1615&amp;"*"</f>
        <v>*1328: Difficult To Maintain Connection*</v>
      </c>
      <c r="C1615">
        <f>COUNTIF(Monday!I:I, B1615)</f>
        <v>0</v>
      </c>
      <c r="D1615">
        <f>COUNTIF(Tuesday!I:I, B1615)</f>
        <v>0</v>
      </c>
      <c r="E1615">
        <f>COUNTIF(Wednesday!I:I, B1615)</f>
        <v>0</v>
      </c>
      <c r="F1615">
        <f>COUNTIF(Thursday!I:I, B1615)</f>
        <v>0</v>
      </c>
      <c r="G1615">
        <f>COUNTIF(Friday!I:I, B1615)</f>
        <v>0</v>
      </c>
      <c r="H1615">
        <f>SUM(C1615:G1615)</f>
        <v>0</v>
      </c>
    </row>
    <row r="1616" spans="1:8" x14ac:dyDescent="0.25">
      <c r="A1616" s="6" t="s">
        <v>1611</v>
      </c>
      <c r="B1616" t="str">
        <f>"*"&amp;A1616&amp;"*"</f>
        <v>*2297: Segments missing or broken*</v>
      </c>
      <c r="C1616">
        <f>COUNTIF(Monday!I:I, B1616)</f>
        <v>0</v>
      </c>
      <c r="D1616">
        <f>COUNTIF(Tuesday!I:I, B1616)</f>
        <v>0</v>
      </c>
      <c r="E1616">
        <f>COUNTIF(Wednesday!I:I, B1616)</f>
        <v>0</v>
      </c>
      <c r="F1616">
        <f>COUNTIF(Thursday!I:I, B1616)</f>
        <v>0</v>
      </c>
      <c r="G1616">
        <f>COUNTIF(Friday!I:I, B1616)</f>
        <v>0</v>
      </c>
      <c r="H1616">
        <f>SUM(C1616:G1616)</f>
        <v>0</v>
      </c>
    </row>
    <row r="1617" spans="1:8" x14ac:dyDescent="0.25">
      <c r="A1617" s="6" t="s">
        <v>1612</v>
      </c>
      <c r="B1617" t="str">
        <f>"*"&amp;A1617&amp;"*"</f>
        <v>*1097: Cleaving Issues*</v>
      </c>
      <c r="C1617">
        <f>COUNTIF(Monday!I:I, B1617)</f>
        <v>0</v>
      </c>
      <c r="D1617">
        <f>COUNTIF(Tuesday!I:I, B1617)</f>
        <v>0</v>
      </c>
      <c r="E1617">
        <f>COUNTIF(Wednesday!I:I, B1617)</f>
        <v>0</v>
      </c>
      <c r="F1617">
        <f>COUNTIF(Thursday!I:I, B1617)</f>
        <v>0</v>
      </c>
      <c r="G1617">
        <f>COUNTIF(Friday!I:I, B1617)</f>
        <v>0</v>
      </c>
      <c r="H1617">
        <f>SUM(C1617:G1617)</f>
        <v>0</v>
      </c>
    </row>
    <row r="1618" spans="1:8" x14ac:dyDescent="0.25">
      <c r="A1618" s="6" t="s">
        <v>1613</v>
      </c>
      <c r="B1618" t="str">
        <f>"*"&amp;A1618&amp;"*"</f>
        <v>*1142: Coolant/Saline Issue*</v>
      </c>
      <c r="C1618">
        <f>COUNTIF(Monday!I:I, B1618)</f>
        <v>0</v>
      </c>
      <c r="D1618">
        <f>COUNTIF(Tuesday!I:I, B1618)</f>
        <v>0</v>
      </c>
      <c r="E1618">
        <f>COUNTIF(Wednesday!I:I, B1618)</f>
        <v>0</v>
      </c>
      <c r="F1618">
        <f>COUNTIF(Thursday!I:I, B1618)</f>
        <v>0</v>
      </c>
      <c r="G1618">
        <f>COUNTIF(Friday!I:I, B1618)</f>
        <v>0</v>
      </c>
      <c r="H1618">
        <f>SUM(C1618:G1618)</f>
        <v>0</v>
      </c>
    </row>
    <row r="1619" spans="1:8" x14ac:dyDescent="0.25">
      <c r="A1619" s="6" t="s">
        <v>1614</v>
      </c>
      <c r="B1619" t="str">
        <f>"*"&amp;A1619&amp;"*"</f>
        <v>*1144: Cooling Connection*</v>
      </c>
      <c r="C1619">
        <f>COUNTIF(Monday!I:I, B1619)</f>
        <v>0</v>
      </c>
      <c r="D1619">
        <f>COUNTIF(Tuesday!I:I, B1619)</f>
        <v>0</v>
      </c>
      <c r="E1619">
        <f>COUNTIF(Wednesday!I:I, B1619)</f>
        <v>0</v>
      </c>
      <c r="F1619">
        <f>COUNTIF(Thursday!I:I, B1619)</f>
        <v>0</v>
      </c>
      <c r="G1619">
        <f>COUNTIF(Friday!I:I, B1619)</f>
        <v>0</v>
      </c>
      <c r="H1619">
        <f>SUM(C1619:G1619)</f>
        <v>0</v>
      </c>
    </row>
    <row r="1620" spans="1:8" x14ac:dyDescent="0.25">
      <c r="A1620" s="6" t="s">
        <v>1615</v>
      </c>
      <c r="B1620" t="str">
        <f>"*"&amp;A1620&amp;"*"</f>
        <v>*1211: Device Displays Approaching Joule Limit Courtesy Error Message*</v>
      </c>
      <c r="C1620">
        <f>COUNTIF(Monday!I:I, B1620)</f>
        <v>0</v>
      </c>
      <c r="D1620">
        <f>COUNTIF(Tuesday!I:I, B1620)</f>
        <v>0</v>
      </c>
      <c r="E1620">
        <f>COUNTIF(Wednesday!I:I, B1620)</f>
        <v>0</v>
      </c>
      <c r="F1620">
        <f>COUNTIF(Thursday!I:I, B1620)</f>
        <v>0</v>
      </c>
      <c r="G1620">
        <f>COUNTIF(Friday!I:I, B1620)</f>
        <v>0</v>
      </c>
      <c r="H1620">
        <f>SUM(C1620:G1620)</f>
        <v>0</v>
      </c>
    </row>
    <row r="1621" spans="1:8" x14ac:dyDescent="0.25">
      <c r="A1621" s="6" t="s">
        <v>1616</v>
      </c>
      <c r="B1621" t="str">
        <f>"*"&amp;A1621&amp;"*"</f>
        <v>*1212: Device Displays Approaching Time Limit Courtesy Error Message*</v>
      </c>
      <c r="C1621">
        <f>COUNTIF(Monday!I:I, B1621)</f>
        <v>0</v>
      </c>
      <c r="D1621">
        <f>COUNTIF(Tuesday!I:I, B1621)</f>
        <v>0</v>
      </c>
      <c r="E1621">
        <f>COUNTIF(Wednesday!I:I, B1621)</f>
        <v>0</v>
      </c>
      <c r="F1621">
        <f>COUNTIF(Thursday!I:I, B1621)</f>
        <v>0</v>
      </c>
      <c r="G1621">
        <f>COUNTIF(Friday!I:I, B1621)</f>
        <v>0</v>
      </c>
      <c r="H1621">
        <f>SUM(C1621:G1621)</f>
        <v>0</v>
      </c>
    </row>
    <row r="1622" spans="1:8" x14ac:dyDescent="0.25">
      <c r="A1622" s="6" t="s">
        <v>1617</v>
      </c>
      <c r="B1622" t="str">
        <f>"*"&amp;A1622&amp;"*"</f>
        <v>*1213: Device Displays Attach A Device Courtesy Error Message*</v>
      </c>
      <c r="C1622">
        <f>COUNTIF(Monday!I:I, B1622)</f>
        <v>0</v>
      </c>
      <c r="D1622">
        <f>COUNTIF(Tuesday!I:I, B1622)</f>
        <v>0</v>
      </c>
      <c r="E1622">
        <f>COUNTIF(Wednesday!I:I, B1622)</f>
        <v>0</v>
      </c>
      <c r="F1622">
        <f>COUNTIF(Thursday!I:I, B1622)</f>
        <v>0</v>
      </c>
      <c r="G1622">
        <f>COUNTIF(Friday!I:I, B1622)</f>
        <v>0</v>
      </c>
      <c r="H1622">
        <f>SUM(C1622:G1622)</f>
        <v>0</v>
      </c>
    </row>
    <row r="1623" spans="1:8" x14ac:dyDescent="0.25">
      <c r="A1623" s="6" t="s">
        <v>1618</v>
      </c>
      <c r="B1623" t="str">
        <f>"*"&amp;A1623&amp;"*"</f>
        <v>*1215: Device Displays Card Reader Error Courtesy Error Message*</v>
      </c>
      <c r="C1623">
        <f>COUNTIF(Monday!I:I, B1623)</f>
        <v>0</v>
      </c>
      <c r="D1623">
        <f>COUNTIF(Tuesday!I:I, B1623)</f>
        <v>0</v>
      </c>
      <c r="E1623">
        <f>COUNTIF(Wednesday!I:I, B1623)</f>
        <v>0</v>
      </c>
      <c r="F1623">
        <f>COUNTIF(Thursday!I:I, B1623)</f>
        <v>0</v>
      </c>
      <c r="G1623">
        <f>COUNTIF(Friday!I:I, B1623)</f>
        <v>0</v>
      </c>
      <c r="H1623">
        <f>SUM(C1623:G1623)</f>
        <v>0</v>
      </c>
    </row>
    <row r="1624" spans="1:8" x14ac:dyDescent="0.25">
      <c r="A1624" s="6" t="s">
        <v>1619</v>
      </c>
      <c r="B1624" t="str">
        <f>"*"&amp;A1624&amp;"*"</f>
        <v>*1216: Device Displays Check Fiber Card Insertion Courtesy Error Message*</v>
      </c>
      <c r="C1624">
        <f>COUNTIF(Monday!I:I, B1624)</f>
        <v>0</v>
      </c>
      <c r="D1624">
        <f>COUNTIF(Tuesday!I:I, B1624)</f>
        <v>0</v>
      </c>
      <c r="E1624">
        <f>COUNTIF(Wednesday!I:I, B1624)</f>
        <v>0</v>
      </c>
      <c r="F1624">
        <f>COUNTIF(Thursday!I:I, B1624)</f>
        <v>0</v>
      </c>
      <c r="G1624">
        <f>COUNTIF(Friday!I:I, B1624)</f>
        <v>0</v>
      </c>
      <c r="H1624">
        <f>SUM(C1624:G1624)</f>
        <v>0</v>
      </c>
    </row>
    <row r="1625" spans="1:8" x14ac:dyDescent="0.25">
      <c r="A1625" s="6" t="s">
        <v>1620</v>
      </c>
      <c r="B1625" t="str">
        <f>"*"&amp;A1625&amp;"*"</f>
        <v>*1218: Device Displays Connection Issue Courtesy Error Message*</v>
      </c>
      <c r="C1625">
        <f>COUNTIF(Monday!I:I, B1625)</f>
        <v>0</v>
      </c>
      <c r="D1625">
        <f>COUNTIF(Tuesday!I:I, B1625)</f>
        <v>0</v>
      </c>
      <c r="E1625">
        <f>COUNTIF(Wednesday!I:I, B1625)</f>
        <v>0</v>
      </c>
      <c r="F1625">
        <f>COUNTIF(Thursday!I:I, B1625)</f>
        <v>0</v>
      </c>
      <c r="G1625">
        <f>COUNTIF(Friday!I:I, B1625)</f>
        <v>0</v>
      </c>
      <c r="H1625">
        <f>SUM(C1625:G1625)</f>
        <v>0</v>
      </c>
    </row>
    <row r="1626" spans="1:8" x14ac:dyDescent="0.25">
      <c r="A1626" s="6" t="s">
        <v>1621</v>
      </c>
      <c r="B1626" t="str">
        <f>"*"&amp;A1626&amp;"*"</f>
        <v>*1220: Device Displays Courtesy Error Message*</v>
      </c>
      <c r="C1626">
        <f>COUNTIF(Monday!I:I, B1626)</f>
        <v>0</v>
      </c>
      <c r="D1626">
        <f>COUNTIF(Tuesday!I:I, B1626)</f>
        <v>0</v>
      </c>
      <c r="E1626">
        <f>COUNTIF(Wednesday!I:I, B1626)</f>
        <v>0</v>
      </c>
      <c r="F1626">
        <f>COUNTIF(Thursday!I:I, B1626)</f>
        <v>0</v>
      </c>
      <c r="G1626">
        <f>COUNTIF(Friday!I:I, B1626)</f>
        <v>0</v>
      </c>
      <c r="H1626">
        <f>SUM(C1626:G1626)</f>
        <v>0</v>
      </c>
    </row>
    <row r="1627" spans="1:8" x14ac:dyDescent="0.25">
      <c r="A1627" s="6" t="s">
        <v>1622</v>
      </c>
      <c r="B1627" t="str">
        <f>"*"&amp;A1627&amp;"*"</f>
        <v>*1223: Device Displays Device/Fiber Overheat Courtesy Error Message*</v>
      </c>
      <c r="C1627">
        <f>COUNTIF(Monday!I:I, B1627)</f>
        <v>0</v>
      </c>
      <c r="D1627">
        <f>COUNTIF(Tuesday!I:I, B1627)</f>
        <v>0</v>
      </c>
      <c r="E1627">
        <f>COUNTIF(Wednesday!I:I, B1627)</f>
        <v>0</v>
      </c>
      <c r="F1627">
        <f>COUNTIF(Thursday!I:I, B1627)</f>
        <v>0</v>
      </c>
      <c r="G1627">
        <f>COUNTIF(Friday!I:I, B1627)</f>
        <v>0</v>
      </c>
      <c r="H1627">
        <f>SUM(C1627:G1627)</f>
        <v>0</v>
      </c>
    </row>
    <row r="1628" spans="1:8" x14ac:dyDescent="0.25">
      <c r="A1628" s="6" t="s">
        <v>1623</v>
      </c>
      <c r="B1628" t="str">
        <f>"*"&amp;A1628&amp;"*"</f>
        <v>*1231: Device Displays Fiber Expired Courtesy Error Message*</v>
      </c>
      <c r="C1628">
        <f>COUNTIF(Monday!I:I, B1628)</f>
        <v>0</v>
      </c>
      <c r="D1628">
        <f>COUNTIF(Tuesday!I:I, B1628)</f>
        <v>0</v>
      </c>
      <c r="E1628">
        <f>COUNTIF(Wednesday!I:I, B1628)</f>
        <v>0</v>
      </c>
      <c r="F1628">
        <f>COUNTIF(Thursday!I:I, B1628)</f>
        <v>0</v>
      </c>
      <c r="G1628">
        <f>COUNTIF(Friday!I:I, B1628)</f>
        <v>0</v>
      </c>
      <c r="H1628">
        <f>SUM(C1628:G1628)</f>
        <v>0</v>
      </c>
    </row>
    <row r="1629" spans="1:8" x14ac:dyDescent="0.25">
      <c r="A1629" s="6" t="s">
        <v>1624</v>
      </c>
      <c r="B1629" t="str">
        <f>"*"&amp;A1629&amp;"*"</f>
        <v>*1233: Device Displays Fiber Type And Card Type Mismatch Courtesy Error Message*</v>
      </c>
      <c r="C1629">
        <f>COUNTIF(Monday!I:I, B1629)</f>
        <v>0</v>
      </c>
      <c r="D1629">
        <f>COUNTIF(Tuesday!I:I, B1629)</f>
        <v>0</v>
      </c>
      <c r="E1629">
        <f>COUNTIF(Wednesday!I:I, B1629)</f>
        <v>0</v>
      </c>
      <c r="F1629">
        <f>COUNTIF(Thursday!I:I, B1629)</f>
        <v>0</v>
      </c>
      <c r="G1629">
        <f>COUNTIF(Friday!I:I, B1629)</f>
        <v>0</v>
      </c>
      <c r="H1629">
        <f>SUM(C1629:G1629)</f>
        <v>0</v>
      </c>
    </row>
    <row r="1630" spans="1:8" x14ac:dyDescent="0.25">
      <c r="A1630" s="6" t="s">
        <v>1625</v>
      </c>
      <c r="B1630" t="str">
        <f>"*"&amp;A1630&amp;"*"</f>
        <v>*1240: Device Displays Insert Fiber Card Courtesy Error Message*</v>
      </c>
      <c r="C1630">
        <f>COUNTIF(Monday!I:I, B1630)</f>
        <v>0</v>
      </c>
      <c r="D1630">
        <f>COUNTIF(Tuesday!I:I, B1630)</f>
        <v>0</v>
      </c>
      <c r="E1630">
        <f>COUNTIF(Wednesday!I:I, B1630)</f>
        <v>0</v>
      </c>
      <c r="F1630">
        <f>COUNTIF(Thursday!I:I, B1630)</f>
        <v>0</v>
      </c>
      <c r="G1630">
        <f>COUNTIF(Friday!I:I, B1630)</f>
        <v>0</v>
      </c>
      <c r="H1630">
        <f>SUM(C1630:G1630)</f>
        <v>0</v>
      </c>
    </row>
    <row r="1631" spans="1:8" x14ac:dyDescent="0.25">
      <c r="A1631" s="6" t="s">
        <v>1626</v>
      </c>
      <c r="B1631" t="str">
        <f>"*"&amp;A1631&amp;"*"</f>
        <v>*1241: Device Displays Invalid Fiber Courtesy Error Message*</v>
      </c>
      <c r="C1631">
        <f>COUNTIF(Monday!I:I, B1631)</f>
        <v>0</v>
      </c>
      <c r="D1631">
        <f>COUNTIF(Tuesday!I:I, B1631)</f>
        <v>0</v>
      </c>
      <c r="E1631">
        <f>COUNTIF(Wednesday!I:I, B1631)</f>
        <v>0</v>
      </c>
      <c r="F1631">
        <f>COUNTIF(Thursday!I:I, B1631)</f>
        <v>0</v>
      </c>
      <c r="G1631">
        <f>COUNTIF(Friday!I:I, B1631)</f>
        <v>0</v>
      </c>
      <c r="H1631">
        <f>SUM(C1631:G1631)</f>
        <v>0</v>
      </c>
    </row>
    <row r="1632" spans="1:8" x14ac:dyDescent="0.25">
      <c r="A1632" s="6" t="s">
        <v>1627</v>
      </c>
      <c r="B1632" t="str">
        <f>"*"&amp;A1632&amp;"*"</f>
        <v>*1607: Fiber Card Missing*</v>
      </c>
      <c r="C1632">
        <f>COUNTIF(Monday!I:I, B1632)</f>
        <v>0</v>
      </c>
      <c r="D1632">
        <f>COUNTIF(Tuesday!I:I, B1632)</f>
        <v>0</v>
      </c>
      <c r="E1632">
        <f>COUNTIF(Wednesday!I:I, B1632)</f>
        <v>0</v>
      </c>
      <c r="F1632">
        <f>COUNTIF(Thursday!I:I, B1632)</f>
        <v>0</v>
      </c>
      <c r="G1632">
        <f>COUNTIF(Friday!I:I, B1632)</f>
        <v>0</v>
      </c>
      <c r="H1632">
        <f>SUM(C1632:G1632)</f>
        <v>0</v>
      </c>
    </row>
    <row r="1633" spans="1:8" x14ac:dyDescent="0.25">
      <c r="A1633" s="6" t="s">
        <v>1628</v>
      </c>
      <c r="B1633" t="str">
        <f>"*"&amp;A1633&amp;"*"</f>
        <v>*1609: Fiber Separated From Connector*</v>
      </c>
      <c r="C1633">
        <f>COUNTIF(Monday!I:I, B1633)</f>
        <v>0</v>
      </c>
      <c r="D1633">
        <f>COUNTIF(Tuesday!I:I, B1633)</f>
        <v>0</v>
      </c>
      <c r="E1633">
        <f>COUNTIF(Wednesday!I:I, B1633)</f>
        <v>0</v>
      </c>
      <c r="F1633">
        <f>COUNTIF(Thursday!I:I, B1633)</f>
        <v>0</v>
      </c>
      <c r="G1633">
        <f>COUNTIF(Friday!I:I, B1633)</f>
        <v>0</v>
      </c>
      <c r="H1633">
        <f>SUM(C1633:G1633)</f>
        <v>0</v>
      </c>
    </row>
    <row r="1634" spans="1:8" x14ac:dyDescent="0.25">
      <c r="A1634" s="6" t="s">
        <v>1629</v>
      </c>
      <c r="B1634" t="str">
        <f>"*"&amp;A1634&amp;"*"</f>
        <v>*1668: Hole In Fiber*</v>
      </c>
      <c r="C1634">
        <f>COUNTIF(Monday!I:I, B1634)</f>
        <v>0</v>
      </c>
      <c r="D1634">
        <f>COUNTIF(Tuesday!I:I, B1634)</f>
        <v>0</v>
      </c>
      <c r="E1634">
        <f>COUNTIF(Wednesday!I:I, B1634)</f>
        <v>0</v>
      </c>
      <c r="F1634">
        <f>COUNTIF(Thursday!I:I, B1634)</f>
        <v>0</v>
      </c>
      <c r="G1634">
        <f>COUNTIF(Friday!I:I, B1634)</f>
        <v>0</v>
      </c>
      <c r="H1634">
        <f>SUM(C1634:G1634)</f>
        <v>0</v>
      </c>
    </row>
    <row r="1635" spans="1:8" x14ac:dyDescent="0.25">
      <c r="A1635" s="6" t="s">
        <v>1630</v>
      </c>
      <c r="B1635" t="str">
        <f>"*"&amp;A1635&amp;"*"</f>
        <v>*1768: Laser Would Not Recognize Fiber*</v>
      </c>
      <c r="C1635">
        <f>COUNTIF(Monday!I:I, B1635)</f>
        <v>0</v>
      </c>
      <c r="D1635">
        <f>COUNTIF(Tuesday!I:I, B1635)</f>
        <v>0</v>
      </c>
      <c r="E1635">
        <f>COUNTIF(Wednesday!I:I, B1635)</f>
        <v>0</v>
      </c>
      <c r="F1635">
        <f>COUNTIF(Thursday!I:I, B1635)</f>
        <v>0</v>
      </c>
      <c r="G1635">
        <f>COUNTIF(Friday!I:I, B1635)</f>
        <v>0</v>
      </c>
      <c r="H1635">
        <f>SUM(C1635:G1635)</f>
        <v>0</v>
      </c>
    </row>
    <row r="1636" spans="1:8" x14ac:dyDescent="0.25">
      <c r="A1636" s="6" t="s">
        <v>1631</v>
      </c>
      <c r="B1636" t="str">
        <f>"*"&amp;A1636&amp;"*"</f>
        <v>*1839: Melted Sheath*</v>
      </c>
      <c r="C1636">
        <f>COUNTIF(Monday!I:I, B1636)</f>
        <v>0</v>
      </c>
      <c r="D1636">
        <f>COUNTIF(Tuesday!I:I, B1636)</f>
        <v>0</v>
      </c>
      <c r="E1636">
        <f>COUNTIF(Wednesday!I:I, B1636)</f>
        <v>0</v>
      </c>
      <c r="F1636">
        <f>COUNTIF(Thursday!I:I, B1636)</f>
        <v>0</v>
      </c>
      <c r="G1636">
        <f>COUNTIF(Friday!I:I, B1636)</f>
        <v>0</v>
      </c>
      <c r="H1636">
        <f>SUM(C1636:G1636)</f>
        <v>0</v>
      </c>
    </row>
    <row r="1637" spans="1:8" x14ac:dyDescent="0.25">
      <c r="A1637" s="5" t="s">
        <v>1632</v>
      </c>
      <c r="B1637" t="str">
        <f>"*"&amp;A1637&amp;"*"</f>
        <v>*3167: Bent/Kinked*</v>
      </c>
      <c r="C1637">
        <f>COUNTIF(Monday!I:I, B1637)</f>
        <v>0</v>
      </c>
      <c r="D1637">
        <f>COUNTIF(Tuesday!I:I, B1637)</f>
        <v>0</v>
      </c>
      <c r="E1637">
        <f>COUNTIF(Wednesday!I:I, B1637)</f>
        <v>0</v>
      </c>
      <c r="F1637">
        <f>COUNTIF(Thursday!I:I, B1637)</f>
        <v>0</v>
      </c>
      <c r="G1637">
        <f>COUNTIF(Friday!I:I, B1637)</f>
        <v>0</v>
      </c>
      <c r="H1637">
        <f>SUM(C1637:G1637)</f>
        <v>0</v>
      </c>
    </row>
    <row r="1638" spans="1:8" x14ac:dyDescent="0.25">
      <c r="A1638" s="5" t="s">
        <v>1633</v>
      </c>
      <c r="B1638" t="str">
        <f>"*"&amp;A1638&amp;"*"</f>
        <v>*3263: Fiber Will Not Fit In Stripper*</v>
      </c>
      <c r="C1638">
        <f>COUNTIF(Monday!I:I, B1638)</f>
        <v>0</v>
      </c>
      <c r="D1638">
        <f>COUNTIF(Tuesday!I:I, B1638)</f>
        <v>0</v>
      </c>
      <c r="E1638">
        <f>COUNTIF(Wednesday!I:I, B1638)</f>
        <v>0</v>
      </c>
      <c r="F1638">
        <f>COUNTIF(Thursday!I:I, B1638)</f>
        <v>0</v>
      </c>
      <c r="G1638">
        <f>COUNTIF(Friday!I:I, B1638)</f>
        <v>0</v>
      </c>
      <c r="H1638">
        <f>SUM(C1638:G1638)</f>
        <v>0</v>
      </c>
    </row>
    <row r="1639" spans="1:8" x14ac:dyDescent="0.25">
      <c r="A1639" s="6" t="s">
        <v>1634</v>
      </c>
      <c r="B1639" t="str">
        <f>"*"&amp;A1639&amp;"*"</f>
        <v>*1035: Blew/Burned Out*</v>
      </c>
      <c r="C1639">
        <f>COUNTIF(Monday!I:I, B1639)</f>
        <v>0</v>
      </c>
      <c r="D1639">
        <f>COUNTIF(Tuesday!I:I, B1639)</f>
        <v>0</v>
      </c>
      <c r="E1639">
        <f>COUNTIF(Wednesday!I:I, B1639)</f>
        <v>0</v>
      </c>
      <c r="F1639">
        <f>COUNTIF(Thursday!I:I, B1639)</f>
        <v>0</v>
      </c>
      <c r="G1639">
        <f>COUNTIF(Friday!I:I, B1639)</f>
        <v>0</v>
      </c>
      <c r="H1639">
        <f>SUM(C1639:G1639)</f>
        <v>0</v>
      </c>
    </row>
    <row r="1640" spans="1:8" x14ac:dyDescent="0.25">
      <c r="A1640" s="6" t="s">
        <v>1635</v>
      </c>
      <c r="B1640" t="str">
        <f>"*"&amp;A1640&amp;"*"</f>
        <v>*1058: Burn Of Device Or Device Component*</v>
      </c>
      <c r="C1640">
        <f>COUNTIF(Monday!I:I, B1640)</f>
        <v>0</v>
      </c>
      <c r="D1640">
        <f>COUNTIF(Tuesday!I:I, B1640)</f>
        <v>0</v>
      </c>
      <c r="E1640">
        <f>COUNTIF(Wednesday!I:I, B1640)</f>
        <v>0</v>
      </c>
      <c r="F1640">
        <f>COUNTIF(Thursday!I:I, B1640)</f>
        <v>0</v>
      </c>
      <c r="G1640">
        <f>COUNTIF(Friday!I:I, B1640)</f>
        <v>0</v>
      </c>
      <c r="H1640">
        <f>SUM(C1640:G1640)</f>
        <v>0</v>
      </c>
    </row>
    <row r="1641" spans="1:8" x14ac:dyDescent="0.25">
      <c r="A1641" s="6" t="s">
        <v>1636</v>
      </c>
      <c r="B1641" t="str">
        <f>"*"&amp;A1641&amp;"*"</f>
        <v>*1608: Fiber Rotates Within Metal Cap*</v>
      </c>
      <c r="C1641">
        <f>COUNTIF(Monday!I:I, B1641)</f>
        <v>0</v>
      </c>
      <c r="D1641">
        <f>COUNTIF(Tuesday!I:I, B1641)</f>
        <v>0</v>
      </c>
      <c r="E1641">
        <f>COUNTIF(Wednesday!I:I, B1641)</f>
        <v>0</v>
      </c>
      <c r="F1641">
        <f>COUNTIF(Thursday!I:I, B1641)</f>
        <v>0</v>
      </c>
      <c r="G1641">
        <f>COUNTIF(Friday!I:I, B1641)</f>
        <v>0</v>
      </c>
      <c r="H1641">
        <f>SUM(C1641:G1641)</f>
        <v>0</v>
      </c>
    </row>
    <row r="1642" spans="1:8" x14ac:dyDescent="0.25">
      <c r="A1642" s="6" t="s">
        <v>1637</v>
      </c>
      <c r="B1642" t="str">
        <f>"*"&amp;A1642&amp;"*"</f>
        <v>*2286: Rupture*</v>
      </c>
      <c r="C1642">
        <f>COUNTIF(Monday!I:I, B1642)</f>
        <v>0</v>
      </c>
      <c r="D1642">
        <f>COUNTIF(Tuesday!I:I, B1642)</f>
        <v>0</v>
      </c>
      <c r="E1642">
        <f>COUNTIF(Wednesday!I:I, B1642)</f>
        <v>0</v>
      </c>
      <c r="F1642">
        <f>COUNTIF(Thursday!I:I, B1642)</f>
        <v>0</v>
      </c>
      <c r="G1642">
        <f>COUNTIF(Friday!I:I, B1642)</f>
        <v>0</v>
      </c>
      <c r="H1642">
        <f>SUM(C1642:G1642)</f>
        <v>0</v>
      </c>
    </row>
    <row r="1643" spans="1:8" x14ac:dyDescent="0.25">
      <c r="A1643" s="6" t="s">
        <v>1638</v>
      </c>
      <c r="B1643" t="str">
        <f>"*"&amp;A1643&amp;"*"</f>
        <v>*1832: Material/Debris In Pouch*</v>
      </c>
      <c r="C1643">
        <f>COUNTIF(Monday!I:I, B1643)</f>
        <v>0</v>
      </c>
      <c r="D1643">
        <f>COUNTIF(Tuesday!I:I, B1643)</f>
        <v>0</v>
      </c>
      <c r="E1643">
        <f>COUNTIF(Wednesday!I:I, B1643)</f>
        <v>0</v>
      </c>
      <c r="F1643">
        <f>COUNTIF(Thursday!I:I, B1643)</f>
        <v>0</v>
      </c>
      <c r="G1643">
        <f>COUNTIF(Friday!I:I, B1643)</f>
        <v>0</v>
      </c>
      <c r="H1643">
        <f>SUM(C1643:G1643)</f>
        <v>0</v>
      </c>
    </row>
    <row r="1644" spans="1:8" x14ac:dyDescent="0.25">
      <c r="A1644" s="5" t="s">
        <v>1639</v>
      </c>
      <c r="B1644" t="str">
        <f>"*"&amp;A1644&amp;"*"</f>
        <v>*2109: No Sound*</v>
      </c>
      <c r="C1644">
        <f>COUNTIF(Monday!I:I, B1644)</f>
        <v>0</v>
      </c>
      <c r="D1644">
        <f>COUNTIF(Tuesday!I:I, B1644)</f>
        <v>0</v>
      </c>
      <c r="E1644">
        <f>COUNTIF(Wednesday!I:I, B1644)</f>
        <v>0</v>
      </c>
      <c r="F1644">
        <f>COUNTIF(Thursday!I:I, B1644)</f>
        <v>0</v>
      </c>
      <c r="G1644">
        <f>COUNTIF(Friday!I:I, B1644)</f>
        <v>0</v>
      </c>
      <c r="H1644">
        <f>SUM(C1644:G1644)</f>
        <v>0</v>
      </c>
    </row>
    <row r="1645" spans="1:8" x14ac:dyDescent="0.25">
      <c r="A1645" s="5" t="s">
        <v>1640</v>
      </c>
      <c r="B1645" t="str">
        <f>"*"&amp;A1645&amp;"*"</f>
        <v>*2650: Device Displays 300 Saline Pump Encoder Error*</v>
      </c>
      <c r="C1645">
        <f>COUNTIF(Monday!I:I, B1645)</f>
        <v>0</v>
      </c>
      <c r="D1645">
        <f>COUNTIF(Tuesday!I:I, B1645)</f>
        <v>0</v>
      </c>
      <c r="E1645">
        <f>COUNTIF(Wednesday!I:I, B1645)</f>
        <v>0</v>
      </c>
      <c r="F1645">
        <f>COUNTIF(Thursday!I:I, B1645)</f>
        <v>0</v>
      </c>
      <c r="G1645">
        <f>COUNTIF(Friday!I:I, B1645)</f>
        <v>0</v>
      </c>
      <c r="H1645">
        <f>SUM(C1645:G1645)</f>
        <v>0</v>
      </c>
    </row>
    <row r="1646" spans="1:8" x14ac:dyDescent="0.25">
      <c r="A1646" s="5" t="s">
        <v>1641</v>
      </c>
      <c r="B1646" t="str">
        <f>"*"&amp;A1646&amp;"*"</f>
        <v>*2652: Device Displays 341 RF Power Tolerance Limit Exceeded*</v>
      </c>
      <c r="C1646">
        <f>COUNTIF(Monday!I:I, B1646)</f>
        <v>0</v>
      </c>
      <c r="D1646">
        <f>COUNTIF(Tuesday!I:I, B1646)</f>
        <v>0</v>
      </c>
      <c r="E1646">
        <f>COUNTIF(Wednesday!I:I, B1646)</f>
        <v>0</v>
      </c>
      <c r="F1646">
        <f>COUNTIF(Thursday!I:I, B1646)</f>
        <v>0</v>
      </c>
      <c r="G1646">
        <f>COUNTIF(Friday!I:I, B1646)</f>
        <v>0</v>
      </c>
      <c r="H1646">
        <f>SUM(C1646:G1646)</f>
        <v>0</v>
      </c>
    </row>
    <row r="1647" spans="1:8" x14ac:dyDescent="0.25">
      <c r="A1647" s="5" t="s">
        <v>1642</v>
      </c>
      <c r="B1647" t="str">
        <f>"*"&amp;A1647&amp;"*"</f>
        <v>*2653: Device Displays 342 RF Power Tolerance Limit Exceeded*</v>
      </c>
      <c r="C1647">
        <f>COUNTIF(Monday!I:I, B1647)</f>
        <v>0</v>
      </c>
      <c r="D1647">
        <f>COUNTIF(Tuesday!I:I, B1647)</f>
        <v>0</v>
      </c>
      <c r="E1647">
        <f>COUNTIF(Wednesday!I:I, B1647)</f>
        <v>0</v>
      </c>
      <c r="F1647">
        <f>COUNTIF(Thursday!I:I, B1647)</f>
        <v>0</v>
      </c>
      <c r="G1647">
        <f>COUNTIF(Friday!I:I, B1647)</f>
        <v>0</v>
      </c>
      <c r="H1647">
        <f>SUM(C1647:G1647)</f>
        <v>0</v>
      </c>
    </row>
    <row r="1648" spans="1:8" x14ac:dyDescent="0.25">
      <c r="A1648" s="5" t="s">
        <v>1643</v>
      </c>
      <c r="B1648" t="str">
        <f>"*"&amp;A1648&amp;"*"</f>
        <v>*2654: Device Displays 343 RF Power Tolerance Limit Exceeded*</v>
      </c>
      <c r="C1648">
        <f>COUNTIF(Monday!I:I, B1648)</f>
        <v>0</v>
      </c>
      <c r="D1648">
        <f>COUNTIF(Tuesday!I:I, B1648)</f>
        <v>0</v>
      </c>
      <c r="E1648">
        <f>COUNTIF(Wednesday!I:I, B1648)</f>
        <v>0</v>
      </c>
      <c r="F1648">
        <f>COUNTIF(Thursday!I:I, B1648)</f>
        <v>0</v>
      </c>
      <c r="G1648">
        <f>COUNTIF(Friday!I:I, B1648)</f>
        <v>0</v>
      </c>
      <c r="H1648">
        <f>SUM(C1648:G1648)</f>
        <v>0</v>
      </c>
    </row>
    <row r="1649" spans="1:8" x14ac:dyDescent="0.25">
      <c r="A1649" s="5" t="s">
        <v>1644</v>
      </c>
      <c r="B1649" t="str">
        <f>"*"&amp;A1649&amp;"*"</f>
        <v>*2655: Device Displays 35000 GUI Program Files Corrupted*</v>
      </c>
      <c r="C1649">
        <f>COUNTIF(Monday!I:I, B1649)</f>
        <v>0</v>
      </c>
      <c r="D1649">
        <f>COUNTIF(Tuesday!I:I, B1649)</f>
        <v>0</v>
      </c>
      <c r="E1649">
        <f>COUNTIF(Wednesday!I:I, B1649)</f>
        <v>0</v>
      </c>
      <c r="F1649">
        <f>COUNTIF(Thursday!I:I, B1649)</f>
        <v>0</v>
      </c>
      <c r="G1649">
        <f>COUNTIF(Friday!I:I, B1649)</f>
        <v>0</v>
      </c>
      <c r="H1649">
        <f>SUM(C1649:G1649)</f>
        <v>0</v>
      </c>
    </row>
    <row r="1650" spans="1:8" x14ac:dyDescent="0.25">
      <c r="A1650" s="5" t="s">
        <v>1645</v>
      </c>
      <c r="B1650" t="str">
        <f>"*"&amp;A1650&amp;"*"</f>
        <v>*2656: Device Displays 35001 Unexpected GUI Program Exit*</v>
      </c>
      <c r="C1650">
        <f>COUNTIF(Monday!I:I, B1650)</f>
        <v>0</v>
      </c>
      <c r="D1650">
        <f>COUNTIF(Tuesday!I:I, B1650)</f>
        <v>0</v>
      </c>
      <c r="E1650">
        <f>COUNTIF(Wednesday!I:I, B1650)</f>
        <v>0</v>
      </c>
      <c r="F1650">
        <f>COUNTIF(Thursday!I:I, B1650)</f>
        <v>0</v>
      </c>
      <c r="G1650">
        <f>COUNTIF(Friday!I:I, B1650)</f>
        <v>0</v>
      </c>
      <c r="H1650">
        <f>SUM(C1650:G1650)</f>
        <v>0</v>
      </c>
    </row>
    <row r="1651" spans="1:8" x14ac:dyDescent="0.25">
      <c r="A1651" s="5" t="s">
        <v>1646</v>
      </c>
      <c r="B1651" t="str">
        <f>"*"&amp;A1651&amp;"*"</f>
        <v>*2657: Device Displays 35002 Unable To Start GUI Program*</v>
      </c>
      <c r="C1651">
        <f>COUNTIF(Monday!I:I, B1651)</f>
        <v>0</v>
      </c>
      <c r="D1651">
        <f>COUNTIF(Tuesday!I:I, B1651)</f>
        <v>0</v>
      </c>
      <c r="E1651">
        <f>COUNTIF(Wednesday!I:I, B1651)</f>
        <v>0</v>
      </c>
      <c r="F1651">
        <f>COUNTIF(Thursday!I:I, B1651)</f>
        <v>0</v>
      </c>
      <c r="G1651">
        <f>COUNTIF(Friday!I:I, B1651)</f>
        <v>0</v>
      </c>
      <c r="H1651">
        <f>SUM(C1651:G1651)</f>
        <v>0</v>
      </c>
    </row>
    <row r="1652" spans="1:8" x14ac:dyDescent="0.25">
      <c r="A1652" s="5" t="s">
        <v>1647</v>
      </c>
      <c r="B1652" t="str">
        <f>"*"&amp;A1652&amp;"*"</f>
        <v>*2658: Device Displays 400 RF Power Supply Error*</v>
      </c>
      <c r="C1652">
        <f>COUNTIF(Monday!I:I, B1652)</f>
        <v>0</v>
      </c>
      <c r="D1652">
        <f>COUNTIF(Tuesday!I:I, B1652)</f>
        <v>0</v>
      </c>
      <c r="E1652">
        <f>COUNTIF(Wednesday!I:I, B1652)</f>
        <v>0</v>
      </c>
      <c r="F1652">
        <f>COUNTIF(Thursday!I:I, B1652)</f>
        <v>0</v>
      </c>
      <c r="G1652">
        <f>COUNTIF(Friday!I:I, B1652)</f>
        <v>0</v>
      </c>
      <c r="H1652">
        <f>SUM(C1652:G1652)</f>
        <v>0</v>
      </c>
    </row>
    <row r="1653" spans="1:8" x14ac:dyDescent="0.25">
      <c r="A1653" s="5" t="s">
        <v>1648</v>
      </c>
      <c r="B1653" t="str">
        <f>"*"&amp;A1653&amp;"*"</f>
        <v>*2659: Device Displays 40000 GUI Unable To Communicate With MCU*</v>
      </c>
      <c r="C1653">
        <f>COUNTIF(Monday!I:I, B1653)</f>
        <v>0</v>
      </c>
      <c r="D1653">
        <f>COUNTIF(Tuesday!I:I, B1653)</f>
        <v>0</v>
      </c>
      <c r="E1653">
        <f>COUNTIF(Wednesday!I:I, B1653)</f>
        <v>0</v>
      </c>
      <c r="F1653">
        <f>COUNTIF(Thursday!I:I, B1653)</f>
        <v>0</v>
      </c>
      <c r="G1653">
        <f>COUNTIF(Friday!I:I, B1653)</f>
        <v>0</v>
      </c>
      <c r="H1653">
        <f>SUM(C1653:G1653)</f>
        <v>0</v>
      </c>
    </row>
    <row r="1654" spans="1:8" x14ac:dyDescent="0.25">
      <c r="A1654" s="5" t="s">
        <v>1649</v>
      </c>
      <c r="B1654" t="str">
        <f>"*"&amp;A1654&amp;"*"</f>
        <v>*2660: Device Displays 405 Power Supply Initialization Error*</v>
      </c>
      <c r="C1654">
        <f>COUNTIF(Monday!I:I, B1654)</f>
        <v>0</v>
      </c>
      <c r="D1654">
        <f>COUNTIF(Tuesday!I:I, B1654)</f>
        <v>0</v>
      </c>
      <c r="E1654">
        <f>COUNTIF(Wednesday!I:I, B1654)</f>
        <v>0</v>
      </c>
      <c r="F1654">
        <f>COUNTIF(Thursday!I:I, B1654)</f>
        <v>0</v>
      </c>
      <c r="G1654">
        <f>COUNTIF(Friday!I:I, B1654)</f>
        <v>0</v>
      </c>
      <c r="H1654">
        <f>SUM(C1654:G1654)</f>
        <v>0</v>
      </c>
    </row>
    <row r="1655" spans="1:8" x14ac:dyDescent="0.25">
      <c r="A1655" s="5" t="s">
        <v>1650</v>
      </c>
      <c r="B1655" t="str">
        <f>"*"&amp;A1655&amp;"*"</f>
        <v>*2661: Device Displays 41000 USB Drive Not Present Or Invalid*</v>
      </c>
      <c r="C1655">
        <f>COUNTIF(Monday!I:I, B1655)</f>
        <v>0</v>
      </c>
      <c r="D1655">
        <f>COUNTIF(Tuesday!I:I, B1655)</f>
        <v>0</v>
      </c>
      <c r="E1655">
        <f>COUNTIF(Wednesday!I:I, B1655)</f>
        <v>0</v>
      </c>
      <c r="F1655">
        <f>COUNTIF(Thursday!I:I, B1655)</f>
        <v>0</v>
      </c>
      <c r="G1655">
        <f>COUNTIF(Friday!I:I, B1655)</f>
        <v>0</v>
      </c>
      <c r="H1655">
        <f>SUM(C1655:G1655)</f>
        <v>0</v>
      </c>
    </row>
    <row r="1656" spans="1:8" x14ac:dyDescent="0.25">
      <c r="A1656" s="5" t="s">
        <v>1651</v>
      </c>
      <c r="B1656" t="str">
        <f>"*"&amp;A1656&amp;"*"</f>
        <v>*2662: Device Displays 41002 USB Drive Export Error*</v>
      </c>
      <c r="C1656">
        <f>COUNTIF(Monday!I:I, B1656)</f>
        <v>0</v>
      </c>
      <c r="D1656">
        <f>COUNTIF(Tuesday!I:I, B1656)</f>
        <v>0</v>
      </c>
      <c r="E1656">
        <f>COUNTIF(Wednesday!I:I, B1656)</f>
        <v>0</v>
      </c>
      <c r="F1656">
        <f>COUNTIF(Thursday!I:I, B1656)</f>
        <v>0</v>
      </c>
      <c r="G1656">
        <f>COUNTIF(Friday!I:I, B1656)</f>
        <v>0</v>
      </c>
      <c r="H1656">
        <f>SUM(C1656:G1656)</f>
        <v>0</v>
      </c>
    </row>
    <row r="1657" spans="1:8" x14ac:dyDescent="0.25">
      <c r="A1657" s="5" t="s">
        <v>1652</v>
      </c>
      <c r="B1657" t="str">
        <f>"*"&amp;A1657&amp;"*"</f>
        <v>*2663: Device Displays 41020 MCU Reboot Detected*</v>
      </c>
      <c r="C1657">
        <f>COUNTIF(Monday!I:I, B1657)</f>
        <v>0</v>
      </c>
      <c r="D1657">
        <f>COUNTIF(Tuesday!I:I, B1657)</f>
        <v>0</v>
      </c>
      <c r="E1657">
        <f>COUNTIF(Wednesday!I:I, B1657)</f>
        <v>0</v>
      </c>
      <c r="F1657">
        <f>COUNTIF(Thursday!I:I, B1657)</f>
        <v>0</v>
      </c>
      <c r="G1657">
        <f>COUNTIF(Friday!I:I, B1657)</f>
        <v>0</v>
      </c>
      <c r="H1657">
        <f>SUM(C1657:G1657)</f>
        <v>0</v>
      </c>
    </row>
    <row r="1658" spans="1:8" x14ac:dyDescent="0.25">
      <c r="A1658" s="5" t="s">
        <v>1653</v>
      </c>
      <c r="B1658" t="str">
        <f>"*"&amp;A1658&amp;"*"</f>
        <v>*2664: Device Displays 425 SBC Communications Critical Timeout*</v>
      </c>
      <c r="C1658">
        <f>COUNTIF(Monday!I:I, B1658)</f>
        <v>0</v>
      </c>
      <c r="D1658">
        <f>COUNTIF(Tuesday!I:I, B1658)</f>
        <v>0</v>
      </c>
      <c r="E1658">
        <f>COUNTIF(Wednesday!I:I, B1658)</f>
        <v>0</v>
      </c>
      <c r="F1658">
        <f>COUNTIF(Thursday!I:I, B1658)</f>
        <v>0</v>
      </c>
      <c r="G1658">
        <f>COUNTIF(Friday!I:I, B1658)</f>
        <v>0</v>
      </c>
      <c r="H1658">
        <f>SUM(C1658:G1658)</f>
        <v>0</v>
      </c>
    </row>
    <row r="1659" spans="1:8" x14ac:dyDescent="0.25">
      <c r="A1659" s="5" t="s">
        <v>1654</v>
      </c>
      <c r="B1659" t="str">
        <f>"*"&amp;A1659&amp;"*"</f>
        <v>*2665: Device Displays 430 RF Power Supply Communication Error*</v>
      </c>
      <c r="C1659">
        <f>COUNTIF(Monday!I:I, B1659)</f>
        <v>0</v>
      </c>
      <c r="D1659">
        <f>COUNTIF(Tuesday!I:I, B1659)</f>
        <v>0</v>
      </c>
      <c r="E1659">
        <f>COUNTIF(Wednesday!I:I, B1659)</f>
        <v>0</v>
      </c>
      <c r="F1659">
        <f>COUNTIF(Thursday!I:I, B1659)</f>
        <v>0</v>
      </c>
      <c r="G1659">
        <f>COUNTIF(Friday!I:I, B1659)</f>
        <v>0</v>
      </c>
      <c r="H1659">
        <f>SUM(C1659:G1659)</f>
        <v>0</v>
      </c>
    </row>
    <row r="1660" spans="1:8" x14ac:dyDescent="0.25">
      <c r="A1660" s="5" t="s">
        <v>1655</v>
      </c>
      <c r="B1660" t="str">
        <f>"*"&amp;A1660&amp;"*"</f>
        <v>*2666: Device Displays 435 MCU Processing Error*</v>
      </c>
      <c r="C1660">
        <f>COUNTIF(Monday!I:I, B1660)</f>
        <v>0</v>
      </c>
      <c r="D1660">
        <f>COUNTIF(Tuesday!I:I, B1660)</f>
        <v>0</v>
      </c>
      <c r="E1660">
        <f>COUNTIF(Wednesday!I:I, B1660)</f>
        <v>0</v>
      </c>
      <c r="F1660">
        <f>COUNTIF(Thursday!I:I, B1660)</f>
        <v>0</v>
      </c>
      <c r="G1660">
        <f>COUNTIF(Friday!I:I, B1660)</f>
        <v>0</v>
      </c>
      <c r="H1660">
        <f>SUM(C1660:G1660)</f>
        <v>0</v>
      </c>
    </row>
    <row r="1661" spans="1:8" x14ac:dyDescent="0.25">
      <c r="A1661" s="5" t="s">
        <v>1656</v>
      </c>
      <c r="B1661" t="str">
        <f>"*"&amp;A1661&amp;"*"</f>
        <v>*2667: Device Displays 440 CPLD Self-Test Error*</v>
      </c>
      <c r="C1661">
        <f>COUNTIF(Monday!I:I, B1661)</f>
        <v>0</v>
      </c>
      <c r="D1661">
        <f>COUNTIF(Tuesday!I:I, B1661)</f>
        <v>0</v>
      </c>
      <c r="E1661">
        <f>COUNTIF(Wednesday!I:I, B1661)</f>
        <v>0</v>
      </c>
      <c r="F1661">
        <f>COUNTIF(Thursday!I:I, B1661)</f>
        <v>0</v>
      </c>
      <c r="G1661">
        <f>COUNTIF(Friday!I:I, B1661)</f>
        <v>0</v>
      </c>
      <c r="H1661">
        <f>SUM(C1661:G1661)</f>
        <v>0</v>
      </c>
    </row>
    <row r="1662" spans="1:8" x14ac:dyDescent="0.25">
      <c r="A1662" s="5" t="s">
        <v>1657</v>
      </c>
      <c r="B1662" t="str">
        <f>"*"&amp;A1662&amp;"*"</f>
        <v>*2668: Device Displays 450 Delivery Device Interface Self-Test Error*</v>
      </c>
      <c r="C1662">
        <f>COUNTIF(Monday!I:I, B1662)</f>
        <v>0</v>
      </c>
      <c r="D1662">
        <f>COUNTIF(Tuesday!I:I, B1662)</f>
        <v>0</v>
      </c>
      <c r="E1662">
        <f>COUNTIF(Wednesday!I:I, B1662)</f>
        <v>0</v>
      </c>
      <c r="F1662">
        <f>COUNTIF(Thursday!I:I, B1662)</f>
        <v>0</v>
      </c>
      <c r="G1662">
        <f>COUNTIF(Friday!I:I, B1662)</f>
        <v>0</v>
      </c>
      <c r="H1662">
        <f>SUM(C1662:G1662)</f>
        <v>0</v>
      </c>
    </row>
    <row r="1663" spans="1:8" x14ac:dyDescent="0.25">
      <c r="A1663" s="5" t="s">
        <v>1658</v>
      </c>
      <c r="B1663" t="str">
        <f>"*"&amp;A1663&amp;"*"</f>
        <v>*2669: Device Displays 455 Saline Pump Self-Test Error*</v>
      </c>
      <c r="C1663">
        <f>COUNTIF(Monday!I:I, B1663)</f>
        <v>0</v>
      </c>
      <c r="D1663">
        <f>COUNTIF(Tuesday!I:I, B1663)</f>
        <v>0</v>
      </c>
      <c r="E1663">
        <f>COUNTIF(Wednesday!I:I, B1663)</f>
        <v>0</v>
      </c>
      <c r="F1663">
        <f>COUNTIF(Thursday!I:I, B1663)</f>
        <v>0</v>
      </c>
      <c r="G1663">
        <f>COUNTIF(Friday!I:I, B1663)</f>
        <v>0</v>
      </c>
      <c r="H1663">
        <f>SUM(C1663:G1663)</f>
        <v>0</v>
      </c>
    </row>
    <row r="1664" spans="1:8" x14ac:dyDescent="0.25">
      <c r="A1664" s="5" t="s">
        <v>1659</v>
      </c>
      <c r="B1664" t="str">
        <f>"*"&amp;A1664&amp;"*"</f>
        <v>*2670: Device Displays 460 Syringe Pump Self-Test Error*</v>
      </c>
      <c r="C1664">
        <f>COUNTIF(Monday!I:I, B1664)</f>
        <v>0</v>
      </c>
      <c r="D1664">
        <f>COUNTIF(Tuesday!I:I, B1664)</f>
        <v>0</v>
      </c>
      <c r="E1664">
        <f>COUNTIF(Wednesday!I:I, B1664)</f>
        <v>0</v>
      </c>
      <c r="F1664">
        <f>COUNTIF(Thursday!I:I, B1664)</f>
        <v>0</v>
      </c>
      <c r="G1664">
        <f>COUNTIF(Friday!I:I, B1664)</f>
        <v>0</v>
      </c>
      <c r="H1664">
        <f>SUM(C1664:G1664)</f>
        <v>0</v>
      </c>
    </row>
    <row r="1665" spans="1:8" x14ac:dyDescent="0.25">
      <c r="A1665" s="5" t="s">
        <v>1660</v>
      </c>
      <c r="B1665" t="str">
        <f>"*"&amp;A1665&amp;"*"</f>
        <v>*2671: Device Displays 465 Water Pressure Self-Test Error*</v>
      </c>
      <c r="C1665">
        <f>COUNTIF(Monday!I:I, B1665)</f>
        <v>0</v>
      </c>
      <c r="D1665">
        <f>COUNTIF(Tuesday!I:I, B1665)</f>
        <v>0</v>
      </c>
      <c r="E1665">
        <f>COUNTIF(Wednesday!I:I, B1665)</f>
        <v>0</v>
      </c>
      <c r="F1665">
        <f>COUNTIF(Thursday!I:I, B1665)</f>
        <v>0</v>
      </c>
      <c r="G1665">
        <f>COUNTIF(Friday!I:I, B1665)</f>
        <v>0</v>
      </c>
      <c r="H1665">
        <f>SUM(C1665:G1665)</f>
        <v>0</v>
      </c>
    </row>
    <row r="1666" spans="1:8" x14ac:dyDescent="0.25">
      <c r="A1666" s="5" t="s">
        <v>1661</v>
      </c>
      <c r="B1666" t="str">
        <f>"*"&amp;A1666&amp;"*"</f>
        <v>*2672: Device Displays 470 Delivery Device Temperature Excessive*</v>
      </c>
      <c r="C1666">
        <f>COUNTIF(Monday!I:I, B1666)</f>
        <v>0</v>
      </c>
      <c r="D1666">
        <f>COUNTIF(Tuesday!I:I, B1666)</f>
        <v>0</v>
      </c>
      <c r="E1666">
        <f>COUNTIF(Wednesday!I:I, B1666)</f>
        <v>0</v>
      </c>
      <c r="F1666">
        <f>COUNTIF(Thursday!I:I, B1666)</f>
        <v>0</v>
      </c>
      <c r="G1666">
        <f>COUNTIF(Friday!I:I, B1666)</f>
        <v>0</v>
      </c>
      <c r="H1666">
        <f>SUM(C1666:G1666)</f>
        <v>0</v>
      </c>
    </row>
    <row r="1667" spans="1:8" x14ac:dyDescent="0.25">
      <c r="A1667" s="5" t="s">
        <v>1662</v>
      </c>
      <c r="B1667" t="str">
        <f>"*"&amp;A1667&amp;"*"</f>
        <v>*2673: Device Displays 475 Software Compatibility Self-Test Error*</v>
      </c>
      <c r="C1667">
        <f>COUNTIF(Monday!I:I, B1667)</f>
        <v>0</v>
      </c>
      <c r="D1667">
        <f>COUNTIF(Tuesday!I:I, B1667)</f>
        <v>0</v>
      </c>
      <c r="E1667">
        <f>COUNTIF(Wednesday!I:I, B1667)</f>
        <v>0</v>
      </c>
      <c r="F1667">
        <f>COUNTIF(Thursday!I:I, B1667)</f>
        <v>0</v>
      </c>
      <c r="G1667">
        <f>COUNTIF(Friday!I:I, B1667)</f>
        <v>0</v>
      </c>
      <c r="H1667">
        <f>SUM(C1667:G1667)</f>
        <v>0</v>
      </c>
    </row>
    <row r="1668" spans="1:8" x14ac:dyDescent="0.25">
      <c r="A1668" s="5" t="s">
        <v>1663</v>
      </c>
      <c r="B1668" t="str">
        <f>"*"&amp;A1668&amp;"*"</f>
        <v>*2674: Device Displays 480 Sensor Interface Error*</v>
      </c>
      <c r="C1668">
        <f>COUNTIF(Monday!I:I, B1668)</f>
        <v>0</v>
      </c>
      <c r="D1668">
        <f>COUNTIF(Tuesday!I:I, B1668)</f>
        <v>0</v>
      </c>
      <c r="E1668">
        <f>COUNTIF(Wednesday!I:I, B1668)</f>
        <v>0</v>
      </c>
      <c r="F1668">
        <f>COUNTIF(Thursday!I:I, B1668)</f>
        <v>0</v>
      </c>
      <c r="G1668">
        <f>COUNTIF(Friday!I:I, B1668)</f>
        <v>0</v>
      </c>
      <c r="H1668">
        <f>SUM(C1668:G1668)</f>
        <v>0</v>
      </c>
    </row>
    <row r="1669" spans="1:8" x14ac:dyDescent="0.25">
      <c r="A1669" s="5" t="s">
        <v>1664</v>
      </c>
      <c r="B1669" t="str">
        <f>"*"&amp;A1669&amp;"*"</f>
        <v>*2675: Device Displays 485 Internal Generator Temperature Error*</v>
      </c>
      <c r="C1669">
        <f>COUNTIF(Monday!I:I, B1669)</f>
        <v>0</v>
      </c>
      <c r="D1669">
        <f>COUNTIF(Tuesday!I:I, B1669)</f>
        <v>0</v>
      </c>
      <c r="E1669">
        <f>COUNTIF(Wednesday!I:I, B1669)</f>
        <v>0</v>
      </c>
      <c r="F1669">
        <f>COUNTIF(Thursday!I:I, B1669)</f>
        <v>0</v>
      </c>
      <c r="G1669">
        <f>COUNTIF(Friday!I:I, B1669)</f>
        <v>0</v>
      </c>
      <c r="H1669">
        <f>SUM(C1669:G1669)</f>
        <v>0</v>
      </c>
    </row>
    <row r="1670" spans="1:8" x14ac:dyDescent="0.25">
      <c r="A1670" s="5" t="s">
        <v>1665</v>
      </c>
      <c r="B1670" t="str">
        <f>"*"&amp;A1670&amp;"*"</f>
        <v>*2676: Device Displays 490 RF Power Supply Operational Error*</v>
      </c>
      <c r="C1670">
        <f>COUNTIF(Monday!I:I, B1670)</f>
        <v>0</v>
      </c>
      <c r="D1670">
        <f>COUNTIF(Tuesday!I:I, B1670)</f>
        <v>0</v>
      </c>
      <c r="E1670">
        <f>COUNTIF(Wednesday!I:I, B1670)</f>
        <v>0</v>
      </c>
      <c r="F1670">
        <f>COUNTIF(Thursday!I:I, B1670)</f>
        <v>0</v>
      </c>
      <c r="G1670">
        <f>COUNTIF(Friday!I:I, B1670)</f>
        <v>0</v>
      </c>
      <c r="H1670">
        <f>SUM(C1670:G1670)</f>
        <v>0</v>
      </c>
    </row>
    <row r="1671" spans="1:8" x14ac:dyDescent="0.25">
      <c r="A1671" s="5" t="s">
        <v>1666</v>
      </c>
      <c r="B1671" t="str">
        <f>"*"&amp;A1671&amp;"*"</f>
        <v>*2677: Device Displays 495 RF Power Supply Self-Test Error*</v>
      </c>
      <c r="C1671">
        <f>COUNTIF(Monday!I:I, B1671)</f>
        <v>0</v>
      </c>
      <c r="D1671">
        <f>COUNTIF(Tuesday!I:I, B1671)</f>
        <v>0</v>
      </c>
      <c r="E1671">
        <f>COUNTIF(Wednesday!I:I, B1671)</f>
        <v>0</v>
      </c>
      <c r="F1671">
        <f>COUNTIF(Thursday!I:I, B1671)</f>
        <v>0</v>
      </c>
      <c r="G1671">
        <f>COUNTIF(Friday!I:I, B1671)</f>
        <v>0</v>
      </c>
      <c r="H1671">
        <f>SUM(C1671:G1671)</f>
        <v>0</v>
      </c>
    </row>
    <row r="1672" spans="1:8" x14ac:dyDescent="0.25">
      <c r="A1672" s="5" t="s">
        <v>1667</v>
      </c>
      <c r="B1672" t="str">
        <f>"*"&amp;A1672&amp;"*"</f>
        <v>*1007: Aiming Beam Weak/Dim*</v>
      </c>
      <c r="C1672">
        <f>COUNTIF(Monday!I:I, B1672)</f>
        <v>0</v>
      </c>
      <c r="D1672">
        <f>COUNTIF(Tuesday!I:I, B1672)</f>
        <v>0</v>
      </c>
      <c r="E1672">
        <f>COUNTIF(Wednesday!I:I, B1672)</f>
        <v>0</v>
      </c>
      <c r="F1672">
        <f>COUNTIF(Thursday!I:I, B1672)</f>
        <v>0</v>
      </c>
      <c r="G1672">
        <f>COUNTIF(Friday!I:I, B1672)</f>
        <v>0</v>
      </c>
      <c r="H1672">
        <f>SUM(C1672:G1672)</f>
        <v>0</v>
      </c>
    </row>
    <row r="1673" spans="1:8" x14ac:dyDescent="0.25">
      <c r="A1673" s="5" t="s">
        <v>1668</v>
      </c>
      <c r="B1673" t="str">
        <f>"*"&amp;A1673&amp;"*"</f>
        <v>*2696: Broken Before Use*</v>
      </c>
      <c r="C1673">
        <f>COUNTIF(Monday!I:I, B1673)</f>
        <v>0</v>
      </c>
      <c r="D1673">
        <f>COUNTIF(Tuesday!I:I, B1673)</f>
        <v>0</v>
      </c>
      <c r="E1673">
        <f>COUNTIF(Wednesday!I:I, B1673)</f>
        <v>0</v>
      </c>
      <c r="F1673">
        <f>COUNTIF(Thursday!I:I, B1673)</f>
        <v>0</v>
      </c>
      <c r="G1673">
        <f>COUNTIF(Friday!I:I, B1673)</f>
        <v>0</v>
      </c>
      <c r="H1673">
        <f>SUM(C1673:G1673)</f>
        <v>0</v>
      </c>
    </row>
    <row r="1674" spans="1:8" x14ac:dyDescent="0.25">
      <c r="A1674" s="5" t="s">
        <v>1669</v>
      </c>
      <c r="B1674" t="str">
        <f>"*"&amp;A1674&amp;"*"</f>
        <v>*1175: Degraded*</v>
      </c>
      <c r="C1674">
        <f>COUNTIF(Monday!I:I, B1674)</f>
        <v>0</v>
      </c>
      <c r="D1674">
        <f>COUNTIF(Tuesday!I:I, B1674)</f>
        <v>0</v>
      </c>
      <c r="E1674">
        <f>COUNTIF(Wednesday!I:I, B1674)</f>
        <v>0</v>
      </c>
      <c r="F1674">
        <f>COUNTIF(Thursday!I:I, B1674)</f>
        <v>0</v>
      </c>
      <c r="G1674">
        <f>COUNTIF(Friday!I:I, B1674)</f>
        <v>0</v>
      </c>
      <c r="H1674">
        <f>SUM(C1674:G1674)</f>
        <v>0</v>
      </c>
    </row>
    <row r="1675" spans="1:8" x14ac:dyDescent="0.25">
      <c r="A1675" s="6" t="s">
        <v>1670</v>
      </c>
      <c r="B1675" t="str">
        <f>"*"&amp;A1675&amp;"*"</f>
        <v>*1818: Material Distortion*</v>
      </c>
      <c r="C1675">
        <f>COUNTIF(Monday!I:I, B1675)</f>
        <v>0</v>
      </c>
      <c r="D1675">
        <f>COUNTIF(Tuesday!I:I, B1675)</f>
        <v>0</v>
      </c>
      <c r="E1675">
        <f>COUNTIF(Wednesday!I:I, B1675)</f>
        <v>0</v>
      </c>
      <c r="F1675">
        <f>COUNTIF(Thursday!I:I, B1675)</f>
        <v>0</v>
      </c>
      <c r="G1675">
        <f>COUNTIF(Friday!I:I, B1675)</f>
        <v>0</v>
      </c>
      <c r="H1675">
        <f>SUM(C1675:G1675)</f>
        <v>0</v>
      </c>
    </row>
    <row r="1676" spans="1:8" x14ac:dyDescent="0.25">
      <c r="A1676" s="6" t="s">
        <v>1671</v>
      </c>
      <c r="B1676" t="str">
        <f>"*"&amp;A1676&amp;"*"</f>
        <v>*1169: Decrease In Pressure*</v>
      </c>
      <c r="C1676">
        <f>COUNTIF(Monday!I:I, B1676)</f>
        <v>0</v>
      </c>
      <c r="D1676">
        <f>COUNTIF(Tuesday!I:I, B1676)</f>
        <v>0</v>
      </c>
      <c r="E1676">
        <f>COUNTIF(Wednesday!I:I, B1676)</f>
        <v>0</v>
      </c>
      <c r="F1676">
        <f>COUNTIF(Thursday!I:I, B1676)</f>
        <v>0</v>
      </c>
      <c r="G1676">
        <f>COUNTIF(Friday!I:I, B1676)</f>
        <v>0</v>
      </c>
      <c r="H1676">
        <f>SUM(C1676:G1676)</f>
        <v>0</v>
      </c>
    </row>
    <row r="1677" spans="1:8" x14ac:dyDescent="0.25">
      <c r="A1677" s="6" t="s">
        <v>1672</v>
      </c>
      <c r="B1677" t="str">
        <f>"*"&amp;A1677&amp;"*"</f>
        <v>*1724: Increase In Pressure*</v>
      </c>
      <c r="C1677">
        <f>COUNTIF(Monday!I:I, B1677)</f>
        <v>0</v>
      </c>
      <c r="D1677">
        <f>COUNTIF(Tuesday!I:I, B1677)</f>
        <v>0</v>
      </c>
      <c r="E1677">
        <f>COUNTIF(Wednesday!I:I, B1677)</f>
        <v>0</v>
      </c>
      <c r="F1677">
        <f>COUNTIF(Thursday!I:I, B1677)</f>
        <v>0</v>
      </c>
      <c r="G1677">
        <f>COUNTIF(Friday!I:I, B1677)</f>
        <v>0</v>
      </c>
      <c r="H1677">
        <f>SUM(C1677:G1677)</f>
        <v>0</v>
      </c>
    </row>
    <row r="1678" spans="1:8" x14ac:dyDescent="0.25">
      <c r="A1678" s="5" t="s">
        <v>1673</v>
      </c>
      <c r="B1678" t="str">
        <f>"*"&amp;A1678&amp;"*"</f>
        <v>*3127: Inflation Too Fast*</v>
      </c>
      <c r="C1678">
        <f>COUNTIF(Monday!I:I, B1678)</f>
        <v>0</v>
      </c>
      <c r="D1678">
        <f>COUNTIF(Tuesday!I:I, B1678)</f>
        <v>0</v>
      </c>
      <c r="E1678">
        <f>COUNTIF(Wednesday!I:I, B1678)</f>
        <v>0</v>
      </c>
      <c r="F1678">
        <f>COUNTIF(Thursday!I:I, B1678)</f>
        <v>0</v>
      </c>
      <c r="G1678">
        <f>COUNTIF(Friday!I:I, B1678)</f>
        <v>0</v>
      </c>
      <c r="H1678">
        <f>SUM(C1678:G1678)</f>
        <v>0</v>
      </c>
    </row>
    <row r="1679" spans="1:8" x14ac:dyDescent="0.25">
      <c r="A1679" s="5" t="s">
        <v>1674</v>
      </c>
      <c r="B1679" t="str">
        <f>"*"&amp;A1679&amp;"*"</f>
        <v>*2394: Tab Tore/Stretched/Too Large*</v>
      </c>
      <c r="C1679">
        <f>COUNTIF(Monday!I:I, B1679)</f>
        <v>0</v>
      </c>
      <c r="D1679">
        <f>COUNTIF(Tuesday!I:I, B1679)</f>
        <v>0</v>
      </c>
      <c r="E1679">
        <f>COUNTIF(Wednesday!I:I, B1679)</f>
        <v>0</v>
      </c>
      <c r="F1679">
        <f>COUNTIF(Thursday!I:I, B1679)</f>
        <v>0</v>
      </c>
      <c r="G1679">
        <f>COUNTIF(Friday!I:I, B1679)</f>
        <v>0</v>
      </c>
      <c r="H1679">
        <f>SUM(C1679:G1679)</f>
        <v>0</v>
      </c>
    </row>
    <row r="1680" spans="1:8" x14ac:dyDescent="0.25">
      <c r="A1680" s="5" t="s">
        <v>1675</v>
      </c>
      <c r="B1680" t="str">
        <f>"*"&amp;A1680&amp;"*"</f>
        <v>*3128: Unbuckled*</v>
      </c>
      <c r="C1680">
        <f>COUNTIF(Monday!I:I, B1680)</f>
        <v>0</v>
      </c>
      <c r="D1680">
        <f>COUNTIF(Tuesday!I:I, B1680)</f>
        <v>0</v>
      </c>
      <c r="E1680">
        <f>COUNTIF(Wednesday!I:I, B1680)</f>
        <v>0</v>
      </c>
      <c r="F1680">
        <f>COUNTIF(Thursday!I:I, B1680)</f>
        <v>0</v>
      </c>
      <c r="G1680">
        <f>COUNTIF(Friday!I:I, B1680)</f>
        <v>0</v>
      </c>
      <c r="H1680">
        <f>SUM(C1680:G1680)</f>
        <v>0</v>
      </c>
    </row>
    <row r="1681" spans="1:8" x14ac:dyDescent="0.25">
      <c r="A1681" s="6" t="s">
        <v>1676</v>
      </c>
      <c r="B1681" t="str">
        <f>"*"&amp;A1681&amp;"*"</f>
        <v>*1260: Device Remains Activated*</v>
      </c>
      <c r="C1681">
        <f>COUNTIF(Monday!I:I, B1681)</f>
        <v>0</v>
      </c>
      <c r="D1681">
        <f>COUNTIF(Tuesday!I:I, B1681)</f>
        <v>0</v>
      </c>
      <c r="E1681">
        <f>COUNTIF(Wednesday!I:I, B1681)</f>
        <v>0</v>
      </c>
      <c r="F1681">
        <f>COUNTIF(Thursday!I:I, B1681)</f>
        <v>0</v>
      </c>
      <c r="G1681">
        <f>COUNTIF(Friday!I:I, B1681)</f>
        <v>0</v>
      </c>
      <c r="H1681">
        <f>SUM(C1681:G1681)</f>
        <v>0</v>
      </c>
    </row>
    <row r="1682" spans="1:8" x14ac:dyDescent="0.25">
      <c r="A1682" s="6" t="s">
        <v>1677</v>
      </c>
      <c r="B1682" t="str">
        <f>"*"&amp;A1682&amp;"*"</f>
        <v>*1272: Difficult Or Delayed Activation*</v>
      </c>
      <c r="C1682">
        <f>COUNTIF(Monday!I:I, B1682)</f>
        <v>0</v>
      </c>
      <c r="D1682">
        <f>COUNTIF(Tuesday!I:I, B1682)</f>
        <v>0</v>
      </c>
      <c r="E1682">
        <f>COUNTIF(Wednesday!I:I, B1682)</f>
        <v>0</v>
      </c>
      <c r="F1682">
        <f>COUNTIF(Thursday!I:I, B1682)</f>
        <v>0</v>
      </c>
      <c r="G1682">
        <f>COUNTIF(Friday!I:I, B1682)</f>
        <v>0</v>
      </c>
      <c r="H1682">
        <f>SUM(C1682:G1682)</f>
        <v>0</v>
      </c>
    </row>
    <row r="1683" spans="1:8" x14ac:dyDescent="0.25">
      <c r="A1683" s="6" t="s">
        <v>1678</v>
      </c>
      <c r="B1683" t="str">
        <f>"*"&amp;A1683&amp;"*"</f>
        <v>*2299: Self-Activation Or Keying*</v>
      </c>
      <c r="C1683">
        <f>COUNTIF(Monday!I:I, B1683)</f>
        <v>0</v>
      </c>
      <c r="D1683">
        <f>COUNTIF(Tuesday!I:I, B1683)</f>
        <v>0</v>
      </c>
      <c r="E1683">
        <f>COUNTIF(Wednesday!I:I, B1683)</f>
        <v>0</v>
      </c>
      <c r="F1683">
        <f>COUNTIF(Thursday!I:I, B1683)</f>
        <v>0</v>
      </c>
      <c r="G1683">
        <f>COUNTIF(Friday!I:I, B1683)</f>
        <v>0</v>
      </c>
      <c r="H1683">
        <f>SUM(C1683:G1683)</f>
        <v>0</v>
      </c>
    </row>
    <row r="1684" spans="1:8" x14ac:dyDescent="0.25">
      <c r="A1684" s="5" t="s">
        <v>1679</v>
      </c>
      <c r="B1684" t="str">
        <f>"*"&amp;A1684&amp;"*"</f>
        <v>*3240: Blade Lock*</v>
      </c>
      <c r="C1684">
        <f>COUNTIF(Monday!I:I, B1684)</f>
        <v>0</v>
      </c>
      <c r="D1684">
        <f>COUNTIF(Tuesday!I:I, B1684)</f>
        <v>0</v>
      </c>
      <c r="E1684">
        <f>COUNTIF(Wednesday!I:I, B1684)</f>
        <v>0</v>
      </c>
      <c r="F1684">
        <f>COUNTIF(Thursday!I:I, B1684)</f>
        <v>0</v>
      </c>
      <c r="G1684">
        <f>COUNTIF(Friday!I:I, B1684)</f>
        <v>0</v>
      </c>
      <c r="H1684">
        <f>SUM(C1684:G1684)</f>
        <v>0</v>
      </c>
    </row>
    <row r="1685" spans="1:8" x14ac:dyDescent="0.25">
      <c r="A1685" s="5" t="s">
        <v>1680</v>
      </c>
      <c r="B1685" t="str">
        <f>"*"&amp;A1685&amp;"*"</f>
        <v>*3258: Difficult Cutting*</v>
      </c>
      <c r="C1685">
        <f>COUNTIF(Monday!I:I, B1685)</f>
        <v>0</v>
      </c>
      <c r="D1685">
        <f>COUNTIF(Tuesday!I:I, B1685)</f>
        <v>0</v>
      </c>
      <c r="E1685">
        <f>COUNTIF(Wednesday!I:I, B1685)</f>
        <v>0</v>
      </c>
      <c r="F1685">
        <f>COUNTIF(Thursday!I:I, B1685)</f>
        <v>0</v>
      </c>
      <c r="G1685">
        <f>COUNTIF(Friday!I:I, B1685)</f>
        <v>0</v>
      </c>
      <c r="H1685">
        <f>SUM(C1685:G1685)</f>
        <v>0</v>
      </c>
    </row>
    <row r="1686" spans="1:8" x14ac:dyDescent="0.25">
      <c r="A1686" s="5" t="s">
        <v>1681</v>
      </c>
      <c r="B1686" t="str">
        <f>"*"&amp;A1686&amp;"*"</f>
        <v>*3266: Rust Present*</v>
      </c>
      <c r="C1686">
        <f>COUNTIF(Monday!I:I, B1686)</f>
        <v>0</v>
      </c>
      <c r="D1686">
        <f>COUNTIF(Tuesday!I:I, B1686)</f>
        <v>0</v>
      </c>
      <c r="E1686">
        <f>COUNTIF(Wednesday!I:I, B1686)</f>
        <v>0</v>
      </c>
      <c r="F1686">
        <f>COUNTIF(Thursday!I:I, B1686)</f>
        <v>0</v>
      </c>
      <c r="G1686">
        <f>COUNTIF(Friday!I:I, B1686)</f>
        <v>0</v>
      </c>
      <c r="H1686">
        <f>SUM(C1686:G1686)</f>
        <v>0</v>
      </c>
    </row>
    <row r="1687" spans="1:8" x14ac:dyDescent="0.25">
      <c r="A1687" s="5" t="s">
        <v>1682</v>
      </c>
      <c r="B1687" t="str">
        <f>"*"&amp;A1687&amp;"*"</f>
        <v>*3269: Suction Rate Too Fast*</v>
      </c>
      <c r="C1687">
        <f>COUNTIF(Monday!I:I, B1687)</f>
        <v>0</v>
      </c>
      <c r="D1687">
        <f>COUNTIF(Tuesday!I:I, B1687)</f>
        <v>0</v>
      </c>
      <c r="E1687">
        <f>COUNTIF(Wednesday!I:I, B1687)</f>
        <v>0</v>
      </c>
      <c r="F1687">
        <f>COUNTIF(Thursday!I:I, B1687)</f>
        <v>0</v>
      </c>
      <c r="G1687">
        <f>COUNTIF(Friday!I:I, B1687)</f>
        <v>0</v>
      </c>
      <c r="H1687">
        <f>SUM(C1687:G1687)</f>
        <v>0</v>
      </c>
    </row>
    <row r="1688" spans="1:8" x14ac:dyDescent="0.25">
      <c r="A1688" s="5" t="s">
        <v>1683</v>
      </c>
      <c r="B1688" t="str">
        <f>"*"&amp;A1688&amp;"*"</f>
        <v>*1656: Guidewire/Burr Movement Problem*</v>
      </c>
      <c r="C1688">
        <f>COUNTIF(Monday!I:I, B1688)</f>
        <v>0</v>
      </c>
      <c r="D1688">
        <f>COUNTIF(Tuesday!I:I, B1688)</f>
        <v>0</v>
      </c>
      <c r="E1688">
        <f>COUNTIF(Wednesday!I:I, B1688)</f>
        <v>0</v>
      </c>
      <c r="F1688">
        <f>COUNTIF(Thursday!I:I, B1688)</f>
        <v>0</v>
      </c>
      <c r="G1688">
        <f>COUNTIF(Friday!I:I, B1688)</f>
        <v>0</v>
      </c>
      <c r="H1688">
        <f>SUM(C1688:G1688)</f>
        <v>0</v>
      </c>
    </row>
    <row r="1689" spans="1:8" x14ac:dyDescent="0.25">
      <c r="A1689" s="5" t="s">
        <v>1684</v>
      </c>
      <c r="B1689" t="str">
        <f>"*"&amp;A1689&amp;"*"</f>
        <v>*1034: Blades Not Spinning*</v>
      </c>
      <c r="C1689">
        <f>COUNTIF(Monday!I:I, B1689)</f>
        <v>0</v>
      </c>
      <c r="D1689">
        <f>COUNTIF(Tuesday!I:I, B1689)</f>
        <v>0</v>
      </c>
      <c r="E1689">
        <f>COUNTIF(Wednesday!I:I, B1689)</f>
        <v>0</v>
      </c>
      <c r="F1689">
        <f>COUNTIF(Thursday!I:I, B1689)</f>
        <v>0</v>
      </c>
      <c r="G1689">
        <f>COUNTIF(Friday!I:I, B1689)</f>
        <v>0</v>
      </c>
      <c r="H1689">
        <f>SUM(C1689:G1689)</f>
        <v>0</v>
      </c>
    </row>
    <row r="1690" spans="1:8" x14ac:dyDescent="0.25">
      <c r="A1690" s="5" t="s">
        <v>1685</v>
      </c>
      <c r="B1690" t="str">
        <f>"*"&amp;A1690&amp;"*"</f>
        <v>*1190: Device Clogged*</v>
      </c>
      <c r="C1690">
        <f>COUNTIF(Monday!I:I, B1690)</f>
        <v>0</v>
      </c>
      <c r="D1690">
        <f>COUNTIF(Tuesday!I:I, B1690)</f>
        <v>0</v>
      </c>
      <c r="E1690">
        <f>COUNTIF(Wednesday!I:I, B1690)</f>
        <v>0</v>
      </c>
      <c r="F1690">
        <f>COUNTIF(Thursday!I:I, B1690)</f>
        <v>0</v>
      </c>
      <c r="G1690">
        <f>COUNTIF(Friday!I:I, B1690)</f>
        <v>0</v>
      </c>
      <c r="H1690">
        <f>SUM(C1690:G1690)</f>
        <v>0</v>
      </c>
    </row>
    <row r="1691" spans="1:8" x14ac:dyDescent="0.25">
      <c r="A1691" s="5" t="s">
        <v>1686</v>
      </c>
      <c r="B1691" t="str">
        <f>"*"&amp;A1691&amp;"*"</f>
        <v>*2137: Not Reaching Optimum Speed - During Preparation/Test*</v>
      </c>
      <c r="C1691">
        <f>COUNTIF(Monday!I:I, B1691)</f>
        <v>0</v>
      </c>
      <c r="D1691">
        <f>COUNTIF(Tuesday!I:I, B1691)</f>
        <v>0</v>
      </c>
      <c r="E1691">
        <f>COUNTIF(Wednesday!I:I, B1691)</f>
        <v>0</v>
      </c>
      <c r="F1691">
        <f>COUNTIF(Thursday!I:I, B1691)</f>
        <v>0</v>
      </c>
      <c r="G1691">
        <f>COUNTIF(Friday!I:I, B1691)</f>
        <v>0</v>
      </c>
      <c r="H1691">
        <f>SUM(C1691:G1691)</f>
        <v>0</v>
      </c>
    </row>
    <row r="1692" spans="1:8" x14ac:dyDescent="0.25">
      <c r="A1692" s="5" t="s">
        <v>1687</v>
      </c>
      <c r="B1692" t="str">
        <f>"*"&amp;A1692&amp;"*"</f>
        <v>*2276: Rexing Issue*</v>
      </c>
      <c r="C1692">
        <f>COUNTIF(Monday!I:I, B1692)</f>
        <v>0</v>
      </c>
      <c r="D1692">
        <f>COUNTIF(Tuesday!I:I, B1692)</f>
        <v>0</v>
      </c>
      <c r="E1692">
        <f>COUNTIF(Wednesday!I:I, B1692)</f>
        <v>0</v>
      </c>
      <c r="F1692">
        <f>COUNTIF(Thursday!I:I, B1692)</f>
        <v>0</v>
      </c>
      <c r="G1692">
        <f>COUNTIF(Friday!I:I, B1692)</f>
        <v>0</v>
      </c>
      <c r="H1692">
        <f>SUM(C1692:G1692)</f>
        <v>0</v>
      </c>
    </row>
    <row r="1693" spans="1:8" x14ac:dyDescent="0.25">
      <c r="A1693" s="5" t="s">
        <v>1688</v>
      </c>
      <c r="B1693" t="str">
        <f>"*"&amp;A1693&amp;"*"</f>
        <v>*2364: Structural Problem*</v>
      </c>
      <c r="C1693">
        <f>COUNTIF(Monday!I:I, B1693)</f>
        <v>0</v>
      </c>
      <c r="D1693">
        <f>COUNTIF(Tuesday!I:I, B1693)</f>
        <v>0</v>
      </c>
      <c r="E1693">
        <f>COUNTIF(Wednesday!I:I, B1693)</f>
        <v>0</v>
      </c>
      <c r="F1693">
        <f>COUNTIF(Thursday!I:I, B1693)</f>
        <v>0</v>
      </c>
      <c r="G1693">
        <f>COUNTIF(Friday!I:I, B1693)</f>
        <v>0</v>
      </c>
      <c r="H1693">
        <f>SUM(C1693:G1693)</f>
        <v>0</v>
      </c>
    </row>
    <row r="1694" spans="1:8" x14ac:dyDescent="0.25">
      <c r="A1694" s="5" t="s">
        <v>1689</v>
      </c>
      <c r="B1694" t="str">
        <f>"*"&amp;A1694&amp;"*"</f>
        <v>*1430: Drive Shaft Interference*</v>
      </c>
      <c r="C1694">
        <f>COUNTIF(Monday!I:I, B1694)</f>
        <v>0</v>
      </c>
      <c r="D1694">
        <f>COUNTIF(Tuesday!I:I, B1694)</f>
        <v>0</v>
      </c>
      <c r="E1694">
        <f>COUNTIF(Wednesday!I:I, B1694)</f>
        <v>0</v>
      </c>
      <c r="F1694">
        <f>COUNTIF(Thursday!I:I, B1694)</f>
        <v>0</v>
      </c>
      <c r="G1694">
        <f>COUNTIF(Friday!I:I, B1694)</f>
        <v>0</v>
      </c>
      <c r="H1694">
        <f>SUM(C1694:G1694)</f>
        <v>0</v>
      </c>
    </row>
    <row r="1695" spans="1:8" x14ac:dyDescent="0.25">
      <c r="A1695" s="5" t="s">
        <v>1690</v>
      </c>
      <c r="B1695" t="str">
        <f>"*"&amp;A1695&amp;"*"</f>
        <v>*1721: Incorrect Readings*</v>
      </c>
      <c r="C1695">
        <f>COUNTIF(Monday!I:I, B1695)</f>
        <v>0</v>
      </c>
      <c r="D1695">
        <f>COUNTIF(Tuesday!I:I, B1695)</f>
        <v>0</v>
      </c>
      <c r="E1695">
        <f>COUNTIF(Wednesday!I:I, B1695)</f>
        <v>0</v>
      </c>
      <c r="F1695">
        <f>COUNTIF(Thursday!I:I, B1695)</f>
        <v>0</v>
      </c>
      <c r="G1695">
        <f>COUNTIF(Friday!I:I, B1695)</f>
        <v>0</v>
      </c>
      <c r="H1695">
        <f>SUM(C1695:G1695)</f>
        <v>0</v>
      </c>
    </row>
    <row r="1696" spans="1:8" x14ac:dyDescent="0.25">
      <c r="A1696" s="5" t="s">
        <v>1691</v>
      </c>
      <c r="B1696" t="str">
        <f>"*"&amp;A1696&amp;"*"</f>
        <v>*1062: Burred*</v>
      </c>
      <c r="C1696">
        <f>COUNTIF(Monday!I:I, B1696)</f>
        <v>0</v>
      </c>
      <c r="D1696">
        <f>COUNTIF(Tuesday!I:I, B1696)</f>
        <v>0</v>
      </c>
      <c r="E1696">
        <f>COUNTIF(Wednesday!I:I, B1696)</f>
        <v>0</v>
      </c>
      <c r="F1696">
        <f>COUNTIF(Thursday!I:I, B1696)</f>
        <v>0</v>
      </c>
      <c r="G1696">
        <f>COUNTIF(Friday!I:I, B1696)</f>
        <v>0</v>
      </c>
      <c r="H1696">
        <f>SUM(C1696:G1696)</f>
        <v>0</v>
      </c>
    </row>
    <row r="1697" spans="1:8" x14ac:dyDescent="0.25">
      <c r="A1697" s="5" t="s">
        <v>1692</v>
      </c>
      <c r="B1697" t="str">
        <f>"*"&amp;A1697&amp;"*"</f>
        <v>*2063: Migrated/Dislodged*</v>
      </c>
      <c r="C1697">
        <f>COUNTIF(Monday!I:I, B1697)</f>
        <v>0</v>
      </c>
      <c r="D1697">
        <f>COUNTIF(Tuesday!I:I, B1697)</f>
        <v>0</v>
      </c>
      <c r="E1697">
        <f>COUNTIF(Wednesday!I:I, B1697)</f>
        <v>0</v>
      </c>
      <c r="F1697">
        <f>COUNTIF(Thursday!I:I, B1697)</f>
        <v>0</v>
      </c>
      <c r="G1697">
        <f>COUNTIF(Friday!I:I, B1697)</f>
        <v>0</v>
      </c>
      <c r="H1697">
        <f>SUM(C1697:G1697)</f>
        <v>0</v>
      </c>
    </row>
    <row r="1698" spans="1:8" x14ac:dyDescent="0.25">
      <c r="A1698" s="5" t="s">
        <v>1693</v>
      </c>
      <c r="B1698" t="str">
        <f>"*"&amp;A1698&amp;"*"</f>
        <v>*1070: Cannula Stuck In Catheter*</v>
      </c>
      <c r="C1698">
        <f>COUNTIF(Monday!I:I, B1698)</f>
        <v>0</v>
      </c>
      <c r="D1698">
        <f>COUNTIF(Tuesday!I:I, B1698)</f>
        <v>0</v>
      </c>
      <c r="E1698">
        <f>COUNTIF(Wednesday!I:I, B1698)</f>
        <v>0</v>
      </c>
      <c r="F1698">
        <f>COUNTIF(Thursday!I:I, B1698)</f>
        <v>0</v>
      </c>
      <c r="G1698">
        <f>COUNTIF(Friday!I:I, B1698)</f>
        <v>0</v>
      </c>
      <c r="H1698">
        <f>SUM(C1698:G1698)</f>
        <v>0</v>
      </c>
    </row>
    <row r="1699" spans="1:8" x14ac:dyDescent="0.25">
      <c r="A1699" s="5" t="s">
        <v>1694</v>
      </c>
      <c r="B1699" t="str">
        <f>"*"&amp;A1699&amp;"*"</f>
        <v>*1348: Difficult To Remove From Dispenser Coil*</v>
      </c>
      <c r="C1699">
        <f>COUNTIF(Monday!I:I, B1699)</f>
        <v>0</v>
      </c>
      <c r="D1699">
        <f>COUNTIF(Tuesday!I:I, B1699)</f>
        <v>0</v>
      </c>
      <c r="E1699">
        <f>COUNTIF(Wednesday!I:I, B1699)</f>
        <v>0</v>
      </c>
      <c r="F1699">
        <f>COUNTIF(Thursday!I:I, B1699)</f>
        <v>0</v>
      </c>
      <c r="G1699">
        <f>COUNTIF(Friday!I:I, B1699)</f>
        <v>0</v>
      </c>
      <c r="H1699">
        <f>SUM(C1699:G1699)</f>
        <v>0</v>
      </c>
    </row>
    <row r="1700" spans="1:8" x14ac:dyDescent="0.25">
      <c r="A1700" s="5" t="s">
        <v>1695</v>
      </c>
      <c r="B1700" t="str">
        <f>"*"&amp;A1700&amp;"*"</f>
        <v>*1349: Difficult To Remove From The Guide Catheter*</v>
      </c>
      <c r="C1700">
        <f>COUNTIF(Monday!I:I, B1700)</f>
        <v>0</v>
      </c>
      <c r="D1700">
        <f>COUNTIF(Tuesday!I:I, B1700)</f>
        <v>0</v>
      </c>
      <c r="E1700">
        <f>COUNTIF(Wednesday!I:I, B1700)</f>
        <v>0</v>
      </c>
      <c r="F1700">
        <f>COUNTIF(Thursday!I:I, B1700)</f>
        <v>0</v>
      </c>
      <c r="G1700">
        <f>COUNTIF(Friday!I:I, B1700)</f>
        <v>0</v>
      </c>
      <c r="H1700">
        <f>SUM(C1700:G1700)</f>
        <v>0</v>
      </c>
    </row>
    <row r="1701" spans="1:8" x14ac:dyDescent="0.25">
      <c r="A1701" s="5" t="s">
        <v>1696</v>
      </c>
      <c r="B1701" t="str">
        <f>"*"&amp;A1701&amp;"*"</f>
        <v>*2087: Nickel And Liner/Lumen Separation*</v>
      </c>
      <c r="C1701">
        <f>COUNTIF(Monday!I:I, B1701)</f>
        <v>0</v>
      </c>
      <c r="D1701">
        <f>COUNTIF(Tuesday!I:I, B1701)</f>
        <v>0</v>
      </c>
      <c r="E1701">
        <f>COUNTIF(Wednesday!I:I, B1701)</f>
        <v>0</v>
      </c>
      <c r="F1701">
        <f>COUNTIF(Thursday!I:I, B1701)</f>
        <v>0</v>
      </c>
      <c r="G1701">
        <f>COUNTIF(Friday!I:I, B1701)</f>
        <v>0</v>
      </c>
      <c r="H1701">
        <f>SUM(C1701:G1701)</f>
        <v>0</v>
      </c>
    </row>
    <row r="1702" spans="1:8" x14ac:dyDescent="0.25">
      <c r="A1702" s="5" t="s">
        <v>1697</v>
      </c>
      <c r="B1702" t="str">
        <f>"*"&amp;A1702&amp;"*"</f>
        <v>*2420: Torqued/Twisted*</v>
      </c>
      <c r="C1702">
        <f>COUNTIF(Monday!I:I, B1702)</f>
        <v>0</v>
      </c>
      <c r="D1702">
        <f>COUNTIF(Tuesday!I:I, B1702)</f>
        <v>0</v>
      </c>
      <c r="E1702">
        <f>COUNTIF(Wednesday!I:I, B1702)</f>
        <v>0</v>
      </c>
      <c r="F1702">
        <f>COUNTIF(Thursday!I:I, B1702)</f>
        <v>0</v>
      </c>
      <c r="G1702">
        <f>COUNTIF(Friday!I:I, B1702)</f>
        <v>0</v>
      </c>
      <c r="H1702">
        <f>SUM(C1702:G1702)</f>
        <v>0</v>
      </c>
    </row>
    <row r="1703" spans="1:8" x14ac:dyDescent="0.25">
      <c r="A1703" s="5" t="s">
        <v>1698</v>
      </c>
      <c r="B1703" t="str">
        <f>"*"&amp;A1703&amp;"*"</f>
        <v>*2888: Device Does Not Provide Adequate Anchoring*</v>
      </c>
      <c r="C1703">
        <f>COUNTIF(Monday!I:I, B1703)</f>
        <v>0</v>
      </c>
      <c r="D1703">
        <f>COUNTIF(Tuesday!I:I, B1703)</f>
        <v>0</v>
      </c>
      <c r="E1703">
        <f>COUNTIF(Wednesday!I:I, B1703)</f>
        <v>0</v>
      </c>
      <c r="F1703">
        <f>COUNTIF(Thursday!I:I, B1703)</f>
        <v>0</v>
      </c>
      <c r="G1703">
        <f>COUNTIF(Friday!I:I, B1703)</f>
        <v>0</v>
      </c>
      <c r="H1703">
        <f>SUM(C1703:G1703)</f>
        <v>0</v>
      </c>
    </row>
    <row r="1704" spans="1:8" x14ac:dyDescent="0.25">
      <c r="A1704" s="5" t="s">
        <v>1699</v>
      </c>
      <c r="B1704" t="str">
        <f>"*"&amp;A1704&amp;"*"</f>
        <v>*2890: Difficulty Resheathing The Scaffold*</v>
      </c>
      <c r="C1704">
        <f>COUNTIF(Monday!I:I, B1704)</f>
        <v>0</v>
      </c>
      <c r="D1704">
        <f>COUNTIF(Tuesday!I:I, B1704)</f>
        <v>0</v>
      </c>
      <c r="E1704">
        <f>COUNTIF(Wednesday!I:I, B1704)</f>
        <v>0</v>
      </c>
      <c r="F1704">
        <f>COUNTIF(Thursday!I:I, B1704)</f>
        <v>0</v>
      </c>
      <c r="G1704">
        <f>COUNTIF(Friday!I:I, B1704)</f>
        <v>0</v>
      </c>
      <c r="H1704">
        <f>SUM(C1704:G1704)</f>
        <v>0</v>
      </c>
    </row>
    <row r="1705" spans="1:8" x14ac:dyDescent="0.25">
      <c r="A1705" s="5" t="s">
        <v>1700</v>
      </c>
      <c r="B1705" t="str">
        <f>"*"&amp;A1705&amp;"*"</f>
        <v>*2889: Difficult To Unsheath*</v>
      </c>
      <c r="C1705">
        <f>COUNTIF(Monday!I:I, B1705)</f>
        <v>0</v>
      </c>
      <c r="D1705">
        <f>COUNTIF(Tuesday!I:I, B1705)</f>
        <v>0</v>
      </c>
      <c r="E1705">
        <f>COUNTIF(Wednesday!I:I, B1705)</f>
        <v>0</v>
      </c>
      <c r="F1705">
        <f>COUNTIF(Thursday!I:I, B1705)</f>
        <v>0</v>
      </c>
      <c r="G1705">
        <f>COUNTIF(Friday!I:I, B1705)</f>
        <v>0</v>
      </c>
      <c r="H1705">
        <f>SUM(C1705:G1705)</f>
        <v>0</v>
      </c>
    </row>
    <row r="1706" spans="1:8" x14ac:dyDescent="0.25">
      <c r="A1706" s="5" t="s">
        <v>1701</v>
      </c>
      <c r="B1706" t="str">
        <f>"*"&amp;A1706&amp;"*"</f>
        <v>*2926: Scaffold Detachment*</v>
      </c>
      <c r="C1706">
        <f>COUNTIF(Monday!I:I, B1706)</f>
        <v>0</v>
      </c>
      <c r="D1706">
        <f>COUNTIF(Tuesday!I:I, B1706)</f>
        <v>0</v>
      </c>
      <c r="E1706">
        <f>COUNTIF(Wednesday!I:I, B1706)</f>
        <v>0</v>
      </c>
      <c r="F1706">
        <f>COUNTIF(Thursday!I:I, B1706)</f>
        <v>0</v>
      </c>
      <c r="G1706">
        <f>COUNTIF(Friday!I:I, B1706)</f>
        <v>0</v>
      </c>
      <c r="H1706">
        <f>SUM(C1706:G1706)</f>
        <v>0</v>
      </c>
    </row>
    <row r="1707" spans="1:8" x14ac:dyDescent="0.25">
      <c r="A1707" s="5" t="s">
        <v>1702</v>
      </c>
      <c r="B1707" t="str">
        <f>"*"&amp;A1707&amp;"*"</f>
        <v>*2894: Flash Drive Issue*</v>
      </c>
      <c r="C1707">
        <f>COUNTIF(Monday!I:I, B1707)</f>
        <v>0</v>
      </c>
      <c r="D1707">
        <f>COUNTIF(Tuesday!I:I, B1707)</f>
        <v>0</v>
      </c>
      <c r="E1707">
        <f>COUNTIF(Wednesday!I:I, B1707)</f>
        <v>0</v>
      </c>
      <c r="F1707">
        <f>COUNTIF(Thursday!I:I, B1707)</f>
        <v>0</v>
      </c>
      <c r="G1707">
        <f>COUNTIF(Friday!I:I, B1707)</f>
        <v>0</v>
      </c>
      <c r="H1707">
        <f>SUM(C1707:G1707)</f>
        <v>0</v>
      </c>
    </row>
    <row r="1708" spans="1:8" x14ac:dyDescent="0.25">
      <c r="A1708" s="5" t="s">
        <v>1703</v>
      </c>
      <c r="B1708" t="str">
        <f>"*"&amp;A1708&amp;"*"</f>
        <v>*2927: Solenoid Valve Issue*</v>
      </c>
      <c r="C1708">
        <f>COUNTIF(Monday!I:I, B1708)</f>
        <v>0</v>
      </c>
      <c r="D1708">
        <f>COUNTIF(Tuesday!I:I, B1708)</f>
        <v>0</v>
      </c>
      <c r="E1708">
        <f>COUNTIF(Wednesday!I:I, B1708)</f>
        <v>0</v>
      </c>
      <c r="F1708">
        <f>COUNTIF(Thursday!I:I, B1708)</f>
        <v>0</v>
      </c>
      <c r="G1708">
        <f>COUNTIF(Friday!I:I, B1708)</f>
        <v>0</v>
      </c>
      <c r="H1708">
        <f>SUM(C1708:G1708)</f>
        <v>0</v>
      </c>
    </row>
    <row r="1709" spans="1:8" x14ac:dyDescent="0.25">
      <c r="A1709" s="5" t="s">
        <v>1704</v>
      </c>
      <c r="B1709" t="str">
        <f>"*"&amp;A1709&amp;"*"</f>
        <v>*2933: Unable To Test Cryo-Needle*</v>
      </c>
      <c r="C1709">
        <f>COUNTIF(Monday!I:I, B1709)</f>
        <v>0</v>
      </c>
      <c r="D1709">
        <f>COUNTIF(Tuesday!I:I, B1709)</f>
        <v>0</v>
      </c>
      <c r="E1709">
        <f>COUNTIF(Wednesday!I:I, B1709)</f>
        <v>0</v>
      </c>
      <c r="F1709">
        <f>COUNTIF(Thursday!I:I, B1709)</f>
        <v>0</v>
      </c>
      <c r="G1709">
        <f>COUNTIF(Friday!I:I, B1709)</f>
        <v>0</v>
      </c>
      <c r="H1709">
        <f>SUM(C1709:G1709)</f>
        <v>0</v>
      </c>
    </row>
    <row r="1710" spans="1:8" x14ac:dyDescent="0.25">
      <c r="A1710" s="5" t="s">
        <v>1706</v>
      </c>
      <c r="B1710" t="str">
        <f>"*"&amp;A1710&amp;"*"</f>
        <v>*2885: Channel Issue*</v>
      </c>
      <c r="C1710">
        <f>COUNTIF(Monday!I:I, B1710)</f>
        <v>0</v>
      </c>
      <c r="D1710">
        <f>COUNTIF(Tuesday!I:I, B1710)</f>
        <v>0</v>
      </c>
      <c r="E1710">
        <f>COUNTIF(Wednesday!I:I, B1710)</f>
        <v>0</v>
      </c>
      <c r="F1710">
        <f>COUNTIF(Thursday!I:I, B1710)</f>
        <v>0</v>
      </c>
      <c r="G1710">
        <f>COUNTIF(Friday!I:I, B1710)</f>
        <v>0</v>
      </c>
      <c r="H1710">
        <f>SUM(C1710:G1710)</f>
        <v>0</v>
      </c>
    </row>
    <row r="1711" spans="1:8" x14ac:dyDescent="0.25">
      <c r="A1711" s="5" t="s">
        <v>1707</v>
      </c>
      <c r="B1711" t="str">
        <f>"*"&amp;A1711&amp;"*"</f>
        <v>*2899: Insufficient Ice*</v>
      </c>
      <c r="C1711">
        <f>COUNTIF(Monday!I:I, B1711)</f>
        <v>0</v>
      </c>
      <c r="D1711">
        <f>COUNTIF(Tuesday!I:I, B1711)</f>
        <v>0</v>
      </c>
      <c r="E1711">
        <f>COUNTIF(Wednesday!I:I, B1711)</f>
        <v>0</v>
      </c>
      <c r="F1711">
        <f>COUNTIF(Thursday!I:I, B1711)</f>
        <v>0</v>
      </c>
      <c r="G1711">
        <f>COUNTIF(Friday!I:I, B1711)</f>
        <v>0</v>
      </c>
      <c r="H1711">
        <f>SUM(C1711:G1711)</f>
        <v>0</v>
      </c>
    </row>
    <row r="1712" spans="1:8" x14ac:dyDescent="0.25">
      <c r="A1712" s="5" t="s">
        <v>1708</v>
      </c>
      <c r="B1712" t="str">
        <f>"*"&amp;A1712&amp;"*"</f>
        <v>*2917: Message: Error Message Recovered*</v>
      </c>
      <c r="C1712">
        <f>COUNTIF(Monday!I:I, B1712)</f>
        <v>0</v>
      </c>
      <c r="D1712">
        <f>COUNTIF(Tuesday!I:I, B1712)</f>
        <v>0</v>
      </c>
      <c r="E1712">
        <f>COUNTIF(Wednesday!I:I, B1712)</f>
        <v>0</v>
      </c>
      <c r="F1712">
        <f>COUNTIF(Thursday!I:I, B1712)</f>
        <v>0</v>
      </c>
      <c r="G1712">
        <f>COUNTIF(Friday!I:I, B1712)</f>
        <v>0</v>
      </c>
      <c r="H1712">
        <f>SUM(C1712:G1712)</f>
        <v>0</v>
      </c>
    </row>
    <row r="1713" spans="1:8" x14ac:dyDescent="0.25">
      <c r="A1713" s="5" t="s">
        <v>1709</v>
      </c>
      <c r="B1713" t="str">
        <f>"*"&amp;A1713&amp;"*"</f>
        <v>*2918: Message: Error Message Unrecovered*</v>
      </c>
      <c r="C1713">
        <f>COUNTIF(Monday!I:I, B1713)</f>
        <v>0</v>
      </c>
      <c r="D1713">
        <f>COUNTIF(Tuesday!I:I, B1713)</f>
        <v>0</v>
      </c>
      <c r="E1713">
        <f>COUNTIF(Wednesday!I:I, B1713)</f>
        <v>0</v>
      </c>
      <c r="F1713">
        <f>COUNTIF(Thursday!I:I, B1713)</f>
        <v>0</v>
      </c>
      <c r="G1713">
        <f>COUNTIF(Friday!I:I, B1713)</f>
        <v>0</v>
      </c>
      <c r="H1713">
        <f>SUM(C1713:G1713)</f>
        <v>0</v>
      </c>
    </row>
    <row r="1714" spans="1:8" x14ac:dyDescent="0.25">
      <c r="A1714" s="5" t="s">
        <v>1710</v>
      </c>
      <c r="B1714" t="str">
        <f>"*"&amp;A1714&amp;"*"</f>
        <v>*2884: Cautery Failure*</v>
      </c>
      <c r="C1714">
        <f>COUNTIF(Monday!I:I, B1714)</f>
        <v>0</v>
      </c>
      <c r="D1714">
        <f>COUNTIF(Tuesday!I:I, B1714)</f>
        <v>0</v>
      </c>
      <c r="E1714">
        <f>COUNTIF(Wednesday!I:I, B1714)</f>
        <v>0</v>
      </c>
      <c r="F1714">
        <f>COUNTIF(Thursday!I:I, B1714)</f>
        <v>0</v>
      </c>
      <c r="G1714">
        <f>COUNTIF(Friday!I:I, B1714)</f>
        <v>0</v>
      </c>
      <c r="H1714">
        <f>SUM(C1714:G1714)</f>
        <v>0</v>
      </c>
    </row>
    <row r="1715" spans="1:8" x14ac:dyDescent="0.25">
      <c r="A1715" s="5" t="s">
        <v>1711</v>
      </c>
      <c r="B1715" t="str">
        <f>"*"&amp;A1715&amp;"*"</f>
        <v>*2895: Frost*</v>
      </c>
      <c r="C1715">
        <f>COUNTIF(Monday!I:I, B1715)</f>
        <v>0</v>
      </c>
      <c r="D1715">
        <f>COUNTIF(Tuesday!I:I, B1715)</f>
        <v>0</v>
      </c>
      <c r="E1715">
        <f>COUNTIF(Wednesday!I:I, B1715)</f>
        <v>0</v>
      </c>
      <c r="F1715">
        <f>COUNTIF(Thursday!I:I, B1715)</f>
        <v>0</v>
      </c>
      <c r="G1715">
        <f>COUNTIF(Friday!I:I, B1715)</f>
        <v>0</v>
      </c>
      <c r="H1715">
        <f>SUM(C1715:G1715)</f>
        <v>0</v>
      </c>
    </row>
    <row r="1716" spans="1:8" x14ac:dyDescent="0.25">
      <c r="A1716" s="5" t="s">
        <v>1712</v>
      </c>
      <c r="B1716" t="str">
        <f>"*"&amp;A1716&amp;"*"</f>
        <v>*2898: Incorrectly Identified By System*</v>
      </c>
      <c r="C1716">
        <f>COUNTIF(Monday!I:I, B1716)</f>
        <v>0</v>
      </c>
      <c r="D1716">
        <f>COUNTIF(Tuesday!I:I, B1716)</f>
        <v>0</v>
      </c>
      <c r="E1716">
        <f>COUNTIF(Wednesday!I:I, B1716)</f>
        <v>0</v>
      </c>
      <c r="F1716">
        <f>COUNTIF(Thursday!I:I, B1716)</f>
        <v>0</v>
      </c>
      <c r="G1716">
        <f>COUNTIF(Friday!I:I, B1716)</f>
        <v>0</v>
      </c>
      <c r="H1716">
        <f>SUM(C1716:G1716)</f>
        <v>0</v>
      </c>
    </row>
    <row r="1717" spans="1:8" x14ac:dyDescent="0.25">
      <c r="A1717" s="5" t="s">
        <v>1713</v>
      </c>
      <c r="B1717" t="str">
        <f>"*"&amp;A1717&amp;"*"</f>
        <v>*2900: iThaw Malfunction*</v>
      </c>
      <c r="C1717">
        <f>COUNTIF(Monday!I:I, B1717)</f>
        <v>0</v>
      </c>
      <c r="D1717">
        <f>COUNTIF(Tuesday!I:I, B1717)</f>
        <v>0</v>
      </c>
      <c r="E1717">
        <f>COUNTIF(Wednesday!I:I, B1717)</f>
        <v>0</v>
      </c>
      <c r="F1717">
        <f>COUNTIF(Thursday!I:I, B1717)</f>
        <v>0</v>
      </c>
      <c r="G1717">
        <f>COUNTIF(Friday!I:I, B1717)</f>
        <v>0</v>
      </c>
      <c r="H1717">
        <f>SUM(C1717:G1717)</f>
        <v>0</v>
      </c>
    </row>
    <row r="1718" spans="1:8" x14ac:dyDescent="0.25">
      <c r="A1718" s="5" t="s">
        <v>1714</v>
      </c>
      <c r="B1718" t="str">
        <f>"*"&amp;A1718&amp;"*"</f>
        <v>*1788: Lights Do Not Turn On*</v>
      </c>
      <c r="C1718">
        <f>COUNTIF(Monday!I:I, B1718)</f>
        <v>0</v>
      </c>
      <c r="D1718">
        <f>COUNTIF(Tuesday!I:I, B1718)</f>
        <v>0</v>
      </c>
      <c r="E1718">
        <f>COUNTIF(Wednesday!I:I, B1718)</f>
        <v>0</v>
      </c>
      <c r="F1718">
        <f>COUNTIF(Thursday!I:I, B1718)</f>
        <v>0</v>
      </c>
      <c r="G1718">
        <f>COUNTIF(Friday!I:I, B1718)</f>
        <v>0</v>
      </c>
      <c r="H1718">
        <f>SUM(C1718:G1718)</f>
        <v>0</v>
      </c>
    </row>
    <row r="1719" spans="1:8" x14ac:dyDescent="0.25">
      <c r="A1719" s="5" t="s">
        <v>1715</v>
      </c>
      <c r="B1719" t="str">
        <f>"*"&amp;A1719&amp;"*"</f>
        <v>*2283: Rotation Resistance Not Detected Properly*</v>
      </c>
      <c r="C1719">
        <f>COUNTIF(Monday!I:I, B1719)</f>
        <v>0</v>
      </c>
      <c r="D1719">
        <f>COUNTIF(Tuesday!I:I, B1719)</f>
        <v>0</v>
      </c>
      <c r="E1719">
        <f>COUNTIF(Wednesday!I:I, B1719)</f>
        <v>0</v>
      </c>
      <c r="F1719">
        <f>COUNTIF(Thursday!I:I, B1719)</f>
        <v>0</v>
      </c>
      <c r="G1719">
        <f>COUNTIF(Friday!I:I, B1719)</f>
        <v>0</v>
      </c>
      <c r="H1719">
        <f>SUM(C1719:G1719)</f>
        <v>0</v>
      </c>
    </row>
    <row r="1720" spans="1:8" x14ac:dyDescent="0.25">
      <c r="A1720" s="5" t="s">
        <v>1716</v>
      </c>
      <c r="B1720" t="str">
        <f>"*"&amp;A1720&amp;"*"</f>
        <v>*1505: Failure To Cross Lesion*</v>
      </c>
      <c r="C1720">
        <f>COUNTIF(Monday!I:I, B1720)</f>
        <v>0</v>
      </c>
      <c r="D1720">
        <f>COUNTIF(Tuesday!I:I, B1720)</f>
        <v>0</v>
      </c>
      <c r="E1720">
        <f>COUNTIF(Wednesday!I:I, B1720)</f>
        <v>0</v>
      </c>
      <c r="F1720">
        <f>COUNTIF(Thursday!I:I, B1720)</f>
        <v>0</v>
      </c>
      <c r="G1720">
        <f>COUNTIF(Friday!I:I, B1720)</f>
        <v>0</v>
      </c>
      <c r="H1720">
        <f>SUM(C1720:G1720)</f>
        <v>0</v>
      </c>
    </row>
    <row r="1721" spans="1:8" x14ac:dyDescent="0.25">
      <c r="A1721" s="5" t="s">
        <v>1717</v>
      </c>
      <c r="B1721" t="str">
        <f>"*"&amp;A1721&amp;"*"</f>
        <v>*1704: Incomplete Connection To Control Unit*</v>
      </c>
      <c r="C1721">
        <f>COUNTIF(Monday!I:I, B1721)</f>
        <v>0</v>
      </c>
      <c r="D1721">
        <f>COUNTIF(Tuesday!I:I, B1721)</f>
        <v>0</v>
      </c>
      <c r="E1721">
        <f>COUNTIF(Wednesday!I:I, B1721)</f>
        <v>0</v>
      </c>
      <c r="F1721">
        <f>COUNTIF(Thursday!I:I, B1721)</f>
        <v>0</v>
      </c>
      <c r="G1721">
        <f>COUNTIF(Friday!I:I, B1721)</f>
        <v>0</v>
      </c>
      <c r="H1721">
        <f>SUM(C1721:G1721)</f>
        <v>0</v>
      </c>
    </row>
    <row r="1722" spans="1:8" x14ac:dyDescent="0.25">
      <c r="A1722" s="5" t="s">
        <v>1718</v>
      </c>
      <c r="B1722" t="str">
        <f>"*"&amp;A1722&amp;"*"</f>
        <v>*1514: Failure To Detach*</v>
      </c>
      <c r="C1722">
        <f>COUNTIF(Monday!I:I, B1722)</f>
        <v>0</v>
      </c>
      <c r="D1722">
        <f>COUNTIF(Tuesday!I:I, B1722)</f>
        <v>0</v>
      </c>
      <c r="E1722">
        <f>COUNTIF(Wednesday!I:I, B1722)</f>
        <v>0</v>
      </c>
      <c r="F1722">
        <f>COUNTIF(Thursday!I:I, B1722)</f>
        <v>0</v>
      </c>
      <c r="G1722">
        <f>COUNTIF(Friday!I:I, B1722)</f>
        <v>0</v>
      </c>
      <c r="H1722">
        <f>SUM(C1722:G1722)</f>
        <v>0</v>
      </c>
    </row>
    <row r="1723" spans="1:8" x14ac:dyDescent="0.25">
      <c r="A1723" s="5" t="s">
        <v>1719</v>
      </c>
      <c r="B1723" t="str">
        <f>"*"&amp;A1723&amp;"*"</f>
        <v>*2280: Rotates*</v>
      </c>
      <c r="C1723">
        <f>COUNTIF(Monday!I:I, B1723)</f>
        <v>0</v>
      </c>
      <c r="D1723">
        <f>COUNTIF(Tuesday!I:I, B1723)</f>
        <v>0</v>
      </c>
      <c r="E1723">
        <f>COUNTIF(Wednesday!I:I, B1723)</f>
        <v>0</v>
      </c>
      <c r="F1723">
        <f>COUNTIF(Thursday!I:I, B1723)</f>
        <v>0</v>
      </c>
      <c r="G1723">
        <f>COUNTIF(Friday!I:I, B1723)</f>
        <v>0</v>
      </c>
      <c r="H1723">
        <f>SUM(C1723:G1723)</f>
        <v>0</v>
      </c>
    </row>
    <row r="1724" spans="1:8" x14ac:dyDescent="0.25">
      <c r="A1724" s="5" t="s">
        <v>1720</v>
      </c>
      <c r="B1724" t="str">
        <f>"*"&amp;A1724&amp;"*"</f>
        <v>*1700: Incompatibility Problem*</v>
      </c>
      <c r="C1724">
        <f>COUNTIF(Monday!I:I, B1724)</f>
        <v>0</v>
      </c>
      <c r="D1724">
        <f>COUNTIF(Tuesday!I:I, B1724)</f>
        <v>0</v>
      </c>
      <c r="E1724">
        <f>COUNTIF(Wednesday!I:I, B1724)</f>
        <v>0</v>
      </c>
      <c r="F1724">
        <f>COUNTIF(Thursday!I:I, B1724)</f>
        <v>0</v>
      </c>
      <c r="G1724">
        <f>COUNTIF(Friday!I:I, B1724)</f>
        <v>0</v>
      </c>
      <c r="H1724">
        <f>SUM(C1724:G1724)</f>
        <v>0</v>
      </c>
    </row>
    <row r="1725" spans="1:8" x14ac:dyDescent="0.25">
      <c r="A1725" s="5" t="s">
        <v>1721</v>
      </c>
      <c r="B1725" t="str">
        <f>"*"&amp;A1725&amp;"*"</f>
        <v>*2882: Bent Pins*</v>
      </c>
      <c r="C1725">
        <f>COUNTIF(Monday!I:I, B1725)</f>
        <v>0</v>
      </c>
      <c r="D1725">
        <f>COUNTIF(Tuesday!I:I, B1725)</f>
        <v>0</v>
      </c>
      <c r="E1725">
        <f>COUNTIF(Wednesday!I:I, B1725)</f>
        <v>0</v>
      </c>
      <c r="F1725">
        <f>COUNTIF(Thursday!I:I, B1725)</f>
        <v>0</v>
      </c>
      <c r="G1725">
        <f>COUNTIF(Friday!I:I, B1725)</f>
        <v>0</v>
      </c>
      <c r="H1725">
        <f>SUM(C1725:G1725)</f>
        <v>0</v>
      </c>
    </row>
    <row r="1726" spans="1:8" x14ac:dyDescent="0.25">
      <c r="A1726" s="5" t="s">
        <v>1722</v>
      </c>
      <c r="B1726" t="str">
        <f>"*"&amp;A1726&amp;"*"</f>
        <v>*2883: Cable Damaged/Defective*</v>
      </c>
      <c r="C1726">
        <f>COUNTIF(Monday!I:I, B1726)</f>
        <v>0</v>
      </c>
      <c r="D1726">
        <f>COUNTIF(Tuesday!I:I, B1726)</f>
        <v>0</v>
      </c>
      <c r="E1726">
        <f>COUNTIF(Wednesday!I:I, B1726)</f>
        <v>0</v>
      </c>
      <c r="F1726">
        <f>COUNTIF(Thursday!I:I, B1726)</f>
        <v>0</v>
      </c>
      <c r="G1726">
        <f>COUNTIF(Friday!I:I, B1726)</f>
        <v>0</v>
      </c>
      <c r="H1726">
        <f>SUM(C1726:G1726)</f>
        <v>0</v>
      </c>
    </row>
    <row r="1727" spans="1:8" x14ac:dyDescent="0.25">
      <c r="A1727" s="5" t="s">
        <v>1723</v>
      </c>
      <c r="B1727" t="str">
        <f>"*"&amp;A1727&amp;"*"</f>
        <v>*2886: Connector Damaged/Defective*</v>
      </c>
      <c r="C1727">
        <f>COUNTIF(Monday!I:I, B1727)</f>
        <v>0</v>
      </c>
      <c r="D1727">
        <f>COUNTIF(Tuesday!I:I, B1727)</f>
        <v>0</v>
      </c>
      <c r="E1727">
        <f>COUNTIF(Wednesday!I:I, B1727)</f>
        <v>0</v>
      </c>
      <c r="F1727">
        <f>COUNTIF(Thursday!I:I, B1727)</f>
        <v>0</v>
      </c>
      <c r="G1727">
        <f>COUNTIF(Friday!I:I, B1727)</f>
        <v>0</v>
      </c>
      <c r="H1727">
        <f>SUM(C1727:G1727)</f>
        <v>0</v>
      </c>
    </row>
    <row r="1728" spans="1:8" x14ac:dyDescent="0.25">
      <c r="A1728" s="5" t="s">
        <v>1724</v>
      </c>
      <c r="B1728" t="str">
        <f>"*"&amp;A1728&amp;"*"</f>
        <v>*2887: Coolant Infusion Pump Alerts*</v>
      </c>
      <c r="C1728">
        <f>COUNTIF(Monday!I:I, B1728)</f>
        <v>0</v>
      </c>
      <c r="D1728">
        <f>COUNTIF(Tuesday!I:I, B1728)</f>
        <v>0</v>
      </c>
      <c r="E1728">
        <f>COUNTIF(Wednesday!I:I, B1728)</f>
        <v>0</v>
      </c>
      <c r="F1728">
        <f>COUNTIF(Thursday!I:I, B1728)</f>
        <v>0</v>
      </c>
      <c r="G1728">
        <f>COUNTIF(Friday!I:I, B1728)</f>
        <v>0</v>
      </c>
      <c r="H1728">
        <f>SUM(C1728:G1728)</f>
        <v>0</v>
      </c>
    </row>
    <row r="1729" spans="1:8" x14ac:dyDescent="0.25">
      <c r="A1729" s="5" t="s">
        <v>1725</v>
      </c>
      <c r="B1729" t="str">
        <f>"*"&amp;A1729&amp;"*"</f>
        <v>*2891: Drug Infusion Pump Alerts*</v>
      </c>
      <c r="C1729">
        <f>COUNTIF(Monday!I:I, B1729)</f>
        <v>0</v>
      </c>
      <c r="D1729">
        <f>COUNTIF(Tuesday!I:I, B1729)</f>
        <v>0</v>
      </c>
      <c r="E1729">
        <f>COUNTIF(Wednesday!I:I, B1729)</f>
        <v>0</v>
      </c>
      <c r="F1729">
        <f>COUNTIF(Thursday!I:I, B1729)</f>
        <v>0</v>
      </c>
      <c r="G1729">
        <f>COUNTIF(Friday!I:I, B1729)</f>
        <v>0</v>
      </c>
      <c r="H1729">
        <f>SUM(C1729:G1729)</f>
        <v>0</v>
      </c>
    </row>
    <row r="1730" spans="1:8" x14ac:dyDescent="0.25">
      <c r="A1730" s="5" t="s">
        <v>1726</v>
      </c>
      <c r="B1730" t="str">
        <f>"*"&amp;A1730&amp;"*"</f>
        <v>*2896: Hub Damaged/Cracked*</v>
      </c>
      <c r="C1730">
        <f>COUNTIF(Monday!I:I, B1730)</f>
        <v>0</v>
      </c>
      <c r="D1730">
        <f>COUNTIF(Tuesday!I:I, B1730)</f>
        <v>0</v>
      </c>
      <c r="E1730">
        <f>COUNTIF(Wednesday!I:I, B1730)</f>
        <v>0</v>
      </c>
      <c r="F1730">
        <f>COUNTIF(Thursday!I:I, B1730)</f>
        <v>0</v>
      </c>
      <c r="G1730">
        <f>COUNTIF(Friday!I:I, B1730)</f>
        <v>0</v>
      </c>
      <c r="H1730">
        <f>SUM(C1730:G1730)</f>
        <v>0</v>
      </c>
    </row>
    <row r="1731" spans="1:8" x14ac:dyDescent="0.25">
      <c r="A1731" s="5" t="s">
        <v>1727</v>
      </c>
      <c r="B1731" t="str">
        <f>"*"&amp;A1731&amp;"*"</f>
        <v>*2901: Manifold Damaged/Cracked*</v>
      </c>
      <c r="C1731">
        <f>COUNTIF(Monday!I:I, B1731)</f>
        <v>0</v>
      </c>
      <c r="D1731">
        <f>COUNTIF(Tuesday!I:I, B1731)</f>
        <v>0</v>
      </c>
      <c r="E1731">
        <f>COUNTIF(Wednesday!I:I, B1731)</f>
        <v>0</v>
      </c>
      <c r="F1731">
        <f>COUNTIF(Thursday!I:I, B1731)</f>
        <v>0</v>
      </c>
      <c r="G1731">
        <f>COUNTIF(Friday!I:I, B1731)</f>
        <v>0</v>
      </c>
      <c r="H1731">
        <f>SUM(C1731:G1731)</f>
        <v>0</v>
      </c>
    </row>
    <row r="1732" spans="1:8" x14ac:dyDescent="0.25">
      <c r="A1732" s="5" t="s">
        <v>1728</v>
      </c>
      <c r="B1732" t="str">
        <f>"*"&amp;A1732&amp;"*"</f>
        <v>*2902: Manifold Leak*</v>
      </c>
      <c r="C1732">
        <f>COUNTIF(Monday!I:I, B1732)</f>
        <v>0</v>
      </c>
      <c r="D1732">
        <f>COUNTIF(Tuesday!I:I, B1732)</f>
        <v>0</v>
      </c>
      <c r="E1732">
        <f>COUNTIF(Wednesday!I:I, B1732)</f>
        <v>0</v>
      </c>
      <c r="F1732">
        <f>COUNTIF(Thursday!I:I, B1732)</f>
        <v>0</v>
      </c>
      <c r="G1732">
        <f>COUNTIF(Friday!I:I, B1732)</f>
        <v>0</v>
      </c>
      <c r="H1732">
        <f>SUM(C1732:G1732)</f>
        <v>0</v>
      </c>
    </row>
    <row r="1733" spans="1:8" x14ac:dyDescent="0.25">
      <c r="A1733" s="5" t="s">
        <v>1729</v>
      </c>
      <c r="B1733" t="str">
        <f>"*"&amp;A1733&amp;"*"</f>
        <v>*2903: Marker Band Dislodged/Detached*</v>
      </c>
      <c r="C1733">
        <f>COUNTIF(Monday!I:I, B1733)</f>
        <v>0</v>
      </c>
      <c r="D1733">
        <f>COUNTIF(Tuesday!I:I, B1733)</f>
        <v>0</v>
      </c>
      <c r="E1733">
        <f>COUNTIF(Wednesday!I:I, B1733)</f>
        <v>0</v>
      </c>
      <c r="F1733">
        <f>COUNTIF(Thursday!I:I, B1733)</f>
        <v>0</v>
      </c>
      <c r="G1733">
        <f>COUNTIF(Friday!I:I, B1733)</f>
        <v>0</v>
      </c>
      <c r="H1733">
        <f>SUM(C1733:G1733)</f>
        <v>0</v>
      </c>
    </row>
    <row r="1734" spans="1:8" x14ac:dyDescent="0.25">
      <c r="A1734" s="5" t="s">
        <v>1730</v>
      </c>
      <c r="B1734" t="str">
        <f>"*"&amp;A1734&amp;"*"</f>
        <v>*2921: Obstruction Within Device - Coolant*</v>
      </c>
      <c r="C1734">
        <f>COUNTIF(Monday!I:I, B1734)</f>
        <v>0</v>
      </c>
      <c r="D1734">
        <f>COUNTIF(Tuesday!I:I, B1734)</f>
        <v>0</v>
      </c>
      <c r="E1734">
        <f>COUNTIF(Wednesday!I:I, B1734)</f>
        <v>0</v>
      </c>
      <c r="F1734">
        <f>COUNTIF(Thursday!I:I, B1734)</f>
        <v>0</v>
      </c>
      <c r="G1734">
        <f>COUNTIF(Friday!I:I, B1734)</f>
        <v>0</v>
      </c>
      <c r="H1734">
        <f>SUM(C1734:G1734)</f>
        <v>0</v>
      </c>
    </row>
    <row r="1735" spans="1:8" x14ac:dyDescent="0.25">
      <c r="A1735" s="5" t="s">
        <v>1731</v>
      </c>
      <c r="B1735" t="str">
        <f>"*"&amp;A1735&amp;"*"</f>
        <v>*2922: Obstruction Within Device - Drug*</v>
      </c>
      <c r="C1735">
        <f>COUNTIF(Monday!I:I, B1735)</f>
        <v>0</v>
      </c>
      <c r="D1735">
        <f>COUNTIF(Tuesday!I:I, B1735)</f>
        <v>0</v>
      </c>
      <c r="E1735">
        <f>COUNTIF(Wednesday!I:I, B1735)</f>
        <v>0</v>
      </c>
      <c r="F1735">
        <f>COUNTIF(Thursday!I:I, B1735)</f>
        <v>0</v>
      </c>
      <c r="G1735">
        <f>COUNTIF(Friday!I:I, B1735)</f>
        <v>0</v>
      </c>
      <c r="H1735">
        <f>SUM(C1735:G1735)</f>
        <v>0</v>
      </c>
    </row>
    <row r="1736" spans="1:8" x14ac:dyDescent="0.25">
      <c r="A1736" s="5" t="s">
        <v>1732</v>
      </c>
      <c r="B1736" t="str">
        <f>"*"&amp;A1736&amp;"*"</f>
        <v>*2934: Marker Band Misaligned*</v>
      </c>
      <c r="C1736">
        <f>COUNTIF(Monday!I:I, B1736)</f>
        <v>0</v>
      </c>
      <c r="D1736">
        <f>COUNTIF(Tuesday!I:I, B1736)</f>
        <v>0</v>
      </c>
      <c r="E1736">
        <f>COUNTIF(Wednesday!I:I, B1736)</f>
        <v>0</v>
      </c>
      <c r="F1736">
        <f>COUNTIF(Thursday!I:I, B1736)</f>
        <v>0</v>
      </c>
      <c r="G1736">
        <f>COUNTIF(Friday!I:I, B1736)</f>
        <v>0</v>
      </c>
      <c r="H1736">
        <f>SUM(C1736:G1736)</f>
        <v>0</v>
      </c>
    </row>
    <row r="1737" spans="1:8" x14ac:dyDescent="0.25">
      <c r="A1737" s="5" t="s">
        <v>1733</v>
      </c>
      <c r="B1737" t="str">
        <f>"*"&amp;A1737&amp;"*"</f>
        <v>*2935: Marker Band Not Visible*</v>
      </c>
      <c r="C1737">
        <f>COUNTIF(Monday!I:I, B1737)</f>
        <v>0</v>
      </c>
      <c r="D1737">
        <f>COUNTIF(Tuesday!I:I, B1737)</f>
        <v>0</v>
      </c>
      <c r="E1737">
        <f>COUNTIF(Wednesday!I:I, B1737)</f>
        <v>0</v>
      </c>
      <c r="F1737">
        <f>COUNTIF(Thursday!I:I, B1737)</f>
        <v>0</v>
      </c>
      <c r="G1737">
        <f>COUNTIF(Friday!I:I, B1737)</f>
        <v>0</v>
      </c>
      <c r="H1737">
        <f>SUM(C1737:G1737)</f>
        <v>0</v>
      </c>
    </row>
    <row r="1738" spans="1:8" x14ac:dyDescent="0.25">
      <c r="A1738" s="5" t="s">
        <v>1734</v>
      </c>
      <c r="B1738" t="str">
        <f>"*"&amp;A1738&amp;"*"</f>
        <v>*2928: Startup Issue - Temperature Event*</v>
      </c>
      <c r="C1738">
        <f>COUNTIF(Monday!I:I, B1738)</f>
        <v>0</v>
      </c>
      <c r="D1738">
        <f>COUNTIF(Tuesday!I:I, B1738)</f>
        <v>0</v>
      </c>
      <c r="E1738">
        <f>COUNTIF(Wednesday!I:I, B1738)</f>
        <v>0</v>
      </c>
      <c r="F1738">
        <f>COUNTIF(Thursday!I:I, B1738)</f>
        <v>0</v>
      </c>
      <c r="G1738">
        <f>COUNTIF(Friday!I:I, B1738)</f>
        <v>0</v>
      </c>
      <c r="H1738">
        <f>SUM(C1738:G1738)</f>
        <v>0</v>
      </c>
    </row>
    <row r="1739" spans="1:8" x14ac:dyDescent="0.25">
      <c r="A1739" s="5" t="s">
        <v>1735</v>
      </c>
      <c r="B1739" t="str">
        <f>"*"&amp;A1739&amp;"*"</f>
        <v>*2893: Failure To Deliver Ultrasound*</v>
      </c>
      <c r="C1739">
        <f>COUNTIF(Monday!I:I, B1739)</f>
        <v>0</v>
      </c>
      <c r="D1739">
        <f>COUNTIF(Tuesday!I:I, B1739)</f>
        <v>0</v>
      </c>
      <c r="E1739">
        <f>COUNTIF(Wednesday!I:I, B1739)</f>
        <v>0</v>
      </c>
      <c r="F1739">
        <f>COUNTIF(Thursday!I:I, B1739)</f>
        <v>0</v>
      </c>
      <c r="G1739">
        <f>COUNTIF(Friday!I:I, B1739)</f>
        <v>0</v>
      </c>
      <c r="H1739">
        <f>SUM(C1739:G1739)</f>
        <v>0</v>
      </c>
    </row>
    <row r="1740" spans="1:8" x14ac:dyDescent="0.25">
      <c r="A1740" s="5" t="s">
        <v>1736</v>
      </c>
      <c r="B1740" t="str">
        <f>"*"&amp;A1740&amp;"*"</f>
        <v>*2904: Message - All MSD Groups Disabled Alert*</v>
      </c>
      <c r="C1740">
        <f>COUNTIF(Monday!I:I, B1740)</f>
        <v>0</v>
      </c>
      <c r="D1740">
        <f>COUNTIF(Tuesday!I:I, B1740)</f>
        <v>0</v>
      </c>
      <c r="E1740">
        <f>COUNTIF(Wednesday!I:I, B1740)</f>
        <v>0</v>
      </c>
      <c r="F1740">
        <f>COUNTIF(Thursday!I:I, B1740)</f>
        <v>0</v>
      </c>
      <c r="G1740">
        <f>COUNTIF(Friday!I:I, B1740)</f>
        <v>0</v>
      </c>
      <c r="H1740">
        <f>SUM(C1740:G1740)</f>
        <v>0</v>
      </c>
    </row>
    <row r="1741" spans="1:8" x14ac:dyDescent="0.25">
      <c r="A1741" s="5" t="s">
        <v>1737</v>
      </c>
      <c r="B1741" t="str">
        <f>"*"&amp;A1741&amp;"*"</f>
        <v>*2905: Message - Catheter Mismatch Alert*</v>
      </c>
      <c r="C1741">
        <f>COUNTIF(Monday!I:I, B1741)</f>
        <v>0</v>
      </c>
      <c r="D1741">
        <f>COUNTIF(Tuesday!I:I, B1741)</f>
        <v>0</v>
      </c>
      <c r="E1741">
        <f>COUNTIF(Wednesday!I:I, B1741)</f>
        <v>0</v>
      </c>
      <c r="F1741">
        <f>COUNTIF(Thursday!I:I, B1741)</f>
        <v>0</v>
      </c>
      <c r="G1741">
        <f>COUNTIF(Friday!I:I, B1741)</f>
        <v>0</v>
      </c>
      <c r="H1741">
        <f>SUM(C1741:G1741)</f>
        <v>0</v>
      </c>
    </row>
    <row r="1742" spans="1:8" x14ac:dyDescent="0.25">
      <c r="A1742" s="5" t="s">
        <v>1738</v>
      </c>
      <c r="B1742" t="str">
        <f>"*"&amp;A1742&amp;"*"</f>
        <v>*2906: Message - Console Hardware Broken/Failure*</v>
      </c>
      <c r="C1742">
        <f>COUNTIF(Monday!I:I, B1742)</f>
        <v>0</v>
      </c>
      <c r="D1742">
        <f>COUNTIF(Tuesday!I:I, B1742)</f>
        <v>0</v>
      </c>
      <c r="E1742">
        <f>COUNTIF(Wednesday!I:I, B1742)</f>
        <v>0</v>
      </c>
      <c r="F1742">
        <f>COUNTIF(Thursday!I:I, B1742)</f>
        <v>0</v>
      </c>
      <c r="G1742">
        <f>COUNTIF(Friday!I:I, B1742)</f>
        <v>0</v>
      </c>
      <c r="H1742">
        <f>SUM(C1742:G1742)</f>
        <v>0</v>
      </c>
    </row>
    <row r="1743" spans="1:8" x14ac:dyDescent="0.25">
      <c r="A1743" s="5" t="s">
        <v>1739</v>
      </c>
      <c r="B1743" t="str">
        <f>"*"&amp;A1743&amp;"*"</f>
        <v>*2910: Message - Console Software Not Correct*</v>
      </c>
      <c r="C1743">
        <f>COUNTIF(Monday!I:I, B1743)</f>
        <v>0</v>
      </c>
      <c r="D1743">
        <f>COUNTIF(Tuesday!I:I, B1743)</f>
        <v>0</v>
      </c>
      <c r="E1743">
        <f>COUNTIF(Wednesday!I:I, B1743)</f>
        <v>0</v>
      </c>
      <c r="F1743">
        <f>COUNTIF(Thursday!I:I, B1743)</f>
        <v>0</v>
      </c>
      <c r="G1743">
        <f>COUNTIF(Friday!I:I, B1743)</f>
        <v>0</v>
      </c>
      <c r="H1743">
        <f>SUM(C1743:G1743)</f>
        <v>0</v>
      </c>
    </row>
    <row r="1744" spans="1:8" x14ac:dyDescent="0.25">
      <c r="A1744" s="5" t="s">
        <v>1740</v>
      </c>
      <c r="B1744" t="str">
        <f>"*"&amp;A1744&amp;"*"</f>
        <v>*2912: Message - MSD Not Detected Alert*</v>
      </c>
      <c r="C1744">
        <f>COUNTIF(Monday!I:I, B1744)</f>
        <v>0</v>
      </c>
      <c r="D1744">
        <f>COUNTIF(Tuesday!I:I, B1744)</f>
        <v>0</v>
      </c>
      <c r="E1744">
        <f>COUNTIF(Wednesday!I:I, B1744)</f>
        <v>0</v>
      </c>
      <c r="F1744">
        <f>COUNTIF(Thursday!I:I, B1744)</f>
        <v>0</v>
      </c>
      <c r="G1744">
        <f>COUNTIF(Friday!I:I, B1744)</f>
        <v>0</v>
      </c>
      <c r="H1744">
        <f>SUM(C1744:G1744)</f>
        <v>0</v>
      </c>
    </row>
    <row r="1745" spans="1:8" x14ac:dyDescent="0.25">
      <c r="A1745" s="5" t="s">
        <v>1741</v>
      </c>
      <c r="B1745" t="str">
        <f>"*"&amp;A1745&amp;"*"</f>
        <v>*2913: Message - MSD Withdrawal Detection Alert*</v>
      </c>
      <c r="C1745">
        <f>COUNTIF(Monday!I:I, B1745)</f>
        <v>0</v>
      </c>
      <c r="D1745">
        <f>COUNTIF(Tuesday!I:I, B1745)</f>
        <v>0</v>
      </c>
      <c r="E1745">
        <f>COUNTIF(Wednesday!I:I, B1745)</f>
        <v>0</v>
      </c>
      <c r="F1745">
        <f>COUNTIF(Thursday!I:I, B1745)</f>
        <v>0</v>
      </c>
      <c r="G1745">
        <f>COUNTIF(Friday!I:I, B1745)</f>
        <v>0</v>
      </c>
      <c r="H1745">
        <f>SUM(C1745:G1745)</f>
        <v>0</v>
      </c>
    </row>
    <row r="1746" spans="1:8" x14ac:dyDescent="0.25">
      <c r="A1746" s="5" t="s">
        <v>1742</v>
      </c>
      <c r="B1746" t="str">
        <f>"*"&amp;A1746&amp;"*"</f>
        <v>*2914: Message - White C Red Thermometer Alert*</v>
      </c>
      <c r="C1746">
        <f>COUNTIF(Monday!I:I, B1746)</f>
        <v>0</v>
      </c>
      <c r="D1746">
        <f>COUNTIF(Tuesday!I:I, B1746)</f>
        <v>0</v>
      </c>
      <c r="E1746">
        <f>COUNTIF(Wednesday!I:I, B1746)</f>
        <v>0</v>
      </c>
      <c r="F1746">
        <f>COUNTIF(Thursday!I:I, B1746)</f>
        <v>0</v>
      </c>
      <c r="G1746">
        <f>COUNTIF(Friday!I:I, B1746)</f>
        <v>0</v>
      </c>
      <c r="H1746">
        <f>SUM(C1746:G1746)</f>
        <v>0</v>
      </c>
    </row>
    <row r="1747" spans="1:8" x14ac:dyDescent="0.25">
      <c r="A1747" s="5" t="s">
        <v>1743</v>
      </c>
      <c r="B1747" t="str">
        <f>"*"&amp;A1747&amp;"*"</f>
        <v>*2915: Message - Red W White A Alert*</v>
      </c>
      <c r="C1747">
        <f>COUNTIF(Monday!I:I, B1747)</f>
        <v>0</v>
      </c>
      <c r="D1747">
        <f>COUNTIF(Tuesday!I:I, B1747)</f>
        <v>0</v>
      </c>
      <c r="E1747">
        <f>COUNTIF(Wednesday!I:I, B1747)</f>
        <v>0</v>
      </c>
      <c r="F1747">
        <f>COUNTIF(Thursday!I:I, B1747)</f>
        <v>0</v>
      </c>
      <c r="G1747">
        <f>COUNTIF(Friday!I:I, B1747)</f>
        <v>0</v>
      </c>
      <c r="H1747">
        <f>SUM(C1747:G1747)</f>
        <v>0</v>
      </c>
    </row>
    <row r="1748" spans="1:8" x14ac:dyDescent="0.25">
      <c r="A1748" s="5" t="s">
        <v>1744</v>
      </c>
      <c r="B1748" t="str">
        <f>"*"&amp;A1748&amp;"*"</f>
        <v>*2916: Message - Red W White P Alert*</v>
      </c>
      <c r="C1748">
        <f>COUNTIF(Monday!I:I, B1748)</f>
        <v>0</v>
      </c>
      <c r="D1748">
        <f>COUNTIF(Tuesday!I:I, B1748)</f>
        <v>0</v>
      </c>
      <c r="E1748">
        <f>COUNTIF(Wednesday!I:I, B1748)</f>
        <v>0</v>
      </c>
      <c r="F1748">
        <f>COUNTIF(Thursday!I:I, B1748)</f>
        <v>0</v>
      </c>
      <c r="G1748">
        <f>COUNTIF(Friday!I:I, B1748)</f>
        <v>0</v>
      </c>
      <c r="H1748">
        <f>SUM(C1748:G1748)</f>
        <v>0</v>
      </c>
    </row>
    <row r="1749" spans="1:8" x14ac:dyDescent="0.25">
      <c r="A1749" s="5" t="s">
        <v>1745</v>
      </c>
      <c r="B1749" t="str">
        <f>"*"&amp;A1749&amp;"*"</f>
        <v>*2939: Error_Alternating Device Temperature*</v>
      </c>
      <c r="C1749">
        <f>COUNTIF(Monday!I:I, B1749)</f>
        <v>0</v>
      </c>
      <c r="D1749">
        <f>COUNTIF(Tuesday!I:I, B1749)</f>
        <v>0</v>
      </c>
      <c r="E1749">
        <f>COUNTIF(Wednesday!I:I, B1749)</f>
        <v>0</v>
      </c>
      <c r="F1749">
        <f>COUNTIF(Thursday!I:I, B1749)</f>
        <v>0</v>
      </c>
      <c r="G1749">
        <f>COUNTIF(Friday!I:I, B1749)</f>
        <v>0</v>
      </c>
      <c r="H1749">
        <f>SUM(C1749:G1749)</f>
        <v>0</v>
      </c>
    </row>
    <row r="1750" spans="1:8" x14ac:dyDescent="0.25">
      <c r="A1750" s="5" t="s">
        <v>1746</v>
      </c>
      <c r="B1750" t="str">
        <f>"*"&amp;A1750&amp;"*"</f>
        <v>*2940: Error_Battery Error*</v>
      </c>
      <c r="C1750">
        <f>COUNTIF(Monday!I:I, B1750)</f>
        <v>0</v>
      </c>
      <c r="D1750">
        <f>COUNTIF(Tuesday!I:I, B1750)</f>
        <v>0</v>
      </c>
      <c r="E1750">
        <f>COUNTIF(Wednesday!I:I, B1750)</f>
        <v>0</v>
      </c>
      <c r="F1750">
        <f>COUNTIF(Thursday!I:I, B1750)</f>
        <v>0</v>
      </c>
      <c r="G1750">
        <f>COUNTIF(Friday!I:I, B1750)</f>
        <v>0</v>
      </c>
      <c r="H1750">
        <f>SUM(C1750:G1750)</f>
        <v>0</v>
      </c>
    </row>
    <row r="1751" spans="1:8" x14ac:dyDescent="0.25">
      <c r="A1751" s="5" t="s">
        <v>1747</v>
      </c>
      <c r="B1751" t="str">
        <f>"*"&amp;A1751&amp;"*"</f>
        <v>*2941: Error_CIC Not Compatible*</v>
      </c>
      <c r="C1751">
        <f>COUNTIF(Monday!I:I, B1751)</f>
        <v>0</v>
      </c>
      <c r="D1751">
        <f>COUNTIF(Tuesday!I:I, B1751)</f>
        <v>0</v>
      </c>
      <c r="E1751">
        <f>COUNTIF(Wednesday!I:I, B1751)</f>
        <v>0</v>
      </c>
      <c r="F1751">
        <f>COUNTIF(Thursday!I:I, B1751)</f>
        <v>0</v>
      </c>
      <c r="G1751">
        <f>COUNTIF(Friday!I:I, B1751)</f>
        <v>0</v>
      </c>
      <c r="H1751">
        <f>SUM(C1751:G1751)</f>
        <v>0</v>
      </c>
    </row>
    <row r="1752" spans="1:8" x14ac:dyDescent="0.25">
      <c r="A1752" s="5" t="s">
        <v>1748</v>
      </c>
      <c r="B1752" t="str">
        <f>"*"&amp;A1752&amp;"*"</f>
        <v>*2942: Error_CIC Not Connected*</v>
      </c>
      <c r="C1752">
        <f>COUNTIF(Monday!I:I, B1752)</f>
        <v>0</v>
      </c>
      <c r="D1752">
        <f>COUNTIF(Tuesday!I:I, B1752)</f>
        <v>0</v>
      </c>
      <c r="E1752">
        <f>COUNTIF(Wednesday!I:I, B1752)</f>
        <v>0</v>
      </c>
      <c r="F1752">
        <f>COUNTIF(Thursday!I:I, B1752)</f>
        <v>0</v>
      </c>
      <c r="G1752">
        <f>COUNTIF(Friday!I:I, B1752)</f>
        <v>0</v>
      </c>
      <c r="H1752">
        <f>SUM(C1752:G1752)</f>
        <v>0</v>
      </c>
    </row>
    <row r="1753" spans="1:8" x14ac:dyDescent="0.25">
      <c r="A1753" s="5" t="s">
        <v>1749</v>
      </c>
      <c r="B1753" t="str">
        <f>"*"&amp;A1753&amp;"*"</f>
        <v>*2943: Error_CIC Not Functional*</v>
      </c>
      <c r="C1753">
        <f>COUNTIF(Monday!I:I, B1753)</f>
        <v>0</v>
      </c>
      <c r="D1753">
        <f>COUNTIF(Tuesday!I:I, B1753)</f>
        <v>0</v>
      </c>
      <c r="E1753">
        <f>COUNTIF(Wednesday!I:I, B1753)</f>
        <v>0</v>
      </c>
      <c r="F1753">
        <f>COUNTIF(Thursday!I:I, B1753)</f>
        <v>0</v>
      </c>
      <c r="G1753">
        <f>COUNTIF(Friday!I:I, B1753)</f>
        <v>0</v>
      </c>
      <c r="H1753">
        <f>SUM(C1753:G1753)</f>
        <v>0</v>
      </c>
    </row>
    <row r="1754" spans="1:8" x14ac:dyDescent="0.25">
      <c r="A1754" s="5" t="s">
        <v>1750</v>
      </c>
      <c r="B1754" t="str">
        <f>"*"&amp;A1754&amp;"*"</f>
        <v>*2945: Error_Control Unit Temperature Too High*</v>
      </c>
      <c r="C1754">
        <f>COUNTIF(Monday!I:I, B1754)</f>
        <v>0</v>
      </c>
      <c r="D1754">
        <f>COUNTIF(Tuesday!I:I, B1754)</f>
        <v>0</v>
      </c>
      <c r="E1754">
        <f>COUNTIF(Wednesday!I:I, B1754)</f>
        <v>0</v>
      </c>
      <c r="F1754">
        <f>COUNTIF(Thursday!I:I, B1754)</f>
        <v>0</v>
      </c>
      <c r="G1754">
        <f>COUNTIF(Friday!I:I, B1754)</f>
        <v>0</v>
      </c>
      <c r="H1754">
        <f>SUM(C1754:G1754)</f>
        <v>0</v>
      </c>
    </row>
    <row r="1755" spans="1:8" x14ac:dyDescent="0.25">
      <c r="A1755" s="5" t="s">
        <v>1751</v>
      </c>
      <c r="B1755" t="str">
        <f>"*"&amp;A1755&amp;"*"</f>
        <v>*2946: Error_Control Unit Temperature Too Low*</v>
      </c>
      <c r="C1755">
        <f>COUNTIF(Monday!I:I, B1755)</f>
        <v>0</v>
      </c>
      <c r="D1755">
        <f>COUNTIF(Tuesday!I:I, B1755)</f>
        <v>0</v>
      </c>
      <c r="E1755">
        <f>COUNTIF(Wednesday!I:I, B1755)</f>
        <v>0</v>
      </c>
      <c r="F1755">
        <f>COUNTIF(Thursday!I:I, B1755)</f>
        <v>0</v>
      </c>
      <c r="G1755">
        <f>COUNTIF(Friday!I:I, B1755)</f>
        <v>0</v>
      </c>
      <c r="H1755">
        <f>SUM(C1755:G1755)</f>
        <v>0</v>
      </c>
    </row>
    <row r="1756" spans="1:8" x14ac:dyDescent="0.25">
      <c r="A1756" s="5" t="s">
        <v>1752</v>
      </c>
      <c r="B1756" t="str">
        <f>"*"&amp;A1756&amp;"*"</f>
        <v>*2947: Error_Data Storage Error*</v>
      </c>
      <c r="C1756">
        <f>COUNTIF(Monday!I:I, B1756)</f>
        <v>0</v>
      </c>
      <c r="D1756">
        <f>COUNTIF(Tuesday!I:I, B1756)</f>
        <v>0</v>
      </c>
      <c r="E1756">
        <f>COUNTIF(Wednesday!I:I, B1756)</f>
        <v>0</v>
      </c>
      <c r="F1756">
        <f>COUNTIF(Thursday!I:I, B1756)</f>
        <v>0</v>
      </c>
      <c r="G1756">
        <f>COUNTIF(Friday!I:I, B1756)</f>
        <v>0</v>
      </c>
      <c r="H1756">
        <f>SUM(C1756:G1756)</f>
        <v>0</v>
      </c>
    </row>
    <row r="1757" spans="1:8" x14ac:dyDescent="0.25">
      <c r="A1757" s="5" t="s">
        <v>1753</v>
      </c>
      <c r="B1757" t="str">
        <f>"*"&amp;A1757&amp;"*"</f>
        <v>*2948: Message - White C Blue Thermometer Alert*</v>
      </c>
      <c r="C1757">
        <f>COUNTIF(Monday!I:I, B1757)</f>
        <v>0</v>
      </c>
      <c r="D1757">
        <f>COUNTIF(Tuesday!I:I, B1757)</f>
        <v>0</v>
      </c>
      <c r="E1757">
        <f>COUNTIF(Wednesday!I:I, B1757)</f>
        <v>0</v>
      </c>
      <c r="F1757">
        <f>COUNTIF(Thursday!I:I, B1757)</f>
        <v>0</v>
      </c>
      <c r="G1757">
        <f>COUNTIF(Friday!I:I, B1757)</f>
        <v>0</v>
      </c>
      <c r="H1757">
        <f>SUM(C1757:G1757)</f>
        <v>0</v>
      </c>
    </row>
    <row r="1758" spans="1:8" x14ac:dyDescent="0.25">
      <c r="A1758" s="5" t="s">
        <v>1754</v>
      </c>
      <c r="B1758" t="str">
        <f>"*"&amp;A1758&amp;"*"</f>
        <v>*2949: Error_E003_Battery Discharged*</v>
      </c>
      <c r="C1758">
        <f>COUNTIF(Monday!I:I, B1758)</f>
        <v>0</v>
      </c>
      <c r="D1758">
        <f>COUNTIF(Tuesday!I:I, B1758)</f>
        <v>0</v>
      </c>
      <c r="E1758">
        <f>COUNTIF(Wednesday!I:I, B1758)</f>
        <v>0</v>
      </c>
      <c r="F1758">
        <f>COUNTIF(Thursday!I:I, B1758)</f>
        <v>0</v>
      </c>
      <c r="G1758">
        <f>COUNTIF(Friday!I:I, B1758)</f>
        <v>0</v>
      </c>
      <c r="H1758">
        <f>SUM(C1758:G1758)</f>
        <v>0</v>
      </c>
    </row>
    <row r="1759" spans="1:8" x14ac:dyDescent="0.25">
      <c r="A1759" s="5" t="s">
        <v>1755</v>
      </c>
      <c r="B1759" t="str">
        <f>"*"&amp;A1759&amp;"*"</f>
        <v>*2950: Error_E004 _Chassis Temperature Too High*</v>
      </c>
      <c r="C1759">
        <f>COUNTIF(Monday!I:I, B1759)</f>
        <v>0</v>
      </c>
      <c r="D1759">
        <f>COUNTIF(Tuesday!I:I, B1759)</f>
        <v>0</v>
      </c>
      <c r="E1759">
        <f>COUNTIF(Wednesday!I:I, B1759)</f>
        <v>0</v>
      </c>
      <c r="F1759">
        <f>COUNTIF(Thursday!I:I, B1759)</f>
        <v>0</v>
      </c>
      <c r="G1759">
        <f>COUNTIF(Friday!I:I, B1759)</f>
        <v>0</v>
      </c>
      <c r="H1759">
        <f>SUM(C1759:G1759)</f>
        <v>0</v>
      </c>
    </row>
    <row r="1760" spans="1:8" x14ac:dyDescent="0.25">
      <c r="A1760" s="5" t="s">
        <v>1756</v>
      </c>
      <c r="B1760" t="str">
        <f>"*"&amp;A1760&amp;"*"</f>
        <v>*2951: Error_E005 _Chassis Temperature Too Low*</v>
      </c>
      <c r="C1760">
        <f>COUNTIF(Monday!I:I, B1760)</f>
        <v>0</v>
      </c>
      <c r="D1760">
        <f>COUNTIF(Tuesday!I:I, B1760)</f>
        <v>0</v>
      </c>
      <c r="E1760">
        <f>COUNTIF(Wednesday!I:I, B1760)</f>
        <v>0</v>
      </c>
      <c r="F1760">
        <f>COUNTIF(Thursday!I:I, B1760)</f>
        <v>0</v>
      </c>
      <c r="G1760">
        <f>COUNTIF(Friday!I:I, B1760)</f>
        <v>0</v>
      </c>
      <c r="H1760">
        <f>SUM(C1760:G1760)</f>
        <v>0</v>
      </c>
    </row>
    <row r="1761" spans="1:8" x14ac:dyDescent="0.25">
      <c r="A1761" s="5" t="s">
        <v>1757</v>
      </c>
      <c r="B1761" t="str">
        <f>"*"&amp;A1761&amp;"*"</f>
        <v>*2952: Error_E006 _Channel Cross Connection*</v>
      </c>
      <c r="C1761">
        <f>COUNTIF(Monday!I:I, B1761)</f>
        <v>0</v>
      </c>
      <c r="D1761">
        <f>COUNTIF(Tuesday!I:I, B1761)</f>
        <v>0</v>
      </c>
      <c r="E1761">
        <f>COUNTIF(Wednesday!I:I, B1761)</f>
        <v>0</v>
      </c>
      <c r="F1761">
        <f>COUNTIF(Thursday!I:I, B1761)</f>
        <v>0</v>
      </c>
      <c r="G1761">
        <f>COUNTIF(Friday!I:I, B1761)</f>
        <v>0</v>
      </c>
      <c r="H1761">
        <f>SUM(C1761:G1761)</f>
        <v>0</v>
      </c>
    </row>
    <row r="1762" spans="1:8" x14ac:dyDescent="0.25">
      <c r="A1762" s="5" t="s">
        <v>1758</v>
      </c>
      <c r="B1762" t="str">
        <f>"*"&amp;A1762&amp;"*"</f>
        <v>*2953: Error_E007 _RF Detected While Ultrasound Off*</v>
      </c>
      <c r="C1762">
        <f>COUNTIF(Monday!I:I, B1762)</f>
        <v>0</v>
      </c>
      <c r="D1762">
        <f>COUNTIF(Tuesday!I:I, B1762)</f>
        <v>0</v>
      </c>
      <c r="E1762">
        <f>COUNTIF(Wednesday!I:I, B1762)</f>
        <v>0</v>
      </c>
      <c r="F1762">
        <f>COUNTIF(Thursday!I:I, B1762)</f>
        <v>0</v>
      </c>
      <c r="G1762">
        <f>COUNTIF(Friday!I:I, B1762)</f>
        <v>0</v>
      </c>
      <c r="H1762">
        <f>SUM(C1762:G1762)</f>
        <v>0</v>
      </c>
    </row>
    <row r="1763" spans="1:8" x14ac:dyDescent="0.25">
      <c r="A1763" s="5" t="s">
        <v>1759</v>
      </c>
      <c r="B1763" t="str">
        <f>"*"&amp;A1763&amp;"*"</f>
        <v>*2954: Error_E008 _Battery/Charge Fault*</v>
      </c>
      <c r="C1763">
        <f>COUNTIF(Monday!I:I, B1763)</f>
        <v>0</v>
      </c>
      <c r="D1763">
        <f>COUNTIF(Tuesday!I:I, B1763)</f>
        <v>0</v>
      </c>
      <c r="E1763">
        <f>COUNTIF(Wednesday!I:I, B1763)</f>
        <v>0</v>
      </c>
      <c r="F1763">
        <f>COUNTIF(Thursday!I:I, B1763)</f>
        <v>0</v>
      </c>
      <c r="G1763">
        <f>COUNTIF(Friday!I:I, B1763)</f>
        <v>0</v>
      </c>
      <c r="H1763">
        <f>SUM(C1763:G1763)</f>
        <v>0</v>
      </c>
    </row>
    <row r="1764" spans="1:8" x14ac:dyDescent="0.25">
      <c r="A1764" s="5" t="s">
        <v>1760</v>
      </c>
      <c r="B1764" t="str">
        <f>"*"&amp;A1764&amp;"*"</f>
        <v>*2955: Error_E300 _Infusion Catheter Not Present*</v>
      </c>
      <c r="C1764">
        <f>COUNTIF(Monday!I:I, B1764)</f>
        <v>0</v>
      </c>
      <c r="D1764">
        <f>COUNTIF(Tuesday!I:I, B1764)</f>
        <v>0</v>
      </c>
      <c r="E1764">
        <f>COUNTIF(Wednesday!I:I, B1764)</f>
        <v>0</v>
      </c>
      <c r="F1764">
        <f>COUNTIF(Thursday!I:I, B1764)</f>
        <v>0</v>
      </c>
      <c r="G1764">
        <f>COUNTIF(Friday!I:I, B1764)</f>
        <v>0</v>
      </c>
      <c r="H1764">
        <f>SUM(C1764:G1764)</f>
        <v>0</v>
      </c>
    </row>
    <row r="1765" spans="1:8" x14ac:dyDescent="0.25">
      <c r="A1765" s="5" t="s">
        <v>1761</v>
      </c>
      <c r="B1765" t="str">
        <f>"*"&amp;A1765&amp;"*"</f>
        <v>*2956: Error_E301 _Infusion Catheter Invalid*</v>
      </c>
      <c r="C1765">
        <f>COUNTIF(Monday!I:I, B1765)</f>
        <v>0</v>
      </c>
      <c r="D1765">
        <f>COUNTIF(Tuesday!I:I, B1765)</f>
        <v>0</v>
      </c>
      <c r="E1765">
        <f>COUNTIF(Wednesday!I:I, B1765)</f>
        <v>0</v>
      </c>
      <c r="F1765">
        <f>COUNTIF(Thursday!I:I, B1765)</f>
        <v>0</v>
      </c>
      <c r="G1765">
        <f>COUNTIF(Friday!I:I, B1765)</f>
        <v>0</v>
      </c>
      <c r="H1765">
        <f>SUM(C1765:G1765)</f>
        <v>0</v>
      </c>
    </row>
    <row r="1766" spans="1:8" x14ac:dyDescent="0.25">
      <c r="A1766" s="5" t="s">
        <v>1762</v>
      </c>
      <c r="B1766" t="str">
        <f>"*"&amp;A1766&amp;"*"</f>
        <v>*2957: Error_E302 _Ultrasonic Core Not Present*</v>
      </c>
      <c r="C1766">
        <f>COUNTIF(Monday!I:I, B1766)</f>
        <v>0</v>
      </c>
      <c r="D1766">
        <f>COUNTIF(Tuesday!I:I, B1766)</f>
        <v>0</v>
      </c>
      <c r="E1766">
        <f>COUNTIF(Wednesday!I:I, B1766)</f>
        <v>0</v>
      </c>
      <c r="F1766">
        <f>COUNTIF(Thursday!I:I, B1766)</f>
        <v>0</v>
      </c>
      <c r="G1766">
        <f>COUNTIF(Friday!I:I, B1766)</f>
        <v>0</v>
      </c>
      <c r="H1766">
        <f>SUM(C1766:G1766)</f>
        <v>0</v>
      </c>
    </row>
    <row r="1767" spans="1:8" x14ac:dyDescent="0.25">
      <c r="A1767" s="5" t="s">
        <v>1763</v>
      </c>
      <c r="B1767" t="str">
        <f>"*"&amp;A1767&amp;"*"</f>
        <v>*2958: Error_E303 _Ultrasonic Core Invalid*</v>
      </c>
      <c r="C1767">
        <f>COUNTIF(Monday!I:I, B1767)</f>
        <v>0</v>
      </c>
      <c r="D1767">
        <f>COUNTIF(Tuesday!I:I, B1767)</f>
        <v>0</v>
      </c>
      <c r="E1767">
        <f>COUNTIF(Wednesday!I:I, B1767)</f>
        <v>0</v>
      </c>
      <c r="F1767">
        <f>COUNTIF(Thursday!I:I, B1767)</f>
        <v>0</v>
      </c>
      <c r="G1767">
        <f>COUNTIF(Friday!I:I, B1767)</f>
        <v>0</v>
      </c>
      <c r="H1767">
        <f>SUM(C1767:G1767)</f>
        <v>0</v>
      </c>
    </row>
    <row r="1768" spans="1:8" x14ac:dyDescent="0.25">
      <c r="A1768" s="5" t="s">
        <v>1764</v>
      </c>
      <c r="B1768" t="str">
        <f>"*"&amp;A1768&amp;"*"</f>
        <v>*2959: Error_E304 _Incompatibility Of Devices*</v>
      </c>
      <c r="C1768">
        <f>COUNTIF(Monday!I:I, B1768)</f>
        <v>0</v>
      </c>
      <c r="D1768">
        <f>COUNTIF(Tuesday!I:I, B1768)</f>
        <v>0</v>
      </c>
      <c r="E1768">
        <f>COUNTIF(Wednesday!I:I, B1768)</f>
        <v>0</v>
      </c>
      <c r="F1768">
        <f>COUNTIF(Thursday!I:I, B1768)</f>
        <v>0</v>
      </c>
      <c r="G1768">
        <f>COUNTIF(Friday!I:I, B1768)</f>
        <v>0</v>
      </c>
      <c r="H1768">
        <f>SUM(C1768:G1768)</f>
        <v>0</v>
      </c>
    </row>
    <row r="1769" spans="1:8" x14ac:dyDescent="0.25">
      <c r="A1769" s="5" t="s">
        <v>1765</v>
      </c>
      <c r="B1769" t="str">
        <f>"*"&amp;A1769&amp;"*"</f>
        <v>*2960: Error_E306_CIC Not Present*</v>
      </c>
      <c r="C1769">
        <f>COUNTIF(Monday!I:I, B1769)</f>
        <v>0</v>
      </c>
      <c r="D1769">
        <f>COUNTIF(Tuesday!I:I, B1769)</f>
        <v>0</v>
      </c>
      <c r="E1769">
        <f>COUNTIF(Wednesday!I:I, B1769)</f>
        <v>0</v>
      </c>
      <c r="F1769">
        <f>COUNTIF(Thursday!I:I, B1769)</f>
        <v>0</v>
      </c>
      <c r="G1769">
        <f>COUNTIF(Friday!I:I, B1769)</f>
        <v>0</v>
      </c>
      <c r="H1769">
        <f>SUM(C1769:G1769)</f>
        <v>0</v>
      </c>
    </row>
    <row r="1770" spans="1:8" x14ac:dyDescent="0.25">
      <c r="A1770" s="5" t="s">
        <v>1766</v>
      </c>
      <c r="B1770" t="str">
        <f>"*"&amp;A1770&amp;"*"</f>
        <v>*2961: Error_E307_ CIC Invalid/ Faulted*</v>
      </c>
      <c r="C1770">
        <f>COUNTIF(Monday!I:I, B1770)</f>
        <v>0</v>
      </c>
      <c r="D1770">
        <f>COUNTIF(Tuesday!I:I, B1770)</f>
        <v>0</v>
      </c>
      <c r="E1770">
        <f>COUNTIF(Wednesday!I:I, B1770)</f>
        <v>0</v>
      </c>
      <c r="F1770">
        <f>COUNTIF(Thursday!I:I, B1770)</f>
        <v>0</v>
      </c>
      <c r="G1770">
        <f>COUNTIF(Friday!I:I, B1770)</f>
        <v>0</v>
      </c>
      <c r="H1770">
        <f>SUM(C1770:G1770)</f>
        <v>0</v>
      </c>
    </row>
    <row r="1771" spans="1:8" x14ac:dyDescent="0.25">
      <c r="A1771" s="5" t="s">
        <v>1767</v>
      </c>
      <c r="B1771" t="str">
        <f>"*"&amp;A1771&amp;"*"</f>
        <v>*2962: Error_E309_ Device Temperature Insufficient*</v>
      </c>
      <c r="C1771">
        <f>COUNTIF(Monday!I:I, B1771)</f>
        <v>0</v>
      </c>
      <c r="D1771">
        <f>COUNTIF(Tuesday!I:I, B1771)</f>
        <v>0</v>
      </c>
      <c r="E1771">
        <f>COUNTIF(Wednesday!I:I, B1771)</f>
        <v>0</v>
      </c>
      <c r="F1771">
        <f>COUNTIF(Thursday!I:I, B1771)</f>
        <v>0</v>
      </c>
      <c r="G1771">
        <f>COUNTIF(Friday!I:I, B1771)</f>
        <v>0</v>
      </c>
      <c r="H1771">
        <f>SUM(C1771:G1771)</f>
        <v>0</v>
      </c>
    </row>
    <row r="1772" spans="1:8" x14ac:dyDescent="0.25">
      <c r="A1772" s="5" t="s">
        <v>1768</v>
      </c>
      <c r="B1772" t="str">
        <f>"*"&amp;A1772&amp;"*"</f>
        <v>*2963: Error_E310_ Device Temperature Timeout*</v>
      </c>
      <c r="C1772">
        <f>COUNTIF(Monday!I:I, B1772)</f>
        <v>0</v>
      </c>
      <c r="D1772">
        <f>COUNTIF(Tuesday!I:I, B1772)</f>
        <v>0</v>
      </c>
      <c r="E1772">
        <f>COUNTIF(Wednesday!I:I, B1772)</f>
        <v>0</v>
      </c>
      <c r="F1772">
        <f>COUNTIF(Thursday!I:I, B1772)</f>
        <v>0</v>
      </c>
      <c r="G1772">
        <f>COUNTIF(Friday!I:I, B1772)</f>
        <v>0</v>
      </c>
      <c r="H1772">
        <f>SUM(C1772:G1772)</f>
        <v>0</v>
      </c>
    </row>
    <row r="1773" spans="1:8" x14ac:dyDescent="0.25">
      <c r="A1773" s="5" t="s">
        <v>1769</v>
      </c>
      <c r="B1773" t="str">
        <f>"*"&amp;A1773&amp;"*"</f>
        <v>*2964: Error_E311_ No Zones (Groups) Enabled*</v>
      </c>
      <c r="C1773">
        <f>COUNTIF(Monday!I:I, B1773)</f>
        <v>0</v>
      </c>
      <c r="D1773">
        <f>COUNTIF(Tuesday!I:I, B1773)</f>
        <v>0</v>
      </c>
      <c r="E1773">
        <f>COUNTIF(Wednesday!I:I, B1773)</f>
        <v>0</v>
      </c>
      <c r="F1773">
        <f>COUNTIF(Thursday!I:I, B1773)</f>
        <v>0</v>
      </c>
      <c r="G1773">
        <f>COUNTIF(Friday!I:I, B1773)</f>
        <v>0</v>
      </c>
      <c r="H1773">
        <f>SUM(C1773:G1773)</f>
        <v>0</v>
      </c>
    </row>
    <row r="1774" spans="1:8" x14ac:dyDescent="0.25">
      <c r="A1774" s="5" t="s">
        <v>1770</v>
      </c>
      <c r="B1774" t="str">
        <f>"*"&amp;A1774&amp;"*"</f>
        <v>*2965: Error_E312_ Device Temperature Hardware Shutoff*</v>
      </c>
      <c r="C1774">
        <f>COUNTIF(Monday!I:I, B1774)</f>
        <v>0</v>
      </c>
      <c r="D1774">
        <f>COUNTIF(Tuesday!I:I, B1774)</f>
        <v>0</v>
      </c>
      <c r="E1774">
        <f>COUNTIF(Wednesday!I:I, B1774)</f>
        <v>0</v>
      </c>
      <c r="F1774">
        <f>COUNTIF(Thursday!I:I, B1774)</f>
        <v>0</v>
      </c>
      <c r="G1774">
        <f>COUNTIF(Friday!I:I, B1774)</f>
        <v>0</v>
      </c>
      <c r="H1774">
        <f>SUM(C1774:G1774)</f>
        <v>0</v>
      </c>
    </row>
    <row r="1775" spans="1:8" x14ac:dyDescent="0.25">
      <c r="A1775" s="5" t="s">
        <v>1771</v>
      </c>
      <c r="B1775" t="str">
        <f>"*"&amp;A1775&amp;"*"</f>
        <v>*2966: Error_E314_ Ultrasonic Core_Withdrawal*</v>
      </c>
      <c r="C1775">
        <f>COUNTIF(Monday!I:I, B1775)</f>
        <v>0</v>
      </c>
      <c r="D1775">
        <f>COUNTIF(Tuesday!I:I, B1775)</f>
        <v>0</v>
      </c>
      <c r="E1775">
        <f>COUNTIF(Wednesday!I:I, B1775)</f>
        <v>0</v>
      </c>
      <c r="F1775">
        <f>COUNTIF(Thursday!I:I, B1775)</f>
        <v>0</v>
      </c>
      <c r="G1775">
        <f>COUNTIF(Friday!I:I, B1775)</f>
        <v>0</v>
      </c>
      <c r="H1775">
        <f>SUM(C1775:G1775)</f>
        <v>0</v>
      </c>
    </row>
    <row r="1776" spans="1:8" x14ac:dyDescent="0.25">
      <c r="A1776" s="5" t="s">
        <v>1772</v>
      </c>
      <c r="B1776" t="str">
        <f>"*"&amp;A1776&amp;"*"</f>
        <v>*2967: Error_E315_ CIP Program Fail*</v>
      </c>
      <c r="C1776">
        <f>COUNTIF(Monday!I:I, B1776)</f>
        <v>0</v>
      </c>
      <c r="D1776">
        <f>COUNTIF(Tuesday!I:I, B1776)</f>
        <v>0</v>
      </c>
      <c r="E1776">
        <f>COUNTIF(Wednesday!I:I, B1776)</f>
        <v>0</v>
      </c>
      <c r="F1776">
        <f>COUNTIF(Thursday!I:I, B1776)</f>
        <v>0</v>
      </c>
      <c r="G1776">
        <f>COUNTIF(Friday!I:I, B1776)</f>
        <v>0</v>
      </c>
      <c r="H1776">
        <f>SUM(C1776:G1776)</f>
        <v>0</v>
      </c>
    </row>
    <row r="1777" spans="1:8" x14ac:dyDescent="0.25">
      <c r="A1777" s="5" t="s">
        <v>1773</v>
      </c>
      <c r="B1777" t="str">
        <f>"*"&amp;A1777&amp;"*"</f>
        <v>*2968: Error_E316_ Under Voltage Hardware Shutoff*</v>
      </c>
      <c r="C1777">
        <f>COUNTIF(Monday!I:I, B1777)</f>
        <v>0</v>
      </c>
      <c r="D1777">
        <f>COUNTIF(Tuesday!I:I, B1777)</f>
        <v>0</v>
      </c>
      <c r="E1777">
        <f>COUNTIF(Wednesday!I:I, B1777)</f>
        <v>0</v>
      </c>
      <c r="F1777">
        <f>COUNTIF(Thursday!I:I, B1777)</f>
        <v>0</v>
      </c>
      <c r="G1777">
        <f>COUNTIF(Friday!I:I, B1777)</f>
        <v>0</v>
      </c>
      <c r="H1777">
        <f>SUM(C1777:G1777)</f>
        <v>0</v>
      </c>
    </row>
    <row r="1778" spans="1:8" x14ac:dyDescent="0.25">
      <c r="A1778" s="5" t="s">
        <v>1774</v>
      </c>
      <c r="B1778" t="str">
        <f>"*"&amp;A1778&amp;"*"</f>
        <v>*2969: Error_E317_ FEP Program Fail*</v>
      </c>
      <c r="C1778">
        <f>COUNTIF(Monday!I:I, B1778)</f>
        <v>0</v>
      </c>
      <c r="D1778">
        <f>COUNTIF(Tuesday!I:I, B1778)</f>
        <v>0</v>
      </c>
      <c r="E1778">
        <f>COUNTIF(Wednesday!I:I, B1778)</f>
        <v>0</v>
      </c>
      <c r="F1778">
        <f>COUNTIF(Thursday!I:I, B1778)</f>
        <v>0</v>
      </c>
      <c r="G1778">
        <f>COUNTIF(Friday!I:I, B1778)</f>
        <v>0</v>
      </c>
      <c r="H1778">
        <f>SUM(C1778:G1778)</f>
        <v>0</v>
      </c>
    </row>
    <row r="1779" spans="1:8" x14ac:dyDescent="0.25">
      <c r="A1779" s="5" t="s">
        <v>1775</v>
      </c>
      <c r="B1779" t="str">
        <f>"*"&amp;A1779&amp;"*"</f>
        <v>*2970: Error_E318_ UI-FEC Fail*</v>
      </c>
      <c r="C1779">
        <f>COUNTIF(Monday!I:I, B1779)</f>
        <v>0</v>
      </c>
      <c r="D1779">
        <f>COUNTIF(Tuesday!I:I, B1779)</f>
        <v>0</v>
      </c>
      <c r="E1779">
        <f>COUNTIF(Wednesday!I:I, B1779)</f>
        <v>0</v>
      </c>
      <c r="F1779">
        <f>COUNTIF(Thursday!I:I, B1779)</f>
        <v>0</v>
      </c>
      <c r="G1779">
        <f>COUNTIF(Friday!I:I, B1779)</f>
        <v>0</v>
      </c>
      <c r="H1779">
        <f>SUM(C1779:G1779)</f>
        <v>0</v>
      </c>
    </row>
    <row r="1780" spans="1:8" x14ac:dyDescent="0.25">
      <c r="A1780" s="5" t="s">
        <v>1776</v>
      </c>
      <c r="B1780" t="str">
        <f>"*"&amp;A1780&amp;"*"</f>
        <v>*2971: Error_E319_ RF Detected While Ultrasound Off*</v>
      </c>
      <c r="C1780">
        <f>COUNTIF(Monday!I:I, B1780)</f>
        <v>0</v>
      </c>
      <c r="D1780">
        <f>COUNTIF(Tuesday!I:I, B1780)</f>
        <v>0</v>
      </c>
      <c r="E1780">
        <f>COUNTIF(Wednesday!I:I, B1780)</f>
        <v>0</v>
      </c>
      <c r="F1780">
        <f>COUNTIF(Thursday!I:I, B1780)</f>
        <v>0</v>
      </c>
      <c r="G1780">
        <f>COUNTIF(Friday!I:I, B1780)</f>
        <v>0</v>
      </c>
      <c r="H1780">
        <f>SUM(C1780:G1780)</f>
        <v>0</v>
      </c>
    </row>
    <row r="1781" spans="1:8" x14ac:dyDescent="0.25">
      <c r="A1781" s="5" t="s">
        <v>1777</v>
      </c>
      <c r="B1781" t="str">
        <f>"*"&amp;A1781&amp;"*"</f>
        <v>*2972: Error_E320_ Excessive Average Current Hardware Shutoff*</v>
      </c>
      <c r="C1781">
        <f>COUNTIF(Monday!I:I, B1781)</f>
        <v>0</v>
      </c>
      <c r="D1781">
        <f>COUNTIF(Tuesday!I:I, B1781)</f>
        <v>0</v>
      </c>
      <c r="E1781">
        <f>COUNTIF(Wednesday!I:I, B1781)</f>
        <v>0</v>
      </c>
      <c r="F1781">
        <f>COUNTIF(Thursday!I:I, B1781)</f>
        <v>0</v>
      </c>
      <c r="G1781">
        <f>COUNTIF(Friday!I:I, B1781)</f>
        <v>0</v>
      </c>
      <c r="H1781">
        <f>SUM(C1781:G1781)</f>
        <v>0</v>
      </c>
    </row>
    <row r="1782" spans="1:8" x14ac:dyDescent="0.25">
      <c r="A1782" s="5" t="s">
        <v>1778</v>
      </c>
      <c r="B1782" t="str">
        <f>"*"&amp;A1782&amp;"*"</f>
        <v>*2973: Error_E321_ CIC Cold Junction Invalid*</v>
      </c>
      <c r="C1782">
        <f>COUNTIF(Monday!I:I, B1782)</f>
        <v>0</v>
      </c>
      <c r="D1782">
        <f>COUNTIF(Tuesday!I:I, B1782)</f>
        <v>0</v>
      </c>
      <c r="E1782">
        <f>COUNTIF(Wednesday!I:I, B1782)</f>
        <v>0</v>
      </c>
      <c r="F1782">
        <f>COUNTIF(Thursday!I:I, B1782)</f>
        <v>0</v>
      </c>
      <c r="G1782">
        <f>COUNTIF(Friday!I:I, B1782)</f>
        <v>0</v>
      </c>
      <c r="H1782">
        <f>SUM(C1782:G1782)</f>
        <v>0</v>
      </c>
    </row>
    <row r="1783" spans="1:8" x14ac:dyDescent="0.25">
      <c r="A1783" s="5" t="s">
        <v>1779</v>
      </c>
      <c r="B1783" t="str">
        <f>"*"&amp;A1783&amp;"*"</f>
        <v>*2974: Error_E322_ All Thermocouples Invalid*</v>
      </c>
      <c r="C1783">
        <f>COUNTIF(Monday!I:I, B1783)</f>
        <v>0</v>
      </c>
      <c r="D1783">
        <f>COUNTIF(Tuesday!I:I, B1783)</f>
        <v>0</v>
      </c>
      <c r="E1783">
        <f>COUNTIF(Wednesday!I:I, B1783)</f>
        <v>0</v>
      </c>
      <c r="F1783">
        <f>COUNTIF(Thursday!I:I, B1783)</f>
        <v>0</v>
      </c>
      <c r="G1783">
        <f>COUNTIF(Friday!I:I, B1783)</f>
        <v>0</v>
      </c>
      <c r="H1783">
        <f>SUM(C1783:G1783)</f>
        <v>0</v>
      </c>
    </row>
    <row r="1784" spans="1:8" x14ac:dyDescent="0.25">
      <c r="A1784" s="5" t="s">
        <v>1780</v>
      </c>
      <c r="B1784" t="str">
        <f>"*"&amp;A1784&amp;"*"</f>
        <v>*2975: Error_E323_ Failure To Clear Hardware Shutoff*</v>
      </c>
      <c r="C1784">
        <f>COUNTIF(Monday!I:I, B1784)</f>
        <v>0</v>
      </c>
      <c r="D1784">
        <f>COUNTIF(Tuesday!I:I, B1784)</f>
        <v>0</v>
      </c>
      <c r="E1784">
        <f>COUNTIF(Wednesday!I:I, B1784)</f>
        <v>0</v>
      </c>
      <c r="F1784">
        <f>COUNTIF(Thursday!I:I, B1784)</f>
        <v>0</v>
      </c>
      <c r="G1784">
        <f>COUNTIF(Friday!I:I, B1784)</f>
        <v>0</v>
      </c>
      <c r="H1784">
        <f>SUM(C1784:G1784)</f>
        <v>0</v>
      </c>
    </row>
    <row r="1785" spans="1:8" x14ac:dyDescent="0.25">
      <c r="A1785" s="5" t="s">
        <v>1781</v>
      </c>
      <c r="B1785" t="str">
        <f>"*"&amp;A1785&amp;"*"</f>
        <v>*2976: Error_E324_ Stuck Channel Button*</v>
      </c>
      <c r="C1785">
        <f>COUNTIF(Monday!I:I, B1785)</f>
        <v>0</v>
      </c>
      <c r="D1785">
        <f>COUNTIF(Tuesday!I:I, B1785)</f>
        <v>0</v>
      </c>
      <c r="E1785">
        <f>COUNTIF(Wednesday!I:I, B1785)</f>
        <v>0</v>
      </c>
      <c r="F1785">
        <f>COUNTIF(Thursday!I:I, B1785)</f>
        <v>0</v>
      </c>
      <c r="G1785">
        <f>COUNTIF(Friday!I:I, B1785)</f>
        <v>0</v>
      </c>
      <c r="H1785">
        <f>SUM(C1785:G1785)</f>
        <v>0</v>
      </c>
    </row>
    <row r="1786" spans="1:8" x14ac:dyDescent="0.25">
      <c r="A1786" s="5" t="s">
        <v>1782</v>
      </c>
      <c r="B1786" t="str">
        <f>"*"&amp;A1786&amp;"*"</f>
        <v>*2977: Error_E325_ Failure To Detect RF While Ultrasound On*</v>
      </c>
      <c r="C1786">
        <f>COUNTIF(Monday!I:I, B1786)</f>
        <v>0</v>
      </c>
      <c r="D1786">
        <f>COUNTIF(Tuesday!I:I, B1786)</f>
        <v>0</v>
      </c>
      <c r="E1786">
        <f>COUNTIF(Wednesday!I:I, B1786)</f>
        <v>0</v>
      </c>
      <c r="F1786">
        <f>COUNTIF(Thursday!I:I, B1786)</f>
        <v>0</v>
      </c>
      <c r="G1786">
        <f>COUNTIF(Friday!I:I, B1786)</f>
        <v>0</v>
      </c>
      <c r="H1786">
        <f>SUM(C1786:G1786)</f>
        <v>0</v>
      </c>
    </row>
    <row r="1787" spans="1:8" x14ac:dyDescent="0.25">
      <c r="A1787" s="5" t="s">
        <v>1783</v>
      </c>
      <c r="B1787" t="str">
        <f>"*"&amp;A1787&amp;"*"</f>
        <v>*2978: Error_E326_ FFEC-UI Communications Fail*</v>
      </c>
      <c r="C1787">
        <f>COUNTIF(Monday!I:I, B1787)</f>
        <v>0</v>
      </c>
      <c r="D1787">
        <f>COUNTIF(Tuesday!I:I, B1787)</f>
        <v>0</v>
      </c>
      <c r="E1787">
        <f>COUNTIF(Wednesday!I:I, B1787)</f>
        <v>0</v>
      </c>
      <c r="F1787">
        <f>COUNTIF(Thursday!I:I, B1787)</f>
        <v>0</v>
      </c>
      <c r="G1787">
        <f>COUNTIF(Friday!I:I, B1787)</f>
        <v>0</v>
      </c>
      <c r="H1787">
        <f>SUM(C1787:G1787)</f>
        <v>0</v>
      </c>
    </row>
    <row r="1788" spans="1:8" x14ac:dyDescent="0.25">
      <c r="A1788" s="5" t="s">
        <v>1784</v>
      </c>
      <c r="B1788" t="str">
        <f>"*"&amp;A1788&amp;"*"</f>
        <v>*2979: Error_E327_ Hardware Shutoff Inconsistency*</v>
      </c>
      <c r="C1788">
        <f>COUNTIF(Monday!I:I, B1788)</f>
        <v>0</v>
      </c>
      <c r="D1788">
        <f>COUNTIF(Tuesday!I:I, B1788)</f>
        <v>0</v>
      </c>
      <c r="E1788">
        <f>COUNTIF(Wednesday!I:I, B1788)</f>
        <v>0</v>
      </c>
      <c r="F1788">
        <f>COUNTIF(Thursday!I:I, B1788)</f>
        <v>0</v>
      </c>
      <c r="G1788">
        <f>COUNTIF(Friday!I:I, B1788)</f>
        <v>0</v>
      </c>
      <c r="H1788">
        <f>SUM(C1788:G1788)</f>
        <v>0</v>
      </c>
    </row>
    <row r="1789" spans="1:8" x14ac:dyDescent="0.25">
      <c r="A1789" s="5" t="s">
        <v>1785</v>
      </c>
      <c r="B1789" t="str">
        <f>"*"&amp;A1789&amp;"*"</f>
        <v>*2980: Error_E328_ Unknown Hardware Shutoff*</v>
      </c>
      <c r="C1789">
        <f>COUNTIF(Monday!I:I, B1789)</f>
        <v>0</v>
      </c>
      <c r="D1789">
        <f>COUNTIF(Tuesday!I:I, B1789)</f>
        <v>0</v>
      </c>
      <c r="E1789">
        <f>COUNTIF(Wednesday!I:I, B1789)</f>
        <v>0</v>
      </c>
      <c r="F1789">
        <f>COUNTIF(Thursday!I:I, B1789)</f>
        <v>0</v>
      </c>
      <c r="G1789">
        <f>COUNTIF(Friday!I:I, B1789)</f>
        <v>0</v>
      </c>
      <c r="H1789">
        <f>SUM(C1789:G1789)</f>
        <v>0</v>
      </c>
    </row>
    <row r="1790" spans="1:8" x14ac:dyDescent="0.25">
      <c r="A1790" s="5" t="s">
        <v>1786</v>
      </c>
      <c r="B1790" t="str">
        <f>"*"&amp;A1790&amp;"*"</f>
        <v>*2981: Error_E329_ Temperature Hardware Shutoff Test Fail*</v>
      </c>
      <c r="C1790">
        <f>COUNTIF(Monday!I:I, B1790)</f>
        <v>0</v>
      </c>
      <c r="D1790">
        <f>COUNTIF(Tuesday!I:I, B1790)</f>
        <v>0</v>
      </c>
      <c r="E1790">
        <f>COUNTIF(Wednesday!I:I, B1790)</f>
        <v>0</v>
      </c>
      <c r="F1790">
        <f>COUNTIF(Thursday!I:I, B1790)</f>
        <v>0</v>
      </c>
      <c r="G1790">
        <f>COUNTIF(Friday!I:I, B1790)</f>
        <v>0</v>
      </c>
      <c r="H1790">
        <f>SUM(C1790:G1790)</f>
        <v>0</v>
      </c>
    </row>
    <row r="1791" spans="1:8" x14ac:dyDescent="0.25">
      <c r="A1791" s="5" t="s">
        <v>1787</v>
      </c>
      <c r="B1791" t="str">
        <f>"*"&amp;A1791&amp;"*"</f>
        <v>*2982: Error_E330_ TFPGA fail*</v>
      </c>
      <c r="C1791">
        <f>COUNTIF(Monday!I:I, B1791)</f>
        <v>0</v>
      </c>
      <c r="D1791">
        <f>COUNTIF(Tuesday!I:I, B1791)</f>
        <v>0</v>
      </c>
      <c r="E1791">
        <f>COUNTIF(Wednesday!I:I, B1791)</f>
        <v>0</v>
      </c>
      <c r="F1791">
        <f>COUNTIF(Thursday!I:I, B1791)</f>
        <v>0</v>
      </c>
      <c r="G1791">
        <f>COUNTIF(Friday!I:I, B1791)</f>
        <v>0</v>
      </c>
      <c r="H1791">
        <f>SUM(C1791:G1791)</f>
        <v>0</v>
      </c>
    </row>
    <row r="1792" spans="1:8" x14ac:dyDescent="0.25">
      <c r="A1792" s="5" t="s">
        <v>1788</v>
      </c>
      <c r="B1792" t="str">
        <f>"*"&amp;A1792&amp;"*"</f>
        <v>*2983: Error_E331_ Incompatible Interface Cable*</v>
      </c>
      <c r="C1792">
        <f>COUNTIF(Monday!I:I, B1792)</f>
        <v>0</v>
      </c>
      <c r="D1792">
        <f>COUNTIF(Tuesday!I:I, B1792)</f>
        <v>0</v>
      </c>
      <c r="E1792">
        <f>COUNTIF(Wednesday!I:I, B1792)</f>
        <v>0</v>
      </c>
      <c r="F1792">
        <f>COUNTIF(Thursday!I:I, B1792)</f>
        <v>0</v>
      </c>
      <c r="G1792">
        <f>COUNTIF(Friday!I:I, B1792)</f>
        <v>0</v>
      </c>
      <c r="H1792">
        <f>SUM(C1792:G1792)</f>
        <v>0</v>
      </c>
    </row>
    <row r="1793" spans="1:8" x14ac:dyDescent="0.25">
      <c r="A1793" s="5" t="s">
        <v>1789</v>
      </c>
      <c r="B1793" t="str">
        <f>"*"&amp;A1793&amp;"*"</f>
        <v>*2984: Error_ENNN_ Incompatible*</v>
      </c>
      <c r="C1793">
        <f>COUNTIF(Monday!I:I, B1793)</f>
        <v>0</v>
      </c>
      <c r="D1793">
        <f>COUNTIF(Tuesday!I:I, B1793)</f>
        <v>0</v>
      </c>
      <c r="E1793">
        <f>COUNTIF(Wednesday!I:I, B1793)</f>
        <v>0</v>
      </c>
      <c r="F1793">
        <f>COUNTIF(Thursday!I:I, B1793)</f>
        <v>0</v>
      </c>
      <c r="G1793">
        <f>COUNTIF(Friday!I:I, B1793)</f>
        <v>0</v>
      </c>
      <c r="H1793">
        <f>SUM(C1793:G1793)</f>
        <v>0</v>
      </c>
    </row>
    <row r="1794" spans="1:8" x14ac:dyDescent="0.25">
      <c r="A1794" s="5" t="s">
        <v>1790</v>
      </c>
      <c r="B1794" t="str">
        <f>"*"&amp;A1794&amp;"*"</f>
        <v>*2985: Message - White W White A Alert*</v>
      </c>
      <c r="C1794">
        <f>COUNTIF(Monday!I:I, B1794)</f>
        <v>0</v>
      </c>
      <c r="D1794">
        <f>COUNTIF(Tuesday!I:I, B1794)</f>
        <v>0</v>
      </c>
      <c r="E1794">
        <f>COUNTIF(Wednesday!I:I, B1794)</f>
        <v>0</v>
      </c>
      <c r="F1794">
        <f>COUNTIF(Thursday!I:I, B1794)</f>
        <v>0</v>
      </c>
      <c r="G1794">
        <f>COUNTIF(Friday!I:I, B1794)</f>
        <v>0</v>
      </c>
      <c r="H1794">
        <f>SUM(C1794:G1794)</f>
        <v>0</v>
      </c>
    </row>
    <row r="1795" spans="1:8" x14ac:dyDescent="0.25">
      <c r="A1795" s="5" t="s">
        <v>1791</v>
      </c>
      <c r="B1795" t="str">
        <f>"*"&amp;A1795&amp;"*"</f>
        <v>*2986: Message - Red C Red Thermometer*</v>
      </c>
      <c r="C1795">
        <f>COUNTIF(Monday!I:I, B1795)</f>
        <v>0</v>
      </c>
      <c r="D1795">
        <f>COUNTIF(Tuesday!I:I, B1795)</f>
        <v>0</v>
      </c>
      <c r="E1795">
        <f>COUNTIF(Wednesday!I:I, B1795)</f>
        <v>0</v>
      </c>
      <c r="F1795">
        <f>COUNTIF(Thursday!I:I, B1795)</f>
        <v>0</v>
      </c>
      <c r="G1795">
        <f>COUNTIF(Friday!I:I, B1795)</f>
        <v>0</v>
      </c>
      <c r="H1795">
        <f>SUM(C1795:G1795)</f>
        <v>0</v>
      </c>
    </row>
    <row r="1796" spans="1:8" x14ac:dyDescent="0.25">
      <c r="A1796" s="5" t="s">
        <v>1792</v>
      </c>
      <c r="B1796" t="str">
        <f>"*"&amp;A1796&amp;"*"</f>
        <v>*2989: Message - High Instantaneous Voltage Shutoff*</v>
      </c>
      <c r="C1796">
        <f>COUNTIF(Monday!I:I, B1796)</f>
        <v>0</v>
      </c>
      <c r="D1796">
        <f>COUNTIF(Tuesday!I:I, B1796)</f>
        <v>0</v>
      </c>
      <c r="E1796">
        <f>COUNTIF(Wednesday!I:I, B1796)</f>
        <v>0</v>
      </c>
      <c r="F1796">
        <f>COUNTIF(Thursday!I:I, B1796)</f>
        <v>0</v>
      </c>
      <c r="G1796">
        <f>COUNTIF(Friday!I:I, B1796)</f>
        <v>0</v>
      </c>
      <c r="H1796">
        <f>SUM(C1796:G1796)</f>
        <v>0</v>
      </c>
    </row>
    <row r="1797" spans="1:8" x14ac:dyDescent="0.25">
      <c r="A1797" s="5" t="s">
        <v>1793</v>
      </c>
      <c r="B1797" t="str">
        <f>"*"&amp;A1797&amp;"*"</f>
        <v>*2990: Error_IDDC (Infusion Catheter) Not Functional*</v>
      </c>
      <c r="C1797">
        <f>COUNTIF(Monday!I:I, B1797)</f>
        <v>0</v>
      </c>
      <c r="D1797">
        <f>COUNTIF(Tuesday!I:I, B1797)</f>
        <v>0</v>
      </c>
      <c r="E1797">
        <f>COUNTIF(Wednesday!I:I, B1797)</f>
        <v>0</v>
      </c>
      <c r="F1797">
        <f>COUNTIF(Thursday!I:I, B1797)</f>
        <v>0</v>
      </c>
      <c r="G1797">
        <f>COUNTIF(Friday!I:I, B1797)</f>
        <v>0</v>
      </c>
      <c r="H1797">
        <f>SUM(C1797:G1797)</f>
        <v>0</v>
      </c>
    </row>
    <row r="1798" spans="1:8" x14ac:dyDescent="0.25">
      <c r="A1798" s="5" t="s">
        <v>1794</v>
      </c>
      <c r="B1798" t="str">
        <f>"*"&amp;A1798&amp;"*"</f>
        <v>*2991: Error_MSD (UltraSound Core) Not Functional*</v>
      </c>
      <c r="C1798">
        <f>COUNTIF(Monday!I:I, B1798)</f>
        <v>0</v>
      </c>
      <c r="D1798">
        <f>COUNTIF(Tuesday!I:I, B1798)</f>
        <v>0</v>
      </c>
      <c r="E1798">
        <f>COUNTIF(Wednesday!I:I, B1798)</f>
        <v>0</v>
      </c>
      <c r="F1798">
        <f>COUNTIF(Thursday!I:I, B1798)</f>
        <v>0</v>
      </c>
      <c r="G1798">
        <f>COUNTIF(Friday!I:I, B1798)</f>
        <v>0</v>
      </c>
      <c r="H1798">
        <f>SUM(C1798:G1798)</f>
        <v>0</v>
      </c>
    </row>
    <row r="1799" spans="1:8" x14ac:dyDescent="0.25">
      <c r="A1799" s="5" t="s">
        <v>1795</v>
      </c>
      <c r="B1799" t="str">
        <f>"*"&amp;A1799&amp;"*"</f>
        <v>*2995: Error_One Or More (Not All) Groups Disabled*</v>
      </c>
      <c r="C1799">
        <f>COUNTIF(Monday!I:I, B1799)</f>
        <v>0</v>
      </c>
      <c r="D1799">
        <f>COUNTIF(Tuesday!I:I, B1799)</f>
        <v>0</v>
      </c>
      <c r="E1799">
        <f>COUNTIF(Wednesday!I:I, B1799)</f>
        <v>0</v>
      </c>
      <c r="F1799">
        <f>COUNTIF(Thursday!I:I, B1799)</f>
        <v>0</v>
      </c>
      <c r="G1799">
        <f>COUNTIF(Friday!I:I, B1799)</f>
        <v>0</v>
      </c>
      <c r="H1799">
        <f>SUM(C1799:G1799)</f>
        <v>0</v>
      </c>
    </row>
    <row r="1800" spans="1:8" x14ac:dyDescent="0.25">
      <c r="A1800" s="5" t="s">
        <v>1796</v>
      </c>
      <c r="B1800" t="str">
        <f>"*"&amp;A1800&amp;"*"</f>
        <v>*2996: Error_Stuck Button*</v>
      </c>
      <c r="C1800">
        <f>COUNTIF(Monday!I:I, B1800)</f>
        <v>0</v>
      </c>
      <c r="D1800">
        <f>COUNTIF(Tuesday!I:I, B1800)</f>
        <v>0</v>
      </c>
      <c r="E1800">
        <f>COUNTIF(Wednesday!I:I, B1800)</f>
        <v>0</v>
      </c>
      <c r="F1800">
        <f>COUNTIF(Thursday!I:I, B1800)</f>
        <v>0</v>
      </c>
      <c r="G1800">
        <f>COUNTIF(Friday!I:I, B1800)</f>
        <v>0</v>
      </c>
      <c r="H1800">
        <f>SUM(C1800:G1800)</f>
        <v>0</v>
      </c>
    </row>
    <row r="1801" spans="1:8" x14ac:dyDescent="0.25">
      <c r="A1801" s="5" t="s">
        <v>1797</v>
      </c>
      <c r="B1801" t="str">
        <f>"*"&amp;A1801&amp;"*"</f>
        <v>*3007: Cross Connected Catheter*</v>
      </c>
      <c r="C1801">
        <f>COUNTIF(Monday!I:I, B1801)</f>
        <v>0</v>
      </c>
      <c r="D1801">
        <f>COUNTIF(Tuesday!I:I, B1801)</f>
        <v>0</v>
      </c>
      <c r="E1801">
        <f>COUNTIF(Wednesday!I:I, B1801)</f>
        <v>0</v>
      </c>
      <c r="F1801">
        <f>COUNTIF(Thursday!I:I, B1801)</f>
        <v>0</v>
      </c>
      <c r="G1801">
        <f>COUNTIF(Friday!I:I, B1801)</f>
        <v>0</v>
      </c>
      <c r="H1801">
        <f>SUM(C1801:G1801)</f>
        <v>0</v>
      </c>
    </row>
    <row r="1802" spans="1:8" x14ac:dyDescent="0.25">
      <c r="A1802" s="5" t="s">
        <v>1798</v>
      </c>
      <c r="B1802" t="str">
        <f>"*"&amp;A1802&amp;"*"</f>
        <v>*3008: IDDC Not Connected Alert*</v>
      </c>
      <c r="C1802">
        <f>COUNTIF(Monday!I:I, B1802)</f>
        <v>0</v>
      </c>
      <c r="D1802">
        <f>COUNTIF(Tuesday!I:I, B1802)</f>
        <v>0</v>
      </c>
      <c r="E1802">
        <f>COUNTIF(Wednesday!I:I, B1802)</f>
        <v>0</v>
      </c>
      <c r="F1802">
        <f>COUNTIF(Thursday!I:I, B1802)</f>
        <v>0</v>
      </c>
      <c r="G1802">
        <f>COUNTIF(Friday!I:I, B1802)</f>
        <v>0</v>
      </c>
      <c r="H1802">
        <f>SUM(C1802:G1802)</f>
        <v>0</v>
      </c>
    </row>
    <row r="1803" spans="1:8" x14ac:dyDescent="0.25">
      <c r="A1803" s="5" t="s">
        <v>1799</v>
      </c>
      <c r="B1803" t="str">
        <f>"*"&amp;A1803&amp;"*"</f>
        <v>*1355: Difficult To Remove/Withdraw From Catheter*</v>
      </c>
      <c r="C1803">
        <f>COUNTIF(Monday!I:I, B1803)</f>
        <v>0</v>
      </c>
      <c r="D1803">
        <f>COUNTIF(Tuesday!I:I, B1803)</f>
        <v>0</v>
      </c>
      <c r="E1803">
        <f>COUNTIF(Wednesday!I:I, B1803)</f>
        <v>0</v>
      </c>
      <c r="F1803">
        <f>COUNTIF(Thursday!I:I, B1803)</f>
        <v>0</v>
      </c>
      <c r="G1803">
        <f>COUNTIF(Friday!I:I, B1803)</f>
        <v>0</v>
      </c>
      <c r="H1803">
        <f>SUM(C1803:G1803)</f>
        <v>0</v>
      </c>
    </row>
    <row r="1804" spans="1:8" x14ac:dyDescent="0.25">
      <c r="A1804" s="5" t="s">
        <v>1800</v>
      </c>
      <c r="B1804" t="str">
        <f>"*"&amp;A1804&amp;"*"</f>
        <v>*1109: Coil Stuck At Twistlock*</v>
      </c>
      <c r="C1804">
        <f>COUNTIF(Monday!I:I, B1804)</f>
        <v>0</v>
      </c>
      <c r="D1804">
        <f>COUNTIF(Tuesday!I:I, B1804)</f>
        <v>0</v>
      </c>
      <c r="E1804">
        <f>COUNTIF(Wednesday!I:I, B1804)</f>
        <v>0</v>
      </c>
      <c r="F1804">
        <f>COUNTIF(Thursday!I:I, B1804)</f>
        <v>0</v>
      </c>
      <c r="G1804">
        <f>COUNTIF(Friday!I:I, B1804)</f>
        <v>0</v>
      </c>
      <c r="H1804">
        <f>SUM(C1804:G1804)</f>
        <v>0</v>
      </c>
    </row>
    <row r="1805" spans="1:8" x14ac:dyDescent="0.25">
      <c r="A1805" s="5" t="s">
        <v>1801</v>
      </c>
      <c r="B1805" t="str">
        <f>"*"&amp;A1805&amp;"*"</f>
        <v>*2272: Retaining Device Not Attached*</v>
      </c>
      <c r="C1805">
        <f>COUNTIF(Monday!I:I, B1805)</f>
        <v>0</v>
      </c>
      <c r="D1805">
        <f>COUNTIF(Tuesday!I:I, B1805)</f>
        <v>0</v>
      </c>
      <c r="E1805">
        <f>COUNTIF(Wednesday!I:I, B1805)</f>
        <v>0</v>
      </c>
      <c r="F1805">
        <f>COUNTIF(Thursday!I:I, B1805)</f>
        <v>0</v>
      </c>
      <c r="G1805">
        <f>COUNTIF(Friday!I:I, B1805)</f>
        <v>0</v>
      </c>
      <c r="H1805">
        <f>SUM(C1805:G1805)</f>
        <v>0</v>
      </c>
    </row>
    <row r="1806" spans="1:8" x14ac:dyDescent="0.25">
      <c r="A1806" s="5" t="s">
        <v>1802</v>
      </c>
      <c r="B1806" t="str">
        <f>"*"&amp;A1806&amp;"*"</f>
        <v>*1085: Catheter Kick-Back*</v>
      </c>
      <c r="C1806">
        <f>COUNTIF(Monday!I:I, B1806)</f>
        <v>0</v>
      </c>
      <c r="D1806">
        <f>COUNTIF(Tuesday!I:I, B1806)</f>
        <v>0</v>
      </c>
      <c r="E1806">
        <f>COUNTIF(Wednesday!I:I, B1806)</f>
        <v>0</v>
      </c>
      <c r="F1806">
        <f>COUNTIF(Thursday!I:I, B1806)</f>
        <v>0</v>
      </c>
      <c r="G1806">
        <f>COUNTIF(Friday!I:I, B1806)</f>
        <v>0</v>
      </c>
      <c r="H1806">
        <f>SUM(C1806:G1806)</f>
        <v>0</v>
      </c>
    </row>
    <row r="1807" spans="1:8" x14ac:dyDescent="0.25">
      <c r="A1807" s="5" t="s">
        <v>1803</v>
      </c>
      <c r="B1807" t="str">
        <f>"*"&amp;A1807&amp;"*"</f>
        <v>*1106: Coil Memory*</v>
      </c>
      <c r="C1807">
        <f>COUNTIF(Monday!I:I, B1807)</f>
        <v>0</v>
      </c>
      <c r="D1807">
        <f>COUNTIF(Tuesday!I:I, B1807)</f>
        <v>0</v>
      </c>
      <c r="E1807">
        <f>COUNTIF(Wednesday!I:I, B1807)</f>
        <v>0</v>
      </c>
      <c r="F1807">
        <f>COUNTIF(Thursday!I:I, B1807)</f>
        <v>0</v>
      </c>
      <c r="G1807">
        <f>COUNTIF(Friday!I:I, B1807)</f>
        <v>0</v>
      </c>
      <c r="H1807">
        <f>SUM(C1807:G1807)</f>
        <v>0</v>
      </c>
    </row>
    <row r="1808" spans="1:8" x14ac:dyDescent="0.25">
      <c r="A1808" s="5" t="s">
        <v>1804</v>
      </c>
      <c r="B1808" t="str">
        <f>"*"&amp;A1808&amp;"*"</f>
        <v>*1107: Coil Out Of Introducer*</v>
      </c>
      <c r="C1808">
        <f>COUNTIF(Monday!I:I, B1808)</f>
        <v>0</v>
      </c>
      <c r="D1808">
        <f>COUNTIF(Tuesday!I:I, B1808)</f>
        <v>0</v>
      </c>
      <c r="E1808">
        <f>COUNTIF(Wednesday!I:I, B1808)</f>
        <v>0</v>
      </c>
      <c r="F1808">
        <f>COUNTIF(Thursday!I:I, B1808)</f>
        <v>0</v>
      </c>
      <c r="G1808">
        <f>COUNTIF(Friday!I:I, B1808)</f>
        <v>0</v>
      </c>
      <c r="H1808">
        <f>SUM(C1808:G1808)</f>
        <v>0</v>
      </c>
    </row>
    <row r="1809" spans="1:8" x14ac:dyDescent="0.25">
      <c r="A1809" s="5" t="s">
        <v>1805</v>
      </c>
      <c r="B1809" t="str">
        <f>"*"&amp;A1809&amp;"*"</f>
        <v>*1110: Coil Stuck To Catheter Tip*</v>
      </c>
      <c r="C1809">
        <f>COUNTIF(Monday!I:I, B1809)</f>
        <v>0</v>
      </c>
      <c r="D1809">
        <f>COUNTIF(Tuesday!I:I, B1809)</f>
        <v>0</v>
      </c>
      <c r="E1809">
        <f>COUNTIF(Wednesday!I:I, B1809)</f>
        <v>0</v>
      </c>
      <c r="F1809">
        <f>COUNTIF(Thursday!I:I, B1809)</f>
        <v>0</v>
      </c>
      <c r="G1809">
        <f>COUNTIF(Friday!I:I, B1809)</f>
        <v>0</v>
      </c>
      <c r="H1809">
        <f>SUM(C1809:G1809)</f>
        <v>0</v>
      </c>
    </row>
    <row r="1810" spans="1:8" x14ac:dyDescent="0.25">
      <c r="A1810" s="5" t="s">
        <v>1806</v>
      </c>
      <c r="B1810" t="str">
        <f>"*"&amp;A1810&amp;"*"</f>
        <v>*2212: Poor Framing*</v>
      </c>
      <c r="C1810">
        <f>COUNTIF(Monday!I:I, B1810)</f>
        <v>0</v>
      </c>
      <c r="D1810">
        <f>COUNTIF(Tuesday!I:I, B1810)</f>
        <v>0</v>
      </c>
      <c r="E1810">
        <f>COUNTIF(Wednesday!I:I, B1810)</f>
        <v>0</v>
      </c>
      <c r="F1810">
        <f>COUNTIF(Thursday!I:I, B1810)</f>
        <v>0</v>
      </c>
      <c r="G1810">
        <f>COUNTIF(Friday!I:I, B1810)</f>
        <v>0</v>
      </c>
      <c r="H1810">
        <f>SUM(C1810:G1810)</f>
        <v>0</v>
      </c>
    </row>
    <row r="1811" spans="1:8" x14ac:dyDescent="0.25">
      <c r="A1811" s="5" t="s">
        <v>1807</v>
      </c>
      <c r="B1811" t="str">
        <f>"*"&amp;A1811&amp;"*"</f>
        <v>*2397: Tangled*</v>
      </c>
      <c r="C1811">
        <f>COUNTIF(Monday!I:I, B1811)</f>
        <v>0</v>
      </c>
      <c r="D1811">
        <f>COUNTIF(Tuesday!I:I, B1811)</f>
        <v>0</v>
      </c>
      <c r="E1811">
        <f>COUNTIF(Wednesday!I:I, B1811)</f>
        <v>0</v>
      </c>
      <c r="F1811">
        <f>COUNTIF(Thursday!I:I, B1811)</f>
        <v>0</v>
      </c>
      <c r="G1811">
        <f>COUNTIF(Friday!I:I, B1811)</f>
        <v>0</v>
      </c>
      <c r="H1811">
        <f>SUM(C1811:G1811)</f>
        <v>0</v>
      </c>
    </row>
    <row r="1812" spans="1:8" x14ac:dyDescent="0.25">
      <c r="A1812" s="5" t="s">
        <v>1808</v>
      </c>
      <c r="B1812" t="str">
        <f>"*"&amp;A1812&amp;"*"</f>
        <v>*3147: Coil Protruding From Target Location*</v>
      </c>
      <c r="C1812">
        <f>COUNTIF(Monday!I:I, B1812)</f>
        <v>0</v>
      </c>
      <c r="D1812">
        <f>COUNTIF(Tuesday!I:I, B1812)</f>
        <v>0</v>
      </c>
      <c r="E1812">
        <f>COUNTIF(Wednesday!I:I, B1812)</f>
        <v>0</v>
      </c>
      <c r="F1812">
        <f>COUNTIF(Thursday!I:I, B1812)</f>
        <v>0</v>
      </c>
      <c r="G1812">
        <f>COUNTIF(Friday!I:I, B1812)</f>
        <v>0</v>
      </c>
      <c r="H1812">
        <f>SUM(C1812:G1812)</f>
        <v>0</v>
      </c>
    </row>
    <row r="1813" spans="1:8" x14ac:dyDescent="0.25">
      <c r="A1813" s="5" t="s">
        <v>1809</v>
      </c>
      <c r="B1813" t="str">
        <f>"*"&amp;A1813&amp;"*"</f>
        <v>*3148: Unable To Advance In Introducer*</v>
      </c>
      <c r="C1813">
        <f>COUNTIF(Monday!I:I, B1813)</f>
        <v>0</v>
      </c>
      <c r="D1813">
        <f>COUNTIF(Tuesday!I:I, B1813)</f>
        <v>0</v>
      </c>
      <c r="E1813">
        <f>COUNTIF(Wednesday!I:I, B1813)</f>
        <v>0</v>
      </c>
      <c r="F1813">
        <f>COUNTIF(Thursday!I:I, B1813)</f>
        <v>0</v>
      </c>
      <c r="G1813">
        <f>COUNTIF(Friday!I:I, B1813)</f>
        <v>0</v>
      </c>
      <c r="H1813">
        <f>SUM(C1813:G1813)</f>
        <v>0</v>
      </c>
    </row>
    <row r="1814" spans="1:8" x14ac:dyDescent="0.25">
      <c r="A1814" s="5" t="s">
        <v>1810</v>
      </c>
      <c r="B1814" t="str">
        <f>"*"&amp;A1814&amp;"*"</f>
        <v>*3149: Difficult To Advance In Introducer*</v>
      </c>
      <c r="C1814">
        <f>COUNTIF(Monday!I:I, B1814)</f>
        <v>0</v>
      </c>
      <c r="D1814">
        <f>COUNTIF(Tuesday!I:I, B1814)</f>
        <v>0</v>
      </c>
      <c r="E1814">
        <f>COUNTIF(Wednesday!I:I, B1814)</f>
        <v>0</v>
      </c>
      <c r="F1814">
        <f>COUNTIF(Thursday!I:I, B1814)</f>
        <v>0</v>
      </c>
      <c r="G1814">
        <f>COUNTIF(Friday!I:I, B1814)</f>
        <v>0</v>
      </c>
      <c r="H1814">
        <f>SUM(C1814:G1814)</f>
        <v>0</v>
      </c>
    </row>
    <row r="1815" spans="1:8" x14ac:dyDescent="0.25">
      <c r="A1815" s="5" t="s">
        <v>1811</v>
      </c>
      <c r="B1815" t="str">
        <f>"*"&amp;A1815&amp;"*"</f>
        <v>*3150: Difficult To Withdraw From / Into Introducer*</v>
      </c>
      <c r="C1815">
        <f>COUNTIF(Monday!I:I, B1815)</f>
        <v>0</v>
      </c>
      <c r="D1815">
        <f>COUNTIF(Tuesday!I:I, B1815)</f>
        <v>0</v>
      </c>
      <c r="E1815">
        <f>COUNTIF(Wednesday!I:I, B1815)</f>
        <v>0</v>
      </c>
      <c r="F1815">
        <f>COUNTIF(Thursday!I:I, B1815)</f>
        <v>0</v>
      </c>
      <c r="G1815">
        <f>COUNTIF(Friday!I:I, B1815)</f>
        <v>0</v>
      </c>
      <c r="H1815">
        <f>SUM(C1815:G1815)</f>
        <v>0</v>
      </c>
    </row>
    <row r="1816" spans="1:8" x14ac:dyDescent="0.25">
      <c r="A1816" s="5" t="s">
        <v>1812</v>
      </c>
      <c r="B1816" t="str">
        <f>"*"&amp;A1816&amp;"*"</f>
        <v>*3151: Unable To Advance In Catheter*</v>
      </c>
      <c r="C1816">
        <f>COUNTIF(Monday!I:I, B1816)</f>
        <v>0</v>
      </c>
      <c r="D1816">
        <f>COUNTIF(Tuesday!I:I, B1816)</f>
        <v>0</v>
      </c>
      <c r="E1816">
        <f>COUNTIF(Wednesday!I:I, B1816)</f>
        <v>0</v>
      </c>
      <c r="F1816">
        <f>COUNTIF(Thursday!I:I, B1816)</f>
        <v>0</v>
      </c>
      <c r="G1816">
        <f>COUNTIF(Friday!I:I, B1816)</f>
        <v>0</v>
      </c>
      <c r="H1816">
        <f>SUM(C1816:G1816)</f>
        <v>0</v>
      </c>
    </row>
    <row r="1817" spans="1:8" x14ac:dyDescent="0.25">
      <c r="A1817" s="5" t="s">
        <v>1813</v>
      </c>
      <c r="B1817" t="str">
        <f>"*"&amp;A1817&amp;"*"</f>
        <v>*3152: Unable To Withdraw From Catheter*</v>
      </c>
      <c r="C1817">
        <f>COUNTIF(Monday!I:I, B1817)</f>
        <v>0</v>
      </c>
      <c r="D1817">
        <f>COUNTIF(Tuesday!I:I, B1817)</f>
        <v>0</v>
      </c>
      <c r="E1817">
        <f>COUNTIF(Wednesday!I:I, B1817)</f>
        <v>0</v>
      </c>
      <c r="F1817">
        <f>COUNTIF(Thursday!I:I, B1817)</f>
        <v>0</v>
      </c>
      <c r="G1817">
        <f>COUNTIF(Friday!I:I, B1817)</f>
        <v>0</v>
      </c>
      <c r="H1817">
        <f>SUM(C1817:G1817)</f>
        <v>0</v>
      </c>
    </row>
    <row r="1818" spans="1:8" x14ac:dyDescent="0.25">
      <c r="A1818" s="5" t="s">
        <v>1814</v>
      </c>
      <c r="B1818" t="str">
        <f>"*"&amp;A1818&amp;"*"</f>
        <v>*3153: Difficult To Advance In Catheter*</v>
      </c>
      <c r="C1818">
        <f>COUNTIF(Monday!I:I, B1818)</f>
        <v>0</v>
      </c>
      <c r="D1818">
        <f>COUNTIF(Tuesday!I:I, B1818)</f>
        <v>0</v>
      </c>
      <c r="E1818">
        <f>COUNTIF(Wednesday!I:I, B1818)</f>
        <v>0</v>
      </c>
      <c r="F1818">
        <f>COUNTIF(Thursday!I:I, B1818)</f>
        <v>0</v>
      </c>
      <c r="G1818">
        <f>COUNTIF(Friday!I:I, B1818)</f>
        <v>0</v>
      </c>
      <c r="H1818">
        <f>SUM(C1818:G1818)</f>
        <v>0</v>
      </c>
    </row>
    <row r="1819" spans="1:8" x14ac:dyDescent="0.25">
      <c r="A1819" s="5" t="s">
        <v>1815</v>
      </c>
      <c r="B1819" t="str">
        <f>"*"&amp;A1819&amp;"*"</f>
        <v>*3154: Difficult To Withdraw From Catheter*</v>
      </c>
      <c r="C1819">
        <f>COUNTIF(Monday!I:I, B1819)</f>
        <v>0</v>
      </c>
      <c r="D1819">
        <f>COUNTIF(Tuesday!I:I, B1819)</f>
        <v>0</v>
      </c>
      <c r="E1819">
        <f>COUNTIF(Wednesday!I:I, B1819)</f>
        <v>0</v>
      </c>
      <c r="F1819">
        <f>COUNTIF(Thursday!I:I, B1819)</f>
        <v>0</v>
      </c>
      <c r="G1819">
        <f>COUNTIF(Friday!I:I, B1819)</f>
        <v>0</v>
      </c>
      <c r="H1819">
        <f>SUM(C1819:G1819)</f>
        <v>0</v>
      </c>
    </row>
    <row r="1820" spans="1:8" x14ac:dyDescent="0.25">
      <c r="A1820" s="5" t="s">
        <v>1816</v>
      </c>
      <c r="B1820" t="str">
        <f>"*"&amp;A1820&amp;"*"</f>
        <v>*3155: Premature Deployment Outside Patient*</v>
      </c>
      <c r="C1820">
        <f>COUNTIF(Monday!I:I, B1820)</f>
        <v>0</v>
      </c>
      <c r="D1820">
        <f>COUNTIF(Tuesday!I:I, B1820)</f>
        <v>0</v>
      </c>
      <c r="E1820">
        <f>COUNTIF(Wednesday!I:I, B1820)</f>
        <v>0</v>
      </c>
      <c r="F1820">
        <f>COUNTIF(Thursday!I:I, B1820)</f>
        <v>0</v>
      </c>
      <c r="G1820">
        <f>COUNTIF(Friday!I:I, B1820)</f>
        <v>0</v>
      </c>
      <c r="H1820">
        <f>SUM(C1820:G1820)</f>
        <v>0</v>
      </c>
    </row>
    <row r="1821" spans="1:8" x14ac:dyDescent="0.25">
      <c r="A1821" s="5" t="s">
        <v>1817</v>
      </c>
      <c r="B1821" t="str">
        <f>"*"&amp;A1821&amp;"*"</f>
        <v>*3156: Premature Deployment Inside Patient*</v>
      </c>
      <c r="C1821">
        <f>COUNTIF(Monday!I:I, B1821)</f>
        <v>0</v>
      </c>
      <c r="D1821">
        <f>COUNTIF(Tuesday!I:I, B1821)</f>
        <v>0</v>
      </c>
      <c r="E1821">
        <f>COUNTIF(Wednesday!I:I, B1821)</f>
        <v>0</v>
      </c>
      <c r="F1821">
        <f>COUNTIF(Thursday!I:I, B1821)</f>
        <v>0</v>
      </c>
      <c r="G1821">
        <f>COUNTIF(Friday!I:I, B1821)</f>
        <v>0</v>
      </c>
      <c r="H1821">
        <f>SUM(C1821:G1821)</f>
        <v>0</v>
      </c>
    </row>
    <row r="1822" spans="1:8" x14ac:dyDescent="0.25">
      <c r="A1822" s="5" t="s">
        <v>1818</v>
      </c>
      <c r="B1822" t="str">
        <f>"*"&amp;A1822&amp;"*"</f>
        <v>*3238: Delayed Separation*</v>
      </c>
      <c r="C1822">
        <f>COUNTIF(Monday!I:I, B1822)</f>
        <v>0</v>
      </c>
      <c r="D1822">
        <f>COUNTIF(Tuesday!I:I, B1822)</f>
        <v>0</v>
      </c>
      <c r="E1822">
        <f>COUNTIF(Wednesday!I:I, B1822)</f>
        <v>0</v>
      </c>
      <c r="F1822">
        <f>COUNTIF(Thursday!I:I, B1822)</f>
        <v>0</v>
      </c>
      <c r="G1822">
        <f>COUNTIF(Friday!I:I, B1822)</f>
        <v>0</v>
      </c>
      <c r="H1822">
        <f>SUM(C1822:G1822)</f>
        <v>0</v>
      </c>
    </row>
    <row r="1823" spans="1:8" x14ac:dyDescent="0.25">
      <c r="A1823" s="5" t="s">
        <v>1819</v>
      </c>
      <c r="B1823" t="str">
        <f>"*"&amp;A1823&amp;"*"</f>
        <v>*3157: Breaks Prematurely*</v>
      </c>
      <c r="C1823">
        <f>COUNTIF(Monday!I:I, B1823)</f>
        <v>0</v>
      </c>
      <c r="D1823">
        <f>COUNTIF(Tuesday!I:I, B1823)</f>
        <v>0</v>
      </c>
      <c r="E1823">
        <f>COUNTIF(Wednesday!I:I, B1823)</f>
        <v>0</v>
      </c>
      <c r="F1823">
        <f>COUNTIF(Thursday!I:I, B1823)</f>
        <v>0</v>
      </c>
      <c r="G1823">
        <f>COUNTIF(Friday!I:I, B1823)</f>
        <v>0</v>
      </c>
      <c r="H1823">
        <f>SUM(C1823:G1823)</f>
        <v>0</v>
      </c>
    </row>
    <row r="1824" spans="1:8" x14ac:dyDescent="0.25">
      <c r="A1824" s="5" t="s">
        <v>1820</v>
      </c>
      <c r="B1824" t="str">
        <f>"*"&amp;A1824&amp;"*"</f>
        <v>*3158: Broken Upon Removal From Packaging*</v>
      </c>
      <c r="C1824">
        <f>COUNTIF(Monday!I:I, B1824)</f>
        <v>0</v>
      </c>
      <c r="D1824">
        <f>COUNTIF(Tuesday!I:I, B1824)</f>
        <v>0</v>
      </c>
      <c r="E1824">
        <f>COUNTIF(Wednesday!I:I, B1824)</f>
        <v>0</v>
      </c>
      <c r="F1824">
        <f>COUNTIF(Thursday!I:I, B1824)</f>
        <v>0</v>
      </c>
      <c r="G1824">
        <f>COUNTIF(Friday!I:I, B1824)</f>
        <v>0</v>
      </c>
      <c r="H1824">
        <f>SUM(C1824:G1824)</f>
        <v>0</v>
      </c>
    </row>
    <row r="1825" spans="1:8" x14ac:dyDescent="0.25">
      <c r="A1825" s="5" t="s">
        <v>1821</v>
      </c>
      <c r="B1825" t="str">
        <f>"*"&amp;A1825&amp;"*"</f>
        <v>*3159: Difficult To Break*</v>
      </c>
      <c r="C1825">
        <f>COUNTIF(Monday!I:I, B1825)</f>
        <v>0</v>
      </c>
      <c r="D1825">
        <f>COUNTIF(Tuesday!I:I, B1825)</f>
        <v>0</v>
      </c>
      <c r="E1825">
        <f>COUNTIF(Wednesday!I:I, B1825)</f>
        <v>0</v>
      </c>
      <c r="F1825">
        <f>COUNTIF(Thursday!I:I, B1825)</f>
        <v>0</v>
      </c>
      <c r="G1825">
        <f>COUNTIF(Friday!I:I, B1825)</f>
        <v>0</v>
      </c>
      <c r="H1825">
        <f>SUM(C1825:G1825)</f>
        <v>0</v>
      </c>
    </row>
    <row r="1826" spans="1:8" x14ac:dyDescent="0.25">
      <c r="A1826" s="5" t="s">
        <v>1822</v>
      </c>
      <c r="B1826" t="str">
        <f>"*"&amp;A1826&amp;"*"</f>
        <v>*1411: Disengaged*</v>
      </c>
      <c r="C1826">
        <f>COUNTIF(Monday!I:I, B1826)</f>
        <v>0</v>
      </c>
      <c r="D1826">
        <f>COUNTIF(Tuesday!I:I, B1826)</f>
        <v>0</v>
      </c>
      <c r="E1826">
        <f>COUNTIF(Wednesday!I:I, B1826)</f>
        <v>0</v>
      </c>
      <c r="F1826">
        <f>COUNTIF(Thursday!I:I, B1826)</f>
        <v>0</v>
      </c>
      <c r="G1826">
        <f>COUNTIF(Friday!I:I, B1826)</f>
        <v>0</v>
      </c>
      <c r="H1826">
        <f>SUM(C1826:G1826)</f>
        <v>0</v>
      </c>
    </row>
    <row r="1827" spans="1:8" x14ac:dyDescent="0.25">
      <c r="A1827" s="5" t="s">
        <v>1823</v>
      </c>
      <c r="B1827" t="str">
        <f>"*"&amp;A1827&amp;"*"</f>
        <v>*3160: Difficult To Identify*</v>
      </c>
      <c r="C1827">
        <f>COUNTIF(Monday!I:I, B1827)</f>
        <v>0</v>
      </c>
      <c r="D1827">
        <f>COUNTIF(Tuesday!I:I, B1827)</f>
        <v>0</v>
      </c>
      <c r="E1827">
        <f>COUNTIF(Wednesday!I:I, B1827)</f>
        <v>0</v>
      </c>
      <c r="F1827">
        <f>COUNTIF(Thursday!I:I, B1827)</f>
        <v>0</v>
      </c>
      <c r="G1827">
        <f>COUNTIF(Friday!I:I, B1827)</f>
        <v>0</v>
      </c>
      <c r="H1827">
        <f>SUM(C1827:G1827)</f>
        <v>0</v>
      </c>
    </row>
    <row r="1828" spans="1:8" x14ac:dyDescent="0.25">
      <c r="A1828" s="5" t="s">
        <v>1824</v>
      </c>
      <c r="B1828" t="str">
        <f>"*"&amp;A1828&amp;"*"</f>
        <v>*1101: Clumping In Device Or Device Ingredient*</v>
      </c>
      <c r="C1828">
        <f>COUNTIF(Monday!I:I, B1828)</f>
        <v>0</v>
      </c>
      <c r="D1828">
        <f>COUNTIF(Tuesday!I:I, B1828)</f>
        <v>0</v>
      </c>
      <c r="E1828">
        <f>COUNTIF(Wednesday!I:I, B1828)</f>
        <v>0</v>
      </c>
      <c r="F1828">
        <f>COUNTIF(Thursday!I:I, B1828)</f>
        <v>0</v>
      </c>
      <c r="G1828">
        <f>COUNTIF(Friday!I:I, B1828)</f>
        <v>0</v>
      </c>
      <c r="H1828">
        <f>SUM(C1828:G1828)</f>
        <v>0</v>
      </c>
    </row>
    <row r="1829" spans="1:8" x14ac:dyDescent="0.25">
      <c r="A1829" s="5" t="s">
        <v>1825</v>
      </c>
      <c r="B1829" t="str">
        <f>"*"&amp;A1829&amp;"*"</f>
        <v>*1431: Drug Loading Problem*</v>
      </c>
      <c r="C1829">
        <f>COUNTIF(Monday!I:I, B1829)</f>
        <v>0</v>
      </c>
      <c r="D1829">
        <f>COUNTIF(Tuesday!I:I, B1829)</f>
        <v>0</v>
      </c>
      <c r="E1829">
        <f>COUNTIF(Wednesday!I:I, B1829)</f>
        <v>0</v>
      </c>
      <c r="F1829">
        <f>COUNTIF(Thursday!I:I, B1829)</f>
        <v>0</v>
      </c>
      <c r="G1829">
        <f>COUNTIF(Friday!I:I, B1829)</f>
        <v>0</v>
      </c>
      <c r="H1829">
        <f>SUM(C1829:G1829)</f>
        <v>0</v>
      </c>
    </row>
    <row r="1830" spans="1:8" x14ac:dyDescent="0.25">
      <c r="A1830" s="5" t="s">
        <v>1826</v>
      </c>
      <c r="B1830" t="str">
        <f>"*"&amp;A1830&amp;"*"</f>
        <v>*2366: Stuck In Catheter*</v>
      </c>
      <c r="C1830">
        <f>COUNTIF(Monday!I:I, B1830)</f>
        <v>0</v>
      </c>
      <c r="D1830">
        <f>COUNTIF(Tuesday!I:I, B1830)</f>
        <v>0</v>
      </c>
      <c r="E1830">
        <f>COUNTIF(Wednesday!I:I, B1830)</f>
        <v>0</v>
      </c>
      <c r="F1830">
        <f>COUNTIF(Thursday!I:I, B1830)</f>
        <v>0</v>
      </c>
      <c r="G1830">
        <f>COUNTIF(Friday!I:I, B1830)</f>
        <v>0</v>
      </c>
      <c r="H1830">
        <f>SUM(C1830:G1830)</f>
        <v>0</v>
      </c>
    </row>
    <row r="1831" spans="1:8" x14ac:dyDescent="0.25">
      <c r="A1831" s="5" t="s">
        <v>1827</v>
      </c>
      <c r="B1831" t="str">
        <f>"*"&amp;A1831&amp;"*"</f>
        <v>*2464: Volume Incorrect*</v>
      </c>
      <c r="C1831">
        <f>COUNTIF(Monday!I:I, B1831)</f>
        <v>0</v>
      </c>
      <c r="D1831">
        <f>COUNTIF(Tuesday!I:I, B1831)</f>
        <v>0</v>
      </c>
      <c r="E1831">
        <f>COUNTIF(Wednesday!I:I, B1831)</f>
        <v>0</v>
      </c>
      <c r="F1831">
        <f>COUNTIF(Thursday!I:I, B1831)</f>
        <v>0</v>
      </c>
      <c r="G1831">
        <f>COUNTIF(Friday!I:I, B1831)</f>
        <v>0</v>
      </c>
      <c r="H1831">
        <f>SUM(C1831:G1831)</f>
        <v>0</v>
      </c>
    </row>
    <row r="1832" spans="1:8" x14ac:dyDescent="0.25">
      <c r="A1832" s="5" t="s">
        <v>1828</v>
      </c>
      <c r="B1832" t="str">
        <f>"*"&amp;A1832&amp;"*"</f>
        <v>*2932: Stuck In Syringe*</v>
      </c>
      <c r="C1832">
        <f>COUNTIF(Monday!I:I, B1832)</f>
        <v>0</v>
      </c>
      <c r="D1832">
        <f>COUNTIF(Tuesday!I:I, B1832)</f>
        <v>0</v>
      </c>
      <c r="E1832">
        <f>COUNTIF(Wednesday!I:I, B1832)</f>
        <v>0</v>
      </c>
      <c r="F1832">
        <f>COUNTIF(Thursday!I:I, B1832)</f>
        <v>0</v>
      </c>
      <c r="G1832">
        <f>COUNTIF(Friday!I:I, B1832)</f>
        <v>0</v>
      </c>
      <c r="H1832">
        <f>SUM(C1832:G1832)</f>
        <v>0</v>
      </c>
    </row>
    <row r="1833" spans="1:8" x14ac:dyDescent="0.25">
      <c r="A1833" s="5" t="s">
        <v>1829</v>
      </c>
      <c r="B1833" t="str">
        <f>"*"&amp;A1833&amp;"*"</f>
        <v>*2165: Overfill*</v>
      </c>
      <c r="C1833">
        <f>COUNTIF(Monday!I:I, B1833)</f>
        <v>0</v>
      </c>
      <c r="D1833">
        <f>COUNTIF(Tuesday!I:I, B1833)</f>
        <v>0</v>
      </c>
      <c r="E1833">
        <f>COUNTIF(Wednesday!I:I, B1833)</f>
        <v>0</v>
      </c>
      <c r="F1833">
        <f>COUNTIF(Thursday!I:I, B1833)</f>
        <v>0</v>
      </c>
      <c r="G1833">
        <f>COUNTIF(Friday!I:I, B1833)</f>
        <v>0</v>
      </c>
      <c r="H1833">
        <f>SUM(C1833:G1833)</f>
        <v>0</v>
      </c>
    </row>
    <row r="1834" spans="1:8" x14ac:dyDescent="0.25">
      <c r="A1834" s="5" t="s">
        <v>1830</v>
      </c>
      <c r="B1834" t="str">
        <f>"*"&amp;A1834&amp;"*"</f>
        <v>*1105: Coil In Catheter*</v>
      </c>
      <c r="C1834">
        <f>COUNTIF(Monday!I:I, B1834)</f>
        <v>0</v>
      </c>
      <c r="D1834">
        <f>COUNTIF(Tuesday!I:I, B1834)</f>
        <v>0</v>
      </c>
      <c r="E1834">
        <f>COUNTIF(Wednesday!I:I, B1834)</f>
        <v>0</v>
      </c>
      <c r="F1834">
        <f>COUNTIF(Thursday!I:I, B1834)</f>
        <v>0</v>
      </c>
      <c r="G1834">
        <f>COUNTIF(Friday!I:I, B1834)</f>
        <v>0</v>
      </c>
      <c r="H1834">
        <f>SUM(C1834:G1834)</f>
        <v>0</v>
      </c>
    </row>
    <row r="1835" spans="1:8" x14ac:dyDescent="0.25">
      <c r="A1835" s="5" t="s">
        <v>1831</v>
      </c>
      <c r="B1835" t="str">
        <f>"*"&amp;A1835&amp;"*"</f>
        <v>*2930: Stuck In Cartridge*</v>
      </c>
      <c r="C1835">
        <f>COUNTIF(Monday!I:I, B1835)</f>
        <v>0</v>
      </c>
      <c r="D1835">
        <f>COUNTIF(Tuesday!I:I, B1835)</f>
        <v>0</v>
      </c>
      <c r="E1835">
        <f>COUNTIF(Wednesday!I:I, B1835)</f>
        <v>0</v>
      </c>
      <c r="F1835">
        <f>COUNTIF(Thursday!I:I, B1835)</f>
        <v>0</v>
      </c>
      <c r="G1835">
        <f>COUNTIF(Friday!I:I, B1835)</f>
        <v>0</v>
      </c>
      <c r="H1835">
        <f>SUM(C1835:G1835)</f>
        <v>0</v>
      </c>
    </row>
    <row r="1836" spans="1:8" x14ac:dyDescent="0.25">
      <c r="A1836" s="5" t="s">
        <v>1832</v>
      </c>
      <c r="B1836" t="str">
        <f>"*"&amp;A1836&amp;"*"</f>
        <v>*2931: Stuck In Shell*</v>
      </c>
      <c r="C1836">
        <f>COUNTIF(Monday!I:I, B1836)</f>
        <v>0</v>
      </c>
      <c r="D1836">
        <f>COUNTIF(Tuesday!I:I, B1836)</f>
        <v>0</v>
      </c>
      <c r="E1836">
        <f>COUNTIF(Wednesday!I:I, B1836)</f>
        <v>0</v>
      </c>
      <c r="F1836">
        <f>COUNTIF(Thursday!I:I, B1836)</f>
        <v>0</v>
      </c>
      <c r="G1836">
        <f>COUNTIF(Friday!I:I, B1836)</f>
        <v>0</v>
      </c>
      <c r="H1836">
        <f>SUM(C1836:G1836)</f>
        <v>0</v>
      </c>
    </row>
    <row r="1837" spans="1:8" x14ac:dyDescent="0.25">
      <c r="A1837" s="5" t="s">
        <v>1833</v>
      </c>
      <c r="B1837" t="str">
        <f>"*"&amp;A1837&amp;"*"</f>
        <v>*2929: Stuck In Anatomy*</v>
      </c>
      <c r="C1837">
        <f>COUNTIF(Monday!I:I, B1837)</f>
        <v>0</v>
      </c>
      <c r="D1837">
        <f>COUNTIF(Tuesday!I:I, B1837)</f>
        <v>0</v>
      </c>
      <c r="E1837">
        <f>COUNTIF(Wednesday!I:I, B1837)</f>
        <v>0</v>
      </c>
      <c r="F1837">
        <f>COUNTIF(Thursday!I:I, B1837)</f>
        <v>0</v>
      </c>
      <c r="G1837">
        <f>COUNTIF(Friday!I:I, B1837)</f>
        <v>0</v>
      </c>
      <c r="H1837">
        <f>SUM(C1837:G1837)</f>
        <v>0</v>
      </c>
    </row>
    <row r="1838" spans="1:8" x14ac:dyDescent="0.25">
      <c r="A1838" s="5" t="s">
        <v>1834</v>
      </c>
      <c r="B1838" t="str">
        <f>"*"&amp;A1838&amp;"*"</f>
        <v>*1181: Deployed Outside Patient*</v>
      </c>
      <c r="C1838">
        <f>COUNTIF(Monday!I:I, B1838)</f>
        <v>0</v>
      </c>
      <c r="D1838">
        <f>COUNTIF(Tuesday!I:I, B1838)</f>
        <v>0</v>
      </c>
      <c r="E1838">
        <f>COUNTIF(Wednesday!I:I, B1838)</f>
        <v>0</v>
      </c>
      <c r="F1838">
        <f>COUNTIF(Thursday!I:I, B1838)</f>
        <v>0</v>
      </c>
      <c r="G1838">
        <f>COUNTIF(Friday!I:I, B1838)</f>
        <v>0</v>
      </c>
      <c r="H1838">
        <f>SUM(C1838:G1838)</f>
        <v>0</v>
      </c>
    </row>
    <row r="1839" spans="1:8" x14ac:dyDescent="0.25">
      <c r="A1839" s="5" t="s">
        <v>1835</v>
      </c>
      <c r="B1839" t="str">
        <f>"*"&amp;A1839&amp;"*"</f>
        <v>*1185: Detached From Manifold*</v>
      </c>
      <c r="C1839">
        <f>COUNTIF(Monday!I:I, B1839)</f>
        <v>0</v>
      </c>
      <c r="D1839">
        <f>COUNTIF(Tuesday!I:I, B1839)</f>
        <v>0</v>
      </c>
      <c r="E1839">
        <f>COUNTIF(Wednesday!I:I, B1839)</f>
        <v>0</v>
      </c>
      <c r="F1839">
        <f>COUNTIF(Thursday!I:I, B1839)</f>
        <v>0</v>
      </c>
      <c r="G1839">
        <f>COUNTIF(Friday!I:I, B1839)</f>
        <v>0</v>
      </c>
      <c r="H1839">
        <f>SUM(C1839:G1839)</f>
        <v>0</v>
      </c>
    </row>
    <row r="1840" spans="1:8" x14ac:dyDescent="0.25">
      <c r="A1840" s="5" t="s">
        <v>1836</v>
      </c>
      <c r="B1840" t="str">
        <f>"*"&amp;A1840&amp;"*"</f>
        <v>*2897: Inadvertent Conversion*</v>
      </c>
      <c r="C1840">
        <f>COUNTIF(Monday!I:I, B1840)</f>
        <v>0</v>
      </c>
      <c r="D1840">
        <f>COUNTIF(Tuesday!I:I, B1840)</f>
        <v>0</v>
      </c>
      <c r="E1840">
        <f>COUNTIF(Wednesday!I:I, B1840)</f>
        <v>0</v>
      </c>
      <c r="F1840">
        <f>COUNTIF(Thursday!I:I, B1840)</f>
        <v>0</v>
      </c>
      <c r="G1840">
        <f>COUNTIF(Friday!I:I, B1840)</f>
        <v>0</v>
      </c>
      <c r="H1840">
        <f>SUM(C1840:G1840)</f>
        <v>0</v>
      </c>
    </row>
    <row r="1841" spans="1:8" x14ac:dyDescent="0.25">
      <c r="A1841" s="5" t="s">
        <v>1837</v>
      </c>
      <c r="B1841" t="str">
        <f>"*"&amp;A1841&amp;"*"</f>
        <v>*2919: Not Fully Converted - After Day 150*</v>
      </c>
      <c r="C1841">
        <f>COUNTIF(Monday!I:I, B1841)</f>
        <v>0</v>
      </c>
      <c r="D1841">
        <f>COUNTIF(Tuesday!I:I, B1841)</f>
        <v>0</v>
      </c>
      <c r="E1841">
        <f>COUNTIF(Wednesday!I:I, B1841)</f>
        <v>0</v>
      </c>
      <c r="F1841">
        <f>COUNTIF(Thursday!I:I, B1841)</f>
        <v>0</v>
      </c>
      <c r="G1841">
        <f>COUNTIF(Friday!I:I, B1841)</f>
        <v>0</v>
      </c>
      <c r="H1841">
        <f>SUM(C1841:G1841)</f>
        <v>0</v>
      </c>
    </row>
    <row r="1842" spans="1:8" x14ac:dyDescent="0.25">
      <c r="A1842" s="5" t="s">
        <v>1838</v>
      </c>
      <c r="B1842" t="str">
        <f>"*"&amp;A1842&amp;"*"</f>
        <v>*2920: Not Fully Converted - After Day 365*</v>
      </c>
      <c r="C1842">
        <f>COUNTIF(Monday!I:I, B1842)</f>
        <v>0</v>
      </c>
      <c r="D1842">
        <f>COUNTIF(Tuesday!I:I, B1842)</f>
        <v>0</v>
      </c>
      <c r="E1842">
        <f>COUNTIF(Wednesday!I:I, B1842)</f>
        <v>0</v>
      </c>
      <c r="F1842">
        <f>COUNTIF(Thursday!I:I, B1842)</f>
        <v>0</v>
      </c>
      <c r="G1842">
        <f>COUNTIF(Friday!I:I, B1842)</f>
        <v>0</v>
      </c>
      <c r="H1842">
        <f>SUM(C1842:G1842)</f>
        <v>0</v>
      </c>
    </row>
    <row r="1843" spans="1:8" x14ac:dyDescent="0.25">
      <c r="A1843" s="5" t="s">
        <v>1839</v>
      </c>
      <c r="B1843" t="str">
        <f>"*"&amp;A1843&amp;"*"</f>
        <v>*2925: Premature Conversion*</v>
      </c>
      <c r="C1843">
        <f>COUNTIF(Monday!I:I, B1843)</f>
        <v>0</v>
      </c>
      <c r="D1843">
        <f>COUNTIF(Tuesday!I:I, B1843)</f>
        <v>0</v>
      </c>
      <c r="E1843">
        <f>COUNTIF(Wednesday!I:I, B1843)</f>
        <v>0</v>
      </c>
      <c r="F1843">
        <f>COUNTIF(Thursday!I:I, B1843)</f>
        <v>0</v>
      </c>
      <c r="G1843">
        <f>COUNTIF(Friday!I:I, B1843)</f>
        <v>0</v>
      </c>
      <c r="H1843">
        <f>SUM(C1843:G1843)</f>
        <v>0</v>
      </c>
    </row>
    <row r="1844" spans="1:8" x14ac:dyDescent="0.25">
      <c r="A1844" s="5" t="s">
        <v>1840</v>
      </c>
      <c r="B1844" t="str">
        <f>"*"&amp;A1844&amp;"*"</f>
        <v>*1738: Insufficient Roll-Off*</v>
      </c>
      <c r="C1844">
        <f>COUNTIF(Monday!I:I, B1844)</f>
        <v>0</v>
      </c>
      <c r="D1844">
        <f>COUNTIF(Tuesday!I:I, B1844)</f>
        <v>0</v>
      </c>
      <c r="E1844">
        <f>COUNTIF(Wednesday!I:I, B1844)</f>
        <v>0</v>
      </c>
      <c r="F1844">
        <f>COUNTIF(Thursday!I:I, B1844)</f>
        <v>0</v>
      </c>
      <c r="G1844">
        <f>COUNTIF(Friday!I:I, B1844)</f>
        <v>0</v>
      </c>
      <c r="H1844">
        <f>SUM(C1844:G1844)</f>
        <v>0</v>
      </c>
    </row>
    <row r="1845" spans="1:8" x14ac:dyDescent="0.25">
      <c r="A1845" s="5" t="s">
        <v>1841</v>
      </c>
      <c r="B1845" t="str">
        <f>"*"&amp;A1845&amp;"*"</f>
        <v>*2878: TRAP_Device Issue*</v>
      </c>
      <c r="C1845">
        <f>COUNTIF(Monday!I:I, B1845)</f>
        <v>0</v>
      </c>
      <c r="D1845">
        <f>COUNTIF(Tuesday!I:I, B1845)</f>
        <v>0</v>
      </c>
      <c r="E1845">
        <f>COUNTIF(Wednesday!I:I, B1845)</f>
        <v>0</v>
      </c>
      <c r="F1845">
        <f>COUNTIF(Thursday!I:I, B1845)</f>
        <v>0</v>
      </c>
      <c r="G1845">
        <f>COUNTIF(Friday!I:I, B1845)</f>
        <v>0</v>
      </c>
      <c r="H1845">
        <f>SUM(C1845:G1845)</f>
        <v>0</v>
      </c>
    </row>
    <row r="1846" spans="1:8" x14ac:dyDescent="0.25">
      <c r="A1846" s="5" t="s">
        <v>1842</v>
      </c>
      <c r="B1846" t="str">
        <f>"*"&amp;A1846&amp;"*"</f>
        <v>*2879: TRAP_DFU Related Issue*</v>
      </c>
      <c r="C1846">
        <f>COUNTIF(Monday!I:I, B1846)</f>
        <v>0</v>
      </c>
      <c r="D1846">
        <f>COUNTIF(Tuesday!I:I, B1846)</f>
        <v>0</v>
      </c>
      <c r="E1846">
        <f>COUNTIF(Wednesday!I:I, B1846)</f>
        <v>0</v>
      </c>
      <c r="F1846">
        <f>COUNTIF(Thursday!I:I, B1846)</f>
        <v>0</v>
      </c>
      <c r="G1846">
        <f>COUNTIF(Friday!I:I, B1846)</f>
        <v>0</v>
      </c>
      <c r="H1846">
        <f>SUM(C1846:G1846)</f>
        <v>0</v>
      </c>
    </row>
    <row r="1847" spans="1:8" x14ac:dyDescent="0.25">
      <c r="A1847" s="5" t="s">
        <v>1843</v>
      </c>
      <c r="B1847" t="str">
        <f>"*"&amp;A1847&amp;"*"</f>
        <v>*1817: Material Discolored*</v>
      </c>
      <c r="C1847">
        <f>COUNTIF(Monday!I:I, B1847)</f>
        <v>0</v>
      </c>
      <c r="D1847">
        <f>COUNTIF(Tuesday!I:I, B1847)</f>
        <v>0</v>
      </c>
      <c r="E1847">
        <f>COUNTIF(Wednesday!I:I, B1847)</f>
        <v>0</v>
      </c>
      <c r="F1847">
        <f>COUNTIF(Thursday!I:I, B1847)</f>
        <v>0</v>
      </c>
      <c r="G1847">
        <f>COUNTIF(Friday!I:I, B1847)</f>
        <v>0</v>
      </c>
      <c r="H1847">
        <f>SUM(C1847:G1847)</f>
        <v>0</v>
      </c>
    </row>
    <row r="1848" spans="1:8" x14ac:dyDescent="0.25">
      <c r="A1848" s="5" t="s">
        <v>1844</v>
      </c>
      <c r="B1848" t="str">
        <f>"*"&amp;A1848&amp;"*"</f>
        <v>*2877: TRAP_Adverse Event Without Identified Device or Use Problem*</v>
      </c>
      <c r="C1848">
        <f>COUNTIF(Monday!I:I, B1848)</f>
        <v>0</v>
      </c>
      <c r="D1848">
        <f>COUNTIF(Tuesday!I:I, B1848)</f>
        <v>0</v>
      </c>
      <c r="E1848">
        <f>COUNTIF(Wednesday!I:I, B1848)</f>
        <v>0</v>
      </c>
      <c r="F1848">
        <f>COUNTIF(Thursday!I:I, B1848)</f>
        <v>0</v>
      </c>
      <c r="G1848">
        <f>COUNTIF(Friday!I:I, B1848)</f>
        <v>0</v>
      </c>
      <c r="H1848">
        <f>SUM(C1848:G1848)</f>
        <v>0</v>
      </c>
    </row>
    <row r="1849" spans="1:8" x14ac:dyDescent="0.25">
      <c r="A1849" s="5" t="s">
        <v>1845</v>
      </c>
      <c r="B1849" t="str">
        <f>"*"&amp;A1849&amp;"*"</f>
        <v>*2880: TRAP_Difficult To Withdraw*</v>
      </c>
      <c r="C1849">
        <f>COUNTIF(Monday!I:I, B1849)</f>
        <v>0</v>
      </c>
      <c r="D1849">
        <f>COUNTIF(Tuesday!I:I, B1849)</f>
        <v>0</v>
      </c>
      <c r="E1849">
        <f>COUNTIF(Wednesday!I:I, B1849)</f>
        <v>0</v>
      </c>
      <c r="F1849">
        <f>COUNTIF(Thursday!I:I, B1849)</f>
        <v>0</v>
      </c>
      <c r="G1849">
        <f>COUNTIF(Friday!I:I, B1849)</f>
        <v>0</v>
      </c>
      <c r="H1849">
        <f>SUM(C1849:G1849)</f>
        <v>0</v>
      </c>
    </row>
    <row r="1850" spans="1:8" x14ac:dyDescent="0.25">
      <c r="A1850" s="5" t="s">
        <v>1846</v>
      </c>
      <c r="B1850" t="str">
        <f>"*"&amp;A1850&amp;"*"</f>
        <v>*2881: TRAP_Tip Separation*</v>
      </c>
      <c r="C1850">
        <f>COUNTIF(Monday!I:I, B1850)</f>
        <v>0</v>
      </c>
      <c r="D1850">
        <f>COUNTIF(Tuesday!I:I, B1850)</f>
        <v>0</v>
      </c>
      <c r="E1850">
        <f>COUNTIF(Wednesday!I:I, B1850)</f>
        <v>0</v>
      </c>
      <c r="F1850">
        <f>COUNTIF(Thursday!I:I, B1850)</f>
        <v>0</v>
      </c>
      <c r="G1850">
        <f>COUNTIF(Friday!I:I, B1850)</f>
        <v>0</v>
      </c>
      <c r="H1850">
        <f>SUM(C1850:G1850)</f>
        <v>0</v>
      </c>
    </row>
    <row r="1851" spans="1:8" x14ac:dyDescent="0.25">
      <c r="A1851" s="5" t="s">
        <v>1847</v>
      </c>
      <c r="B1851" t="str">
        <f>"*"&amp;A1851&amp;"*"</f>
        <v>*1444: Electrode Bond Leak*</v>
      </c>
      <c r="C1851">
        <f>COUNTIF(Monday!I:I, B1851)</f>
        <v>0</v>
      </c>
      <c r="D1851">
        <f>COUNTIF(Tuesday!I:I, B1851)</f>
        <v>0</v>
      </c>
      <c r="E1851">
        <f>COUNTIF(Wednesday!I:I, B1851)</f>
        <v>0</v>
      </c>
      <c r="F1851">
        <f>COUNTIF(Thursday!I:I, B1851)</f>
        <v>0</v>
      </c>
      <c r="G1851">
        <f>COUNTIF(Friday!I:I, B1851)</f>
        <v>0</v>
      </c>
      <c r="H1851">
        <f>SUM(C1851:G1851)</f>
        <v>0</v>
      </c>
    </row>
    <row r="1852" spans="1:8" x14ac:dyDescent="0.25">
      <c r="A1852" s="5" t="s">
        <v>1848</v>
      </c>
      <c r="B1852" t="str">
        <f>"*"&amp;A1852&amp;"*"</f>
        <v>*1441: Electrical Issue - No Continuity*</v>
      </c>
      <c r="C1852">
        <f>COUNTIF(Monday!I:I, B1852)</f>
        <v>0</v>
      </c>
      <c r="D1852">
        <f>COUNTIF(Tuesday!I:I, B1852)</f>
        <v>0</v>
      </c>
      <c r="E1852">
        <f>COUNTIF(Wednesday!I:I, B1852)</f>
        <v>0</v>
      </c>
      <c r="F1852">
        <f>COUNTIF(Thursday!I:I, B1852)</f>
        <v>0</v>
      </c>
      <c r="G1852">
        <f>COUNTIF(Friday!I:I, B1852)</f>
        <v>0</v>
      </c>
      <c r="H1852">
        <f>SUM(C1852:G1852)</f>
        <v>0</v>
      </c>
    </row>
    <row r="1853" spans="1:8" x14ac:dyDescent="0.25">
      <c r="A1853" s="5" t="s">
        <v>1849</v>
      </c>
      <c r="B1853" t="str">
        <f>"*"&amp;A1853&amp;"*"</f>
        <v>*1512: Failure To Deliver Treatment*</v>
      </c>
      <c r="C1853">
        <f>COUNTIF(Monday!I:I, B1853)</f>
        <v>0</v>
      </c>
      <c r="D1853">
        <f>COUNTIF(Tuesday!I:I, B1853)</f>
        <v>0</v>
      </c>
      <c r="E1853">
        <f>COUNTIF(Wednesday!I:I, B1853)</f>
        <v>0</v>
      </c>
      <c r="F1853">
        <f>COUNTIF(Thursday!I:I, B1853)</f>
        <v>0</v>
      </c>
      <c r="G1853">
        <f>COUNTIF(Friday!I:I, B1853)</f>
        <v>0</v>
      </c>
      <c r="H1853">
        <f>SUM(C1853:G1853)</f>
        <v>0</v>
      </c>
    </row>
    <row r="1854" spans="1:8" x14ac:dyDescent="0.25">
      <c r="A1854" s="5" t="s">
        <v>1850</v>
      </c>
      <c r="B1854" t="str">
        <f>"*"&amp;A1854&amp;"*"</f>
        <v>*2008: Message - Open Circuit*</v>
      </c>
      <c r="C1854">
        <f>COUNTIF(Monday!I:I, B1854)</f>
        <v>0</v>
      </c>
      <c r="D1854">
        <f>COUNTIF(Tuesday!I:I, B1854)</f>
        <v>0</v>
      </c>
      <c r="E1854">
        <f>COUNTIF(Wednesday!I:I, B1854)</f>
        <v>0</v>
      </c>
      <c r="F1854">
        <f>COUNTIF(Thursday!I:I, B1854)</f>
        <v>0</v>
      </c>
      <c r="G1854">
        <f>COUNTIF(Friday!I:I, B1854)</f>
        <v>0</v>
      </c>
      <c r="H1854">
        <f>SUM(C1854:G1854)</f>
        <v>0</v>
      </c>
    </row>
    <row r="1855" spans="1:8" x14ac:dyDescent="0.25">
      <c r="A1855" s="5" t="s">
        <v>1851</v>
      </c>
      <c r="B1855" t="str">
        <f>"*"&amp;A1855&amp;"*"</f>
        <v>*1014: Apposition Model - One Or More Electrodes Remain Grey*</v>
      </c>
      <c r="C1855">
        <f>COUNTIF(Monday!I:I, B1855)</f>
        <v>0</v>
      </c>
      <c r="D1855">
        <f>COUNTIF(Tuesday!I:I, B1855)</f>
        <v>0</v>
      </c>
      <c r="E1855">
        <f>COUNTIF(Wednesday!I:I, B1855)</f>
        <v>0</v>
      </c>
      <c r="F1855">
        <f>COUNTIF(Thursday!I:I, B1855)</f>
        <v>0</v>
      </c>
      <c r="G1855">
        <f>COUNTIF(Friday!I:I, B1855)</f>
        <v>0</v>
      </c>
      <c r="H1855">
        <f>SUM(C1855:G1855)</f>
        <v>0</v>
      </c>
    </row>
    <row r="1856" spans="1:8" x14ac:dyDescent="0.25">
      <c r="A1856" s="5" t="s">
        <v>1852</v>
      </c>
      <c r="B1856" t="str">
        <f>"*"&amp;A1856&amp;"*"</f>
        <v>*1015: Apposition Model - One Or More Electrodes Remain Purple*</v>
      </c>
      <c r="C1856">
        <f>COUNTIF(Monday!I:I, B1856)</f>
        <v>0</v>
      </c>
      <c r="D1856">
        <f>COUNTIF(Tuesday!I:I, B1856)</f>
        <v>0</v>
      </c>
      <c r="E1856">
        <f>COUNTIF(Wednesday!I:I, B1856)</f>
        <v>0</v>
      </c>
      <c r="F1856">
        <f>COUNTIF(Thursday!I:I, B1856)</f>
        <v>0</v>
      </c>
      <c r="G1856">
        <f>COUNTIF(Friday!I:I, B1856)</f>
        <v>0</v>
      </c>
      <c r="H1856">
        <f>SUM(C1856:G1856)</f>
        <v>0</v>
      </c>
    </row>
    <row r="1857" spans="1:8" x14ac:dyDescent="0.25">
      <c r="A1857" s="5" t="s">
        <v>1853</v>
      </c>
      <c r="B1857" t="str">
        <f>"*"&amp;A1857&amp;"*"</f>
        <v>*1016: Apposition Model - One Or More Electrodes Remain Yellow*</v>
      </c>
      <c r="C1857">
        <f>COUNTIF(Monday!I:I, B1857)</f>
        <v>0</v>
      </c>
      <c r="D1857">
        <f>COUNTIF(Tuesday!I:I, B1857)</f>
        <v>0</v>
      </c>
      <c r="E1857">
        <f>COUNTIF(Wednesday!I:I, B1857)</f>
        <v>0</v>
      </c>
      <c r="F1857">
        <f>COUNTIF(Thursday!I:I, B1857)</f>
        <v>0</v>
      </c>
      <c r="G1857">
        <f>COUNTIF(Friday!I:I, B1857)</f>
        <v>0</v>
      </c>
      <c r="H1857">
        <f>SUM(C1857:G1857)</f>
        <v>0</v>
      </c>
    </row>
    <row r="1858" spans="1:8" x14ac:dyDescent="0.25">
      <c r="A1858" s="5" t="s">
        <v>1854</v>
      </c>
      <c r="B1858" t="str">
        <f>"*"&amp;A1858&amp;"*"</f>
        <v>*1078: Catheter Connection Not Detected*</v>
      </c>
      <c r="C1858">
        <f>COUNTIF(Monday!I:I, B1858)</f>
        <v>0</v>
      </c>
      <c r="D1858">
        <f>COUNTIF(Tuesday!I:I, B1858)</f>
        <v>0</v>
      </c>
      <c r="E1858">
        <f>COUNTIF(Wednesday!I:I, B1858)</f>
        <v>0</v>
      </c>
      <c r="F1858">
        <f>COUNTIF(Thursday!I:I, B1858)</f>
        <v>0</v>
      </c>
      <c r="G1858">
        <f>COUNTIF(Friday!I:I, B1858)</f>
        <v>0</v>
      </c>
      <c r="H1858">
        <f>SUM(C1858:G1858)</f>
        <v>0</v>
      </c>
    </row>
    <row r="1859" spans="1:8" x14ac:dyDescent="0.25">
      <c r="A1859" s="5" t="s">
        <v>1855</v>
      </c>
      <c r="B1859" t="str">
        <f>"*"&amp;A1859&amp;"*"</f>
        <v>*1935: Message - Error 303 - Intermittent Catheter Connection*</v>
      </c>
      <c r="C1859">
        <f>COUNTIF(Monday!I:I, B1859)</f>
        <v>0</v>
      </c>
      <c r="D1859">
        <f>COUNTIF(Tuesday!I:I, B1859)</f>
        <v>0</v>
      </c>
      <c r="E1859">
        <f>COUNTIF(Wednesday!I:I, B1859)</f>
        <v>0</v>
      </c>
      <c r="F1859">
        <f>COUNTIF(Thursday!I:I, B1859)</f>
        <v>0</v>
      </c>
      <c r="G1859">
        <f>COUNTIF(Friday!I:I, B1859)</f>
        <v>0</v>
      </c>
      <c r="H1859">
        <f>SUM(C1859:G1859)</f>
        <v>0</v>
      </c>
    </row>
    <row r="1860" spans="1:8" x14ac:dyDescent="0.25">
      <c r="A1860" s="5" t="s">
        <v>1856</v>
      </c>
      <c r="B1860" t="str">
        <f>"*"&amp;A1860&amp;"*"</f>
        <v>*2425: Treatment Interrupted By Generator*</v>
      </c>
      <c r="C1860">
        <f>COUNTIF(Monday!I:I, B1860)</f>
        <v>0</v>
      </c>
      <c r="D1860">
        <f>COUNTIF(Tuesday!I:I, B1860)</f>
        <v>0</v>
      </c>
      <c r="E1860">
        <f>COUNTIF(Wednesday!I:I, B1860)</f>
        <v>0</v>
      </c>
      <c r="F1860">
        <f>COUNTIF(Thursday!I:I, B1860)</f>
        <v>0</v>
      </c>
      <c r="G1860">
        <f>COUNTIF(Friday!I:I, B1860)</f>
        <v>0</v>
      </c>
      <c r="H1860">
        <f>SUM(C1860:G1860)</f>
        <v>0</v>
      </c>
    </row>
    <row r="1861" spans="1:8" x14ac:dyDescent="0.25">
      <c r="A1861" s="5" t="s">
        <v>1857</v>
      </c>
      <c r="B1861" t="str">
        <f>"*"&amp;A1861&amp;"*"</f>
        <v>*2936: Difficult to Visualize Under Fluoroscopy*</v>
      </c>
      <c r="C1861">
        <f>COUNTIF(Monday!I:I, B1861)</f>
        <v>0</v>
      </c>
      <c r="D1861">
        <f>COUNTIF(Tuesday!I:I, B1861)</f>
        <v>0</v>
      </c>
      <c r="E1861">
        <f>COUNTIF(Wednesday!I:I, B1861)</f>
        <v>0</v>
      </c>
      <c r="F1861">
        <f>COUNTIF(Thursday!I:I, B1861)</f>
        <v>0</v>
      </c>
      <c r="G1861">
        <f>COUNTIF(Friday!I:I, B1861)</f>
        <v>0</v>
      </c>
      <c r="H1861">
        <f>SUM(C1861:G1861)</f>
        <v>0</v>
      </c>
    </row>
    <row r="1862" spans="1:8" x14ac:dyDescent="0.25">
      <c r="A1862" s="5" t="s">
        <v>1858</v>
      </c>
      <c r="B1862" t="str">
        <f>"*"&amp;A1862&amp;"*"</f>
        <v>*1320: Difficult To Insert Through Guide/Introducer Sheath*</v>
      </c>
      <c r="C1862">
        <f>COUNTIF(Monday!I:I, B1862)</f>
        <v>0</v>
      </c>
      <c r="D1862">
        <f>COUNTIF(Tuesday!I:I, B1862)</f>
        <v>0</v>
      </c>
      <c r="E1862">
        <f>COUNTIF(Wednesday!I:I, B1862)</f>
        <v>0</v>
      </c>
      <c r="F1862">
        <f>COUNTIF(Thursday!I:I, B1862)</f>
        <v>0</v>
      </c>
      <c r="G1862">
        <f>COUNTIF(Friday!I:I, B1862)</f>
        <v>0</v>
      </c>
      <c r="H1862">
        <f>SUM(C1862:G1862)</f>
        <v>0</v>
      </c>
    </row>
    <row r="1863" spans="1:8" x14ac:dyDescent="0.25">
      <c r="A1863" s="5" t="s">
        <v>1859</v>
      </c>
      <c r="B1863" t="str">
        <f>"*"&amp;A1863&amp;"*"</f>
        <v>*1180: Deployed In Outer Sheath*</v>
      </c>
      <c r="C1863">
        <f>COUNTIF(Monday!I:I, B1863)</f>
        <v>0</v>
      </c>
      <c r="D1863">
        <f>COUNTIF(Tuesday!I:I, B1863)</f>
        <v>0</v>
      </c>
      <c r="E1863">
        <f>COUNTIF(Wednesday!I:I, B1863)</f>
        <v>0</v>
      </c>
      <c r="F1863">
        <f>COUNTIF(Thursday!I:I, B1863)</f>
        <v>0</v>
      </c>
      <c r="G1863">
        <f>COUNTIF(Friday!I:I, B1863)</f>
        <v>0</v>
      </c>
      <c r="H1863">
        <f>SUM(C1863:G1863)</f>
        <v>0</v>
      </c>
    </row>
    <row r="1864" spans="1:8" x14ac:dyDescent="0.25">
      <c r="A1864" s="5" t="s">
        <v>1860</v>
      </c>
      <c r="B1864" t="str">
        <f>"*"&amp;A1864&amp;"*"</f>
        <v>*3259: Difficult/Failure To Perform Sleeve Pull*</v>
      </c>
      <c r="C1864">
        <f>COUNTIF(Monday!I:I, B1864)</f>
        <v>0</v>
      </c>
      <c r="D1864">
        <f>COUNTIF(Tuesday!I:I, B1864)</f>
        <v>0</v>
      </c>
      <c r="E1864">
        <f>COUNTIF(Wednesday!I:I, B1864)</f>
        <v>0</v>
      </c>
      <c r="F1864">
        <f>COUNTIF(Thursday!I:I, B1864)</f>
        <v>0</v>
      </c>
      <c r="G1864">
        <f>COUNTIF(Friday!I:I, B1864)</f>
        <v>0</v>
      </c>
      <c r="H1864">
        <f>SUM(C1864:G1864)</f>
        <v>0</v>
      </c>
    </row>
    <row r="1865" spans="1:8" x14ac:dyDescent="0.25">
      <c r="A1865" s="5" t="s">
        <v>1861</v>
      </c>
      <c r="B1865" t="str">
        <f>"*"&amp;A1865&amp;"*"</f>
        <v>*3260: Difficult/Failure To Reload Device*</v>
      </c>
      <c r="C1865">
        <f>COUNTIF(Monday!I:I, B1865)</f>
        <v>0</v>
      </c>
      <c r="D1865">
        <f>COUNTIF(Tuesday!I:I, B1865)</f>
        <v>0</v>
      </c>
      <c r="E1865">
        <f>COUNTIF(Wednesday!I:I, B1865)</f>
        <v>0</v>
      </c>
      <c r="F1865">
        <f>COUNTIF(Thursday!I:I, B1865)</f>
        <v>0</v>
      </c>
      <c r="G1865">
        <f>COUNTIF(Friday!I:I, B1865)</f>
        <v>0</v>
      </c>
      <c r="H1865">
        <f>SUM(C1865:G1865)</f>
        <v>0</v>
      </c>
    </row>
    <row r="1866" spans="1:8" x14ac:dyDescent="0.25">
      <c r="A1866" s="5" t="s">
        <v>1862</v>
      </c>
      <c r="B1866" t="str">
        <f>"*"&amp;A1866&amp;"*"</f>
        <v>*1678: Image Resolution Poor*</v>
      </c>
      <c r="C1866">
        <f>COUNTIF(Monday!I:I, B1866)</f>
        <v>0</v>
      </c>
      <c r="D1866">
        <f>COUNTIF(Tuesday!I:I, B1866)</f>
        <v>0</v>
      </c>
      <c r="E1866">
        <f>COUNTIF(Wednesday!I:I, B1866)</f>
        <v>0</v>
      </c>
      <c r="F1866">
        <f>COUNTIF(Thursday!I:I, B1866)</f>
        <v>0</v>
      </c>
      <c r="G1866">
        <f>COUNTIF(Friday!I:I, B1866)</f>
        <v>0</v>
      </c>
      <c r="H1866">
        <f>SUM(C1866:G1866)</f>
        <v>0</v>
      </c>
    </row>
    <row r="1867" spans="1:8" x14ac:dyDescent="0.25">
      <c r="A1867" s="5" t="s">
        <v>1863</v>
      </c>
      <c r="B1867" t="str">
        <f>"*"&amp;A1867&amp;"*"</f>
        <v>*3139: Radioactive Contamination*</v>
      </c>
      <c r="C1867">
        <f>COUNTIF(Monday!I:I, B1867)</f>
        <v>0</v>
      </c>
      <c r="D1867">
        <f>COUNTIF(Tuesday!I:I, B1867)</f>
        <v>0</v>
      </c>
      <c r="E1867">
        <f>COUNTIF(Wednesday!I:I, B1867)</f>
        <v>0</v>
      </c>
      <c r="F1867">
        <f>COUNTIF(Thursday!I:I, B1867)</f>
        <v>0</v>
      </c>
      <c r="G1867">
        <f>COUNTIF(Friday!I:I, B1867)</f>
        <v>0</v>
      </c>
      <c r="H1867">
        <f>SUM(C1867:G1867)</f>
        <v>0</v>
      </c>
    </row>
    <row r="1868" spans="1:8" x14ac:dyDescent="0.25">
      <c r="A1868" s="5" t="s">
        <v>1864</v>
      </c>
      <c r="B1868" t="str">
        <f>"*"&amp;A1868&amp;"*"</f>
        <v>*3133: Overdose*</v>
      </c>
      <c r="C1868">
        <f>COUNTIF(Monday!I:I, B1868)</f>
        <v>0</v>
      </c>
      <c r="D1868">
        <f>COUNTIF(Tuesday!I:I, B1868)</f>
        <v>0</v>
      </c>
      <c r="E1868">
        <f>COUNTIF(Wednesday!I:I, B1868)</f>
        <v>0</v>
      </c>
      <c r="F1868">
        <f>COUNTIF(Thursday!I:I, B1868)</f>
        <v>0</v>
      </c>
      <c r="G1868">
        <f>COUNTIF(Friday!I:I, B1868)</f>
        <v>0</v>
      </c>
      <c r="H1868">
        <f>SUM(C1868:G1868)</f>
        <v>0</v>
      </c>
    </row>
    <row r="1869" spans="1:8" x14ac:dyDescent="0.25">
      <c r="A1869" s="5" t="s">
        <v>1865</v>
      </c>
      <c r="B1869" t="str">
        <f>"*"&amp;A1869&amp;"*"</f>
        <v>*3134: Underdose*</v>
      </c>
      <c r="C1869">
        <f>COUNTIF(Monday!I:I, B1869)</f>
        <v>0</v>
      </c>
      <c r="D1869">
        <f>COUNTIF(Tuesday!I:I, B1869)</f>
        <v>0</v>
      </c>
      <c r="E1869">
        <f>COUNTIF(Wednesday!I:I, B1869)</f>
        <v>0</v>
      </c>
      <c r="F1869">
        <f>COUNTIF(Thursday!I:I, B1869)</f>
        <v>0</v>
      </c>
      <c r="G1869">
        <f>COUNTIF(Friday!I:I, B1869)</f>
        <v>0</v>
      </c>
      <c r="H1869">
        <f>SUM(C1869:G1869)</f>
        <v>0</v>
      </c>
    </row>
    <row r="1870" spans="1:8" x14ac:dyDescent="0.25">
      <c r="A1870" s="5" t="s">
        <v>1866</v>
      </c>
      <c r="B1870" t="str">
        <f>"*"&amp;A1870&amp;"*"</f>
        <v>*3135: High Back Pressure*</v>
      </c>
      <c r="C1870">
        <f>COUNTIF(Monday!I:I, B1870)</f>
        <v>0</v>
      </c>
      <c r="D1870">
        <f>COUNTIF(Tuesday!I:I, B1870)</f>
        <v>0</v>
      </c>
      <c r="E1870">
        <f>COUNTIF(Wednesday!I:I, B1870)</f>
        <v>0</v>
      </c>
      <c r="F1870">
        <f>COUNTIF(Thursday!I:I, B1870)</f>
        <v>0</v>
      </c>
      <c r="G1870">
        <f>COUNTIF(Friday!I:I, B1870)</f>
        <v>0</v>
      </c>
      <c r="H1870">
        <f>SUM(C1870:G1870)</f>
        <v>0</v>
      </c>
    </row>
    <row r="1871" spans="1:8" x14ac:dyDescent="0.25">
      <c r="A1871" s="5" t="s">
        <v>1867</v>
      </c>
      <c r="B1871" t="str">
        <f>"*"&amp;A1871&amp;"*"</f>
        <v>*3136: Activity Issue*</v>
      </c>
      <c r="C1871">
        <f>COUNTIF(Monday!I:I, B1871)</f>
        <v>0</v>
      </c>
      <c r="D1871">
        <f>COUNTIF(Tuesday!I:I, B1871)</f>
        <v>0</v>
      </c>
      <c r="E1871">
        <f>COUNTIF(Wednesday!I:I, B1871)</f>
        <v>0</v>
      </c>
      <c r="F1871">
        <f>COUNTIF(Thursday!I:I, B1871)</f>
        <v>0</v>
      </c>
      <c r="G1871">
        <f>COUNTIF(Friday!I:I, B1871)</f>
        <v>0</v>
      </c>
      <c r="H1871">
        <f>SUM(C1871:G1871)</f>
        <v>0</v>
      </c>
    </row>
    <row r="1872" spans="1:8" x14ac:dyDescent="0.25">
      <c r="A1872" s="5" t="s">
        <v>1868</v>
      </c>
      <c r="B1872" t="str">
        <f>"*"&amp;A1872&amp;"*"</f>
        <v>*1117: Communication - PII Issue*</v>
      </c>
      <c r="C1872">
        <f>COUNTIF(Monday!I:I, B1872)</f>
        <v>0</v>
      </c>
      <c r="D1872">
        <f>COUNTIF(Tuesday!I:I, B1872)</f>
        <v>0</v>
      </c>
      <c r="E1872">
        <f>COUNTIF(Wednesday!I:I, B1872)</f>
        <v>0</v>
      </c>
      <c r="F1872">
        <f>COUNTIF(Thursday!I:I, B1872)</f>
        <v>0</v>
      </c>
      <c r="G1872">
        <f>COUNTIF(Friday!I:I, B1872)</f>
        <v>0</v>
      </c>
      <c r="H1872">
        <f>SUM(C1872:G1872)</f>
        <v>0</v>
      </c>
    </row>
    <row r="1873" spans="1:8" x14ac:dyDescent="0.25">
      <c r="A1873" s="5" t="s">
        <v>1869</v>
      </c>
      <c r="B1873" t="str">
        <f>"*"&amp;A1873&amp;"*"</f>
        <v>*1123: Communicator Issue*</v>
      </c>
      <c r="C1873">
        <f>COUNTIF(Monday!I:I, B1873)</f>
        <v>0</v>
      </c>
      <c r="D1873">
        <f>COUNTIF(Tuesday!I:I, B1873)</f>
        <v>0</v>
      </c>
      <c r="E1873">
        <f>COUNTIF(Wednesday!I:I, B1873)</f>
        <v>0</v>
      </c>
      <c r="F1873">
        <f>COUNTIF(Thursday!I:I, B1873)</f>
        <v>0</v>
      </c>
      <c r="G1873">
        <f>COUNTIF(Friday!I:I, B1873)</f>
        <v>0</v>
      </c>
      <c r="H1873">
        <f>SUM(C1873:G1873)</f>
        <v>0</v>
      </c>
    </row>
    <row r="1874" spans="1:8" x14ac:dyDescent="0.25">
      <c r="A1874" s="5" t="s">
        <v>1870</v>
      </c>
      <c r="B1874" t="str">
        <f>"*"&amp;A1874&amp;"*"</f>
        <v>*1136: Connection Issue - POTS*</v>
      </c>
      <c r="C1874">
        <f>COUNTIF(Monday!I:I, B1874)</f>
        <v>0</v>
      </c>
      <c r="D1874">
        <f>COUNTIF(Tuesday!I:I, B1874)</f>
        <v>0</v>
      </c>
      <c r="E1874">
        <f>COUNTIF(Wednesday!I:I, B1874)</f>
        <v>0</v>
      </c>
      <c r="F1874">
        <f>COUNTIF(Thursday!I:I, B1874)</f>
        <v>0</v>
      </c>
      <c r="G1874">
        <f>COUNTIF(Friday!I:I, B1874)</f>
        <v>0</v>
      </c>
      <c r="H1874">
        <f>SUM(C1874:G1874)</f>
        <v>0</v>
      </c>
    </row>
    <row r="1875" spans="1:8" x14ac:dyDescent="0.25">
      <c r="A1875" s="5" t="s">
        <v>1871</v>
      </c>
      <c r="B1875" t="str">
        <f>"*"&amp;A1875&amp;"*"</f>
        <v>*1451: EMR Issue*</v>
      </c>
      <c r="C1875">
        <f>COUNTIF(Monday!I:I, B1875)</f>
        <v>0</v>
      </c>
      <c r="D1875">
        <f>COUNTIF(Tuesday!I:I, B1875)</f>
        <v>0</v>
      </c>
      <c r="E1875">
        <f>COUNTIF(Wednesday!I:I, B1875)</f>
        <v>0</v>
      </c>
      <c r="F1875">
        <f>COUNTIF(Thursday!I:I, B1875)</f>
        <v>0</v>
      </c>
      <c r="G1875">
        <f>COUNTIF(Friday!I:I, B1875)</f>
        <v>0</v>
      </c>
      <c r="H1875">
        <f>SUM(C1875:G1875)</f>
        <v>0</v>
      </c>
    </row>
    <row r="1876" spans="1:8" x14ac:dyDescent="0.25">
      <c r="A1876" s="5" t="s">
        <v>1872</v>
      </c>
      <c r="B1876" t="str">
        <f>"*"&amp;A1876&amp;"*"</f>
        <v>*1452: Enrollment - Incorrect Enrollment*</v>
      </c>
      <c r="C1876">
        <f>COUNTIF(Monday!I:I, B1876)</f>
        <v>0</v>
      </c>
      <c r="D1876">
        <f>COUNTIF(Tuesday!I:I, B1876)</f>
        <v>0</v>
      </c>
      <c r="E1876">
        <f>COUNTIF(Wednesday!I:I, B1876)</f>
        <v>0</v>
      </c>
      <c r="F1876">
        <f>COUNTIF(Thursday!I:I, B1876)</f>
        <v>0</v>
      </c>
      <c r="G1876">
        <f>COUNTIF(Friday!I:I, B1876)</f>
        <v>0</v>
      </c>
      <c r="H1876">
        <f>SUM(C1876:G1876)</f>
        <v>0</v>
      </c>
    </row>
    <row r="1877" spans="1:8" x14ac:dyDescent="0.25">
      <c r="A1877" s="5" t="s">
        <v>1873</v>
      </c>
      <c r="B1877" t="str">
        <f>"*"&amp;A1877&amp;"*"</f>
        <v>*1453: Enrollment - New PG With Old Communicator*</v>
      </c>
      <c r="C1877">
        <f>COUNTIF(Monday!I:I, B1877)</f>
        <v>0</v>
      </c>
      <c r="D1877">
        <f>COUNTIF(Tuesday!I:I, B1877)</f>
        <v>0</v>
      </c>
      <c r="E1877">
        <f>COUNTIF(Wednesday!I:I, B1877)</f>
        <v>0</v>
      </c>
      <c r="F1877">
        <f>COUNTIF(Thursday!I:I, B1877)</f>
        <v>0</v>
      </c>
      <c r="G1877">
        <f>COUNTIF(Friday!I:I, B1877)</f>
        <v>0</v>
      </c>
      <c r="H1877">
        <f>SUM(C1877:G1877)</f>
        <v>0</v>
      </c>
    </row>
    <row r="1878" spans="1:8" x14ac:dyDescent="0.25">
      <c r="A1878" s="5" t="s">
        <v>1874</v>
      </c>
      <c r="B1878" t="str">
        <f>"*"&amp;A1878&amp;"*"</f>
        <v>*1454: Enrollment - Patient Not Enrolled*</v>
      </c>
      <c r="C1878">
        <f>COUNTIF(Monday!I:I, B1878)</f>
        <v>0</v>
      </c>
      <c r="D1878">
        <f>COUNTIF(Tuesday!I:I, B1878)</f>
        <v>0</v>
      </c>
      <c r="E1878">
        <f>COUNTIF(Wednesday!I:I, B1878)</f>
        <v>0</v>
      </c>
      <c r="F1878">
        <f>COUNTIF(Thursday!I:I, B1878)</f>
        <v>0</v>
      </c>
      <c r="G1878">
        <f>COUNTIF(Friday!I:I, B1878)</f>
        <v>0</v>
      </c>
      <c r="H1878">
        <f>SUM(C1878:G1878)</f>
        <v>0</v>
      </c>
    </row>
    <row r="1879" spans="1:8" x14ac:dyDescent="0.25">
      <c r="A1879" s="5" t="s">
        <v>1875</v>
      </c>
      <c r="B1879" t="str">
        <f>"*"&amp;A1879&amp;"*"</f>
        <v>*1472: Failed Payload*</v>
      </c>
      <c r="C1879">
        <f>COUNTIF(Monday!I:I, B1879)</f>
        <v>0</v>
      </c>
      <c r="D1879">
        <f>COUNTIF(Tuesday!I:I, B1879)</f>
        <v>0</v>
      </c>
      <c r="E1879">
        <f>COUNTIF(Wednesday!I:I, B1879)</f>
        <v>0</v>
      </c>
      <c r="F1879">
        <f>COUNTIF(Thursday!I:I, B1879)</f>
        <v>0</v>
      </c>
      <c r="G1879">
        <f>COUNTIF(Friday!I:I, B1879)</f>
        <v>0</v>
      </c>
      <c r="H1879">
        <f>SUM(C1879:G1879)</f>
        <v>0</v>
      </c>
    </row>
    <row r="1880" spans="1:8" x14ac:dyDescent="0.25">
      <c r="A1880" s="5" t="s">
        <v>1876</v>
      </c>
      <c r="B1880" t="str">
        <f>"*"&amp;A1880&amp;"*"</f>
        <v>*1665: Health Questions*</v>
      </c>
      <c r="C1880">
        <f>COUNTIF(Monday!I:I, B1880)</f>
        <v>0</v>
      </c>
      <c r="D1880">
        <f>COUNTIF(Tuesday!I:I, B1880)</f>
        <v>0</v>
      </c>
      <c r="E1880">
        <f>COUNTIF(Wednesday!I:I, B1880)</f>
        <v>0</v>
      </c>
      <c r="F1880">
        <f>COUNTIF(Thursday!I:I, B1880)</f>
        <v>0</v>
      </c>
      <c r="G1880">
        <f>COUNTIF(Friday!I:I, B1880)</f>
        <v>0</v>
      </c>
      <c r="H1880">
        <f>SUM(C1880:G1880)</f>
        <v>0</v>
      </c>
    </row>
    <row r="1881" spans="1:8" x14ac:dyDescent="0.25">
      <c r="A1881" s="5" t="s">
        <v>1877</v>
      </c>
      <c r="B1881" t="str">
        <f>"*"&amp;A1881&amp;"*"</f>
        <v>*1793: Log-In Issue*</v>
      </c>
      <c r="C1881">
        <f>COUNTIF(Monday!I:I, B1881)</f>
        <v>0</v>
      </c>
      <c r="D1881">
        <f>COUNTIF(Tuesday!I:I, B1881)</f>
        <v>0</v>
      </c>
      <c r="E1881">
        <f>COUNTIF(Wednesday!I:I, B1881)</f>
        <v>0</v>
      </c>
      <c r="F1881">
        <f>COUNTIF(Thursday!I:I, B1881)</f>
        <v>0</v>
      </c>
      <c r="G1881">
        <f>COUNTIF(Friday!I:I, B1881)</f>
        <v>0</v>
      </c>
      <c r="H1881">
        <f>SUM(C1881:G1881)</f>
        <v>0</v>
      </c>
    </row>
    <row r="1882" spans="1:8" x14ac:dyDescent="0.25">
      <c r="A1882" s="5" t="s">
        <v>1878</v>
      </c>
      <c r="B1882" t="str">
        <f>"*"&amp;A1882&amp;"*"</f>
        <v>*1922: Message - Device/PG Out Of Range*</v>
      </c>
      <c r="C1882">
        <f>COUNTIF(Monday!I:I, B1882)</f>
        <v>0</v>
      </c>
      <c r="D1882">
        <f>COUNTIF(Tuesday!I:I, B1882)</f>
        <v>0</v>
      </c>
      <c r="E1882">
        <f>COUNTIF(Wednesday!I:I, B1882)</f>
        <v>0</v>
      </c>
      <c r="F1882">
        <f>COUNTIF(Thursday!I:I, B1882)</f>
        <v>0</v>
      </c>
      <c r="G1882">
        <f>COUNTIF(Friday!I:I, B1882)</f>
        <v>0</v>
      </c>
      <c r="H1882">
        <f>SUM(C1882:G1882)</f>
        <v>0</v>
      </c>
    </row>
    <row r="1883" spans="1:8" x14ac:dyDescent="0.25">
      <c r="A1883" s="5" t="s">
        <v>1879</v>
      </c>
      <c r="B1883" t="str">
        <f>"*"&amp;A1883&amp;"*"</f>
        <v>*1988: Message - Hardware Failure*</v>
      </c>
      <c r="C1883">
        <f>COUNTIF(Monday!I:I, B1883)</f>
        <v>0</v>
      </c>
      <c r="D1883">
        <f>COUNTIF(Tuesday!I:I, B1883)</f>
        <v>0</v>
      </c>
      <c r="E1883">
        <f>COUNTIF(Wednesday!I:I, B1883)</f>
        <v>0</v>
      </c>
      <c r="F1883">
        <f>COUNTIF(Thursday!I:I, B1883)</f>
        <v>0</v>
      </c>
      <c r="G1883">
        <f>COUNTIF(Friday!I:I, B1883)</f>
        <v>0</v>
      </c>
      <c r="H1883">
        <f>SUM(C1883:G1883)</f>
        <v>0</v>
      </c>
    </row>
    <row r="1884" spans="1:8" x14ac:dyDescent="0.25">
      <c r="A1884" s="5" t="s">
        <v>1880</v>
      </c>
      <c r="B1884" t="str">
        <f>"*"&amp;A1884&amp;"*"</f>
        <v>*1992: Message - LATITUDE Temporarily Unavailable*</v>
      </c>
      <c r="C1884">
        <f>COUNTIF(Monday!I:I, B1884)</f>
        <v>0</v>
      </c>
      <c r="D1884">
        <f>COUNTIF(Tuesday!I:I, B1884)</f>
        <v>0</v>
      </c>
      <c r="E1884">
        <f>COUNTIF(Wednesday!I:I, B1884)</f>
        <v>0</v>
      </c>
      <c r="F1884">
        <f>COUNTIF(Thursday!I:I, B1884)</f>
        <v>0</v>
      </c>
      <c r="G1884">
        <f>COUNTIF(Friday!I:I, B1884)</f>
        <v>0</v>
      </c>
      <c r="H1884">
        <f>SUM(C1884:G1884)</f>
        <v>0</v>
      </c>
    </row>
    <row r="1885" spans="1:8" x14ac:dyDescent="0.25">
      <c r="A1885" s="5" t="s">
        <v>1881</v>
      </c>
      <c r="B1885" t="str">
        <f>"*"&amp;A1885&amp;"*"</f>
        <v>*1998: Message - Monitoring Suspended*</v>
      </c>
      <c r="C1885">
        <f>COUNTIF(Monday!I:I, B1885)</f>
        <v>0</v>
      </c>
      <c r="D1885">
        <f>COUNTIF(Tuesday!I:I, B1885)</f>
        <v>0</v>
      </c>
      <c r="E1885">
        <f>COUNTIF(Wednesday!I:I, B1885)</f>
        <v>0</v>
      </c>
      <c r="F1885">
        <f>COUNTIF(Thursday!I:I, B1885)</f>
        <v>0</v>
      </c>
      <c r="G1885">
        <f>COUNTIF(Friday!I:I, B1885)</f>
        <v>0</v>
      </c>
      <c r="H1885">
        <f>SUM(C1885:G1885)</f>
        <v>0</v>
      </c>
    </row>
    <row r="1886" spans="1:8" x14ac:dyDescent="0.25">
      <c r="A1886" s="5" t="s">
        <v>1882</v>
      </c>
      <c r="B1886" t="str">
        <f>"*"&amp;A1886&amp;"*"</f>
        <v>*2004: Message - No Dial Tone*</v>
      </c>
      <c r="C1886">
        <f>COUNTIF(Monday!I:I, B1886)</f>
        <v>0</v>
      </c>
      <c r="D1886">
        <f>COUNTIF(Tuesday!I:I, B1886)</f>
        <v>0</v>
      </c>
      <c r="E1886">
        <f>COUNTIF(Wednesday!I:I, B1886)</f>
        <v>0</v>
      </c>
      <c r="F1886">
        <f>COUNTIF(Thursday!I:I, B1886)</f>
        <v>0</v>
      </c>
      <c r="G1886">
        <f>COUNTIF(Friday!I:I, B1886)</f>
        <v>0</v>
      </c>
      <c r="H1886">
        <f>SUM(C1886:G1886)</f>
        <v>0</v>
      </c>
    </row>
    <row r="1887" spans="1:8" x14ac:dyDescent="0.25">
      <c r="A1887" s="5" t="s">
        <v>1883</v>
      </c>
      <c r="B1887" t="str">
        <f>"*"&amp;A1887&amp;"*"</f>
        <v>*2005: Message - No Red Alert*</v>
      </c>
      <c r="C1887">
        <f>COUNTIF(Monday!I:I, B1887)</f>
        <v>0</v>
      </c>
      <c r="D1887">
        <f>COUNTIF(Tuesday!I:I, B1887)</f>
        <v>0</v>
      </c>
      <c r="E1887">
        <f>COUNTIF(Wednesday!I:I, B1887)</f>
        <v>0</v>
      </c>
      <c r="F1887">
        <f>COUNTIF(Thursday!I:I, B1887)</f>
        <v>0</v>
      </c>
      <c r="G1887">
        <f>COUNTIF(Friday!I:I, B1887)</f>
        <v>0</v>
      </c>
      <c r="H1887">
        <f>SUM(C1887:G1887)</f>
        <v>0</v>
      </c>
    </row>
    <row r="1888" spans="1:8" x14ac:dyDescent="0.25">
      <c r="A1888" s="5" t="s">
        <v>1884</v>
      </c>
      <c r="B1888" t="str">
        <f>"*"&amp;A1888&amp;"*"</f>
        <v>*2006: Message - No Yellow Alert*</v>
      </c>
      <c r="C1888">
        <f>COUNTIF(Monday!I:I, B1888)</f>
        <v>0</v>
      </c>
      <c r="D1888">
        <f>COUNTIF(Tuesday!I:I, B1888)</f>
        <v>0</v>
      </c>
      <c r="E1888">
        <f>COUNTIF(Wednesday!I:I, B1888)</f>
        <v>0</v>
      </c>
      <c r="F1888">
        <f>COUNTIF(Thursday!I:I, B1888)</f>
        <v>0</v>
      </c>
      <c r="G1888">
        <f>COUNTIF(Friday!I:I, B1888)</f>
        <v>0</v>
      </c>
      <c r="H1888">
        <f>SUM(C1888:G1888)</f>
        <v>0</v>
      </c>
    </row>
    <row r="1889" spans="1:8" x14ac:dyDescent="0.25">
      <c r="A1889" s="5" t="s">
        <v>1885</v>
      </c>
      <c r="B1889" t="str">
        <f>"*"&amp;A1889&amp;"*"</f>
        <v>*2023: Message - Red Alert*</v>
      </c>
      <c r="C1889">
        <f>COUNTIF(Monday!I:I, B1889)</f>
        <v>0</v>
      </c>
      <c r="D1889">
        <f>COUNTIF(Tuesday!I:I, B1889)</f>
        <v>0</v>
      </c>
      <c r="E1889">
        <f>COUNTIF(Wednesday!I:I, B1889)</f>
        <v>0</v>
      </c>
      <c r="F1889">
        <f>COUNTIF(Thursday!I:I, B1889)</f>
        <v>0</v>
      </c>
      <c r="G1889">
        <f>COUNTIF(Friday!I:I, B1889)</f>
        <v>0</v>
      </c>
      <c r="H1889">
        <f>SUM(C1889:G1889)</f>
        <v>0</v>
      </c>
    </row>
    <row r="1890" spans="1:8" x14ac:dyDescent="0.25">
      <c r="A1890" s="5" t="s">
        <v>1886</v>
      </c>
      <c r="B1890" t="str">
        <f>"*"&amp;A1890&amp;"*"</f>
        <v>*2059: Message - Yellow Alert*</v>
      </c>
      <c r="C1890">
        <f>COUNTIF(Monday!I:I, B1890)</f>
        <v>0</v>
      </c>
      <c r="D1890">
        <f>COUNTIF(Tuesday!I:I, B1890)</f>
        <v>0</v>
      </c>
      <c r="E1890">
        <f>COUNTIF(Wednesday!I:I, B1890)</f>
        <v>0</v>
      </c>
      <c r="F1890">
        <f>COUNTIF(Thursday!I:I, B1890)</f>
        <v>0</v>
      </c>
      <c r="G1890">
        <f>COUNTIF(Friday!I:I, B1890)</f>
        <v>0</v>
      </c>
      <c r="H1890">
        <f>SUM(C1890:G1890)</f>
        <v>0</v>
      </c>
    </row>
    <row r="1891" spans="1:8" x14ac:dyDescent="0.25">
      <c r="A1891" s="5" t="s">
        <v>1887</v>
      </c>
      <c r="B1891" t="str">
        <f>"*"&amp;A1891&amp;"*"</f>
        <v>*2060: Message - Yellow Alert Fax Issue*</v>
      </c>
      <c r="C1891">
        <f>COUNTIF(Monday!I:I, B1891)</f>
        <v>0</v>
      </c>
      <c r="D1891">
        <f>COUNTIF(Tuesday!I:I, B1891)</f>
        <v>0</v>
      </c>
      <c r="E1891">
        <f>COUNTIF(Wednesday!I:I, B1891)</f>
        <v>0</v>
      </c>
      <c r="F1891">
        <f>COUNTIF(Thursday!I:I, B1891)</f>
        <v>0</v>
      </c>
      <c r="G1891">
        <f>COUNTIF(Friday!I:I, B1891)</f>
        <v>0</v>
      </c>
      <c r="H1891">
        <f>SUM(C1891:G1891)</f>
        <v>0</v>
      </c>
    </row>
    <row r="1892" spans="1:8" x14ac:dyDescent="0.25">
      <c r="A1892" s="5" t="s">
        <v>1888</v>
      </c>
      <c r="B1892" t="str">
        <f>"*"&amp;A1892&amp;"*"</f>
        <v>*2200: Permissions Issue*</v>
      </c>
      <c r="C1892">
        <f>COUNTIF(Monday!I:I, B1892)</f>
        <v>0</v>
      </c>
      <c r="D1892">
        <f>COUNTIF(Tuesday!I:I, B1892)</f>
        <v>0</v>
      </c>
      <c r="E1892">
        <f>COUNTIF(Wednesday!I:I, B1892)</f>
        <v>0</v>
      </c>
      <c r="F1892">
        <f>COUNTIF(Thursday!I:I, B1892)</f>
        <v>0</v>
      </c>
      <c r="G1892">
        <f>COUNTIF(Friday!I:I, B1892)</f>
        <v>0</v>
      </c>
      <c r="H1892">
        <f>SUM(C1892:G1892)</f>
        <v>0</v>
      </c>
    </row>
    <row r="1893" spans="1:8" x14ac:dyDescent="0.25">
      <c r="A1893" s="5" t="s">
        <v>1889</v>
      </c>
      <c r="B1893" t="str">
        <f>"*"&amp;A1893&amp;"*"</f>
        <v>*2227: Power Issue - Outlet Not Working*</v>
      </c>
      <c r="C1893">
        <f>COUNTIF(Monday!I:I, B1893)</f>
        <v>0</v>
      </c>
      <c r="D1893">
        <f>COUNTIF(Tuesday!I:I, B1893)</f>
        <v>0</v>
      </c>
      <c r="E1893">
        <f>COUNTIF(Wednesday!I:I, B1893)</f>
        <v>0</v>
      </c>
      <c r="F1893">
        <f>COUNTIF(Thursday!I:I, B1893)</f>
        <v>0</v>
      </c>
      <c r="G1893">
        <f>COUNTIF(Friday!I:I, B1893)</f>
        <v>0</v>
      </c>
      <c r="H1893">
        <f>SUM(C1893:G1893)</f>
        <v>0</v>
      </c>
    </row>
    <row r="1894" spans="1:8" x14ac:dyDescent="0.25">
      <c r="A1894" s="5" t="s">
        <v>1890</v>
      </c>
      <c r="B1894" t="str">
        <f>"*"&amp;A1894&amp;"*"</f>
        <v>*2228: Power Issue - Storm/Power Outage*</v>
      </c>
      <c r="C1894">
        <f>COUNTIF(Monday!I:I, B1894)</f>
        <v>0</v>
      </c>
      <c r="D1894">
        <f>COUNTIF(Tuesday!I:I, B1894)</f>
        <v>0</v>
      </c>
      <c r="E1894">
        <f>COUNTIF(Wednesday!I:I, B1894)</f>
        <v>0</v>
      </c>
      <c r="F1894">
        <f>COUNTIF(Thursday!I:I, B1894)</f>
        <v>0</v>
      </c>
      <c r="G1894">
        <f>COUNTIF(Friday!I:I, B1894)</f>
        <v>0</v>
      </c>
      <c r="H1894">
        <f>SUM(C1894:G1894)</f>
        <v>0</v>
      </c>
    </row>
    <row r="1895" spans="1:8" x14ac:dyDescent="0.25">
      <c r="A1895" s="5" t="s">
        <v>1891</v>
      </c>
      <c r="B1895" t="str">
        <f>"*"&amp;A1895&amp;"*"</f>
        <v>*2294: Screen Issue*</v>
      </c>
      <c r="C1895">
        <f>COUNTIF(Monday!I:I, B1895)</f>
        <v>0</v>
      </c>
      <c r="D1895">
        <f>COUNTIF(Tuesday!I:I, B1895)</f>
        <v>0</v>
      </c>
      <c r="E1895">
        <f>COUNTIF(Wednesday!I:I, B1895)</f>
        <v>0</v>
      </c>
      <c r="F1895">
        <f>COUNTIF(Thursday!I:I, B1895)</f>
        <v>0</v>
      </c>
      <c r="G1895">
        <f>COUNTIF(Friday!I:I, B1895)</f>
        <v>0</v>
      </c>
      <c r="H1895">
        <f>SUM(C1895:G1895)</f>
        <v>0</v>
      </c>
    </row>
    <row r="1896" spans="1:8" x14ac:dyDescent="0.25">
      <c r="A1896" s="5" t="s">
        <v>1892</v>
      </c>
      <c r="B1896" t="str">
        <f>"*"&amp;A1896&amp;"*"</f>
        <v>*2392: System Support*</v>
      </c>
      <c r="C1896">
        <f>COUNTIF(Monday!I:I, B1896)</f>
        <v>0</v>
      </c>
      <c r="D1896">
        <f>COUNTIF(Tuesday!I:I, B1896)</f>
        <v>0</v>
      </c>
      <c r="E1896">
        <f>COUNTIF(Wednesday!I:I, B1896)</f>
        <v>0</v>
      </c>
      <c r="F1896">
        <f>COUNTIF(Thursday!I:I, B1896)</f>
        <v>0</v>
      </c>
      <c r="G1896">
        <f>COUNTIF(Friday!I:I, B1896)</f>
        <v>0</v>
      </c>
      <c r="H1896">
        <f>SUM(C1896:G1896)</f>
        <v>0</v>
      </c>
    </row>
    <row r="1897" spans="1:8" x14ac:dyDescent="0.25">
      <c r="A1897" s="5" t="s">
        <v>1893</v>
      </c>
      <c r="B1897" t="str">
        <f>"*"&amp;A1897&amp;"*"</f>
        <v>*2445: Unplugged (And Change Component To Powercord)*</v>
      </c>
      <c r="C1897">
        <f>COUNTIF(Monday!I:I, B1897)</f>
        <v>0</v>
      </c>
      <c r="D1897">
        <f>COUNTIF(Tuesday!I:I, B1897)</f>
        <v>0</v>
      </c>
      <c r="E1897">
        <f>COUNTIF(Wednesday!I:I, B1897)</f>
        <v>0</v>
      </c>
      <c r="F1897">
        <f>COUNTIF(Thursday!I:I, B1897)</f>
        <v>0</v>
      </c>
      <c r="G1897">
        <f>COUNTIF(Friday!I:I, B1897)</f>
        <v>0</v>
      </c>
      <c r="H1897">
        <f>SUM(C1897:G1897)</f>
        <v>0</v>
      </c>
    </row>
    <row r="1898" spans="1:8" x14ac:dyDescent="0.25">
      <c r="A1898" s="5" t="s">
        <v>1894</v>
      </c>
      <c r="B1898" t="str">
        <f>"*"&amp;A1898&amp;"*"</f>
        <v>*2466: Website Not Available*</v>
      </c>
      <c r="C1898">
        <f>COUNTIF(Monday!I:I, B1898)</f>
        <v>0</v>
      </c>
      <c r="D1898">
        <f>COUNTIF(Tuesday!I:I, B1898)</f>
        <v>0</v>
      </c>
      <c r="E1898">
        <f>COUNTIF(Wednesday!I:I, B1898)</f>
        <v>0</v>
      </c>
      <c r="F1898">
        <f>COUNTIF(Thursday!I:I, B1898)</f>
        <v>0</v>
      </c>
      <c r="G1898">
        <f>COUNTIF(Friday!I:I, B1898)</f>
        <v>0</v>
      </c>
      <c r="H1898">
        <f>SUM(C1898:G1898)</f>
        <v>0</v>
      </c>
    </row>
    <row r="1899" spans="1:8" x14ac:dyDescent="0.25">
      <c r="A1899" s="5" t="s">
        <v>1895</v>
      </c>
      <c r="B1899" t="str">
        <f>"*"&amp;A1899&amp;"*"</f>
        <v>*2467: Website Patient Website Issue*</v>
      </c>
      <c r="C1899">
        <f>COUNTIF(Monday!I:I, B1899)</f>
        <v>0</v>
      </c>
      <c r="D1899">
        <f>COUNTIF(Tuesday!I:I, B1899)</f>
        <v>0</v>
      </c>
      <c r="E1899">
        <f>COUNTIF(Wednesday!I:I, B1899)</f>
        <v>0</v>
      </c>
      <c r="F1899">
        <f>COUNTIF(Thursday!I:I, B1899)</f>
        <v>0</v>
      </c>
      <c r="G1899">
        <f>COUNTIF(Friday!I:I, B1899)</f>
        <v>0</v>
      </c>
      <c r="H1899">
        <f>SUM(C1899:G1899)</f>
        <v>0</v>
      </c>
    </row>
    <row r="1900" spans="1:8" x14ac:dyDescent="0.25">
      <c r="A1900" s="5" t="s">
        <v>1896</v>
      </c>
      <c r="B1900" t="str">
        <f>"*"&amp;A1900&amp;"*"</f>
        <v>*2468: Website Patients For Review Issue*</v>
      </c>
      <c r="C1900">
        <f>COUNTIF(Monday!I:I, B1900)</f>
        <v>0</v>
      </c>
      <c r="D1900">
        <f>COUNTIF(Tuesday!I:I, B1900)</f>
        <v>0</v>
      </c>
      <c r="E1900">
        <f>COUNTIF(Wednesday!I:I, B1900)</f>
        <v>0</v>
      </c>
      <c r="F1900">
        <f>COUNTIF(Thursday!I:I, B1900)</f>
        <v>0</v>
      </c>
      <c r="G1900">
        <f>COUNTIF(Friday!I:I, B1900)</f>
        <v>0</v>
      </c>
      <c r="H1900">
        <f>SUM(C1900:G1900)</f>
        <v>0</v>
      </c>
    </row>
    <row r="1901" spans="1:8" x14ac:dyDescent="0.25">
      <c r="A1901" s="5" t="s">
        <v>1897</v>
      </c>
      <c r="B1901" t="str">
        <f>"*"&amp;A1901&amp;"*"</f>
        <v>*2469: Website Performance Issue*</v>
      </c>
      <c r="C1901">
        <f>COUNTIF(Monday!I:I, B1901)</f>
        <v>0</v>
      </c>
      <c r="D1901">
        <f>COUNTIF(Tuesday!I:I, B1901)</f>
        <v>0</v>
      </c>
      <c r="E1901">
        <f>COUNTIF(Wednesday!I:I, B1901)</f>
        <v>0</v>
      </c>
      <c r="F1901">
        <f>COUNTIF(Thursday!I:I, B1901)</f>
        <v>0</v>
      </c>
      <c r="G1901">
        <f>COUNTIF(Friday!I:I, B1901)</f>
        <v>0</v>
      </c>
      <c r="H1901">
        <f>SUM(C1901:G1901)</f>
        <v>0</v>
      </c>
    </row>
    <row r="1902" spans="1:8" x14ac:dyDescent="0.25">
      <c r="A1902" s="5" t="s">
        <v>1898</v>
      </c>
      <c r="B1902" t="str">
        <f>"*"&amp;A1902&amp;"*"</f>
        <v>*2470: Website System Issue*</v>
      </c>
      <c r="C1902">
        <f>COUNTIF(Monday!I:I, B1902)</f>
        <v>0</v>
      </c>
      <c r="D1902">
        <f>COUNTIF(Tuesday!I:I, B1902)</f>
        <v>0</v>
      </c>
      <c r="E1902">
        <f>COUNTIF(Wednesday!I:I, B1902)</f>
        <v>0</v>
      </c>
      <c r="F1902">
        <f>COUNTIF(Thursday!I:I, B1902)</f>
        <v>0</v>
      </c>
      <c r="G1902">
        <f>COUNTIF(Friday!I:I, B1902)</f>
        <v>0</v>
      </c>
      <c r="H1902">
        <f>SUM(C1902:G1902)</f>
        <v>0</v>
      </c>
    </row>
    <row r="1903" spans="1:8" x14ac:dyDescent="0.25">
      <c r="A1903" s="5" t="s">
        <v>1899</v>
      </c>
      <c r="B1903" t="str">
        <f>"*"&amp;A1903&amp;"*"</f>
        <v>*2471: Weight Scale Issue*</v>
      </c>
      <c r="C1903">
        <f>COUNTIF(Monday!I:I, B1903)</f>
        <v>0</v>
      </c>
      <c r="D1903">
        <f>COUNTIF(Tuesday!I:I, B1903)</f>
        <v>0</v>
      </c>
      <c r="E1903">
        <f>COUNTIF(Wednesday!I:I, B1903)</f>
        <v>0</v>
      </c>
      <c r="F1903">
        <f>COUNTIF(Thursday!I:I, B1903)</f>
        <v>0</v>
      </c>
      <c r="G1903">
        <f>COUNTIF(Friday!I:I, B1903)</f>
        <v>0</v>
      </c>
      <c r="H1903">
        <f>SUM(C1903:G1903)</f>
        <v>0</v>
      </c>
    </row>
    <row r="1904" spans="1:8" x14ac:dyDescent="0.25">
      <c r="A1904" s="5" t="s">
        <v>1900</v>
      </c>
      <c r="B1904" t="str">
        <f>"*"&amp;A1904&amp;"*"</f>
        <v>*1119: Communication - Wanded*</v>
      </c>
      <c r="C1904">
        <f>COUNTIF(Monday!I:I, B1904)</f>
        <v>0</v>
      </c>
      <c r="D1904">
        <f>COUNTIF(Tuesday!I:I, B1904)</f>
        <v>0</v>
      </c>
      <c r="E1904">
        <f>COUNTIF(Wednesday!I:I, B1904)</f>
        <v>0</v>
      </c>
      <c r="F1904">
        <f>COUNTIF(Thursday!I:I, B1904)</f>
        <v>0</v>
      </c>
      <c r="G1904">
        <f>COUNTIF(Friday!I:I, B1904)</f>
        <v>0</v>
      </c>
      <c r="H1904">
        <f>SUM(C1904:G1904)</f>
        <v>0</v>
      </c>
    </row>
    <row r="1905" spans="1:8" x14ac:dyDescent="0.25">
      <c r="A1905" s="5" t="s">
        <v>33</v>
      </c>
      <c r="B1905" t="str">
        <f>"*"&amp;A1905&amp;"*"</f>
        <v>*2459: User Preference Issue*</v>
      </c>
      <c r="C1905">
        <f>COUNTIF(Monday!I:I, B1905)</f>
        <v>0</v>
      </c>
      <c r="D1905">
        <f>COUNTIF(Tuesday!I:I, B1905)</f>
        <v>0</v>
      </c>
      <c r="E1905">
        <f>COUNTIF(Wednesday!I:I, B1905)</f>
        <v>0</v>
      </c>
      <c r="F1905">
        <f>COUNTIF(Thursday!I:I, B1905)</f>
        <v>0</v>
      </c>
      <c r="G1905">
        <f>COUNTIF(Friday!I:I, B1905)</f>
        <v>0</v>
      </c>
      <c r="H1905">
        <f>SUM(C1905:G1905)</f>
        <v>0</v>
      </c>
    </row>
    <row r="1906" spans="1:8" x14ac:dyDescent="0.25">
      <c r="A1906" s="5" t="s">
        <v>1906</v>
      </c>
      <c r="B1906" t="str">
        <f>"*"&amp;A1906&amp;"*"</f>
        <v>*2705: Loss Of Capture During Ablation Or Electrocautery*</v>
      </c>
      <c r="C1906">
        <f>COUNTIF(Monday!I:I, B1906)</f>
        <v>0</v>
      </c>
      <c r="D1906">
        <f>COUNTIF(Tuesday!I:I, B1906)</f>
        <v>0</v>
      </c>
      <c r="E1906">
        <f>COUNTIF(Wednesday!I:I, B1906)</f>
        <v>0</v>
      </c>
      <c r="F1906">
        <f>COUNTIF(Thursday!I:I, B1906)</f>
        <v>0</v>
      </c>
      <c r="G1906">
        <f>COUNTIF(Friday!I:I, B1906)</f>
        <v>0</v>
      </c>
      <c r="H1906">
        <f>SUM(C1906:G1906)</f>
        <v>0</v>
      </c>
    </row>
    <row r="1907" spans="1:8" x14ac:dyDescent="0.25">
      <c r="A1907" s="5" t="s">
        <v>1907</v>
      </c>
      <c r="B1907" t="str">
        <f>"*"&amp;A1907&amp;"*"</f>
        <v>*2711: MV Rate Response Not As Expected*</v>
      </c>
      <c r="C1907">
        <f>COUNTIF(Monday!I:I, B1907)</f>
        <v>0</v>
      </c>
      <c r="D1907">
        <f>COUNTIF(Tuesday!I:I, B1907)</f>
        <v>0</v>
      </c>
      <c r="E1907">
        <f>COUNTIF(Wednesday!I:I, B1907)</f>
        <v>0</v>
      </c>
      <c r="F1907">
        <f>COUNTIF(Thursday!I:I, B1907)</f>
        <v>0</v>
      </c>
      <c r="G1907">
        <f>COUNTIF(Friday!I:I, B1907)</f>
        <v>0</v>
      </c>
      <c r="H1907">
        <f>SUM(C1907:G1907)</f>
        <v>0</v>
      </c>
    </row>
    <row r="1908" spans="1:8" x14ac:dyDescent="0.25">
      <c r="A1908" s="5" t="s">
        <v>1908</v>
      </c>
      <c r="B1908" t="str">
        <f>"*"&amp;A1908&amp;"*"</f>
        <v>*2715: XL Rate Response Not As Expected*</v>
      </c>
      <c r="C1908">
        <f>COUNTIF(Monday!I:I, B1908)</f>
        <v>0</v>
      </c>
      <c r="D1908">
        <f>COUNTIF(Tuesday!I:I, B1908)</f>
        <v>0</v>
      </c>
      <c r="E1908">
        <f>COUNTIF(Wednesday!I:I, B1908)</f>
        <v>0</v>
      </c>
      <c r="F1908">
        <f>COUNTIF(Thursday!I:I, B1908)</f>
        <v>0</v>
      </c>
      <c r="G1908">
        <f>COUNTIF(Friday!I:I, B1908)</f>
        <v>0</v>
      </c>
      <c r="H1908">
        <f>SUM(C1908:G1908)</f>
        <v>0</v>
      </c>
    </row>
    <row r="1909" spans="1:8" x14ac:dyDescent="0.25">
      <c r="A1909" s="5" t="s">
        <v>1905</v>
      </c>
      <c r="B1909" t="str">
        <f>"*"&amp;A1909&amp;"*"</f>
        <v>*2301: Sensing Intermittently*</v>
      </c>
      <c r="C1909">
        <f>COUNTIF(Monday!I:I, B1909)</f>
        <v>0</v>
      </c>
      <c r="D1909">
        <f>COUNTIF(Tuesday!I:I, B1909)</f>
        <v>0</v>
      </c>
      <c r="E1909">
        <f>COUNTIF(Wednesday!I:I, B1909)</f>
        <v>0</v>
      </c>
      <c r="F1909">
        <f>COUNTIF(Thursday!I:I, B1909)</f>
        <v>0</v>
      </c>
      <c r="G1909">
        <f>COUNTIF(Friday!I:I, B1909)</f>
        <v>0</v>
      </c>
      <c r="H1909">
        <f>SUM(C1909:G1909)</f>
        <v>0</v>
      </c>
    </row>
    <row r="1910" spans="1:8" x14ac:dyDescent="0.25">
      <c r="A1910" s="5" t="s">
        <v>1910</v>
      </c>
      <c r="B1910" t="str">
        <f>"*"&amp;A1910&amp;"*"</f>
        <v>*3028: Incomplete Programming*</v>
      </c>
      <c r="C1910">
        <f>COUNTIF(Monday!I:I, B1910)</f>
        <v>0</v>
      </c>
      <c r="D1910">
        <f>COUNTIF(Tuesday!I:I, B1910)</f>
        <v>0</v>
      </c>
      <c r="E1910">
        <f>COUNTIF(Wednesday!I:I, B1910)</f>
        <v>0</v>
      </c>
      <c r="F1910">
        <f>COUNTIF(Thursday!I:I, B1910)</f>
        <v>0</v>
      </c>
      <c r="G1910">
        <f>COUNTIF(Friday!I:I, B1910)</f>
        <v>0</v>
      </c>
      <c r="H1910">
        <f>SUM(C1910:G1910)</f>
        <v>0</v>
      </c>
    </row>
    <row r="1911" spans="1:8" x14ac:dyDescent="0.25">
      <c r="A1911" s="5" t="s">
        <v>1911</v>
      </c>
      <c r="B1911" t="str">
        <f>"*"&amp;A1911&amp;"*"</f>
        <v>*3034: MRI Exposure Issue*</v>
      </c>
      <c r="C1911">
        <f>COUNTIF(Monday!I:I, B1911)</f>
        <v>0</v>
      </c>
      <c r="D1911">
        <f>COUNTIF(Tuesday!I:I, B1911)</f>
        <v>0</v>
      </c>
      <c r="E1911">
        <f>COUNTIF(Wednesday!I:I, B1911)</f>
        <v>0</v>
      </c>
      <c r="F1911">
        <f>COUNTIF(Thursday!I:I, B1911)</f>
        <v>0</v>
      </c>
      <c r="G1911">
        <f>COUNTIF(Friday!I:I, B1911)</f>
        <v>0</v>
      </c>
      <c r="H1911">
        <f>SUM(C1911:G1911)</f>
        <v>0</v>
      </c>
    </row>
    <row r="1912" spans="1:8" x14ac:dyDescent="0.25">
      <c r="A1912" s="5" t="s">
        <v>1912</v>
      </c>
      <c r="B1912" t="str">
        <f>"*"&amp;A1912&amp;"*"</f>
        <v>*3038: PII/Symptom Tracking Issue*</v>
      </c>
      <c r="C1912">
        <f>COUNTIF(Monday!I:I, B1912)</f>
        <v>0</v>
      </c>
      <c r="D1912">
        <f>COUNTIF(Tuesday!I:I, B1912)</f>
        <v>0</v>
      </c>
      <c r="E1912">
        <f>COUNTIF(Wednesday!I:I, B1912)</f>
        <v>0</v>
      </c>
      <c r="F1912">
        <f>COUNTIF(Thursday!I:I, B1912)</f>
        <v>0</v>
      </c>
      <c r="G1912">
        <f>COUNTIF(Friday!I:I, B1912)</f>
        <v>0</v>
      </c>
      <c r="H1912">
        <f>SUM(C1912:G1912)</f>
        <v>0</v>
      </c>
    </row>
    <row r="1913" spans="1:8" x14ac:dyDescent="0.25">
      <c r="A1913" s="5" t="s">
        <v>1913</v>
      </c>
      <c r="B1913" t="str">
        <f>"*"&amp;A1913&amp;"*"</f>
        <v>*3041: Remote Programming Issue*</v>
      </c>
      <c r="C1913">
        <f>COUNTIF(Monday!I:I, B1913)</f>
        <v>0</v>
      </c>
      <c r="D1913">
        <f>COUNTIF(Tuesday!I:I, B1913)</f>
        <v>0</v>
      </c>
      <c r="E1913">
        <f>COUNTIF(Wednesday!I:I, B1913)</f>
        <v>0</v>
      </c>
      <c r="F1913">
        <f>COUNTIF(Thursday!I:I, B1913)</f>
        <v>0</v>
      </c>
      <c r="G1913">
        <f>COUNTIF(Friday!I:I, B1913)</f>
        <v>0</v>
      </c>
      <c r="H1913">
        <f>SUM(C1913:G1913)</f>
        <v>0</v>
      </c>
    </row>
    <row r="1914" spans="1:8" x14ac:dyDescent="0.25">
      <c r="A1914" s="6" t="s">
        <v>1914</v>
      </c>
      <c r="B1914" t="str">
        <f>"*"&amp;A1914&amp;"*"</f>
        <v>*3114: Communication/Connection Issue At Set-Up*</v>
      </c>
      <c r="C1914">
        <f>COUNTIF(Monday!I:I, B1914)</f>
        <v>0</v>
      </c>
      <c r="D1914">
        <f>COUNTIF(Tuesday!I:I, B1914)</f>
        <v>0</v>
      </c>
      <c r="E1914">
        <f>COUNTIF(Wednesday!I:I, B1914)</f>
        <v>0</v>
      </c>
      <c r="F1914">
        <f>COUNTIF(Thursday!I:I, B1914)</f>
        <v>0</v>
      </c>
      <c r="G1914">
        <f>COUNTIF(Friday!I:I, B1914)</f>
        <v>0</v>
      </c>
      <c r="H1914">
        <f>SUM(C1914:G1914)</f>
        <v>0</v>
      </c>
    </row>
    <row r="1915" spans="1:8" x14ac:dyDescent="0.25">
      <c r="A1915" s="6" t="s">
        <v>1915</v>
      </c>
      <c r="B1915" t="str">
        <f>"*"&amp;A1915&amp;"*"</f>
        <v>*3115: False Event*</v>
      </c>
      <c r="C1915">
        <f>COUNTIF(Monday!I:I, B1915)</f>
        <v>0</v>
      </c>
      <c r="D1915">
        <f>COUNTIF(Tuesday!I:I, B1915)</f>
        <v>0</v>
      </c>
      <c r="E1915">
        <f>COUNTIF(Wednesday!I:I, B1915)</f>
        <v>0</v>
      </c>
      <c r="F1915">
        <f>COUNTIF(Thursday!I:I, B1915)</f>
        <v>0</v>
      </c>
      <c r="G1915">
        <f>COUNTIF(Friday!I:I, B1915)</f>
        <v>0</v>
      </c>
      <c r="H1915">
        <f>SUM(C1915:G1915)</f>
        <v>0</v>
      </c>
    </row>
    <row r="1916" spans="1:8" x14ac:dyDescent="0.25">
      <c r="A1916" s="6" t="s">
        <v>1916</v>
      </c>
      <c r="B1916" t="str">
        <f>"*"&amp;A1916&amp;"*"</f>
        <v>*3116: False Pause Event*</v>
      </c>
      <c r="C1916">
        <f>COUNTIF(Monday!I:I, B1916)</f>
        <v>0</v>
      </c>
      <c r="D1916">
        <f>COUNTIF(Tuesday!I:I, B1916)</f>
        <v>0</v>
      </c>
      <c r="E1916">
        <f>COUNTIF(Wednesday!I:I, B1916)</f>
        <v>0</v>
      </c>
      <c r="F1916">
        <f>COUNTIF(Thursday!I:I, B1916)</f>
        <v>0</v>
      </c>
      <c r="G1916">
        <f>COUNTIF(Friday!I:I, B1916)</f>
        <v>0</v>
      </c>
      <c r="H1916">
        <f>SUM(C1916:G1916)</f>
        <v>0</v>
      </c>
    </row>
    <row r="1917" spans="1:8" x14ac:dyDescent="0.25">
      <c r="A1917" s="6" t="s">
        <v>1917</v>
      </c>
      <c r="B1917" t="str">
        <f>"*"&amp;A1917&amp;"*"</f>
        <v>*3117: False Brady Event*</v>
      </c>
      <c r="C1917">
        <f>COUNTIF(Monday!I:I, B1917)</f>
        <v>0</v>
      </c>
      <c r="D1917">
        <f>COUNTIF(Tuesday!I:I, B1917)</f>
        <v>0</v>
      </c>
      <c r="E1917">
        <f>COUNTIF(Wednesday!I:I, B1917)</f>
        <v>0</v>
      </c>
      <c r="F1917">
        <f>COUNTIF(Thursday!I:I, B1917)</f>
        <v>0</v>
      </c>
      <c r="G1917">
        <f>COUNTIF(Friday!I:I, B1917)</f>
        <v>0</v>
      </c>
      <c r="H1917">
        <f>SUM(C1917:G1917)</f>
        <v>0</v>
      </c>
    </row>
    <row r="1918" spans="1:8" x14ac:dyDescent="0.25">
      <c r="A1918" s="6" t="s">
        <v>1918</v>
      </c>
      <c r="B1918" t="str">
        <f>"*"&amp;A1918&amp;"*"</f>
        <v>*3118: False Tachy Event*</v>
      </c>
      <c r="C1918">
        <f>COUNTIF(Monday!I:I, B1918)</f>
        <v>0</v>
      </c>
      <c r="D1918">
        <f>COUNTIF(Tuesday!I:I, B1918)</f>
        <v>0</v>
      </c>
      <c r="E1918">
        <f>COUNTIF(Wednesday!I:I, B1918)</f>
        <v>0</v>
      </c>
      <c r="F1918">
        <f>COUNTIF(Thursday!I:I, B1918)</f>
        <v>0</v>
      </c>
      <c r="G1918">
        <f>COUNTIF(Friday!I:I, B1918)</f>
        <v>0</v>
      </c>
      <c r="H1918">
        <f>SUM(C1918:G1918)</f>
        <v>0</v>
      </c>
    </row>
    <row r="1919" spans="1:8" x14ac:dyDescent="0.25">
      <c r="A1919" s="6" t="s">
        <v>1919</v>
      </c>
      <c r="B1919" t="str">
        <f>"*"&amp;A1919&amp;"*"</f>
        <v>*3119: False AF Event*</v>
      </c>
      <c r="C1919">
        <f>COUNTIF(Monday!I:I, B1919)</f>
        <v>0</v>
      </c>
      <c r="D1919">
        <f>COUNTIF(Tuesday!I:I, B1919)</f>
        <v>0</v>
      </c>
      <c r="E1919">
        <f>COUNTIF(Wednesday!I:I, B1919)</f>
        <v>0</v>
      </c>
      <c r="F1919">
        <f>COUNTIF(Thursday!I:I, B1919)</f>
        <v>0</v>
      </c>
      <c r="G1919">
        <f>COUNTIF(Friday!I:I, B1919)</f>
        <v>0</v>
      </c>
      <c r="H1919">
        <f>SUM(C1919:G1919)</f>
        <v>0</v>
      </c>
    </row>
    <row r="1920" spans="1:8" x14ac:dyDescent="0.25">
      <c r="A1920" s="6" t="s">
        <v>1920</v>
      </c>
      <c r="B1920" t="str">
        <f>"*"&amp;A1920&amp;"*"</f>
        <v>*3120: False AT Event*</v>
      </c>
      <c r="C1920">
        <f>COUNTIF(Monday!I:I, B1920)</f>
        <v>0</v>
      </c>
      <c r="D1920">
        <f>COUNTIF(Tuesday!I:I, B1920)</f>
        <v>0</v>
      </c>
      <c r="E1920">
        <f>COUNTIF(Wednesday!I:I, B1920)</f>
        <v>0</v>
      </c>
      <c r="F1920">
        <f>COUNTIF(Thursday!I:I, B1920)</f>
        <v>0</v>
      </c>
      <c r="G1920">
        <f>COUNTIF(Friday!I:I, B1920)</f>
        <v>0</v>
      </c>
      <c r="H1920">
        <f>SUM(C1920:G1920)</f>
        <v>0</v>
      </c>
    </row>
    <row r="1921" spans="1:8" x14ac:dyDescent="0.25">
      <c r="A1921" s="6" t="s">
        <v>1921</v>
      </c>
      <c r="B1921" t="str">
        <f>"*"&amp;A1921&amp;"*"</f>
        <v>*3121: Missed Event*</v>
      </c>
      <c r="C1921">
        <f>COUNTIF(Monday!I:I, B1921)</f>
        <v>0</v>
      </c>
      <c r="D1921">
        <f>COUNTIF(Tuesday!I:I, B1921)</f>
        <v>0</v>
      </c>
      <c r="E1921">
        <f>COUNTIF(Wednesday!I:I, B1921)</f>
        <v>0</v>
      </c>
      <c r="F1921">
        <f>COUNTIF(Thursday!I:I, B1921)</f>
        <v>0</v>
      </c>
      <c r="G1921">
        <f>COUNTIF(Friday!I:I, B1921)</f>
        <v>0</v>
      </c>
      <c r="H1921">
        <f>SUM(C1921:G1921)</f>
        <v>0</v>
      </c>
    </row>
    <row r="1922" spans="1:8" x14ac:dyDescent="0.25">
      <c r="A1922" s="6" t="s">
        <v>1922</v>
      </c>
      <c r="B1922" t="str">
        <f>"*"&amp;A1922&amp;"*"</f>
        <v>*3122: Missed Pause Event*</v>
      </c>
      <c r="C1922">
        <f>COUNTIF(Monday!I:I, B1922)</f>
        <v>0</v>
      </c>
      <c r="D1922">
        <f>COUNTIF(Tuesday!I:I, B1922)</f>
        <v>0</v>
      </c>
      <c r="E1922">
        <f>COUNTIF(Wednesday!I:I, B1922)</f>
        <v>0</v>
      </c>
      <c r="F1922">
        <f>COUNTIF(Thursday!I:I, B1922)</f>
        <v>0</v>
      </c>
      <c r="G1922">
        <f>COUNTIF(Friday!I:I, B1922)</f>
        <v>0</v>
      </c>
      <c r="H1922">
        <f>SUM(C1922:G1922)</f>
        <v>0</v>
      </c>
    </row>
    <row r="1923" spans="1:8" x14ac:dyDescent="0.25">
      <c r="A1923" s="6" t="s">
        <v>1923</v>
      </c>
      <c r="B1923" t="str">
        <f>"*"&amp;A1923&amp;"*"</f>
        <v>*3123: Missed Brady Event*</v>
      </c>
      <c r="C1923">
        <f>COUNTIF(Monday!I:I, B1923)</f>
        <v>0</v>
      </c>
      <c r="D1923">
        <f>COUNTIF(Tuesday!I:I, B1923)</f>
        <v>0</v>
      </c>
      <c r="E1923">
        <f>COUNTIF(Wednesday!I:I, B1923)</f>
        <v>0</v>
      </c>
      <c r="F1923">
        <f>COUNTIF(Thursday!I:I, B1923)</f>
        <v>0</v>
      </c>
      <c r="G1923">
        <f>COUNTIF(Friday!I:I, B1923)</f>
        <v>0</v>
      </c>
      <c r="H1923">
        <f>SUM(C1923:G1923)</f>
        <v>0</v>
      </c>
    </row>
    <row r="1924" spans="1:8" x14ac:dyDescent="0.25">
      <c r="A1924" s="6" t="s">
        <v>1924</v>
      </c>
      <c r="B1924" t="str">
        <f>"*"&amp;A1924&amp;"*"</f>
        <v>*3124: Missed Tachy Event*</v>
      </c>
      <c r="C1924">
        <f>COUNTIF(Monday!I:I, B1924)</f>
        <v>0</v>
      </c>
      <c r="D1924">
        <f>COUNTIF(Tuesday!I:I, B1924)</f>
        <v>0</v>
      </c>
      <c r="E1924">
        <f>COUNTIF(Wednesday!I:I, B1924)</f>
        <v>0</v>
      </c>
      <c r="F1924">
        <f>COUNTIF(Thursday!I:I, B1924)</f>
        <v>0</v>
      </c>
      <c r="G1924">
        <f>COUNTIF(Friday!I:I, B1924)</f>
        <v>0</v>
      </c>
      <c r="H1924">
        <f>SUM(C1924:G1924)</f>
        <v>0</v>
      </c>
    </row>
    <row r="1925" spans="1:8" x14ac:dyDescent="0.25">
      <c r="A1925" s="6" t="s">
        <v>1925</v>
      </c>
      <c r="B1925" t="str">
        <f>"*"&amp;A1925&amp;"*"</f>
        <v>*3125: Missed AF Event*</v>
      </c>
      <c r="C1925">
        <f>COUNTIF(Monday!I:I, B1925)</f>
        <v>0</v>
      </c>
      <c r="D1925">
        <f>COUNTIF(Tuesday!I:I, B1925)</f>
        <v>0</v>
      </c>
      <c r="E1925">
        <f>COUNTIF(Wednesday!I:I, B1925)</f>
        <v>0</v>
      </c>
      <c r="F1925">
        <f>COUNTIF(Thursday!I:I, B1925)</f>
        <v>0</v>
      </c>
      <c r="G1925">
        <f>COUNTIF(Friday!I:I, B1925)</f>
        <v>0</v>
      </c>
      <c r="H1925">
        <f>SUM(C1925:G1925)</f>
        <v>0</v>
      </c>
    </row>
    <row r="1926" spans="1:8" x14ac:dyDescent="0.25">
      <c r="A1926" s="6" t="s">
        <v>1926</v>
      </c>
      <c r="B1926" t="str">
        <f>"*"&amp;A1926&amp;"*"</f>
        <v>*3126: Missed AT Event*</v>
      </c>
      <c r="C1926">
        <f>COUNTIF(Monday!I:I, B1926)</f>
        <v>0</v>
      </c>
      <c r="D1926">
        <f>COUNTIF(Tuesday!I:I, B1926)</f>
        <v>0</v>
      </c>
      <c r="E1926">
        <f>COUNTIF(Wednesday!I:I, B1926)</f>
        <v>0</v>
      </c>
      <c r="F1926">
        <f>COUNTIF(Thursday!I:I, B1926)</f>
        <v>0</v>
      </c>
      <c r="G1926">
        <f>COUNTIF(Friday!I:I, B1926)</f>
        <v>0</v>
      </c>
      <c r="H1926">
        <f>SUM(C1926:G1926)</f>
        <v>0</v>
      </c>
    </row>
    <row r="1927" spans="1:8" x14ac:dyDescent="0.25">
      <c r="A1927" s="5" t="s">
        <v>1927</v>
      </c>
      <c r="B1927" t="str">
        <f>"*"&amp;A1927&amp;"*"</f>
        <v>*3026: Incision Closure Difficulty*</v>
      </c>
      <c r="C1927">
        <f>COUNTIF(Monday!I:I, B1927)</f>
        <v>0</v>
      </c>
      <c r="D1927">
        <f>COUNTIF(Tuesday!I:I, B1927)</f>
        <v>0</v>
      </c>
      <c r="E1927">
        <f>COUNTIF(Wednesday!I:I, B1927)</f>
        <v>0</v>
      </c>
      <c r="F1927">
        <f>COUNTIF(Thursday!I:I, B1927)</f>
        <v>0</v>
      </c>
      <c r="G1927">
        <f>COUNTIF(Friday!I:I, B1927)</f>
        <v>0</v>
      </c>
      <c r="H1927">
        <f>SUM(C1927:G1927)</f>
        <v>0</v>
      </c>
    </row>
    <row r="1928" spans="1:8" x14ac:dyDescent="0.25">
      <c r="A1928" s="5" t="s">
        <v>1928</v>
      </c>
      <c r="B1928" t="str">
        <f>"*"&amp;A1928&amp;"*"</f>
        <v>*3027: Incision Creation Difficulty*</v>
      </c>
      <c r="C1928">
        <f>COUNTIF(Monday!I:I, B1928)</f>
        <v>0</v>
      </c>
      <c r="D1928">
        <f>COUNTIF(Tuesday!I:I, B1928)</f>
        <v>0</v>
      </c>
      <c r="E1928">
        <f>COUNTIF(Wednesday!I:I, B1928)</f>
        <v>0</v>
      </c>
      <c r="F1928">
        <f>COUNTIF(Thursday!I:I, B1928)</f>
        <v>0</v>
      </c>
      <c r="G1928">
        <f>COUNTIF(Friday!I:I, B1928)</f>
        <v>0</v>
      </c>
      <c r="H1928">
        <f>SUM(C1928:G1928)</f>
        <v>0</v>
      </c>
    </row>
    <row r="1929" spans="1:8" x14ac:dyDescent="0.25">
      <c r="A1929" s="5" t="s">
        <v>1929</v>
      </c>
      <c r="B1929" t="str">
        <f>"*"&amp;A1929&amp;"*"</f>
        <v>*3012: Application Error*</v>
      </c>
      <c r="C1929">
        <f>COUNTIF(Monday!I:I, B1929)</f>
        <v>0</v>
      </c>
      <c r="D1929">
        <f>COUNTIF(Tuesday!I:I, B1929)</f>
        <v>0</v>
      </c>
      <c r="E1929">
        <f>COUNTIF(Wednesday!I:I, B1929)</f>
        <v>0</v>
      </c>
      <c r="F1929">
        <f>COUNTIF(Thursday!I:I, B1929)</f>
        <v>0</v>
      </c>
      <c r="G1929">
        <f>COUNTIF(Friday!I:I, B1929)</f>
        <v>0</v>
      </c>
      <c r="H1929">
        <f>SUM(C1929:G1929)</f>
        <v>0</v>
      </c>
    </row>
    <row r="1930" spans="1:8" x14ac:dyDescent="0.25">
      <c r="A1930" s="5" t="s">
        <v>1930</v>
      </c>
      <c r="B1930" t="str">
        <f>"*"&amp;A1930&amp;"*"</f>
        <v>*3030: Magnet Application Issue*</v>
      </c>
      <c r="C1930">
        <f>COUNTIF(Monday!I:I, B1930)</f>
        <v>0</v>
      </c>
      <c r="D1930">
        <f>COUNTIF(Tuesday!I:I, B1930)</f>
        <v>0</v>
      </c>
      <c r="E1930">
        <f>COUNTIF(Wednesday!I:I, B1930)</f>
        <v>0</v>
      </c>
      <c r="F1930">
        <f>COUNTIF(Thursday!I:I, B1930)</f>
        <v>0</v>
      </c>
      <c r="G1930">
        <f>COUNTIF(Friday!I:I, B1930)</f>
        <v>0</v>
      </c>
      <c r="H1930">
        <f>SUM(C1930:G1930)</f>
        <v>0</v>
      </c>
    </row>
    <row r="1931" spans="1:8" x14ac:dyDescent="0.25">
      <c r="A1931" s="6" t="s">
        <v>1931</v>
      </c>
      <c r="B1931" t="str">
        <f>"*"&amp;A1931&amp;"*"</f>
        <v>*3112: Out of Box Phone Issue*</v>
      </c>
      <c r="C1931">
        <f>COUNTIF(Monday!I:I, B1931)</f>
        <v>0</v>
      </c>
      <c r="D1931">
        <f>COUNTIF(Tuesday!I:I, B1931)</f>
        <v>0</v>
      </c>
      <c r="E1931">
        <f>COUNTIF(Wednesday!I:I, B1931)</f>
        <v>0</v>
      </c>
      <c r="F1931">
        <f>COUNTIF(Thursday!I:I, B1931)</f>
        <v>0</v>
      </c>
      <c r="G1931">
        <f>COUNTIF(Friday!I:I, B1931)</f>
        <v>0</v>
      </c>
      <c r="H1931">
        <f>SUM(C1931:G1931)</f>
        <v>0</v>
      </c>
    </row>
    <row r="1932" spans="1:8" x14ac:dyDescent="0.25">
      <c r="A1932" s="6" t="s">
        <v>1932</v>
      </c>
      <c r="B1932" t="str">
        <f>"*"&amp;A1932&amp;"*"</f>
        <v>*3113: Out of Box Phone Setting Unexpected*</v>
      </c>
      <c r="C1932">
        <f>COUNTIF(Monday!I:I, B1932)</f>
        <v>0</v>
      </c>
      <c r="D1932">
        <f>COUNTIF(Tuesday!I:I, B1932)</f>
        <v>0</v>
      </c>
      <c r="E1932">
        <f>COUNTIF(Wednesday!I:I, B1932)</f>
        <v>0</v>
      </c>
      <c r="F1932">
        <f>COUNTIF(Thursday!I:I, B1932)</f>
        <v>0</v>
      </c>
      <c r="G1932">
        <f>COUNTIF(Friday!I:I, B1932)</f>
        <v>0</v>
      </c>
      <c r="H1932">
        <f>SUM(C1932:G1932)</f>
        <v>0</v>
      </c>
    </row>
    <row r="1933" spans="1:8" x14ac:dyDescent="0.25">
      <c r="A1933" s="5" t="s">
        <v>1933</v>
      </c>
      <c r="B1933" t="str">
        <f>"*"&amp;A1933&amp;"*"</f>
        <v>*3161: Tones/Illumination When Not Expected*</v>
      </c>
      <c r="C1933">
        <f>COUNTIF(Monday!I:I, B1933)</f>
        <v>0</v>
      </c>
      <c r="D1933">
        <f>COUNTIF(Tuesday!I:I, B1933)</f>
        <v>0</v>
      </c>
      <c r="E1933">
        <f>COUNTIF(Wednesday!I:I, B1933)</f>
        <v>0</v>
      </c>
      <c r="F1933">
        <f>COUNTIF(Thursday!I:I, B1933)</f>
        <v>0</v>
      </c>
      <c r="G1933">
        <f>COUNTIF(Friday!I:I, B1933)</f>
        <v>0</v>
      </c>
      <c r="H1933">
        <f>SUM(C1933:G1933)</f>
        <v>0</v>
      </c>
    </row>
    <row r="1934" spans="1:8" x14ac:dyDescent="0.25">
      <c r="A1934" s="5" t="s">
        <v>1934</v>
      </c>
      <c r="B1934" t="str">
        <f>"*"&amp;A1934&amp;"*"</f>
        <v>*1583: Failure To Save To Disk*</v>
      </c>
      <c r="C1934">
        <f>COUNTIF(Monday!I:I, B1934)</f>
        <v>0</v>
      </c>
      <c r="D1934">
        <f>COUNTIF(Tuesday!I:I, B1934)</f>
        <v>0</v>
      </c>
      <c r="E1934">
        <f>COUNTIF(Wednesday!I:I, B1934)</f>
        <v>0</v>
      </c>
      <c r="F1934">
        <f>COUNTIF(Thursday!I:I, B1934)</f>
        <v>0</v>
      </c>
      <c r="G1934">
        <f>COUNTIF(Friday!I:I, B1934)</f>
        <v>0</v>
      </c>
      <c r="H1934">
        <f>SUM(C1934:G1934)</f>
        <v>0</v>
      </c>
    </row>
    <row r="1935" spans="1:8" x14ac:dyDescent="0.25">
      <c r="A1935" s="5" t="s">
        <v>1935</v>
      </c>
      <c r="B1935" t="str">
        <f>"*"&amp;A1935&amp;"*"</f>
        <v>*2150: Operating System Version Or Upgrade Problem*</v>
      </c>
      <c r="C1935">
        <f>COUNTIF(Monday!I:I, B1935)</f>
        <v>0</v>
      </c>
      <c r="D1935">
        <f>COUNTIF(Tuesday!I:I, B1935)</f>
        <v>0</v>
      </c>
      <c r="E1935">
        <f>COUNTIF(Wednesday!I:I, B1935)</f>
        <v>0</v>
      </c>
      <c r="F1935">
        <f>COUNTIF(Thursday!I:I, B1935)</f>
        <v>0</v>
      </c>
      <c r="G1935">
        <f>COUNTIF(Friday!I:I, B1935)</f>
        <v>0</v>
      </c>
      <c r="H1935">
        <f>SUM(C1935:G1935)</f>
        <v>0</v>
      </c>
    </row>
    <row r="1936" spans="1:8" x14ac:dyDescent="0.25">
      <c r="A1936" s="5" t="s">
        <v>1936</v>
      </c>
      <c r="B1936" t="str">
        <f>"*"&amp;A1936&amp;"*"</f>
        <v>*3140: Software Removal Issue*</v>
      </c>
      <c r="C1936">
        <f>COUNTIF(Monday!I:I, B1936)</f>
        <v>0</v>
      </c>
      <c r="D1936">
        <f>COUNTIF(Tuesday!I:I, B1936)</f>
        <v>0</v>
      </c>
      <c r="E1936">
        <f>COUNTIF(Wednesday!I:I, B1936)</f>
        <v>0</v>
      </c>
      <c r="F1936">
        <f>COUNTIF(Thursday!I:I, B1936)</f>
        <v>0</v>
      </c>
      <c r="G1936">
        <f>COUNTIF(Friday!I:I, B1936)</f>
        <v>0</v>
      </c>
      <c r="H1936">
        <f>SUM(C1936:G1936)</f>
        <v>0</v>
      </c>
    </row>
    <row r="1937" spans="1:8" x14ac:dyDescent="0.25">
      <c r="A1937" s="5" t="s">
        <v>1937</v>
      </c>
      <c r="B1937" t="str">
        <f>"*"&amp;A1937&amp;"*"</f>
        <v>*3141: Software Removal ELH*</v>
      </c>
      <c r="C1937">
        <f>COUNTIF(Monday!I:I, B1937)</f>
        <v>0</v>
      </c>
      <c r="D1937">
        <f>COUNTIF(Tuesday!I:I, B1937)</f>
        <v>0</v>
      </c>
      <c r="E1937">
        <f>COUNTIF(Wednesday!I:I, B1937)</f>
        <v>0</v>
      </c>
      <c r="F1937">
        <f>COUNTIF(Thursday!I:I, B1937)</f>
        <v>0</v>
      </c>
      <c r="G1937">
        <f>COUNTIF(Friday!I:I, B1937)</f>
        <v>0</v>
      </c>
      <c r="H1937">
        <f>SUM(C1937:G1937)</f>
        <v>0</v>
      </c>
    </row>
    <row r="1938" spans="1:8" x14ac:dyDescent="0.25">
      <c r="A1938" s="5" t="s">
        <v>1938</v>
      </c>
      <c r="B1938" t="str">
        <f>"*"&amp;A1938&amp;"*"</f>
        <v>*2823: Sterilization Questions*</v>
      </c>
      <c r="C1938">
        <f>COUNTIF(Monday!I:I, B1938)</f>
        <v>0</v>
      </c>
      <c r="D1938">
        <f>COUNTIF(Tuesday!I:I, B1938)</f>
        <v>0</v>
      </c>
      <c r="E1938">
        <f>COUNTIF(Wednesday!I:I, B1938)</f>
        <v>0</v>
      </c>
      <c r="F1938">
        <f>COUNTIF(Thursday!I:I, B1938)</f>
        <v>0</v>
      </c>
      <c r="G1938">
        <f>COUNTIF(Friday!I:I, B1938)</f>
        <v>0</v>
      </c>
      <c r="H1938">
        <f>SUM(C1938:G1938)</f>
        <v>0</v>
      </c>
    </row>
    <row r="1939" spans="1:8" x14ac:dyDescent="0.25">
      <c r="A1939" s="5" t="s">
        <v>1939</v>
      </c>
      <c r="B1939" t="str">
        <f>"*"&amp;A1939&amp;"*"</f>
        <v>*2770: Unable To Connect To Bluetooth Printer*</v>
      </c>
      <c r="C1939">
        <f>COUNTIF(Monday!I:I, B1939)</f>
        <v>0</v>
      </c>
      <c r="D1939">
        <f>COUNTIF(Tuesday!I:I, B1939)</f>
        <v>0</v>
      </c>
      <c r="E1939">
        <f>COUNTIF(Wednesday!I:I, B1939)</f>
        <v>0</v>
      </c>
      <c r="F1939">
        <f>COUNTIF(Thursday!I:I, B1939)</f>
        <v>0</v>
      </c>
      <c r="G1939">
        <f>COUNTIF(Friday!I:I, B1939)</f>
        <v>0</v>
      </c>
      <c r="H1939">
        <f>SUM(C1939:G1939)</f>
        <v>0</v>
      </c>
    </row>
    <row r="1940" spans="1:8" x14ac:dyDescent="0.25">
      <c r="A1940" s="5" t="s">
        <v>1940</v>
      </c>
      <c r="B1940" t="str">
        <f>"*"&amp;A1940&amp;"*"</f>
        <v>*2777: Unable To Find Wi-Fi Network*</v>
      </c>
      <c r="C1940">
        <f>COUNTIF(Monday!I:I, B1940)</f>
        <v>0</v>
      </c>
      <c r="D1940">
        <f>COUNTIF(Tuesday!I:I, B1940)</f>
        <v>0</v>
      </c>
      <c r="E1940">
        <f>COUNTIF(Wednesday!I:I, B1940)</f>
        <v>0</v>
      </c>
      <c r="F1940">
        <f>COUNTIF(Thursday!I:I, B1940)</f>
        <v>0</v>
      </c>
      <c r="G1940">
        <f>COUNTIF(Friday!I:I, B1940)</f>
        <v>0</v>
      </c>
      <c r="H1940">
        <f>SUM(C1940:G1940)</f>
        <v>0</v>
      </c>
    </row>
    <row r="1941" spans="1:8" x14ac:dyDescent="0.25">
      <c r="A1941" s="5" t="s">
        <v>1941</v>
      </c>
      <c r="B1941" t="str">
        <f>"*"&amp;A1941&amp;"*"</f>
        <v>*2779: Wi-Fi Network Not Compatible*</v>
      </c>
      <c r="C1941">
        <f>COUNTIF(Monday!I:I, B1941)</f>
        <v>0</v>
      </c>
      <c r="D1941">
        <f>COUNTIF(Tuesday!I:I, B1941)</f>
        <v>0</v>
      </c>
      <c r="E1941">
        <f>COUNTIF(Wednesday!I:I, B1941)</f>
        <v>0</v>
      </c>
      <c r="F1941">
        <f>COUNTIF(Thursday!I:I, B1941)</f>
        <v>0</v>
      </c>
      <c r="G1941">
        <f>COUNTIF(Friday!I:I, B1941)</f>
        <v>0</v>
      </c>
      <c r="H1941">
        <f>SUM(C1941:G1941)</f>
        <v>0</v>
      </c>
    </row>
    <row r="1942" spans="1:8" x14ac:dyDescent="0.25">
      <c r="A1942" s="5" t="s">
        <v>1942</v>
      </c>
      <c r="B1942" t="str">
        <f>"*"&amp;A1942&amp;"*"</f>
        <v>*2787: Battery Discharged While Powered Off*</v>
      </c>
      <c r="C1942">
        <f>COUNTIF(Monday!I:I, B1942)</f>
        <v>0</v>
      </c>
      <c r="D1942">
        <f>COUNTIF(Tuesday!I:I, B1942)</f>
        <v>0</v>
      </c>
      <c r="E1942">
        <f>COUNTIF(Wednesday!I:I, B1942)</f>
        <v>0</v>
      </c>
      <c r="F1942">
        <f>COUNTIF(Thursday!I:I, B1942)</f>
        <v>0</v>
      </c>
      <c r="G1942">
        <f>COUNTIF(Friday!I:I, B1942)</f>
        <v>0</v>
      </c>
      <c r="H1942">
        <f>SUM(C1942:G1942)</f>
        <v>0</v>
      </c>
    </row>
    <row r="1943" spans="1:8" x14ac:dyDescent="0.25">
      <c r="A1943" s="5" t="s">
        <v>1943</v>
      </c>
      <c r="B1943" t="str">
        <f>"*"&amp;A1943&amp;"*"</f>
        <v>*2791: Failure To Power-Up Using Battery*</v>
      </c>
      <c r="C1943">
        <f>COUNTIF(Monday!I:I, B1943)</f>
        <v>0</v>
      </c>
      <c r="D1943">
        <f>COUNTIF(Tuesday!I:I, B1943)</f>
        <v>0</v>
      </c>
      <c r="E1943">
        <f>COUNTIF(Wednesday!I:I, B1943)</f>
        <v>0</v>
      </c>
      <c r="F1943">
        <f>COUNTIF(Thursday!I:I, B1943)</f>
        <v>0</v>
      </c>
      <c r="G1943">
        <f>COUNTIF(Friday!I:I, B1943)</f>
        <v>0</v>
      </c>
      <c r="H1943">
        <f>SUM(C1943:G1943)</f>
        <v>0</v>
      </c>
    </row>
    <row r="1944" spans="1:8" x14ac:dyDescent="0.25">
      <c r="A1944" s="5" t="s">
        <v>1944</v>
      </c>
      <c r="B1944" t="str">
        <f>"*"&amp;A1944&amp;"*"</f>
        <v>*2792: Off Label Accessory Use*</v>
      </c>
      <c r="C1944">
        <f>COUNTIF(Monday!I:I, B1944)</f>
        <v>0</v>
      </c>
      <c r="D1944">
        <f>COUNTIF(Tuesday!I:I, B1944)</f>
        <v>0</v>
      </c>
      <c r="E1944">
        <f>COUNTIF(Wednesday!I:I, B1944)</f>
        <v>0</v>
      </c>
      <c r="F1944">
        <f>COUNTIF(Thursday!I:I, B1944)</f>
        <v>0</v>
      </c>
      <c r="G1944">
        <f>COUNTIF(Friday!I:I, B1944)</f>
        <v>0</v>
      </c>
      <c r="H1944">
        <f>SUM(C1944:G1944)</f>
        <v>0</v>
      </c>
    </row>
    <row r="1945" spans="1:8" x14ac:dyDescent="0.25">
      <c r="A1945" s="5" t="s">
        <v>1945</v>
      </c>
      <c r="B1945" t="str">
        <f>"*"&amp;A1945&amp;"*"</f>
        <v>*2793: Reset During Critical Operation*</v>
      </c>
      <c r="C1945">
        <f>COUNTIF(Monday!I:I, B1945)</f>
        <v>0</v>
      </c>
      <c r="D1945">
        <f>COUNTIF(Tuesday!I:I, B1945)</f>
        <v>0</v>
      </c>
      <c r="E1945">
        <f>COUNTIF(Wednesday!I:I, B1945)</f>
        <v>0</v>
      </c>
      <c r="F1945">
        <f>COUNTIF(Thursday!I:I, B1945)</f>
        <v>0</v>
      </c>
      <c r="G1945">
        <f>COUNTIF(Friday!I:I, B1945)</f>
        <v>0</v>
      </c>
      <c r="H1945">
        <f>SUM(C1945:G1945)</f>
        <v>0</v>
      </c>
    </row>
    <row r="1946" spans="1:8" x14ac:dyDescent="0.25">
      <c r="A1946" s="5" t="s">
        <v>1946</v>
      </c>
      <c r="B1946" t="str">
        <f>"*"&amp;A1946&amp;"*"</f>
        <v>*2803: Device Used For Prolonged External Pacing*</v>
      </c>
      <c r="C1946">
        <f>COUNTIF(Monday!I:I, B1946)</f>
        <v>0</v>
      </c>
      <c r="D1946">
        <f>COUNTIF(Tuesday!I:I, B1946)</f>
        <v>0</v>
      </c>
      <c r="E1946">
        <f>COUNTIF(Wednesday!I:I, B1946)</f>
        <v>0</v>
      </c>
      <c r="F1946">
        <f>COUNTIF(Thursday!I:I, B1946)</f>
        <v>0</v>
      </c>
      <c r="G1946">
        <f>COUNTIF(Friday!I:I, B1946)</f>
        <v>0</v>
      </c>
      <c r="H1946">
        <f>SUM(C1946:G1946)</f>
        <v>0</v>
      </c>
    </row>
    <row r="1947" spans="1:8" x14ac:dyDescent="0.25">
      <c r="A1947" s="5" t="s">
        <v>1947</v>
      </c>
      <c r="B1947" t="str">
        <f>"*"&amp;A1947&amp;"*"</f>
        <v>*2804: Device Used In Incorrect Country*</v>
      </c>
      <c r="C1947">
        <f>COUNTIF(Monday!I:I, B1947)</f>
        <v>0</v>
      </c>
      <c r="D1947">
        <f>COUNTIF(Tuesday!I:I, B1947)</f>
        <v>0</v>
      </c>
      <c r="E1947">
        <f>COUNTIF(Wednesday!I:I, B1947)</f>
        <v>0</v>
      </c>
      <c r="F1947">
        <f>COUNTIF(Thursday!I:I, B1947)</f>
        <v>0</v>
      </c>
      <c r="G1947">
        <f>COUNTIF(Friday!I:I, B1947)</f>
        <v>0</v>
      </c>
      <c r="H1947">
        <f>SUM(C1947:G1947)</f>
        <v>0</v>
      </c>
    </row>
    <row r="1948" spans="1:8" x14ac:dyDescent="0.25">
      <c r="A1948" s="5" t="s">
        <v>1948</v>
      </c>
      <c r="B1948" t="str">
        <f>"*"&amp;A1948&amp;"*"</f>
        <v>*2805: PG Not Compatible With Programmer*</v>
      </c>
      <c r="C1948">
        <f>COUNTIF(Monday!I:I, B1948)</f>
        <v>0</v>
      </c>
      <c r="D1948">
        <f>COUNTIF(Tuesday!I:I, B1948)</f>
        <v>0</v>
      </c>
      <c r="E1948">
        <f>COUNTIF(Wednesday!I:I, B1948)</f>
        <v>0</v>
      </c>
      <c r="F1948">
        <f>COUNTIF(Thursday!I:I, B1948)</f>
        <v>0</v>
      </c>
      <c r="G1948">
        <f>COUNTIF(Friday!I:I, B1948)</f>
        <v>0</v>
      </c>
      <c r="H1948">
        <f>SUM(C1948:G1948)</f>
        <v>0</v>
      </c>
    </row>
    <row r="1949" spans="1:8" x14ac:dyDescent="0.25">
      <c r="A1949" s="5" t="s">
        <v>1949</v>
      </c>
      <c r="B1949" t="str">
        <f>"*"&amp;A1949&amp;"*"</f>
        <v>*2810: Unresponsive During Stat Therapy*</v>
      </c>
      <c r="C1949">
        <f>COUNTIF(Monday!I:I, B1949)</f>
        <v>0</v>
      </c>
      <c r="D1949">
        <f>COUNTIF(Tuesday!I:I, B1949)</f>
        <v>0</v>
      </c>
      <c r="E1949">
        <f>COUNTIF(Wednesday!I:I, B1949)</f>
        <v>0</v>
      </c>
      <c r="F1949">
        <f>COUNTIF(Thursday!I:I, B1949)</f>
        <v>0</v>
      </c>
      <c r="G1949">
        <f>COUNTIF(Friday!I:I, B1949)</f>
        <v>0</v>
      </c>
      <c r="H1949">
        <f>SUM(C1949:G1949)</f>
        <v>0</v>
      </c>
    </row>
    <row r="1950" spans="1:8" x14ac:dyDescent="0.25">
      <c r="A1950" s="5" t="s">
        <v>1950</v>
      </c>
      <c r="B1950" t="str">
        <f>"*"&amp;A1950&amp;"*"</f>
        <v>*3003: Unexpected Response*</v>
      </c>
      <c r="C1950">
        <f>COUNTIF(Monday!I:I, B1950)</f>
        <v>0</v>
      </c>
      <c r="D1950">
        <f>COUNTIF(Tuesday!I:I, B1950)</f>
        <v>0</v>
      </c>
      <c r="E1950">
        <f>COUNTIF(Wednesday!I:I, B1950)</f>
        <v>0</v>
      </c>
      <c r="F1950">
        <f>COUNTIF(Thursday!I:I, B1950)</f>
        <v>0</v>
      </c>
      <c r="G1950">
        <f>COUNTIF(Friday!I:I, B1950)</f>
        <v>0</v>
      </c>
      <c r="H1950">
        <f>SUM(C1950:G1950)</f>
        <v>0</v>
      </c>
    </row>
    <row r="1951" spans="1:8" x14ac:dyDescent="0.25">
      <c r="A1951" s="5" t="s">
        <v>1951</v>
      </c>
      <c r="B1951" t="str">
        <f>"*"&amp;A1951&amp;"*"</f>
        <v>*2813: Software Upgrade Issue Using Ethernet*</v>
      </c>
      <c r="C1951">
        <f>COUNTIF(Monday!I:I, B1951)</f>
        <v>0</v>
      </c>
      <c r="D1951">
        <f>COUNTIF(Tuesday!I:I, B1951)</f>
        <v>0</v>
      </c>
      <c r="E1951">
        <f>COUNTIF(Wednesday!I:I, B1951)</f>
        <v>0</v>
      </c>
      <c r="F1951">
        <f>COUNTIF(Thursday!I:I, B1951)</f>
        <v>0</v>
      </c>
      <c r="G1951">
        <f>COUNTIF(Friday!I:I, B1951)</f>
        <v>0</v>
      </c>
      <c r="H1951">
        <f>SUM(C1951:G1951)</f>
        <v>0</v>
      </c>
    </row>
    <row r="1952" spans="1:8" x14ac:dyDescent="0.25">
      <c r="A1952" s="5" t="s">
        <v>1952</v>
      </c>
      <c r="B1952" t="str">
        <f>"*"&amp;A1952&amp;"*"</f>
        <v>*2815: Threshold Different Than Competitor*</v>
      </c>
      <c r="C1952">
        <f>COUNTIF(Monday!I:I, B1952)</f>
        <v>0</v>
      </c>
      <c r="D1952">
        <f>COUNTIF(Tuesday!I:I, B1952)</f>
        <v>0</v>
      </c>
      <c r="E1952">
        <f>COUNTIF(Wednesday!I:I, B1952)</f>
        <v>0</v>
      </c>
      <c r="F1952">
        <f>COUNTIF(Thursday!I:I, B1952)</f>
        <v>0</v>
      </c>
      <c r="G1952">
        <f>COUNTIF(Friday!I:I, B1952)</f>
        <v>0</v>
      </c>
      <c r="H1952">
        <f>SUM(C1952:G1952)</f>
        <v>0</v>
      </c>
    </row>
    <row r="1953" spans="1:8" x14ac:dyDescent="0.25">
      <c r="A1953" s="5" t="s">
        <v>1953</v>
      </c>
      <c r="B1953" t="str">
        <f>"*"&amp;A1953&amp;"*"</f>
        <v>*2820: Sensing Different Than Competitor*</v>
      </c>
      <c r="C1953">
        <f>COUNTIF(Monday!I:I, B1953)</f>
        <v>0</v>
      </c>
      <c r="D1953">
        <f>COUNTIF(Tuesday!I:I, B1953)</f>
        <v>0</v>
      </c>
      <c r="E1953">
        <f>COUNTIF(Wednesday!I:I, B1953)</f>
        <v>0</v>
      </c>
      <c r="F1953">
        <f>COUNTIF(Thursday!I:I, B1953)</f>
        <v>0</v>
      </c>
      <c r="G1953">
        <f>COUNTIF(Friday!I:I, B1953)</f>
        <v>0</v>
      </c>
      <c r="H1953">
        <f>SUM(C1953:G1953)</f>
        <v>0</v>
      </c>
    </row>
    <row r="1954" spans="1:8" x14ac:dyDescent="0.25">
      <c r="A1954" s="5" t="s">
        <v>1954</v>
      </c>
      <c r="B1954" t="str">
        <f>"*"&amp;A1954&amp;"*"</f>
        <v>*2824: COI Different Than Competitor*</v>
      </c>
      <c r="C1954">
        <f>COUNTIF(Monday!I:I, B1954)</f>
        <v>0</v>
      </c>
      <c r="D1954">
        <f>COUNTIF(Tuesday!I:I, B1954)</f>
        <v>0</v>
      </c>
      <c r="E1954">
        <f>COUNTIF(Wednesday!I:I, B1954)</f>
        <v>0</v>
      </c>
      <c r="F1954">
        <f>COUNTIF(Thursday!I:I, B1954)</f>
        <v>0</v>
      </c>
      <c r="G1954">
        <f>COUNTIF(Friday!I:I, B1954)</f>
        <v>0</v>
      </c>
      <c r="H1954">
        <f>SUM(C1954:G1954)</f>
        <v>0</v>
      </c>
    </row>
    <row r="1955" spans="1:8" x14ac:dyDescent="0.25">
      <c r="A1955" s="5" t="s">
        <v>1955</v>
      </c>
      <c r="B1955" t="str">
        <f>"*"&amp;A1955&amp;"*"</f>
        <v>*2825: COI Inverted*</v>
      </c>
      <c r="C1955">
        <f>COUNTIF(Monday!I:I, B1955)</f>
        <v>0</v>
      </c>
      <c r="D1955">
        <f>COUNTIF(Tuesday!I:I, B1955)</f>
        <v>0</v>
      </c>
      <c r="E1955">
        <f>COUNTIF(Wednesday!I:I, B1955)</f>
        <v>0</v>
      </c>
      <c r="F1955">
        <f>COUNTIF(Thursday!I:I, B1955)</f>
        <v>0</v>
      </c>
      <c r="G1955">
        <f>COUNTIF(Friday!I:I, B1955)</f>
        <v>0</v>
      </c>
      <c r="H1955">
        <f>SUM(C1955:G1955)</f>
        <v>0</v>
      </c>
    </row>
    <row r="1956" spans="1:8" x14ac:dyDescent="0.25">
      <c r="A1956" s="5" t="s">
        <v>1956</v>
      </c>
      <c r="B1956" t="str">
        <f>"*"&amp;A1956&amp;"*"</f>
        <v>*3270: Temperature Indicator Black*</v>
      </c>
      <c r="C1956">
        <f>COUNTIF(Monday!I:I, B1956)</f>
        <v>0</v>
      </c>
      <c r="D1956">
        <f>COUNTIF(Tuesday!I:I, B1956)</f>
        <v>0</v>
      </c>
      <c r="E1956">
        <f>COUNTIF(Wednesday!I:I, B1956)</f>
        <v>0</v>
      </c>
      <c r="F1956">
        <f>COUNTIF(Thursday!I:I, B1956)</f>
        <v>0</v>
      </c>
      <c r="G1956">
        <f>COUNTIF(Friday!I:I, B1956)</f>
        <v>0</v>
      </c>
      <c r="H1956">
        <f>SUM(C1956:G1956)</f>
        <v>0</v>
      </c>
    </row>
    <row r="1957" spans="1:8" x14ac:dyDescent="0.25">
      <c r="A1957" s="5" t="s">
        <v>1957</v>
      </c>
      <c r="B1957" t="str">
        <f>"*"&amp;A1957&amp;"*"</f>
        <v>*1161: Damaged After Loading*</v>
      </c>
      <c r="C1957">
        <f>COUNTIF(Monday!I:I, B1957)</f>
        <v>0</v>
      </c>
      <c r="D1957">
        <f>COUNTIF(Tuesday!I:I, B1957)</f>
        <v>0</v>
      </c>
      <c r="E1957">
        <f>COUNTIF(Wednesday!I:I, B1957)</f>
        <v>0</v>
      </c>
      <c r="F1957">
        <f>COUNTIF(Thursday!I:I, B1957)</f>
        <v>0</v>
      </c>
      <c r="G1957">
        <f>COUNTIF(Friday!I:I, B1957)</f>
        <v>0</v>
      </c>
      <c r="H1957">
        <f>SUM(C1957:G1957)</f>
        <v>0</v>
      </c>
    </row>
    <row r="1958" spans="1:8" x14ac:dyDescent="0.25">
      <c r="A1958" s="5" t="s">
        <v>1958</v>
      </c>
      <c r="B1958" t="str">
        <f>"*"&amp;A1958&amp;"*"</f>
        <v>*1344: Difficult To Release*</v>
      </c>
      <c r="C1958">
        <f>COUNTIF(Monday!I:I, B1958)</f>
        <v>0</v>
      </c>
      <c r="D1958">
        <f>COUNTIF(Tuesday!I:I, B1958)</f>
        <v>0</v>
      </c>
      <c r="E1958">
        <f>COUNTIF(Wednesday!I:I, B1958)</f>
        <v>0</v>
      </c>
      <c r="F1958">
        <f>COUNTIF(Thursday!I:I, B1958)</f>
        <v>0</v>
      </c>
      <c r="G1958">
        <f>COUNTIF(Friday!I:I, B1958)</f>
        <v>0</v>
      </c>
      <c r="H1958">
        <f>SUM(C1958:G1958)</f>
        <v>0</v>
      </c>
    </row>
    <row r="1959" spans="1:8" x14ac:dyDescent="0.25">
      <c r="A1959" s="5" t="s">
        <v>1959</v>
      </c>
      <c r="B1959" t="str">
        <f>"*"&amp;A1959&amp;"*"</f>
        <v>*2235: Prematurely Releases*</v>
      </c>
      <c r="C1959">
        <f>COUNTIF(Monday!I:I, B1959)</f>
        <v>0</v>
      </c>
      <c r="D1959">
        <f>COUNTIF(Tuesday!I:I, B1959)</f>
        <v>0</v>
      </c>
      <c r="E1959">
        <f>COUNTIF(Wednesday!I:I, B1959)</f>
        <v>0</v>
      </c>
      <c r="F1959">
        <f>COUNTIF(Thursday!I:I, B1959)</f>
        <v>0</v>
      </c>
      <c r="G1959">
        <f>COUNTIF(Friday!I:I, B1959)</f>
        <v>0</v>
      </c>
      <c r="H1959">
        <f>SUM(C1959:G1959)</f>
        <v>0</v>
      </c>
    </row>
    <row r="1960" spans="1:8" x14ac:dyDescent="0.25">
      <c r="A1960" s="5" t="s">
        <v>1960</v>
      </c>
      <c r="B1960" t="str">
        <f>"*"&amp;A1960&amp;"*"</f>
        <v>*1552: Failure To Playback/View A Recorded Case*</v>
      </c>
      <c r="C1960">
        <f>COUNTIF(Monday!I:I, B1960)</f>
        <v>0</v>
      </c>
      <c r="D1960">
        <f>COUNTIF(Tuesday!I:I, B1960)</f>
        <v>0</v>
      </c>
      <c r="E1960">
        <f>COUNTIF(Wednesday!I:I, B1960)</f>
        <v>0</v>
      </c>
      <c r="F1960">
        <f>COUNTIF(Thursday!I:I, B1960)</f>
        <v>0</v>
      </c>
      <c r="G1960">
        <f>COUNTIF(Friday!I:I, B1960)</f>
        <v>0</v>
      </c>
      <c r="H1960">
        <f>SUM(C1960:G1960)</f>
        <v>0</v>
      </c>
    </row>
    <row r="1961" spans="1:8" x14ac:dyDescent="0.25">
      <c r="A1961" s="5" t="s">
        <v>1961</v>
      </c>
      <c r="B1961" t="str">
        <f>"*"&amp;A1961&amp;"*"</f>
        <v>*2206: Playback/Review Of Case Issue*</v>
      </c>
      <c r="C1961">
        <f>COUNTIF(Monday!I:I, B1961)</f>
        <v>0</v>
      </c>
      <c r="D1961">
        <f>COUNTIF(Tuesday!I:I, B1961)</f>
        <v>0</v>
      </c>
      <c r="E1961">
        <f>COUNTIF(Wednesday!I:I, B1961)</f>
        <v>0</v>
      </c>
      <c r="F1961">
        <f>COUNTIF(Thursday!I:I, B1961)</f>
        <v>0</v>
      </c>
      <c r="G1961">
        <f>COUNTIF(Friday!I:I, B1961)</f>
        <v>0</v>
      </c>
      <c r="H1961">
        <f>SUM(C1961:G1961)</f>
        <v>0</v>
      </c>
    </row>
    <row r="1962" spans="1:8" x14ac:dyDescent="0.25">
      <c r="A1962" s="5" t="s">
        <v>1962</v>
      </c>
      <c r="B1962" t="str">
        <f>"*"&amp;A1962&amp;"*"</f>
        <v>*2234: Premature Opening*</v>
      </c>
      <c r="C1962">
        <f>COUNTIF(Monday!I:I, B1962)</f>
        <v>0</v>
      </c>
      <c r="D1962">
        <f>COUNTIF(Tuesday!I:I, B1962)</f>
        <v>0</v>
      </c>
      <c r="E1962">
        <f>COUNTIF(Wednesday!I:I, B1962)</f>
        <v>0</v>
      </c>
      <c r="F1962">
        <f>COUNTIF(Thursday!I:I, B1962)</f>
        <v>0</v>
      </c>
      <c r="G1962">
        <f>COUNTIF(Friday!I:I, B1962)</f>
        <v>0</v>
      </c>
      <c r="H1962">
        <f>SUM(C1962:G1962)</f>
        <v>0</v>
      </c>
    </row>
    <row r="1963" spans="1:8" x14ac:dyDescent="0.25">
      <c r="A1963" s="5" t="s">
        <v>1963</v>
      </c>
      <c r="B1963" t="str">
        <f>"*"&amp;A1963&amp;"*"</f>
        <v>*1306: Difficult To Initiate Unsheathing*</v>
      </c>
      <c r="C1963">
        <f>COUNTIF(Monday!I:I, B1963)</f>
        <v>0</v>
      </c>
      <c r="D1963">
        <f>COUNTIF(Tuesday!I:I, B1963)</f>
        <v>0</v>
      </c>
      <c r="E1963">
        <f>COUNTIF(Wednesday!I:I, B1963)</f>
        <v>0</v>
      </c>
      <c r="F1963">
        <f>COUNTIF(Thursday!I:I, B1963)</f>
        <v>0</v>
      </c>
      <c r="G1963">
        <f>COUNTIF(Friday!I:I, B1963)</f>
        <v>0</v>
      </c>
      <c r="H1963">
        <f>SUM(C1963:G1963)</f>
        <v>0</v>
      </c>
    </row>
    <row r="1964" spans="1:8" x14ac:dyDescent="0.25">
      <c r="A1964" s="5" t="s">
        <v>1964</v>
      </c>
      <c r="B1964" t="str">
        <f>"*"&amp;A1964&amp;"*"</f>
        <v>*1359: Difficult To Re-Sheath*</v>
      </c>
      <c r="C1964">
        <f>COUNTIF(Monday!I:I, B1964)</f>
        <v>0</v>
      </c>
      <c r="D1964">
        <f>COUNTIF(Tuesday!I:I, B1964)</f>
        <v>0</v>
      </c>
      <c r="E1964">
        <f>COUNTIF(Wednesday!I:I, B1964)</f>
        <v>0</v>
      </c>
      <c r="F1964">
        <f>COUNTIF(Thursday!I:I, B1964)</f>
        <v>0</v>
      </c>
      <c r="G1964">
        <f>COUNTIF(Friday!I:I, B1964)</f>
        <v>0</v>
      </c>
      <c r="H1964">
        <f>SUM(C1964:G1964)</f>
        <v>0</v>
      </c>
    </row>
    <row r="1965" spans="1:8" x14ac:dyDescent="0.25">
      <c r="A1965" s="5" t="s">
        <v>1965</v>
      </c>
      <c r="B1965" t="str">
        <f>"*"&amp;A1965&amp;"*"</f>
        <v>*1364: Difficult To Sheath During Preparation*</v>
      </c>
      <c r="C1965">
        <f>COUNTIF(Monday!I:I, B1965)</f>
        <v>0</v>
      </c>
      <c r="D1965">
        <f>COUNTIF(Tuesday!I:I, B1965)</f>
        <v>0</v>
      </c>
      <c r="E1965">
        <f>COUNTIF(Wednesday!I:I, B1965)</f>
        <v>0</v>
      </c>
      <c r="F1965">
        <f>COUNTIF(Thursday!I:I, B1965)</f>
        <v>0</v>
      </c>
      <c r="G1965">
        <f>COUNTIF(Friday!I:I, B1965)</f>
        <v>0</v>
      </c>
      <c r="H1965">
        <f>SUM(C1965:G1965)</f>
        <v>0</v>
      </c>
    </row>
    <row r="1966" spans="1:8" x14ac:dyDescent="0.25">
      <c r="A1966" s="5" t="s">
        <v>1966</v>
      </c>
      <c r="B1966" t="str">
        <f>"*"&amp;A1966&amp;"*"</f>
        <v>*1370: Difficult To Un-Sheath*</v>
      </c>
      <c r="C1966">
        <f>COUNTIF(Monday!I:I, B1966)</f>
        <v>0</v>
      </c>
      <c r="D1966">
        <f>COUNTIF(Tuesday!I:I, B1966)</f>
        <v>0</v>
      </c>
      <c r="E1966">
        <f>COUNTIF(Wednesday!I:I, B1966)</f>
        <v>0</v>
      </c>
      <c r="F1966">
        <f>COUNTIF(Thursday!I:I, B1966)</f>
        <v>0</v>
      </c>
      <c r="G1966">
        <f>COUNTIF(Friday!I:I, B1966)</f>
        <v>0</v>
      </c>
      <c r="H1966">
        <f>SUM(C1966:G1966)</f>
        <v>0</v>
      </c>
    </row>
    <row r="1967" spans="1:8" x14ac:dyDescent="0.25">
      <c r="A1967" s="5" t="s">
        <v>1967</v>
      </c>
      <c r="B1967" t="str">
        <f>"*"&amp;A1967&amp;"*"</f>
        <v>*1596: Failure To Un-sheath*</v>
      </c>
      <c r="C1967">
        <f>COUNTIF(Monday!I:I, B1967)</f>
        <v>0</v>
      </c>
      <c r="D1967">
        <f>COUNTIF(Tuesday!I:I, B1967)</f>
        <v>0</v>
      </c>
      <c r="E1967">
        <f>COUNTIF(Wednesday!I:I, B1967)</f>
        <v>0</v>
      </c>
      <c r="F1967">
        <f>COUNTIF(Thursday!I:I, B1967)</f>
        <v>0</v>
      </c>
      <c r="G1967">
        <f>COUNTIF(Friday!I:I, B1967)</f>
        <v>0</v>
      </c>
      <c r="H1967">
        <f>SUM(C1967:G1967)</f>
        <v>0</v>
      </c>
    </row>
    <row r="1968" spans="1:8" x14ac:dyDescent="0.25">
      <c r="A1968" s="5" t="s">
        <v>1968</v>
      </c>
      <c r="B1968" t="str">
        <f>"*"&amp;A1968&amp;"*"</f>
        <v>*2588: Failure To Sheath During Preparation*</v>
      </c>
      <c r="C1968">
        <f>COUNTIF(Monday!I:I, B1968)</f>
        <v>0</v>
      </c>
      <c r="D1968">
        <f>COUNTIF(Tuesday!I:I, B1968)</f>
        <v>0</v>
      </c>
      <c r="E1968">
        <f>COUNTIF(Wednesday!I:I, B1968)</f>
        <v>0</v>
      </c>
      <c r="F1968">
        <f>COUNTIF(Thursday!I:I, B1968)</f>
        <v>0</v>
      </c>
      <c r="G1968">
        <f>COUNTIF(Friday!I:I, B1968)</f>
        <v>0</v>
      </c>
      <c r="H1968">
        <f>SUM(C1968:G1968)</f>
        <v>0</v>
      </c>
    </row>
    <row r="1969" spans="1:8" x14ac:dyDescent="0.25">
      <c r="A1969" s="5" t="s">
        <v>1969</v>
      </c>
      <c r="B1969" t="str">
        <f>"*"&amp;A1969&amp;"*"</f>
        <v>*1635: Forward Trip*</v>
      </c>
      <c r="C1969">
        <f>COUNTIF(Monday!I:I, B1969)</f>
        <v>0</v>
      </c>
      <c r="D1969">
        <f>COUNTIF(Tuesday!I:I, B1969)</f>
        <v>0</v>
      </c>
      <c r="E1969">
        <f>COUNTIF(Wednesday!I:I, B1969)</f>
        <v>0</v>
      </c>
      <c r="F1969">
        <f>COUNTIF(Thursday!I:I, B1969)</f>
        <v>0</v>
      </c>
      <c r="G1969">
        <f>COUNTIF(Friday!I:I, B1969)</f>
        <v>0</v>
      </c>
      <c r="H1969">
        <f>SUM(C1969:G1969)</f>
        <v>0</v>
      </c>
    </row>
    <row r="1970" spans="1:8" x14ac:dyDescent="0.25">
      <c r="A1970" s="5" t="s">
        <v>1970</v>
      </c>
      <c r="B1970" t="str">
        <f>"*"&amp;A1970&amp;"*"</f>
        <v>*2369: Stuck In Sheath During Advancement*</v>
      </c>
      <c r="C1970">
        <f>COUNTIF(Monday!I:I, B1970)</f>
        <v>0</v>
      </c>
      <c r="D1970">
        <f>COUNTIF(Tuesday!I:I, B1970)</f>
        <v>0</v>
      </c>
      <c r="E1970">
        <f>COUNTIF(Wednesday!I:I, B1970)</f>
        <v>0</v>
      </c>
      <c r="F1970">
        <f>COUNTIF(Thursday!I:I, B1970)</f>
        <v>0</v>
      </c>
      <c r="G1970">
        <f>COUNTIF(Friday!I:I, B1970)</f>
        <v>0</v>
      </c>
      <c r="H1970">
        <f>SUM(C1970:G1970)</f>
        <v>0</v>
      </c>
    </row>
    <row r="1971" spans="1:8" x14ac:dyDescent="0.25">
      <c r="A1971" s="5" t="s">
        <v>1971</v>
      </c>
      <c r="B1971" t="str">
        <f>"*"&amp;A1971&amp;"*"</f>
        <v>*2370: Stuck In Sheath During Withdrawal*</v>
      </c>
      <c r="C1971">
        <f>COUNTIF(Monday!I:I, B1971)</f>
        <v>0</v>
      </c>
      <c r="D1971">
        <f>COUNTIF(Tuesday!I:I, B1971)</f>
        <v>0</v>
      </c>
      <c r="E1971">
        <f>COUNTIF(Wednesday!I:I, B1971)</f>
        <v>0</v>
      </c>
      <c r="F1971">
        <f>COUNTIF(Thursday!I:I, B1971)</f>
        <v>0</v>
      </c>
      <c r="G1971">
        <f>COUNTIF(Friday!I:I, B1971)</f>
        <v>0</v>
      </c>
      <c r="H1971">
        <f>SUM(C1971:G1971)</f>
        <v>0</v>
      </c>
    </row>
    <row r="1972" spans="1:8" x14ac:dyDescent="0.25">
      <c r="A1972" s="5" t="s">
        <v>1972</v>
      </c>
      <c r="B1972" t="str">
        <f>"*"&amp;A1972&amp;"*"</f>
        <v>*1799: Loss Of Or Failure To Bond*</v>
      </c>
      <c r="C1972">
        <f>COUNTIF(Monday!I:I, B1972)</f>
        <v>0</v>
      </c>
      <c r="D1972">
        <f>COUNTIF(Tuesday!I:I, B1972)</f>
        <v>0</v>
      </c>
      <c r="E1972">
        <f>COUNTIF(Wednesday!I:I, B1972)</f>
        <v>0</v>
      </c>
      <c r="F1972">
        <f>COUNTIF(Thursday!I:I, B1972)</f>
        <v>0</v>
      </c>
      <c r="G1972">
        <f>COUNTIF(Friday!I:I, B1972)</f>
        <v>0</v>
      </c>
      <c r="H1972">
        <f>SUM(C1972:G1972)</f>
        <v>0</v>
      </c>
    </row>
    <row r="1973" spans="1:8" x14ac:dyDescent="0.25">
      <c r="A1973" s="5" t="s">
        <v>1973</v>
      </c>
      <c r="B1973" t="str">
        <f>"*"&amp;A1973&amp;"*"</f>
        <v>*1147: Coronary Artery Occlusion*</v>
      </c>
      <c r="C1973">
        <f>COUNTIF(Monday!I:I, B1973)</f>
        <v>0</v>
      </c>
      <c r="D1973">
        <f>COUNTIF(Tuesday!I:I, B1973)</f>
        <v>0</v>
      </c>
      <c r="E1973">
        <f>COUNTIF(Wednesday!I:I, B1973)</f>
        <v>0</v>
      </c>
      <c r="F1973">
        <f>COUNTIF(Thursday!I:I, B1973)</f>
        <v>0</v>
      </c>
      <c r="G1973">
        <f>COUNTIF(Friday!I:I, B1973)</f>
        <v>0</v>
      </c>
      <c r="H1973">
        <f>SUM(C1973:G1973)</f>
        <v>0</v>
      </c>
    </row>
    <row r="1974" spans="1:8" x14ac:dyDescent="0.25">
      <c r="A1974" s="5" t="s">
        <v>1974</v>
      </c>
      <c r="B1974" t="str">
        <f>"*"&amp;A1974&amp;"*"</f>
        <v>*1324: Difficult To Load Onto Delivery System*</v>
      </c>
      <c r="C1974">
        <f>COUNTIF(Monday!I:I, B1974)</f>
        <v>0</v>
      </c>
      <c r="D1974">
        <f>COUNTIF(Tuesday!I:I, B1974)</f>
        <v>0</v>
      </c>
      <c r="E1974">
        <f>COUNTIF(Wednesday!I:I, B1974)</f>
        <v>0</v>
      </c>
      <c r="F1974">
        <f>COUNTIF(Thursday!I:I, B1974)</f>
        <v>0</v>
      </c>
      <c r="G1974">
        <f>COUNTIF(Friday!I:I, B1974)</f>
        <v>0</v>
      </c>
      <c r="H1974">
        <f>SUM(C1974:G1974)</f>
        <v>0</v>
      </c>
    </row>
    <row r="1975" spans="1:8" x14ac:dyDescent="0.25">
      <c r="A1975" s="5" t="s">
        <v>1975</v>
      </c>
      <c r="B1975" t="str">
        <f>"*"&amp;A1975&amp;"*"</f>
        <v>*1369: Difficult To Unlock*</v>
      </c>
      <c r="C1975">
        <f>COUNTIF(Monday!I:I, B1975)</f>
        <v>0</v>
      </c>
      <c r="D1975">
        <f>COUNTIF(Tuesday!I:I, B1975)</f>
        <v>0</v>
      </c>
      <c r="E1975">
        <f>COUNTIF(Wednesday!I:I, B1975)</f>
        <v>0</v>
      </c>
      <c r="F1975">
        <f>COUNTIF(Thursday!I:I, B1975)</f>
        <v>0</v>
      </c>
      <c r="G1975">
        <f>COUNTIF(Friday!I:I, B1975)</f>
        <v>0</v>
      </c>
      <c r="H1975">
        <f>SUM(C1975:G1975)</f>
        <v>0</v>
      </c>
    </row>
    <row r="1976" spans="1:8" x14ac:dyDescent="0.25">
      <c r="A1976" s="5" t="s">
        <v>1976</v>
      </c>
      <c r="B1976" t="str">
        <f>"*"&amp;A1976&amp;"*"</f>
        <v>*1535: Failure To Load Onto Delivery System*</v>
      </c>
      <c r="C1976">
        <f>COUNTIF(Monday!I:I, B1976)</f>
        <v>0</v>
      </c>
      <c r="D1976">
        <f>COUNTIF(Tuesday!I:I, B1976)</f>
        <v>0</v>
      </c>
      <c r="E1976">
        <f>COUNTIF(Wednesday!I:I, B1976)</f>
        <v>0</v>
      </c>
      <c r="F1976">
        <f>COUNTIF(Thursday!I:I, B1976)</f>
        <v>0</v>
      </c>
      <c r="G1976">
        <f>COUNTIF(Friday!I:I, B1976)</f>
        <v>0</v>
      </c>
      <c r="H1976">
        <f>SUM(C1976:G1976)</f>
        <v>0</v>
      </c>
    </row>
    <row r="1977" spans="1:8" x14ac:dyDescent="0.25">
      <c r="A1977" s="5" t="s">
        <v>1977</v>
      </c>
      <c r="B1977" t="str">
        <f>"*"&amp;A1977&amp;"*"</f>
        <v>*1622: Floppy Post*</v>
      </c>
      <c r="C1977">
        <f>COUNTIF(Monday!I:I, B1977)</f>
        <v>0</v>
      </c>
      <c r="D1977">
        <f>COUNTIF(Tuesday!I:I, B1977)</f>
        <v>0</v>
      </c>
      <c r="E1977">
        <f>COUNTIF(Wednesday!I:I, B1977)</f>
        <v>0</v>
      </c>
      <c r="F1977">
        <f>COUNTIF(Thursday!I:I, B1977)</f>
        <v>0</v>
      </c>
      <c r="G1977">
        <f>COUNTIF(Friday!I:I, B1977)</f>
        <v>0</v>
      </c>
      <c r="H1977">
        <f>SUM(C1977:G1977)</f>
        <v>0</v>
      </c>
    </row>
    <row r="1978" spans="1:8" x14ac:dyDescent="0.25">
      <c r="A1978" s="5" t="s">
        <v>1978</v>
      </c>
      <c r="B1978" t="str">
        <f>"*"&amp;A1978&amp;"*"</f>
        <v>*1648: Gradient Elevation*</v>
      </c>
      <c r="C1978">
        <f>COUNTIF(Monday!I:I, B1978)</f>
        <v>0</v>
      </c>
      <c r="D1978">
        <f>COUNTIF(Tuesday!I:I, B1978)</f>
        <v>0</v>
      </c>
      <c r="E1978">
        <f>COUNTIF(Wednesday!I:I, B1978)</f>
        <v>0</v>
      </c>
      <c r="F1978">
        <f>COUNTIF(Thursday!I:I, B1978)</f>
        <v>0</v>
      </c>
      <c r="G1978">
        <f>COUNTIF(Friday!I:I, B1978)</f>
        <v>0</v>
      </c>
      <c r="H1978">
        <f>SUM(C1978:G1978)</f>
        <v>0</v>
      </c>
    </row>
    <row r="1979" spans="1:8" x14ac:dyDescent="0.25">
      <c r="A1979" s="5" t="s">
        <v>1979</v>
      </c>
      <c r="B1979" t="str">
        <f>"*"&amp;A1979&amp;"*"</f>
        <v>*2180: Partial Release*</v>
      </c>
      <c r="C1979">
        <f>COUNTIF(Monday!I:I, B1979)</f>
        <v>0</v>
      </c>
      <c r="D1979">
        <f>COUNTIF(Tuesday!I:I, B1979)</f>
        <v>0</v>
      </c>
      <c r="E1979">
        <f>COUNTIF(Wednesday!I:I, B1979)</f>
        <v>0</v>
      </c>
      <c r="F1979">
        <f>COUNTIF(Thursday!I:I, B1979)</f>
        <v>0</v>
      </c>
      <c r="G1979">
        <f>COUNTIF(Friday!I:I, B1979)</f>
        <v>0</v>
      </c>
      <c r="H1979">
        <f>SUM(C1979:G1979)</f>
        <v>0</v>
      </c>
    </row>
    <row r="1980" spans="1:8" x14ac:dyDescent="0.25">
      <c r="A1980" s="5" t="s">
        <v>1980</v>
      </c>
      <c r="B1980" t="str">
        <f>"*"&amp;A1980&amp;"*"</f>
        <v>*2198: Regurgitation, Prosthetic Valve (Paravalvular/Perivalvular Leak (PVL))*</v>
      </c>
      <c r="C1980">
        <f>COUNTIF(Monday!I:I, B1980)</f>
        <v>0</v>
      </c>
      <c r="D1980">
        <f>COUNTIF(Tuesday!I:I, B1980)</f>
        <v>0</v>
      </c>
      <c r="E1980">
        <f>COUNTIF(Wednesday!I:I, B1980)</f>
        <v>0</v>
      </c>
      <c r="F1980">
        <f>COUNTIF(Thursday!I:I, B1980)</f>
        <v>0</v>
      </c>
      <c r="G1980">
        <f>COUNTIF(Friday!I:I, B1980)</f>
        <v>0</v>
      </c>
      <c r="H1980">
        <f>SUM(C1980:G1980)</f>
        <v>0</v>
      </c>
    </row>
    <row r="1981" spans="1:8" x14ac:dyDescent="0.25">
      <c r="A1981" s="5" t="s">
        <v>1981</v>
      </c>
      <c r="B1981" t="str">
        <f>"*"&amp;A1981&amp;"*"</f>
        <v>*2255: Raised Braid Crown*</v>
      </c>
      <c r="C1981">
        <f>COUNTIF(Monday!I:I, B1981)</f>
        <v>0</v>
      </c>
      <c r="D1981">
        <f>COUNTIF(Tuesday!I:I, B1981)</f>
        <v>0</v>
      </c>
      <c r="E1981">
        <f>COUNTIF(Wednesday!I:I, B1981)</f>
        <v>0</v>
      </c>
      <c r="F1981">
        <f>COUNTIF(Thursday!I:I, B1981)</f>
        <v>0</v>
      </c>
      <c r="G1981">
        <f>COUNTIF(Friday!I:I, B1981)</f>
        <v>0</v>
      </c>
      <c r="H1981">
        <f>SUM(C1981:G1981)</f>
        <v>0</v>
      </c>
    </row>
    <row r="1982" spans="1:8" x14ac:dyDescent="0.25">
      <c r="A1982" s="5" t="s">
        <v>1982</v>
      </c>
      <c r="B1982" t="str">
        <f>"*"&amp;A1982&amp;"*"</f>
        <v>*2348: Stent Free Cell Protrusion*</v>
      </c>
      <c r="C1982">
        <f>COUNTIF(Monday!I:I, B1982)</f>
        <v>0</v>
      </c>
      <c r="D1982">
        <f>COUNTIF(Tuesday!I:I, B1982)</f>
        <v>0</v>
      </c>
      <c r="E1982">
        <f>COUNTIF(Wednesday!I:I, B1982)</f>
        <v>0</v>
      </c>
      <c r="F1982">
        <f>COUNTIF(Thursday!I:I, B1982)</f>
        <v>0</v>
      </c>
      <c r="G1982">
        <f>COUNTIF(Friday!I:I, B1982)</f>
        <v>0</v>
      </c>
      <c r="H1982">
        <f>SUM(C1982:G1982)</f>
        <v>0</v>
      </c>
    </row>
    <row r="1983" spans="1:8" x14ac:dyDescent="0.25">
      <c r="A1983" s="5" t="s">
        <v>1983</v>
      </c>
      <c r="B1983" t="str">
        <f>"*"&amp;A1983&amp;"*"</f>
        <v>*2444: Unlocked Unintentionally*</v>
      </c>
      <c r="C1983">
        <f>COUNTIF(Monday!I:I, B1983)</f>
        <v>0</v>
      </c>
      <c r="D1983">
        <f>COUNTIF(Tuesday!I:I, B1983)</f>
        <v>0</v>
      </c>
      <c r="E1983">
        <f>COUNTIF(Wednesday!I:I, B1983)</f>
        <v>0</v>
      </c>
      <c r="F1983">
        <f>COUNTIF(Thursday!I:I, B1983)</f>
        <v>0</v>
      </c>
      <c r="G1983">
        <f>COUNTIF(Friday!I:I, B1983)</f>
        <v>0</v>
      </c>
      <c r="H1983">
        <f>SUM(C1983:G1983)</f>
        <v>0</v>
      </c>
    </row>
    <row r="1984" spans="1:8" x14ac:dyDescent="0.25">
      <c r="A1984" s="5" t="s">
        <v>1984</v>
      </c>
      <c r="B1984" t="str">
        <f>"*"&amp;A1984&amp;"*"</f>
        <v>*2463: Visual Defect*</v>
      </c>
      <c r="C1984">
        <f>COUNTIF(Monday!I:I, B1984)</f>
        <v>0</v>
      </c>
      <c r="D1984">
        <f>COUNTIF(Tuesday!I:I, B1984)</f>
        <v>0</v>
      </c>
      <c r="E1984">
        <f>COUNTIF(Wednesday!I:I, B1984)</f>
        <v>0</v>
      </c>
      <c r="F1984">
        <f>COUNTIF(Thursday!I:I, B1984)</f>
        <v>0</v>
      </c>
      <c r="G1984">
        <f>COUNTIF(Friday!I:I, B1984)</f>
        <v>0</v>
      </c>
      <c r="H1984">
        <f>SUM(C1984:G1984)</f>
        <v>0</v>
      </c>
    </row>
    <row r="1985" spans="1:8" x14ac:dyDescent="0.25">
      <c r="A1985" s="5" t="s">
        <v>1985</v>
      </c>
      <c r="B1985" t="str">
        <f>"*"&amp;A1985&amp;"*"</f>
        <v>*2493: Decreased Valve Area*</v>
      </c>
      <c r="C1985">
        <f>COUNTIF(Monday!I:I, B1985)</f>
        <v>0</v>
      </c>
      <c r="D1985">
        <f>COUNTIF(Tuesday!I:I, B1985)</f>
        <v>0</v>
      </c>
      <c r="E1985">
        <f>COUNTIF(Wednesday!I:I, B1985)</f>
        <v>0</v>
      </c>
      <c r="F1985">
        <f>COUNTIF(Thursday!I:I, B1985)</f>
        <v>0</v>
      </c>
      <c r="G1985">
        <f>COUNTIF(Friday!I:I, B1985)</f>
        <v>0</v>
      </c>
      <c r="H1985">
        <f>SUM(C1985:G1985)</f>
        <v>0</v>
      </c>
    </row>
    <row r="1986" spans="1:8" x14ac:dyDescent="0.25">
      <c r="A1986" s="5" t="s">
        <v>1986</v>
      </c>
      <c r="B1986" t="str">
        <f>"*"&amp;A1986&amp;"*"</f>
        <v>*2589: Damage Post-Deployment*</v>
      </c>
      <c r="C1986">
        <f>COUNTIF(Monday!I:I, B1986)</f>
        <v>0</v>
      </c>
      <c r="D1986">
        <f>COUNTIF(Tuesday!I:I, B1986)</f>
        <v>0</v>
      </c>
      <c r="E1986">
        <f>COUNTIF(Wednesday!I:I, B1986)</f>
        <v>0</v>
      </c>
      <c r="F1986">
        <f>COUNTIF(Thursday!I:I, B1986)</f>
        <v>0</v>
      </c>
      <c r="G1986">
        <f>COUNTIF(Friday!I:I, B1986)</f>
        <v>0</v>
      </c>
      <c r="H1986">
        <f>SUM(C1986:G1986)</f>
        <v>0</v>
      </c>
    </row>
    <row r="1987" spans="1:8" x14ac:dyDescent="0.25">
      <c r="A1987" s="5" t="s">
        <v>1987</v>
      </c>
      <c r="B1987" t="str">
        <f>"*"&amp;A1987&amp;"*"</f>
        <v>*2590: Coaptation Issue*</v>
      </c>
      <c r="C1987">
        <f>COUNTIF(Monday!I:I, B1987)</f>
        <v>0</v>
      </c>
      <c r="D1987">
        <f>COUNTIF(Tuesday!I:I, B1987)</f>
        <v>0</v>
      </c>
      <c r="E1987">
        <f>COUNTIF(Wednesday!I:I, B1987)</f>
        <v>0</v>
      </c>
      <c r="F1987">
        <f>COUNTIF(Thursday!I:I, B1987)</f>
        <v>0</v>
      </c>
      <c r="G1987">
        <f>COUNTIF(Friday!I:I, B1987)</f>
        <v>0</v>
      </c>
      <c r="H1987">
        <f>SUM(C1987:G1987)</f>
        <v>0</v>
      </c>
    </row>
    <row r="1988" spans="1:8" x14ac:dyDescent="0.25">
      <c r="A1988" s="5" t="s">
        <v>1988</v>
      </c>
      <c r="B1988" t="str">
        <f>"*"&amp;A1988&amp;"*"</f>
        <v>*2606: Structural Deterioration*</v>
      </c>
      <c r="C1988">
        <f>COUNTIF(Monday!I:I, B1988)</f>
        <v>0</v>
      </c>
      <c r="D1988">
        <f>COUNTIF(Tuesday!I:I, B1988)</f>
        <v>0</v>
      </c>
      <c r="E1988">
        <f>COUNTIF(Wednesday!I:I, B1988)</f>
        <v>0</v>
      </c>
      <c r="F1988">
        <f>COUNTIF(Thursday!I:I, B1988)</f>
        <v>0</v>
      </c>
      <c r="G1988">
        <f>COUNTIF(Friday!I:I, B1988)</f>
        <v>0</v>
      </c>
      <c r="H1988">
        <f>SUM(C1988:G1988)</f>
        <v>0</v>
      </c>
    </row>
    <row r="1989" spans="1:8" x14ac:dyDescent="0.25">
      <c r="A1989" s="5" t="s">
        <v>1989</v>
      </c>
      <c r="B1989" t="str">
        <f>"*"&amp;A1989&amp;"*"</f>
        <v>*2607: Non-Structural Dysfunction*</v>
      </c>
      <c r="C1989">
        <f>COUNTIF(Monday!I:I, B1989)</f>
        <v>0</v>
      </c>
      <c r="D1989">
        <f>COUNTIF(Tuesday!I:I, B1989)</f>
        <v>0</v>
      </c>
      <c r="E1989">
        <f>COUNTIF(Wednesday!I:I, B1989)</f>
        <v>0</v>
      </c>
      <c r="F1989">
        <f>COUNTIF(Thursday!I:I, B1989)</f>
        <v>0</v>
      </c>
      <c r="G1989">
        <f>COUNTIF(Friday!I:I, B1989)</f>
        <v>0</v>
      </c>
      <c r="H1989">
        <f>SUM(C1989:G1989)</f>
        <v>0</v>
      </c>
    </row>
    <row r="1990" spans="1:8" x14ac:dyDescent="0.25">
      <c r="A1990" s="5" t="s">
        <v>1990</v>
      </c>
      <c r="B1990" t="str">
        <f>"*"&amp;A1990&amp;"*"</f>
        <v>*2617: Regurgitation, Prosthetic Valve*</v>
      </c>
      <c r="C1990">
        <f>COUNTIF(Monday!I:I, B1990)</f>
        <v>0</v>
      </c>
      <c r="D1990">
        <f>COUNTIF(Tuesday!I:I, B1990)</f>
        <v>0</v>
      </c>
      <c r="E1990">
        <f>COUNTIF(Wednesday!I:I, B1990)</f>
        <v>0</v>
      </c>
      <c r="F1990">
        <f>COUNTIF(Thursday!I:I, B1990)</f>
        <v>0</v>
      </c>
      <c r="G1990">
        <f>COUNTIF(Friday!I:I, B1990)</f>
        <v>0</v>
      </c>
      <c r="H1990">
        <f>SUM(C1990:G1990)</f>
        <v>0</v>
      </c>
    </row>
    <row r="1991" spans="1:8" x14ac:dyDescent="0.25">
      <c r="A1991" s="5" t="s">
        <v>1991</v>
      </c>
      <c r="B1991" t="str">
        <f>"*"&amp;A1991&amp;"*"</f>
        <v>*2618: Regurgitation, Prosthetic Valve (Central Leak)*</v>
      </c>
      <c r="C1991">
        <f>COUNTIF(Monday!I:I, B1991)</f>
        <v>0</v>
      </c>
      <c r="D1991">
        <f>COUNTIF(Tuesday!I:I, B1991)</f>
        <v>0</v>
      </c>
      <c r="E1991">
        <f>COUNTIF(Wednesday!I:I, B1991)</f>
        <v>0</v>
      </c>
      <c r="F1991">
        <f>COUNTIF(Thursday!I:I, B1991)</f>
        <v>0</v>
      </c>
      <c r="G1991">
        <f>COUNTIF(Friday!I:I, B1991)</f>
        <v>0</v>
      </c>
      <c r="H1991">
        <f>SUM(C1991:G1991)</f>
        <v>0</v>
      </c>
    </row>
    <row r="1992" spans="1:8" x14ac:dyDescent="0.25">
      <c r="A1992" s="5" t="s">
        <v>1992</v>
      </c>
      <c r="B1992" t="str">
        <f>"*"&amp;A1992&amp;"*"</f>
        <v>*2697: Valve In Valve*</v>
      </c>
      <c r="C1992">
        <f>COUNTIF(Monday!I:I, B1992)</f>
        <v>0</v>
      </c>
      <c r="D1992">
        <f>COUNTIF(Tuesday!I:I, B1992)</f>
        <v>0</v>
      </c>
      <c r="E1992">
        <f>COUNTIF(Wednesday!I:I, B1992)</f>
        <v>0</v>
      </c>
      <c r="F1992">
        <f>COUNTIF(Thursday!I:I, B1992)</f>
        <v>0</v>
      </c>
      <c r="G1992">
        <f>COUNTIF(Friday!I:I, B1992)</f>
        <v>0</v>
      </c>
      <c r="H1992">
        <f>SUM(C1992:G1992)</f>
        <v>0</v>
      </c>
    </row>
    <row r="1993" spans="1:8" x14ac:dyDescent="0.25">
      <c r="A1993" s="5" t="s">
        <v>1993</v>
      </c>
      <c r="B1993" t="str">
        <f>"*"&amp;A1993&amp;"*"</f>
        <v>*2829: Hook(s) Not Engaged*</v>
      </c>
      <c r="C1993">
        <f>COUNTIF(Monday!I:I, B1993)</f>
        <v>0</v>
      </c>
      <c r="D1993">
        <f>COUNTIF(Tuesday!I:I, B1993)</f>
        <v>0</v>
      </c>
      <c r="E1993">
        <f>COUNTIF(Wednesday!I:I, B1993)</f>
        <v>0</v>
      </c>
      <c r="F1993">
        <f>COUNTIF(Thursday!I:I, B1993)</f>
        <v>0</v>
      </c>
      <c r="G1993">
        <f>COUNTIF(Friday!I:I, B1993)</f>
        <v>0</v>
      </c>
      <c r="H1993">
        <f>SUM(C1993:G1993)</f>
        <v>0</v>
      </c>
    </row>
    <row r="1994" spans="1:8" x14ac:dyDescent="0.25">
      <c r="A1994" s="5" t="s">
        <v>1994</v>
      </c>
      <c r="B1994" t="str">
        <f>"*"&amp;A1994&amp;"*"</f>
        <v>*1791: Loaded Incorrectly During Prep*</v>
      </c>
      <c r="C1994">
        <f>COUNTIF(Monday!I:I, B1994)</f>
        <v>0</v>
      </c>
      <c r="D1994">
        <f>COUNTIF(Tuesday!I:I, B1994)</f>
        <v>0</v>
      </c>
      <c r="E1994">
        <f>COUNTIF(Wednesday!I:I, B1994)</f>
        <v>0</v>
      </c>
      <c r="F1994">
        <f>COUNTIF(Thursday!I:I, B1994)</f>
        <v>0</v>
      </c>
      <c r="G1994">
        <f>COUNTIF(Friday!I:I, B1994)</f>
        <v>0</v>
      </c>
      <c r="H1994">
        <f>SUM(C1994:G1994)</f>
        <v>0</v>
      </c>
    </row>
    <row r="1995" spans="1:8" x14ac:dyDescent="0.25">
      <c r="A1995" s="5" t="s">
        <v>1995</v>
      </c>
      <c r="B1995" t="str">
        <f>"*"&amp;A1995&amp;"*"</f>
        <v>*1076: Cassette Wont Release*</v>
      </c>
      <c r="C1995">
        <f>COUNTIF(Monday!I:I, B1995)</f>
        <v>0</v>
      </c>
      <c r="D1995">
        <f>COUNTIF(Tuesday!I:I, B1995)</f>
        <v>0</v>
      </c>
      <c r="E1995">
        <f>COUNTIF(Wednesday!I:I, B1995)</f>
        <v>0</v>
      </c>
      <c r="F1995">
        <f>COUNTIF(Thursday!I:I, B1995)</f>
        <v>0</v>
      </c>
      <c r="G1995">
        <f>COUNTIF(Friday!I:I, B1995)</f>
        <v>0</v>
      </c>
      <c r="H1995">
        <f>SUM(C1995:G1995)</f>
        <v>0</v>
      </c>
    </row>
    <row r="1996" spans="1:8" x14ac:dyDescent="0.25">
      <c r="A1996" s="5" t="s">
        <v>1996</v>
      </c>
      <c r="B1996" t="str">
        <f>"*"&amp;A1996&amp;"*"</f>
        <v>*1650: Grounding Malfunction*</v>
      </c>
      <c r="C1996">
        <f>COUNTIF(Monday!I:I, B1996)</f>
        <v>0</v>
      </c>
      <c r="D1996">
        <f>COUNTIF(Tuesday!I:I, B1996)</f>
        <v>0</v>
      </c>
      <c r="E1996">
        <f>COUNTIF(Wednesday!I:I, B1996)</f>
        <v>0</v>
      </c>
      <c r="F1996">
        <f>COUNTIF(Thursday!I:I, B1996)</f>
        <v>0</v>
      </c>
      <c r="G1996">
        <f>COUNTIF(Friday!I:I, B1996)</f>
        <v>0</v>
      </c>
      <c r="H1996">
        <f>SUM(C1996:G1996)</f>
        <v>0</v>
      </c>
    </row>
    <row r="1997" spans="1:8" x14ac:dyDescent="0.25">
      <c r="A1997" s="5" t="s">
        <v>1997</v>
      </c>
      <c r="B1997" t="str">
        <f>"*"&amp;A1997&amp;"*"</f>
        <v>*1792: Logic Issue*</v>
      </c>
      <c r="C1997">
        <f>COUNTIF(Monday!I:I, B1997)</f>
        <v>0</v>
      </c>
      <c r="D1997">
        <f>COUNTIF(Tuesday!I:I, B1997)</f>
        <v>0</v>
      </c>
      <c r="E1997">
        <f>COUNTIF(Wednesday!I:I, B1997)</f>
        <v>0</v>
      </c>
      <c r="F1997">
        <f>COUNTIF(Thursday!I:I, B1997)</f>
        <v>0</v>
      </c>
      <c r="G1997">
        <f>COUNTIF(Friday!I:I, B1997)</f>
        <v>0</v>
      </c>
      <c r="H1997">
        <f>SUM(C1997:G1997)</f>
        <v>0</v>
      </c>
    </row>
    <row r="1998" spans="1:8" x14ac:dyDescent="0.25">
      <c r="A1998" s="5" t="s">
        <v>1998</v>
      </c>
      <c r="B1998" t="str">
        <f>"*"&amp;A1998&amp;"*"</f>
        <v>*1073: Cassette Detected - System Shutdown (Cold Fluid)*</v>
      </c>
      <c r="C1998">
        <f>COUNTIF(Monday!I:I, B1998)</f>
        <v>0</v>
      </c>
      <c r="D1998">
        <f>COUNTIF(Tuesday!I:I, B1998)</f>
        <v>0</v>
      </c>
      <c r="E1998">
        <f>COUNTIF(Wednesday!I:I, B1998)</f>
        <v>0</v>
      </c>
      <c r="F1998">
        <f>COUNTIF(Thursday!I:I, B1998)</f>
        <v>0</v>
      </c>
      <c r="G1998">
        <f>COUNTIF(Friday!I:I, B1998)</f>
        <v>0</v>
      </c>
      <c r="H1998">
        <f>SUM(C1998:G1998)</f>
        <v>0</v>
      </c>
    </row>
    <row r="1999" spans="1:8" x14ac:dyDescent="0.25">
      <c r="A1999" s="5" t="s">
        <v>1999</v>
      </c>
      <c r="B1999" t="str">
        <f>"*"&amp;A1999&amp;"*"</f>
        <v>*1074: Cassette Detected (Hot Fluid)*</v>
      </c>
      <c r="C1999">
        <f>COUNTIF(Monday!I:I, B1999)</f>
        <v>0</v>
      </c>
      <c r="D1999">
        <f>COUNTIF(Tuesday!I:I, B1999)</f>
        <v>0</v>
      </c>
      <c r="E1999">
        <f>COUNTIF(Wednesday!I:I, B1999)</f>
        <v>0</v>
      </c>
      <c r="F1999">
        <f>COUNTIF(Thursday!I:I, B1999)</f>
        <v>0</v>
      </c>
      <c r="G1999">
        <f>COUNTIF(Friday!I:I, B1999)</f>
        <v>0</v>
      </c>
      <c r="H1999">
        <f>SUM(C1999:G1999)</f>
        <v>0</v>
      </c>
    </row>
    <row r="2000" spans="1:8" x14ac:dyDescent="0.25">
      <c r="A2000" s="5" t="s">
        <v>2000</v>
      </c>
      <c r="B2000" t="str">
        <f>"*"&amp;A2000&amp;"*"</f>
        <v>*1075: Cassette Not Detected*</v>
      </c>
      <c r="C2000">
        <f>COUNTIF(Monday!I:I, B2000)</f>
        <v>0</v>
      </c>
      <c r="D2000">
        <f>COUNTIF(Tuesday!I:I, B2000)</f>
        <v>0</v>
      </c>
      <c r="E2000">
        <f>COUNTIF(Wednesday!I:I, B2000)</f>
        <v>0</v>
      </c>
      <c r="F2000">
        <f>COUNTIF(Thursday!I:I, B2000)</f>
        <v>0</v>
      </c>
      <c r="G2000">
        <f>COUNTIF(Friday!I:I, B2000)</f>
        <v>0</v>
      </c>
      <c r="H2000">
        <f>SUM(C2000:G2000)</f>
        <v>0</v>
      </c>
    </row>
    <row r="2001" spans="1:8" x14ac:dyDescent="0.25">
      <c r="A2001" s="5" t="s">
        <v>2001</v>
      </c>
      <c r="B2001" t="str">
        <f>"*"&amp;A2001&amp;"*"</f>
        <v>*1143: Cooling And Flushing*</v>
      </c>
      <c r="C2001">
        <f>COUNTIF(Monday!I:I, B2001)</f>
        <v>0</v>
      </c>
      <c r="D2001">
        <f>COUNTIF(Tuesday!I:I, B2001)</f>
        <v>0</v>
      </c>
      <c r="E2001">
        <f>COUNTIF(Wednesday!I:I, B2001)</f>
        <v>0</v>
      </c>
      <c r="F2001">
        <f>COUNTIF(Thursday!I:I, B2001)</f>
        <v>0</v>
      </c>
      <c r="G2001">
        <f>COUNTIF(Friday!I:I, B2001)</f>
        <v>0</v>
      </c>
      <c r="H2001">
        <f>SUM(C2001:G2001)</f>
        <v>0</v>
      </c>
    </row>
    <row r="2002" spans="1:8" x14ac:dyDescent="0.25">
      <c r="A2002" s="5" t="s">
        <v>2002</v>
      </c>
      <c r="B2002" t="str">
        <f>"*"&amp;A2002&amp;"*"</f>
        <v>*1465: Excessive Fluid Level Detected*</v>
      </c>
      <c r="C2002">
        <f>COUNTIF(Monday!I:I, B2002)</f>
        <v>0</v>
      </c>
      <c r="D2002">
        <f>COUNTIF(Tuesday!I:I, B2002)</f>
        <v>0</v>
      </c>
      <c r="E2002">
        <f>COUNTIF(Wednesday!I:I, B2002)</f>
        <v>0</v>
      </c>
      <c r="F2002">
        <f>COUNTIF(Thursday!I:I, B2002)</f>
        <v>0</v>
      </c>
      <c r="G2002">
        <f>COUNTIF(Friday!I:I, B2002)</f>
        <v>0</v>
      </c>
      <c r="H2002">
        <f>SUM(C2002:G2002)</f>
        <v>0</v>
      </c>
    </row>
    <row r="2003" spans="1:8" x14ac:dyDescent="0.25">
      <c r="A2003" s="5" t="s">
        <v>2003</v>
      </c>
      <c r="B2003" t="str">
        <f>"*"&amp;A2003&amp;"*"</f>
        <v>*1627: Fluid Loss Detected*</v>
      </c>
      <c r="C2003">
        <f>COUNTIF(Monday!I:I, B2003)</f>
        <v>0</v>
      </c>
      <c r="D2003">
        <f>COUNTIF(Tuesday!I:I, B2003)</f>
        <v>0</v>
      </c>
      <c r="E2003">
        <f>COUNTIF(Wednesday!I:I, B2003)</f>
        <v>0</v>
      </c>
      <c r="F2003">
        <f>COUNTIF(Thursday!I:I, B2003)</f>
        <v>0</v>
      </c>
      <c r="G2003">
        <f>COUNTIF(Friday!I:I, B2003)</f>
        <v>0</v>
      </c>
      <c r="H2003">
        <f>SUM(C2003:G2003)</f>
        <v>0</v>
      </c>
    </row>
    <row r="2004" spans="1:8" x14ac:dyDescent="0.25">
      <c r="A2004" s="5" t="s">
        <v>2004</v>
      </c>
      <c r="B2004" t="str">
        <f>"*"&amp;A2004&amp;"*"</f>
        <v>*1628: Fluid Not Detected*</v>
      </c>
      <c r="C2004">
        <f>COUNTIF(Monday!I:I, B2004)</f>
        <v>0</v>
      </c>
      <c r="D2004">
        <f>COUNTIF(Tuesday!I:I, B2004)</f>
        <v>0</v>
      </c>
      <c r="E2004">
        <f>COUNTIF(Wednesday!I:I, B2004)</f>
        <v>0</v>
      </c>
      <c r="F2004">
        <f>COUNTIF(Thursday!I:I, B2004)</f>
        <v>0</v>
      </c>
      <c r="G2004">
        <f>COUNTIF(Friday!I:I, B2004)</f>
        <v>0</v>
      </c>
      <c r="H2004">
        <f>SUM(C2004:G2004)</f>
        <v>0</v>
      </c>
    </row>
    <row r="2005" spans="1:8" x14ac:dyDescent="0.25">
      <c r="A2005" s="5" t="s">
        <v>2005</v>
      </c>
      <c r="B2005" t="str">
        <f>"*"&amp;A2005&amp;"*"</f>
        <v>*1715: Incorrect Fluid Detected*</v>
      </c>
      <c r="C2005">
        <f>COUNTIF(Monday!I:I, B2005)</f>
        <v>0</v>
      </c>
      <c r="D2005">
        <f>COUNTIF(Tuesday!I:I, B2005)</f>
        <v>0</v>
      </c>
      <c r="E2005">
        <f>COUNTIF(Wednesday!I:I, B2005)</f>
        <v>0</v>
      </c>
      <c r="F2005">
        <f>COUNTIF(Thursday!I:I, B2005)</f>
        <v>0</v>
      </c>
      <c r="G2005">
        <f>COUNTIF(Friday!I:I, B2005)</f>
        <v>0</v>
      </c>
      <c r="H2005">
        <f>SUM(C2005:G2005)</f>
        <v>0</v>
      </c>
    </row>
    <row r="2006" spans="1:8" x14ac:dyDescent="0.25">
      <c r="A2006" s="5" t="s">
        <v>2006</v>
      </c>
      <c r="B2006" t="str">
        <f>"*"&amp;A2006&amp;"*"</f>
        <v>*1902: Message - Cassette Error*</v>
      </c>
      <c r="C2006">
        <f>COUNTIF(Monday!I:I, B2006)</f>
        <v>0</v>
      </c>
      <c r="D2006">
        <f>COUNTIF(Tuesday!I:I, B2006)</f>
        <v>0</v>
      </c>
      <c r="E2006">
        <f>COUNTIF(Wednesday!I:I, B2006)</f>
        <v>0</v>
      </c>
      <c r="F2006">
        <f>COUNTIF(Thursday!I:I, B2006)</f>
        <v>0</v>
      </c>
      <c r="G2006">
        <f>COUNTIF(Friday!I:I, B2006)</f>
        <v>0</v>
      </c>
      <c r="H2006">
        <f>SUM(C2006:G2006)</f>
        <v>0</v>
      </c>
    </row>
    <row r="2007" spans="1:8" x14ac:dyDescent="0.25">
      <c r="A2007" s="5" t="s">
        <v>2007</v>
      </c>
      <c r="B2007" t="str">
        <f>"*"&amp;A2007&amp;"*"</f>
        <v>*1927: Message - Ee1 Error*</v>
      </c>
      <c r="C2007">
        <f>COUNTIF(Monday!I:I, B2007)</f>
        <v>0</v>
      </c>
      <c r="D2007">
        <f>COUNTIF(Tuesday!I:I, B2007)</f>
        <v>0</v>
      </c>
      <c r="E2007">
        <f>COUNTIF(Wednesday!I:I, B2007)</f>
        <v>0</v>
      </c>
      <c r="F2007">
        <f>COUNTIF(Thursday!I:I, B2007)</f>
        <v>0</v>
      </c>
      <c r="G2007">
        <f>COUNTIF(Friday!I:I, B2007)</f>
        <v>0</v>
      </c>
      <c r="H2007">
        <f>SUM(C2007:G2007)</f>
        <v>0</v>
      </c>
    </row>
    <row r="2008" spans="1:8" x14ac:dyDescent="0.25">
      <c r="A2008" s="5" t="s">
        <v>2008</v>
      </c>
      <c r="B2008" t="str">
        <f>"*"&amp;A2008&amp;"*"</f>
        <v>*2034: Message - System Error 10*</v>
      </c>
      <c r="C2008">
        <f>COUNTIF(Monday!I:I, B2008)</f>
        <v>0</v>
      </c>
      <c r="D2008">
        <f>COUNTIF(Tuesday!I:I, B2008)</f>
        <v>0</v>
      </c>
      <c r="E2008">
        <f>COUNTIF(Wednesday!I:I, B2008)</f>
        <v>0</v>
      </c>
      <c r="F2008">
        <f>COUNTIF(Thursday!I:I, B2008)</f>
        <v>0</v>
      </c>
      <c r="G2008">
        <f>COUNTIF(Friday!I:I, B2008)</f>
        <v>0</v>
      </c>
      <c r="H2008">
        <f>SUM(C2008:G2008)</f>
        <v>0</v>
      </c>
    </row>
    <row r="2009" spans="1:8" x14ac:dyDescent="0.25">
      <c r="A2009" s="5" t="s">
        <v>2009</v>
      </c>
      <c r="B2009" t="str">
        <f>"*"&amp;A2009&amp;"*"</f>
        <v>*2035: Message - System Error 11*</v>
      </c>
      <c r="C2009">
        <f>COUNTIF(Monday!I:I, B2009)</f>
        <v>0</v>
      </c>
      <c r="D2009">
        <f>COUNTIF(Tuesday!I:I, B2009)</f>
        <v>0</v>
      </c>
      <c r="E2009">
        <f>COUNTIF(Wednesday!I:I, B2009)</f>
        <v>0</v>
      </c>
      <c r="F2009">
        <f>COUNTIF(Thursday!I:I, B2009)</f>
        <v>0</v>
      </c>
      <c r="G2009">
        <f>COUNTIF(Friday!I:I, B2009)</f>
        <v>0</v>
      </c>
      <c r="H2009">
        <f>SUM(C2009:G2009)</f>
        <v>0</v>
      </c>
    </row>
    <row r="2010" spans="1:8" x14ac:dyDescent="0.25">
      <c r="A2010" s="5" t="s">
        <v>2010</v>
      </c>
      <c r="B2010" t="str">
        <f>"*"&amp;A2010&amp;"*"</f>
        <v>*2036: Message - System Error 18*</v>
      </c>
      <c r="C2010">
        <f>COUNTIF(Monday!I:I, B2010)</f>
        <v>0</v>
      </c>
      <c r="D2010">
        <f>COUNTIF(Tuesday!I:I, B2010)</f>
        <v>0</v>
      </c>
      <c r="E2010">
        <f>COUNTIF(Wednesday!I:I, B2010)</f>
        <v>0</v>
      </c>
      <c r="F2010">
        <f>COUNTIF(Thursday!I:I, B2010)</f>
        <v>0</v>
      </c>
      <c r="G2010">
        <f>COUNTIF(Friday!I:I, B2010)</f>
        <v>0</v>
      </c>
      <c r="H2010">
        <f>SUM(C2010:G2010)</f>
        <v>0</v>
      </c>
    </row>
    <row r="2011" spans="1:8" x14ac:dyDescent="0.25">
      <c r="A2011" s="5" t="s">
        <v>2011</v>
      </c>
      <c r="B2011" t="str">
        <f>"*"&amp;A2011&amp;"*"</f>
        <v>*2037: Message - System Error 19*</v>
      </c>
      <c r="C2011">
        <f>COUNTIF(Monday!I:I, B2011)</f>
        <v>0</v>
      </c>
      <c r="D2011">
        <f>COUNTIF(Tuesday!I:I, B2011)</f>
        <v>0</v>
      </c>
      <c r="E2011">
        <f>COUNTIF(Wednesday!I:I, B2011)</f>
        <v>0</v>
      </c>
      <c r="F2011">
        <f>COUNTIF(Thursday!I:I, B2011)</f>
        <v>0</v>
      </c>
      <c r="G2011">
        <f>COUNTIF(Friday!I:I, B2011)</f>
        <v>0</v>
      </c>
      <c r="H2011">
        <f>SUM(C2011:G2011)</f>
        <v>0</v>
      </c>
    </row>
    <row r="2012" spans="1:8" x14ac:dyDescent="0.25">
      <c r="A2012" s="5" t="s">
        <v>2012</v>
      </c>
      <c r="B2012" t="str">
        <f>"*"&amp;A2012&amp;"*"</f>
        <v>*2038: Message - System Error 23*</v>
      </c>
      <c r="C2012">
        <f>COUNTIF(Monday!I:I, B2012)</f>
        <v>0</v>
      </c>
      <c r="D2012">
        <f>COUNTIF(Tuesday!I:I, B2012)</f>
        <v>0</v>
      </c>
      <c r="E2012">
        <f>COUNTIF(Wednesday!I:I, B2012)</f>
        <v>0</v>
      </c>
      <c r="F2012">
        <f>COUNTIF(Thursday!I:I, B2012)</f>
        <v>0</v>
      </c>
      <c r="G2012">
        <f>COUNTIF(Friday!I:I, B2012)</f>
        <v>0</v>
      </c>
      <c r="H2012">
        <f>SUM(C2012:G2012)</f>
        <v>0</v>
      </c>
    </row>
    <row r="2013" spans="1:8" x14ac:dyDescent="0.25">
      <c r="A2013" s="5" t="s">
        <v>2013</v>
      </c>
      <c r="B2013" t="str">
        <f>"*"&amp;A2013&amp;"*"</f>
        <v>*2039: Message - System Error 24*</v>
      </c>
      <c r="C2013">
        <f>COUNTIF(Monday!I:I, B2013)</f>
        <v>0</v>
      </c>
      <c r="D2013">
        <f>COUNTIF(Tuesday!I:I, B2013)</f>
        <v>0</v>
      </c>
      <c r="E2013">
        <f>COUNTIF(Wednesday!I:I, B2013)</f>
        <v>0</v>
      </c>
      <c r="F2013">
        <f>COUNTIF(Thursday!I:I, B2013)</f>
        <v>0</v>
      </c>
      <c r="G2013">
        <f>COUNTIF(Friday!I:I, B2013)</f>
        <v>0</v>
      </c>
      <c r="H2013">
        <f>SUM(C2013:G2013)</f>
        <v>0</v>
      </c>
    </row>
    <row r="2014" spans="1:8" x14ac:dyDescent="0.25">
      <c r="A2014" s="5" t="s">
        <v>2014</v>
      </c>
      <c r="B2014" t="str">
        <f>"*"&amp;A2014&amp;"*"</f>
        <v>*2040: Message - System Error 25*</v>
      </c>
      <c r="C2014">
        <f>COUNTIF(Monday!I:I, B2014)</f>
        <v>0</v>
      </c>
      <c r="D2014">
        <f>COUNTIF(Tuesday!I:I, B2014)</f>
        <v>0</v>
      </c>
      <c r="E2014">
        <f>COUNTIF(Wednesday!I:I, B2014)</f>
        <v>0</v>
      </c>
      <c r="F2014">
        <f>COUNTIF(Thursday!I:I, B2014)</f>
        <v>0</v>
      </c>
      <c r="G2014">
        <f>COUNTIF(Friday!I:I, B2014)</f>
        <v>0</v>
      </c>
      <c r="H2014">
        <f>SUM(C2014:G2014)</f>
        <v>0</v>
      </c>
    </row>
    <row r="2015" spans="1:8" x14ac:dyDescent="0.25">
      <c r="A2015" s="5" t="s">
        <v>2015</v>
      </c>
      <c r="B2015" t="str">
        <f>"*"&amp;A2015&amp;"*"</f>
        <v>*2041: Message - System Error 26*</v>
      </c>
      <c r="C2015">
        <f>COUNTIF(Monday!I:I, B2015)</f>
        <v>0</v>
      </c>
      <c r="D2015">
        <f>COUNTIF(Tuesday!I:I, B2015)</f>
        <v>0</v>
      </c>
      <c r="E2015">
        <f>COUNTIF(Wednesday!I:I, B2015)</f>
        <v>0</v>
      </c>
      <c r="F2015">
        <f>COUNTIF(Thursday!I:I, B2015)</f>
        <v>0</v>
      </c>
      <c r="G2015">
        <f>COUNTIF(Friday!I:I, B2015)</f>
        <v>0</v>
      </c>
      <c r="H2015">
        <f>SUM(C2015:G2015)</f>
        <v>0</v>
      </c>
    </row>
    <row r="2016" spans="1:8" x14ac:dyDescent="0.25">
      <c r="A2016" s="5" t="s">
        <v>2016</v>
      </c>
      <c r="B2016" t="str">
        <f>"*"&amp;A2016&amp;"*"</f>
        <v>*2042: Message - System Error 27*</v>
      </c>
      <c r="C2016">
        <f>COUNTIF(Monday!I:I, B2016)</f>
        <v>0</v>
      </c>
      <c r="D2016">
        <f>COUNTIF(Tuesday!I:I, B2016)</f>
        <v>0</v>
      </c>
      <c r="E2016">
        <f>COUNTIF(Wednesday!I:I, B2016)</f>
        <v>0</v>
      </c>
      <c r="F2016">
        <f>COUNTIF(Thursday!I:I, B2016)</f>
        <v>0</v>
      </c>
      <c r="G2016">
        <f>COUNTIF(Friday!I:I, B2016)</f>
        <v>0</v>
      </c>
      <c r="H2016">
        <f>SUM(C2016:G2016)</f>
        <v>0</v>
      </c>
    </row>
    <row r="2017" spans="1:8" x14ac:dyDescent="0.25">
      <c r="A2017" s="5" t="s">
        <v>2017</v>
      </c>
      <c r="B2017" t="str">
        <f>"*"&amp;A2017&amp;"*"</f>
        <v>*2043: Message - System Error 29*</v>
      </c>
      <c r="C2017">
        <f>COUNTIF(Monday!I:I, B2017)</f>
        <v>0</v>
      </c>
      <c r="D2017">
        <f>COUNTIF(Tuesday!I:I, B2017)</f>
        <v>0</v>
      </c>
      <c r="E2017">
        <f>COUNTIF(Wednesday!I:I, B2017)</f>
        <v>0</v>
      </c>
      <c r="F2017">
        <f>COUNTIF(Thursday!I:I, B2017)</f>
        <v>0</v>
      </c>
      <c r="G2017">
        <f>COUNTIF(Friday!I:I, B2017)</f>
        <v>0</v>
      </c>
      <c r="H2017">
        <f>SUM(C2017:G2017)</f>
        <v>0</v>
      </c>
    </row>
    <row r="2018" spans="1:8" x14ac:dyDescent="0.25">
      <c r="A2018" s="5" t="s">
        <v>2018</v>
      </c>
      <c r="B2018" t="str">
        <f>"*"&amp;A2018&amp;"*"</f>
        <v>*2044: Message - System Error 3*</v>
      </c>
      <c r="C2018">
        <f>COUNTIF(Monday!I:I, B2018)</f>
        <v>0</v>
      </c>
      <c r="D2018">
        <f>COUNTIF(Tuesday!I:I, B2018)</f>
        <v>0</v>
      </c>
      <c r="E2018">
        <f>COUNTIF(Wednesday!I:I, B2018)</f>
        <v>0</v>
      </c>
      <c r="F2018">
        <f>COUNTIF(Thursday!I:I, B2018)</f>
        <v>0</v>
      </c>
      <c r="G2018">
        <f>COUNTIF(Friday!I:I, B2018)</f>
        <v>0</v>
      </c>
      <c r="H2018">
        <f>SUM(C2018:G2018)</f>
        <v>0</v>
      </c>
    </row>
    <row r="2019" spans="1:8" x14ac:dyDescent="0.25">
      <c r="A2019" s="5" t="s">
        <v>2019</v>
      </c>
      <c r="B2019" t="str">
        <f>"*"&amp;A2019&amp;"*"</f>
        <v>*2045: Message - System Error 36*</v>
      </c>
      <c r="C2019">
        <f>COUNTIF(Monday!I:I, B2019)</f>
        <v>0</v>
      </c>
      <c r="D2019">
        <f>COUNTIF(Tuesday!I:I, B2019)</f>
        <v>0</v>
      </c>
      <c r="E2019">
        <f>COUNTIF(Wednesday!I:I, B2019)</f>
        <v>0</v>
      </c>
      <c r="F2019">
        <f>COUNTIF(Thursday!I:I, B2019)</f>
        <v>0</v>
      </c>
      <c r="G2019">
        <f>COUNTIF(Friday!I:I, B2019)</f>
        <v>0</v>
      </c>
      <c r="H2019">
        <f>SUM(C2019:G2019)</f>
        <v>0</v>
      </c>
    </row>
    <row r="2020" spans="1:8" x14ac:dyDescent="0.25">
      <c r="A2020" s="5" t="s">
        <v>2020</v>
      </c>
      <c r="B2020" t="str">
        <f>"*"&amp;A2020&amp;"*"</f>
        <v>*2046: Message - System Error 37*</v>
      </c>
      <c r="C2020">
        <f>COUNTIF(Monday!I:I, B2020)</f>
        <v>0</v>
      </c>
      <c r="D2020">
        <f>COUNTIF(Tuesday!I:I, B2020)</f>
        <v>0</v>
      </c>
      <c r="E2020">
        <f>COUNTIF(Wednesday!I:I, B2020)</f>
        <v>0</v>
      </c>
      <c r="F2020">
        <f>COUNTIF(Thursday!I:I, B2020)</f>
        <v>0</v>
      </c>
      <c r="G2020">
        <f>COUNTIF(Friday!I:I, B2020)</f>
        <v>0</v>
      </c>
      <c r="H2020">
        <f>SUM(C2020:G2020)</f>
        <v>0</v>
      </c>
    </row>
    <row r="2021" spans="1:8" x14ac:dyDescent="0.25">
      <c r="A2021" s="5" t="s">
        <v>2021</v>
      </c>
      <c r="B2021" t="str">
        <f>"*"&amp;A2021&amp;"*"</f>
        <v>*2047: Message - System Error 38*</v>
      </c>
      <c r="C2021">
        <f>COUNTIF(Monday!I:I, B2021)</f>
        <v>0</v>
      </c>
      <c r="D2021">
        <f>COUNTIF(Tuesday!I:I, B2021)</f>
        <v>0</v>
      </c>
      <c r="E2021">
        <f>COUNTIF(Wednesday!I:I, B2021)</f>
        <v>0</v>
      </c>
      <c r="F2021">
        <f>COUNTIF(Thursday!I:I, B2021)</f>
        <v>0</v>
      </c>
      <c r="G2021">
        <f>COUNTIF(Friday!I:I, B2021)</f>
        <v>0</v>
      </c>
      <c r="H2021">
        <f>SUM(C2021:G2021)</f>
        <v>0</v>
      </c>
    </row>
    <row r="2022" spans="1:8" x14ac:dyDescent="0.25">
      <c r="A2022" s="5" t="s">
        <v>2022</v>
      </c>
      <c r="B2022" t="str">
        <f>"*"&amp;A2022&amp;"*"</f>
        <v>*2048: Message - System Error 39*</v>
      </c>
      <c r="C2022">
        <f>COUNTIF(Monday!I:I, B2022)</f>
        <v>0</v>
      </c>
      <c r="D2022">
        <f>COUNTIF(Tuesday!I:I, B2022)</f>
        <v>0</v>
      </c>
      <c r="E2022">
        <f>COUNTIF(Wednesday!I:I, B2022)</f>
        <v>0</v>
      </c>
      <c r="F2022">
        <f>COUNTIF(Thursday!I:I, B2022)</f>
        <v>0</v>
      </c>
      <c r="G2022">
        <f>COUNTIF(Friday!I:I, B2022)</f>
        <v>0</v>
      </c>
      <c r="H2022">
        <f>SUM(C2022:G2022)</f>
        <v>0</v>
      </c>
    </row>
    <row r="2023" spans="1:8" x14ac:dyDescent="0.25">
      <c r="A2023" s="5" t="s">
        <v>2023</v>
      </c>
      <c r="B2023" t="str">
        <f>"*"&amp;A2023&amp;"*"</f>
        <v>*2049: Message - System Error 41*</v>
      </c>
      <c r="C2023">
        <f>COUNTIF(Monday!I:I, B2023)</f>
        <v>0</v>
      </c>
      <c r="D2023">
        <f>COUNTIF(Tuesday!I:I, B2023)</f>
        <v>0</v>
      </c>
      <c r="E2023">
        <f>COUNTIF(Wednesday!I:I, B2023)</f>
        <v>0</v>
      </c>
      <c r="F2023">
        <f>COUNTIF(Thursday!I:I, B2023)</f>
        <v>0</v>
      </c>
      <c r="G2023">
        <f>COUNTIF(Friday!I:I, B2023)</f>
        <v>0</v>
      </c>
      <c r="H2023">
        <f>SUM(C2023:G2023)</f>
        <v>0</v>
      </c>
    </row>
    <row r="2024" spans="1:8" x14ac:dyDescent="0.25">
      <c r="A2024" s="5" t="s">
        <v>2024</v>
      </c>
      <c r="B2024" t="str">
        <f>"*"&amp;A2024&amp;"*"</f>
        <v>*2050: Message - System Error 43 Through 90*</v>
      </c>
      <c r="C2024">
        <f>COUNTIF(Monday!I:I, B2024)</f>
        <v>0</v>
      </c>
      <c r="D2024">
        <f>COUNTIF(Tuesday!I:I, B2024)</f>
        <v>0</v>
      </c>
      <c r="E2024">
        <f>COUNTIF(Wednesday!I:I, B2024)</f>
        <v>0</v>
      </c>
      <c r="F2024">
        <f>COUNTIF(Thursday!I:I, B2024)</f>
        <v>0</v>
      </c>
      <c r="G2024">
        <f>COUNTIF(Friday!I:I, B2024)</f>
        <v>0</v>
      </c>
      <c r="H2024">
        <f>SUM(C2024:G2024)</f>
        <v>0</v>
      </c>
    </row>
    <row r="2025" spans="1:8" x14ac:dyDescent="0.25">
      <c r="A2025" s="5" t="s">
        <v>2025</v>
      </c>
      <c r="B2025" t="str">
        <f>"*"&amp;A2025&amp;"*"</f>
        <v>*2054: Message - Temperature Error - High*</v>
      </c>
      <c r="C2025">
        <f>COUNTIF(Monday!I:I, B2025)</f>
        <v>0</v>
      </c>
      <c r="D2025">
        <f>COUNTIF(Tuesday!I:I, B2025)</f>
        <v>0</v>
      </c>
      <c r="E2025">
        <f>COUNTIF(Wednesday!I:I, B2025)</f>
        <v>0</v>
      </c>
      <c r="F2025">
        <f>COUNTIF(Thursday!I:I, B2025)</f>
        <v>0</v>
      </c>
      <c r="G2025">
        <f>COUNTIF(Friday!I:I, B2025)</f>
        <v>0</v>
      </c>
      <c r="H2025">
        <f>SUM(C2025:G2025)</f>
        <v>0</v>
      </c>
    </row>
    <row r="2026" spans="1:8" x14ac:dyDescent="0.25">
      <c r="A2026" s="5" t="s">
        <v>2026</v>
      </c>
      <c r="B2026" t="str">
        <f>"*"&amp;A2026&amp;"*"</f>
        <v>*2055: Message - Temperature Error - Low*</v>
      </c>
      <c r="C2026">
        <f>COUNTIF(Monday!I:I, B2026)</f>
        <v>0</v>
      </c>
      <c r="D2026">
        <f>COUNTIF(Tuesday!I:I, B2026)</f>
        <v>0</v>
      </c>
      <c r="E2026">
        <f>COUNTIF(Wednesday!I:I, B2026)</f>
        <v>0</v>
      </c>
      <c r="F2026">
        <f>COUNTIF(Thursday!I:I, B2026)</f>
        <v>0</v>
      </c>
      <c r="G2026">
        <f>COUNTIF(Friday!I:I, B2026)</f>
        <v>0</v>
      </c>
      <c r="H2026">
        <f>SUM(C2026:G2026)</f>
        <v>0</v>
      </c>
    </row>
    <row r="2027" spans="1:8" x14ac:dyDescent="0.25">
      <c r="A2027" s="5" t="s">
        <v>2027</v>
      </c>
      <c r="B2027" t="str">
        <f>"*"&amp;A2027&amp;"*"</f>
        <v>*2056: Message - Thermal Probe Error*</v>
      </c>
      <c r="C2027">
        <f>COUNTIF(Monday!I:I, B2027)</f>
        <v>0</v>
      </c>
      <c r="D2027">
        <f>COUNTIF(Tuesday!I:I, B2027)</f>
        <v>0</v>
      </c>
      <c r="E2027">
        <f>COUNTIF(Wednesday!I:I, B2027)</f>
        <v>0</v>
      </c>
      <c r="F2027">
        <f>COUNTIF(Thursday!I:I, B2027)</f>
        <v>0</v>
      </c>
      <c r="G2027">
        <f>COUNTIF(Friday!I:I, B2027)</f>
        <v>0</v>
      </c>
      <c r="H2027">
        <f>SUM(C2027:G2027)</f>
        <v>0</v>
      </c>
    </row>
    <row r="2028" spans="1:8" x14ac:dyDescent="0.25">
      <c r="A2028" s="5" t="s">
        <v>2028</v>
      </c>
      <c r="B2028" t="str">
        <f>"*"&amp;A2028&amp;"*"</f>
        <v>*2094: No Flow Condition (Next Gen Only)*</v>
      </c>
      <c r="C2028">
        <f>COUNTIF(Monday!I:I, B2028)</f>
        <v>0</v>
      </c>
      <c r="D2028">
        <f>COUNTIF(Tuesday!I:I, B2028)</f>
        <v>0</v>
      </c>
      <c r="E2028">
        <f>COUNTIF(Wednesday!I:I, B2028)</f>
        <v>0</v>
      </c>
      <c r="F2028">
        <f>COUNTIF(Thursday!I:I, B2028)</f>
        <v>0</v>
      </c>
      <c r="G2028">
        <f>COUNTIF(Friday!I:I, B2028)</f>
        <v>0</v>
      </c>
      <c r="H2028">
        <f>SUM(C2028:G2028)</f>
        <v>0</v>
      </c>
    </row>
    <row r="2029" spans="1:8" x14ac:dyDescent="0.25">
      <c r="A2029" s="5" t="s">
        <v>2029</v>
      </c>
      <c r="B2029" t="str">
        <f>"*"&amp;A2029&amp;"*"</f>
        <v>*2407: Third Fluid Loss Detected (Next Gen Only)*</v>
      </c>
      <c r="C2029">
        <f>COUNTIF(Monday!I:I, B2029)</f>
        <v>0</v>
      </c>
      <c r="D2029">
        <f>COUNTIF(Tuesday!I:I, B2029)</f>
        <v>0</v>
      </c>
      <c r="E2029">
        <f>COUNTIF(Wednesday!I:I, B2029)</f>
        <v>0</v>
      </c>
      <c r="F2029">
        <f>COUNTIF(Thursday!I:I, B2029)</f>
        <v>0</v>
      </c>
      <c r="G2029">
        <f>COUNTIF(Friday!I:I, B2029)</f>
        <v>0</v>
      </c>
      <c r="H2029">
        <f>SUM(C2029:G2029)</f>
        <v>0</v>
      </c>
    </row>
    <row r="2030" spans="1:8" x14ac:dyDescent="0.25">
      <c r="A2030" s="5" t="s">
        <v>2030</v>
      </c>
      <c r="B2030" t="str">
        <f>"*"&amp;A2030&amp;"*"</f>
        <v>*2438: Unexpected Fluid Level*</v>
      </c>
      <c r="C2030">
        <f>COUNTIF(Monday!I:I, B2030)</f>
        <v>0</v>
      </c>
      <c r="D2030">
        <f>COUNTIF(Tuesday!I:I, B2030)</f>
        <v>0</v>
      </c>
      <c r="E2030">
        <f>COUNTIF(Wednesday!I:I, B2030)</f>
        <v>0</v>
      </c>
      <c r="F2030">
        <f>COUNTIF(Thursday!I:I, B2030)</f>
        <v>0</v>
      </c>
      <c r="G2030">
        <f>COUNTIF(Friday!I:I, B2030)</f>
        <v>0</v>
      </c>
      <c r="H2030">
        <f>SUM(C2030:G2030)</f>
        <v>0</v>
      </c>
    </row>
    <row r="2031" spans="1:8" x14ac:dyDescent="0.25">
      <c r="A2031" s="5" t="s">
        <v>2031</v>
      </c>
      <c r="B2031" t="str">
        <f>"*"&amp;A2031&amp;"*"</f>
        <v>*1613: Filling Problem*</v>
      </c>
      <c r="C2031">
        <f>COUNTIF(Monday!I:I, B2031)</f>
        <v>0</v>
      </c>
      <c r="D2031">
        <f>COUNTIF(Tuesday!I:I, B2031)</f>
        <v>0</v>
      </c>
      <c r="E2031">
        <f>COUNTIF(Wednesday!I:I, B2031)</f>
        <v>0</v>
      </c>
      <c r="F2031">
        <f>COUNTIF(Thursday!I:I, B2031)</f>
        <v>0</v>
      </c>
      <c r="G2031">
        <f>COUNTIF(Friday!I:I, B2031)</f>
        <v>0</v>
      </c>
      <c r="H2031">
        <f>SUM(C2031:G2031)</f>
        <v>0</v>
      </c>
    </row>
    <row r="2032" spans="1:8" x14ac:dyDescent="0.25">
      <c r="A2032" s="5" t="s">
        <v>2032</v>
      </c>
      <c r="B2032" t="str">
        <f>"*"&amp;A2032&amp;"*"</f>
        <v>*1626: Fluid Level Problem*</v>
      </c>
      <c r="C2032">
        <f>COUNTIF(Monday!I:I, B2032)</f>
        <v>0</v>
      </c>
      <c r="D2032">
        <f>COUNTIF(Tuesday!I:I, B2032)</f>
        <v>0</v>
      </c>
      <c r="E2032">
        <f>COUNTIF(Wednesday!I:I, B2032)</f>
        <v>0</v>
      </c>
      <c r="F2032">
        <f>COUNTIF(Thursday!I:I, B2032)</f>
        <v>0</v>
      </c>
      <c r="G2032">
        <f>COUNTIF(Friday!I:I, B2032)</f>
        <v>0</v>
      </c>
      <c r="H2032">
        <f>SUM(C2032:G2032)</f>
        <v>0</v>
      </c>
    </row>
    <row r="2033" spans="1:8" x14ac:dyDescent="0.25">
      <c r="A2033" s="5" t="s">
        <v>2033</v>
      </c>
      <c r="B2033" t="str">
        <f>"*"&amp;A2033&amp;"*"</f>
        <v>*1671: Human-Device Interface Issue*</v>
      </c>
      <c r="C2033">
        <f>COUNTIF(Monday!I:I, B2033)</f>
        <v>0</v>
      </c>
      <c r="D2033">
        <f>COUNTIF(Tuesday!I:I, B2033)</f>
        <v>0</v>
      </c>
      <c r="E2033">
        <f>COUNTIF(Wednesday!I:I, B2033)</f>
        <v>0</v>
      </c>
      <c r="F2033">
        <f>COUNTIF(Thursday!I:I, B2033)</f>
        <v>0</v>
      </c>
      <c r="G2033">
        <f>COUNTIF(Friday!I:I, B2033)</f>
        <v>0</v>
      </c>
      <c r="H2033">
        <f>SUM(C2033:G2033)</f>
        <v>0</v>
      </c>
    </row>
    <row r="2034" spans="1:8" x14ac:dyDescent="0.25">
      <c r="A2034" s="5" t="s">
        <v>2034</v>
      </c>
      <c r="B2034" t="str">
        <f>"*"&amp;A2034&amp;"*"</f>
        <v>*1737: Insufficient Heating*</v>
      </c>
      <c r="C2034">
        <f>COUNTIF(Monday!I:I, B2034)</f>
        <v>0</v>
      </c>
      <c r="D2034">
        <f>COUNTIF(Tuesday!I:I, B2034)</f>
        <v>0</v>
      </c>
      <c r="E2034">
        <f>COUNTIF(Wednesday!I:I, B2034)</f>
        <v>0</v>
      </c>
      <c r="F2034">
        <f>COUNTIF(Thursday!I:I, B2034)</f>
        <v>0</v>
      </c>
      <c r="G2034">
        <f>COUNTIF(Friday!I:I, B2034)</f>
        <v>0</v>
      </c>
      <c r="H2034">
        <f>SUM(C2034:G2034)</f>
        <v>0</v>
      </c>
    </row>
    <row r="2035" spans="1:8" x14ac:dyDescent="0.25">
      <c r="A2035" s="5" t="s">
        <v>2035</v>
      </c>
      <c r="B2035" t="str">
        <f>"*"&amp;A2035&amp;"*"</f>
        <v>*2127: Not Circulating*</v>
      </c>
      <c r="C2035">
        <f>COUNTIF(Monday!I:I, B2035)</f>
        <v>0</v>
      </c>
      <c r="D2035">
        <f>COUNTIF(Tuesday!I:I, B2035)</f>
        <v>0</v>
      </c>
      <c r="E2035">
        <f>COUNTIF(Wednesday!I:I, B2035)</f>
        <v>0</v>
      </c>
      <c r="F2035">
        <f>COUNTIF(Thursday!I:I, B2035)</f>
        <v>0</v>
      </c>
      <c r="G2035">
        <f>COUNTIF(Friday!I:I, B2035)</f>
        <v>0</v>
      </c>
      <c r="H2035">
        <f>SUM(C2035:G2035)</f>
        <v>0</v>
      </c>
    </row>
    <row r="2036" spans="1:8" x14ac:dyDescent="0.25">
      <c r="A2036" s="5" t="s">
        <v>2036</v>
      </c>
      <c r="B2036" t="str">
        <f>"*"&amp;A2036&amp;"*"</f>
        <v>*1096: Chemical Issue*</v>
      </c>
      <c r="C2036">
        <f>COUNTIF(Monday!I:I, B2036)</f>
        <v>0</v>
      </c>
      <c r="D2036">
        <f>COUNTIF(Tuesday!I:I, B2036)</f>
        <v>0</v>
      </c>
      <c r="E2036">
        <f>COUNTIF(Wednesday!I:I, B2036)</f>
        <v>0</v>
      </c>
      <c r="F2036">
        <f>COUNTIF(Thursday!I:I, B2036)</f>
        <v>0</v>
      </c>
      <c r="G2036">
        <f>COUNTIF(Friday!I:I, B2036)</f>
        <v>0</v>
      </c>
      <c r="H2036">
        <f>SUM(C2036:G2036)</f>
        <v>0</v>
      </c>
    </row>
    <row r="2037" spans="1:8" x14ac:dyDescent="0.25">
      <c r="A2037" s="5" t="s">
        <v>2037</v>
      </c>
      <c r="B2037" t="str">
        <f>"*"&amp;A2037&amp;"*"</f>
        <v>*2700: Does Not Last Long Enough*</v>
      </c>
      <c r="C2037">
        <f>COUNTIF(Monday!I:I, B2037)</f>
        <v>0</v>
      </c>
      <c r="D2037">
        <f>COUNTIF(Tuesday!I:I, B2037)</f>
        <v>0</v>
      </c>
      <c r="E2037">
        <f>COUNTIF(Wednesday!I:I, B2037)</f>
        <v>0</v>
      </c>
      <c r="F2037">
        <f>COUNTIF(Thursday!I:I, B2037)</f>
        <v>0</v>
      </c>
      <c r="G2037">
        <f>COUNTIF(Friday!I:I, B2037)</f>
        <v>0</v>
      </c>
      <c r="H2037">
        <f>SUM(C2037:G2037)</f>
        <v>0</v>
      </c>
    </row>
    <row r="2038" spans="1:8" x14ac:dyDescent="0.25">
      <c r="A2038" s="5" t="s">
        <v>2038</v>
      </c>
      <c r="B2038" t="str">
        <f>"*"&amp;A2038&amp;"*"</f>
        <v>*2703: Inadequate Space*</v>
      </c>
      <c r="C2038">
        <f>COUNTIF(Monday!I:I, B2038)</f>
        <v>0</v>
      </c>
      <c r="D2038">
        <f>COUNTIF(Tuesday!I:I, B2038)</f>
        <v>0</v>
      </c>
      <c r="E2038">
        <f>COUNTIF(Wednesday!I:I, B2038)</f>
        <v>0</v>
      </c>
      <c r="F2038">
        <f>COUNTIF(Thursday!I:I, B2038)</f>
        <v>0</v>
      </c>
      <c r="G2038">
        <f>COUNTIF(Friday!I:I, B2038)</f>
        <v>0</v>
      </c>
      <c r="H2038">
        <f>SUM(C2038:G2038)</f>
        <v>0</v>
      </c>
    </row>
    <row r="2039" spans="1:8" x14ac:dyDescent="0.25">
      <c r="A2039" s="5" t="s">
        <v>2039</v>
      </c>
      <c r="B2039" t="str">
        <f>"*"&amp;A2039&amp;"*"</f>
        <v>*2704: Lasts Too Long*</v>
      </c>
      <c r="C2039">
        <f>COUNTIF(Monday!I:I, B2039)</f>
        <v>0</v>
      </c>
      <c r="D2039">
        <f>COUNTIF(Tuesday!I:I, B2039)</f>
        <v>0</v>
      </c>
      <c r="E2039">
        <f>COUNTIF(Wednesday!I:I, B2039)</f>
        <v>0</v>
      </c>
      <c r="F2039">
        <f>COUNTIF(Thursday!I:I, B2039)</f>
        <v>0</v>
      </c>
      <c r="G2039">
        <f>COUNTIF(Friday!I:I, B2039)</f>
        <v>0</v>
      </c>
      <c r="H2039">
        <f>SUM(C2039:G2039)</f>
        <v>0</v>
      </c>
    </row>
    <row r="2040" spans="1:8" x14ac:dyDescent="0.25">
      <c r="A2040" s="5" t="s">
        <v>2040</v>
      </c>
      <c r="B2040" t="str">
        <f>"*"&amp;A2040&amp;"*"</f>
        <v>*2709: Misplaced - Non Vascular*</v>
      </c>
      <c r="C2040">
        <f>COUNTIF(Monday!I:I, B2040)</f>
        <v>0</v>
      </c>
      <c r="D2040">
        <f>COUNTIF(Tuesday!I:I, B2040)</f>
        <v>0</v>
      </c>
      <c r="E2040">
        <f>COUNTIF(Wednesday!I:I, B2040)</f>
        <v>0</v>
      </c>
      <c r="F2040">
        <f>COUNTIF(Thursday!I:I, B2040)</f>
        <v>0</v>
      </c>
      <c r="G2040">
        <f>COUNTIF(Friday!I:I, B2040)</f>
        <v>0</v>
      </c>
      <c r="H2040">
        <f>SUM(C2040:G2040)</f>
        <v>0</v>
      </c>
    </row>
    <row r="2041" spans="1:8" x14ac:dyDescent="0.25">
      <c r="A2041" s="5" t="s">
        <v>2041</v>
      </c>
      <c r="B2041" t="str">
        <f>"*"&amp;A2041&amp;"*"</f>
        <v>*2710: Misplaced - Vascular*</v>
      </c>
      <c r="C2041">
        <f>COUNTIF(Monday!I:I, B2041)</f>
        <v>0</v>
      </c>
      <c r="D2041">
        <f>COUNTIF(Tuesday!I:I, B2041)</f>
        <v>0</v>
      </c>
      <c r="E2041">
        <f>COUNTIF(Wednesday!I:I, B2041)</f>
        <v>0</v>
      </c>
      <c r="F2041">
        <f>COUNTIF(Thursday!I:I, B2041)</f>
        <v>0</v>
      </c>
      <c r="G2041">
        <f>COUNTIF(Friday!I:I, B2041)</f>
        <v>0</v>
      </c>
      <c r="H2041">
        <f>SUM(C2041:G2041)</f>
        <v>0</v>
      </c>
    </row>
    <row r="2042" spans="1:8" x14ac:dyDescent="0.25">
      <c r="A2042" s="5" t="s">
        <v>2042</v>
      </c>
      <c r="B2042" t="str">
        <f>"*"&amp;A2042&amp;"*"</f>
        <v>*2713: Not Created*</v>
      </c>
      <c r="C2042">
        <f>COUNTIF(Monday!I:I, B2042)</f>
        <v>0</v>
      </c>
      <c r="D2042">
        <f>COUNTIF(Tuesday!I:I, B2042)</f>
        <v>0</v>
      </c>
      <c r="E2042">
        <f>COUNTIF(Wednesday!I:I, B2042)</f>
        <v>0</v>
      </c>
      <c r="F2042">
        <f>COUNTIF(Thursday!I:I, B2042)</f>
        <v>0</v>
      </c>
      <c r="G2042">
        <f>COUNTIF(Friday!I:I, B2042)</f>
        <v>0</v>
      </c>
      <c r="H2042">
        <f>SUM(C2042:G2042)</f>
        <v>0</v>
      </c>
    </row>
    <row r="2043" spans="1:8" x14ac:dyDescent="0.25">
      <c r="A2043" s="5" t="s">
        <v>2043</v>
      </c>
      <c r="B2043" t="str">
        <f>"*"&amp;A2043&amp;"*"</f>
        <v>*2231: Precipitate In Device Or Device Ingredient*</v>
      </c>
      <c r="C2043">
        <f>COUNTIF(Monday!I:I, B2043)</f>
        <v>0</v>
      </c>
      <c r="D2043">
        <f>COUNTIF(Tuesday!I:I, B2043)</f>
        <v>0</v>
      </c>
      <c r="E2043">
        <f>COUNTIF(Wednesday!I:I, B2043)</f>
        <v>0</v>
      </c>
      <c r="F2043">
        <f>COUNTIF(Thursday!I:I, B2043)</f>
        <v>0</v>
      </c>
      <c r="G2043">
        <f>COUNTIF(Friday!I:I, B2043)</f>
        <v>0</v>
      </c>
      <c r="H2043">
        <f>SUM(C2043:G2043)</f>
        <v>0</v>
      </c>
    </row>
    <row r="2044" spans="1:8" x14ac:dyDescent="0.25">
      <c r="A2044" s="5" t="s">
        <v>2044</v>
      </c>
      <c r="B2044" t="str">
        <f>"*"&amp;A2044&amp;"*"</f>
        <v>*2245: Product Dried Out/Hardened*</v>
      </c>
      <c r="C2044">
        <f>COUNTIF(Monday!I:I, B2044)</f>
        <v>0</v>
      </c>
      <c r="D2044">
        <f>COUNTIF(Tuesday!I:I, B2044)</f>
        <v>0</v>
      </c>
      <c r="E2044">
        <f>COUNTIF(Wednesday!I:I, B2044)</f>
        <v>0</v>
      </c>
      <c r="F2044">
        <f>COUNTIF(Thursday!I:I, B2044)</f>
        <v>0</v>
      </c>
      <c r="G2044">
        <f>COUNTIF(Friday!I:I, B2044)</f>
        <v>0</v>
      </c>
      <c r="H2044">
        <f>SUM(C2044:G2044)</f>
        <v>0</v>
      </c>
    </row>
    <row r="2045" spans="1:8" x14ac:dyDescent="0.25">
      <c r="A2045" s="5" t="s">
        <v>2045</v>
      </c>
      <c r="B2045" t="str">
        <f>"*"&amp;A2045&amp;"*"</f>
        <v>*2706: Melted PEG*</v>
      </c>
      <c r="C2045">
        <f>COUNTIF(Monday!I:I, B2045)</f>
        <v>0</v>
      </c>
      <c r="D2045">
        <f>COUNTIF(Tuesday!I:I, B2045)</f>
        <v>0</v>
      </c>
      <c r="E2045">
        <f>COUNTIF(Wednesday!I:I, B2045)</f>
        <v>0</v>
      </c>
      <c r="F2045">
        <f>COUNTIF(Thursday!I:I, B2045)</f>
        <v>0</v>
      </c>
      <c r="G2045">
        <f>COUNTIF(Friday!I:I, B2045)</f>
        <v>0</v>
      </c>
      <c r="H2045">
        <f>SUM(C2045:G2045)</f>
        <v>0</v>
      </c>
    </row>
    <row r="2046" spans="1:8" x14ac:dyDescent="0.25">
      <c r="A2046" s="5" t="s">
        <v>2046</v>
      </c>
      <c r="B2046" t="str">
        <f>"*"&amp;A2046&amp;"*"</f>
        <v>*1621: Flexscope Use Time Exceeded*</v>
      </c>
      <c r="C2046">
        <f>COUNTIF(Monday!I:I, B2046)</f>
        <v>0</v>
      </c>
      <c r="D2046">
        <f>COUNTIF(Tuesday!I:I, B2046)</f>
        <v>0</v>
      </c>
      <c r="E2046">
        <f>COUNTIF(Wednesday!I:I, B2046)</f>
        <v>0</v>
      </c>
      <c r="F2046">
        <f>COUNTIF(Thursday!I:I, B2046)</f>
        <v>0</v>
      </c>
      <c r="G2046">
        <f>COUNTIF(Friday!I:I, B2046)</f>
        <v>0</v>
      </c>
      <c r="H2046">
        <f>SUM(C2046:G2046)</f>
        <v>0</v>
      </c>
    </row>
    <row r="2047" spans="1:8" x14ac:dyDescent="0.25">
      <c r="A2047" s="5" t="s">
        <v>2047</v>
      </c>
      <c r="B2047" t="str">
        <f>"*"&amp;A2047&amp;"*"</f>
        <v>*1674: Illumination Issues*</v>
      </c>
      <c r="C2047">
        <f>COUNTIF(Monday!I:I, B2047)</f>
        <v>0</v>
      </c>
      <c r="D2047">
        <f>COUNTIF(Tuesday!I:I, B2047)</f>
        <v>0</v>
      </c>
      <c r="E2047">
        <f>COUNTIF(Wednesday!I:I, B2047)</f>
        <v>0</v>
      </c>
      <c r="F2047">
        <f>COUNTIF(Thursday!I:I, B2047)</f>
        <v>0</v>
      </c>
      <c r="G2047">
        <f>COUNTIF(Friday!I:I, B2047)</f>
        <v>0</v>
      </c>
      <c r="H2047">
        <f>SUM(C2047:G2047)</f>
        <v>0</v>
      </c>
    </row>
    <row r="2048" spans="1:8" x14ac:dyDescent="0.25">
      <c r="A2048" s="5" t="s">
        <v>2048</v>
      </c>
      <c r="B2048" t="str">
        <f>"*"&amp;A2048&amp;"*"</f>
        <v>*1677: Image Quality Issue - During Laser Firing*</v>
      </c>
      <c r="C2048">
        <f>COUNTIF(Monday!I:I, B2048)</f>
        <v>0</v>
      </c>
      <c r="D2048">
        <f>COUNTIF(Tuesday!I:I, B2048)</f>
        <v>0</v>
      </c>
      <c r="E2048">
        <f>COUNTIF(Wednesday!I:I, B2048)</f>
        <v>0</v>
      </c>
      <c r="F2048">
        <f>COUNTIF(Thursday!I:I, B2048)</f>
        <v>0</v>
      </c>
      <c r="G2048">
        <f>COUNTIF(Friday!I:I, B2048)</f>
        <v>0</v>
      </c>
      <c r="H2048">
        <f>SUM(C2048:G2048)</f>
        <v>0</v>
      </c>
    </row>
    <row r="2049" spans="1:8" x14ac:dyDescent="0.25">
      <c r="A2049" s="5" t="s">
        <v>2049</v>
      </c>
      <c r="B2049" t="str">
        <f>"*"&amp;A2049&amp;"*"</f>
        <v>*3183: Camera Error*</v>
      </c>
      <c r="C2049">
        <f>COUNTIF(Monday!I:I, B2049)</f>
        <v>0</v>
      </c>
      <c r="D2049">
        <f>COUNTIF(Tuesday!I:I, B2049)</f>
        <v>0</v>
      </c>
      <c r="E2049">
        <f>COUNTIF(Wednesday!I:I, B2049)</f>
        <v>0</v>
      </c>
      <c r="F2049">
        <f>COUNTIF(Thursday!I:I, B2049)</f>
        <v>0</v>
      </c>
      <c r="G2049">
        <f>COUNTIF(Friday!I:I, B2049)</f>
        <v>0</v>
      </c>
      <c r="H2049">
        <f>SUM(C2049:G2049)</f>
        <v>0</v>
      </c>
    </row>
    <row r="2050" spans="1:8" x14ac:dyDescent="0.25">
      <c r="A2050" s="5" t="s">
        <v>2050</v>
      </c>
      <c r="B2050" t="str">
        <f>"*"&amp;A2050&amp;"*"</f>
        <v>*3185: Console Communication Error*</v>
      </c>
      <c r="C2050">
        <f>COUNTIF(Monday!I:I, B2050)</f>
        <v>0</v>
      </c>
      <c r="D2050">
        <f>COUNTIF(Tuesday!I:I, B2050)</f>
        <v>0</v>
      </c>
      <c r="E2050">
        <f>COUNTIF(Wednesday!I:I, B2050)</f>
        <v>0</v>
      </c>
      <c r="F2050">
        <f>COUNTIF(Thursday!I:I, B2050)</f>
        <v>0</v>
      </c>
      <c r="G2050">
        <f>COUNTIF(Friday!I:I, B2050)</f>
        <v>0</v>
      </c>
      <c r="H2050">
        <f>SUM(C2050:G2050)</f>
        <v>0</v>
      </c>
    </row>
    <row r="2051" spans="1:8" x14ac:dyDescent="0.25">
      <c r="A2051" s="5" t="s">
        <v>2051</v>
      </c>
      <c r="B2051" t="str">
        <f>"*"&amp;A2051&amp;"*"</f>
        <v>*3186: Console Pressure Sensor Error*</v>
      </c>
      <c r="C2051">
        <f>COUNTIF(Monday!I:I, B2051)</f>
        <v>0</v>
      </c>
      <c r="D2051">
        <f>COUNTIF(Tuesday!I:I, B2051)</f>
        <v>0</v>
      </c>
      <c r="E2051">
        <f>COUNTIF(Wednesday!I:I, B2051)</f>
        <v>0</v>
      </c>
      <c r="F2051">
        <f>COUNTIF(Thursday!I:I, B2051)</f>
        <v>0</v>
      </c>
      <c r="G2051">
        <f>COUNTIF(Friday!I:I, B2051)</f>
        <v>0</v>
      </c>
      <c r="H2051">
        <f>SUM(C2051:G2051)</f>
        <v>0</v>
      </c>
    </row>
    <row r="2052" spans="1:8" x14ac:dyDescent="0.25">
      <c r="A2052" s="5" t="s">
        <v>2052</v>
      </c>
      <c r="B2052" t="str">
        <f>"*"&amp;A2052&amp;"*"</f>
        <v>*3223: Image Processing Board Error*</v>
      </c>
      <c r="C2052">
        <f>COUNTIF(Monday!I:I, B2052)</f>
        <v>0</v>
      </c>
      <c r="D2052">
        <f>COUNTIF(Tuesday!I:I, B2052)</f>
        <v>0</v>
      </c>
      <c r="E2052">
        <f>COUNTIF(Wednesday!I:I, B2052)</f>
        <v>0</v>
      </c>
      <c r="F2052">
        <f>COUNTIF(Thursday!I:I, B2052)</f>
        <v>0</v>
      </c>
      <c r="G2052">
        <f>COUNTIF(Friday!I:I, B2052)</f>
        <v>0</v>
      </c>
      <c r="H2052">
        <f>SUM(C2052:G2052)</f>
        <v>0</v>
      </c>
    </row>
    <row r="2053" spans="1:8" x14ac:dyDescent="0.25">
      <c r="A2053" s="5" t="s">
        <v>2053</v>
      </c>
      <c r="B2053" t="str">
        <f>"*"&amp;A2053&amp;"*"</f>
        <v>*3227: Software Initialization Error*</v>
      </c>
      <c r="C2053">
        <f>COUNTIF(Monday!I:I, B2053)</f>
        <v>0</v>
      </c>
      <c r="D2053">
        <f>COUNTIF(Tuesday!I:I, B2053)</f>
        <v>0</v>
      </c>
      <c r="E2053">
        <f>COUNTIF(Wednesday!I:I, B2053)</f>
        <v>0</v>
      </c>
      <c r="F2053">
        <f>COUNTIF(Thursday!I:I, B2053)</f>
        <v>0</v>
      </c>
      <c r="G2053">
        <f>COUNTIF(Friday!I:I, B2053)</f>
        <v>0</v>
      </c>
      <c r="H2053">
        <f>SUM(C2053:G2053)</f>
        <v>0</v>
      </c>
    </row>
    <row r="2054" spans="1:8" x14ac:dyDescent="0.25">
      <c r="A2054" s="5" t="s">
        <v>2054</v>
      </c>
      <c r="B2054" t="str">
        <f>"*"&amp;A2054&amp;"*"</f>
        <v>*3232: SUD Connection Error*</v>
      </c>
      <c r="C2054">
        <f>COUNTIF(Monday!I:I, B2054)</f>
        <v>0</v>
      </c>
      <c r="D2054">
        <f>COUNTIF(Tuesday!I:I, B2054)</f>
        <v>0</v>
      </c>
      <c r="E2054">
        <f>COUNTIF(Wednesday!I:I, B2054)</f>
        <v>0</v>
      </c>
      <c r="F2054">
        <f>COUNTIF(Thursday!I:I, B2054)</f>
        <v>0</v>
      </c>
      <c r="G2054">
        <f>COUNTIF(Friday!I:I, B2054)</f>
        <v>0</v>
      </c>
      <c r="H2054">
        <f>SUM(C2054:G2054)</f>
        <v>0</v>
      </c>
    </row>
    <row r="2055" spans="1:8" x14ac:dyDescent="0.25">
      <c r="A2055" s="5" t="s">
        <v>2055</v>
      </c>
      <c r="B2055" t="str">
        <f>"*"&amp;A2055&amp;"*"</f>
        <v>*3233: SUD Pressure Sensor Error*</v>
      </c>
      <c r="C2055">
        <f>COUNTIF(Monday!I:I, B2055)</f>
        <v>0</v>
      </c>
      <c r="D2055">
        <f>COUNTIF(Tuesday!I:I, B2055)</f>
        <v>0</v>
      </c>
      <c r="E2055">
        <f>COUNTIF(Wednesday!I:I, B2055)</f>
        <v>0</v>
      </c>
      <c r="F2055">
        <f>COUNTIF(Thursday!I:I, B2055)</f>
        <v>0</v>
      </c>
      <c r="G2055">
        <f>COUNTIF(Friday!I:I, B2055)</f>
        <v>0</v>
      </c>
      <c r="H2055">
        <f>SUM(C2055:G2055)</f>
        <v>0</v>
      </c>
    </row>
    <row r="2056" spans="1:8" x14ac:dyDescent="0.25">
      <c r="A2056" s="5" t="s">
        <v>2056</v>
      </c>
      <c r="B2056" t="str">
        <f>"*"&amp;A2056&amp;"*"</f>
        <v>*3235: Unable To Save Image/Video*</v>
      </c>
      <c r="C2056">
        <f>COUNTIF(Monday!I:I, B2056)</f>
        <v>0</v>
      </c>
      <c r="D2056">
        <f>COUNTIF(Tuesday!I:I, B2056)</f>
        <v>0</v>
      </c>
      <c r="E2056">
        <f>COUNTIF(Wednesday!I:I, B2056)</f>
        <v>0</v>
      </c>
      <c r="F2056">
        <f>COUNTIF(Thursday!I:I, B2056)</f>
        <v>0</v>
      </c>
      <c r="G2056">
        <f>COUNTIF(Friday!I:I, B2056)</f>
        <v>0</v>
      </c>
      <c r="H2056">
        <f>SUM(C2056:G2056)</f>
        <v>0</v>
      </c>
    </row>
    <row r="2057" spans="1:8" x14ac:dyDescent="0.25">
      <c r="A2057" s="5" t="s">
        <v>2057</v>
      </c>
      <c r="B2057" t="str">
        <f>"*"&amp;A2057&amp;"*"</f>
        <v>*3236: Video Capture - Not Functional*</v>
      </c>
      <c r="C2057">
        <f>COUNTIF(Monday!I:I, B2057)</f>
        <v>0</v>
      </c>
      <c r="D2057">
        <f>COUNTIF(Tuesday!I:I, B2057)</f>
        <v>0</v>
      </c>
      <c r="E2057">
        <f>COUNTIF(Wednesday!I:I, B2057)</f>
        <v>0</v>
      </c>
      <c r="F2057">
        <f>COUNTIF(Thursday!I:I, B2057)</f>
        <v>0</v>
      </c>
      <c r="G2057">
        <f>COUNTIF(Friday!I:I, B2057)</f>
        <v>0</v>
      </c>
      <c r="H2057">
        <f>SUM(C2057:G2057)</f>
        <v>0</v>
      </c>
    </row>
    <row r="2058" spans="1:8" x14ac:dyDescent="0.25">
      <c r="A2058" s="5" t="s">
        <v>2058</v>
      </c>
      <c r="B2058" t="str">
        <f>"*"&amp;A2058&amp;"*"</f>
        <v>*1641: Front Panel Button Failure*</v>
      </c>
      <c r="C2058">
        <f>COUNTIF(Monday!I:I, B2058)</f>
        <v>0</v>
      </c>
      <c r="D2058">
        <f>COUNTIF(Tuesday!I:I, B2058)</f>
        <v>0</v>
      </c>
      <c r="E2058">
        <f>COUNTIF(Wednesday!I:I, B2058)</f>
        <v>0</v>
      </c>
      <c r="F2058">
        <f>COUNTIF(Thursday!I:I, B2058)</f>
        <v>0</v>
      </c>
      <c r="G2058">
        <f>COUNTIF(Friday!I:I, B2058)</f>
        <v>0</v>
      </c>
      <c r="H2058">
        <f>SUM(C2058:G2058)</f>
        <v>0</v>
      </c>
    </row>
    <row r="2059" spans="1:8" x14ac:dyDescent="0.25">
      <c r="A2059" s="5" t="s">
        <v>2059</v>
      </c>
      <c r="B2059" t="str">
        <f>"*"&amp;A2059&amp;"*"</f>
        <v>*1458: Equipment Does Not Pass Biomed/Installation Check*</v>
      </c>
      <c r="C2059">
        <f>COUNTIF(Monday!I:I, B2059)</f>
        <v>0</v>
      </c>
      <c r="D2059">
        <f>COUNTIF(Tuesday!I:I, B2059)</f>
        <v>0</v>
      </c>
      <c r="E2059">
        <f>COUNTIF(Wednesday!I:I, B2059)</f>
        <v>0</v>
      </c>
      <c r="F2059">
        <f>COUNTIF(Thursday!I:I, B2059)</f>
        <v>0</v>
      </c>
      <c r="G2059">
        <f>COUNTIF(Friday!I:I, B2059)</f>
        <v>0</v>
      </c>
      <c r="H2059">
        <f>SUM(C2059:G2059)</f>
        <v>0</v>
      </c>
    </row>
    <row r="2060" spans="1:8" x14ac:dyDescent="0.25">
      <c r="A2060" s="5" t="s">
        <v>2060</v>
      </c>
      <c r="B2060" t="str">
        <f>"*"&amp;A2060&amp;"*"</f>
        <v>*1663: Hardware Malfunction*</v>
      </c>
      <c r="C2060">
        <f>COUNTIF(Monday!I:I, B2060)</f>
        <v>0</v>
      </c>
      <c r="D2060">
        <f>COUNTIF(Tuesday!I:I, B2060)</f>
        <v>0</v>
      </c>
      <c r="E2060">
        <f>COUNTIF(Wednesday!I:I, B2060)</f>
        <v>0</v>
      </c>
      <c r="F2060">
        <f>COUNTIF(Thursday!I:I, B2060)</f>
        <v>0</v>
      </c>
      <c r="G2060">
        <f>COUNTIF(Friday!I:I, B2060)</f>
        <v>0</v>
      </c>
      <c r="H2060">
        <f>SUM(C2060:G2060)</f>
        <v>0</v>
      </c>
    </row>
    <row r="2061" spans="1:8" x14ac:dyDescent="0.25">
      <c r="A2061" s="5" t="s">
        <v>2061</v>
      </c>
      <c r="B2061" t="str">
        <f>"*"&amp;A2061&amp;"*"</f>
        <v>*2242: Problem With Lithovue Flexscope*</v>
      </c>
      <c r="C2061">
        <f>COUNTIF(Monday!I:I, B2061)</f>
        <v>0</v>
      </c>
      <c r="D2061">
        <f>COUNTIF(Tuesday!I:I, B2061)</f>
        <v>0</v>
      </c>
      <c r="E2061">
        <f>COUNTIF(Wednesday!I:I, B2061)</f>
        <v>0</v>
      </c>
      <c r="F2061">
        <f>COUNTIF(Thursday!I:I, B2061)</f>
        <v>0</v>
      </c>
      <c r="G2061">
        <f>COUNTIF(Friday!I:I, B2061)</f>
        <v>0</v>
      </c>
      <c r="H2061">
        <f>SUM(C2061:G2061)</f>
        <v>0</v>
      </c>
    </row>
    <row r="2062" spans="1:8" x14ac:dyDescent="0.25">
      <c r="A2062" s="5" t="s">
        <v>2062</v>
      </c>
      <c r="B2062" t="str">
        <f>"*"&amp;A2062&amp;"*"</f>
        <v>*2384: System Enforces Incorrect Time Limit*</v>
      </c>
      <c r="C2062">
        <f>COUNTIF(Monday!I:I, B2062)</f>
        <v>0</v>
      </c>
      <c r="D2062">
        <f>COUNTIF(Tuesday!I:I, B2062)</f>
        <v>0</v>
      </c>
      <c r="E2062">
        <f>COUNTIF(Wednesday!I:I, B2062)</f>
        <v>0</v>
      </c>
      <c r="F2062">
        <f>COUNTIF(Thursday!I:I, B2062)</f>
        <v>0</v>
      </c>
      <c r="G2062">
        <f>COUNTIF(Friday!I:I, B2062)</f>
        <v>0</v>
      </c>
      <c r="H2062">
        <f>SUM(C2062:G2062)</f>
        <v>0</v>
      </c>
    </row>
    <row r="2063" spans="1:8" x14ac:dyDescent="0.25">
      <c r="A2063" s="5" t="s">
        <v>2063</v>
      </c>
      <c r="B2063" t="str">
        <f>"*"&amp;A2063&amp;"*"</f>
        <v>*2136: Not Radiopaque*</v>
      </c>
      <c r="C2063">
        <f>COUNTIF(Monday!I:I, B2063)</f>
        <v>0</v>
      </c>
      <c r="D2063">
        <f>COUNTIF(Tuesday!I:I, B2063)</f>
        <v>0</v>
      </c>
      <c r="E2063">
        <f>COUNTIF(Wednesday!I:I, B2063)</f>
        <v>0</v>
      </c>
      <c r="F2063">
        <f>COUNTIF(Thursday!I:I, B2063)</f>
        <v>0</v>
      </c>
      <c r="G2063">
        <f>COUNTIF(Friday!I:I, B2063)</f>
        <v>0</v>
      </c>
      <c r="H2063">
        <f>SUM(C2063:G2063)</f>
        <v>0</v>
      </c>
    </row>
    <row r="2064" spans="1:8" x14ac:dyDescent="0.25">
      <c r="A2064" s="5" t="s">
        <v>2064</v>
      </c>
      <c r="B2064" t="str">
        <f>"*"&amp;A2064&amp;"*"</f>
        <v>*1989: Message - Image Display Error*</v>
      </c>
      <c r="C2064">
        <f>COUNTIF(Monday!I:I, B2064)</f>
        <v>0</v>
      </c>
      <c r="D2064">
        <f>COUNTIF(Tuesday!I:I, B2064)</f>
        <v>0</v>
      </c>
      <c r="E2064">
        <f>COUNTIF(Wednesday!I:I, B2064)</f>
        <v>0</v>
      </c>
      <c r="F2064">
        <f>COUNTIF(Thursday!I:I, B2064)</f>
        <v>0</v>
      </c>
      <c r="G2064">
        <f>COUNTIF(Friday!I:I, B2064)</f>
        <v>0</v>
      </c>
      <c r="H2064">
        <f>SUM(C2064:G2064)</f>
        <v>0</v>
      </c>
    </row>
    <row r="2065" spans="1:8" x14ac:dyDescent="0.25">
      <c r="A2065" s="5" t="s">
        <v>2065</v>
      </c>
      <c r="B2065" t="str">
        <f>"*"&amp;A2065&amp;"*"</f>
        <v>*2608: Device Difficult To Setup Or Prepare Accessory Device*</v>
      </c>
      <c r="C2065">
        <f>COUNTIF(Monday!I:I, B2065)</f>
        <v>0</v>
      </c>
      <c r="D2065">
        <f>COUNTIF(Tuesday!I:I, B2065)</f>
        <v>0</v>
      </c>
      <c r="E2065">
        <f>COUNTIF(Wednesday!I:I, B2065)</f>
        <v>0</v>
      </c>
      <c r="F2065">
        <f>COUNTIF(Thursday!I:I, B2065)</f>
        <v>0</v>
      </c>
      <c r="G2065">
        <f>COUNTIF(Friday!I:I, B2065)</f>
        <v>0</v>
      </c>
      <c r="H2065">
        <f>SUM(C2065:G2065)</f>
        <v>0</v>
      </c>
    </row>
    <row r="2066" spans="1:8" x14ac:dyDescent="0.25">
      <c r="A2066" s="5" t="s">
        <v>2066</v>
      </c>
      <c r="B2066" t="str">
        <f>"*"&amp;A2066&amp;"*"</f>
        <v>*2609: Difficult To Detach Accessory Device*</v>
      </c>
      <c r="C2066">
        <f>COUNTIF(Monday!I:I, B2066)</f>
        <v>0</v>
      </c>
      <c r="D2066">
        <f>COUNTIF(Tuesday!I:I, B2066)</f>
        <v>0</v>
      </c>
      <c r="E2066">
        <f>COUNTIF(Wednesday!I:I, B2066)</f>
        <v>0</v>
      </c>
      <c r="F2066">
        <f>COUNTIF(Thursday!I:I, B2066)</f>
        <v>0</v>
      </c>
      <c r="G2066">
        <f>COUNTIF(Friday!I:I, B2066)</f>
        <v>0</v>
      </c>
      <c r="H2066">
        <f>SUM(C2066:G2066)</f>
        <v>0</v>
      </c>
    </row>
    <row r="2067" spans="1:8" x14ac:dyDescent="0.25">
      <c r="A2067" s="5" t="s">
        <v>2067</v>
      </c>
      <c r="B2067" t="str">
        <f>"*"&amp;A2067&amp;"*"</f>
        <v>*2610: Accesory Device Ejected*</v>
      </c>
      <c r="C2067">
        <f>COUNTIF(Monday!I:I, B2067)</f>
        <v>0</v>
      </c>
      <c r="D2067">
        <f>COUNTIF(Tuesday!I:I, B2067)</f>
        <v>0</v>
      </c>
      <c r="E2067">
        <f>COUNTIF(Wednesday!I:I, B2067)</f>
        <v>0</v>
      </c>
      <c r="F2067">
        <f>COUNTIF(Thursday!I:I, B2067)</f>
        <v>0</v>
      </c>
      <c r="G2067">
        <f>COUNTIF(Friday!I:I, B2067)</f>
        <v>0</v>
      </c>
      <c r="H2067">
        <f>SUM(C2067:G2067)</f>
        <v>0</v>
      </c>
    </row>
    <row r="2068" spans="1:8" x14ac:dyDescent="0.25">
      <c r="A2068" s="5" t="s">
        <v>2068</v>
      </c>
      <c r="B2068" t="str">
        <f>"*"&amp;A2068&amp;"*"</f>
        <v>*1685: Improper Fit*</v>
      </c>
      <c r="C2068">
        <f>COUNTIF(Monday!I:I, B2068)</f>
        <v>0</v>
      </c>
      <c r="D2068">
        <f>COUNTIF(Tuesday!I:I, B2068)</f>
        <v>0</v>
      </c>
      <c r="E2068">
        <f>COUNTIF(Wednesday!I:I, B2068)</f>
        <v>0</v>
      </c>
      <c r="F2068">
        <f>COUNTIF(Thursday!I:I, B2068)</f>
        <v>0</v>
      </c>
      <c r="G2068">
        <f>COUNTIF(Friday!I:I, B2068)</f>
        <v>0</v>
      </c>
      <c r="H2068">
        <f>SUM(C2068:G2068)</f>
        <v>0</v>
      </c>
    </row>
    <row r="2069" spans="1:8" x14ac:dyDescent="0.25">
      <c r="A2069" s="5" t="s">
        <v>2069</v>
      </c>
      <c r="B2069" t="str">
        <f>"*"&amp;A2069&amp;"*"</f>
        <v>*1493: Failure To Catch Needle*</v>
      </c>
      <c r="C2069">
        <f>COUNTIF(Monday!I:I, B2069)</f>
        <v>0</v>
      </c>
      <c r="D2069">
        <f>COUNTIF(Tuesday!I:I, B2069)</f>
        <v>0</v>
      </c>
      <c r="E2069">
        <f>COUNTIF(Wednesday!I:I, B2069)</f>
        <v>0</v>
      </c>
      <c r="F2069">
        <f>COUNTIF(Thursday!I:I, B2069)</f>
        <v>0</v>
      </c>
      <c r="G2069">
        <f>COUNTIF(Friday!I:I, B2069)</f>
        <v>0</v>
      </c>
      <c r="H2069">
        <f>SUM(C2069:G2069)</f>
        <v>0</v>
      </c>
    </row>
    <row r="2070" spans="1:8" x14ac:dyDescent="0.25">
      <c r="A2070" s="5" t="s">
        <v>2070</v>
      </c>
      <c r="B2070" t="str">
        <f>"*"&amp;A2070&amp;"*"</f>
        <v>*1574: Failure To Release Needle*</v>
      </c>
      <c r="C2070">
        <f>COUNTIF(Monday!I:I, B2070)</f>
        <v>0</v>
      </c>
      <c r="D2070">
        <f>COUNTIF(Tuesday!I:I, B2070)</f>
        <v>0</v>
      </c>
      <c r="E2070">
        <f>COUNTIF(Wednesday!I:I, B2070)</f>
        <v>0</v>
      </c>
      <c r="F2070">
        <f>COUNTIF(Thursday!I:I, B2070)</f>
        <v>0</v>
      </c>
      <c r="G2070">
        <f>COUNTIF(Friday!I:I, B2070)</f>
        <v>0</v>
      </c>
      <c r="H2070">
        <f>SUM(C2070:G2070)</f>
        <v>0</v>
      </c>
    </row>
    <row r="2071" spans="1:8" x14ac:dyDescent="0.25">
      <c r="A2071" s="5" t="s">
        <v>2071</v>
      </c>
      <c r="B2071" t="str">
        <f>"*"&amp;A2071&amp;"*"</f>
        <v>*1365: Difficult To Suture*</v>
      </c>
      <c r="C2071">
        <f>COUNTIF(Monday!I:I, B2071)</f>
        <v>0</v>
      </c>
      <c r="D2071">
        <f>COUNTIF(Tuesday!I:I, B2071)</f>
        <v>0</v>
      </c>
      <c r="E2071">
        <f>COUNTIF(Wednesday!I:I, B2071)</f>
        <v>0</v>
      </c>
      <c r="F2071">
        <f>COUNTIF(Thursday!I:I, B2071)</f>
        <v>0</v>
      </c>
      <c r="G2071">
        <f>COUNTIF(Friday!I:I, B2071)</f>
        <v>0</v>
      </c>
      <c r="H2071">
        <f>SUM(C2071:G2071)</f>
        <v>0</v>
      </c>
    </row>
    <row r="2072" spans="1:8" x14ac:dyDescent="0.25">
      <c r="A2072" s="5" t="s">
        <v>2072</v>
      </c>
      <c r="B2072" t="str">
        <f>"*"&amp;A2072&amp;"*"</f>
        <v>*1537: Failure To Load/Engage Suture*</v>
      </c>
      <c r="C2072">
        <f>COUNTIF(Monday!I:I, B2072)</f>
        <v>0</v>
      </c>
      <c r="D2072">
        <f>COUNTIF(Tuesday!I:I, B2072)</f>
        <v>0</v>
      </c>
      <c r="E2072">
        <f>COUNTIF(Wednesday!I:I, B2072)</f>
        <v>0</v>
      </c>
      <c r="F2072">
        <f>COUNTIF(Thursday!I:I, B2072)</f>
        <v>0</v>
      </c>
      <c r="G2072">
        <f>COUNTIF(Friday!I:I, B2072)</f>
        <v>0</v>
      </c>
      <c r="H2072">
        <f>SUM(C2072:G2072)</f>
        <v>0</v>
      </c>
    </row>
    <row r="2073" spans="1:8" x14ac:dyDescent="0.25">
      <c r="A2073" s="5" t="s">
        <v>2073</v>
      </c>
      <c r="B2073" t="str">
        <f>"*"&amp;A2073&amp;"*"</f>
        <v>*1649: Graft Too Thin*</v>
      </c>
      <c r="C2073">
        <f>COUNTIF(Monday!I:I, B2073)</f>
        <v>0</v>
      </c>
      <c r="D2073">
        <f>COUNTIF(Tuesday!I:I, B2073)</f>
        <v>0</v>
      </c>
      <c r="E2073">
        <f>COUNTIF(Wednesday!I:I, B2073)</f>
        <v>0</v>
      </c>
      <c r="F2073">
        <f>COUNTIF(Thursday!I:I, B2073)</f>
        <v>0</v>
      </c>
      <c r="G2073">
        <f>COUNTIF(Friday!I:I, B2073)</f>
        <v>0</v>
      </c>
      <c r="H2073">
        <f>SUM(C2073:G2073)</f>
        <v>0</v>
      </c>
    </row>
    <row r="2074" spans="1:8" x14ac:dyDescent="0.25">
      <c r="A2074" s="5" t="s">
        <v>2074</v>
      </c>
      <c r="B2074" t="str">
        <f>"*"&amp;A2074&amp;"*"</f>
        <v>*2265: Rejection*</v>
      </c>
      <c r="C2074">
        <f>COUNTIF(Monday!I:I, B2074)</f>
        <v>0</v>
      </c>
      <c r="D2074">
        <f>COUNTIF(Tuesday!I:I, B2074)</f>
        <v>0</v>
      </c>
      <c r="E2074">
        <f>COUNTIF(Wednesday!I:I, B2074)</f>
        <v>0</v>
      </c>
      <c r="F2074">
        <f>COUNTIF(Thursday!I:I, B2074)</f>
        <v>0</v>
      </c>
      <c r="G2074">
        <f>COUNTIF(Friday!I:I, B2074)</f>
        <v>0</v>
      </c>
      <c r="H2074">
        <f>SUM(C2074:G2074)</f>
        <v>0</v>
      </c>
    </row>
    <row r="2075" spans="1:8" x14ac:dyDescent="0.25">
      <c r="A2075" s="5" t="s">
        <v>2075</v>
      </c>
      <c r="B2075" t="str">
        <f>"*"&amp;A2075&amp;"*"</f>
        <v>*2436: Uneven Thickness*</v>
      </c>
      <c r="C2075">
        <f>COUNTIF(Monday!I:I, B2075)</f>
        <v>0</v>
      </c>
      <c r="D2075">
        <f>COUNTIF(Tuesday!I:I, B2075)</f>
        <v>0</v>
      </c>
      <c r="E2075">
        <f>COUNTIF(Wednesday!I:I, B2075)</f>
        <v>0</v>
      </c>
      <c r="F2075">
        <f>COUNTIF(Thursday!I:I, B2075)</f>
        <v>0</v>
      </c>
      <c r="G2075">
        <f>COUNTIF(Friday!I:I, B2075)</f>
        <v>0</v>
      </c>
      <c r="H2075">
        <f>SUM(C2075:G2075)</f>
        <v>0</v>
      </c>
    </row>
    <row r="2076" spans="1:8" x14ac:dyDescent="0.25">
      <c r="A2076" s="5" t="s">
        <v>2076</v>
      </c>
      <c r="B2076" t="str">
        <f>"*"&amp;A2076&amp;"*"</f>
        <v>*2214: Poor Or No Tissue Ingrowth*</v>
      </c>
      <c r="C2076">
        <f>COUNTIF(Monday!I:I, B2076)</f>
        <v>0</v>
      </c>
      <c r="D2076">
        <f>COUNTIF(Tuesday!I:I, B2076)</f>
        <v>0</v>
      </c>
      <c r="E2076">
        <f>COUNTIF(Wednesday!I:I, B2076)</f>
        <v>0</v>
      </c>
      <c r="F2076">
        <f>COUNTIF(Thursday!I:I, B2076)</f>
        <v>0</v>
      </c>
      <c r="G2076">
        <f>COUNTIF(Friday!I:I, B2076)</f>
        <v>0</v>
      </c>
      <c r="H2076">
        <f>SUM(C2076:G2076)</f>
        <v>0</v>
      </c>
    </row>
    <row r="2077" spans="1:8" x14ac:dyDescent="0.25">
      <c r="A2077" s="5" t="s">
        <v>2077</v>
      </c>
      <c r="B2077" t="str">
        <f>"*"&amp;A2077&amp;"*"</f>
        <v>*2414: Too Short To Release Leg Assembly*</v>
      </c>
      <c r="C2077">
        <f>COUNTIF(Monday!I:I, B2077)</f>
        <v>0</v>
      </c>
      <c r="D2077">
        <f>COUNTIF(Tuesday!I:I, B2077)</f>
        <v>0</v>
      </c>
      <c r="E2077">
        <f>COUNTIF(Wednesday!I:I, B2077)</f>
        <v>0</v>
      </c>
      <c r="F2077">
        <f>COUNTIF(Thursday!I:I, B2077)</f>
        <v>0</v>
      </c>
      <c r="G2077">
        <f>COUNTIF(Friday!I:I, B2077)</f>
        <v>0</v>
      </c>
      <c r="H2077">
        <f>SUM(C2077:G2077)</f>
        <v>0</v>
      </c>
    </row>
    <row r="2078" spans="1:8" x14ac:dyDescent="0.25">
      <c r="A2078" s="5" t="s">
        <v>2078</v>
      </c>
      <c r="B2078" t="str">
        <f>"*"&amp;A2078&amp;"*"</f>
        <v>*2331: Slippage Of Device Or Device Component*</v>
      </c>
      <c r="C2078">
        <f>COUNTIF(Monday!I:I, B2078)</f>
        <v>0</v>
      </c>
      <c r="D2078">
        <f>COUNTIF(Tuesday!I:I, B2078)</f>
        <v>0</v>
      </c>
      <c r="E2078">
        <f>COUNTIF(Wednesday!I:I, B2078)</f>
        <v>0</v>
      </c>
      <c r="F2078">
        <f>COUNTIF(Thursday!I:I, B2078)</f>
        <v>0</v>
      </c>
      <c r="G2078">
        <f>COUNTIF(Friday!I:I, B2078)</f>
        <v>0</v>
      </c>
      <c r="H2078">
        <f>SUM(C2078:G2078)</f>
        <v>0</v>
      </c>
    </row>
    <row r="2079" spans="1:8" x14ac:dyDescent="0.25">
      <c r="A2079" s="5" t="s">
        <v>2079</v>
      </c>
      <c r="B2079" t="str">
        <f>"*"&amp;A2079&amp;"*"</f>
        <v>*2342: Spots*</v>
      </c>
      <c r="C2079">
        <f>COUNTIF(Monday!I:I, B2079)</f>
        <v>0</v>
      </c>
      <c r="D2079">
        <f>COUNTIF(Tuesday!I:I, B2079)</f>
        <v>0</v>
      </c>
      <c r="E2079">
        <f>COUNTIF(Wednesday!I:I, B2079)</f>
        <v>0</v>
      </c>
      <c r="F2079">
        <f>COUNTIF(Thursday!I:I, B2079)</f>
        <v>0</v>
      </c>
      <c r="G2079">
        <f>COUNTIF(Friday!I:I, B2079)</f>
        <v>0</v>
      </c>
      <c r="H2079">
        <f>SUM(C2079:G2079)</f>
        <v>0</v>
      </c>
    </row>
    <row r="2080" spans="1:8" x14ac:dyDescent="0.25">
      <c r="A2080" s="5" t="s">
        <v>2080</v>
      </c>
      <c r="B2080" t="str">
        <f>"*"&amp;A2080&amp;"*"</f>
        <v>*1069: Calcified*</v>
      </c>
      <c r="C2080">
        <f>COUNTIF(Monday!I:I, B2080)</f>
        <v>0</v>
      </c>
      <c r="D2080">
        <f>COUNTIF(Tuesday!I:I, B2080)</f>
        <v>0</v>
      </c>
      <c r="E2080">
        <f>COUNTIF(Wednesday!I:I, B2080)</f>
        <v>0</v>
      </c>
      <c r="F2080">
        <f>COUNTIF(Thursday!I:I, B2080)</f>
        <v>0</v>
      </c>
      <c r="G2080">
        <f>COUNTIF(Friday!I:I, B2080)</f>
        <v>0</v>
      </c>
      <c r="H2080">
        <f>SUM(C2080:G2080)</f>
        <v>0</v>
      </c>
    </row>
    <row r="2081" spans="1:8" x14ac:dyDescent="0.25">
      <c r="A2081" s="5" t="s">
        <v>2081</v>
      </c>
      <c r="B2081" t="str">
        <f>"*"&amp;A2081&amp;"*"</f>
        <v>*1463: Excess Flow Or Overinfusion*</v>
      </c>
      <c r="C2081">
        <f>COUNTIF(Monday!I:I, B2081)</f>
        <v>0</v>
      </c>
      <c r="D2081">
        <f>COUNTIF(Tuesday!I:I, B2081)</f>
        <v>0</v>
      </c>
      <c r="E2081">
        <f>COUNTIF(Wednesday!I:I, B2081)</f>
        <v>0</v>
      </c>
      <c r="F2081">
        <f>COUNTIF(Thursday!I:I, B2081)</f>
        <v>0</v>
      </c>
      <c r="G2081">
        <f>COUNTIF(Friday!I:I, B2081)</f>
        <v>0</v>
      </c>
      <c r="H2081">
        <f>SUM(C2081:G2081)</f>
        <v>0</v>
      </c>
    </row>
    <row r="2082" spans="1:8" x14ac:dyDescent="0.25">
      <c r="A2082" s="5" t="s">
        <v>2082</v>
      </c>
      <c r="B2082" t="str">
        <f>"*"&amp;A2082&amp;"*"</f>
        <v>*1553: Failure To Power On Self Test*</v>
      </c>
      <c r="C2082">
        <f>COUNTIF(Monday!I:I, B2082)</f>
        <v>0</v>
      </c>
      <c r="D2082">
        <f>COUNTIF(Tuesday!I:I, B2082)</f>
        <v>0</v>
      </c>
      <c r="E2082">
        <f>COUNTIF(Wednesday!I:I, B2082)</f>
        <v>0</v>
      </c>
      <c r="F2082">
        <f>COUNTIF(Thursday!I:I, B2082)</f>
        <v>0</v>
      </c>
      <c r="G2082">
        <f>COUNTIF(Friday!I:I, B2082)</f>
        <v>0</v>
      </c>
      <c r="H2082">
        <f>SUM(C2082:G2082)</f>
        <v>0</v>
      </c>
    </row>
    <row r="2083" spans="1:8" x14ac:dyDescent="0.25">
      <c r="A2083" s="5" t="s">
        <v>2083</v>
      </c>
      <c r="B2083" t="str">
        <f>"*"&amp;A2083&amp;"*"</f>
        <v>*1565: Failure To Reciprocate/Slow Reciprocation*</v>
      </c>
      <c r="C2083">
        <f>COUNTIF(Monday!I:I, B2083)</f>
        <v>0</v>
      </c>
      <c r="D2083">
        <f>COUNTIF(Tuesday!I:I, B2083)</f>
        <v>0</v>
      </c>
      <c r="E2083">
        <f>COUNTIF(Wednesday!I:I, B2083)</f>
        <v>0</v>
      </c>
      <c r="F2083">
        <f>COUNTIF(Thursday!I:I, B2083)</f>
        <v>0</v>
      </c>
      <c r="G2083">
        <f>COUNTIF(Friday!I:I, B2083)</f>
        <v>0</v>
      </c>
      <c r="H2083">
        <f>SUM(C2083:G2083)</f>
        <v>0</v>
      </c>
    </row>
    <row r="2084" spans="1:8" x14ac:dyDescent="0.25">
      <c r="A2084" s="5" t="s">
        <v>2084</v>
      </c>
      <c r="B2084" t="str">
        <f>"*"&amp;A2084&amp;"*"</f>
        <v>*2117: No Visualization/Loss Of Visualization*</v>
      </c>
      <c r="C2084">
        <f>COUNTIF(Monday!I:I, B2084)</f>
        <v>0</v>
      </c>
      <c r="D2084">
        <f>COUNTIF(Tuesday!I:I, B2084)</f>
        <v>0</v>
      </c>
      <c r="E2084">
        <f>COUNTIF(Wednesday!I:I, B2084)</f>
        <v>0</v>
      </c>
      <c r="F2084">
        <f>COUNTIF(Thursday!I:I, B2084)</f>
        <v>0</v>
      </c>
      <c r="G2084">
        <f>COUNTIF(Friday!I:I, B2084)</f>
        <v>0</v>
      </c>
      <c r="H2084">
        <f>SUM(C2084:G2084)</f>
        <v>0</v>
      </c>
    </row>
    <row r="2085" spans="1:8" x14ac:dyDescent="0.25">
      <c r="A2085" s="5" t="s">
        <v>2085</v>
      </c>
      <c r="B2085" t="str">
        <f>"*"&amp;A2085&amp;"*"</f>
        <v>*2269: Resection Rate Slow*</v>
      </c>
      <c r="C2085">
        <f>COUNTIF(Monday!I:I, B2085)</f>
        <v>0</v>
      </c>
      <c r="D2085">
        <f>COUNTIF(Tuesday!I:I, B2085)</f>
        <v>0</v>
      </c>
      <c r="E2085">
        <f>COUNTIF(Wednesday!I:I, B2085)</f>
        <v>0</v>
      </c>
      <c r="F2085">
        <f>COUNTIF(Thursday!I:I, B2085)</f>
        <v>0</v>
      </c>
      <c r="G2085">
        <f>COUNTIF(Friday!I:I, B2085)</f>
        <v>0</v>
      </c>
      <c r="H2085">
        <f>SUM(C2085:G2085)</f>
        <v>0</v>
      </c>
    </row>
    <row r="2086" spans="1:8" x14ac:dyDescent="0.25">
      <c r="A2086" s="5" t="s">
        <v>2086</v>
      </c>
      <c r="B2086" t="str">
        <f>"*"&amp;A2086&amp;"*"</f>
        <v>*1614: Filtration Issue*</v>
      </c>
      <c r="C2086">
        <f>COUNTIF(Monday!I:I, B2086)</f>
        <v>0</v>
      </c>
      <c r="D2086">
        <f>COUNTIF(Tuesday!I:I, B2086)</f>
        <v>0</v>
      </c>
      <c r="E2086">
        <f>COUNTIF(Wednesday!I:I, B2086)</f>
        <v>0</v>
      </c>
      <c r="F2086">
        <f>COUNTIF(Thursday!I:I, B2086)</f>
        <v>0</v>
      </c>
      <c r="G2086">
        <f>COUNTIF(Friday!I:I, B2086)</f>
        <v>0</v>
      </c>
      <c r="H2086">
        <f>SUM(C2086:G2086)</f>
        <v>0</v>
      </c>
    </row>
    <row r="2087" spans="1:8" x14ac:dyDescent="0.25">
      <c r="A2087" s="5" t="s">
        <v>2087</v>
      </c>
      <c r="B2087" t="str">
        <f>"*"&amp;A2087&amp;"*"</f>
        <v>*1719: Incorrect Or Inadequate Result*</v>
      </c>
      <c r="C2087">
        <f>COUNTIF(Monday!I:I, B2087)</f>
        <v>0</v>
      </c>
      <c r="D2087">
        <f>COUNTIF(Tuesday!I:I, B2087)</f>
        <v>0</v>
      </c>
      <c r="E2087">
        <f>COUNTIF(Wednesday!I:I, B2087)</f>
        <v>0</v>
      </c>
      <c r="F2087">
        <f>COUNTIF(Thursday!I:I, B2087)</f>
        <v>0</v>
      </c>
      <c r="G2087">
        <f>COUNTIF(Friday!I:I, B2087)</f>
        <v>0</v>
      </c>
      <c r="H2087">
        <f>SUM(C2087:G2087)</f>
        <v>0</v>
      </c>
    </row>
    <row r="2088" spans="1:8" x14ac:dyDescent="0.25">
      <c r="A2088" s="5" t="s">
        <v>2088</v>
      </c>
      <c r="B2088" t="str">
        <f>"*"&amp;A2088&amp;"*"</f>
        <v>*1437: Ejects Tissue During Opening*</v>
      </c>
      <c r="C2088">
        <f>COUNTIF(Monday!I:I, B2088)</f>
        <v>0</v>
      </c>
      <c r="D2088">
        <f>COUNTIF(Tuesday!I:I, B2088)</f>
        <v>0</v>
      </c>
      <c r="E2088">
        <f>COUNTIF(Wednesday!I:I, B2088)</f>
        <v>0</v>
      </c>
      <c r="F2088">
        <f>COUNTIF(Thursday!I:I, B2088)</f>
        <v>0</v>
      </c>
      <c r="G2088">
        <f>COUNTIF(Friday!I:I, B2088)</f>
        <v>0</v>
      </c>
      <c r="H2088">
        <f>SUM(C2088:G2088)</f>
        <v>0</v>
      </c>
    </row>
    <row r="2089" spans="1:8" x14ac:dyDescent="0.25">
      <c r="A2089" s="5" t="s">
        <v>2089</v>
      </c>
      <c r="B2089" t="str">
        <f>"*"&amp;A2089&amp;"*"</f>
        <v>*1548: Failure To Open To Retrieve Tissue*</v>
      </c>
      <c r="C2089">
        <f>COUNTIF(Monday!I:I, B2089)</f>
        <v>0</v>
      </c>
      <c r="D2089">
        <f>COUNTIF(Tuesday!I:I, B2089)</f>
        <v>0</v>
      </c>
      <c r="E2089">
        <f>COUNTIF(Wednesday!I:I, B2089)</f>
        <v>0</v>
      </c>
      <c r="F2089">
        <f>COUNTIF(Thursday!I:I, B2089)</f>
        <v>0</v>
      </c>
      <c r="G2089">
        <f>COUNTIF(Friday!I:I, B2089)</f>
        <v>0</v>
      </c>
      <c r="H2089">
        <f>SUM(C2089:G2089)</f>
        <v>0</v>
      </c>
    </row>
    <row r="2090" spans="1:8" x14ac:dyDescent="0.25">
      <c r="A2090" s="5" t="s">
        <v>2090</v>
      </c>
      <c r="B2090" t="str">
        <f>"*"&amp;A2090&amp;"*"</f>
        <v>*1874: Message - 1306 Displayed Locations May Be Poor For The Following Catheters - [Catheter Name(s)]*</v>
      </c>
      <c r="C2090">
        <f>COUNTIF(Monday!I:I, B2090)</f>
        <v>0</v>
      </c>
      <c r="D2090">
        <f>COUNTIF(Tuesday!I:I, B2090)</f>
        <v>0</v>
      </c>
      <c r="E2090">
        <f>COUNTIF(Wednesday!I:I, B2090)</f>
        <v>0</v>
      </c>
      <c r="F2090">
        <f>COUNTIF(Thursday!I:I, B2090)</f>
        <v>0</v>
      </c>
      <c r="G2090">
        <f>COUNTIF(Friday!I:I, B2090)</f>
        <v>0</v>
      </c>
      <c r="H2090">
        <f>SUM(C2090:G2090)</f>
        <v>0</v>
      </c>
    </row>
    <row r="2091" spans="1:8" x14ac:dyDescent="0.25">
      <c r="A2091" s="5" t="s">
        <v>2091</v>
      </c>
      <c r="B2091" t="str">
        <f>"*"&amp;A2091&amp;"*"</f>
        <v>*2177: Pacing Issue*</v>
      </c>
      <c r="C2091">
        <f>COUNTIF(Monday!I:I, B2091)</f>
        <v>0</v>
      </c>
      <c r="D2091">
        <f>COUNTIF(Tuesday!I:I, B2091)</f>
        <v>0</v>
      </c>
      <c r="E2091">
        <f>COUNTIF(Wednesday!I:I, B2091)</f>
        <v>0</v>
      </c>
      <c r="F2091">
        <f>COUNTIF(Thursday!I:I, B2091)</f>
        <v>0</v>
      </c>
      <c r="G2091">
        <f>COUNTIF(Friday!I:I, B2091)</f>
        <v>0</v>
      </c>
      <c r="H2091">
        <f>SUM(C2091:G2091)</f>
        <v>0</v>
      </c>
    </row>
    <row r="2092" spans="1:8" x14ac:dyDescent="0.25">
      <c r="A2092" s="5" t="s">
        <v>2092</v>
      </c>
      <c r="B2092" t="str">
        <f>"*"&amp;A2092&amp;"*"</f>
        <v>*2335: Software - CT Import/Segmentation Issues*</v>
      </c>
      <c r="C2092">
        <f>COUNTIF(Monday!I:I, B2092)</f>
        <v>0</v>
      </c>
      <c r="D2092">
        <f>COUNTIF(Tuesday!I:I, B2092)</f>
        <v>0</v>
      </c>
      <c r="E2092">
        <f>COUNTIF(Wednesday!I:I, B2092)</f>
        <v>0</v>
      </c>
      <c r="F2092">
        <f>COUNTIF(Thursday!I:I, B2092)</f>
        <v>0</v>
      </c>
      <c r="G2092">
        <f>COUNTIF(Friday!I:I, B2092)</f>
        <v>0</v>
      </c>
      <c r="H2092">
        <f>SUM(C2092:G2092)</f>
        <v>0</v>
      </c>
    </row>
    <row r="2093" spans="1:8" x14ac:dyDescent="0.25">
      <c r="A2093" s="5" t="s">
        <v>2093</v>
      </c>
      <c r="B2093" t="str">
        <f>"*"&amp;A2093&amp;"*"</f>
        <v>*1020: Artifact/Noise*</v>
      </c>
      <c r="C2093">
        <f>COUNTIF(Monday!I:I, B2093)</f>
        <v>0</v>
      </c>
      <c r="D2093">
        <f>COUNTIF(Tuesday!I:I, B2093)</f>
        <v>0</v>
      </c>
      <c r="E2093">
        <f>COUNTIF(Wednesday!I:I, B2093)</f>
        <v>0</v>
      </c>
      <c r="F2093">
        <f>COUNTIF(Thursday!I:I, B2093)</f>
        <v>0</v>
      </c>
      <c r="G2093">
        <f>COUNTIF(Friday!I:I, B2093)</f>
        <v>0</v>
      </c>
      <c r="H2093">
        <f>SUM(C2093:G2093)</f>
        <v>0</v>
      </c>
    </row>
    <row r="2094" spans="1:8" x14ac:dyDescent="0.25">
      <c r="A2094" s="5" t="s">
        <v>2094</v>
      </c>
      <c r="B2094" t="str">
        <f>"*"&amp;A2094&amp;"*"</f>
        <v>*1041: Body Fluid Ingress*</v>
      </c>
      <c r="C2094">
        <f>COUNTIF(Monday!I:I, B2094)</f>
        <v>0</v>
      </c>
      <c r="D2094">
        <f>COUNTIF(Tuesday!I:I, B2094)</f>
        <v>0</v>
      </c>
      <c r="E2094">
        <f>COUNTIF(Wednesday!I:I, B2094)</f>
        <v>0</v>
      </c>
      <c r="F2094">
        <f>COUNTIF(Thursday!I:I, B2094)</f>
        <v>0</v>
      </c>
      <c r="G2094">
        <f>COUNTIF(Friday!I:I, B2094)</f>
        <v>0</v>
      </c>
      <c r="H2094">
        <f>SUM(C2094:G2094)</f>
        <v>0</v>
      </c>
    </row>
    <row r="2095" spans="1:8" x14ac:dyDescent="0.25">
      <c r="A2095" s="5" t="s">
        <v>2095</v>
      </c>
      <c r="B2095" t="str">
        <f>"*"&amp;A2095&amp;"*"</f>
        <v>*1093: Charred*</v>
      </c>
      <c r="C2095">
        <f>COUNTIF(Monday!I:I, B2095)</f>
        <v>0</v>
      </c>
      <c r="D2095">
        <f>COUNTIF(Tuesday!I:I, B2095)</f>
        <v>0</v>
      </c>
      <c r="E2095">
        <f>COUNTIF(Wednesday!I:I, B2095)</f>
        <v>0</v>
      </c>
      <c r="F2095">
        <f>COUNTIF(Thursday!I:I, B2095)</f>
        <v>0</v>
      </c>
      <c r="G2095">
        <f>COUNTIF(Friday!I:I, B2095)</f>
        <v>0</v>
      </c>
      <c r="H2095">
        <f>SUM(C2095:G2095)</f>
        <v>0</v>
      </c>
    </row>
    <row r="2096" spans="1:8" x14ac:dyDescent="0.25">
      <c r="A2096" s="5" t="s">
        <v>2096</v>
      </c>
      <c r="B2096" t="str">
        <f>"*"&amp;A2096&amp;"*"</f>
        <v>*1283: Difficult To Advance/Withdraw Catheter Through Sheath*</v>
      </c>
      <c r="C2096">
        <f>COUNTIF(Monday!I:I, B2096)</f>
        <v>0</v>
      </c>
      <c r="D2096">
        <f>COUNTIF(Tuesday!I:I, B2096)</f>
        <v>0</v>
      </c>
      <c r="E2096">
        <f>COUNTIF(Wednesday!I:I, B2096)</f>
        <v>0</v>
      </c>
      <c r="F2096">
        <f>COUNTIF(Thursday!I:I, B2096)</f>
        <v>0</v>
      </c>
      <c r="G2096">
        <f>COUNTIF(Friday!I:I, B2096)</f>
        <v>0</v>
      </c>
      <c r="H2096">
        <f>SUM(C2096:G2096)</f>
        <v>0</v>
      </c>
    </row>
    <row r="2097" spans="1:8" x14ac:dyDescent="0.25">
      <c r="A2097" s="5" t="s">
        <v>2097</v>
      </c>
      <c r="B2097" t="str">
        <f>"*"&amp;A2097&amp;"*"</f>
        <v>*1388: Difficult/Failure To Deliver RF Energy*</v>
      </c>
      <c r="C2097">
        <f>COUNTIF(Monday!I:I, B2097)</f>
        <v>0</v>
      </c>
      <c r="D2097">
        <f>COUNTIF(Tuesday!I:I, B2097)</f>
        <v>0</v>
      </c>
      <c r="E2097">
        <f>COUNTIF(Wednesday!I:I, B2097)</f>
        <v>0</v>
      </c>
      <c r="F2097">
        <f>COUNTIF(Thursday!I:I, B2097)</f>
        <v>0</v>
      </c>
      <c r="G2097">
        <f>COUNTIF(Friday!I:I, B2097)</f>
        <v>0</v>
      </c>
      <c r="H2097">
        <f>SUM(C2097:G2097)</f>
        <v>0</v>
      </c>
    </row>
    <row r="2098" spans="1:8" x14ac:dyDescent="0.25">
      <c r="A2098" s="5" t="s">
        <v>2098</v>
      </c>
      <c r="B2098" t="str">
        <f>"*"&amp;A2098&amp;"*"</f>
        <v>*1585: Failure To Sense Temperature*</v>
      </c>
      <c r="C2098">
        <f>COUNTIF(Monday!I:I, B2098)</f>
        <v>0</v>
      </c>
      <c r="D2098">
        <f>COUNTIF(Tuesday!I:I, B2098)</f>
        <v>0</v>
      </c>
      <c r="E2098">
        <f>COUNTIF(Wednesday!I:I, B2098)</f>
        <v>0</v>
      </c>
      <c r="F2098">
        <f>COUNTIF(Thursday!I:I, B2098)</f>
        <v>0</v>
      </c>
      <c r="G2098">
        <f>COUNTIF(Friday!I:I, B2098)</f>
        <v>0</v>
      </c>
      <c r="H2098">
        <f>SUM(C2098:G2098)</f>
        <v>0</v>
      </c>
    </row>
    <row r="2099" spans="1:8" x14ac:dyDescent="0.25">
      <c r="A2099" s="5" t="s">
        <v>2099</v>
      </c>
      <c r="B2099" t="str">
        <f>"*"&amp;A2099&amp;"*"</f>
        <v>*1746: Interrupted Coolant Flow*</v>
      </c>
      <c r="C2099">
        <f>COUNTIF(Monday!I:I, B2099)</f>
        <v>0</v>
      </c>
      <c r="D2099">
        <f>COUNTIF(Tuesday!I:I, B2099)</f>
        <v>0</v>
      </c>
      <c r="E2099">
        <f>COUNTIF(Wednesday!I:I, B2099)</f>
        <v>0</v>
      </c>
      <c r="F2099">
        <f>COUNTIF(Thursday!I:I, B2099)</f>
        <v>0</v>
      </c>
      <c r="G2099">
        <f>COUNTIF(Friday!I:I, B2099)</f>
        <v>0</v>
      </c>
      <c r="H2099">
        <f>SUM(C2099:G2099)</f>
        <v>0</v>
      </c>
    </row>
    <row r="2100" spans="1:8" x14ac:dyDescent="0.25">
      <c r="A2100" s="5" t="s">
        <v>2100</v>
      </c>
      <c r="B2100" t="str">
        <f>"*"&amp;A2100&amp;"*"</f>
        <v>*2302: Sensor Failure*</v>
      </c>
      <c r="C2100">
        <f>COUNTIF(Monday!I:I, B2100)</f>
        <v>0</v>
      </c>
      <c r="D2100">
        <f>COUNTIF(Tuesday!I:I, B2100)</f>
        <v>0</v>
      </c>
      <c r="E2100">
        <f>COUNTIF(Wednesday!I:I, B2100)</f>
        <v>0</v>
      </c>
      <c r="F2100">
        <f>COUNTIF(Thursday!I:I, B2100)</f>
        <v>0</v>
      </c>
      <c r="G2100">
        <f>COUNTIF(Friday!I:I, B2100)</f>
        <v>0</v>
      </c>
      <c r="H2100">
        <f>SUM(C2100:G2100)</f>
        <v>0</v>
      </c>
    </row>
    <row r="2101" spans="1:8" x14ac:dyDescent="0.25">
      <c r="A2101" s="5" t="s">
        <v>2101</v>
      </c>
      <c r="B2101" t="str">
        <f>"*"&amp;A2101&amp;"*"</f>
        <v>*2402: Temperature Reading Incorrect*</v>
      </c>
      <c r="C2101">
        <f>COUNTIF(Monday!I:I, B2101)</f>
        <v>0</v>
      </c>
      <c r="D2101">
        <f>COUNTIF(Tuesday!I:I, B2101)</f>
        <v>0</v>
      </c>
      <c r="E2101">
        <f>COUNTIF(Wednesday!I:I, B2101)</f>
        <v>0</v>
      </c>
      <c r="F2101">
        <f>COUNTIF(Thursday!I:I, B2101)</f>
        <v>0</v>
      </c>
      <c r="G2101">
        <f>COUNTIF(Friday!I:I, B2101)</f>
        <v>0</v>
      </c>
      <c r="H2101">
        <f>SUM(C2101:G2101)</f>
        <v>0</v>
      </c>
    </row>
    <row r="2102" spans="1:8" x14ac:dyDescent="0.25">
      <c r="A2102" s="5" t="s">
        <v>2102</v>
      </c>
      <c r="B2102" t="str">
        <f>"*"&amp;A2102&amp;"*"</f>
        <v>*1664: Hardwr No Signal Or Communication*</v>
      </c>
      <c r="C2102">
        <f>COUNTIF(Monday!I:I, B2102)</f>
        <v>0</v>
      </c>
      <c r="D2102">
        <f>COUNTIF(Tuesday!I:I, B2102)</f>
        <v>0</v>
      </c>
      <c r="E2102">
        <f>COUNTIF(Wednesday!I:I, B2102)</f>
        <v>0</v>
      </c>
      <c r="F2102">
        <f>COUNTIF(Thursday!I:I, B2102)</f>
        <v>0</v>
      </c>
      <c r="G2102">
        <f>COUNTIF(Friday!I:I, B2102)</f>
        <v>0</v>
      </c>
      <c r="H2102">
        <f>SUM(C2102:G2102)</f>
        <v>0</v>
      </c>
    </row>
    <row r="2103" spans="1:8" x14ac:dyDescent="0.25">
      <c r="A2103" s="5" t="s">
        <v>2103</v>
      </c>
      <c r="B2103" t="str">
        <f>"*"&amp;A2103&amp;"*"</f>
        <v>*1908: Message - D02 High Impedance/Check Catheter Or Ground Pads*</v>
      </c>
      <c r="C2103">
        <f>COUNTIF(Monday!I:I, B2103)</f>
        <v>0</v>
      </c>
      <c r="D2103">
        <f>COUNTIF(Tuesday!I:I, B2103)</f>
        <v>0</v>
      </c>
      <c r="E2103">
        <f>COUNTIF(Wednesday!I:I, B2103)</f>
        <v>0</v>
      </c>
      <c r="F2103">
        <f>COUNTIF(Thursday!I:I, B2103)</f>
        <v>0</v>
      </c>
      <c r="G2103">
        <f>COUNTIF(Friday!I:I, B2103)</f>
        <v>0</v>
      </c>
      <c r="H2103">
        <f>SUM(C2103:G2103)</f>
        <v>0</v>
      </c>
    </row>
    <row r="2104" spans="1:8" x14ac:dyDescent="0.25">
      <c r="A2104" s="5" t="s">
        <v>2104</v>
      </c>
      <c r="B2104" t="str">
        <f>"*"&amp;A2104&amp;"*"</f>
        <v>*1912: Message - D05 Excessive Temperature/Check Catheter*</v>
      </c>
      <c r="C2104">
        <f>COUNTIF(Monday!I:I, B2104)</f>
        <v>0</v>
      </c>
      <c r="D2104">
        <f>COUNTIF(Tuesday!I:I, B2104)</f>
        <v>0</v>
      </c>
      <c r="E2104">
        <f>COUNTIF(Wednesday!I:I, B2104)</f>
        <v>0</v>
      </c>
      <c r="F2104">
        <f>COUNTIF(Thursday!I:I, B2104)</f>
        <v>0</v>
      </c>
      <c r="G2104">
        <f>COUNTIF(Friday!I:I, B2104)</f>
        <v>0</v>
      </c>
      <c r="H2104">
        <f>SUM(C2104:G2104)</f>
        <v>0</v>
      </c>
    </row>
    <row r="2105" spans="1:8" x14ac:dyDescent="0.25">
      <c r="A2105" s="5" t="s">
        <v>2105</v>
      </c>
      <c r="B2105" t="str">
        <f>"*"&amp;A2105&amp;"*"</f>
        <v>*1913: Message - D06 Sensor Failure/Replace Catheter*</v>
      </c>
      <c r="C2105">
        <f>COUNTIF(Monday!I:I, B2105)</f>
        <v>0</v>
      </c>
      <c r="D2105">
        <f>COUNTIF(Tuesday!I:I, B2105)</f>
        <v>0</v>
      </c>
      <c r="E2105">
        <f>COUNTIF(Wednesday!I:I, B2105)</f>
        <v>0</v>
      </c>
      <c r="F2105">
        <f>COUNTIF(Thursday!I:I, B2105)</f>
        <v>0</v>
      </c>
      <c r="G2105">
        <f>COUNTIF(Friday!I:I, B2105)</f>
        <v>0</v>
      </c>
      <c r="H2105">
        <f>SUM(C2105:G2105)</f>
        <v>0</v>
      </c>
    </row>
    <row r="2106" spans="1:8" x14ac:dyDescent="0.25">
      <c r="A2106" s="5" t="s">
        <v>2106</v>
      </c>
      <c r="B2106" t="str">
        <f>"*"&amp;A2106&amp;"*"</f>
        <v>*1915: Message - D07 Temp Out Of Range/Check Catheter*</v>
      </c>
      <c r="C2106">
        <f>COUNTIF(Monday!I:I, B2106)</f>
        <v>0</v>
      </c>
      <c r="D2106">
        <f>COUNTIF(Tuesday!I:I, B2106)</f>
        <v>0</v>
      </c>
      <c r="E2106">
        <f>COUNTIF(Wednesday!I:I, B2106)</f>
        <v>0</v>
      </c>
      <c r="F2106">
        <f>COUNTIF(Thursday!I:I, B2106)</f>
        <v>0</v>
      </c>
      <c r="G2106">
        <f>COUNTIF(Friday!I:I, B2106)</f>
        <v>0</v>
      </c>
      <c r="H2106">
        <f>SUM(C2106:G2106)</f>
        <v>0</v>
      </c>
    </row>
    <row r="2107" spans="1:8" x14ac:dyDescent="0.25">
      <c r="A2107" s="5" t="s">
        <v>2107</v>
      </c>
      <c r="B2107" t="str">
        <f>"*"&amp;A2107&amp;"*"</f>
        <v>*1920: Message - D10 Replace Catheter Invalid ID*</v>
      </c>
      <c r="C2107">
        <f>COUNTIF(Monday!I:I, B2107)</f>
        <v>0</v>
      </c>
      <c r="D2107">
        <f>COUNTIF(Tuesday!I:I, B2107)</f>
        <v>0</v>
      </c>
      <c r="E2107">
        <f>COUNTIF(Wednesday!I:I, B2107)</f>
        <v>0</v>
      </c>
      <c r="F2107">
        <f>COUNTIF(Thursday!I:I, B2107)</f>
        <v>0</v>
      </c>
      <c r="G2107">
        <f>COUNTIF(Friday!I:I, B2107)</f>
        <v>0</v>
      </c>
      <c r="H2107">
        <f>SUM(C2107:G2107)</f>
        <v>0</v>
      </c>
    </row>
    <row r="2108" spans="1:8" x14ac:dyDescent="0.25">
      <c r="A2108" s="5" t="s">
        <v>2108</v>
      </c>
      <c r="B2108" t="str">
        <f>"*"&amp;A2108&amp;"*"</f>
        <v>*1957: Message - Gen-E07 Pwr Temp Out Of 20-43C*</v>
      </c>
      <c r="C2108">
        <f>COUNTIF(Monday!I:I, B2108)</f>
        <v>0</v>
      </c>
      <c r="D2108">
        <f>COUNTIF(Tuesday!I:I, B2108)</f>
        <v>0</v>
      </c>
      <c r="E2108">
        <f>COUNTIF(Wednesday!I:I, B2108)</f>
        <v>0</v>
      </c>
      <c r="F2108">
        <f>COUNTIF(Thursday!I:I, B2108)</f>
        <v>0</v>
      </c>
      <c r="G2108">
        <f>COUNTIF(Friday!I:I, B2108)</f>
        <v>0</v>
      </c>
      <c r="H2108">
        <f>SUM(C2108:G2108)</f>
        <v>0</v>
      </c>
    </row>
    <row r="2109" spans="1:8" x14ac:dyDescent="0.25">
      <c r="A2109" s="5" t="s">
        <v>2109</v>
      </c>
      <c r="B2109" t="str">
        <f>"*"&amp;A2109&amp;"*"</f>
        <v>*2123: Noisy Mini Electrode*</v>
      </c>
      <c r="C2109">
        <f>COUNTIF(Monday!I:I, B2109)</f>
        <v>0</v>
      </c>
      <c r="D2109">
        <f>COUNTIF(Tuesday!I:I, B2109)</f>
        <v>0</v>
      </c>
      <c r="E2109">
        <f>COUNTIF(Wednesday!I:I, B2109)</f>
        <v>0</v>
      </c>
      <c r="F2109">
        <f>COUNTIF(Thursday!I:I, B2109)</f>
        <v>0</v>
      </c>
      <c r="G2109">
        <f>COUNTIF(Friday!I:I, B2109)</f>
        <v>0</v>
      </c>
      <c r="H2109">
        <f>SUM(C2109:G2109)</f>
        <v>0</v>
      </c>
    </row>
    <row r="2110" spans="1:8" x14ac:dyDescent="0.25">
      <c r="A2110" s="5" t="s">
        <v>2110</v>
      </c>
      <c r="B2110" t="str">
        <f>"*"&amp;A2110&amp;"*"</f>
        <v>*2100: No Mapping*</v>
      </c>
      <c r="C2110">
        <f>COUNTIF(Monday!I:I, B2110)</f>
        <v>0</v>
      </c>
      <c r="D2110">
        <f>COUNTIF(Tuesday!I:I, B2110)</f>
        <v>0</v>
      </c>
      <c r="E2110">
        <f>COUNTIF(Wednesday!I:I, B2110)</f>
        <v>0</v>
      </c>
      <c r="F2110">
        <f>COUNTIF(Thursday!I:I, B2110)</f>
        <v>0</v>
      </c>
      <c r="G2110">
        <f>COUNTIF(Friday!I:I, B2110)</f>
        <v>0</v>
      </c>
      <c r="H2110">
        <f>SUM(C2110:G2110)</f>
        <v>0</v>
      </c>
    </row>
    <row r="2111" spans="1:8" x14ac:dyDescent="0.25">
      <c r="A2111" s="5" t="s">
        <v>2111</v>
      </c>
      <c r="B2111" t="str">
        <f>"*"&amp;A2111&amp;"*"</f>
        <v>*2091: No Deflection*</v>
      </c>
      <c r="C2111">
        <f>COUNTIF(Monday!I:I, B2111)</f>
        <v>0</v>
      </c>
      <c r="D2111">
        <f>COUNTIF(Tuesday!I:I, B2111)</f>
        <v>0</v>
      </c>
      <c r="E2111">
        <f>COUNTIF(Wednesday!I:I, B2111)</f>
        <v>0</v>
      </c>
      <c r="F2111">
        <f>COUNTIF(Thursday!I:I, B2111)</f>
        <v>0</v>
      </c>
      <c r="G2111">
        <f>COUNTIF(Friday!I:I, B2111)</f>
        <v>0</v>
      </c>
      <c r="H2111">
        <f>SUM(C2111:G2111)</f>
        <v>0</v>
      </c>
    </row>
    <row r="2112" spans="1:8" x14ac:dyDescent="0.25">
      <c r="A2112" s="5" t="s">
        <v>2112</v>
      </c>
      <c r="B2112" t="str">
        <f>"*"&amp;A2112&amp;"*"</f>
        <v>*2851: Error Code 00004000: The Injection Pressure Is Too High*</v>
      </c>
      <c r="C2112">
        <f>COUNTIF(Monday!I:I, B2112)</f>
        <v>0</v>
      </c>
      <c r="D2112">
        <f>COUNTIF(Tuesday!I:I, B2112)</f>
        <v>0</v>
      </c>
      <c r="E2112">
        <f>COUNTIF(Wednesday!I:I, B2112)</f>
        <v>0</v>
      </c>
      <c r="F2112">
        <f>COUNTIF(Thursday!I:I, B2112)</f>
        <v>0</v>
      </c>
      <c r="G2112">
        <f>COUNTIF(Friday!I:I, B2112)</f>
        <v>0</v>
      </c>
      <c r="H2112">
        <f>SUM(C2112:G2112)</f>
        <v>0</v>
      </c>
    </row>
    <row r="2113" spans="1:8" x14ac:dyDescent="0.25">
      <c r="A2113" s="5" t="s">
        <v>2113</v>
      </c>
      <c r="B2113" t="str">
        <f>"*"&amp;A2113&amp;"*"</f>
        <v>*1946: Message - GCA002 Problem With Wheel(s)*</v>
      </c>
      <c r="C2113">
        <f>COUNTIF(Monday!I:I, B2113)</f>
        <v>0</v>
      </c>
      <c r="D2113">
        <f>COUNTIF(Tuesday!I:I, B2113)</f>
        <v>0</v>
      </c>
      <c r="E2113">
        <f>COUNTIF(Wednesday!I:I, B2113)</f>
        <v>0</v>
      </c>
      <c r="F2113">
        <f>COUNTIF(Thursday!I:I, B2113)</f>
        <v>0</v>
      </c>
      <c r="G2113">
        <f>COUNTIF(Friday!I:I, B2113)</f>
        <v>0</v>
      </c>
      <c r="H2113">
        <f>SUM(C2113:G2113)</f>
        <v>0</v>
      </c>
    </row>
    <row r="2114" spans="1:8" x14ac:dyDescent="0.25">
      <c r="A2114" s="5" t="s">
        <v>2114</v>
      </c>
      <c r="B2114" t="str">
        <f>"*"&amp;A2114&amp;"*"</f>
        <v>*1947: Message - GCA003 Abnormal Fan Noise Coming From Console*</v>
      </c>
      <c r="C2114">
        <f>COUNTIF(Monday!I:I, B2114)</f>
        <v>0</v>
      </c>
      <c r="D2114">
        <f>COUNTIF(Tuesday!I:I, B2114)</f>
        <v>0</v>
      </c>
      <c r="E2114">
        <f>COUNTIF(Wednesday!I:I, B2114)</f>
        <v>0</v>
      </c>
      <c r="F2114">
        <f>COUNTIF(Thursday!I:I, B2114)</f>
        <v>0</v>
      </c>
      <c r="G2114">
        <f>COUNTIF(Friday!I:I, B2114)</f>
        <v>0</v>
      </c>
      <c r="H2114">
        <f>SUM(C2114:G2114)</f>
        <v>0</v>
      </c>
    </row>
    <row r="2115" spans="1:8" x14ac:dyDescent="0.25">
      <c r="A2115" s="5" t="s">
        <v>2115</v>
      </c>
      <c r="B2115" t="str">
        <f>"*"&amp;A2115&amp;"*"</f>
        <v>*1948: Message - GCA099 Other Console Problems Describe In Action Field*</v>
      </c>
      <c r="C2115">
        <f>COUNTIF(Monday!I:I, B2115)</f>
        <v>0</v>
      </c>
      <c r="D2115">
        <f>COUNTIF(Tuesday!I:I, B2115)</f>
        <v>0</v>
      </c>
      <c r="E2115">
        <f>COUNTIF(Wednesday!I:I, B2115)</f>
        <v>0</v>
      </c>
      <c r="F2115">
        <f>COUNTIF(Thursday!I:I, B2115)</f>
        <v>0</v>
      </c>
      <c r="G2115">
        <f>COUNTIF(Friday!I:I, B2115)</f>
        <v>0</v>
      </c>
      <c r="H2115">
        <f>SUM(C2115:G2115)</f>
        <v>0</v>
      </c>
    </row>
    <row r="2116" spans="1:8" x14ac:dyDescent="0.25">
      <c r="A2116" s="5" t="s">
        <v>2116</v>
      </c>
      <c r="B2116" t="str">
        <f>"*"&amp;A2116&amp;"*"</f>
        <v>*1949: Message - GCT002 Keyboard Problem*</v>
      </c>
      <c r="C2116">
        <f>COUNTIF(Monday!I:I, B2116)</f>
        <v>0</v>
      </c>
      <c r="D2116">
        <f>COUNTIF(Tuesday!I:I, B2116)</f>
        <v>0</v>
      </c>
      <c r="E2116">
        <f>COUNTIF(Wednesday!I:I, B2116)</f>
        <v>0</v>
      </c>
      <c r="F2116">
        <f>COUNTIF(Thursday!I:I, B2116)</f>
        <v>0</v>
      </c>
      <c r="G2116">
        <f>COUNTIF(Friday!I:I, B2116)</f>
        <v>0</v>
      </c>
      <c r="H2116">
        <f>SUM(C2116:G2116)</f>
        <v>0</v>
      </c>
    </row>
    <row r="2117" spans="1:8" x14ac:dyDescent="0.25">
      <c r="A2117" s="5" t="s">
        <v>2117</v>
      </c>
      <c r="B2117" t="str">
        <f>"*"&amp;A2117&amp;"*"</f>
        <v>*1950: Message - GCT006 On/Off Switch Inoperative*</v>
      </c>
      <c r="C2117">
        <f>COUNTIF(Monday!I:I, B2117)</f>
        <v>0</v>
      </c>
      <c r="D2117">
        <f>COUNTIF(Tuesday!I:I, B2117)</f>
        <v>0</v>
      </c>
      <c r="E2117">
        <f>COUNTIF(Wednesday!I:I, B2117)</f>
        <v>0</v>
      </c>
      <c r="F2117">
        <f>COUNTIF(Thursday!I:I, B2117)</f>
        <v>0</v>
      </c>
      <c r="G2117">
        <f>COUNTIF(Friday!I:I, B2117)</f>
        <v>0</v>
      </c>
      <c r="H2117">
        <f>SUM(C2117:G2117)</f>
        <v>0</v>
      </c>
    </row>
    <row r="2118" spans="1:8" x14ac:dyDescent="0.25">
      <c r="A2118" s="5" t="s">
        <v>2118</v>
      </c>
      <c r="B2118" t="str">
        <f>"*"&amp;A2118&amp;"*"</f>
        <v>*1951: Message - GCT099 Other Control Problems Describe In Action Field*</v>
      </c>
      <c r="C2118">
        <f>COUNTIF(Monday!I:I, B2118)</f>
        <v>0</v>
      </c>
      <c r="D2118">
        <f>COUNTIF(Tuesday!I:I, B2118)</f>
        <v>0</v>
      </c>
      <c r="E2118">
        <f>COUNTIF(Wednesday!I:I, B2118)</f>
        <v>0</v>
      </c>
      <c r="F2118">
        <f>COUNTIF(Thursday!I:I, B2118)</f>
        <v>0</v>
      </c>
      <c r="G2118">
        <f>COUNTIF(Friday!I:I, B2118)</f>
        <v>0</v>
      </c>
      <c r="H2118">
        <f>SUM(C2118:G2118)</f>
        <v>0</v>
      </c>
    </row>
    <row r="2119" spans="1:8" x14ac:dyDescent="0.25">
      <c r="A2119" s="5" t="s">
        <v>2119</v>
      </c>
      <c r="B2119" t="str">
        <f>"*"&amp;A2119&amp;"*"</f>
        <v>*1611: File Transfer Issue*</v>
      </c>
      <c r="C2119">
        <f>COUNTIF(Monday!I:I, B2119)</f>
        <v>0</v>
      </c>
      <c r="D2119">
        <f>COUNTIF(Tuesday!I:I, B2119)</f>
        <v>0</v>
      </c>
      <c r="E2119">
        <f>COUNTIF(Wednesday!I:I, B2119)</f>
        <v>0</v>
      </c>
      <c r="F2119">
        <f>COUNTIF(Thursday!I:I, B2119)</f>
        <v>0</v>
      </c>
      <c r="G2119">
        <f>COUNTIF(Friday!I:I, B2119)</f>
        <v>0</v>
      </c>
      <c r="H2119">
        <f>SUM(C2119:G2119)</f>
        <v>0</v>
      </c>
    </row>
    <row r="2120" spans="1:8" x14ac:dyDescent="0.25">
      <c r="A2120" s="5" t="s">
        <v>2120</v>
      </c>
      <c r="B2120" t="str">
        <f>"*"&amp;A2120&amp;"*"</f>
        <v>*2240: Problem With Color On The Display Screen*</v>
      </c>
      <c r="C2120">
        <f>COUNTIF(Monday!I:I, B2120)</f>
        <v>0</v>
      </c>
      <c r="D2120">
        <f>COUNTIF(Tuesday!I:I, B2120)</f>
        <v>0</v>
      </c>
      <c r="E2120">
        <f>COUNTIF(Wednesday!I:I, B2120)</f>
        <v>0</v>
      </c>
      <c r="F2120">
        <f>COUNTIF(Thursday!I:I, B2120)</f>
        <v>0</v>
      </c>
      <c r="G2120">
        <f>COUNTIF(Friday!I:I, B2120)</f>
        <v>0</v>
      </c>
      <c r="H2120">
        <f>SUM(C2120:G2120)</f>
        <v>0</v>
      </c>
    </row>
    <row r="2121" spans="1:8" x14ac:dyDescent="0.25">
      <c r="A2121" s="5" t="s">
        <v>2121</v>
      </c>
      <c r="B2121" t="str">
        <f>"*"&amp;A2121&amp;"*"</f>
        <v>*1962: Message - GIQ001 No Image Inside The Tissue Ball/Rest Of Screen (Menu)*</v>
      </c>
      <c r="C2121">
        <f>COUNTIF(Monday!I:I, B2121)</f>
        <v>0</v>
      </c>
      <c r="D2121">
        <f>COUNTIF(Tuesday!I:I, B2121)</f>
        <v>0</v>
      </c>
      <c r="E2121">
        <f>COUNTIF(Wednesday!I:I, B2121)</f>
        <v>0</v>
      </c>
      <c r="F2121">
        <f>COUNTIF(Thursday!I:I, B2121)</f>
        <v>0</v>
      </c>
      <c r="G2121">
        <f>COUNTIF(Friday!I:I, B2121)</f>
        <v>0</v>
      </c>
      <c r="H2121">
        <f>SUM(C2121:G2121)</f>
        <v>0</v>
      </c>
    </row>
    <row r="2122" spans="1:8" x14ac:dyDescent="0.25">
      <c r="A2122" s="5" t="s">
        <v>2122</v>
      </c>
      <c r="B2122" t="str">
        <f>"*"&amp;A2122&amp;"*"</f>
        <v>*1963: Message - GIQ003 Image Disappears Or Fades In And Out*</v>
      </c>
      <c r="C2122">
        <f>COUNTIF(Monday!I:I, B2122)</f>
        <v>0</v>
      </c>
      <c r="D2122">
        <f>COUNTIF(Tuesday!I:I, B2122)</f>
        <v>0</v>
      </c>
      <c r="E2122">
        <f>COUNTIF(Wednesday!I:I, B2122)</f>
        <v>0</v>
      </c>
      <c r="F2122">
        <f>COUNTIF(Thursday!I:I, B2122)</f>
        <v>0</v>
      </c>
      <c r="G2122">
        <f>COUNTIF(Friday!I:I, B2122)</f>
        <v>0</v>
      </c>
      <c r="H2122">
        <f>SUM(C2122:G2122)</f>
        <v>0</v>
      </c>
    </row>
    <row r="2123" spans="1:8" x14ac:dyDescent="0.25">
      <c r="A2123" s="5" t="s">
        <v>2123</v>
      </c>
      <c r="B2123" t="str">
        <f>"*"&amp;A2123&amp;"*"</f>
        <v>*1964: Message - GIQ005 Ultrasound Image Has Nurd/Image Is Distorted*</v>
      </c>
      <c r="C2123">
        <f>COUNTIF(Monday!I:I, B2123)</f>
        <v>0</v>
      </c>
      <c r="D2123">
        <f>COUNTIF(Tuesday!I:I, B2123)</f>
        <v>0</v>
      </c>
      <c r="E2123">
        <f>COUNTIF(Wednesday!I:I, B2123)</f>
        <v>0</v>
      </c>
      <c r="F2123">
        <f>COUNTIF(Thursday!I:I, B2123)</f>
        <v>0</v>
      </c>
      <c r="G2123">
        <f>COUNTIF(Friday!I:I, B2123)</f>
        <v>0</v>
      </c>
      <c r="H2123">
        <f>SUM(C2123:G2123)</f>
        <v>0</v>
      </c>
    </row>
    <row r="2124" spans="1:8" x14ac:dyDescent="0.25">
      <c r="A2124" s="5" t="s">
        <v>2124</v>
      </c>
      <c r="B2124" t="str">
        <f>"*"&amp;A2124&amp;"*"</f>
        <v>*1965: Message - GIQ099 Other Image Quality Problem Describe In Action Field*</v>
      </c>
      <c r="C2124">
        <f>COUNTIF(Monday!I:I, B2124)</f>
        <v>0</v>
      </c>
      <c r="D2124">
        <f>COUNTIF(Tuesday!I:I, B2124)</f>
        <v>0</v>
      </c>
      <c r="E2124">
        <f>COUNTIF(Wednesday!I:I, B2124)</f>
        <v>0</v>
      </c>
      <c r="F2124">
        <f>COUNTIF(Thursday!I:I, B2124)</f>
        <v>0</v>
      </c>
      <c r="G2124">
        <f>COUNTIF(Friday!I:I, B2124)</f>
        <v>0</v>
      </c>
      <c r="H2124">
        <f>SUM(C2124:G2124)</f>
        <v>0</v>
      </c>
    </row>
    <row r="2125" spans="1:8" x14ac:dyDescent="0.25">
      <c r="A2125" s="5" t="s">
        <v>2125</v>
      </c>
      <c r="B2125" t="str">
        <f>"*"&amp;A2125&amp;"*"</f>
        <v>*2293: Screen Color Abnormal*</v>
      </c>
      <c r="C2125">
        <f>COUNTIF(Monday!I:I, B2125)</f>
        <v>0</v>
      </c>
      <c r="D2125">
        <f>COUNTIF(Tuesday!I:I, B2125)</f>
        <v>0</v>
      </c>
      <c r="E2125">
        <f>COUNTIF(Wednesday!I:I, B2125)</f>
        <v>0</v>
      </c>
      <c r="F2125">
        <f>COUNTIF(Thursday!I:I, B2125)</f>
        <v>0</v>
      </c>
      <c r="G2125">
        <f>COUNTIF(Friday!I:I, B2125)</f>
        <v>0</v>
      </c>
      <c r="H2125">
        <f>SUM(C2125:G2125)</f>
        <v>0</v>
      </c>
    </row>
    <row r="2126" spans="1:8" x14ac:dyDescent="0.25">
      <c r="A2126" s="5" t="s">
        <v>2126</v>
      </c>
      <c r="B2126" t="str">
        <f>"*"&amp;A2126&amp;"*"</f>
        <v>*1487: Failure To Boot Into Application*</v>
      </c>
      <c r="C2126">
        <f>COUNTIF(Monday!I:I, B2126)</f>
        <v>0</v>
      </c>
      <c r="D2126">
        <f>COUNTIF(Tuesday!I:I, B2126)</f>
        <v>0</v>
      </c>
      <c r="E2126">
        <f>COUNTIF(Wednesday!I:I, B2126)</f>
        <v>0</v>
      </c>
      <c r="F2126">
        <f>COUNTIF(Thursday!I:I, B2126)</f>
        <v>0</v>
      </c>
      <c r="G2126">
        <f>COUNTIF(Friday!I:I, B2126)</f>
        <v>0</v>
      </c>
      <c r="H2126">
        <f>SUM(C2126:G2126)</f>
        <v>0</v>
      </c>
    </row>
    <row r="2127" spans="1:8" x14ac:dyDescent="0.25">
      <c r="A2127" s="5" t="s">
        <v>2127</v>
      </c>
      <c r="B2127" t="str">
        <f>"*"&amp;A2127&amp;"*"</f>
        <v>*1977: Message - GSY011 Nidaq Or Related Vme Watchdog Error*</v>
      </c>
      <c r="C2127">
        <f>COUNTIF(Monday!I:I, B2127)</f>
        <v>0</v>
      </c>
      <c r="D2127">
        <f>COUNTIF(Tuesday!I:I, B2127)</f>
        <v>0</v>
      </c>
      <c r="E2127">
        <f>COUNTIF(Wednesday!I:I, B2127)</f>
        <v>0</v>
      </c>
      <c r="F2127">
        <f>COUNTIF(Thursday!I:I, B2127)</f>
        <v>0</v>
      </c>
      <c r="G2127">
        <f>COUNTIF(Friday!I:I, B2127)</f>
        <v>0</v>
      </c>
      <c r="H2127">
        <f>SUM(C2127:G2127)</f>
        <v>0</v>
      </c>
    </row>
    <row r="2128" spans="1:8" x14ac:dyDescent="0.25">
      <c r="A2128" s="5" t="s">
        <v>2128</v>
      </c>
      <c r="B2128" t="str">
        <f>"*"&amp;A2128&amp;"*"</f>
        <v>*1979: Message - GSY014 No OS Found Error*</v>
      </c>
      <c r="C2128">
        <f>COUNTIF(Monday!I:I, B2128)</f>
        <v>0</v>
      </c>
      <c r="D2128">
        <f>COUNTIF(Tuesday!I:I, B2128)</f>
        <v>0</v>
      </c>
      <c r="E2128">
        <f>COUNTIF(Wednesday!I:I, B2128)</f>
        <v>0</v>
      </c>
      <c r="F2128">
        <f>COUNTIF(Thursday!I:I, B2128)</f>
        <v>0</v>
      </c>
      <c r="G2128">
        <f>COUNTIF(Friday!I:I, B2128)</f>
        <v>0</v>
      </c>
      <c r="H2128">
        <f>SUM(C2128:G2128)</f>
        <v>0</v>
      </c>
    </row>
    <row r="2129" spans="1:8" x14ac:dyDescent="0.25">
      <c r="A2129" s="5" t="s">
        <v>2129</v>
      </c>
      <c r="B2129" t="str">
        <f>"*"&amp;A2129&amp;"*"</f>
        <v>*1984: Message - GSY021 DAQ And PC_WD_TIMER Error*</v>
      </c>
      <c r="C2129">
        <f>COUNTIF(Monday!I:I, B2129)</f>
        <v>0</v>
      </c>
      <c r="D2129">
        <f>COUNTIF(Tuesday!I:I, B2129)</f>
        <v>0</v>
      </c>
      <c r="E2129">
        <f>COUNTIF(Wednesday!I:I, B2129)</f>
        <v>0</v>
      </c>
      <c r="F2129">
        <f>COUNTIF(Thursday!I:I, B2129)</f>
        <v>0</v>
      </c>
      <c r="G2129">
        <f>COUNTIF(Friday!I:I, B2129)</f>
        <v>0</v>
      </c>
      <c r="H2129">
        <f>SUM(C2129:G2129)</f>
        <v>0</v>
      </c>
    </row>
    <row r="2130" spans="1:8" x14ac:dyDescent="0.25">
      <c r="A2130" s="5" t="s">
        <v>2130</v>
      </c>
      <c r="B2130" t="str">
        <f>"*"&amp;A2130&amp;"*"</f>
        <v>*1991: Message - Input/Output/Signal Error*</v>
      </c>
      <c r="C2130">
        <f>COUNTIF(Monday!I:I, B2130)</f>
        <v>0</v>
      </c>
      <c r="D2130">
        <f>COUNTIF(Tuesday!I:I, B2130)</f>
        <v>0</v>
      </c>
      <c r="E2130">
        <f>COUNTIF(Wednesday!I:I, B2130)</f>
        <v>0</v>
      </c>
      <c r="F2130">
        <f>COUNTIF(Thursday!I:I, B2130)</f>
        <v>0</v>
      </c>
      <c r="G2130">
        <f>COUNTIF(Friday!I:I, B2130)</f>
        <v>0</v>
      </c>
      <c r="H2130">
        <f>SUM(C2130:G2130)</f>
        <v>0</v>
      </c>
    </row>
    <row r="2131" spans="1:8" x14ac:dyDescent="0.25">
      <c r="A2131" s="5" t="s">
        <v>2131</v>
      </c>
      <c r="B2131" t="str">
        <f>"*"&amp;A2131&amp;"*"</f>
        <v>*1084: Catheter ID Problem (Unknown, Incorrect ID, Not Recognized)*</v>
      </c>
      <c r="C2131">
        <f>COUNTIF(Monday!I:I, B2131)</f>
        <v>0</v>
      </c>
      <c r="D2131">
        <f>COUNTIF(Tuesday!I:I, B2131)</f>
        <v>0</v>
      </c>
      <c r="E2131">
        <f>COUNTIF(Wednesday!I:I, B2131)</f>
        <v>0</v>
      </c>
      <c r="F2131">
        <f>COUNTIF(Thursday!I:I, B2131)</f>
        <v>0</v>
      </c>
      <c r="G2131">
        <f>COUNTIF(Friday!I:I, B2131)</f>
        <v>0</v>
      </c>
      <c r="H2131">
        <f>SUM(C2131:G2131)</f>
        <v>0</v>
      </c>
    </row>
    <row r="2132" spans="1:8" x14ac:dyDescent="0.25">
      <c r="A2132" s="5" t="s">
        <v>2132</v>
      </c>
      <c r="B2132" t="str">
        <f>"*"&amp;A2132&amp;"*"</f>
        <v>*1168: Dead/Transducer Not Spinning*</v>
      </c>
      <c r="C2132">
        <f>COUNTIF(Monday!I:I, B2132)</f>
        <v>0</v>
      </c>
      <c r="D2132">
        <f>COUNTIF(Tuesday!I:I, B2132)</f>
        <v>0</v>
      </c>
      <c r="E2132">
        <f>COUNTIF(Wednesday!I:I, B2132)</f>
        <v>0</v>
      </c>
      <c r="F2132">
        <f>COUNTIF(Thursday!I:I, B2132)</f>
        <v>0</v>
      </c>
      <c r="G2132">
        <f>COUNTIF(Friday!I:I, B2132)</f>
        <v>0</v>
      </c>
      <c r="H2132">
        <f>SUM(C2132:G2132)</f>
        <v>0</v>
      </c>
    </row>
    <row r="2133" spans="1:8" x14ac:dyDescent="0.25">
      <c r="A2133" s="5" t="s">
        <v>2133</v>
      </c>
      <c r="B2133" t="str">
        <f>"*"&amp;A2133&amp;"*"</f>
        <v>*1769: LCD Backlight Failure*</v>
      </c>
      <c r="C2133">
        <f>COUNTIF(Monday!I:I, B2133)</f>
        <v>0</v>
      </c>
      <c r="D2133">
        <f>COUNTIF(Tuesday!I:I, B2133)</f>
        <v>0</v>
      </c>
      <c r="E2133">
        <f>COUNTIF(Wednesday!I:I, B2133)</f>
        <v>0</v>
      </c>
      <c r="F2133">
        <f>COUNTIF(Thursday!I:I, B2133)</f>
        <v>0</v>
      </c>
      <c r="G2133">
        <f>COUNTIF(Friday!I:I, B2133)</f>
        <v>0</v>
      </c>
      <c r="H2133">
        <f>SUM(C2133:G2133)</f>
        <v>0</v>
      </c>
    </row>
    <row r="2134" spans="1:8" x14ac:dyDescent="0.25">
      <c r="A2134" s="5" t="s">
        <v>2134</v>
      </c>
      <c r="B2134" t="str">
        <f>"*"&amp;A2134&amp;"*"</f>
        <v>*2001: Message - Motordrive Error*</v>
      </c>
      <c r="C2134">
        <f>COUNTIF(Monday!I:I, B2134)</f>
        <v>0</v>
      </c>
      <c r="D2134">
        <f>COUNTIF(Tuesday!I:I, B2134)</f>
        <v>0</v>
      </c>
      <c r="E2134">
        <f>COUNTIF(Wednesday!I:I, B2134)</f>
        <v>0</v>
      </c>
      <c r="F2134">
        <f>COUNTIF(Thursday!I:I, B2134)</f>
        <v>0</v>
      </c>
      <c r="G2134">
        <f>COUNTIF(Friday!I:I, B2134)</f>
        <v>0</v>
      </c>
      <c r="H2134">
        <f>SUM(C2134:G2134)</f>
        <v>0</v>
      </c>
    </row>
    <row r="2135" spans="1:8" x14ac:dyDescent="0.25">
      <c r="A2135" s="5" t="s">
        <v>2135</v>
      </c>
      <c r="B2135" t="str">
        <f>"*"&amp;A2135&amp;"*"</f>
        <v>*2002: Message - Motordrive Overload Error*</v>
      </c>
      <c r="C2135">
        <f>COUNTIF(Monday!I:I, B2135)</f>
        <v>0</v>
      </c>
      <c r="D2135">
        <f>COUNTIF(Tuesday!I:I, B2135)</f>
        <v>0</v>
      </c>
      <c r="E2135">
        <f>COUNTIF(Wednesday!I:I, B2135)</f>
        <v>0</v>
      </c>
      <c r="F2135">
        <f>COUNTIF(Thursday!I:I, B2135)</f>
        <v>0</v>
      </c>
      <c r="G2135">
        <f>COUNTIF(Friday!I:I, B2135)</f>
        <v>0</v>
      </c>
      <c r="H2135">
        <f>SUM(C2135:G2135)</f>
        <v>0</v>
      </c>
    </row>
    <row r="2136" spans="1:8" x14ac:dyDescent="0.25">
      <c r="A2136" s="5" t="s">
        <v>2136</v>
      </c>
      <c r="B2136" t="str">
        <f>"*"&amp;A2136&amp;"*"</f>
        <v>*1967: Message - GPR099 Other Printer Problems Describe In Action Field*</v>
      </c>
      <c r="C2136">
        <f>COUNTIF(Monday!I:I, B2136)</f>
        <v>0</v>
      </c>
      <c r="D2136">
        <f>COUNTIF(Tuesday!I:I, B2136)</f>
        <v>0</v>
      </c>
      <c r="E2136">
        <f>COUNTIF(Wednesday!I:I, B2136)</f>
        <v>0</v>
      </c>
      <c r="F2136">
        <f>COUNTIF(Thursday!I:I, B2136)</f>
        <v>0</v>
      </c>
      <c r="G2136">
        <f>COUNTIF(Friday!I:I, B2136)</f>
        <v>0</v>
      </c>
      <c r="H2136">
        <f>SUM(C2136:G2136)</f>
        <v>0</v>
      </c>
    </row>
    <row r="2137" spans="1:8" x14ac:dyDescent="0.25">
      <c r="A2137" s="5" t="s">
        <v>2137</v>
      </c>
      <c r="B2137" t="str">
        <f>"*"&amp;A2137&amp;"*"</f>
        <v>*1968: Message - GSY001 Power - No System Power*</v>
      </c>
      <c r="C2137">
        <f>COUNTIF(Monday!I:I, B2137)</f>
        <v>0</v>
      </c>
      <c r="D2137">
        <f>COUNTIF(Tuesday!I:I, B2137)</f>
        <v>0</v>
      </c>
      <c r="E2137">
        <f>COUNTIF(Wednesday!I:I, B2137)</f>
        <v>0</v>
      </c>
      <c r="F2137">
        <f>COUNTIF(Thursday!I:I, B2137)</f>
        <v>0</v>
      </c>
      <c r="G2137">
        <f>COUNTIF(Friday!I:I, B2137)</f>
        <v>0</v>
      </c>
      <c r="H2137">
        <f>SUM(C2137:G2137)</f>
        <v>0</v>
      </c>
    </row>
    <row r="2138" spans="1:8" x14ac:dyDescent="0.25">
      <c r="A2138" s="5" t="s">
        <v>2138</v>
      </c>
      <c r="B2138" t="str">
        <f>"*"&amp;A2138&amp;"*"</f>
        <v>*1969: Message - GSY002 System Turns On But There Is No Display On Monitor*</v>
      </c>
      <c r="C2138">
        <f>COUNTIF(Monday!I:I, B2138)</f>
        <v>0</v>
      </c>
      <c r="D2138">
        <f>COUNTIF(Tuesday!I:I, B2138)</f>
        <v>0</v>
      </c>
      <c r="E2138">
        <f>COUNTIF(Wednesday!I:I, B2138)</f>
        <v>0</v>
      </c>
      <c r="F2138">
        <f>COUNTIF(Thursday!I:I, B2138)</f>
        <v>0</v>
      </c>
      <c r="G2138">
        <f>COUNTIF(Friday!I:I, B2138)</f>
        <v>0</v>
      </c>
      <c r="H2138">
        <f>SUM(C2138:G2138)</f>
        <v>0</v>
      </c>
    </row>
    <row r="2139" spans="1:8" x14ac:dyDescent="0.25">
      <c r="A2139" s="5" t="s">
        <v>2139</v>
      </c>
      <c r="B2139" t="str">
        <f>"*"&amp;A2139&amp;"*"</f>
        <v>*1970: Message - GSY003 Monitor Display Problem (Brightness, Focus, Tearing, Colors, Size)*</v>
      </c>
      <c r="C2139">
        <f>COUNTIF(Monday!I:I, B2139)</f>
        <v>0</v>
      </c>
      <c r="D2139">
        <f>COUNTIF(Tuesday!I:I, B2139)</f>
        <v>0</v>
      </c>
      <c r="E2139">
        <f>COUNTIF(Wednesday!I:I, B2139)</f>
        <v>0</v>
      </c>
      <c r="F2139">
        <f>COUNTIF(Thursday!I:I, B2139)</f>
        <v>0</v>
      </c>
      <c r="G2139">
        <f>COUNTIF(Friday!I:I, B2139)</f>
        <v>0</v>
      </c>
      <c r="H2139">
        <f>SUM(C2139:G2139)</f>
        <v>0</v>
      </c>
    </row>
    <row r="2140" spans="1:8" x14ac:dyDescent="0.25">
      <c r="A2140" s="5" t="s">
        <v>2140</v>
      </c>
      <c r="B2140" t="str">
        <f>"*"&amp;A2140&amp;"*"</f>
        <v>*1971: Message - GSY004 System Boots But No Power To VCR And Printer (Snooze)*</v>
      </c>
      <c r="C2140">
        <f>COUNTIF(Monday!I:I, B2140)</f>
        <v>0</v>
      </c>
      <c r="D2140">
        <f>COUNTIF(Tuesday!I:I, B2140)</f>
        <v>0</v>
      </c>
      <c r="E2140">
        <f>COUNTIF(Wednesday!I:I, B2140)</f>
        <v>0</v>
      </c>
      <c r="F2140">
        <f>COUNTIF(Thursday!I:I, B2140)</f>
        <v>0</v>
      </c>
      <c r="G2140">
        <f>COUNTIF(Friday!I:I, B2140)</f>
        <v>0</v>
      </c>
      <c r="H2140">
        <f>SUM(C2140:G2140)</f>
        <v>0</v>
      </c>
    </row>
    <row r="2141" spans="1:8" x14ac:dyDescent="0.25">
      <c r="A2141" s="5" t="s">
        <v>2141</v>
      </c>
      <c r="B2141" t="str">
        <f>"*"&amp;A2141&amp;"*"</f>
        <v>*1972: Message - GSY005 System Will Not Boot Into Galaxy Application*</v>
      </c>
      <c r="C2141">
        <f>COUNTIF(Monday!I:I, B2141)</f>
        <v>0</v>
      </c>
      <c r="D2141">
        <f>COUNTIF(Tuesday!I:I, B2141)</f>
        <v>0</v>
      </c>
      <c r="E2141">
        <f>COUNTIF(Wednesday!I:I, B2141)</f>
        <v>0</v>
      </c>
      <c r="F2141">
        <f>COUNTIF(Thursday!I:I, B2141)</f>
        <v>0</v>
      </c>
      <c r="G2141">
        <f>COUNTIF(Friday!I:I, B2141)</f>
        <v>0</v>
      </c>
      <c r="H2141">
        <f>SUM(C2141:G2141)</f>
        <v>0</v>
      </c>
    </row>
    <row r="2142" spans="1:8" x14ac:dyDescent="0.25">
      <c r="A2142" s="5" t="s">
        <v>2142</v>
      </c>
      <c r="B2142" t="str">
        <f>"*"&amp;A2142&amp;"*"</f>
        <v>*1973: Message - GSY006 System Shuts-Down Unexpectedly*</v>
      </c>
      <c r="C2142">
        <f>COUNTIF(Monday!I:I, B2142)</f>
        <v>0</v>
      </c>
      <c r="D2142">
        <f>COUNTIF(Tuesday!I:I, B2142)</f>
        <v>0</v>
      </c>
      <c r="E2142">
        <f>COUNTIF(Wednesday!I:I, B2142)</f>
        <v>0</v>
      </c>
      <c r="F2142">
        <f>COUNTIF(Thursday!I:I, B2142)</f>
        <v>0</v>
      </c>
      <c r="G2142">
        <f>COUNTIF(Friday!I:I, B2142)</f>
        <v>0</v>
      </c>
      <c r="H2142">
        <f>SUM(C2142:G2142)</f>
        <v>0</v>
      </c>
    </row>
    <row r="2143" spans="1:8" x14ac:dyDescent="0.25">
      <c r="A2143" s="5" t="s">
        <v>2143</v>
      </c>
      <c r="B2143" t="str">
        <f>"*"&amp;A2143&amp;"*"</f>
        <v>*1974: Message - GSY007 System Locks-Up In Galaxy Application*</v>
      </c>
      <c r="C2143">
        <f>COUNTIF(Monday!I:I, B2143)</f>
        <v>0</v>
      </c>
      <c r="D2143">
        <f>COUNTIF(Tuesday!I:I, B2143)</f>
        <v>0</v>
      </c>
      <c r="E2143">
        <f>COUNTIF(Wednesday!I:I, B2143)</f>
        <v>0</v>
      </c>
      <c r="F2143">
        <f>COUNTIF(Thursday!I:I, B2143)</f>
        <v>0</v>
      </c>
      <c r="G2143">
        <f>COUNTIF(Friday!I:I, B2143)</f>
        <v>0</v>
      </c>
      <c r="H2143">
        <f>SUM(C2143:G2143)</f>
        <v>0</v>
      </c>
    </row>
    <row r="2144" spans="1:8" x14ac:dyDescent="0.25">
      <c r="A2144" s="5" t="s">
        <v>2144</v>
      </c>
      <c r="B2144" t="str">
        <f>"*"&amp;A2144&amp;"*"</f>
        <v>*1975: Message - GSY009 System Will Not Shut Down*</v>
      </c>
      <c r="C2144">
        <f>COUNTIF(Monday!I:I, B2144)</f>
        <v>0</v>
      </c>
      <c r="D2144">
        <f>COUNTIF(Tuesday!I:I, B2144)</f>
        <v>0</v>
      </c>
      <c r="E2144">
        <f>COUNTIF(Wednesday!I:I, B2144)</f>
        <v>0</v>
      </c>
      <c r="F2144">
        <f>COUNTIF(Thursday!I:I, B2144)</f>
        <v>0</v>
      </c>
      <c r="G2144">
        <f>COUNTIF(Friday!I:I, B2144)</f>
        <v>0</v>
      </c>
      <c r="H2144">
        <f>SUM(C2144:G2144)</f>
        <v>0</v>
      </c>
    </row>
    <row r="2145" spans="1:8" x14ac:dyDescent="0.25">
      <c r="A2145" s="5" t="s">
        <v>2145</v>
      </c>
      <c r="B2145" t="str">
        <f>"*"&amp;A2145&amp;"*"</f>
        <v>*1976: Message - GSY010 Patient File (s) Deleted Unexpectedly*</v>
      </c>
      <c r="C2145">
        <f>COUNTIF(Monday!I:I, B2145)</f>
        <v>0</v>
      </c>
      <c r="D2145">
        <f>COUNTIF(Tuesday!I:I, B2145)</f>
        <v>0</v>
      </c>
      <c r="E2145">
        <f>COUNTIF(Wednesday!I:I, B2145)</f>
        <v>0</v>
      </c>
      <c r="F2145">
        <f>COUNTIF(Thursday!I:I, B2145)</f>
        <v>0</v>
      </c>
      <c r="G2145">
        <f>COUNTIF(Friday!I:I, B2145)</f>
        <v>0</v>
      </c>
      <c r="H2145">
        <f>SUM(C2145:G2145)</f>
        <v>0</v>
      </c>
    </row>
    <row r="2146" spans="1:8" x14ac:dyDescent="0.25">
      <c r="A2146" s="5" t="s">
        <v>2146</v>
      </c>
      <c r="B2146" t="str">
        <f>"*"&amp;A2146&amp;"*"</f>
        <v>*1980: Message - GSY017 Mo Or CD-Rom Message, Cannot Format, Record, Playback*</v>
      </c>
      <c r="C2146">
        <f>COUNTIF(Monday!I:I, B2146)</f>
        <v>0</v>
      </c>
      <c r="D2146">
        <f>COUNTIF(Tuesday!I:I, B2146)</f>
        <v>0</v>
      </c>
      <c r="E2146">
        <f>COUNTIF(Wednesday!I:I, B2146)</f>
        <v>0</v>
      </c>
      <c r="F2146">
        <f>COUNTIF(Thursday!I:I, B2146)</f>
        <v>0</v>
      </c>
      <c r="G2146">
        <f>COUNTIF(Friday!I:I, B2146)</f>
        <v>0</v>
      </c>
      <c r="H2146">
        <f>SUM(C2146:G2146)</f>
        <v>0</v>
      </c>
    </row>
    <row r="2147" spans="1:8" x14ac:dyDescent="0.25">
      <c r="A2147" s="5" t="s">
        <v>2147</v>
      </c>
      <c r="B2147" t="str">
        <f>"*"&amp;A2147&amp;"*"</f>
        <v>*1981: Message - GSY018 Galaxy Date Or Time Memory Problem*</v>
      </c>
      <c r="C2147">
        <f>COUNTIF(Monday!I:I, B2147)</f>
        <v>0</v>
      </c>
      <c r="D2147">
        <f>COUNTIF(Tuesday!I:I, B2147)</f>
        <v>0</v>
      </c>
      <c r="E2147">
        <f>COUNTIF(Wednesday!I:I, B2147)</f>
        <v>0</v>
      </c>
      <c r="F2147">
        <f>COUNTIF(Thursday!I:I, B2147)</f>
        <v>0</v>
      </c>
      <c r="G2147">
        <f>COUNTIF(Friday!I:I, B2147)</f>
        <v>0</v>
      </c>
      <c r="H2147">
        <f>SUM(C2147:G2147)</f>
        <v>0</v>
      </c>
    </row>
    <row r="2148" spans="1:8" x14ac:dyDescent="0.25">
      <c r="A2148" s="5" t="s">
        <v>2148</v>
      </c>
      <c r="B2148" t="str">
        <f>"*"&amp;A2148&amp;"*"</f>
        <v>*1982: Message - GSY019 Cannot Recognize CD/DVD Media*</v>
      </c>
      <c r="C2148">
        <f>COUNTIF(Monday!I:I, B2148)</f>
        <v>0</v>
      </c>
      <c r="D2148">
        <f>COUNTIF(Tuesday!I:I, B2148)</f>
        <v>0</v>
      </c>
      <c r="E2148">
        <f>COUNTIF(Wednesday!I:I, B2148)</f>
        <v>0</v>
      </c>
      <c r="F2148">
        <f>COUNTIF(Thursday!I:I, B2148)</f>
        <v>0</v>
      </c>
      <c r="G2148">
        <f>COUNTIF(Friday!I:I, B2148)</f>
        <v>0</v>
      </c>
      <c r="H2148">
        <f>SUM(C2148:G2148)</f>
        <v>0</v>
      </c>
    </row>
    <row r="2149" spans="1:8" x14ac:dyDescent="0.25">
      <c r="A2149" s="5" t="s">
        <v>2149</v>
      </c>
      <c r="B2149" t="str">
        <f>"*"&amp;A2149&amp;"*"</f>
        <v>*1983: Message - GSY020 Cannot Write To DVD/CDr/CDrw*</v>
      </c>
      <c r="C2149">
        <f>COUNTIF(Monday!I:I, B2149)</f>
        <v>0</v>
      </c>
      <c r="D2149">
        <f>COUNTIF(Tuesday!I:I, B2149)</f>
        <v>0</v>
      </c>
      <c r="E2149">
        <f>COUNTIF(Wednesday!I:I, B2149)</f>
        <v>0</v>
      </c>
      <c r="F2149">
        <f>COUNTIF(Thursday!I:I, B2149)</f>
        <v>0</v>
      </c>
      <c r="G2149">
        <f>COUNTIF(Friday!I:I, B2149)</f>
        <v>0</v>
      </c>
      <c r="H2149">
        <f>SUM(C2149:G2149)</f>
        <v>0</v>
      </c>
    </row>
    <row r="2150" spans="1:8" x14ac:dyDescent="0.25">
      <c r="A2150" s="5" t="s">
        <v>2150</v>
      </c>
      <c r="B2150" t="str">
        <f>"*"&amp;A2150&amp;"*"</f>
        <v>*1985: Message - GSY099 Other System Problem Describe In Action Field*</v>
      </c>
      <c r="C2150">
        <f>COUNTIF(Monday!I:I, B2150)</f>
        <v>0</v>
      </c>
      <c r="D2150">
        <f>COUNTIF(Tuesday!I:I, B2150)</f>
        <v>0</v>
      </c>
      <c r="E2150">
        <f>COUNTIF(Wednesday!I:I, B2150)</f>
        <v>0</v>
      </c>
      <c r="F2150">
        <f>COUNTIF(Thursday!I:I, B2150)</f>
        <v>0</v>
      </c>
      <c r="G2150">
        <f>COUNTIF(Friday!I:I, B2150)</f>
        <v>0</v>
      </c>
      <c r="H2150">
        <f>SUM(C2150:G2150)</f>
        <v>0</v>
      </c>
    </row>
    <row r="2151" spans="1:8" x14ac:dyDescent="0.25">
      <c r="A2151" s="5" t="s">
        <v>2151</v>
      </c>
      <c r="B2151" t="str">
        <f>"*"&amp;A2151&amp;"*"</f>
        <v>*1659: GVC001 VCR Will Not Record Or Playback Video*</v>
      </c>
      <c r="C2151">
        <f>COUNTIF(Monday!I:I, B2151)</f>
        <v>0</v>
      </c>
      <c r="D2151">
        <f>COUNTIF(Tuesday!I:I, B2151)</f>
        <v>0</v>
      </c>
      <c r="E2151">
        <f>COUNTIF(Wednesday!I:I, B2151)</f>
        <v>0</v>
      </c>
      <c r="F2151">
        <f>COUNTIF(Thursday!I:I, B2151)</f>
        <v>0</v>
      </c>
      <c r="G2151">
        <f>COUNTIF(Friday!I:I, B2151)</f>
        <v>0</v>
      </c>
      <c r="H2151">
        <f>SUM(C2151:G2151)</f>
        <v>0</v>
      </c>
    </row>
    <row r="2152" spans="1:8" x14ac:dyDescent="0.25">
      <c r="A2152" s="5" t="s">
        <v>2152</v>
      </c>
      <c r="B2152" t="str">
        <f>"*"&amp;A2152&amp;"*"</f>
        <v>*2251: Protruded Catheter*</v>
      </c>
      <c r="C2152">
        <f>COUNTIF(Monday!I:I, B2152)</f>
        <v>0</v>
      </c>
      <c r="D2152">
        <f>COUNTIF(Tuesday!I:I, B2152)</f>
        <v>0</v>
      </c>
      <c r="E2152">
        <f>COUNTIF(Wednesday!I:I, B2152)</f>
        <v>0</v>
      </c>
      <c r="F2152">
        <f>COUNTIF(Thursday!I:I, B2152)</f>
        <v>0</v>
      </c>
      <c r="G2152">
        <f>COUNTIF(Friday!I:I, B2152)</f>
        <v>0</v>
      </c>
      <c r="H2152">
        <f>SUM(C2152:G2152)</f>
        <v>0</v>
      </c>
    </row>
    <row r="2153" spans="1:8" x14ac:dyDescent="0.25">
      <c r="A2153" s="5" t="s">
        <v>2153</v>
      </c>
      <c r="B2153" t="str">
        <f>"*"&amp;A2153&amp;"*"</f>
        <v>*2478: Difficult To Inject*</v>
      </c>
      <c r="C2153">
        <f>COUNTIF(Monday!I:I, B2153)</f>
        <v>0</v>
      </c>
      <c r="D2153">
        <f>COUNTIF(Tuesday!I:I, B2153)</f>
        <v>0</v>
      </c>
      <c r="E2153">
        <f>COUNTIF(Wednesday!I:I, B2153)</f>
        <v>0</v>
      </c>
      <c r="F2153">
        <f>COUNTIF(Thursday!I:I, B2153)</f>
        <v>0</v>
      </c>
      <c r="G2153">
        <f>COUNTIF(Friday!I:I, B2153)</f>
        <v>0</v>
      </c>
      <c r="H2153">
        <f>SUM(C2153:G2153)</f>
        <v>0</v>
      </c>
    </row>
    <row r="2154" spans="1:8" x14ac:dyDescent="0.25">
      <c r="A2154" s="5" t="s">
        <v>2154</v>
      </c>
      <c r="B2154" t="str">
        <f>"*"&amp;A2154&amp;"*"</f>
        <v>*2765: Guidewire Position Lost*</v>
      </c>
      <c r="C2154">
        <f>COUNTIF(Monday!I:I, B2154)</f>
        <v>0</v>
      </c>
      <c r="D2154">
        <f>COUNTIF(Tuesday!I:I, B2154)</f>
        <v>0</v>
      </c>
      <c r="E2154">
        <f>COUNTIF(Wednesday!I:I, B2154)</f>
        <v>0</v>
      </c>
      <c r="F2154">
        <f>COUNTIF(Thursday!I:I, B2154)</f>
        <v>0</v>
      </c>
      <c r="G2154">
        <f>COUNTIF(Friday!I:I, B2154)</f>
        <v>0</v>
      </c>
      <c r="H2154">
        <f>SUM(C2154:G2154)</f>
        <v>0</v>
      </c>
    </row>
    <row r="2155" spans="1:8" x14ac:dyDescent="0.25">
      <c r="A2155" s="5" t="s">
        <v>2155</v>
      </c>
      <c r="B2155" t="str">
        <f>"*"&amp;A2155&amp;"*"</f>
        <v>*2539: Insecure Screws*</v>
      </c>
      <c r="C2155">
        <f>COUNTIF(Monday!I:I, B2155)</f>
        <v>0</v>
      </c>
      <c r="D2155">
        <f>COUNTIF(Tuesday!I:I, B2155)</f>
        <v>0</v>
      </c>
      <c r="E2155">
        <f>COUNTIF(Wednesday!I:I, B2155)</f>
        <v>0</v>
      </c>
      <c r="F2155">
        <f>COUNTIF(Thursday!I:I, B2155)</f>
        <v>0</v>
      </c>
      <c r="G2155">
        <f>COUNTIF(Friday!I:I, B2155)</f>
        <v>0</v>
      </c>
      <c r="H2155">
        <f>SUM(C2155:G2155)</f>
        <v>0</v>
      </c>
    </row>
    <row r="2156" spans="1:8" x14ac:dyDescent="0.25">
      <c r="A2156" s="5" t="s">
        <v>2156</v>
      </c>
      <c r="B2156" t="str">
        <f>"*"&amp;A2156&amp;"*"</f>
        <v>*1560: Failure To Reach Optimum Speed*</v>
      </c>
      <c r="C2156">
        <f>COUNTIF(Monday!I:I, B2156)</f>
        <v>0</v>
      </c>
      <c r="D2156">
        <f>COUNTIF(Tuesday!I:I, B2156)</f>
        <v>0</v>
      </c>
      <c r="E2156">
        <f>COUNTIF(Wednesday!I:I, B2156)</f>
        <v>0</v>
      </c>
      <c r="F2156">
        <f>COUNTIF(Thursday!I:I, B2156)</f>
        <v>0</v>
      </c>
      <c r="G2156">
        <f>COUNTIF(Friday!I:I, B2156)</f>
        <v>0</v>
      </c>
      <c r="H2156">
        <f>SUM(C2156:G2156)</f>
        <v>0</v>
      </c>
    </row>
    <row r="2157" spans="1:8" x14ac:dyDescent="0.25">
      <c r="A2157" s="5" t="s">
        <v>2157</v>
      </c>
      <c r="B2157" t="str">
        <f>"*"&amp;A2157&amp;"*"</f>
        <v>*2105: No RPM Readout*</v>
      </c>
      <c r="C2157">
        <f>COUNTIF(Monday!I:I, B2157)</f>
        <v>0</v>
      </c>
      <c r="D2157">
        <f>COUNTIF(Tuesday!I:I, B2157)</f>
        <v>0</v>
      </c>
      <c r="E2157">
        <f>COUNTIF(Wednesday!I:I, B2157)</f>
        <v>0</v>
      </c>
      <c r="F2157">
        <f>COUNTIF(Thursday!I:I, B2157)</f>
        <v>0</v>
      </c>
      <c r="G2157">
        <f>COUNTIF(Friday!I:I, B2157)</f>
        <v>0</v>
      </c>
      <c r="H2157">
        <f>SUM(C2157:G2157)</f>
        <v>0</v>
      </c>
    </row>
    <row r="2158" spans="1:8" x14ac:dyDescent="0.25">
      <c r="A2158" s="5" t="s">
        <v>2158</v>
      </c>
      <c r="B2158" t="str">
        <f>"*"&amp;A2158&amp;"*"</f>
        <v>*2344: Stall/Stall Light Remains On*</v>
      </c>
      <c r="C2158">
        <f>COUNTIF(Monday!I:I, B2158)</f>
        <v>0</v>
      </c>
      <c r="D2158">
        <f>COUNTIF(Tuesday!I:I, B2158)</f>
        <v>0</v>
      </c>
      <c r="E2158">
        <f>COUNTIF(Wednesday!I:I, B2158)</f>
        <v>0</v>
      </c>
      <c r="F2158">
        <f>COUNTIF(Thursday!I:I, B2158)</f>
        <v>0</v>
      </c>
      <c r="G2158">
        <f>COUNTIF(Friday!I:I, B2158)</f>
        <v>0</v>
      </c>
      <c r="H2158">
        <f>SUM(C2158:G2158)</f>
        <v>0</v>
      </c>
    </row>
    <row r="2159" spans="1:8" x14ac:dyDescent="0.25">
      <c r="A2159" s="5" t="s">
        <v>2159</v>
      </c>
      <c r="B2159" t="str">
        <f>"*"&amp;A2159&amp;"*"</f>
        <v>*2525: Remains On*</v>
      </c>
      <c r="C2159">
        <f>COUNTIF(Monday!I:I, B2159)</f>
        <v>0</v>
      </c>
      <c r="D2159">
        <f>COUNTIF(Tuesday!I:I, B2159)</f>
        <v>0</v>
      </c>
      <c r="E2159">
        <f>COUNTIF(Wednesday!I:I, B2159)</f>
        <v>0</v>
      </c>
      <c r="F2159">
        <f>COUNTIF(Thursday!I:I, B2159)</f>
        <v>0</v>
      </c>
      <c r="G2159">
        <f>COUNTIF(Friday!I:I, B2159)</f>
        <v>0</v>
      </c>
      <c r="H2159">
        <f>SUM(C2159:G2159)</f>
        <v>0</v>
      </c>
    </row>
    <row r="2160" spans="1:8" x14ac:dyDescent="0.25">
      <c r="A2160" s="5" t="s">
        <v>2160</v>
      </c>
      <c r="B2160" t="str">
        <f>"*"&amp;A2160&amp;"*"</f>
        <v>*1171: Deflated*</v>
      </c>
      <c r="C2160">
        <f>COUNTIF(Monday!I:I, B2160)</f>
        <v>0</v>
      </c>
      <c r="D2160">
        <f>COUNTIF(Tuesday!I:I, B2160)</f>
        <v>0</v>
      </c>
      <c r="E2160">
        <f>COUNTIF(Wednesday!I:I, B2160)</f>
        <v>0</v>
      </c>
      <c r="F2160">
        <f>COUNTIF(Thursday!I:I, B2160)</f>
        <v>0</v>
      </c>
      <c r="G2160">
        <f>COUNTIF(Friday!I:I, B2160)</f>
        <v>0</v>
      </c>
      <c r="H2160">
        <f>SUM(C2160:G2160)</f>
        <v>0</v>
      </c>
    </row>
    <row r="2161" spans="1:8" x14ac:dyDescent="0.25">
      <c r="A2161" s="5" t="s">
        <v>2161</v>
      </c>
      <c r="B2161" t="str">
        <f>"*"&amp;A2161&amp;"*"</f>
        <v>*1099: Clot Formation*</v>
      </c>
      <c r="C2161">
        <f>COUNTIF(Monday!I:I, B2161)</f>
        <v>0</v>
      </c>
      <c r="D2161">
        <f>COUNTIF(Tuesday!I:I, B2161)</f>
        <v>0</v>
      </c>
      <c r="E2161">
        <f>COUNTIF(Wednesday!I:I, B2161)</f>
        <v>0</v>
      </c>
      <c r="F2161">
        <f>COUNTIF(Thursday!I:I, B2161)</f>
        <v>0</v>
      </c>
      <c r="G2161">
        <f>COUNTIF(Friday!I:I, B2161)</f>
        <v>0</v>
      </c>
      <c r="H2161">
        <f>SUM(C2161:G2161)</f>
        <v>0</v>
      </c>
    </row>
    <row r="2162" spans="1:8" x14ac:dyDescent="0.25">
      <c r="A2162" s="5" t="s">
        <v>2162</v>
      </c>
      <c r="B2162" t="str">
        <f>"*"&amp;A2162&amp;"*"</f>
        <v>*1402: Difficulty With Sheath*</v>
      </c>
      <c r="C2162">
        <f>COUNTIF(Monday!I:I, B2162)</f>
        <v>0</v>
      </c>
      <c r="D2162">
        <f>COUNTIF(Tuesday!I:I, B2162)</f>
        <v>0</v>
      </c>
      <c r="E2162">
        <f>COUNTIF(Wednesday!I:I, B2162)</f>
        <v>0</v>
      </c>
      <c r="F2162">
        <f>COUNTIF(Thursday!I:I, B2162)</f>
        <v>0</v>
      </c>
      <c r="G2162">
        <f>COUNTIF(Friday!I:I, B2162)</f>
        <v>0</v>
      </c>
      <c r="H2162">
        <f>SUM(C2162:G2162)</f>
        <v>0</v>
      </c>
    </row>
    <row r="2163" spans="1:8" x14ac:dyDescent="0.25">
      <c r="A2163" s="5" t="s">
        <v>2163</v>
      </c>
      <c r="B2163" t="str">
        <f>"*"&amp;A2163&amp;"*"</f>
        <v>*2139: Not Recognized By System*</v>
      </c>
      <c r="C2163">
        <f>COUNTIF(Monday!I:I, B2163)</f>
        <v>0</v>
      </c>
      <c r="D2163">
        <f>COUNTIF(Tuesday!I:I, B2163)</f>
        <v>0</v>
      </c>
      <c r="E2163">
        <f>COUNTIF(Wednesday!I:I, B2163)</f>
        <v>0</v>
      </c>
      <c r="F2163">
        <f>COUNTIF(Thursday!I:I, B2163)</f>
        <v>0</v>
      </c>
      <c r="G2163">
        <f>COUNTIF(Friday!I:I, B2163)</f>
        <v>0</v>
      </c>
      <c r="H2163">
        <f>SUM(C2163:G2163)</f>
        <v>0</v>
      </c>
    </row>
    <row r="2164" spans="1:8" x14ac:dyDescent="0.25">
      <c r="A2164" s="5" t="s">
        <v>2164</v>
      </c>
      <c r="B2164" t="str">
        <f>"*"&amp;A2164&amp;"*"</f>
        <v>*1031: Bios Incorrect Settings*</v>
      </c>
      <c r="C2164">
        <f>COUNTIF(Monday!I:I, B2164)</f>
        <v>0</v>
      </c>
      <c r="D2164">
        <f>COUNTIF(Tuesday!I:I, B2164)</f>
        <v>0</v>
      </c>
      <c r="E2164">
        <f>COUNTIF(Wednesday!I:I, B2164)</f>
        <v>0</v>
      </c>
      <c r="F2164">
        <f>COUNTIF(Thursday!I:I, B2164)</f>
        <v>0</v>
      </c>
      <c r="G2164">
        <f>COUNTIF(Friday!I:I, B2164)</f>
        <v>0</v>
      </c>
      <c r="H2164">
        <f>SUM(C2164:G2164)</f>
        <v>0</v>
      </c>
    </row>
    <row r="2165" spans="1:8" x14ac:dyDescent="0.25">
      <c r="A2165" s="5" t="s">
        <v>2165</v>
      </c>
      <c r="B2165" t="str">
        <f>"*"&amp;A2165&amp;"*"</f>
        <v>*2119: No/Intermittent Image*</v>
      </c>
      <c r="C2165">
        <f>COUNTIF(Monday!I:I, B2165)</f>
        <v>0</v>
      </c>
      <c r="D2165">
        <f>COUNTIF(Tuesday!I:I, B2165)</f>
        <v>0</v>
      </c>
      <c r="E2165">
        <f>COUNTIF(Wednesday!I:I, B2165)</f>
        <v>0</v>
      </c>
      <c r="F2165">
        <f>COUNTIF(Thursday!I:I, B2165)</f>
        <v>0</v>
      </c>
      <c r="G2165">
        <f>COUNTIF(Friday!I:I, B2165)</f>
        <v>0</v>
      </c>
      <c r="H2165">
        <f>SUM(C2165:G2165)</f>
        <v>0</v>
      </c>
    </row>
    <row r="2166" spans="1:8" x14ac:dyDescent="0.25">
      <c r="A2166" s="5" t="s">
        <v>2166</v>
      </c>
      <c r="B2166" t="str">
        <f>"*"&amp;A2166&amp;"*"</f>
        <v>*1771: LCD Reading Not Updating Correctly During Pullback*</v>
      </c>
      <c r="C2166">
        <f>COUNTIF(Monday!I:I, B2166)</f>
        <v>0</v>
      </c>
      <c r="D2166">
        <f>COUNTIF(Tuesday!I:I, B2166)</f>
        <v>0</v>
      </c>
      <c r="E2166">
        <f>COUNTIF(Wednesday!I:I, B2166)</f>
        <v>0</v>
      </c>
      <c r="F2166">
        <f>COUNTIF(Thursday!I:I, B2166)</f>
        <v>0</v>
      </c>
      <c r="G2166">
        <f>COUNTIF(Friday!I:I, B2166)</f>
        <v>0</v>
      </c>
      <c r="H2166">
        <f>SUM(C2166:G2166)</f>
        <v>0</v>
      </c>
    </row>
    <row r="2167" spans="1:8" x14ac:dyDescent="0.25">
      <c r="A2167" s="5" t="s">
        <v>2167</v>
      </c>
      <c r="B2167" t="str">
        <f>"*"&amp;A2167&amp;"*"</f>
        <v>*1032: BIOS Reverts To Default*</v>
      </c>
      <c r="C2167">
        <f>COUNTIF(Monday!I:I, B2167)</f>
        <v>0</v>
      </c>
      <c r="D2167">
        <f>COUNTIF(Tuesday!I:I, B2167)</f>
        <v>0</v>
      </c>
      <c r="E2167">
        <f>COUNTIF(Wednesday!I:I, B2167)</f>
        <v>0</v>
      </c>
      <c r="F2167">
        <f>COUNTIF(Thursday!I:I, B2167)</f>
        <v>0</v>
      </c>
      <c r="G2167">
        <f>COUNTIF(Friday!I:I, B2167)</f>
        <v>0</v>
      </c>
      <c r="H2167">
        <f>SUM(C2167:G2167)</f>
        <v>0</v>
      </c>
    </row>
    <row r="2168" spans="1:8" x14ac:dyDescent="0.25">
      <c r="A2168" s="5" t="s">
        <v>2168</v>
      </c>
      <c r="B2168" t="str">
        <f>"*"&amp;A2168&amp;"*"</f>
        <v>*2010: Message - Overload*</v>
      </c>
      <c r="C2168">
        <f>COUNTIF(Monday!I:I, B2168)</f>
        <v>0</v>
      </c>
      <c r="D2168">
        <f>COUNTIF(Tuesday!I:I, B2168)</f>
        <v>0</v>
      </c>
      <c r="E2168">
        <f>COUNTIF(Wednesday!I:I, B2168)</f>
        <v>0</v>
      </c>
      <c r="F2168">
        <f>COUNTIF(Thursday!I:I, B2168)</f>
        <v>0</v>
      </c>
      <c r="G2168">
        <f>COUNTIF(Friday!I:I, B2168)</f>
        <v>0</v>
      </c>
      <c r="H2168">
        <f>SUM(C2168:G2168)</f>
        <v>0</v>
      </c>
    </row>
    <row r="2169" spans="1:8" x14ac:dyDescent="0.25">
      <c r="A2169" s="5" t="s">
        <v>2169</v>
      </c>
      <c r="B2169" t="str">
        <f>"*"&amp;A2169&amp;"*"</f>
        <v>*2074: Missing/Damaged*</v>
      </c>
      <c r="C2169">
        <f>COUNTIF(Monday!I:I, B2169)</f>
        <v>0</v>
      </c>
      <c r="D2169">
        <f>COUNTIF(Tuesday!I:I, B2169)</f>
        <v>0</v>
      </c>
      <c r="E2169">
        <f>COUNTIF(Wednesday!I:I, B2169)</f>
        <v>0</v>
      </c>
      <c r="F2169">
        <f>COUNTIF(Thursday!I:I, B2169)</f>
        <v>0</v>
      </c>
      <c r="G2169">
        <f>COUNTIF(Friday!I:I, B2169)</f>
        <v>0</v>
      </c>
      <c r="H2169">
        <f>SUM(C2169:G2169)</f>
        <v>0</v>
      </c>
    </row>
    <row r="2170" spans="1:8" x14ac:dyDescent="0.25">
      <c r="A2170" s="5" t="s">
        <v>2170</v>
      </c>
      <c r="B2170" t="str">
        <f>"*"&amp;A2170&amp;"*"</f>
        <v>*1966: Message - GPR001 Printer - Will Not Print*</v>
      </c>
      <c r="C2170">
        <f>COUNTIF(Monday!I:I, B2170)</f>
        <v>0</v>
      </c>
      <c r="D2170">
        <f>COUNTIF(Tuesday!I:I, B2170)</f>
        <v>0</v>
      </c>
      <c r="E2170">
        <f>COUNTIF(Wednesday!I:I, B2170)</f>
        <v>0</v>
      </c>
      <c r="F2170">
        <f>COUNTIF(Thursday!I:I, B2170)</f>
        <v>0</v>
      </c>
      <c r="G2170">
        <f>COUNTIF(Friday!I:I, B2170)</f>
        <v>0</v>
      </c>
      <c r="H2170">
        <f>SUM(C2170:G2170)</f>
        <v>0</v>
      </c>
    </row>
    <row r="2171" spans="1:8" x14ac:dyDescent="0.25">
      <c r="A2171" s="5" t="s">
        <v>2171</v>
      </c>
      <c r="B2171" t="str">
        <f>"*"&amp;A2171&amp;"*"</f>
        <v>*1024: Audio Error*</v>
      </c>
      <c r="C2171">
        <f>COUNTIF(Monday!I:I, B2171)</f>
        <v>0</v>
      </c>
      <c r="D2171">
        <f>COUNTIF(Tuesday!I:I, B2171)</f>
        <v>0</v>
      </c>
      <c r="E2171">
        <f>COUNTIF(Wednesday!I:I, B2171)</f>
        <v>0</v>
      </c>
      <c r="F2171">
        <f>COUNTIF(Thursday!I:I, B2171)</f>
        <v>0</v>
      </c>
      <c r="G2171">
        <f>COUNTIF(Friday!I:I, B2171)</f>
        <v>0</v>
      </c>
      <c r="H2171">
        <f>SUM(C2171:G2171)</f>
        <v>0</v>
      </c>
    </row>
    <row r="2172" spans="1:8" x14ac:dyDescent="0.25">
      <c r="A2172" s="5" t="s">
        <v>2172</v>
      </c>
      <c r="B2172" t="str">
        <f>"*"&amp;A2172&amp;"*"</f>
        <v>*1978: Message - GSY012 System Automatically Reboots*</v>
      </c>
      <c r="C2172">
        <f>COUNTIF(Monday!I:I, B2172)</f>
        <v>0</v>
      </c>
      <c r="D2172">
        <f>COUNTIF(Tuesday!I:I, B2172)</f>
        <v>0</v>
      </c>
      <c r="E2172">
        <f>COUNTIF(Wednesday!I:I, B2172)</f>
        <v>0</v>
      </c>
      <c r="F2172">
        <f>COUNTIF(Thursday!I:I, B2172)</f>
        <v>0</v>
      </c>
      <c r="G2172">
        <f>COUNTIF(Friday!I:I, B2172)</f>
        <v>0</v>
      </c>
      <c r="H2172">
        <f>SUM(C2172:G2172)</f>
        <v>0</v>
      </c>
    </row>
    <row r="2173" spans="1:8" x14ac:dyDescent="0.25">
      <c r="A2173" s="5" t="s">
        <v>2173</v>
      </c>
      <c r="B2173" t="str">
        <f>"*"&amp;A2173&amp;"*"</f>
        <v>*2098: No IVUS Image On Main System Monitor*</v>
      </c>
      <c r="C2173">
        <f>COUNTIF(Monday!I:I, B2173)</f>
        <v>0</v>
      </c>
      <c r="D2173">
        <f>COUNTIF(Tuesday!I:I, B2173)</f>
        <v>0</v>
      </c>
      <c r="E2173">
        <f>COUNTIF(Wednesday!I:I, B2173)</f>
        <v>0</v>
      </c>
      <c r="F2173">
        <f>COUNTIF(Thursday!I:I, B2173)</f>
        <v>0</v>
      </c>
      <c r="G2173">
        <f>COUNTIF(Friday!I:I, B2173)</f>
        <v>0</v>
      </c>
      <c r="H2173">
        <f>SUM(C2173:G2173)</f>
        <v>0</v>
      </c>
    </row>
    <row r="2174" spans="1:8" x14ac:dyDescent="0.25">
      <c r="A2174" s="5" t="s">
        <v>2174</v>
      </c>
      <c r="B2174" t="str">
        <f>"*"&amp;A2174&amp;"*"</f>
        <v>*2192: Patient/Customer Unhappy With Foundation Care*</v>
      </c>
      <c r="C2174">
        <f>COUNTIF(Monday!I:I, B2174)</f>
        <v>0</v>
      </c>
      <c r="D2174">
        <f>COUNTIF(Tuesday!I:I, B2174)</f>
        <v>0</v>
      </c>
      <c r="E2174">
        <f>COUNTIF(Wednesday!I:I, B2174)</f>
        <v>0</v>
      </c>
      <c r="F2174">
        <f>COUNTIF(Thursday!I:I, B2174)</f>
        <v>0</v>
      </c>
      <c r="G2174">
        <f>COUNTIF(Friday!I:I, B2174)</f>
        <v>0</v>
      </c>
      <c r="H2174">
        <f>SUM(C2174:G2174)</f>
        <v>0</v>
      </c>
    </row>
    <row r="2175" spans="1:8" x14ac:dyDescent="0.25">
      <c r="A2175" s="5" t="s">
        <v>2175</v>
      </c>
      <c r="B2175" t="str">
        <f>"*"&amp;A2175&amp;"*"</f>
        <v>*1805: Lost or Damaged by Patient*</v>
      </c>
      <c r="C2175">
        <f>COUNTIF(Monday!I:I, B2175)</f>
        <v>0</v>
      </c>
      <c r="D2175">
        <f>COUNTIF(Tuesday!I:I, B2175)</f>
        <v>0</v>
      </c>
      <c r="E2175">
        <f>COUNTIF(Wednesday!I:I, B2175)</f>
        <v>0</v>
      </c>
      <c r="F2175">
        <f>COUNTIF(Thursday!I:I, B2175)</f>
        <v>0</v>
      </c>
      <c r="G2175">
        <f>COUNTIF(Friday!I:I, B2175)</f>
        <v>0</v>
      </c>
      <c r="H2175">
        <f>SUM(C2175:G2175)</f>
        <v>0</v>
      </c>
    </row>
    <row r="2176" spans="1:8" x14ac:dyDescent="0.25">
      <c r="A2176" s="5" t="s">
        <v>2176</v>
      </c>
      <c r="B2176" t="str">
        <f>"*"&amp;A2176&amp;"*"</f>
        <v>*1152: CP Missing Bionic Navigator*</v>
      </c>
      <c r="C2176">
        <f>COUNTIF(Monday!I:I, B2176)</f>
        <v>0</v>
      </c>
      <c r="D2176">
        <f>COUNTIF(Tuesday!I:I, B2176)</f>
        <v>0</v>
      </c>
      <c r="E2176">
        <f>COUNTIF(Wednesday!I:I, B2176)</f>
        <v>0</v>
      </c>
      <c r="F2176">
        <f>COUNTIF(Thursday!I:I, B2176)</f>
        <v>0</v>
      </c>
      <c r="G2176">
        <f>COUNTIF(Friday!I:I, B2176)</f>
        <v>0</v>
      </c>
      <c r="H2176">
        <f>SUM(C2176:G2176)</f>
        <v>0</v>
      </c>
    </row>
    <row r="2177" spans="1:8" x14ac:dyDescent="0.25">
      <c r="A2177" s="5" t="s">
        <v>2177</v>
      </c>
      <c r="B2177" t="str">
        <f>"*"&amp;A2177&amp;"*"</f>
        <v>*1332: Difficult To Obtain Patient Database*</v>
      </c>
      <c r="C2177">
        <f>COUNTIF(Monday!I:I, B2177)</f>
        <v>0</v>
      </c>
      <c r="D2177">
        <f>COUNTIF(Tuesday!I:I, B2177)</f>
        <v>0</v>
      </c>
      <c r="E2177">
        <f>COUNTIF(Wednesday!I:I, B2177)</f>
        <v>0</v>
      </c>
      <c r="F2177">
        <f>COUNTIF(Thursday!I:I, B2177)</f>
        <v>0</v>
      </c>
      <c r="G2177">
        <f>COUNTIF(Friday!I:I, B2177)</f>
        <v>0</v>
      </c>
      <c r="H2177">
        <f>SUM(C2177:G2177)</f>
        <v>0</v>
      </c>
    </row>
    <row r="2178" spans="1:8" x14ac:dyDescent="0.25">
      <c r="A2178" s="5" t="s">
        <v>2178</v>
      </c>
      <c r="B2178" t="str">
        <f>"*"&amp;A2178&amp;"*"</f>
        <v>*2268: Request For Equipment Upgrade*</v>
      </c>
      <c r="C2178">
        <f>COUNTIF(Monday!I:I, B2178)</f>
        <v>0</v>
      </c>
      <c r="D2178">
        <f>COUNTIF(Tuesday!I:I, B2178)</f>
        <v>0</v>
      </c>
      <c r="E2178">
        <f>COUNTIF(Wednesday!I:I, B2178)</f>
        <v>0</v>
      </c>
      <c r="F2178">
        <f>COUNTIF(Thursday!I:I, B2178)</f>
        <v>0</v>
      </c>
      <c r="G2178">
        <f>COUNTIF(Friday!I:I, B2178)</f>
        <v>0</v>
      </c>
      <c r="H2178">
        <f>SUM(C2178:G2178)</f>
        <v>0</v>
      </c>
    </row>
    <row r="2179" spans="1:8" x14ac:dyDescent="0.25">
      <c r="A2179" s="5" t="s">
        <v>2179</v>
      </c>
      <c r="B2179" t="str">
        <f>"*"&amp;A2179&amp;"*"</f>
        <v>*2355: Stolen Product - Clinician Programmer*</v>
      </c>
      <c r="C2179">
        <f>COUNTIF(Monday!I:I, B2179)</f>
        <v>0</v>
      </c>
      <c r="D2179">
        <f>COUNTIF(Tuesday!I:I, B2179)</f>
        <v>0</v>
      </c>
      <c r="E2179">
        <f>COUNTIF(Wednesday!I:I, B2179)</f>
        <v>0</v>
      </c>
      <c r="F2179">
        <f>COUNTIF(Thursday!I:I, B2179)</f>
        <v>0</v>
      </c>
      <c r="G2179">
        <f>COUNTIF(Friday!I:I, B2179)</f>
        <v>0</v>
      </c>
      <c r="H2179">
        <f>SUM(C2179:G2179)</f>
        <v>0</v>
      </c>
    </row>
    <row r="2180" spans="1:8" x14ac:dyDescent="0.25">
      <c r="A2180" s="5" t="s">
        <v>2180</v>
      </c>
      <c r="B2180" t="str">
        <f>"*"&amp;A2180&amp;"*"</f>
        <v>*3004: CP Missing Vercise Navigator*</v>
      </c>
      <c r="C2180">
        <f>COUNTIF(Monday!I:I, B2180)</f>
        <v>0</v>
      </c>
      <c r="D2180">
        <f>COUNTIF(Tuesday!I:I, B2180)</f>
        <v>0</v>
      </c>
      <c r="E2180">
        <f>COUNTIF(Wednesday!I:I, B2180)</f>
        <v>0</v>
      </c>
      <c r="F2180">
        <f>COUNTIF(Thursday!I:I, B2180)</f>
        <v>0</v>
      </c>
      <c r="G2180">
        <f>COUNTIF(Friday!I:I, B2180)</f>
        <v>0</v>
      </c>
      <c r="H2180">
        <f>SUM(C2180:G2180)</f>
        <v>0</v>
      </c>
    </row>
    <row r="2181" spans="1:8" x14ac:dyDescent="0.25">
      <c r="A2181" s="6" t="s">
        <v>2181</v>
      </c>
      <c r="B2181" t="str">
        <f>"*"&amp;A2181&amp;"*"</f>
        <v>*1234: Device Displays Fiber/Device Overheat Courtesy Error Message*</v>
      </c>
      <c r="C2181">
        <f>COUNTIF(Monday!I:I, B2181)</f>
        <v>0</v>
      </c>
      <c r="D2181">
        <f>COUNTIF(Tuesday!I:I, B2181)</f>
        <v>0</v>
      </c>
      <c r="E2181">
        <f>COUNTIF(Wednesday!I:I, B2181)</f>
        <v>0</v>
      </c>
      <c r="F2181">
        <f>COUNTIF(Thursday!I:I, B2181)</f>
        <v>0</v>
      </c>
      <c r="G2181">
        <f>COUNTIF(Friday!I:I, B2181)</f>
        <v>0</v>
      </c>
      <c r="H2181">
        <f>SUM(C2181:G2181)</f>
        <v>0</v>
      </c>
    </row>
    <row r="2182" spans="1:8" x14ac:dyDescent="0.25">
      <c r="A2182" s="6" t="s">
        <v>2182</v>
      </c>
      <c r="B2182" t="str">
        <f>"*"&amp;A2182&amp;"*"</f>
        <v>*1098: Clicking Noise*</v>
      </c>
      <c r="C2182">
        <f>COUNTIF(Monday!I:I, B2182)</f>
        <v>0</v>
      </c>
      <c r="D2182">
        <f>COUNTIF(Tuesday!I:I, B2182)</f>
        <v>0</v>
      </c>
      <c r="E2182">
        <f>COUNTIF(Wednesday!I:I, B2182)</f>
        <v>0</v>
      </c>
      <c r="F2182">
        <f>COUNTIF(Thursday!I:I, B2182)</f>
        <v>0</v>
      </c>
      <c r="G2182">
        <f>COUNTIF(Friday!I:I, B2182)</f>
        <v>0</v>
      </c>
      <c r="H2182">
        <f>SUM(C2182:G2182)</f>
        <v>0</v>
      </c>
    </row>
    <row r="2183" spans="1:8" x14ac:dyDescent="0.25">
      <c r="A2183" s="6" t="s">
        <v>2183</v>
      </c>
      <c r="B2183" t="str">
        <f>"*"&amp;A2183&amp;"*"</f>
        <v>*1050: Broke At/Near Connector*</v>
      </c>
      <c r="C2183">
        <f>COUNTIF(Monday!I:I, B2183)</f>
        <v>0</v>
      </c>
      <c r="D2183">
        <f>COUNTIF(Tuesday!I:I, B2183)</f>
        <v>0</v>
      </c>
      <c r="E2183">
        <f>COUNTIF(Wednesday!I:I, B2183)</f>
        <v>0</v>
      </c>
      <c r="F2183">
        <f>COUNTIF(Thursday!I:I, B2183)</f>
        <v>0</v>
      </c>
      <c r="G2183">
        <f>COUNTIF(Friday!I:I, B2183)</f>
        <v>0</v>
      </c>
      <c r="H2183">
        <f>SUM(C2183:G2183)</f>
        <v>0</v>
      </c>
    </row>
    <row r="2184" spans="1:8" x14ac:dyDescent="0.25">
      <c r="A2184" s="6" t="s">
        <v>2184</v>
      </c>
      <c r="B2184" t="str">
        <f>"*"&amp;A2184&amp;"*"</f>
        <v>*1051: Broke Inside Scope*</v>
      </c>
      <c r="C2184">
        <f>COUNTIF(Monday!I:I, B2184)</f>
        <v>0</v>
      </c>
      <c r="D2184">
        <f>COUNTIF(Tuesday!I:I, B2184)</f>
        <v>0</v>
      </c>
      <c r="E2184">
        <f>COUNTIF(Wednesday!I:I, B2184)</f>
        <v>0</v>
      </c>
      <c r="F2184">
        <f>COUNTIF(Thursday!I:I, B2184)</f>
        <v>0</v>
      </c>
      <c r="G2184">
        <f>COUNTIF(Friday!I:I, B2184)</f>
        <v>0</v>
      </c>
      <c r="H2184">
        <f>SUM(C2184:G2184)</f>
        <v>0</v>
      </c>
    </row>
    <row r="2185" spans="1:8" x14ac:dyDescent="0.25">
      <c r="A2185" s="6" t="s">
        <v>2185</v>
      </c>
      <c r="B2185" t="str">
        <f>"*"&amp;A2185&amp;"*"</f>
        <v>*1243: Device Displays Not Provided Courtesy Error Message*</v>
      </c>
      <c r="C2185">
        <f>COUNTIF(Monday!I:I, B2185)</f>
        <v>0</v>
      </c>
      <c r="D2185">
        <f>COUNTIF(Tuesday!I:I, B2185)</f>
        <v>0</v>
      </c>
      <c r="E2185">
        <f>COUNTIF(Wednesday!I:I, B2185)</f>
        <v>0</v>
      </c>
      <c r="F2185">
        <f>COUNTIF(Thursday!I:I, B2185)</f>
        <v>0</v>
      </c>
      <c r="G2185">
        <f>COUNTIF(Friday!I:I, B2185)</f>
        <v>0</v>
      </c>
      <c r="H2185">
        <f>SUM(C2185:G2185)</f>
        <v>0</v>
      </c>
    </row>
    <row r="2186" spans="1:8" x14ac:dyDescent="0.25">
      <c r="A2186" s="6" t="s">
        <v>2186</v>
      </c>
      <c r="B2186" t="str">
        <f>"*"&amp;A2186&amp;"*"</f>
        <v>*1412: Disintegrated*</v>
      </c>
      <c r="C2186">
        <f>COUNTIF(Monday!I:I, B2186)</f>
        <v>0</v>
      </c>
      <c r="D2186">
        <f>COUNTIF(Tuesday!I:I, B2186)</f>
        <v>0</v>
      </c>
      <c r="E2186">
        <f>COUNTIF(Wednesday!I:I, B2186)</f>
        <v>0</v>
      </c>
      <c r="F2186">
        <f>COUNTIF(Thursday!I:I, B2186)</f>
        <v>0</v>
      </c>
      <c r="G2186">
        <f>COUNTIF(Friday!I:I, B2186)</f>
        <v>0</v>
      </c>
      <c r="H2186">
        <f>SUM(C2186:G2186)</f>
        <v>0</v>
      </c>
    </row>
    <row r="2187" spans="1:8" x14ac:dyDescent="0.25">
      <c r="A2187" s="6" t="s">
        <v>2187</v>
      </c>
      <c r="B2187" t="str">
        <f>"*"&amp;A2187&amp;"*"</f>
        <v>*2311: Sheath/Jacket Issue*</v>
      </c>
      <c r="C2187">
        <f>COUNTIF(Monday!I:I, B2187)</f>
        <v>0</v>
      </c>
      <c r="D2187">
        <f>COUNTIF(Tuesday!I:I, B2187)</f>
        <v>0</v>
      </c>
      <c r="E2187">
        <f>COUNTIF(Wednesday!I:I, B2187)</f>
        <v>0</v>
      </c>
      <c r="F2187">
        <f>COUNTIF(Thursday!I:I, B2187)</f>
        <v>0</v>
      </c>
      <c r="G2187">
        <f>COUNTIF(Friday!I:I, B2187)</f>
        <v>0</v>
      </c>
      <c r="H2187">
        <f>SUM(C2187:G2187)</f>
        <v>0</v>
      </c>
    </row>
    <row r="2188" spans="1:8" x14ac:dyDescent="0.25">
      <c r="A2188" s="6" t="s">
        <v>2188</v>
      </c>
      <c r="B2188" t="str">
        <f>"*"&amp;A2188&amp;"*"</f>
        <v>*1468: Explosion*</v>
      </c>
      <c r="C2188">
        <f>COUNTIF(Monday!I:I, B2188)</f>
        <v>0</v>
      </c>
      <c r="D2188">
        <f>COUNTIF(Tuesday!I:I, B2188)</f>
        <v>0</v>
      </c>
      <c r="E2188">
        <f>COUNTIF(Wednesday!I:I, B2188)</f>
        <v>0</v>
      </c>
      <c r="F2188">
        <f>COUNTIF(Thursday!I:I, B2188)</f>
        <v>0</v>
      </c>
      <c r="G2188">
        <f>COUNTIF(Friday!I:I, B2188)</f>
        <v>0</v>
      </c>
      <c r="H2188">
        <f>SUM(C2188:G2188)</f>
        <v>0</v>
      </c>
    </row>
    <row r="2189" spans="1:8" x14ac:dyDescent="0.25">
      <c r="A2189" s="5" t="s">
        <v>2189</v>
      </c>
      <c r="B2189" t="str">
        <f>"*"&amp;A2189&amp;"*"</f>
        <v>*1471: Extra Items*</v>
      </c>
      <c r="C2189">
        <f>COUNTIF(Monday!I:I, B2189)</f>
        <v>0</v>
      </c>
      <c r="D2189">
        <f>COUNTIF(Tuesday!I:I, B2189)</f>
        <v>0</v>
      </c>
      <c r="E2189">
        <f>COUNTIF(Wednesday!I:I, B2189)</f>
        <v>0</v>
      </c>
      <c r="F2189">
        <f>COUNTIF(Thursday!I:I, B2189)</f>
        <v>0</v>
      </c>
      <c r="G2189">
        <f>COUNTIF(Friday!I:I, B2189)</f>
        <v>0</v>
      </c>
      <c r="H2189">
        <f>SUM(C2189:G2189)</f>
        <v>0</v>
      </c>
    </row>
    <row r="2190" spans="1:8" x14ac:dyDescent="0.25">
      <c r="A2190" s="5" t="s">
        <v>2190</v>
      </c>
      <c r="B2190" t="str">
        <f>"*"&amp;A2190&amp;"*"</f>
        <v>*1597: Failure To Unwrap*</v>
      </c>
      <c r="C2190">
        <f>COUNTIF(Monday!I:I, B2190)</f>
        <v>0</v>
      </c>
      <c r="D2190">
        <f>COUNTIF(Tuesday!I:I, B2190)</f>
        <v>0</v>
      </c>
      <c r="E2190">
        <f>COUNTIF(Wednesday!I:I, B2190)</f>
        <v>0</v>
      </c>
      <c r="F2190">
        <f>COUNTIF(Thursday!I:I, B2190)</f>
        <v>0</v>
      </c>
      <c r="G2190">
        <f>COUNTIF(Friday!I:I, B2190)</f>
        <v>0</v>
      </c>
      <c r="H2190">
        <f>SUM(C2190:G2190)</f>
        <v>0</v>
      </c>
    </row>
    <row r="2191" spans="1:8" x14ac:dyDescent="0.25">
      <c r="A2191" s="5" t="s">
        <v>2191</v>
      </c>
      <c r="B2191" t="str">
        <f>"*"&amp;A2191&amp;"*"</f>
        <v>*2076: Moisture Or Humidity Problem*</v>
      </c>
      <c r="C2191">
        <f>COUNTIF(Monday!I:I, B2191)</f>
        <v>0</v>
      </c>
      <c r="D2191">
        <f>COUNTIF(Tuesday!I:I, B2191)</f>
        <v>0</v>
      </c>
      <c r="E2191">
        <f>COUNTIF(Wednesday!I:I, B2191)</f>
        <v>0</v>
      </c>
      <c r="F2191">
        <f>COUNTIF(Thursday!I:I, B2191)</f>
        <v>0</v>
      </c>
      <c r="G2191">
        <f>COUNTIF(Friday!I:I, B2191)</f>
        <v>0</v>
      </c>
      <c r="H2191">
        <f>SUM(C2191:G2191)</f>
        <v>0</v>
      </c>
    </row>
    <row r="2192" spans="1:8" x14ac:dyDescent="0.25">
      <c r="A2192" s="5" t="s">
        <v>2192</v>
      </c>
      <c r="B2192" t="str">
        <f>"*"&amp;A2192&amp;"*"</f>
        <v>*1509: Failure To Cycle*</v>
      </c>
      <c r="C2192">
        <f>COUNTIF(Monday!I:I, B2192)</f>
        <v>0</v>
      </c>
      <c r="D2192">
        <f>COUNTIF(Tuesday!I:I, B2192)</f>
        <v>0</v>
      </c>
      <c r="E2192">
        <f>COUNTIF(Wednesday!I:I, B2192)</f>
        <v>0</v>
      </c>
      <c r="F2192">
        <f>COUNTIF(Thursday!I:I, B2192)</f>
        <v>0</v>
      </c>
      <c r="G2192">
        <f>COUNTIF(Friday!I:I, B2192)</f>
        <v>0</v>
      </c>
      <c r="H2192">
        <f>SUM(C2192:G2192)</f>
        <v>0</v>
      </c>
    </row>
    <row r="2193" spans="1:8" x14ac:dyDescent="0.25">
      <c r="A2193" s="5" t="s">
        <v>2193</v>
      </c>
      <c r="B2193" t="str">
        <f>"*"&amp;A2193&amp;"*"</f>
        <v>*1637: Free Or Unrestricted Flow*</v>
      </c>
      <c r="C2193">
        <f>COUNTIF(Monday!I:I, B2193)</f>
        <v>0</v>
      </c>
      <c r="D2193">
        <f>COUNTIF(Tuesday!I:I, B2193)</f>
        <v>0</v>
      </c>
      <c r="E2193">
        <f>COUNTIF(Wednesday!I:I, B2193)</f>
        <v>0</v>
      </c>
      <c r="F2193">
        <f>COUNTIF(Thursday!I:I, B2193)</f>
        <v>0</v>
      </c>
      <c r="G2193">
        <f>COUNTIF(Friday!I:I, B2193)</f>
        <v>0</v>
      </c>
      <c r="H2193">
        <f>SUM(C2193:G2193)</f>
        <v>0</v>
      </c>
    </row>
    <row r="2194" spans="1:8" x14ac:dyDescent="0.25">
      <c r="A2194" s="5" t="s">
        <v>2194</v>
      </c>
      <c r="B2194" t="str">
        <f>"*"&amp;A2194&amp;"*"</f>
        <v>*1436: Education*</v>
      </c>
      <c r="C2194">
        <f>COUNTIF(Monday!I:I, B2194)</f>
        <v>0</v>
      </c>
      <c r="D2194">
        <f>COUNTIF(Tuesday!I:I, B2194)</f>
        <v>0</v>
      </c>
      <c r="E2194">
        <f>COUNTIF(Wednesday!I:I, B2194)</f>
        <v>0</v>
      </c>
      <c r="F2194">
        <f>COUNTIF(Thursday!I:I, B2194)</f>
        <v>0</v>
      </c>
      <c r="G2194">
        <f>COUNTIF(Friday!I:I, B2194)</f>
        <v>0</v>
      </c>
      <c r="H2194">
        <f>SUM(C2194:G2194)</f>
        <v>0</v>
      </c>
    </row>
    <row r="2195" spans="1:8" x14ac:dyDescent="0.25">
      <c r="A2195" s="6" t="s">
        <v>2195</v>
      </c>
      <c r="B2195" t="str">
        <f>"*"&amp;A2195&amp;"*"</f>
        <v>*3128: Unbuckled *</v>
      </c>
      <c r="C2195">
        <f>COUNTIF(Monday!I:I, B2195)</f>
        <v>0</v>
      </c>
      <c r="D2195">
        <f>COUNTIF(Tuesday!I:I, B2195)</f>
        <v>0</v>
      </c>
      <c r="E2195">
        <f>COUNTIF(Wednesday!I:I, B2195)</f>
        <v>0</v>
      </c>
      <c r="F2195">
        <f>COUNTIF(Thursday!I:I, B2195)</f>
        <v>0</v>
      </c>
      <c r="G2195">
        <f>COUNTIF(Friday!I:I, B2195)</f>
        <v>0</v>
      </c>
      <c r="H2195">
        <f>SUM(C2195:G2195)</f>
        <v>0</v>
      </c>
    </row>
    <row r="2196" spans="1:8" x14ac:dyDescent="0.25">
      <c r="A2196" s="5" t="s">
        <v>2196</v>
      </c>
      <c r="B2196" t="str">
        <f>"*"&amp;A2196&amp;"*"</f>
        <v>*3000: Incorrect Diameter*</v>
      </c>
      <c r="C2196">
        <f>COUNTIF(Monday!I:I, B2196)</f>
        <v>0</v>
      </c>
      <c r="D2196">
        <f>COUNTIF(Tuesday!I:I, B2196)</f>
        <v>0</v>
      </c>
      <c r="E2196">
        <f>COUNTIF(Wednesday!I:I, B2196)</f>
        <v>0</v>
      </c>
      <c r="F2196">
        <f>COUNTIF(Thursday!I:I, B2196)</f>
        <v>0</v>
      </c>
      <c r="G2196">
        <f>COUNTIF(Friday!I:I, B2196)</f>
        <v>0</v>
      </c>
      <c r="H2196">
        <f>SUM(C2196:G2196)</f>
        <v>0</v>
      </c>
    </row>
    <row r="2197" spans="1:8" x14ac:dyDescent="0.25">
      <c r="A2197" s="5" t="s">
        <v>2197</v>
      </c>
      <c r="B2197" t="str">
        <f>"*"&amp;A2197&amp;"*"</f>
        <v>*2914: Message - Temperature Alert*</v>
      </c>
      <c r="C2197">
        <f>COUNTIF(Monday!I:I, B2197)</f>
        <v>0</v>
      </c>
      <c r="D2197">
        <f>COUNTIF(Tuesday!I:I, B2197)</f>
        <v>0</v>
      </c>
      <c r="E2197">
        <f>COUNTIF(Wednesday!I:I, B2197)</f>
        <v>0</v>
      </c>
      <c r="F2197">
        <f>COUNTIF(Thursday!I:I, B2197)</f>
        <v>0</v>
      </c>
      <c r="G2197">
        <f>COUNTIF(Friday!I:I, B2197)</f>
        <v>0</v>
      </c>
      <c r="H2197">
        <f>SUM(C2197:G2197)</f>
        <v>0</v>
      </c>
    </row>
    <row r="2198" spans="1:8" x14ac:dyDescent="0.25">
      <c r="A2198" s="5" t="s">
        <v>2198</v>
      </c>
      <c r="B2198" t="str">
        <f>"*"&amp;A2198&amp;"*"</f>
        <v>*2916: Message - Wp Alert*</v>
      </c>
      <c r="C2198">
        <f>COUNTIF(Monday!I:I, B2198)</f>
        <v>0</v>
      </c>
      <c r="D2198">
        <f>COUNTIF(Tuesday!I:I, B2198)</f>
        <v>0</v>
      </c>
      <c r="E2198">
        <f>COUNTIF(Wednesday!I:I, B2198)</f>
        <v>0</v>
      </c>
      <c r="F2198">
        <f>COUNTIF(Thursday!I:I, B2198)</f>
        <v>0</v>
      </c>
      <c r="G2198">
        <f>COUNTIF(Friday!I:I, B2198)</f>
        <v>0</v>
      </c>
      <c r="H2198">
        <f>SUM(C2198:G2198)</f>
        <v>0</v>
      </c>
    </row>
    <row r="2199" spans="1:8" x14ac:dyDescent="0.25">
      <c r="A2199" s="5" t="s">
        <v>2199</v>
      </c>
      <c r="B2199" t="str">
        <f>"*"&amp;A2199&amp;"*"</f>
        <v>*1108: Coil Protrusion*</v>
      </c>
      <c r="C2199">
        <f>COUNTIF(Monday!I:I, B2199)</f>
        <v>0</v>
      </c>
      <c r="D2199">
        <f>COUNTIF(Tuesday!I:I, B2199)</f>
        <v>0</v>
      </c>
      <c r="E2199">
        <f>COUNTIF(Wednesday!I:I, B2199)</f>
        <v>0</v>
      </c>
      <c r="F2199">
        <f>COUNTIF(Thursday!I:I, B2199)</f>
        <v>0</v>
      </c>
      <c r="G2199">
        <f>COUNTIF(Friday!I:I, B2199)</f>
        <v>0</v>
      </c>
      <c r="H2199">
        <f>SUM(C2199:G2199)</f>
        <v>0</v>
      </c>
    </row>
    <row r="2200" spans="1:8" x14ac:dyDescent="0.25">
      <c r="A2200" s="5" t="s">
        <v>2200</v>
      </c>
      <c r="B2200" t="str">
        <f>"*"&amp;A2200&amp;"*"</f>
        <v>*1111: Coil Visibility*</v>
      </c>
      <c r="C2200">
        <f>COUNTIF(Monday!I:I, B2200)</f>
        <v>0</v>
      </c>
      <c r="D2200">
        <f>COUNTIF(Tuesday!I:I, B2200)</f>
        <v>0</v>
      </c>
      <c r="E2200">
        <f>COUNTIF(Wednesday!I:I, B2200)</f>
        <v>0</v>
      </c>
      <c r="F2200">
        <f>COUNTIF(Thursday!I:I, B2200)</f>
        <v>0</v>
      </c>
      <c r="G2200">
        <f>COUNTIF(Friday!I:I, B2200)</f>
        <v>0</v>
      </c>
      <c r="H2200">
        <f>SUM(C2200:G2200)</f>
        <v>0</v>
      </c>
    </row>
    <row r="2201" spans="1:8" x14ac:dyDescent="0.25">
      <c r="A2201" s="5" t="s">
        <v>2201</v>
      </c>
      <c r="B2201" t="str">
        <f>"*"&amp;A2201&amp;"*"</f>
        <v>*2161: Outside Patient*</v>
      </c>
      <c r="C2201">
        <f>COUNTIF(Monday!I:I, B2201)</f>
        <v>0</v>
      </c>
      <c r="D2201">
        <f>COUNTIF(Tuesday!I:I, B2201)</f>
        <v>0</v>
      </c>
      <c r="E2201">
        <f>COUNTIF(Wednesday!I:I, B2201)</f>
        <v>0</v>
      </c>
      <c r="F2201">
        <f>COUNTIF(Thursday!I:I, B2201)</f>
        <v>0</v>
      </c>
      <c r="G2201">
        <f>COUNTIF(Friday!I:I, B2201)</f>
        <v>0</v>
      </c>
      <c r="H2201">
        <f>SUM(C2201:G2201)</f>
        <v>0</v>
      </c>
    </row>
    <row r="2202" spans="1:8" x14ac:dyDescent="0.25">
      <c r="A2202" s="5" t="s">
        <v>2202</v>
      </c>
      <c r="B2202" t="str">
        <f>"*"&amp;A2202&amp;"*"</f>
        <v>*2367: Stuck In Introducer Sheath*</v>
      </c>
      <c r="C2202">
        <f>COUNTIF(Monday!I:I, B2202)</f>
        <v>0</v>
      </c>
      <c r="D2202">
        <f>COUNTIF(Tuesday!I:I, B2202)</f>
        <v>0</v>
      </c>
      <c r="E2202">
        <f>COUNTIF(Wednesday!I:I, B2202)</f>
        <v>0</v>
      </c>
      <c r="F2202">
        <f>COUNTIF(Thursday!I:I, B2202)</f>
        <v>0</v>
      </c>
      <c r="G2202">
        <f>COUNTIF(Friday!I:I, B2202)</f>
        <v>0</v>
      </c>
      <c r="H2202">
        <f>SUM(C2202:G2202)</f>
        <v>0</v>
      </c>
    </row>
    <row r="2203" spans="1:8" x14ac:dyDescent="0.25">
      <c r="A2203" s="5" t="s">
        <v>2203</v>
      </c>
      <c r="B2203" t="str">
        <f>"*"&amp;A2203&amp;"*"</f>
        <v>*1429: Dried Out*</v>
      </c>
      <c r="C2203">
        <f>COUNTIF(Monday!I:I, B2203)</f>
        <v>0</v>
      </c>
      <c r="D2203">
        <f>COUNTIF(Tuesday!I:I, B2203)</f>
        <v>0</v>
      </c>
      <c r="E2203">
        <f>COUNTIF(Wednesday!I:I, B2203)</f>
        <v>0</v>
      </c>
      <c r="F2203">
        <f>COUNTIF(Thursday!I:I, B2203)</f>
        <v>0</v>
      </c>
      <c r="G2203">
        <f>COUNTIF(Friday!I:I, B2203)</f>
        <v>0</v>
      </c>
      <c r="H2203">
        <f>SUM(C2203:G2203)</f>
        <v>0</v>
      </c>
    </row>
    <row r="2204" spans="1:8" x14ac:dyDescent="0.25">
      <c r="A2204" s="5" t="s">
        <v>2204</v>
      </c>
      <c r="B2204" t="str">
        <f>"*"&amp;A2204&amp;"*"</f>
        <v>*1705: Incomplete Embolization*</v>
      </c>
      <c r="C2204">
        <f>COUNTIF(Monday!I:I, B2204)</f>
        <v>0</v>
      </c>
      <c r="D2204">
        <f>COUNTIF(Tuesday!I:I, B2204)</f>
        <v>0</v>
      </c>
      <c r="E2204">
        <f>COUNTIF(Wednesday!I:I, B2204)</f>
        <v>0</v>
      </c>
      <c r="F2204">
        <f>COUNTIF(Thursday!I:I, B2204)</f>
        <v>0</v>
      </c>
      <c r="G2204">
        <f>COUNTIF(Friday!I:I, B2204)</f>
        <v>0</v>
      </c>
      <c r="H2204">
        <f>SUM(C2204:G2204)</f>
        <v>0</v>
      </c>
    </row>
    <row r="2205" spans="1:8" x14ac:dyDescent="0.25">
      <c r="A2205" s="5" t="s">
        <v>2205</v>
      </c>
      <c r="B2205" t="str">
        <f>"*"&amp;A2205&amp;"*"</f>
        <v>*2125: Non-Targeted Embolization*</v>
      </c>
      <c r="C2205">
        <f>COUNTIF(Monday!I:I, B2205)</f>
        <v>0</v>
      </c>
      <c r="D2205">
        <f>COUNTIF(Tuesday!I:I, B2205)</f>
        <v>0</v>
      </c>
      <c r="E2205">
        <f>COUNTIF(Wednesday!I:I, B2205)</f>
        <v>0</v>
      </c>
      <c r="F2205">
        <f>COUNTIF(Thursday!I:I, B2205)</f>
        <v>0</v>
      </c>
      <c r="G2205">
        <f>COUNTIF(Friday!I:I, B2205)</f>
        <v>0</v>
      </c>
      <c r="H2205">
        <f>SUM(C2205:G2205)</f>
        <v>0</v>
      </c>
    </row>
    <row r="2206" spans="1:8" x14ac:dyDescent="0.25">
      <c r="A2206" s="5" t="s">
        <v>2206</v>
      </c>
      <c r="B2206" t="str">
        <f>"*"&amp;A2206&amp;"*"</f>
        <v>*1158: Customer Inquiry*</v>
      </c>
      <c r="C2206">
        <f>COUNTIF(Monday!I:I, B2206)</f>
        <v>0</v>
      </c>
      <c r="D2206">
        <f>COUNTIF(Tuesday!I:I, B2206)</f>
        <v>0</v>
      </c>
      <c r="E2206">
        <f>COUNTIF(Wednesday!I:I, B2206)</f>
        <v>0</v>
      </c>
      <c r="F2206">
        <f>COUNTIF(Thursday!I:I, B2206)</f>
        <v>0</v>
      </c>
      <c r="G2206">
        <f>COUNTIF(Friday!I:I, B2206)</f>
        <v>0</v>
      </c>
      <c r="H2206">
        <f>SUM(C2206:G2206)</f>
        <v>0</v>
      </c>
    </row>
    <row r="2207" spans="1:8" x14ac:dyDescent="0.25">
      <c r="A2207" s="5" t="s">
        <v>2207</v>
      </c>
      <c r="B2207" t="str">
        <f>"*"&amp;A2207&amp;"*"</f>
        <v>*2393: System To Patient Interface Issue*</v>
      </c>
      <c r="C2207">
        <f>COUNTIF(Monday!I:I, B2207)</f>
        <v>0</v>
      </c>
      <c r="D2207">
        <f>COUNTIF(Tuesday!I:I, B2207)</f>
        <v>0</v>
      </c>
      <c r="E2207">
        <f>COUNTIF(Wednesday!I:I, B2207)</f>
        <v>0</v>
      </c>
      <c r="F2207">
        <f>COUNTIF(Thursday!I:I, B2207)</f>
        <v>0</v>
      </c>
      <c r="G2207">
        <f>COUNTIF(Friday!I:I, B2207)</f>
        <v>0</v>
      </c>
      <c r="H2207">
        <f>SUM(C2207:G2207)</f>
        <v>0</v>
      </c>
    </row>
    <row r="2208" spans="1:8" x14ac:dyDescent="0.25">
      <c r="A2208" s="5" t="s">
        <v>2208</v>
      </c>
      <c r="B2208" t="str">
        <f>"*"&amp;A2208&amp;"*"</f>
        <v>*2433: Unauthorized Access To Computer System*</v>
      </c>
      <c r="C2208">
        <f>COUNTIF(Monday!I:I, B2208)</f>
        <v>0</v>
      </c>
      <c r="D2208">
        <f>COUNTIF(Tuesday!I:I, B2208)</f>
        <v>0</v>
      </c>
      <c r="E2208">
        <f>COUNTIF(Wednesday!I:I, B2208)</f>
        <v>0</v>
      </c>
      <c r="F2208">
        <f>COUNTIF(Thursday!I:I, B2208)</f>
        <v>0</v>
      </c>
      <c r="G2208">
        <f>COUNTIF(Friday!I:I, B2208)</f>
        <v>0</v>
      </c>
      <c r="H2208">
        <f>SUM(C2208:G2208)</f>
        <v>0</v>
      </c>
    </row>
    <row r="2209" spans="1:8" x14ac:dyDescent="0.25">
      <c r="A2209" s="5" t="s">
        <v>2209</v>
      </c>
      <c r="B2209" t="str">
        <f>"*"&amp;A2209&amp;"*"</f>
        <v>*1745: Interpretation Of Device Behavior Indicates Performance Anomaly*</v>
      </c>
      <c r="C2209">
        <f>COUNTIF(Monday!I:I, B2209)</f>
        <v>0</v>
      </c>
      <c r="D2209">
        <f>COUNTIF(Tuesday!I:I, B2209)</f>
        <v>0</v>
      </c>
      <c r="E2209">
        <f>COUNTIF(Wednesday!I:I, B2209)</f>
        <v>0</v>
      </c>
      <c r="F2209">
        <f>COUNTIF(Thursday!I:I, B2209)</f>
        <v>0</v>
      </c>
      <c r="G2209">
        <f>COUNTIF(Friday!I:I, B2209)</f>
        <v>0</v>
      </c>
      <c r="H2209">
        <f>SUM(C2209:G2209)</f>
        <v>0</v>
      </c>
    </row>
    <row r="2210" spans="1:8" x14ac:dyDescent="0.25">
      <c r="A2210" s="5" t="s">
        <v>2210</v>
      </c>
      <c r="B2210" t="str">
        <f>"*"&amp;A2210&amp;"*"</f>
        <v>*1077: Catheter All Issues*</v>
      </c>
      <c r="C2210">
        <f>COUNTIF(Monday!I:I, B2210)</f>
        <v>0</v>
      </c>
      <c r="D2210">
        <f>COUNTIF(Tuesday!I:I, B2210)</f>
        <v>0</v>
      </c>
      <c r="E2210">
        <f>COUNTIF(Wednesday!I:I, B2210)</f>
        <v>0</v>
      </c>
      <c r="F2210">
        <f>COUNTIF(Thursday!I:I, B2210)</f>
        <v>0</v>
      </c>
      <c r="G2210">
        <f>COUNTIF(Friday!I:I, B2210)</f>
        <v>0</v>
      </c>
      <c r="H2210">
        <f>SUM(C2210:G2210)</f>
        <v>0</v>
      </c>
    </row>
    <row r="2211" spans="1:8" x14ac:dyDescent="0.25">
      <c r="A2211" s="5" t="s">
        <v>2211</v>
      </c>
      <c r="B2211" t="str">
        <f>"*"&amp;A2211&amp;"*"</f>
        <v>*1747: Introducer - All Issues*</v>
      </c>
      <c r="C2211">
        <f>COUNTIF(Monday!I:I, B2211)</f>
        <v>0</v>
      </c>
      <c r="D2211">
        <f>COUNTIF(Tuesday!I:I, B2211)</f>
        <v>0</v>
      </c>
      <c r="E2211">
        <f>COUNTIF(Wednesday!I:I, B2211)</f>
        <v>0</v>
      </c>
      <c r="F2211">
        <f>COUNTIF(Thursday!I:I, B2211)</f>
        <v>0</v>
      </c>
      <c r="G2211">
        <f>COUNTIF(Friday!I:I, B2211)</f>
        <v>0</v>
      </c>
      <c r="H2211">
        <f>SUM(C2211:G2211)</f>
        <v>0</v>
      </c>
    </row>
    <row r="2212" spans="1:8" x14ac:dyDescent="0.25">
      <c r="A2212" s="5" t="s">
        <v>2212</v>
      </c>
      <c r="B2212" t="str">
        <f>"*"&amp;A2212&amp;"*"</f>
        <v>*1651: Guidewire - All Issues*</v>
      </c>
      <c r="C2212">
        <f>COUNTIF(Monday!I:I, B2212)</f>
        <v>0</v>
      </c>
      <c r="D2212">
        <f>COUNTIF(Tuesday!I:I, B2212)</f>
        <v>0</v>
      </c>
      <c r="E2212">
        <f>COUNTIF(Wednesday!I:I, B2212)</f>
        <v>0</v>
      </c>
      <c r="F2212">
        <f>COUNTIF(Thursday!I:I, B2212)</f>
        <v>0</v>
      </c>
      <c r="G2212">
        <f>COUNTIF(Friday!I:I, B2212)</f>
        <v>0</v>
      </c>
      <c r="H2212">
        <f>SUM(C2212:G2212)</f>
        <v>0</v>
      </c>
    </row>
    <row r="2213" spans="1:8" x14ac:dyDescent="0.25">
      <c r="A2213" s="5" t="s">
        <v>2213</v>
      </c>
      <c r="B2213" t="str">
        <f>"*"&amp;A2213&amp;"*"</f>
        <v>*2374: Stylet - All Issues*</v>
      </c>
      <c r="C2213">
        <f>COUNTIF(Monday!I:I, B2213)</f>
        <v>0</v>
      </c>
      <c r="D2213">
        <f>COUNTIF(Tuesday!I:I, B2213)</f>
        <v>0</v>
      </c>
      <c r="E2213">
        <f>COUNTIF(Wednesday!I:I, B2213)</f>
        <v>0</v>
      </c>
      <c r="F2213">
        <f>COUNTIF(Thursday!I:I, B2213)</f>
        <v>0</v>
      </c>
      <c r="G2213">
        <f>COUNTIF(Friday!I:I, B2213)</f>
        <v>0</v>
      </c>
      <c r="H2213">
        <f>SUM(C2213:G2213)</f>
        <v>0</v>
      </c>
    </row>
    <row r="2214" spans="1:8" x14ac:dyDescent="0.25">
      <c r="A2214" s="5" t="s">
        <v>2214</v>
      </c>
      <c r="B2214" t="str">
        <f>"*"&amp;A2214&amp;"*"</f>
        <v>*1053: Broken In Package*</v>
      </c>
      <c r="C2214">
        <f>COUNTIF(Monday!I:I, B2214)</f>
        <v>0</v>
      </c>
      <c r="D2214">
        <f>COUNTIF(Tuesday!I:I, B2214)</f>
        <v>0</v>
      </c>
      <c r="E2214">
        <f>COUNTIF(Wednesday!I:I, B2214)</f>
        <v>0</v>
      </c>
      <c r="F2214">
        <f>COUNTIF(Thursday!I:I, B2214)</f>
        <v>0</v>
      </c>
      <c r="G2214">
        <f>COUNTIF(Friday!I:I, B2214)</f>
        <v>0</v>
      </c>
      <c r="H2214">
        <f>SUM(C2214:G2214)</f>
        <v>0</v>
      </c>
    </row>
  </sheetData>
  <autoFilter ref="A1:H2214" xr:uid="{A8186B1E-0F51-47CE-BD9E-DA69F54F01CF}">
    <sortState xmlns:xlrd2="http://schemas.microsoft.com/office/spreadsheetml/2017/richdata2" ref="A2:H2214">
      <sortCondition descending="1" ref="G1:G2214"/>
    </sortState>
  </autoFilter>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FF057-4764-4FD7-89FE-8A410ABFD659}">
  <sheetPr codeName="Sheet3"/>
  <dimension ref="A1:O473"/>
  <sheetViews>
    <sheetView workbookViewId="0">
      <selection activeCell="L1" sqref="L1"/>
    </sheetView>
  </sheetViews>
  <sheetFormatPr defaultRowHeight="15" x14ac:dyDescent="0.25"/>
  <cols>
    <col min="5" max="5" width="9.7109375" bestFit="1" customWidth="1"/>
    <col min="10" max="10" width="12.7109375" bestFit="1" customWidth="1"/>
    <col min="12" max="12" width="9.7109375" bestFit="1" customWidth="1"/>
    <col min="13" max="13" width="24.28515625" bestFit="1" customWidth="1"/>
  </cols>
  <sheetData>
    <row r="1" spans="1:15" ht="15.75" thickBot="1" x14ac:dyDescent="0.3">
      <c r="A1" s="22" t="s">
        <v>2282</v>
      </c>
      <c r="B1" s="23" t="s">
        <v>2287</v>
      </c>
      <c r="C1" s="22" t="s">
        <v>2290</v>
      </c>
      <c r="D1" s="23" t="s">
        <v>2296</v>
      </c>
      <c r="E1" s="23" t="s">
        <v>0</v>
      </c>
      <c r="F1" s="24" t="s">
        <v>2299</v>
      </c>
      <c r="G1" s="25" t="s">
        <v>2302</v>
      </c>
      <c r="H1" s="26" t="s">
        <v>2306</v>
      </c>
      <c r="I1" s="27" t="s">
        <v>2311</v>
      </c>
      <c r="J1" t="s">
        <v>2364</v>
      </c>
      <c r="K1" cm="1">
        <f t="array" aca="1" ref="K1" ca="1">SUMPRODUCT(SUBTOTAL(3,OFFSET(J2,ROW(J2:J10000)-ROW(J2),0)),(J2:J10000="CRM")+0)</f>
        <v>472</v>
      </c>
      <c r="L1" s="1" t="s">
        <v>2428</v>
      </c>
      <c r="M1" s="29" t="s">
        <v>2366</v>
      </c>
      <c r="N1" s="27" t="s">
        <v>2307</v>
      </c>
      <c r="O1" s="28" t="s">
        <v>2309</v>
      </c>
    </row>
    <row r="2" spans="1:15" x14ac:dyDescent="0.25">
      <c r="A2" t="s">
        <v>2285</v>
      </c>
      <c r="B2" s="1" t="e">
        <v>#N/A</v>
      </c>
      <c r="C2" s="1" t="e">
        <v>#N/A</v>
      </c>
      <c r="D2" s="1" t="e">
        <v>#N/A</v>
      </c>
      <c r="E2" s="1" t="s">
        <v>2298</v>
      </c>
      <c r="F2" s="2" t="s">
        <v>2300</v>
      </c>
      <c r="G2" s="1" t="s">
        <v>2303</v>
      </c>
      <c r="H2" s="2">
        <v>160</v>
      </c>
      <c r="I2" s="3" t="s">
        <v>2312</v>
      </c>
      <c r="J2" t="s">
        <v>2365</v>
      </c>
      <c r="M2" s="3" t="s">
        <v>2300</v>
      </c>
      <c r="N2" s="3" t="s">
        <v>2256</v>
      </c>
      <c r="O2" t="s">
        <v>2310</v>
      </c>
    </row>
    <row r="3" spans="1:15" x14ac:dyDescent="0.25">
      <c r="A3" t="s">
        <v>2283</v>
      </c>
      <c r="B3" s="1" t="e">
        <v>#N/A</v>
      </c>
      <c r="C3" s="1" t="e">
        <v>#N/A</v>
      </c>
      <c r="D3" s="1" t="e">
        <v>#N/A</v>
      </c>
      <c r="E3" s="1" t="s">
        <v>2298</v>
      </c>
      <c r="F3" s="2" t="s">
        <v>2300</v>
      </c>
      <c r="G3" s="1" t="s">
        <v>2304</v>
      </c>
      <c r="H3" s="2">
        <v>91</v>
      </c>
      <c r="I3" s="3" t="s">
        <v>2317</v>
      </c>
      <c r="J3" t="s">
        <v>2365</v>
      </c>
      <c r="M3" s="3" t="s">
        <v>2300</v>
      </c>
      <c r="N3" s="3" t="s">
        <v>2255</v>
      </c>
      <c r="O3" t="s">
        <v>2310</v>
      </c>
    </row>
    <row r="4" spans="1:15" x14ac:dyDescent="0.25">
      <c r="A4" t="s">
        <v>2283</v>
      </c>
      <c r="B4" s="1" t="e">
        <v>#N/A</v>
      </c>
      <c r="C4" s="1" t="e">
        <v>#N/A</v>
      </c>
      <c r="D4" s="1" t="e">
        <v>#N/A</v>
      </c>
      <c r="E4" s="1" t="s">
        <v>2298</v>
      </c>
      <c r="F4" s="2" t="s">
        <v>2300</v>
      </c>
      <c r="G4" s="1" t="s">
        <v>2304</v>
      </c>
      <c r="H4" s="2">
        <v>69</v>
      </c>
      <c r="I4" s="3" t="s">
        <v>2319</v>
      </c>
      <c r="J4" t="s">
        <v>2365</v>
      </c>
      <c r="M4" s="3" t="s">
        <v>2301</v>
      </c>
      <c r="N4" s="3" t="s">
        <v>2255</v>
      </c>
      <c r="O4" t="s">
        <v>2310</v>
      </c>
    </row>
    <row r="5" spans="1:15" x14ac:dyDescent="0.25">
      <c r="A5" t="s">
        <v>2283</v>
      </c>
      <c r="B5" s="1" t="e">
        <v>#N/A</v>
      </c>
      <c r="C5" s="1" t="e">
        <v>#N/A</v>
      </c>
      <c r="D5" s="1" t="e">
        <v>#N/A</v>
      </c>
      <c r="E5" s="1" t="s">
        <v>2298</v>
      </c>
      <c r="F5" s="2" t="s">
        <v>2300</v>
      </c>
      <c r="G5" s="1" t="s">
        <v>2304</v>
      </c>
      <c r="H5" s="2">
        <v>66</v>
      </c>
      <c r="I5" s="3" t="s">
        <v>2414</v>
      </c>
      <c r="J5" t="s">
        <v>2365</v>
      </c>
      <c r="M5" s="3" t="s">
        <v>2300</v>
      </c>
      <c r="N5" s="3" t="s">
        <v>2255</v>
      </c>
      <c r="O5" t="s">
        <v>2310</v>
      </c>
    </row>
    <row r="6" spans="1:15" x14ac:dyDescent="0.25">
      <c r="A6" t="s">
        <v>2283</v>
      </c>
      <c r="B6" s="1" t="e">
        <v>#N/A</v>
      </c>
      <c r="C6" s="1" t="e">
        <v>#N/A</v>
      </c>
      <c r="D6" s="1" t="e">
        <v>#N/A</v>
      </c>
      <c r="E6" s="1" t="s">
        <v>2298</v>
      </c>
      <c r="F6" s="2" t="s">
        <v>2300</v>
      </c>
      <c r="G6" s="1" t="s">
        <v>2304</v>
      </c>
      <c r="H6" s="2">
        <v>62</v>
      </c>
      <c r="I6" s="3" t="s">
        <v>2319</v>
      </c>
      <c r="J6" t="s">
        <v>2365</v>
      </c>
      <c r="M6" s="3" t="s">
        <v>2301</v>
      </c>
      <c r="N6" s="3" t="s">
        <v>2255</v>
      </c>
      <c r="O6" t="s">
        <v>2310</v>
      </c>
    </row>
    <row r="7" spans="1:15" x14ac:dyDescent="0.25">
      <c r="A7" t="s">
        <v>2284</v>
      </c>
      <c r="B7" s="1" t="e">
        <v>#N/A</v>
      </c>
      <c r="C7" s="1" t="e">
        <v>#N/A</v>
      </c>
      <c r="D7" s="1" t="e">
        <v>#N/A</v>
      </c>
      <c r="E7" s="1" t="s">
        <v>2298</v>
      </c>
      <c r="F7" s="2" t="s">
        <v>2300</v>
      </c>
      <c r="G7" s="1" t="s">
        <v>2304</v>
      </c>
      <c r="H7" s="2">
        <v>60</v>
      </c>
      <c r="I7" s="3" t="s">
        <v>2319</v>
      </c>
      <c r="J7" t="s">
        <v>2365</v>
      </c>
      <c r="M7" s="3" t="s">
        <v>2300</v>
      </c>
      <c r="N7" s="3" t="s">
        <v>2255</v>
      </c>
      <c r="O7" t="s">
        <v>2310</v>
      </c>
    </row>
    <row r="8" spans="1:15" x14ac:dyDescent="0.25">
      <c r="A8" t="s">
        <v>2285</v>
      </c>
      <c r="B8" s="1" t="s">
        <v>2288</v>
      </c>
      <c r="C8" s="1" t="s">
        <v>2291</v>
      </c>
      <c r="D8" s="1" t="s">
        <v>2426</v>
      </c>
      <c r="E8" s="1" t="s">
        <v>2428</v>
      </c>
      <c r="F8" s="2" t="s">
        <v>2301</v>
      </c>
      <c r="G8" s="1" t="s">
        <v>2305</v>
      </c>
      <c r="H8" s="2">
        <v>46</v>
      </c>
      <c r="I8" s="3" t="s">
        <v>2316</v>
      </c>
      <c r="J8" t="s">
        <v>2365</v>
      </c>
      <c r="M8" s="3" t="s">
        <v>2300</v>
      </c>
      <c r="N8" s="3" t="s">
        <v>2257</v>
      </c>
      <c r="O8" t="s">
        <v>2310</v>
      </c>
    </row>
    <row r="9" spans="1:15" x14ac:dyDescent="0.25">
      <c r="A9" t="s">
        <v>2284</v>
      </c>
      <c r="B9" s="1" t="e">
        <v>#N/A</v>
      </c>
      <c r="C9" s="1" t="e">
        <v>#N/A</v>
      </c>
      <c r="D9" s="1" t="e">
        <v>#N/A</v>
      </c>
      <c r="E9" s="1" t="s">
        <v>2298</v>
      </c>
      <c r="F9" s="2" t="s">
        <v>2300</v>
      </c>
      <c r="G9" s="1" t="s">
        <v>2303</v>
      </c>
      <c r="H9" s="2">
        <v>46</v>
      </c>
      <c r="I9" s="3" t="s">
        <v>2316</v>
      </c>
      <c r="J9" t="s">
        <v>2365</v>
      </c>
      <c r="M9" s="3" t="s">
        <v>2300</v>
      </c>
      <c r="N9" s="3" t="s">
        <v>2256</v>
      </c>
      <c r="O9" t="s">
        <v>2310</v>
      </c>
    </row>
    <row r="10" spans="1:15" x14ac:dyDescent="0.25">
      <c r="A10" t="s">
        <v>2285</v>
      </c>
      <c r="B10" s="1" t="e">
        <v>#N/A</v>
      </c>
      <c r="C10" s="1" t="e">
        <v>#N/A</v>
      </c>
      <c r="D10" s="1" t="e">
        <v>#N/A</v>
      </c>
      <c r="E10" s="1" t="s">
        <v>2298</v>
      </c>
      <c r="F10" s="2" t="s">
        <v>2300</v>
      </c>
      <c r="G10" s="1" t="s">
        <v>2304</v>
      </c>
      <c r="H10" s="2">
        <v>45</v>
      </c>
      <c r="I10" s="3" t="s">
        <v>2405</v>
      </c>
      <c r="J10" t="s">
        <v>2365</v>
      </c>
      <c r="M10" s="3" t="s">
        <v>2300</v>
      </c>
      <c r="N10" s="3" t="s">
        <v>2255</v>
      </c>
      <c r="O10" t="s">
        <v>2310</v>
      </c>
    </row>
    <row r="11" spans="1:15" x14ac:dyDescent="0.25">
      <c r="A11" t="s">
        <v>2285</v>
      </c>
      <c r="B11" s="1" t="e">
        <v>#N/A</v>
      </c>
      <c r="C11" s="1" t="e">
        <v>#N/A</v>
      </c>
      <c r="D11" s="1" t="e">
        <v>#N/A</v>
      </c>
      <c r="E11" s="1" t="s">
        <v>2298</v>
      </c>
      <c r="F11" s="2" t="s">
        <v>2300</v>
      </c>
      <c r="G11" s="1" t="s">
        <v>2305</v>
      </c>
      <c r="H11" s="2">
        <v>41</v>
      </c>
      <c r="I11" s="3" t="s">
        <v>2320</v>
      </c>
      <c r="J11" t="s">
        <v>2365</v>
      </c>
      <c r="M11" s="3" t="s">
        <v>2300</v>
      </c>
      <c r="N11" s="3" t="s">
        <v>2258</v>
      </c>
      <c r="O11" t="s">
        <v>2310</v>
      </c>
    </row>
    <row r="12" spans="1:15" x14ac:dyDescent="0.25">
      <c r="A12" t="s">
        <v>2285</v>
      </c>
      <c r="B12" s="1" t="e">
        <v>#N/A</v>
      </c>
      <c r="C12" s="1" t="e">
        <v>#N/A</v>
      </c>
      <c r="D12" s="1" t="e">
        <v>#N/A</v>
      </c>
      <c r="E12" s="1" t="s">
        <v>2428</v>
      </c>
      <c r="F12" s="2" t="s">
        <v>2301</v>
      </c>
      <c r="G12" s="1" t="s">
        <v>2305</v>
      </c>
      <c r="H12" s="2">
        <v>39</v>
      </c>
      <c r="I12" s="3" t="s">
        <v>2322</v>
      </c>
      <c r="J12" t="s">
        <v>2365</v>
      </c>
      <c r="M12" s="3" t="s">
        <v>2300</v>
      </c>
      <c r="N12" s="3" t="s">
        <v>2257</v>
      </c>
      <c r="O12" t="s">
        <v>2310</v>
      </c>
    </row>
    <row r="13" spans="1:15" x14ac:dyDescent="0.25">
      <c r="A13" t="s">
        <v>2286</v>
      </c>
      <c r="B13" s="1" t="s">
        <v>2288</v>
      </c>
      <c r="C13" s="1" t="s">
        <v>2291</v>
      </c>
      <c r="D13" s="1" t="s">
        <v>2297</v>
      </c>
      <c r="E13" s="1" t="s">
        <v>2298</v>
      </c>
      <c r="F13" s="2" t="s">
        <v>2300</v>
      </c>
      <c r="G13" s="1" t="s">
        <v>2304</v>
      </c>
      <c r="H13" s="2">
        <v>38</v>
      </c>
      <c r="I13" s="3" t="s">
        <v>2323</v>
      </c>
      <c r="J13" t="s">
        <v>2365</v>
      </c>
      <c r="M13" s="3" t="s">
        <v>2300</v>
      </c>
      <c r="N13" s="3" t="s">
        <v>2255</v>
      </c>
      <c r="O13" t="s">
        <v>2310</v>
      </c>
    </row>
    <row r="14" spans="1:15" x14ac:dyDescent="0.25">
      <c r="A14" t="s">
        <v>2285</v>
      </c>
      <c r="B14" s="1" t="e">
        <v>#N/A</v>
      </c>
      <c r="C14" s="1" t="e">
        <v>#N/A</v>
      </c>
      <c r="D14" s="1" t="e">
        <v>#N/A</v>
      </c>
      <c r="E14" s="1" t="s">
        <v>2428</v>
      </c>
      <c r="F14" s="2" t="s">
        <v>2301</v>
      </c>
      <c r="G14" s="1" t="s">
        <v>2305</v>
      </c>
      <c r="H14" s="2">
        <v>38</v>
      </c>
      <c r="I14" s="3" t="s">
        <v>2324</v>
      </c>
      <c r="J14" t="s">
        <v>2365</v>
      </c>
      <c r="M14" s="3" t="s">
        <v>2300</v>
      </c>
      <c r="N14" s="3" t="s">
        <v>2258</v>
      </c>
      <c r="O14" t="s">
        <v>2310</v>
      </c>
    </row>
    <row r="15" spans="1:15" x14ac:dyDescent="0.25">
      <c r="A15" t="s">
        <v>2285</v>
      </c>
      <c r="B15" s="1" t="e">
        <v>#N/A</v>
      </c>
      <c r="C15" s="1" t="e">
        <v>#N/A</v>
      </c>
      <c r="D15" s="1" t="e">
        <v>#N/A</v>
      </c>
      <c r="E15" s="1" t="s">
        <v>2298</v>
      </c>
      <c r="F15" s="2" t="s">
        <v>2300</v>
      </c>
      <c r="G15" s="1" t="s">
        <v>2305</v>
      </c>
      <c r="H15" s="2">
        <v>35</v>
      </c>
      <c r="I15" s="3" t="s">
        <v>2325</v>
      </c>
      <c r="J15" t="s">
        <v>2365</v>
      </c>
      <c r="M15" s="3" t="s">
        <v>2300</v>
      </c>
      <c r="N15" s="3" t="s">
        <v>2257</v>
      </c>
      <c r="O15" t="s">
        <v>2310</v>
      </c>
    </row>
    <row r="16" spans="1:15" x14ac:dyDescent="0.25">
      <c r="A16" t="s">
        <v>2285</v>
      </c>
      <c r="B16" s="1" t="e">
        <v>#N/A</v>
      </c>
      <c r="C16" s="1" t="e">
        <v>#N/A</v>
      </c>
      <c r="D16" s="1" t="e">
        <v>#N/A</v>
      </c>
      <c r="E16" s="1" t="s">
        <v>2428</v>
      </c>
      <c r="F16" s="2" t="s">
        <v>2301</v>
      </c>
      <c r="G16" s="1" t="s">
        <v>2305</v>
      </c>
      <c r="H16" s="2">
        <v>33</v>
      </c>
      <c r="I16" s="3" t="s">
        <v>2327</v>
      </c>
      <c r="J16" t="s">
        <v>2365</v>
      </c>
      <c r="M16" s="3" t="s">
        <v>2300</v>
      </c>
      <c r="N16" s="3" t="s">
        <v>2258</v>
      </c>
      <c r="O16" t="s">
        <v>2310</v>
      </c>
    </row>
    <row r="17" spans="1:15" x14ac:dyDescent="0.25">
      <c r="A17" t="s">
        <v>2284</v>
      </c>
      <c r="B17" s="1" t="e">
        <v>#N/A</v>
      </c>
      <c r="C17" s="1" t="e">
        <v>#N/A</v>
      </c>
      <c r="D17" s="1" t="e">
        <v>#N/A</v>
      </c>
      <c r="E17" s="1" t="s">
        <v>2298</v>
      </c>
      <c r="F17" s="2" t="s">
        <v>2300</v>
      </c>
      <c r="G17" s="1" t="s">
        <v>2305</v>
      </c>
      <c r="H17" s="2">
        <v>33</v>
      </c>
      <c r="I17" s="3" t="s">
        <v>2422</v>
      </c>
      <c r="J17" t="s">
        <v>2365</v>
      </c>
      <c r="M17" s="3" t="s">
        <v>2300</v>
      </c>
      <c r="N17" s="3" t="s">
        <v>2257</v>
      </c>
      <c r="O17" t="s">
        <v>2310</v>
      </c>
    </row>
    <row r="18" spans="1:15" x14ac:dyDescent="0.25">
      <c r="A18" t="s">
        <v>2285</v>
      </c>
      <c r="B18" s="1" t="e">
        <v>#N/A</v>
      </c>
      <c r="C18" s="1" t="e">
        <v>#N/A</v>
      </c>
      <c r="D18" s="1" t="e">
        <v>#N/A</v>
      </c>
      <c r="E18" s="1" t="s">
        <v>2428</v>
      </c>
      <c r="F18" s="2" t="s">
        <v>2301</v>
      </c>
      <c r="G18" s="1" t="s">
        <v>2305</v>
      </c>
      <c r="H18" s="2">
        <v>33</v>
      </c>
      <c r="I18" s="3" t="s">
        <v>2327</v>
      </c>
      <c r="J18" t="s">
        <v>2365</v>
      </c>
      <c r="M18" s="3" t="s">
        <v>2300</v>
      </c>
      <c r="N18" s="3" t="s">
        <v>2258</v>
      </c>
      <c r="O18" t="s">
        <v>2310</v>
      </c>
    </row>
    <row r="19" spans="1:15" x14ac:dyDescent="0.25">
      <c r="A19" t="s">
        <v>2285</v>
      </c>
      <c r="B19" s="1" t="e">
        <v>#N/A</v>
      </c>
      <c r="C19" s="1" t="e">
        <v>#N/A</v>
      </c>
      <c r="D19" s="1" t="e">
        <v>#N/A</v>
      </c>
      <c r="E19" s="1" t="s">
        <v>2428</v>
      </c>
      <c r="F19" s="2" t="s">
        <v>2301</v>
      </c>
      <c r="G19" s="1" t="s">
        <v>2305</v>
      </c>
      <c r="H19" s="2">
        <v>32</v>
      </c>
      <c r="I19" s="3" t="s">
        <v>1</v>
      </c>
      <c r="J19" t="s">
        <v>2365</v>
      </c>
      <c r="M19" s="3" t="s">
        <v>2300</v>
      </c>
      <c r="N19" s="3" t="s">
        <v>2258</v>
      </c>
      <c r="O19" t="s">
        <v>2310</v>
      </c>
    </row>
    <row r="20" spans="1:15" x14ac:dyDescent="0.25">
      <c r="A20" t="s">
        <v>2285</v>
      </c>
      <c r="B20" s="1" t="e">
        <v>#N/A</v>
      </c>
      <c r="C20" s="1" t="e">
        <v>#N/A</v>
      </c>
      <c r="D20" s="1" t="e">
        <v>#N/A</v>
      </c>
      <c r="E20" s="1" t="s">
        <v>2428</v>
      </c>
      <c r="F20" s="2" t="s">
        <v>2301</v>
      </c>
      <c r="G20" s="1" t="s">
        <v>2305</v>
      </c>
      <c r="H20" s="2">
        <v>27</v>
      </c>
      <c r="I20" s="3" t="s">
        <v>2335</v>
      </c>
      <c r="J20" t="s">
        <v>2365</v>
      </c>
      <c r="M20" s="3" t="s">
        <v>2301</v>
      </c>
      <c r="N20" s="3" t="s">
        <v>2258</v>
      </c>
      <c r="O20" t="s">
        <v>2310</v>
      </c>
    </row>
    <row r="21" spans="1:15" x14ac:dyDescent="0.25">
      <c r="A21" t="s">
        <v>2285</v>
      </c>
      <c r="B21" s="1" t="e">
        <v>#N/A</v>
      </c>
      <c r="C21" s="1" t="e">
        <v>#N/A</v>
      </c>
      <c r="D21" s="1" t="e">
        <v>#N/A</v>
      </c>
      <c r="E21" s="1" t="s">
        <v>2428</v>
      </c>
      <c r="F21" s="2" t="s">
        <v>2301</v>
      </c>
      <c r="G21" s="1" t="s">
        <v>2305</v>
      </c>
      <c r="H21" s="2">
        <v>27</v>
      </c>
      <c r="I21" s="3" t="s">
        <v>2315</v>
      </c>
      <c r="J21" t="s">
        <v>2365</v>
      </c>
      <c r="M21" s="3" t="s">
        <v>2300</v>
      </c>
      <c r="N21" s="3" t="s">
        <v>2257</v>
      </c>
      <c r="O21" t="s">
        <v>2310</v>
      </c>
    </row>
    <row r="22" spans="1:15" x14ac:dyDescent="0.25">
      <c r="A22" t="s">
        <v>2285</v>
      </c>
      <c r="B22" s="1" t="e">
        <v>#N/A</v>
      </c>
      <c r="C22" s="1" t="e">
        <v>#N/A</v>
      </c>
      <c r="D22" s="1" t="e">
        <v>#N/A</v>
      </c>
      <c r="E22" s="1" t="s">
        <v>2298</v>
      </c>
      <c r="F22" s="2" t="s">
        <v>2300</v>
      </c>
      <c r="G22" s="1" t="s">
        <v>2304</v>
      </c>
      <c r="H22" s="2">
        <v>26</v>
      </c>
      <c r="I22" s="3" t="s">
        <v>25</v>
      </c>
      <c r="J22" t="s">
        <v>2365</v>
      </c>
      <c r="M22" s="3" t="s">
        <v>2300</v>
      </c>
      <c r="N22" s="3" t="s">
        <v>2255</v>
      </c>
      <c r="O22" t="s">
        <v>2310</v>
      </c>
    </row>
    <row r="23" spans="1:15" x14ac:dyDescent="0.25">
      <c r="A23" t="s">
        <v>2285</v>
      </c>
      <c r="B23" s="1" t="e">
        <v>#N/A</v>
      </c>
      <c r="C23" s="1" t="e">
        <v>#N/A</v>
      </c>
      <c r="D23" s="1" t="e">
        <v>#N/A</v>
      </c>
      <c r="E23" s="1" t="s">
        <v>2298</v>
      </c>
      <c r="F23" s="2" t="s">
        <v>2300</v>
      </c>
      <c r="G23" s="1" t="s">
        <v>2304</v>
      </c>
      <c r="H23" s="2">
        <v>26</v>
      </c>
      <c r="I23" s="3" t="s">
        <v>21</v>
      </c>
      <c r="J23" t="s">
        <v>2365</v>
      </c>
      <c r="M23" s="3" t="s">
        <v>2300</v>
      </c>
      <c r="N23" s="3" t="s">
        <v>2255</v>
      </c>
      <c r="O23" t="s">
        <v>2310</v>
      </c>
    </row>
    <row r="24" spans="1:15" x14ac:dyDescent="0.25">
      <c r="A24" t="s">
        <v>2285</v>
      </c>
      <c r="B24" s="1" t="e">
        <v>#N/A</v>
      </c>
      <c r="C24" s="1" t="e">
        <v>#N/A</v>
      </c>
      <c r="D24" s="1" t="e">
        <v>#N/A</v>
      </c>
      <c r="E24" s="1" t="s">
        <v>2298</v>
      </c>
      <c r="F24" s="2" t="s">
        <v>2300</v>
      </c>
      <c r="G24" s="1" t="s">
        <v>2304</v>
      </c>
      <c r="H24" s="2">
        <v>26</v>
      </c>
      <c r="I24" s="3" t="s">
        <v>25</v>
      </c>
      <c r="J24" t="s">
        <v>2365</v>
      </c>
      <c r="M24" s="3" t="s">
        <v>2300</v>
      </c>
      <c r="N24" s="3" t="s">
        <v>2255</v>
      </c>
      <c r="O24" t="s">
        <v>2310</v>
      </c>
    </row>
    <row r="25" spans="1:15" x14ac:dyDescent="0.25">
      <c r="A25" t="s">
        <v>2285</v>
      </c>
      <c r="B25" s="1" t="e">
        <v>#N/A</v>
      </c>
      <c r="C25" s="1" t="e">
        <v>#N/A</v>
      </c>
      <c r="D25" s="1" t="e">
        <v>#N/A</v>
      </c>
      <c r="E25" s="1" t="s">
        <v>2298</v>
      </c>
      <c r="F25" s="2" t="s">
        <v>2300</v>
      </c>
      <c r="G25" s="1" t="s">
        <v>2304</v>
      </c>
      <c r="H25" s="2">
        <v>26</v>
      </c>
      <c r="I25" s="3" t="s">
        <v>2337</v>
      </c>
      <c r="J25" t="s">
        <v>2365</v>
      </c>
      <c r="M25" s="3" t="s">
        <v>2300</v>
      </c>
      <c r="N25" s="3" t="s">
        <v>2255</v>
      </c>
      <c r="O25" t="s">
        <v>2310</v>
      </c>
    </row>
    <row r="26" spans="1:15" x14ac:dyDescent="0.25">
      <c r="A26" t="s">
        <v>2285</v>
      </c>
      <c r="B26" s="1" t="e">
        <v>#N/A</v>
      </c>
      <c r="C26" s="1" t="e">
        <v>#N/A</v>
      </c>
      <c r="D26" s="1" t="e">
        <v>#N/A</v>
      </c>
      <c r="E26" s="1" t="s">
        <v>2298</v>
      </c>
      <c r="F26" s="2" t="s">
        <v>2300</v>
      </c>
      <c r="G26" s="1" t="s">
        <v>2304</v>
      </c>
      <c r="H26" s="2">
        <v>26</v>
      </c>
      <c r="I26" s="3" t="s">
        <v>2336</v>
      </c>
      <c r="J26" t="s">
        <v>2365</v>
      </c>
      <c r="M26" s="3" t="s">
        <v>2300</v>
      </c>
      <c r="N26" s="3" t="s">
        <v>2255</v>
      </c>
      <c r="O26" t="s">
        <v>2310</v>
      </c>
    </row>
    <row r="27" spans="1:15" x14ac:dyDescent="0.25">
      <c r="A27" t="s">
        <v>2285</v>
      </c>
      <c r="B27" s="1" t="e">
        <v>#N/A</v>
      </c>
      <c r="C27" s="1" t="e">
        <v>#N/A</v>
      </c>
      <c r="D27" s="1" t="e">
        <v>#N/A</v>
      </c>
      <c r="E27" s="1" t="s">
        <v>2298</v>
      </c>
      <c r="F27" s="2" t="s">
        <v>2300</v>
      </c>
      <c r="G27" s="1" t="s">
        <v>2304</v>
      </c>
      <c r="H27" s="2">
        <v>26</v>
      </c>
      <c r="I27" s="3" t="s">
        <v>19</v>
      </c>
      <c r="J27" t="s">
        <v>2365</v>
      </c>
      <c r="M27" s="3" t="s">
        <v>2300</v>
      </c>
      <c r="N27" s="3" t="s">
        <v>2255</v>
      </c>
      <c r="O27" t="s">
        <v>2310</v>
      </c>
    </row>
    <row r="28" spans="1:15" x14ac:dyDescent="0.25">
      <c r="A28" t="s">
        <v>2285</v>
      </c>
      <c r="B28" s="1" t="e">
        <v>#N/A</v>
      </c>
      <c r="C28" s="1" t="e">
        <v>#N/A</v>
      </c>
      <c r="D28" s="1" t="e">
        <v>#N/A</v>
      </c>
      <c r="E28" s="1" t="s">
        <v>2298</v>
      </c>
      <c r="F28" s="2" t="s">
        <v>2300</v>
      </c>
      <c r="G28" s="1" t="s">
        <v>2304</v>
      </c>
      <c r="H28" s="2">
        <v>26</v>
      </c>
      <c r="I28" s="3" t="s">
        <v>22</v>
      </c>
      <c r="J28" t="s">
        <v>2365</v>
      </c>
      <c r="M28" s="3" t="s">
        <v>2300</v>
      </c>
      <c r="N28" s="3" t="s">
        <v>2255</v>
      </c>
      <c r="O28" t="s">
        <v>2310</v>
      </c>
    </row>
    <row r="29" spans="1:15" x14ac:dyDescent="0.25">
      <c r="A29" t="s">
        <v>2285</v>
      </c>
      <c r="B29" s="1" t="e">
        <v>#N/A</v>
      </c>
      <c r="C29" s="1" t="s">
        <v>2294</v>
      </c>
      <c r="D29" s="1" t="e">
        <v>#N/A</v>
      </c>
      <c r="E29" s="1" t="s">
        <v>2298</v>
      </c>
      <c r="F29" s="2" t="s">
        <v>2300</v>
      </c>
      <c r="G29" s="1" t="s">
        <v>2304</v>
      </c>
      <c r="H29" s="2">
        <v>26</v>
      </c>
      <c r="I29" s="3" t="s">
        <v>5</v>
      </c>
      <c r="J29" t="s">
        <v>2365</v>
      </c>
      <c r="M29" s="3" t="s">
        <v>2300</v>
      </c>
      <c r="N29" s="3" t="s">
        <v>2255</v>
      </c>
      <c r="O29" t="s">
        <v>2310</v>
      </c>
    </row>
    <row r="30" spans="1:15" x14ac:dyDescent="0.25">
      <c r="A30" t="s">
        <v>2285</v>
      </c>
      <c r="B30" s="1" t="e">
        <v>#N/A</v>
      </c>
      <c r="C30" s="1" t="e">
        <v>#N/A</v>
      </c>
      <c r="D30" s="1" t="e">
        <v>#N/A</v>
      </c>
      <c r="E30" s="1" t="s">
        <v>2428</v>
      </c>
      <c r="F30" s="2" t="s">
        <v>2301</v>
      </c>
      <c r="G30" s="1" t="s">
        <v>2305</v>
      </c>
      <c r="H30" s="2">
        <v>26</v>
      </c>
      <c r="I30" s="3" t="s">
        <v>2321</v>
      </c>
      <c r="J30" t="s">
        <v>2365</v>
      </c>
      <c r="M30" s="3" t="s">
        <v>2300</v>
      </c>
      <c r="N30" s="3" t="s">
        <v>2258</v>
      </c>
      <c r="O30" t="s">
        <v>2310</v>
      </c>
    </row>
    <row r="31" spans="1:15" x14ac:dyDescent="0.25">
      <c r="A31" t="s">
        <v>2285</v>
      </c>
      <c r="B31" s="1" t="e">
        <v>#N/A</v>
      </c>
      <c r="C31" s="1" t="e">
        <v>#N/A</v>
      </c>
      <c r="D31" s="1" t="e">
        <v>#N/A</v>
      </c>
      <c r="E31" s="1" t="s">
        <v>2298</v>
      </c>
      <c r="F31" s="2" t="s">
        <v>2300</v>
      </c>
      <c r="G31" s="1" t="s">
        <v>2303</v>
      </c>
      <c r="H31" s="2">
        <v>25</v>
      </c>
      <c r="I31" s="3" t="s">
        <v>1164</v>
      </c>
      <c r="J31" t="s">
        <v>2365</v>
      </c>
      <c r="M31" s="3" t="s">
        <v>2300</v>
      </c>
      <c r="N31" s="3" t="s">
        <v>2256</v>
      </c>
      <c r="O31" t="s">
        <v>2310</v>
      </c>
    </row>
    <row r="32" spans="1:15" x14ac:dyDescent="0.25">
      <c r="A32" t="s">
        <v>2283</v>
      </c>
      <c r="B32" s="1" t="s">
        <v>2288</v>
      </c>
      <c r="C32" s="1" t="s">
        <v>2293</v>
      </c>
      <c r="D32" s="1" t="s">
        <v>2407</v>
      </c>
      <c r="E32" s="1" t="s">
        <v>2298</v>
      </c>
      <c r="F32" s="2" t="s">
        <v>2300</v>
      </c>
      <c r="G32" s="1" t="s">
        <v>2304</v>
      </c>
      <c r="H32" s="2">
        <v>25</v>
      </c>
      <c r="I32" s="3" t="s">
        <v>2314</v>
      </c>
      <c r="J32" t="s">
        <v>2365</v>
      </c>
      <c r="M32" s="3" t="s">
        <v>2301</v>
      </c>
      <c r="N32" s="3" t="s">
        <v>2255</v>
      </c>
      <c r="O32" t="s">
        <v>2310</v>
      </c>
    </row>
    <row r="33" spans="1:15" x14ac:dyDescent="0.25">
      <c r="A33" t="s">
        <v>2283</v>
      </c>
      <c r="B33" s="1" t="s">
        <v>2288</v>
      </c>
      <c r="C33" s="1" t="s">
        <v>2291</v>
      </c>
      <c r="D33" s="1" t="e">
        <v>#N/A</v>
      </c>
      <c r="E33" s="1" t="s">
        <v>2298</v>
      </c>
      <c r="F33" s="2" t="s">
        <v>2300</v>
      </c>
      <c r="G33" s="1" t="s">
        <v>2304</v>
      </c>
      <c r="H33" s="2">
        <v>25</v>
      </c>
      <c r="I33" s="3" t="s">
        <v>2340</v>
      </c>
      <c r="J33" t="s">
        <v>2365</v>
      </c>
      <c r="M33" s="3" t="s">
        <v>2300</v>
      </c>
      <c r="N33" s="3" t="s">
        <v>2255</v>
      </c>
      <c r="O33" t="s">
        <v>2310</v>
      </c>
    </row>
    <row r="34" spans="1:15" x14ac:dyDescent="0.25">
      <c r="A34" t="s">
        <v>2285</v>
      </c>
      <c r="B34" s="1" t="e">
        <v>#N/A</v>
      </c>
      <c r="C34" s="1" t="e">
        <v>#N/A</v>
      </c>
      <c r="D34" s="1" t="e">
        <v>#N/A</v>
      </c>
      <c r="E34" s="1" t="s">
        <v>2298</v>
      </c>
      <c r="F34" s="2" t="s">
        <v>2300</v>
      </c>
      <c r="G34" s="1" t="s">
        <v>2304</v>
      </c>
      <c r="H34" s="2">
        <v>25</v>
      </c>
      <c r="I34" s="3" t="s">
        <v>22</v>
      </c>
      <c r="J34" t="s">
        <v>2365</v>
      </c>
      <c r="M34" s="3" t="s">
        <v>2300</v>
      </c>
      <c r="N34" s="3" t="s">
        <v>2255</v>
      </c>
      <c r="O34" t="s">
        <v>2310</v>
      </c>
    </row>
    <row r="35" spans="1:15" x14ac:dyDescent="0.25">
      <c r="A35" t="s">
        <v>2285</v>
      </c>
      <c r="B35" s="1" t="e">
        <v>#N/A</v>
      </c>
      <c r="C35" s="1" t="e">
        <v>#N/A</v>
      </c>
      <c r="D35" s="1" t="e">
        <v>#N/A</v>
      </c>
      <c r="E35" s="1" t="s">
        <v>2298</v>
      </c>
      <c r="F35" s="2" t="s">
        <v>2300</v>
      </c>
      <c r="G35" s="1" t="s">
        <v>2304</v>
      </c>
      <c r="H35" s="2">
        <v>25</v>
      </c>
      <c r="I35" s="3" t="s">
        <v>19</v>
      </c>
      <c r="J35" t="s">
        <v>2365</v>
      </c>
      <c r="M35" s="3" t="s">
        <v>2300</v>
      </c>
      <c r="N35" s="3" t="s">
        <v>2255</v>
      </c>
      <c r="O35" t="s">
        <v>2310</v>
      </c>
    </row>
    <row r="36" spans="1:15" x14ac:dyDescent="0.25">
      <c r="A36" t="s">
        <v>2284</v>
      </c>
      <c r="B36" s="1" t="s">
        <v>2288</v>
      </c>
      <c r="C36" s="1" t="s">
        <v>2291</v>
      </c>
      <c r="D36" s="1" t="s">
        <v>2407</v>
      </c>
      <c r="E36" s="1" t="s">
        <v>2298</v>
      </c>
      <c r="F36" s="2" t="s">
        <v>2300</v>
      </c>
      <c r="G36" s="1" t="s">
        <v>2304</v>
      </c>
      <c r="H36" s="2">
        <v>25</v>
      </c>
      <c r="I36" s="3" t="s">
        <v>18</v>
      </c>
      <c r="J36" t="s">
        <v>2365</v>
      </c>
      <c r="M36" s="3" t="s">
        <v>2301</v>
      </c>
      <c r="N36" s="3" t="s">
        <v>2255</v>
      </c>
      <c r="O36" t="s">
        <v>2310</v>
      </c>
    </row>
    <row r="37" spans="1:15" x14ac:dyDescent="0.25">
      <c r="A37" t="s">
        <v>2283</v>
      </c>
      <c r="B37" s="1" t="s">
        <v>2288</v>
      </c>
      <c r="C37" s="1" t="s">
        <v>2293</v>
      </c>
      <c r="D37" s="1" t="s">
        <v>2386</v>
      </c>
      <c r="E37" s="1" t="s">
        <v>2298</v>
      </c>
      <c r="F37" s="2" t="s">
        <v>2300</v>
      </c>
      <c r="G37" s="1" t="s">
        <v>2304</v>
      </c>
      <c r="H37" s="2">
        <v>24</v>
      </c>
      <c r="I37" s="3" t="s">
        <v>2327</v>
      </c>
      <c r="J37" t="s">
        <v>2365</v>
      </c>
      <c r="M37" s="3" t="s">
        <v>2300</v>
      </c>
      <c r="N37" s="3" t="s">
        <v>2255</v>
      </c>
      <c r="O37" t="s">
        <v>2310</v>
      </c>
    </row>
    <row r="38" spans="1:15" x14ac:dyDescent="0.25">
      <c r="A38" t="s">
        <v>2285</v>
      </c>
      <c r="B38" s="1" t="e">
        <v>#N/A</v>
      </c>
      <c r="C38" s="1" t="e">
        <v>#N/A</v>
      </c>
      <c r="D38" s="1" t="e">
        <v>#N/A</v>
      </c>
      <c r="E38" s="1" t="s">
        <v>2298</v>
      </c>
      <c r="F38" s="2" t="s">
        <v>2300</v>
      </c>
      <c r="G38" s="1" t="s">
        <v>2304</v>
      </c>
      <c r="H38" s="2">
        <v>24</v>
      </c>
      <c r="I38" s="3" t="s">
        <v>22</v>
      </c>
      <c r="J38" t="s">
        <v>2365</v>
      </c>
      <c r="M38" s="3" t="s">
        <v>2301</v>
      </c>
      <c r="N38" s="3" t="s">
        <v>2255</v>
      </c>
      <c r="O38" t="s">
        <v>2310</v>
      </c>
    </row>
    <row r="39" spans="1:15" x14ac:dyDescent="0.25">
      <c r="A39" t="s">
        <v>2285</v>
      </c>
      <c r="B39" s="1" t="e">
        <v>#N/A</v>
      </c>
      <c r="C39" s="1" t="e">
        <v>#N/A</v>
      </c>
      <c r="D39" s="1" t="e">
        <v>#N/A</v>
      </c>
      <c r="E39" s="1" t="s">
        <v>2298</v>
      </c>
      <c r="F39" s="2" t="s">
        <v>2300</v>
      </c>
      <c r="G39" s="1" t="s">
        <v>2303</v>
      </c>
      <c r="H39" s="2">
        <v>24</v>
      </c>
      <c r="I39" s="3" t="s">
        <v>2342</v>
      </c>
      <c r="J39" t="s">
        <v>2365</v>
      </c>
      <c r="M39" s="3" t="s">
        <v>2300</v>
      </c>
      <c r="N39" s="3" t="s">
        <v>2256</v>
      </c>
      <c r="O39" t="s">
        <v>2310</v>
      </c>
    </row>
    <row r="40" spans="1:15" x14ac:dyDescent="0.25">
      <c r="A40" t="s">
        <v>2285</v>
      </c>
      <c r="B40" s="1" t="e">
        <v>#N/A</v>
      </c>
      <c r="C40" s="1" t="e">
        <v>#N/A</v>
      </c>
      <c r="D40" s="1" t="e">
        <v>#N/A</v>
      </c>
      <c r="E40" s="1" t="s">
        <v>2298</v>
      </c>
      <c r="F40" s="2" t="s">
        <v>2300</v>
      </c>
      <c r="G40" s="1" t="s">
        <v>2304</v>
      </c>
      <c r="H40" s="2">
        <v>22</v>
      </c>
      <c r="I40" s="3" t="s">
        <v>19</v>
      </c>
      <c r="J40" t="s">
        <v>2365</v>
      </c>
      <c r="M40" s="3" t="s">
        <v>2300</v>
      </c>
      <c r="N40" s="3" t="s">
        <v>2255</v>
      </c>
      <c r="O40" t="s">
        <v>2310</v>
      </c>
    </row>
    <row r="41" spans="1:15" x14ac:dyDescent="0.25">
      <c r="A41" t="s">
        <v>2283</v>
      </c>
      <c r="B41" s="1" t="s">
        <v>2288</v>
      </c>
      <c r="C41" s="1" t="s">
        <v>2293</v>
      </c>
      <c r="D41" s="1" t="s">
        <v>2386</v>
      </c>
      <c r="E41" s="1" t="s">
        <v>2298</v>
      </c>
      <c r="F41" s="2" t="s">
        <v>2300</v>
      </c>
      <c r="G41" s="1" t="s">
        <v>2304</v>
      </c>
      <c r="H41" s="2">
        <v>21</v>
      </c>
      <c r="I41" s="3" t="s">
        <v>2326</v>
      </c>
      <c r="J41" t="s">
        <v>2365</v>
      </c>
      <c r="M41" s="3" t="s">
        <v>2300</v>
      </c>
      <c r="N41" s="3" t="s">
        <v>2255</v>
      </c>
      <c r="O41" t="s">
        <v>2310</v>
      </c>
    </row>
    <row r="42" spans="1:15" x14ac:dyDescent="0.25">
      <c r="A42" t="s">
        <v>2285</v>
      </c>
      <c r="B42" s="1" t="e">
        <v>#N/A</v>
      </c>
      <c r="C42" s="1" t="e">
        <v>#N/A</v>
      </c>
      <c r="D42" s="1" t="e">
        <v>#N/A</v>
      </c>
      <c r="E42" s="1" t="s">
        <v>2298</v>
      </c>
      <c r="F42" s="2" t="s">
        <v>2300</v>
      </c>
      <c r="G42" s="1" t="s">
        <v>2304</v>
      </c>
      <c r="H42" s="2">
        <v>21</v>
      </c>
      <c r="I42" s="3" t="s">
        <v>2343</v>
      </c>
      <c r="J42" t="s">
        <v>2365</v>
      </c>
      <c r="M42" s="3" t="s">
        <v>2300</v>
      </c>
      <c r="N42" s="3" t="s">
        <v>2255</v>
      </c>
      <c r="O42" t="s">
        <v>2310</v>
      </c>
    </row>
    <row r="43" spans="1:15" x14ac:dyDescent="0.25">
      <c r="A43" t="s">
        <v>2283</v>
      </c>
      <c r="B43" s="1" t="s">
        <v>2288</v>
      </c>
      <c r="C43" s="1" t="s">
        <v>2295</v>
      </c>
      <c r="D43" s="1" t="s">
        <v>2393</v>
      </c>
      <c r="E43" s="1" t="s">
        <v>2298</v>
      </c>
      <c r="F43" s="2" t="s">
        <v>2300</v>
      </c>
      <c r="G43" s="1" t="s">
        <v>2304</v>
      </c>
      <c r="H43" s="2">
        <v>21</v>
      </c>
      <c r="I43" s="3" t="s">
        <v>2334</v>
      </c>
      <c r="J43" t="s">
        <v>2365</v>
      </c>
      <c r="M43" s="3" t="s">
        <v>2300</v>
      </c>
      <c r="N43" s="3" t="s">
        <v>2255</v>
      </c>
      <c r="O43" t="s">
        <v>2310</v>
      </c>
    </row>
    <row r="44" spans="1:15" x14ac:dyDescent="0.25">
      <c r="A44" t="s">
        <v>2284</v>
      </c>
      <c r="B44" s="1" t="e">
        <v>#N/A</v>
      </c>
      <c r="C44" s="1" t="e">
        <v>#N/A</v>
      </c>
      <c r="D44" s="1" t="e">
        <v>#N/A</v>
      </c>
      <c r="E44" s="1" t="s">
        <v>2298</v>
      </c>
      <c r="F44" s="2" t="s">
        <v>2300</v>
      </c>
      <c r="G44" s="1" t="s">
        <v>2305</v>
      </c>
      <c r="H44" s="2">
        <v>21</v>
      </c>
      <c r="I44" s="3" t="s">
        <v>2327</v>
      </c>
      <c r="J44" t="s">
        <v>2365</v>
      </c>
      <c r="M44" s="3" t="s">
        <v>2300</v>
      </c>
      <c r="N44" s="3" t="s">
        <v>2257</v>
      </c>
      <c r="O44" t="s">
        <v>2310</v>
      </c>
    </row>
    <row r="45" spans="1:15" x14ac:dyDescent="0.25">
      <c r="A45" t="s">
        <v>2285</v>
      </c>
      <c r="B45" s="1" t="e">
        <v>#N/A</v>
      </c>
      <c r="C45" s="1" t="e">
        <v>#N/A</v>
      </c>
      <c r="D45" s="1" t="e">
        <v>#N/A</v>
      </c>
      <c r="E45" s="1" t="s">
        <v>2298</v>
      </c>
      <c r="F45" s="2" t="s">
        <v>2300</v>
      </c>
      <c r="G45" s="1" t="s">
        <v>2303</v>
      </c>
      <c r="H45" s="2">
        <v>21</v>
      </c>
      <c r="I45" s="3" t="s">
        <v>2345</v>
      </c>
      <c r="J45" t="s">
        <v>2365</v>
      </c>
      <c r="M45" s="3" t="s">
        <v>2301</v>
      </c>
      <c r="N45" s="3" t="s">
        <v>2256</v>
      </c>
      <c r="O45" t="s">
        <v>2310</v>
      </c>
    </row>
    <row r="46" spans="1:15" x14ac:dyDescent="0.25">
      <c r="A46" t="s">
        <v>2285</v>
      </c>
      <c r="B46" s="1" t="e">
        <v>#N/A</v>
      </c>
      <c r="C46" s="1" t="e">
        <v>#N/A</v>
      </c>
      <c r="D46" s="1" t="e">
        <v>#N/A</v>
      </c>
      <c r="E46" s="1" t="s">
        <v>2298</v>
      </c>
      <c r="F46" s="2" t="s">
        <v>2300</v>
      </c>
      <c r="G46" s="1" t="s">
        <v>2304</v>
      </c>
      <c r="H46" s="2">
        <v>21</v>
      </c>
      <c r="I46" s="3" t="s">
        <v>2344</v>
      </c>
      <c r="J46" t="s">
        <v>2365</v>
      </c>
      <c r="M46" s="3" t="s">
        <v>2300</v>
      </c>
      <c r="N46" s="3" t="s">
        <v>2255</v>
      </c>
      <c r="O46" t="s">
        <v>2310</v>
      </c>
    </row>
    <row r="47" spans="1:15" x14ac:dyDescent="0.25">
      <c r="A47" t="s">
        <v>2285</v>
      </c>
      <c r="B47" s="1" t="s">
        <v>2288</v>
      </c>
      <c r="C47" s="1" t="s">
        <v>2291</v>
      </c>
      <c r="D47" s="1" t="s">
        <v>2426</v>
      </c>
      <c r="E47" s="1" t="s">
        <v>2428</v>
      </c>
      <c r="F47" s="2" t="s">
        <v>2301</v>
      </c>
      <c r="G47" s="1" t="s">
        <v>2303</v>
      </c>
      <c r="H47" s="2">
        <v>21</v>
      </c>
      <c r="I47" s="3" t="s">
        <v>8</v>
      </c>
      <c r="J47" t="s">
        <v>2365</v>
      </c>
      <c r="M47" s="3" t="s">
        <v>2301</v>
      </c>
      <c r="N47" s="3" t="s">
        <v>2256</v>
      </c>
      <c r="O47" t="s">
        <v>2310</v>
      </c>
    </row>
    <row r="48" spans="1:15" x14ac:dyDescent="0.25">
      <c r="A48" t="s">
        <v>2285</v>
      </c>
      <c r="B48" s="1" t="s">
        <v>2288</v>
      </c>
      <c r="C48" s="1" t="s">
        <v>2293</v>
      </c>
      <c r="D48" s="1" t="s">
        <v>2426</v>
      </c>
      <c r="E48" s="1" t="s">
        <v>2428</v>
      </c>
      <c r="F48" s="2" t="s">
        <v>2301</v>
      </c>
      <c r="G48" s="1" t="s">
        <v>2304</v>
      </c>
      <c r="H48" s="2">
        <v>21</v>
      </c>
      <c r="I48" s="3" t="s">
        <v>2349</v>
      </c>
      <c r="J48" t="s">
        <v>2365</v>
      </c>
      <c r="M48" s="3" t="s">
        <v>2301</v>
      </c>
      <c r="N48" s="3" t="s">
        <v>2255</v>
      </c>
      <c r="O48" t="s">
        <v>2310</v>
      </c>
    </row>
    <row r="49" spans="1:15" x14ac:dyDescent="0.25">
      <c r="A49" t="s">
        <v>2285</v>
      </c>
      <c r="B49" s="1" t="s">
        <v>2288</v>
      </c>
      <c r="C49" s="1" t="s">
        <v>2291</v>
      </c>
      <c r="D49" s="1" t="s">
        <v>2426</v>
      </c>
      <c r="E49" s="1" t="s">
        <v>2428</v>
      </c>
      <c r="F49" s="2" t="s">
        <v>2301</v>
      </c>
      <c r="G49" s="1" t="s">
        <v>2304</v>
      </c>
      <c r="H49" s="2">
        <v>21</v>
      </c>
      <c r="I49" s="3" t="s">
        <v>8</v>
      </c>
      <c r="J49" t="s">
        <v>2365</v>
      </c>
      <c r="M49" s="3" t="s">
        <v>2301</v>
      </c>
      <c r="N49" s="3" t="s">
        <v>2255</v>
      </c>
      <c r="O49" t="s">
        <v>2310</v>
      </c>
    </row>
    <row r="50" spans="1:15" x14ac:dyDescent="0.25">
      <c r="A50" t="s">
        <v>2285</v>
      </c>
      <c r="B50" s="1" t="s">
        <v>2288</v>
      </c>
      <c r="C50" s="1" t="s">
        <v>2291</v>
      </c>
      <c r="D50" s="1" t="s">
        <v>2426</v>
      </c>
      <c r="E50" s="1" t="s">
        <v>2428</v>
      </c>
      <c r="F50" s="2" t="s">
        <v>2301</v>
      </c>
      <c r="G50" s="1" t="s">
        <v>2304</v>
      </c>
      <c r="H50" s="2">
        <v>21</v>
      </c>
      <c r="I50" s="3" t="s">
        <v>2317</v>
      </c>
      <c r="J50" t="s">
        <v>2365</v>
      </c>
      <c r="M50" s="3" t="s">
        <v>2301</v>
      </c>
      <c r="N50" s="3" t="s">
        <v>2255</v>
      </c>
      <c r="O50" t="s">
        <v>2310</v>
      </c>
    </row>
    <row r="51" spans="1:15" x14ac:dyDescent="0.25">
      <c r="A51" t="s">
        <v>2285</v>
      </c>
      <c r="B51" s="1" t="e">
        <v>#N/A</v>
      </c>
      <c r="C51" s="1" t="e">
        <v>#N/A</v>
      </c>
      <c r="D51" s="1" t="e">
        <v>#N/A</v>
      </c>
      <c r="E51" s="1" t="s">
        <v>2298</v>
      </c>
      <c r="F51" s="2" t="s">
        <v>2300</v>
      </c>
      <c r="G51" s="1" t="s">
        <v>2304</v>
      </c>
      <c r="H51" s="2">
        <v>20</v>
      </c>
      <c r="I51" s="3" t="s">
        <v>60</v>
      </c>
      <c r="J51" t="s">
        <v>2365</v>
      </c>
      <c r="M51" s="3" t="s">
        <v>2300</v>
      </c>
      <c r="N51" s="3" t="s">
        <v>2255</v>
      </c>
      <c r="O51" t="s">
        <v>2310</v>
      </c>
    </row>
    <row r="52" spans="1:15" x14ac:dyDescent="0.25">
      <c r="A52" t="s">
        <v>2285</v>
      </c>
      <c r="B52" s="1" t="e">
        <v>#N/A</v>
      </c>
      <c r="C52" s="1" t="e">
        <v>#N/A</v>
      </c>
      <c r="D52" s="1" t="e">
        <v>#N/A</v>
      </c>
      <c r="E52" s="1" t="s">
        <v>2298</v>
      </c>
      <c r="F52" s="2" t="s">
        <v>2300</v>
      </c>
      <c r="G52" s="1" t="s">
        <v>2303</v>
      </c>
      <c r="H52" s="2">
        <v>20</v>
      </c>
      <c r="I52" s="3" t="s">
        <v>2350</v>
      </c>
      <c r="J52" t="s">
        <v>2365</v>
      </c>
      <c r="M52" s="3" t="s">
        <v>2300</v>
      </c>
      <c r="N52" s="3" t="s">
        <v>2256</v>
      </c>
      <c r="O52" t="s">
        <v>2310</v>
      </c>
    </row>
    <row r="53" spans="1:15" x14ac:dyDescent="0.25">
      <c r="A53" t="s">
        <v>2285</v>
      </c>
      <c r="B53" s="1" t="e">
        <v>#N/A</v>
      </c>
      <c r="C53" s="1" t="e">
        <v>#N/A</v>
      </c>
      <c r="D53" s="1" t="e">
        <v>#N/A</v>
      </c>
      <c r="E53" s="1" t="s">
        <v>2298</v>
      </c>
      <c r="F53" s="2" t="s">
        <v>2300</v>
      </c>
      <c r="G53" s="1" t="s">
        <v>2303</v>
      </c>
      <c r="H53" s="2">
        <v>20</v>
      </c>
      <c r="I53" s="3" t="s">
        <v>2352</v>
      </c>
      <c r="J53" t="s">
        <v>2365</v>
      </c>
      <c r="M53" s="3" t="s">
        <v>2300</v>
      </c>
      <c r="N53" s="3" t="s">
        <v>2256</v>
      </c>
      <c r="O53" t="s">
        <v>2310</v>
      </c>
    </row>
    <row r="54" spans="1:15" x14ac:dyDescent="0.25">
      <c r="A54" t="s">
        <v>2283</v>
      </c>
      <c r="B54" s="1" t="s">
        <v>2288</v>
      </c>
      <c r="C54" s="1" t="s">
        <v>2295</v>
      </c>
      <c r="D54" s="1" t="s">
        <v>2393</v>
      </c>
      <c r="E54" s="1" t="s">
        <v>2298</v>
      </c>
      <c r="F54" s="2" t="s">
        <v>2300</v>
      </c>
      <c r="G54" s="1" t="s">
        <v>2304</v>
      </c>
      <c r="H54" s="2">
        <v>20</v>
      </c>
      <c r="I54" s="3" t="s">
        <v>2314</v>
      </c>
      <c r="J54" t="s">
        <v>2365</v>
      </c>
      <c r="M54" s="3" t="s">
        <v>2300</v>
      </c>
      <c r="N54" s="3" t="s">
        <v>2255</v>
      </c>
      <c r="O54" t="s">
        <v>2310</v>
      </c>
    </row>
    <row r="55" spans="1:15" x14ac:dyDescent="0.25">
      <c r="A55" t="s">
        <v>2285</v>
      </c>
      <c r="B55" s="1" t="e">
        <v>#N/A</v>
      </c>
      <c r="C55" s="1" t="e">
        <v>#N/A</v>
      </c>
      <c r="D55" s="1" t="e">
        <v>#N/A</v>
      </c>
      <c r="E55" s="1" t="s">
        <v>2298</v>
      </c>
      <c r="F55" s="2" t="s">
        <v>2300</v>
      </c>
      <c r="G55" s="1" t="s">
        <v>2303</v>
      </c>
      <c r="H55" s="2">
        <v>20</v>
      </c>
      <c r="I55" s="3" t="s">
        <v>60</v>
      </c>
      <c r="J55" t="s">
        <v>2365</v>
      </c>
      <c r="M55" s="3" t="s">
        <v>2300</v>
      </c>
      <c r="N55" s="3" t="s">
        <v>2256</v>
      </c>
      <c r="O55" t="s">
        <v>2310</v>
      </c>
    </row>
    <row r="56" spans="1:15" x14ac:dyDescent="0.25">
      <c r="A56" t="s">
        <v>2285</v>
      </c>
      <c r="B56" s="1" t="s">
        <v>2288</v>
      </c>
      <c r="C56" s="1" t="s">
        <v>2291</v>
      </c>
      <c r="D56" s="1" t="s">
        <v>2426</v>
      </c>
      <c r="E56" s="1" t="s">
        <v>2428</v>
      </c>
      <c r="F56" s="2" t="s">
        <v>2301</v>
      </c>
      <c r="G56" s="1" t="s">
        <v>2304</v>
      </c>
      <c r="H56" s="2">
        <v>20</v>
      </c>
      <c r="I56" s="3" t="s">
        <v>2</v>
      </c>
      <c r="J56" t="s">
        <v>2365</v>
      </c>
      <c r="M56" s="3" t="s">
        <v>2301</v>
      </c>
      <c r="N56" s="3" t="s">
        <v>2255</v>
      </c>
      <c r="O56" t="s">
        <v>2310</v>
      </c>
    </row>
    <row r="57" spans="1:15" x14ac:dyDescent="0.25">
      <c r="A57" t="s">
        <v>2285</v>
      </c>
      <c r="B57" s="1" t="s">
        <v>2288</v>
      </c>
      <c r="C57" s="1" t="s">
        <v>2291</v>
      </c>
      <c r="D57" s="1" t="s">
        <v>2426</v>
      </c>
      <c r="E57" s="1" t="s">
        <v>2428</v>
      </c>
      <c r="F57" s="2" t="s">
        <v>2301</v>
      </c>
      <c r="G57" s="1" t="s">
        <v>2304</v>
      </c>
      <c r="H57" s="2">
        <v>20</v>
      </c>
      <c r="I57" s="3" t="s">
        <v>2</v>
      </c>
      <c r="J57" t="s">
        <v>2365</v>
      </c>
      <c r="M57" s="3" t="s">
        <v>2301</v>
      </c>
      <c r="N57" s="3" t="s">
        <v>2255</v>
      </c>
      <c r="O57" t="s">
        <v>2310</v>
      </c>
    </row>
    <row r="58" spans="1:15" x14ac:dyDescent="0.25">
      <c r="A58" t="s">
        <v>2285</v>
      </c>
      <c r="B58" s="1" t="e">
        <v>#N/A</v>
      </c>
      <c r="C58" s="1" t="e">
        <v>#N/A</v>
      </c>
      <c r="D58" s="1" t="e">
        <v>#N/A</v>
      </c>
      <c r="E58" s="1" t="s">
        <v>2428</v>
      </c>
      <c r="F58" s="2" t="s">
        <v>2300</v>
      </c>
      <c r="G58" s="1" t="s">
        <v>2304</v>
      </c>
      <c r="H58" s="2">
        <v>19</v>
      </c>
      <c r="I58" s="3" t="s">
        <v>2358</v>
      </c>
      <c r="J58" t="s">
        <v>2365</v>
      </c>
      <c r="M58" s="3" t="s">
        <v>2301</v>
      </c>
      <c r="N58" s="3" t="s">
        <v>2255</v>
      </c>
      <c r="O58" t="s">
        <v>2310</v>
      </c>
    </row>
    <row r="59" spans="1:15" x14ac:dyDescent="0.25">
      <c r="A59" t="s">
        <v>2285</v>
      </c>
      <c r="B59" s="1" t="e">
        <v>#N/A</v>
      </c>
      <c r="C59" s="1" t="e">
        <v>#N/A</v>
      </c>
      <c r="D59" s="1" t="e">
        <v>#N/A</v>
      </c>
      <c r="E59" s="1" t="s">
        <v>2428</v>
      </c>
      <c r="F59" s="2" t="s">
        <v>2300</v>
      </c>
      <c r="G59" s="1" t="s">
        <v>2304</v>
      </c>
      <c r="H59" s="2">
        <v>19</v>
      </c>
      <c r="I59" s="3" t="s">
        <v>2317</v>
      </c>
      <c r="J59" t="s">
        <v>2365</v>
      </c>
      <c r="M59" s="3" t="s">
        <v>2301</v>
      </c>
      <c r="N59" s="3" t="s">
        <v>2255</v>
      </c>
      <c r="O59" t="s">
        <v>2310</v>
      </c>
    </row>
    <row r="60" spans="1:15" x14ac:dyDescent="0.25">
      <c r="A60" t="s">
        <v>2285</v>
      </c>
      <c r="B60" s="1" t="e">
        <v>#N/A</v>
      </c>
      <c r="C60" s="1" t="e">
        <v>#N/A</v>
      </c>
      <c r="D60" s="1" t="e">
        <v>#N/A</v>
      </c>
      <c r="E60" s="1" t="s">
        <v>2298</v>
      </c>
      <c r="F60" s="2" t="s">
        <v>2300</v>
      </c>
      <c r="G60" s="1" t="s">
        <v>2304</v>
      </c>
      <c r="H60" s="2">
        <v>19</v>
      </c>
      <c r="I60" s="3" t="s">
        <v>2355</v>
      </c>
      <c r="J60" t="s">
        <v>2365</v>
      </c>
      <c r="M60" s="3" t="s">
        <v>2300</v>
      </c>
      <c r="N60" s="3" t="s">
        <v>2255</v>
      </c>
      <c r="O60" t="s">
        <v>2310</v>
      </c>
    </row>
    <row r="61" spans="1:15" x14ac:dyDescent="0.25">
      <c r="A61" t="s">
        <v>2285</v>
      </c>
      <c r="B61" s="1" t="e">
        <v>#N/A</v>
      </c>
      <c r="C61" s="1" t="e">
        <v>#N/A</v>
      </c>
      <c r="D61" s="1" t="e">
        <v>#N/A</v>
      </c>
      <c r="E61" s="1" t="s">
        <v>2298</v>
      </c>
      <c r="F61" s="2" t="s">
        <v>2300</v>
      </c>
      <c r="G61" s="1" t="s">
        <v>2304</v>
      </c>
      <c r="H61" s="2">
        <v>19</v>
      </c>
      <c r="I61" s="3" t="s">
        <v>2354</v>
      </c>
      <c r="J61" t="s">
        <v>2365</v>
      </c>
      <c r="M61" s="3" t="s">
        <v>2300</v>
      </c>
      <c r="N61" s="3" t="s">
        <v>2255</v>
      </c>
      <c r="O61" t="s">
        <v>2310</v>
      </c>
    </row>
    <row r="62" spans="1:15" x14ac:dyDescent="0.25">
      <c r="A62" t="s">
        <v>2283</v>
      </c>
      <c r="B62" s="1" t="s">
        <v>2288</v>
      </c>
      <c r="C62" s="1" t="s">
        <v>2291</v>
      </c>
      <c r="D62" s="1" t="s">
        <v>2406</v>
      </c>
      <c r="E62" s="1" t="s">
        <v>2298</v>
      </c>
      <c r="F62" s="2" t="s">
        <v>2300</v>
      </c>
      <c r="G62" s="1" t="s">
        <v>2304</v>
      </c>
      <c r="H62" s="2">
        <v>19</v>
      </c>
      <c r="I62" s="3" t="s">
        <v>2314</v>
      </c>
      <c r="J62" t="s">
        <v>2365</v>
      </c>
      <c r="M62" s="3" t="s">
        <v>2300</v>
      </c>
      <c r="N62" s="3" t="s">
        <v>2255</v>
      </c>
      <c r="O62" t="s">
        <v>2310</v>
      </c>
    </row>
    <row r="63" spans="1:15" x14ac:dyDescent="0.25">
      <c r="A63" t="s">
        <v>2283</v>
      </c>
      <c r="B63" s="1" t="s">
        <v>2288</v>
      </c>
      <c r="C63" s="1" t="s">
        <v>2293</v>
      </c>
      <c r="D63" s="1" t="s">
        <v>2406</v>
      </c>
      <c r="E63" s="1" t="s">
        <v>2298</v>
      </c>
      <c r="F63" s="2" t="s">
        <v>2300</v>
      </c>
      <c r="G63" s="1" t="s">
        <v>2304</v>
      </c>
      <c r="H63" s="2">
        <v>19</v>
      </c>
      <c r="I63" s="3" t="s">
        <v>2314</v>
      </c>
      <c r="J63" t="s">
        <v>2365</v>
      </c>
      <c r="M63" s="3" t="s">
        <v>2300</v>
      </c>
      <c r="N63" s="3" t="s">
        <v>2255</v>
      </c>
      <c r="O63" t="s">
        <v>2310</v>
      </c>
    </row>
    <row r="64" spans="1:15" x14ac:dyDescent="0.25">
      <c r="A64" t="s">
        <v>2285</v>
      </c>
      <c r="B64" s="1" t="e">
        <v>#N/A</v>
      </c>
      <c r="C64" s="1" t="e">
        <v>#N/A</v>
      </c>
      <c r="D64" s="1" t="e">
        <v>#N/A</v>
      </c>
      <c r="E64" s="1" t="s">
        <v>2298</v>
      </c>
      <c r="F64" s="2" t="s">
        <v>2300</v>
      </c>
      <c r="G64" s="1" t="s">
        <v>2303</v>
      </c>
      <c r="H64" s="2">
        <v>19</v>
      </c>
      <c r="I64" s="3" t="s">
        <v>2344</v>
      </c>
      <c r="J64" t="s">
        <v>2365</v>
      </c>
      <c r="M64" s="3" t="s">
        <v>2300</v>
      </c>
      <c r="N64" s="3" t="s">
        <v>2256</v>
      </c>
      <c r="O64" t="s">
        <v>2310</v>
      </c>
    </row>
    <row r="65" spans="1:15" x14ac:dyDescent="0.25">
      <c r="A65" t="s">
        <v>2285</v>
      </c>
      <c r="B65" s="1" t="e">
        <v>#N/A</v>
      </c>
      <c r="C65" s="1" t="e">
        <v>#N/A</v>
      </c>
      <c r="D65" s="1" t="e">
        <v>#N/A</v>
      </c>
      <c r="E65" s="1" t="s">
        <v>2298</v>
      </c>
      <c r="F65" s="2" t="s">
        <v>2300</v>
      </c>
      <c r="G65" s="1" t="s">
        <v>2303</v>
      </c>
      <c r="H65" s="2">
        <v>19</v>
      </c>
      <c r="I65" s="3" t="s">
        <v>2355</v>
      </c>
      <c r="J65" t="s">
        <v>2365</v>
      </c>
      <c r="M65" s="3" t="s">
        <v>2300</v>
      </c>
      <c r="N65" s="3" t="s">
        <v>2256</v>
      </c>
      <c r="O65" t="s">
        <v>2310</v>
      </c>
    </row>
    <row r="66" spans="1:15" x14ac:dyDescent="0.25">
      <c r="A66" t="s">
        <v>2284</v>
      </c>
      <c r="B66" s="1" t="s">
        <v>2288</v>
      </c>
      <c r="C66" s="1" t="s">
        <v>2291</v>
      </c>
      <c r="D66" s="1" t="s">
        <v>2406</v>
      </c>
      <c r="E66" s="1" t="s">
        <v>2298</v>
      </c>
      <c r="F66" s="2" t="s">
        <v>2300</v>
      </c>
      <c r="G66" s="1" t="s">
        <v>2303</v>
      </c>
      <c r="H66" s="2">
        <v>19</v>
      </c>
      <c r="I66" s="3" t="s">
        <v>2314</v>
      </c>
      <c r="J66" t="s">
        <v>2365</v>
      </c>
      <c r="M66" s="3" t="s">
        <v>2300</v>
      </c>
      <c r="N66" s="3" t="s">
        <v>2256</v>
      </c>
      <c r="O66" t="s">
        <v>2310</v>
      </c>
    </row>
    <row r="67" spans="1:15" x14ac:dyDescent="0.25">
      <c r="A67" t="s">
        <v>2284</v>
      </c>
      <c r="B67" s="1" t="s">
        <v>2288</v>
      </c>
      <c r="C67" s="1" t="s">
        <v>2291</v>
      </c>
      <c r="D67" s="1" t="s">
        <v>2406</v>
      </c>
      <c r="E67" s="1" t="s">
        <v>2298</v>
      </c>
      <c r="F67" s="2" t="s">
        <v>2300</v>
      </c>
      <c r="G67" s="1" t="s">
        <v>2303</v>
      </c>
      <c r="H67" s="2">
        <v>19</v>
      </c>
      <c r="I67" s="3" t="s">
        <v>2314</v>
      </c>
      <c r="J67" t="s">
        <v>2365</v>
      </c>
      <c r="M67" s="3" t="s">
        <v>2300</v>
      </c>
      <c r="N67" s="3" t="s">
        <v>2256</v>
      </c>
      <c r="O67" t="s">
        <v>2310</v>
      </c>
    </row>
    <row r="68" spans="1:15" x14ac:dyDescent="0.25">
      <c r="A68" t="s">
        <v>2284</v>
      </c>
      <c r="B68" s="1" t="s">
        <v>2288</v>
      </c>
      <c r="C68" s="1" t="s">
        <v>2291</v>
      </c>
      <c r="D68" s="1" t="s">
        <v>2407</v>
      </c>
      <c r="E68" s="1" t="s">
        <v>2298</v>
      </c>
      <c r="F68" s="2" t="s">
        <v>2300</v>
      </c>
      <c r="G68" s="1" t="s">
        <v>2304</v>
      </c>
      <c r="H68" s="2">
        <v>18</v>
      </c>
      <c r="I68" s="3" t="s">
        <v>2</v>
      </c>
      <c r="J68" t="s">
        <v>2365</v>
      </c>
      <c r="M68" s="3" t="s">
        <v>2300</v>
      </c>
      <c r="N68" s="3" t="s">
        <v>2255</v>
      </c>
      <c r="O68" t="s">
        <v>2310</v>
      </c>
    </row>
    <row r="69" spans="1:15" x14ac:dyDescent="0.25">
      <c r="A69" t="s">
        <v>2284</v>
      </c>
      <c r="B69" s="1" t="s">
        <v>2288</v>
      </c>
      <c r="C69" s="1" t="s">
        <v>2291</v>
      </c>
      <c r="D69" s="1" t="s">
        <v>2407</v>
      </c>
      <c r="E69" s="1" t="s">
        <v>2298</v>
      </c>
      <c r="F69" s="2" t="s">
        <v>2300</v>
      </c>
      <c r="G69" s="1" t="s">
        <v>2303</v>
      </c>
      <c r="H69" s="2">
        <v>18</v>
      </c>
      <c r="I69" s="3" t="s">
        <v>2360</v>
      </c>
      <c r="J69" t="s">
        <v>2365</v>
      </c>
      <c r="M69" s="3" t="s">
        <v>2300</v>
      </c>
      <c r="N69" s="3" t="s">
        <v>2256</v>
      </c>
      <c r="O69" t="s">
        <v>2310</v>
      </c>
    </row>
    <row r="70" spans="1:15" x14ac:dyDescent="0.25">
      <c r="A70" t="s">
        <v>2284</v>
      </c>
      <c r="B70" s="1" t="s">
        <v>2289</v>
      </c>
      <c r="C70" s="1" t="s">
        <v>2291</v>
      </c>
      <c r="D70" s="1" t="s">
        <v>2406</v>
      </c>
      <c r="E70" s="1" t="s">
        <v>2298</v>
      </c>
      <c r="F70" s="2" t="s">
        <v>2300</v>
      </c>
      <c r="G70" s="1" t="s">
        <v>2304</v>
      </c>
      <c r="H70" s="2">
        <v>18</v>
      </c>
      <c r="I70" s="3" t="s">
        <v>2317</v>
      </c>
      <c r="J70" t="s">
        <v>2365</v>
      </c>
      <c r="M70" s="3" t="s">
        <v>2300</v>
      </c>
      <c r="N70" s="3" t="s">
        <v>2255</v>
      </c>
      <c r="O70" t="s">
        <v>2310</v>
      </c>
    </row>
    <row r="71" spans="1:15" x14ac:dyDescent="0.25">
      <c r="A71" t="s">
        <v>2284</v>
      </c>
      <c r="B71" s="1" t="s">
        <v>2288</v>
      </c>
      <c r="C71" s="1" t="s">
        <v>2291</v>
      </c>
      <c r="D71" s="1" t="s">
        <v>2407</v>
      </c>
      <c r="E71" s="1" t="s">
        <v>2298</v>
      </c>
      <c r="F71" s="2" t="s">
        <v>2300</v>
      </c>
      <c r="G71" s="1" t="s">
        <v>2305</v>
      </c>
      <c r="H71" s="2">
        <v>18</v>
      </c>
      <c r="I71" s="3" t="s">
        <v>2332</v>
      </c>
      <c r="J71" t="s">
        <v>2365</v>
      </c>
      <c r="M71" s="3" t="s">
        <v>2300</v>
      </c>
      <c r="N71" s="3" t="s">
        <v>2258</v>
      </c>
      <c r="O71" t="s">
        <v>2310</v>
      </c>
    </row>
    <row r="72" spans="1:15" x14ac:dyDescent="0.25">
      <c r="A72" t="s">
        <v>2285</v>
      </c>
      <c r="B72" s="1" t="e">
        <v>#N/A</v>
      </c>
      <c r="C72" s="1" t="e">
        <v>#N/A</v>
      </c>
      <c r="D72" s="1" t="e">
        <v>#N/A</v>
      </c>
      <c r="E72" s="1" t="s">
        <v>2428</v>
      </c>
      <c r="F72" s="2" t="s">
        <v>2301</v>
      </c>
      <c r="G72" s="1" t="s">
        <v>2304</v>
      </c>
      <c r="H72" s="2">
        <v>18</v>
      </c>
      <c r="I72" s="3" t="s">
        <v>48</v>
      </c>
      <c r="J72" t="s">
        <v>2365</v>
      </c>
      <c r="M72" s="3" t="s">
        <v>2300</v>
      </c>
      <c r="N72" s="3" t="s">
        <v>2255</v>
      </c>
      <c r="O72" t="s">
        <v>2310</v>
      </c>
    </row>
    <row r="73" spans="1:15" x14ac:dyDescent="0.25">
      <c r="A73" t="s">
        <v>2285</v>
      </c>
      <c r="B73" s="1" t="e">
        <v>#N/A</v>
      </c>
      <c r="C73" s="1" t="e">
        <v>#N/A</v>
      </c>
      <c r="D73" s="1" t="e">
        <v>#N/A</v>
      </c>
      <c r="E73" s="1" t="s">
        <v>2428</v>
      </c>
      <c r="F73" s="2" t="s">
        <v>2301</v>
      </c>
      <c r="G73" s="1" t="s">
        <v>2304</v>
      </c>
      <c r="H73" s="2">
        <v>18</v>
      </c>
      <c r="I73" s="3" t="s">
        <v>11</v>
      </c>
      <c r="J73" t="s">
        <v>2365</v>
      </c>
      <c r="M73" s="3" t="s">
        <v>2300</v>
      </c>
      <c r="N73" s="3" t="s">
        <v>2255</v>
      </c>
      <c r="O73" t="s">
        <v>2310</v>
      </c>
    </row>
    <row r="74" spans="1:15" x14ac:dyDescent="0.25">
      <c r="A74" t="s">
        <v>2284</v>
      </c>
      <c r="B74" s="1" t="s">
        <v>2289</v>
      </c>
      <c r="C74" s="1" t="s">
        <v>2291</v>
      </c>
      <c r="D74" s="1" t="s">
        <v>2406</v>
      </c>
      <c r="E74" s="1" t="s">
        <v>2298</v>
      </c>
      <c r="F74" s="2" t="s">
        <v>2300</v>
      </c>
      <c r="G74" s="1" t="s">
        <v>2304</v>
      </c>
      <c r="H74" s="2">
        <v>18</v>
      </c>
      <c r="I74" s="3" t="s">
        <v>2319</v>
      </c>
      <c r="J74" t="s">
        <v>2365</v>
      </c>
      <c r="M74" s="3" t="s">
        <v>2300</v>
      </c>
      <c r="N74" s="3" t="s">
        <v>2255</v>
      </c>
      <c r="O74" t="s">
        <v>2310</v>
      </c>
    </row>
    <row r="75" spans="1:15" x14ac:dyDescent="0.25">
      <c r="A75" t="s">
        <v>2284</v>
      </c>
      <c r="B75" s="1" t="s">
        <v>2289</v>
      </c>
      <c r="C75" s="1" t="s">
        <v>2291</v>
      </c>
      <c r="D75" s="1" t="s">
        <v>2406</v>
      </c>
      <c r="E75" s="1" t="s">
        <v>2298</v>
      </c>
      <c r="F75" s="2" t="s">
        <v>2300</v>
      </c>
      <c r="G75" s="1" t="s">
        <v>2303</v>
      </c>
      <c r="H75" s="2">
        <v>18</v>
      </c>
      <c r="I75" s="3" t="s">
        <v>2318</v>
      </c>
      <c r="J75" t="s">
        <v>2365</v>
      </c>
      <c r="M75" s="3" t="s">
        <v>2300</v>
      </c>
      <c r="N75" s="3" t="s">
        <v>2256</v>
      </c>
      <c r="O75" t="s">
        <v>2310</v>
      </c>
    </row>
    <row r="76" spans="1:15" x14ac:dyDescent="0.25">
      <c r="A76" t="s">
        <v>2284</v>
      </c>
      <c r="B76" s="1" t="s">
        <v>2289</v>
      </c>
      <c r="C76" s="1" t="s">
        <v>2291</v>
      </c>
      <c r="D76" s="1" t="s">
        <v>2393</v>
      </c>
      <c r="E76" s="1" t="s">
        <v>2298</v>
      </c>
      <c r="F76" s="2" t="s">
        <v>2300</v>
      </c>
      <c r="G76" s="1" t="s">
        <v>2304</v>
      </c>
      <c r="H76" s="2">
        <v>18</v>
      </c>
      <c r="I76" s="3" t="s">
        <v>2339</v>
      </c>
      <c r="J76" t="s">
        <v>2365</v>
      </c>
      <c r="M76" s="3" t="s">
        <v>2300</v>
      </c>
      <c r="N76" s="3" t="s">
        <v>2255</v>
      </c>
      <c r="O76" t="s">
        <v>2310</v>
      </c>
    </row>
    <row r="77" spans="1:15" x14ac:dyDescent="0.25">
      <c r="A77" t="s">
        <v>2284</v>
      </c>
      <c r="B77" s="1" t="s">
        <v>2288</v>
      </c>
      <c r="C77" s="1" t="s">
        <v>2291</v>
      </c>
      <c r="D77" s="1" t="s">
        <v>2407</v>
      </c>
      <c r="E77" s="1" t="s">
        <v>2298</v>
      </c>
      <c r="F77" s="2" t="s">
        <v>2300</v>
      </c>
      <c r="G77" s="1" t="s">
        <v>2304</v>
      </c>
      <c r="H77" s="2">
        <v>18</v>
      </c>
      <c r="I77" s="3" t="s">
        <v>2367</v>
      </c>
      <c r="J77" t="s">
        <v>2365</v>
      </c>
      <c r="M77" s="3" t="s">
        <v>2300</v>
      </c>
      <c r="N77" s="3" t="s">
        <v>2255</v>
      </c>
      <c r="O77" t="s">
        <v>2310</v>
      </c>
    </row>
    <row r="78" spans="1:15" x14ac:dyDescent="0.25">
      <c r="A78" t="s">
        <v>2284</v>
      </c>
      <c r="B78" s="1" t="s">
        <v>2289</v>
      </c>
      <c r="C78" s="1" t="s">
        <v>2291</v>
      </c>
      <c r="D78" s="1" t="s">
        <v>2393</v>
      </c>
      <c r="E78" s="1" t="s">
        <v>2298</v>
      </c>
      <c r="F78" s="2" t="s">
        <v>2300</v>
      </c>
      <c r="G78" s="1" t="s">
        <v>2304</v>
      </c>
      <c r="H78" s="2">
        <v>18</v>
      </c>
      <c r="I78" s="3" t="s">
        <v>2327</v>
      </c>
      <c r="J78" t="s">
        <v>2365</v>
      </c>
      <c r="M78" s="3" t="s">
        <v>2300</v>
      </c>
      <c r="N78" s="3" t="s">
        <v>2255</v>
      </c>
      <c r="O78" t="s">
        <v>2310</v>
      </c>
    </row>
    <row r="79" spans="1:15" x14ac:dyDescent="0.25">
      <c r="A79" t="s">
        <v>2284</v>
      </c>
      <c r="B79" s="1" t="s">
        <v>2288</v>
      </c>
      <c r="C79" s="1" t="s">
        <v>2291</v>
      </c>
      <c r="D79" s="1" t="s">
        <v>2407</v>
      </c>
      <c r="E79" s="1" t="s">
        <v>2298</v>
      </c>
      <c r="F79" s="2" t="s">
        <v>2300</v>
      </c>
      <c r="G79" s="1" t="s">
        <v>2304</v>
      </c>
      <c r="H79" s="2">
        <v>18</v>
      </c>
      <c r="I79" s="3" t="s">
        <v>2360</v>
      </c>
      <c r="J79" t="s">
        <v>2365</v>
      </c>
      <c r="M79" s="3" t="s">
        <v>2300</v>
      </c>
      <c r="N79" s="3" t="s">
        <v>2255</v>
      </c>
      <c r="O79" t="s">
        <v>2310</v>
      </c>
    </row>
    <row r="80" spans="1:15" x14ac:dyDescent="0.25">
      <c r="A80" t="s">
        <v>2284</v>
      </c>
      <c r="B80" s="1" t="s">
        <v>2289</v>
      </c>
      <c r="C80" s="1" t="s">
        <v>2291</v>
      </c>
      <c r="D80" s="1" t="s">
        <v>2406</v>
      </c>
      <c r="E80" s="1" t="s">
        <v>2298</v>
      </c>
      <c r="F80" s="2" t="s">
        <v>2300</v>
      </c>
      <c r="G80" s="1" t="s">
        <v>2304</v>
      </c>
      <c r="H80" s="2">
        <v>18</v>
      </c>
      <c r="I80" s="3" t="s">
        <v>2315</v>
      </c>
      <c r="J80" t="s">
        <v>2365</v>
      </c>
      <c r="M80" s="3" t="s">
        <v>2300</v>
      </c>
      <c r="N80" s="3" t="s">
        <v>2255</v>
      </c>
      <c r="O80" t="s">
        <v>2310</v>
      </c>
    </row>
    <row r="81" spans="1:15" x14ac:dyDescent="0.25">
      <c r="A81" t="s">
        <v>2284</v>
      </c>
      <c r="B81" s="1" t="s">
        <v>2289</v>
      </c>
      <c r="C81" s="1" t="s">
        <v>2291</v>
      </c>
      <c r="D81" s="1" t="s">
        <v>2393</v>
      </c>
      <c r="E81" s="1" t="s">
        <v>2298</v>
      </c>
      <c r="F81" s="2" t="s">
        <v>2300</v>
      </c>
      <c r="G81" s="1" t="s">
        <v>2304</v>
      </c>
      <c r="H81" s="2">
        <v>18</v>
      </c>
      <c r="I81" s="3" t="s">
        <v>2348</v>
      </c>
      <c r="J81" t="s">
        <v>2365</v>
      </c>
      <c r="M81" s="3" t="s">
        <v>2300</v>
      </c>
      <c r="N81" s="3" t="s">
        <v>2255</v>
      </c>
      <c r="O81" t="s">
        <v>2310</v>
      </c>
    </row>
    <row r="82" spans="1:15" x14ac:dyDescent="0.25">
      <c r="A82" t="s">
        <v>2285</v>
      </c>
      <c r="B82" s="1" t="e">
        <v>#N/A</v>
      </c>
      <c r="C82" s="1" t="e">
        <v>#N/A</v>
      </c>
      <c r="D82" s="1" t="e">
        <v>#N/A</v>
      </c>
      <c r="E82" s="1" t="s">
        <v>2298</v>
      </c>
      <c r="F82" s="2" t="s">
        <v>2300</v>
      </c>
      <c r="G82" s="1" t="s">
        <v>2304</v>
      </c>
      <c r="H82" s="2">
        <v>18</v>
      </c>
      <c r="I82" s="3" t="s">
        <v>19</v>
      </c>
      <c r="J82" t="s">
        <v>2365</v>
      </c>
      <c r="M82" s="3" t="s">
        <v>2300</v>
      </c>
      <c r="N82" s="3" t="s">
        <v>2255</v>
      </c>
      <c r="O82" t="s">
        <v>2310</v>
      </c>
    </row>
    <row r="83" spans="1:15" x14ac:dyDescent="0.25">
      <c r="A83" t="s">
        <v>2284</v>
      </c>
      <c r="B83" s="1" t="s">
        <v>2289</v>
      </c>
      <c r="C83" s="1" t="s">
        <v>2291</v>
      </c>
      <c r="D83" s="1" t="s">
        <v>2393</v>
      </c>
      <c r="E83" s="1" t="s">
        <v>2298</v>
      </c>
      <c r="F83" s="2" t="s">
        <v>2300</v>
      </c>
      <c r="G83" s="1" t="s">
        <v>2304</v>
      </c>
      <c r="H83" s="2">
        <v>18</v>
      </c>
      <c r="I83" s="3" t="s">
        <v>2321</v>
      </c>
      <c r="J83" t="s">
        <v>2365</v>
      </c>
      <c r="M83" s="3" t="s">
        <v>2300</v>
      </c>
      <c r="N83" s="3" t="s">
        <v>2255</v>
      </c>
      <c r="O83" t="s">
        <v>2310</v>
      </c>
    </row>
    <row r="84" spans="1:15" x14ac:dyDescent="0.25">
      <c r="A84" t="s">
        <v>2284</v>
      </c>
      <c r="B84" s="1" t="s">
        <v>2289</v>
      </c>
      <c r="C84" s="1" t="s">
        <v>2291</v>
      </c>
      <c r="D84" s="1" t="s">
        <v>2393</v>
      </c>
      <c r="E84" s="1" t="s">
        <v>2298</v>
      </c>
      <c r="F84" s="2" t="s">
        <v>2300</v>
      </c>
      <c r="G84" s="1" t="s">
        <v>2303</v>
      </c>
      <c r="H84" s="2">
        <v>18</v>
      </c>
      <c r="I84" s="3" t="s">
        <v>2315</v>
      </c>
      <c r="J84" t="s">
        <v>2365</v>
      </c>
      <c r="M84" s="3" t="s">
        <v>2300</v>
      </c>
      <c r="N84" s="3" t="s">
        <v>2256</v>
      </c>
      <c r="O84" t="s">
        <v>2310</v>
      </c>
    </row>
    <row r="85" spans="1:15" x14ac:dyDescent="0.25">
      <c r="A85" t="s">
        <v>2284</v>
      </c>
      <c r="B85" s="1" t="s">
        <v>2288</v>
      </c>
      <c r="C85" s="1" t="s">
        <v>2291</v>
      </c>
      <c r="D85" s="1" t="s">
        <v>2407</v>
      </c>
      <c r="E85" s="1" t="s">
        <v>2298</v>
      </c>
      <c r="F85" s="2" t="s">
        <v>2300</v>
      </c>
      <c r="G85" s="1" t="s">
        <v>2304</v>
      </c>
      <c r="H85" s="2">
        <v>18</v>
      </c>
      <c r="I85" s="3" t="s">
        <v>2</v>
      </c>
      <c r="J85" t="s">
        <v>2365</v>
      </c>
      <c r="M85" s="3" t="s">
        <v>2300</v>
      </c>
      <c r="N85" s="3" t="s">
        <v>2255</v>
      </c>
      <c r="O85" t="s">
        <v>2310</v>
      </c>
    </row>
    <row r="86" spans="1:15" x14ac:dyDescent="0.25">
      <c r="A86" t="s">
        <v>2284</v>
      </c>
      <c r="B86" s="1" t="s">
        <v>2288</v>
      </c>
      <c r="C86" s="1" t="s">
        <v>2291</v>
      </c>
      <c r="D86" s="1" t="s">
        <v>2407</v>
      </c>
      <c r="E86" s="1" t="s">
        <v>2298</v>
      </c>
      <c r="F86" s="2" t="s">
        <v>2300</v>
      </c>
      <c r="G86" s="1" t="s">
        <v>2304</v>
      </c>
      <c r="H86" s="2">
        <v>18</v>
      </c>
      <c r="I86" s="3" t="s">
        <v>2317</v>
      </c>
      <c r="J86" t="s">
        <v>2365</v>
      </c>
      <c r="M86" s="3" t="s">
        <v>2300</v>
      </c>
      <c r="N86" s="3" t="s">
        <v>2255</v>
      </c>
      <c r="O86" t="s">
        <v>2310</v>
      </c>
    </row>
    <row r="87" spans="1:15" x14ac:dyDescent="0.25">
      <c r="A87" t="s">
        <v>2285</v>
      </c>
      <c r="B87" s="1" t="e">
        <v>#N/A</v>
      </c>
      <c r="C87" s="1" t="e">
        <v>#N/A</v>
      </c>
      <c r="D87" s="1" t="e">
        <v>#N/A</v>
      </c>
      <c r="E87" s="1" t="s">
        <v>2298</v>
      </c>
      <c r="F87" s="2" t="s">
        <v>2300</v>
      </c>
      <c r="G87" s="1" t="s">
        <v>2304</v>
      </c>
      <c r="H87" s="2">
        <v>18</v>
      </c>
      <c r="I87" s="3" t="s">
        <v>2359</v>
      </c>
      <c r="J87" t="s">
        <v>2365</v>
      </c>
      <c r="M87" s="3" t="s">
        <v>2300</v>
      </c>
      <c r="N87" s="3" t="s">
        <v>2255</v>
      </c>
      <c r="O87" t="s">
        <v>2310</v>
      </c>
    </row>
    <row r="88" spans="1:15" x14ac:dyDescent="0.25">
      <c r="A88" t="s">
        <v>2284</v>
      </c>
      <c r="B88" s="1" t="s">
        <v>2288</v>
      </c>
      <c r="C88" s="1" t="s">
        <v>2291</v>
      </c>
      <c r="D88" s="1" t="s">
        <v>2407</v>
      </c>
      <c r="E88" s="1" t="s">
        <v>2298</v>
      </c>
      <c r="F88" s="2" t="s">
        <v>2300</v>
      </c>
      <c r="G88" s="1" t="s">
        <v>2303</v>
      </c>
      <c r="H88" s="2">
        <v>18</v>
      </c>
      <c r="I88" s="3" t="s">
        <v>78</v>
      </c>
      <c r="J88" t="s">
        <v>2365</v>
      </c>
      <c r="M88" s="3" t="s">
        <v>2300</v>
      </c>
      <c r="N88" s="3" t="s">
        <v>2256</v>
      </c>
      <c r="O88" t="s">
        <v>2310</v>
      </c>
    </row>
    <row r="89" spans="1:15" x14ac:dyDescent="0.25">
      <c r="A89" t="s">
        <v>2285</v>
      </c>
      <c r="B89" s="1" t="e">
        <v>#N/A</v>
      </c>
      <c r="C89" s="1" t="e">
        <v>#N/A</v>
      </c>
      <c r="D89" s="1" t="e">
        <v>#N/A</v>
      </c>
      <c r="E89" s="1" t="s">
        <v>2428</v>
      </c>
      <c r="F89" s="2" t="s">
        <v>2301</v>
      </c>
      <c r="G89" s="1" t="s">
        <v>2304</v>
      </c>
      <c r="H89" s="2">
        <v>18</v>
      </c>
      <c r="I89" s="3" t="s">
        <v>126</v>
      </c>
      <c r="J89" t="s">
        <v>2365</v>
      </c>
      <c r="M89" s="3" t="s">
        <v>2300</v>
      </c>
      <c r="N89" s="3" t="s">
        <v>2255</v>
      </c>
      <c r="O89" t="s">
        <v>2310</v>
      </c>
    </row>
    <row r="90" spans="1:15" x14ac:dyDescent="0.25">
      <c r="A90" t="s">
        <v>2284</v>
      </c>
      <c r="B90" s="1" t="s">
        <v>2289</v>
      </c>
      <c r="C90" s="1" t="s">
        <v>2291</v>
      </c>
      <c r="D90" s="1" t="s">
        <v>2407</v>
      </c>
      <c r="E90" s="1" t="s">
        <v>2298</v>
      </c>
      <c r="F90" s="2" t="s">
        <v>2300</v>
      </c>
      <c r="G90" s="1" t="s">
        <v>2304</v>
      </c>
      <c r="H90" s="2">
        <v>18</v>
      </c>
      <c r="I90" s="3" t="s">
        <v>5</v>
      </c>
      <c r="J90" t="s">
        <v>2365</v>
      </c>
      <c r="M90" s="3" t="s">
        <v>2300</v>
      </c>
      <c r="N90" s="3" t="s">
        <v>2255</v>
      </c>
      <c r="O90" t="s">
        <v>2310</v>
      </c>
    </row>
    <row r="91" spans="1:15" x14ac:dyDescent="0.25">
      <c r="A91" t="s">
        <v>2285</v>
      </c>
      <c r="B91" s="1" t="e">
        <v>#N/A</v>
      </c>
      <c r="C91" s="1" t="s">
        <v>2294</v>
      </c>
      <c r="D91" s="1" t="s">
        <v>2406</v>
      </c>
      <c r="E91" s="1" t="s">
        <v>2298</v>
      </c>
      <c r="F91" s="2" t="s">
        <v>2300</v>
      </c>
      <c r="G91" s="1" t="s">
        <v>2304</v>
      </c>
      <c r="H91" s="2">
        <v>18</v>
      </c>
      <c r="I91" s="3" t="s">
        <v>2361</v>
      </c>
      <c r="J91" t="s">
        <v>2365</v>
      </c>
      <c r="M91" s="3" t="s">
        <v>2300</v>
      </c>
      <c r="N91" s="3" t="s">
        <v>2255</v>
      </c>
      <c r="O91" t="s">
        <v>2310</v>
      </c>
    </row>
    <row r="92" spans="1:15" x14ac:dyDescent="0.25">
      <c r="A92" t="s">
        <v>2284</v>
      </c>
      <c r="B92" s="1" t="s">
        <v>2289</v>
      </c>
      <c r="C92" s="1" t="s">
        <v>2291</v>
      </c>
      <c r="D92" s="1" t="s">
        <v>2407</v>
      </c>
      <c r="E92" s="1" t="s">
        <v>2298</v>
      </c>
      <c r="F92" s="2" t="s">
        <v>2300</v>
      </c>
      <c r="G92" s="1" t="s">
        <v>2304</v>
      </c>
      <c r="H92" s="2">
        <v>18</v>
      </c>
      <c r="I92" s="3" t="s">
        <v>2313</v>
      </c>
      <c r="J92" t="s">
        <v>2365</v>
      </c>
      <c r="M92" s="3" t="s">
        <v>2300</v>
      </c>
      <c r="N92" s="3" t="s">
        <v>2255</v>
      </c>
      <c r="O92" t="s">
        <v>2310</v>
      </c>
    </row>
    <row r="93" spans="1:15" x14ac:dyDescent="0.25">
      <c r="A93" t="s">
        <v>2284</v>
      </c>
      <c r="B93" s="1" t="s">
        <v>2288</v>
      </c>
      <c r="C93" s="1" t="s">
        <v>2291</v>
      </c>
      <c r="D93" s="1" t="s">
        <v>2407</v>
      </c>
      <c r="E93" s="1" t="s">
        <v>2298</v>
      </c>
      <c r="F93" s="2" t="s">
        <v>2300</v>
      </c>
      <c r="G93" s="1" t="s">
        <v>2304</v>
      </c>
      <c r="H93" s="2">
        <v>18</v>
      </c>
      <c r="I93" s="3" t="s">
        <v>2362</v>
      </c>
      <c r="J93" t="s">
        <v>2365</v>
      </c>
      <c r="M93" s="3" t="s">
        <v>2300</v>
      </c>
      <c r="N93" s="3" t="s">
        <v>2255</v>
      </c>
      <c r="O93" t="s">
        <v>2310</v>
      </c>
    </row>
    <row r="94" spans="1:15" x14ac:dyDescent="0.25">
      <c r="A94" t="s">
        <v>2284</v>
      </c>
      <c r="B94" s="1" t="s">
        <v>2288</v>
      </c>
      <c r="C94" s="1" t="s">
        <v>2291</v>
      </c>
      <c r="D94" s="1" t="s">
        <v>2407</v>
      </c>
      <c r="E94" s="1" t="s">
        <v>2298</v>
      </c>
      <c r="F94" s="2" t="s">
        <v>2300</v>
      </c>
      <c r="G94" s="1" t="s">
        <v>2304</v>
      </c>
      <c r="H94" s="2">
        <v>18</v>
      </c>
      <c r="I94" s="3" t="s">
        <v>2333</v>
      </c>
      <c r="J94" t="s">
        <v>2365</v>
      </c>
      <c r="M94" s="3" t="s">
        <v>2300</v>
      </c>
      <c r="N94" s="3" t="s">
        <v>2255</v>
      </c>
      <c r="O94" t="s">
        <v>2310</v>
      </c>
    </row>
    <row r="95" spans="1:15" x14ac:dyDescent="0.25">
      <c r="A95" t="s">
        <v>2284</v>
      </c>
      <c r="B95" s="1" t="s">
        <v>2288</v>
      </c>
      <c r="C95" s="1" t="s">
        <v>2291</v>
      </c>
      <c r="D95" s="1" t="s">
        <v>2407</v>
      </c>
      <c r="E95" s="1" t="s">
        <v>2298</v>
      </c>
      <c r="F95" s="2" t="s">
        <v>2300</v>
      </c>
      <c r="G95" s="1" t="s">
        <v>2304</v>
      </c>
      <c r="H95" s="2">
        <v>17</v>
      </c>
      <c r="I95" s="3" t="s">
        <v>1</v>
      </c>
      <c r="J95" t="s">
        <v>2365</v>
      </c>
      <c r="M95" s="3" t="s">
        <v>2300</v>
      </c>
      <c r="N95" s="3" t="s">
        <v>2255</v>
      </c>
      <c r="O95" t="s">
        <v>2310</v>
      </c>
    </row>
    <row r="96" spans="1:15" x14ac:dyDescent="0.25">
      <c r="A96" t="s">
        <v>2284</v>
      </c>
      <c r="B96" s="1" t="s">
        <v>2289</v>
      </c>
      <c r="C96" s="1" t="s">
        <v>2291</v>
      </c>
      <c r="D96" s="1" t="s">
        <v>2406</v>
      </c>
      <c r="E96" s="1" t="s">
        <v>2298</v>
      </c>
      <c r="F96" s="2" t="s">
        <v>2300</v>
      </c>
      <c r="G96" s="1" t="s">
        <v>2304</v>
      </c>
      <c r="H96" s="2">
        <v>17</v>
      </c>
      <c r="I96" s="3" t="s">
        <v>2321</v>
      </c>
      <c r="J96" t="s">
        <v>2365</v>
      </c>
      <c r="M96" s="3" t="s">
        <v>2300</v>
      </c>
      <c r="N96" s="3" t="s">
        <v>2255</v>
      </c>
      <c r="O96" t="s">
        <v>2310</v>
      </c>
    </row>
    <row r="97" spans="1:15" x14ac:dyDescent="0.25">
      <c r="A97" t="s">
        <v>2285</v>
      </c>
      <c r="B97" s="1" t="e">
        <v>#N/A</v>
      </c>
      <c r="C97" s="1" t="e">
        <v>#N/A</v>
      </c>
      <c r="D97" s="1" t="e">
        <v>#N/A</v>
      </c>
      <c r="E97" s="1" t="s">
        <v>2428</v>
      </c>
      <c r="F97" s="2" t="s">
        <v>2301</v>
      </c>
      <c r="G97" s="1" t="s">
        <v>2303</v>
      </c>
      <c r="H97" s="2">
        <v>17</v>
      </c>
      <c r="I97" s="3" t="s">
        <v>2318</v>
      </c>
      <c r="J97" t="s">
        <v>2365</v>
      </c>
      <c r="M97" s="3" t="s">
        <v>2300</v>
      </c>
      <c r="N97" s="3" t="s">
        <v>2256</v>
      </c>
      <c r="O97" t="s">
        <v>2310</v>
      </c>
    </row>
    <row r="98" spans="1:15" x14ac:dyDescent="0.25">
      <c r="A98" t="s">
        <v>2285</v>
      </c>
      <c r="B98" s="1" t="e">
        <v>#N/A</v>
      </c>
      <c r="C98" s="1" t="e">
        <v>#N/A</v>
      </c>
      <c r="D98" s="1" t="e">
        <v>#N/A</v>
      </c>
      <c r="E98" s="1" t="s">
        <v>2428</v>
      </c>
      <c r="F98" s="2" t="s">
        <v>2300</v>
      </c>
      <c r="G98" s="1" t="s">
        <v>2304</v>
      </c>
      <c r="H98" s="2">
        <v>17</v>
      </c>
      <c r="I98" s="3" t="s">
        <v>2317</v>
      </c>
      <c r="J98" t="s">
        <v>2365</v>
      </c>
      <c r="M98" s="3" t="s">
        <v>2301</v>
      </c>
      <c r="N98" s="3" t="s">
        <v>2255</v>
      </c>
      <c r="O98" t="s">
        <v>2310</v>
      </c>
    </row>
    <row r="99" spans="1:15" x14ac:dyDescent="0.25">
      <c r="A99" t="s">
        <v>2285</v>
      </c>
      <c r="B99" s="1" t="e">
        <v>#N/A</v>
      </c>
      <c r="C99" s="1" t="e">
        <v>#N/A</v>
      </c>
      <c r="D99" s="1" t="e">
        <v>#N/A</v>
      </c>
      <c r="E99" s="1" t="s">
        <v>2428</v>
      </c>
      <c r="F99" s="2" t="s">
        <v>2300</v>
      </c>
      <c r="G99" s="1" t="s">
        <v>2304</v>
      </c>
      <c r="H99" s="2">
        <v>17</v>
      </c>
      <c r="I99" s="3" t="s">
        <v>2317</v>
      </c>
      <c r="J99" t="s">
        <v>2365</v>
      </c>
      <c r="M99" s="3" t="s">
        <v>2301</v>
      </c>
      <c r="N99" s="3" t="s">
        <v>2255</v>
      </c>
      <c r="O99" t="s">
        <v>2310</v>
      </c>
    </row>
    <row r="100" spans="1:15" x14ac:dyDescent="0.25">
      <c r="A100" t="s">
        <v>2284</v>
      </c>
      <c r="B100" s="1" t="s">
        <v>2289</v>
      </c>
      <c r="C100" s="1" t="s">
        <v>2291</v>
      </c>
      <c r="D100" s="1" t="s">
        <v>2407</v>
      </c>
      <c r="E100" s="1" t="s">
        <v>2298</v>
      </c>
      <c r="F100" s="2" t="s">
        <v>2300</v>
      </c>
      <c r="G100" s="1" t="s">
        <v>2304</v>
      </c>
      <c r="H100" s="2">
        <v>17</v>
      </c>
      <c r="I100" s="3" t="s">
        <v>5</v>
      </c>
      <c r="J100" t="s">
        <v>2365</v>
      </c>
      <c r="M100" s="3" t="s">
        <v>2300</v>
      </c>
      <c r="N100" s="3" t="s">
        <v>2255</v>
      </c>
      <c r="O100" t="s">
        <v>2310</v>
      </c>
    </row>
    <row r="101" spans="1:15" x14ac:dyDescent="0.25">
      <c r="A101" t="s">
        <v>2284</v>
      </c>
      <c r="B101" s="1" t="s">
        <v>2288</v>
      </c>
      <c r="C101" s="1" t="s">
        <v>2291</v>
      </c>
      <c r="D101" s="1" t="s">
        <v>2407</v>
      </c>
      <c r="E101" s="1" t="s">
        <v>2298</v>
      </c>
      <c r="F101" s="2" t="s">
        <v>2300</v>
      </c>
      <c r="G101" s="1" t="s">
        <v>2304</v>
      </c>
      <c r="H101" s="2">
        <v>17</v>
      </c>
      <c r="I101" s="3" t="s">
        <v>2317</v>
      </c>
      <c r="J101" t="s">
        <v>2365</v>
      </c>
      <c r="M101" s="3" t="s">
        <v>2300</v>
      </c>
      <c r="N101" s="3" t="s">
        <v>2255</v>
      </c>
      <c r="O101" t="s">
        <v>2310</v>
      </c>
    </row>
    <row r="102" spans="1:15" x14ac:dyDescent="0.25">
      <c r="A102" t="s">
        <v>2284</v>
      </c>
      <c r="B102" s="1" t="s">
        <v>2288</v>
      </c>
      <c r="C102" s="1" t="s">
        <v>2291</v>
      </c>
      <c r="D102" s="1" t="s">
        <v>2407</v>
      </c>
      <c r="E102" s="1" t="s">
        <v>2298</v>
      </c>
      <c r="F102" s="2" t="s">
        <v>2300</v>
      </c>
      <c r="G102" s="1" t="s">
        <v>2303</v>
      </c>
      <c r="H102" s="2">
        <v>17</v>
      </c>
      <c r="I102" s="3" t="s">
        <v>2363</v>
      </c>
      <c r="J102" t="s">
        <v>2365</v>
      </c>
      <c r="M102" s="3" t="s">
        <v>2300</v>
      </c>
      <c r="N102" s="3" t="s">
        <v>2256</v>
      </c>
      <c r="O102" t="s">
        <v>2310</v>
      </c>
    </row>
    <row r="103" spans="1:15" x14ac:dyDescent="0.25">
      <c r="A103" t="s">
        <v>2284</v>
      </c>
      <c r="B103" s="1" t="s">
        <v>2289</v>
      </c>
      <c r="C103" s="1" t="s">
        <v>2291</v>
      </c>
      <c r="D103" s="1" t="s">
        <v>2407</v>
      </c>
      <c r="E103" s="1" t="s">
        <v>2298</v>
      </c>
      <c r="F103" s="2" t="s">
        <v>2300</v>
      </c>
      <c r="G103" s="1" t="s">
        <v>2304</v>
      </c>
      <c r="H103" s="2">
        <v>17</v>
      </c>
      <c r="I103" s="3" t="s">
        <v>2318</v>
      </c>
      <c r="J103" t="s">
        <v>2365</v>
      </c>
      <c r="M103" s="3" t="s">
        <v>2300</v>
      </c>
      <c r="N103" s="3" t="s">
        <v>2255</v>
      </c>
      <c r="O103" t="s">
        <v>2310</v>
      </c>
    </row>
    <row r="104" spans="1:15" x14ac:dyDescent="0.25">
      <c r="A104" t="s">
        <v>2285</v>
      </c>
      <c r="B104" s="1" t="e">
        <v>#N/A</v>
      </c>
      <c r="C104" s="1" t="e">
        <v>#N/A</v>
      </c>
      <c r="D104" s="1" t="e">
        <v>#N/A</v>
      </c>
      <c r="E104" s="1" t="s">
        <v>2428</v>
      </c>
      <c r="F104" s="2" t="s">
        <v>2301</v>
      </c>
      <c r="G104" s="1" t="s">
        <v>2304</v>
      </c>
      <c r="H104" s="2">
        <v>17</v>
      </c>
      <c r="I104" s="3" t="s">
        <v>31</v>
      </c>
      <c r="J104" t="s">
        <v>2365</v>
      </c>
      <c r="M104" s="3" t="s">
        <v>2300</v>
      </c>
      <c r="N104" s="3" t="s">
        <v>2255</v>
      </c>
      <c r="O104" t="s">
        <v>2310</v>
      </c>
    </row>
    <row r="105" spans="1:15" x14ac:dyDescent="0.25">
      <c r="A105" t="s">
        <v>2285</v>
      </c>
      <c r="B105" s="1" t="e">
        <v>#N/A</v>
      </c>
      <c r="C105" s="1" t="e">
        <v>#N/A</v>
      </c>
      <c r="D105" s="1" t="e">
        <v>#N/A</v>
      </c>
      <c r="E105" s="1" t="s">
        <v>2298</v>
      </c>
      <c r="F105" s="2" t="s">
        <v>2300</v>
      </c>
      <c r="G105" s="1" t="s">
        <v>2304</v>
      </c>
      <c r="H105" s="2">
        <v>17</v>
      </c>
      <c r="I105" s="3" t="s">
        <v>19</v>
      </c>
      <c r="J105" t="s">
        <v>2365</v>
      </c>
      <c r="M105" s="3" t="s">
        <v>2300</v>
      </c>
      <c r="N105" s="3" t="s">
        <v>2255</v>
      </c>
      <c r="O105" t="s">
        <v>2310</v>
      </c>
    </row>
    <row r="106" spans="1:15" x14ac:dyDescent="0.25">
      <c r="A106" t="s">
        <v>2285</v>
      </c>
      <c r="B106" s="1" t="e">
        <v>#N/A</v>
      </c>
      <c r="C106" s="1" t="e">
        <v>#N/A</v>
      </c>
      <c r="D106" s="1" t="e">
        <v>#N/A</v>
      </c>
      <c r="E106" s="1" t="s">
        <v>2428</v>
      </c>
      <c r="F106" s="2" t="s">
        <v>2300</v>
      </c>
      <c r="G106" s="1" t="s">
        <v>2304</v>
      </c>
      <c r="H106" s="2">
        <v>17</v>
      </c>
      <c r="I106" s="3" t="s">
        <v>2319</v>
      </c>
      <c r="J106" t="s">
        <v>2365</v>
      </c>
      <c r="M106" s="3" t="s">
        <v>2301</v>
      </c>
      <c r="N106" s="3" t="s">
        <v>2255</v>
      </c>
      <c r="O106" t="s">
        <v>2310</v>
      </c>
    </row>
    <row r="107" spans="1:15" x14ac:dyDescent="0.25">
      <c r="A107" t="s">
        <v>2284</v>
      </c>
      <c r="B107" s="1" t="s">
        <v>2288</v>
      </c>
      <c r="C107" s="1" t="s">
        <v>2291</v>
      </c>
      <c r="D107" s="1" t="s">
        <v>2407</v>
      </c>
      <c r="E107" s="1" t="s">
        <v>2298</v>
      </c>
      <c r="F107" s="2" t="s">
        <v>2300</v>
      </c>
      <c r="G107" s="1" t="s">
        <v>2303</v>
      </c>
      <c r="H107" s="2">
        <v>17</v>
      </c>
      <c r="I107" s="3" t="s">
        <v>1</v>
      </c>
      <c r="J107" t="s">
        <v>2365</v>
      </c>
      <c r="M107" s="3" t="s">
        <v>2300</v>
      </c>
      <c r="N107" s="3" t="s">
        <v>2256</v>
      </c>
      <c r="O107" t="s">
        <v>2310</v>
      </c>
    </row>
    <row r="108" spans="1:15" x14ac:dyDescent="0.25">
      <c r="A108" t="s">
        <v>2284</v>
      </c>
      <c r="B108" s="1" t="s">
        <v>2288</v>
      </c>
      <c r="C108" s="1" t="s">
        <v>2291</v>
      </c>
      <c r="D108" s="1" t="s">
        <v>2407</v>
      </c>
      <c r="E108" s="1" t="s">
        <v>2298</v>
      </c>
      <c r="F108" s="2" t="s">
        <v>2300</v>
      </c>
      <c r="G108" s="1" t="s">
        <v>2303</v>
      </c>
      <c r="H108" s="2">
        <v>14</v>
      </c>
      <c r="I108" s="3" t="s">
        <v>2371</v>
      </c>
      <c r="J108" t="s">
        <v>2365</v>
      </c>
      <c r="M108" s="3" t="s">
        <v>2300</v>
      </c>
      <c r="N108" s="3" t="s">
        <v>2256</v>
      </c>
      <c r="O108" t="s">
        <v>2310</v>
      </c>
    </row>
    <row r="109" spans="1:15" x14ac:dyDescent="0.25">
      <c r="A109" t="s">
        <v>2284</v>
      </c>
      <c r="B109" s="1" t="s">
        <v>2288</v>
      </c>
      <c r="C109" s="1" t="s">
        <v>2291</v>
      </c>
      <c r="D109" s="1" t="s">
        <v>2413</v>
      </c>
      <c r="E109" s="1" t="s">
        <v>2298</v>
      </c>
      <c r="F109" s="2" t="s">
        <v>2300</v>
      </c>
      <c r="G109" s="1" t="s">
        <v>2303</v>
      </c>
      <c r="H109" s="2">
        <v>14</v>
      </c>
      <c r="I109" s="3" t="s">
        <v>2331</v>
      </c>
      <c r="J109" t="s">
        <v>2365</v>
      </c>
      <c r="M109" s="3" t="s">
        <v>2300</v>
      </c>
      <c r="N109" s="3" t="s">
        <v>2256</v>
      </c>
      <c r="O109" t="s">
        <v>2310</v>
      </c>
    </row>
    <row r="110" spans="1:15" x14ac:dyDescent="0.25">
      <c r="A110" t="s">
        <v>2284</v>
      </c>
      <c r="B110" s="1" t="s">
        <v>2288</v>
      </c>
      <c r="C110" s="1" t="s">
        <v>2291</v>
      </c>
      <c r="D110" s="1" t="s">
        <v>2407</v>
      </c>
      <c r="E110" s="1" t="s">
        <v>2298</v>
      </c>
      <c r="F110" s="2" t="s">
        <v>2300</v>
      </c>
      <c r="G110" s="1" t="s">
        <v>2303</v>
      </c>
      <c r="H110" s="2">
        <v>14</v>
      </c>
      <c r="I110" s="3" t="s">
        <v>2372</v>
      </c>
      <c r="J110" t="s">
        <v>2365</v>
      </c>
      <c r="M110" s="3" t="s">
        <v>2300</v>
      </c>
      <c r="N110" s="3" t="s">
        <v>2256</v>
      </c>
      <c r="O110" t="s">
        <v>2310</v>
      </c>
    </row>
    <row r="111" spans="1:15" x14ac:dyDescent="0.25">
      <c r="A111" t="s">
        <v>2285</v>
      </c>
      <c r="B111" s="1" t="e">
        <v>#N/A</v>
      </c>
      <c r="C111" s="1" t="e">
        <v>#N/A</v>
      </c>
      <c r="D111" s="1" t="e">
        <v>#N/A</v>
      </c>
      <c r="E111" s="1" t="s">
        <v>2298</v>
      </c>
      <c r="F111" s="2" t="s">
        <v>2300</v>
      </c>
      <c r="G111" s="1" t="s">
        <v>2304</v>
      </c>
      <c r="H111" s="2">
        <v>14</v>
      </c>
      <c r="I111" s="3" t="s">
        <v>2420</v>
      </c>
      <c r="J111" t="s">
        <v>2365</v>
      </c>
      <c r="M111" s="3" t="s">
        <v>2300</v>
      </c>
      <c r="N111" s="3" t="s">
        <v>2255</v>
      </c>
      <c r="O111" t="s">
        <v>2310</v>
      </c>
    </row>
    <row r="112" spans="1:15" x14ac:dyDescent="0.25">
      <c r="A112" t="s">
        <v>2284</v>
      </c>
      <c r="B112" s="1" t="s">
        <v>2289</v>
      </c>
      <c r="C112" s="1" t="s">
        <v>2291</v>
      </c>
      <c r="D112" s="1" t="s">
        <v>2413</v>
      </c>
      <c r="E112" s="1" t="s">
        <v>2298</v>
      </c>
      <c r="F112" s="2" t="s">
        <v>2300</v>
      </c>
      <c r="G112" s="1" t="s">
        <v>2304</v>
      </c>
      <c r="H112" s="2">
        <v>14</v>
      </c>
      <c r="I112" s="3" t="s">
        <v>2374</v>
      </c>
      <c r="J112" t="s">
        <v>2365</v>
      </c>
      <c r="M112" s="3" t="s">
        <v>2300</v>
      </c>
      <c r="N112" s="3" t="s">
        <v>2255</v>
      </c>
      <c r="O112" t="s">
        <v>2310</v>
      </c>
    </row>
    <row r="113" spans="1:15" x14ac:dyDescent="0.25">
      <c r="A113" t="s">
        <v>2284</v>
      </c>
      <c r="B113" s="1" t="s">
        <v>2288</v>
      </c>
      <c r="C113" s="1" t="s">
        <v>2291</v>
      </c>
      <c r="D113" s="1" t="s">
        <v>2413</v>
      </c>
      <c r="E113" s="1" t="s">
        <v>2298</v>
      </c>
      <c r="F113" s="2" t="s">
        <v>2300</v>
      </c>
      <c r="G113" s="1" t="s">
        <v>2304</v>
      </c>
      <c r="H113" s="2">
        <v>14</v>
      </c>
      <c r="I113" s="3" t="s">
        <v>2317</v>
      </c>
      <c r="J113" t="s">
        <v>2365</v>
      </c>
      <c r="M113" s="3" t="s">
        <v>2300</v>
      </c>
      <c r="N113" s="3" t="s">
        <v>2255</v>
      </c>
      <c r="O113" t="s">
        <v>2310</v>
      </c>
    </row>
    <row r="114" spans="1:15" x14ac:dyDescent="0.25">
      <c r="A114" t="s">
        <v>2285</v>
      </c>
      <c r="B114" s="1" t="e">
        <v>#N/A</v>
      </c>
      <c r="C114" s="1" t="e">
        <v>#N/A</v>
      </c>
      <c r="D114" s="1" t="e">
        <v>#N/A</v>
      </c>
      <c r="E114" s="1" t="s">
        <v>2298</v>
      </c>
      <c r="F114" s="2" t="s">
        <v>2300</v>
      </c>
      <c r="G114" s="1" t="s">
        <v>2304</v>
      </c>
      <c r="H114" s="2">
        <v>14</v>
      </c>
      <c r="I114" s="3" t="s">
        <v>2368</v>
      </c>
      <c r="J114" t="s">
        <v>2365</v>
      </c>
      <c r="M114" s="3" t="s">
        <v>2300</v>
      </c>
      <c r="N114" s="3" t="s">
        <v>2255</v>
      </c>
      <c r="O114" t="s">
        <v>2310</v>
      </c>
    </row>
    <row r="115" spans="1:15" x14ac:dyDescent="0.25">
      <c r="A115" t="s">
        <v>2284</v>
      </c>
      <c r="B115" s="1" t="s">
        <v>2288</v>
      </c>
      <c r="C115" s="1" t="s">
        <v>2291</v>
      </c>
      <c r="D115" s="1" t="s">
        <v>2407</v>
      </c>
      <c r="E115" s="1" t="s">
        <v>2298</v>
      </c>
      <c r="F115" s="2" t="s">
        <v>2300</v>
      </c>
      <c r="G115" s="1" t="s">
        <v>2304</v>
      </c>
      <c r="H115" s="2">
        <v>14</v>
      </c>
      <c r="I115" s="3" t="s">
        <v>2315</v>
      </c>
      <c r="J115" t="s">
        <v>2365</v>
      </c>
      <c r="M115" s="3" t="s">
        <v>2300</v>
      </c>
      <c r="N115" s="3" t="s">
        <v>2255</v>
      </c>
      <c r="O115" t="s">
        <v>2310</v>
      </c>
    </row>
    <row r="116" spans="1:15" x14ac:dyDescent="0.25">
      <c r="A116" t="s">
        <v>2284</v>
      </c>
      <c r="B116" s="1" t="s">
        <v>2288</v>
      </c>
      <c r="C116" s="1" t="s">
        <v>2291</v>
      </c>
      <c r="D116" s="1" t="s">
        <v>2413</v>
      </c>
      <c r="E116" s="1" t="s">
        <v>2298</v>
      </c>
      <c r="F116" s="2" t="s">
        <v>2300</v>
      </c>
      <c r="G116" s="1" t="s">
        <v>2304</v>
      </c>
      <c r="H116" s="2">
        <v>14</v>
      </c>
      <c r="I116" s="3" t="s">
        <v>2317</v>
      </c>
      <c r="J116" t="s">
        <v>2365</v>
      </c>
      <c r="M116" s="3" t="s">
        <v>2300</v>
      </c>
      <c r="N116" s="3" t="s">
        <v>2255</v>
      </c>
      <c r="O116" t="s">
        <v>2310</v>
      </c>
    </row>
    <row r="117" spans="1:15" x14ac:dyDescent="0.25">
      <c r="A117" t="s">
        <v>2284</v>
      </c>
      <c r="B117" s="1" t="s">
        <v>2288</v>
      </c>
      <c r="C117" s="1" t="s">
        <v>2291</v>
      </c>
      <c r="D117" s="1" t="s">
        <v>2407</v>
      </c>
      <c r="E117" s="1" t="s">
        <v>2298</v>
      </c>
      <c r="F117" s="2" t="s">
        <v>2300</v>
      </c>
      <c r="G117" s="1" t="s">
        <v>2304</v>
      </c>
      <c r="H117" s="2">
        <v>14</v>
      </c>
      <c r="I117" s="3" t="s">
        <v>2315</v>
      </c>
      <c r="J117" t="s">
        <v>2365</v>
      </c>
      <c r="M117" s="3" t="s">
        <v>2300</v>
      </c>
      <c r="N117" s="3" t="s">
        <v>2255</v>
      </c>
      <c r="O117" t="s">
        <v>2310</v>
      </c>
    </row>
    <row r="118" spans="1:15" x14ac:dyDescent="0.25">
      <c r="A118" t="s">
        <v>2284</v>
      </c>
      <c r="B118" s="1" t="s">
        <v>2288</v>
      </c>
      <c r="C118" s="1" t="s">
        <v>2291</v>
      </c>
      <c r="D118" s="1" t="s">
        <v>2413</v>
      </c>
      <c r="E118" s="1" t="s">
        <v>2298</v>
      </c>
      <c r="F118" s="2" t="s">
        <v>2300</v>
      </c>
      <c r="G118" s="1" t="s">
        <v>2304</v>
      </c>
      <c r="H118" s="2">
        <v>14</v>
      </c>
      <c r="I118" s="3" t="s">
        <v>2319</v>
      </c>
      <c r="J118" t="s">
        <v>2365</v>
      </c>
      <c r="M118" s="3" t="s">
        <v>2300</v>
      </c>
      <c r="N118" s="3" t="s">
        <v>2255</v>
      </c>
      <c r="O118" t="s">
        <v>2310</v>
      </c>
    </row>
    <row r="119" spans="1:15" x14ac:dyDescent="0.25">
      <c r="A119" t="s">
        <v>2284</v>
      </c>
      <c r="B119" s="1" t="s">
        <v>2288</v>
      </c>
      <c r="C119" s="1" t="s">
        <v>2291</v>
      </c>
      <c r="D119" s="1" t="s">
        <v>2407</v>
      </c>
      <c r="E119" s="1" t="s">
        <v>2298</v>
      </c>
      <c r="F119" s="2" t="s">
        <v>2300</v>
      </c>
      <c r="G119" s="1" t="s">
        <v>2304</v>
      </c>
      <c r="H119" s="2">
        <v>14</v>
      </c>
      <c r="I119" s="3" t="s">
        <v>2317</v>
      </c>
      <c r="J119" t="s">
        <v>2365</v>
      </c>
      <c r="M119" s="3" t="s">
        <v>2300</v>
      </c>
      <c r="N119" s="3" t="s">
        <v>2255</v>
      </c>
      <c r="O119" t="s">
        <v>2310</v>
      </c>
    </row>
    <row r="120" spans="1:15" x14ac:dyDescent="0.25">
      <c r="A120" t="s">
        <v>2284</v>
      </c>
      <c r="B120" s="1" t="s">
        <v>2288</v>
      </c>
      <c r="C120" s="1" t="s">
        <v>2291</v>
      </c>
      <c r="D120" s="1" t="s">
        <v>2407</v>
      </c>
      <c r="E120" s="1" t="s">
        <v>2298</v>
      </c>
      <c r="F120" s="2" t="s">
        <v>2300</v>
      </c>
      <c r="G120" s="1" t="s">
        <v>2304</v>
      </c>
      <c r="H120" s="2">
        <v>14</v>
      </c>
      <c r="I120" s="3" t="s">
        <v>2317</v>
      </c>
      <c r="J120" t="s">
        <v>2365</v>
      </c>
      <c r="M120" s="3" t="s">
        <v>2300</v>
      </c>
      <c r="N120" s="3" t="s">
        <v>2255</v>
      </c>
      <c r="O120" t="s">
        <v>2310</v>
      </c>
    </row>
    <row r="121" spans="1:15" x14ac:dyDescent="0.25">
      <c r="A121" t="s">
        <v>2284</v>
      </c>
      <c r="B121" s="1" t="s">
        <v>2288</v>
      </c>
      <c r="C121" s="1" t="s">
        <v>2291</v>
      </c>
      <c r="D121" s="1" t="s">
        <v>2413</v>
      </c>
      <c r="E121" s="1" t="s">
        <v>2298</v>
      </c>
      <c r="F121" s="2" t="s">
        <v>2300</v>
      </c>
      <c r="G121" s="1" t="s">
        <v>2304</v>
      </c>
      <c r="H121" s="2">
        <v>14</v>
      </c>
      <c r="I121" s="3" t="s">
        <v>2317</v>
      </c>
      <c r="J121" t="s">
        <v>2365</v>
      </c>
      <c r="M121" s="3" t="s">
        <v>2300</v>
      </c>
      <c r="N121" s="3" t="s">
        <v>2255</v>
      </c>
      <c r="O121" t="s">
        <v>2310</v>
      </c>
    </row>
    <row r="122" spans="1:15" x14ac:dyDescent="0.25">
      <c r="A122" t="s">
        <v>2285</v>
      </c>
      <c r="B122" s="1" t="e">
        <v>#N/A</v>
      </c>
      <c r="C122" s="1" t="e">
        <v>#N/A</v>
      </c>
      <c r="D122" s="1" t="e">
        <v>#N/A</v>
      </c>
      <c r="E122" s="1" t="s">
        <v>2298</v>
      </c>
      <c r="F122" s="2" t="s">
        <v>2300</v>
      </c>
      <c r="G122" s="1" t="s">
        <v>2305</v>
      </c>
      <c r="H122" s="2">
        <v>14</v>
      </c>
      <c r="I122" s="3" t="s">
        <v>2369</v>
      </c>
      <c r="J122" t="s">
        <v>2365</v>
      </c>
      <c r="M122" s="3" t="s">
        <v>2300</v>
      </c>
      <c r="N122" s="3" t="s">
        <v>2258</v>
      </c>
      <c r="O122" t="s">
        <v>2310</v>
      </c>
    </row>
    <row r="123" spans="1:15" x14ac:dyDescent="0.25">
      <c r="A123" t="s">
        <v>2285</v>
      </c>
      <c r="B123" s="1" t="e">
        <v>#N/A</v>
      </c>
      <c r="C123" s="1" t="e">
        <v>#N/A</v>
      </c>
      <c r="D123" s="1" t="e">
        <v>#N/A</v>
      </c>
      <c r="E123" s="1" t="s">
        <v>2298</v>
      </c>
      <c r="F123" s="2" t="s">
        <v>2300</v>
      </c>
      <c r="G123" s="1" t="s">
        <v>2304</v>
      </c>
      <c r="H123" s="2">
        <v>14</v>
      </c>
      <c r="I123" s="3" t="s">
        <v>22</v>
      </c>
      <c r="J123" t="s">
        <v>2365</v>
      </c>
      <c r="M123" s="3" t="s">
        <v>2300</v>
      </c>
      <c r="N123" s="3" t="s">
        <v>2255</v>
      </c>
      <c r="O123" t="s">
        <v>2310</v>
      </c>
    </row>
    <row r="124" spans="1:15" x14ac:dyDescent="0.25">
      <c r="A124" t="s">
        <v>2284</v>
      </c>
      <c r="B124" s="1" t="s">
        <v>2288</v>
      </c>
      <c r="C124" s="1" t="s">
        <v>2291</v>
      </c>
      <c r="D124" s="1" t="s">
        <v>2407</v>
      </c>
      <c r="E124" s="1" t="s">
        <v>2298</v>
      </c>
      <c r="F124" s="2" t="s">
        <v>2300</v>
      </c>
      <c r="G124" s="1" t="s">
        <v>2304</v>
      </c>
      <c r="H124" s="2">
        <v>14</v>
      </c>
      <c r="I124" s="3" t="s">
        <v>2313</v>
      </c>
      <c r="J124" t="s">
        <v>2365</v>
      </c>
      <c r="M124" s="3" t="s">
        <v>2300</v>
      </c>
      <c r="N124" s="3" t="s">
        <v>2255</v>
      </c>
      <c r="O124" t="s">
        <v>2310</v>
      </c>
    </row>
    <row r="125" spans="1:15" x14ac:dyDescent="0.25">
      <c r="A125" t="s">
        <v>2284</v>
      </c>
      <c r="B125" s="1" t="s">
        <v>2288</v>
      </c>
      <c r="C125" s="1" t="s">
        <v>2291</v>
      </c>
      <c r="D125" s="1" t="s">
        <v>2413</v>
      </c>
      <c r="E125" s="1" t="s">
        <v>2298</v>
      </c>
      <c r="F125" s="2" t="s">
        <v>2300</v>
      </c>
      <c r="G125" s="1" t="s">
        <v>2304</v>
      </c>
      <c r="H125" s="2">
        <v>14</v>
      </c>
      <c r="I125" s="3" t="s">
        <v>2315</v>
      </c>
      <c r="J125" t="s">
        <v>2365</v>
      </c>
      <c r="M125" s="3" t="s">
        <v>2300</v>
      </c>
      <c r="N125" s="3" t="s">
        <v>2255</v>
      </c>
      <c r="O125" t="s">
        <v>2310</v>
      </c>
    </row>
    <row r="126" spans="1:15" x14ac:dyDescent="0.25">
      <c r="A126" t="s">
        <v>2284</v>
      </c>
      <c r="B126" s="1" t="s">
        <v>2288</v>
      </c>
      <c r="C126" s="1" t="s">
        <v>2291</v>
      </c>
      <c r="D126" s="1" t="s">
        <v>2413</v>
      </c>
      <c r="E126" s="1" t="s">
        <v>2298</v>
      </c>
      <c r="F126" s="2" t="s">
        <v>2300</v>
      </c>
      <c r="G126" s="1" t="s">
        <v>2304</v>
      </c>
      <c r="H126" s="2">
        <v>14</v>
      </c>
      <c r="I126" s="3" t="s">
        <v>2</v>
      </c>
      <c r="J126" t="s">
        <v>2365</v>
      </c>
      <c r="M126" s="3" t="s">
        <v>2300</v>
      </c>
      <c r="N126" s="3" t="s">
        <v>2255</v>
      </c>
      <c r="O126" t="s">
        <v>2310</v>
      </c>
    </row>
    <row r="127" spans="1:15" x14ac:dyDescent="0.25">
      <c r="A127" t="s">
        <v>2284</v>
      </c>
      <c r="B127" s="1" t="s">
        <v>2288</v>
      </c>
      <c r="C127" s="1" t="s">
        <v>2291</v>
      </c>
      <c r="D127" s="1" t="s">
        <v>2413</v>
      </c>
      <c r="E127" s="1" t="s">
        <v>2298</v>
      </c>
      <c r="F127" s="2" t="s">
        <v>2300</v>
      </c>
      <c r="G127" s="1" t="s">
        <v>2304</v>
      </c>
      <c r="H127" s="2">
        <v>14</v>
      </c>
      <c r="I127" s="3" t="s">
        <v>1</v>
      </c>
      <c r="J127" t="s">
        <v>2365</v>
      </c>
      <c r="M127" s="3" t="s">
        <v>2300</v>
      </c>
      <c r="N127" s="3" t="s">
        <v>2255</v>
      </c>
      <c r="O127" t="s">
        <v>2310</v>
      </c>
    </row>
    <row r="128" spans="1:15" x14ac:dyDescent="0.25">
      <c r="A128" t="s">
        <v>2284</v>
      </c>
      <c r="B128" s="1" t="s">
        <v>2288</v>
      </c>
      <c r="C128" s="1" t="s">
        <v>2291</v>
      </c>
      <c r="D128" s="1" t="s">
        <v>2413</v>
      </c>
      <c r="E128" s="1" t="s">
        <v>2298</v>
      </c>
      <c r="F128" s="2" t="s">
        <v>2300</v>
      </c>
      <c r="G128" s="1" t="s">
        <v>2303</v>
      </c>
      <c r="H128" s="2">
        <v>14</v>
      </c>
      <c r="I128" s="3" t="s">
        <v>2316</v>
      </c>
      <c r="J128" t="s">
        <v>2365</v>
      </c>
      <c r="M128" s="3" t="s">
        <v>2300</v>
      </c>
      <c r="N128" s="3" t="s">
        <v>2256</v>
      </c>
      <c r="O128" t="s">
        <v>2310</v>
      </c>
    </row>
    <row r="129" spans="1:15" x14ac:dyDescent="0.25">
      <c r="A129" t="s">
        <v>2284</v>
      </c>
      <c r="B129" s="1" t="s">
        <v>2288</v>
      </c>
      <c r="C129" s="1" t="s">
        <v>2291</v>
      </c>
      <c r="D129" s="1" t="s">
        <v>2413</v>
      </c>
      <c r="E129" s="1" t="s">
        <v>2298</v>
      </c>
      <c r="F129" s="2" t="s">
        <v>2300</v>
      </c>
      <c r="G129" s="1" t="s">
        <v>2304</v>
      </c>
      <c r="H129" s="2">
        <v>14</v>
      </c>
      <c r="I129" s="3" t="s">
        <v>2319</v>
      </c>
      <c r="J129" t="s">
        <v>2365</v>
      </c>
      <c r="M129" s="3" t="s">
        <v>2300</v>
      </c>
      <c r="N129" s="3" t="s">
        <v>2255</v>
      </c>
      <c r="O129" t="s">
        <v>2310</v>
      </c>
    </row>
    <row r="130" spans="1:15" x14ac:dyDescent="0.25">
      <c r="A130" t="s">
        <v>2284</v>
      </c>
      <c r="B130" s="1" t="s">
        <v>2288</v>
      </c>
      <c r="C130" s="1" t="s">
        <v>2291</v>
      </c>
      <c r="D130" s="1" t="s">
        <v>2413</v>
      </c>
      <c r="E130" s="1" t="s">
        <v>2298</v>
      </c>
      <c r="F130" s="2" t="s">
        <v>2300</v>
      </c>
      <c r="G130" s="1" t="s">
        <v>2304</v>
      </c>
      <c r="H130" s="2">
        <v>14</v>
      </c>
      <c r="I130" s="3" t="s">
        <v>2317</v>
      </c>
      <c r="J130" t="s">
        <v>2365</v>
      </c>
      <c r="M130" s="3" t="s">
        <v>2300</v>
      </c>
      <c r="N130" s="3" t="s">
        <v>2255</v>
      </c>
      <c r="O130" t="s">
        <v>2310</v>
      </c>
    </row>
    <row r="131" spans="1:15" x14ac:dyDescent="0.25">
      <c r="A131" t="s">
        <v>2284</v>
      </c>
      <c r="B131" s="1" t="s">
        <v>2288</v>
      </c>
      <c r="C131" s="1" t="s">
        <v>2291</v>
      </c>
      <c r="D131" s="1" t="s">
        <v>2413</v>
      </c>
      <c r="E131" s="1" t="s">
        <v>2298</v>
      </c>
      <c r="F131" s="2" t="s">
        <v>2300</v>
      </c>
      <c r="G131" s="1" t="s">
        <v>2304</v>
      </c>
      <c r="H131" s="2">
        <v>14</v>
      </c>
      <c r="I131" s="3" t="s">
        <v>2313</v>
      </c>
      <c r="J131" t="s">
        <v>2365</v>
      </c>
      <c r="M131" s="3" t="s">
        <v>2300</v>
      </c>
      <c r="N131" s="3" t="s">
        <v>2255</v>
      </c>
      <c r="O131" t="s">
        <v>2310</v>
      </c>
    </row>
    <row r="132" spans="1:15" x14ac:dyDescent="0.25">
      <c r="A132" t="s">
        <v>2284</v>
      </c>
      <c r="B132" s="1" t="s">
        <v>2289</v>
      </c>
      <c r="C132" s="1" t="s">
        <v>2291</v>
      </c>
      <c r="D132" s="1" t="s">
        <v>2407</v>
      </c>
      <c r="E132" s="1" t="s">
        <v>2298</v>
      </c>
      <c r="F132" s="2" t="s">
        <v>2300</v>
      </c>
      <c r="G132" s="1" t="s">
        <v>2304</v>
      </c>
      <c r="H132" s="2">
        <v>14</v>
      </c>
      <c r="I132" s="3" t="s">
        <v>2349</v>
      </c>
      <c r="J132" t="s">
        <v>2365</v>
      </c>
      <c r="M132" s="3" t="s">
        <v>2300</v>
      </c>
      <c r="N132" s="3" t="s">
        <v>2255</v>
      </c>
      <c r="O132" t="s">
        <v>2310</v>
      </c>
    </row>
    <row r="133" spans="1:15" x14ac:dyDescent="0.25">
      <c r="A133" t="s">
        <v>2284</v>
      </c>
      <c r="B133" s="1" t="s">
        <v>2288</v>
      </c>
      <c r="C133" s="1" t="s">
        <v>2291</v>
      </c>
      <c r="D133" s="1" t="s">
        <v>2413</v>
      </c>
      <c r="E133" s="1" t="s">
        <v>2298</v>
      </c>
      <c r="F133" s="2" t="s">
        <v>2300</v>
      </c>
      <c r="G133" s="1" t="s">
        <v>2304</v>
      </c>
      <c r="H133" s="2">
        <v>14</v>
      </c>
      <c r="I133" s="3" t="s">
        <v>2394</v>
      </c>
      <c r="J133" t="s">
        <v>2365</v>
      </c>
      <c r="M133" s="3" t="s">
        <v>2300</v>
      </c>
      <c r="N133" s="3" t="s">
        <v>2255</v>
      </c>
      <c r="O133" t="s">
        <v>2310</v>
      </c>
    </row>
    <row r="134" spans="1:15" x14ac:dyDescent="0.25">
      <c r="A134" t="s">
        <v>2284</v>
      </c>
      <c r="B134" s="1" t="s">
        <v>2288</v>
      </c>
      <c r="C134" s="1" t="s">
        <v>2291</v>
      </c>
      <c r="D134" s="1" t="s">
        <v>2413</v>
      </c>
      <c r="E134" s="1" t="s">
        <v>2298</v>
      </c>
      <c r="F134" s="2" t="s">
        <v>2300</v>
      </c>
      <c r="G134" s="1" t="s">
        <v>2303</v>
      </c>
      <c r="H134" s="2">
        <v>14</v>
      </c>
      <c r="I134" s="3" t="s">
        <v>1</v>
      </c>
      <c r="J134" t="s">
        <v>2365</v>
      </c>
      <c r="M134" s="3" t="s">
        <v>2300</v>
      </c>
      <c r="N134" s="3" t="s">
        <v>2256</v>
      </c>
      <c r="O134" t="s">
        <v>2310</v>
      </c>
    </row>
    <row r="135" spans="1:15" x14ac:dyDescent="0.25">
      <c r="A135" t="s">
        <v>2285</v>
      </c>
      <c r="B135" s="1" t="e">
        <v>#N/A</v>
      </c>
      <c r="C135" s="1" t="e">
        <v>#N/A</v>
      </c>
      <c r="D135" s="1" t="e">
        <v>#N/A</v>
      </c>
      <c r="E135" s="1" t="s">
        <v>2298</v>
      </c>
      <c r="F135" s="2" t="s">
        <v>2300</v>
      </c>
      <c r="G135" s="1" t="s">
        <v>2304</v>
      </c>
      <c r="H135" s="2">
        <v>14</v>
      </c>
      <c r="I135" s="3" t="s">
        <v>2370</v>
      </c>
      <c r="J135" t="s">
        <v>2365</v>
      </c>
      <c r="M135" s="3" t="s">
        <v>2300</v>
      </c>
      <c r="N135" s="3" t="s">
        <v>2255</v>
      </c>
      <c r="O135" t="s">
        <v>2310</v>
      </c>
    </row>
    <row r="136" spans="1:15" x14ac:dyDescent="0.25">
      <c r="A136" t="s">
        <v>2284</v>
      </c>
      <c r="B136" s="1" t="s">
        <v>2288</v>
      </c>
      <c r="C136" s="1" t="s">
        <v>2291</v>
      </c>
      <c r="D136" s="1" t="s">
        <v>2413</v>
      </c>
      <c r="E136" s="1" t="s">
        <v>2298</v>
      </c>
      <c r="F136" s="2" t="s">
        <v>2300</v>
      </c>
      <c r="G136" s="1" t="s">
        <v>2304</v>
      </c>
      <c r="H136" s="2">
        <v>14</v>
      </c>
      <c r="I136" s="3" t="s">
        <v>2315</v>
      </c>
      <c r="J136" t="s">
        <v>2365</v>
      </c>
      <c r="M136" s="3" t="s">
        <v>2300</v>
      </c>
      <c r="N136" s="3" t="s">
        <v>2255</v>
      </c>
      <c r="O136" t="s">
        <v>2310</v>
      </c>
    </row>
    <row r="137" spans="1:15" x14ac:dyDescent="0.25">
      <c r="A137" t="s">
        <v>2284</v>
      </c>
      <c r="B137" s="1" t="s">
        <v>2289</v>
      </c>
      <c r="C137" s="1" t="s">
        <v>2291</v>
      </c>
      <c r="D137" s="1" t="s">
        <v>2400</v>
      </c>
      <c r="E137" s="1" t="s">
        <v>2298</v>
      </c>
      <c r="F137" s="2" t="s">
        <v>2300</v>
      </c>
      <c r="G137" s="1" t="s">
        <v>2304</v>
      </c>
      <c r="H137" s="2">
        <v>14</v>
      </c>
      <c r="I137" s="3" t="s">
        <v>2327</v>
      </c>
      <c r="J137" t="s">
        <v>2365</v>
      </c>
      <c r="M137" s="3" t="s">
        <v>2300</v>
      </c>
      <c r="N137" s="3" t="s">
        <v>2255</v>
      </c>
      <c r="O137" t="s">
        <v>2310</v>
      </c>
    </row>
    <row r="138" spans="1:15" x14ac:dyDescent="0.25">
      <c r="A138" t="s">
        <v>2284</v>
      </c>
      <c r="B138" s="1" t="s">
        <v>2288</v>
      </c>
      <c r="C138" s="1" t="s">
        <v>2291</v>
      </c>
      <c r="D138" s="1" t="s">
        <v>2413</v>
      </c>
      <c r="E138" s="1" t="s">
        <v>2298</v>
      </c>
      <c r="F138" s="2" t="s">
        <v>2300</v>
      </c>
      <c r="G138" s="1" t="s">
        <v>2303</v>
      </c>
      <c r="H138" s="2">
        <v>14</v>
      </c>
      <c r="I138" s="3" t="s">
        <v>2375</v>
      </c>
      <c r="J138" t="s">
        <v>2365</v>
      </c>
      <c r="M138" s="3" t="s">
        <v>2300</v>
      </c>
      <c r="N138" s="3" t="s">
        <v>2256</v>
      </c>
      <c r="O138" t="s">
        <v>2310</v>
      </c>
    </row>
    <row r="139" spans="1:15" x14ac:dyDescent="0.25">
      <c r="A139" t="s">
        <v>2284</v>
      </c>
      <c r="B139" s="1" t="s">
        <v>2288</v>
      </c>
      <c r="C139" s="1" t="s">
        <v>2291</v>
      </c>
      <c r="D139" s="1" t="s">
        <v>2413</v>
      </c>
      <c r="E139" s="1" t="s">
        <v>2298</v>
      </c>
      <c r="F139" s="2" t="s">
        <v>2300</v>
      </c>
      <c r="G139" s="1" t="s">
        <v>2304</v>
      </c>
      <c r="H139" s="2">
        <v>14</v>
      </c>
      <c r="I139" s="3" t="s">
        <v>2376</v>
      </c>
      <c r="J139" t="s">
        <v>2365</v>
      </c>
      <c r="M139" s="3" t="s">
        <v>2300</v>
      </c>
      <c r="N139" s="3" t="s">
        <v>2255</v>
      </c>
      <c r="O139" t="s">
        <v>2310</v>
      </c>
    </row>
    <row r="140" spans="1:15" x14ac:dyDescent="0.25">
      <c r="A140" t="s">
        <v>2284</v>
      </c>
      <c r="B140" s="1" t="s">
        <v>2288</v>
      </c>
      <c r="C140" s="1" t="s">
        <v>2291</v>
      </c>
      <c r="D140" s="1" t="s">
        <v>2413</v>
      </c>
      <c r="E140" s="1" t="s">
        <v>2298</v>
      </c>
      <c r="F140" s="2" t="s">
        <v>2300</v>
      </c>
      <c r="G140" s="1" t="s">
        <v>2304</v>
      </c>
      <c r="H140" s="2">
        <v>14</v>
      </c>
      <c r="I140" s="3" t="s">
        <v>2313</v>
      </c>
      <c r="J140" t="s">
        <v>2365</v>
      </c>
      <c r="M140" s="3" t="s">
        <v>2300</v>
      </c>
      <c r="N140" s="3" t="s">
        <v>2255</v>
      </c>
      <c r="O140" t="s">
        <v>2310</v>
      </c>
    </row>
    <row r="141" spans="1:15" x14ac:dyDescent="0.25">
      <c r="A141" t="s">
        <v>2284</v>
      </c>
      <c r="B141" s="1" t="s">
        <v>2289</v>
      </c>
      <c r="C141" s="1" t="s">
        <v>2291</v>
      </c>
      <c r="D141" s="1" t="s">
        <v>2400</v>
      </c>
      <c r="E141" s="1" t="s">
        <v>2298</v>
      </c>
      <c r="F141" s="2" t="s">
        <v>2300</v>
      </c>
      <c r="G141" s="1" t="s">
        <v>2304</v>
      </c>
      <c r="H141" s="2">
        <v>14</v>
      </c>
      <c r="I141" s="3" t="s">
        <v>2318</v>
      </c>
      <c r="J141" t="s">
        <v>2365</v>
      </c>
      <c r="M141" s="3" t="s">
        <v>2300</v>
      </c>
      <c r="N141" s="3" t="s">
        <v>2255</v>
      </c>
      <c r="O141" t="s">
        <v>2310</v>
      </c>
    </row>
    <row r="142" spans="1:15" x14ac:dyDescent="0.25">
      <c r="A142" t="s">
        <v>2285</v>
      </c>
      <c r="B142" s="1" t="e">
        <v>#N/A</v>
      </c>
      <c r="C142" s="1" t="e">
        <v>#N/A</v>
      </c>
      <c r="D142" s="1" t="e">
        <v>#N/A</v>
      </c>
      <c r="E142" s="1" t="s">
        <v>2298</v>
      </c>
      <c r="F142" s="2" t="s">
        <v>2300</v>
      </c>
      <c r="G142" s="1" t="s">
        <v>2304</v>
      </c>
      <c r="H142" s="2">
        <v>14</v>
      </c>
      <c r="I142" s="3" t="s">
        <v>19</v>
      </c>
      <c r="J142" t="s">
        <v>2365</v>
      </c>
      <c r="M142" s="3" t="s">
        <v>2300</v>
      </c>
      <c r="N142" s="3" t="s">
        <v>2255</v>
      </c>
      <c r="O142" t="s">
        <v>2310</v>
      </c>
    </row>
    <row r="143" spans="1:15" x14ac:dyDescent="0.25">
      <c r="A143" t="s">
        <v>2285</v>
      </c>
      <c r="B143" s="1" t="e">
        <v>#N/A</v>
      </c>
      <c r="C143" s="1" t="e">
        <v>#N/A</v>
      </c>
      <c r="D143" s="1" t="e">
        <v>#N/A</v>
      </c>
      <c r="E143" s="1" t="s">
        <v>2428</v>
      </c>
      <c r="F143" s="2" t="s">
        <v>2301</v>
      </c>
      <c r="G143" s="1" t="s">
        <v>2304</v>
      </c>
      <c r="H143" s="2">
        <v>14</v>
      </c>
      <c r="I143" s="3" t="s">
        <v>38</v>
      </c>
      <c r="J143" t="s">
        <v>2365</v>
      </c>
      <c r="M143" s="3" t="s">
        <v>2300</v>
      </c>
      <c r="N143" s="3" t="s">
        <v>2255</v>
      </c>
      <c r="O143" t="s">
        <v>2310</v>
      </c>
    </row>
    <row r="144" spans="1:15" x14ac:dyDescent="0.25">
      <c r="A144" t="s">
        <v>2284</v>
      </c>
      <c r="B144" s="1" t="s">
        <v>2288</v>
      </c>
      <c r="C144" s="1" t="s">
        <v>2291</v>
      </c>
      <c r="D144" s="1" t="s">
        <v>2413</v>
      </c>
      <c r="E144" s="1" t="s">
        <v>2298</v>
      </c>
      <c r="F144" s="2" t="s">
        <v>2300</v>
      </c>
      <c r="G144" s="1" t="s">
        <v>2303</v>
      </c>
      <c r="H144" s="2">
        <v>14</v>
      </c>
      <c r="I144" s="3" t="s">
        <v>2315</v>
      </c>
      <c r="J144" t="s">
        <v>2365</v>
      </c>
      <c r="M144" s="3" t="s">
        <v>2300</v>
      </c>
      <c r="N144" s="3" t="s">
        <v>2256</v>
      </c>
      <c r="O144" t="s">
        <v>2310</v>
      </c>
    </row>
    <row r="145" spans="1:15" x14ac:dyDescent="0.25">
      <c r="A145" t="s">
        <v>2285</v>
      </c>
      <c r="B145" s="1" t="e">
        <v>#N/A</v>
      </c>
      <c r="C145" s="1" t="e">
        <v>#N/A</v>
      </c>
      <c r="D145" s="1" t="e">
        <v>#N/A</v>
      </c>
      <c r="E145" s="1" t="s">
        <v>2428</v>
      </c>
      <c r="F145" s="2" t="s">
        <v>2301</v>
      </c>
      <c r="G145" s="1" t="s">
        <v>2304</v>
      </c>
      <c r="H145" s="2">
        <v>14</v>
      </c>
      <c r="I145" s="3" t="s">
        <v>2348</v>
      </c>
      <c r="J145" t="s">
        <v>2365</v>
      </c>
      <c r="M145" s="3" t="s">
        <v>2300</v>
      </c>
      <c r="N145" s="3" t="s">
        <v>2255</v>
      </c>
      <c r="O145" t="s">
        <v>2310</v>
      </c>
    </row>
    <row r="146" spans="1:15" x14ac:dyDescent="0.25">
      <c r="A146" t="s">
        <v>2284</v>
      </c>
      <c r="B146" s="1" t="s">
        <v>2288</v>
      </c>
      <c r="C146" s="1" t="s">
        <v>2291</v>
      </c>
      <c r="D146" s="1" t="s">
        <v>2407</v>
      </c>
      <c r="E146" s="1" t="s">
        <v>2298</v>
      </c>
      <c r="F146" s="2" t="s">
        <v>2300</v>
      </c>
      <c r="G146" s="1" t="s">
        <v>2304</v>
      </c>
      <c r="H146" s="2">
        <v>14</v>
      </c>
      <c r="I146" s="3" t="s">
        <v>2</v>
      </c>
      <c r="J146" t="s">
        <v>2365</v>
      </c>
      <c r="M146" s="3" t="s">
        <v>2300</v>
      </c>
      <c r="N146" s="3" t="s">
        <v>2255</v>
      </c>
      <c r="O146" t="s">
        <v>2310</v>
      </c>
    </row>
    <row r="147" spans="1:15" x14ac:dyDescent="0.25">
      <c r="A147" t="s">
        <v>2284</v>
      </c>
      <c r="B147" s="1" t="s">
        <v>2288</v>
      </c>
      <c r="C147" s="1" t="s">
        <v>2291</v>
      </c>
      <c r="D147" s="1" t="s">
        <v>2413</v>
      </c>
      <c r="E147" s="1" t="s">
        <v>2298</v>
      </c>
      <c r="F147" s="2" t="s">
        <v>2300</v>
      </c>
      <c r="G147" s="1" t="s">
        <v>2304</v>
      </c>
      <c r="H147" s="2">
        <v>14</v>
      </c>
      <c r="I147" s="3" t="s">
        <v>2317</v>
      </c>
      <c r="J147" t="s">
        <v>2365</v>
      </c>
      <c r="M147" s="3" t="s">
        <v>2300</v>
      </c>
      <c r="N147" s="3" t="s">
        <v>2255</v>
      </c>
      <c r="O147" t="s">
        <v>2310</v>
      </c>
    </row>
    <row r="148" spans="1:15" x14ac:dyDescent="0.25">
      <c r="A148" t="s">
        <v>2284</v>
      </c>
      <c r="B148" s="1" t="s">
        <v>2288</v>
      </c>
      <c r="C148" s="1" t="s">
        <v>2291</v>
      </c>
      <c r="D148" s="1" t="s">
        <v>2413</v>
      </c>
      <c r="E148" s="1" t="s">
        <v>2298</v>
      </c>
      <c r="F148" s="2" t="s">
        <v>2300</v>
      </c>
      <c r="G148" s="1" t="s">
        <v>2304</v>
      </c>
      <c r="H148" s="2">
        <v>14</v>
      </c>
      <c r="I148" s="3" t="s">
        <v>2313</v>
      </c>
      <c r="J148" t="s">
        <v>2365</v>
      </c>
      <c r="M148" s="3" t="s">
        <v>2300</v>
      </c>
      <c r="N148" s="3" t="s">
        <v>2255</v>
      </c>
      <c r="O148" t="s">
        <v>2310</v>
      </c>
    </row>
    <row r="149" spans="1:15" x14ac:dyDescent="0.25">
      <c r="A149" t="s">
        <v>2285</v>
      </c>
      <c r="B149" s="1" t="e">
        <v>#N/A</v>
      </c>
      <c r="C149" s="1" t="e">
        <v>#N/A</v>
      </c>
      <c r="D149" s="1" t="e">
        <v>#N/A</v>
      </c>
      <c r="E149" s="1" t="s">
        <v>2428</v>
      </c>
      <c r="F149" s="2" t="s">
        <v>2301</v>
      </c>
      <c r="G149" s="1" t="s">
        <v>2304</v>
      </c>
      <c r="H149" s="2">
        <v>14</v>
      </c>
      <c r="I149" s="3" t="s">
        <v>11</v>
      </c>
      <c r="J149" t="s">
        <v>2365</v>
      </c>
      <c r="M149" s="3" t="s">
        <v>2300</v>
      </c>
      <c r="N149" s="3" t="s">
        <v>2255</v>
      </c>
      <c r="O149" t="s">
        <v>2310</v>
      </c>
    </row>
    <row r="150" spans="1:15" x14ac:dyDescent="0.25">
      <c r="A150" t="s">
        <v>2284</v>
      </c>
      <c r="B150" s="1" t="s">
        <v>2288</v>
      </c>
      <c r="C150" s="1" t="s">
        <v>2291</v>
      </c>
      <c r="D150" s="1" t="s">
        <v>2413</v>
      </c>
      <c r="E150" s="1" t="s">
        <v>2298</v>
      </c>
      <c r="F150" s="2" t="s">
        <v>2300</v>
      </c>
      <c r="G150" s="1" t="s">
        <v>2304</v>
      </c>
      <c r="H150" s="2">
        <v>14</v>
      </c>
      <c r="I150" s="3" t="s">
        <v>2317</v>
      </c>
      <c r="J150" t="s">
        <v>2365</v>
      </c>
      <c r="M150" s="3" t="s">
        <v>2300</v>
      </c>
      <c r="N150" s="3" t="s">
        <v>2255</v>
      </c>
      <c r="O150" t="s">
        <v>2310</v>
      </c>
    </row>
    <row r="151" spans="1:15" x14ac:dyDescent="0.25">
      <c r="A151" t="s">
        <v>2285</v>
      </c>
      <c r="B151" s="1" t="e">
        <v>#N/A</v>
      </c>
      <c r="C151" s="1" t="e">
        <v>#N/A</v>
      </c>
      <c r="D151" s="1" t="e">
        <v>#N/A</v>
      </c>
      <c r="E151" s="1" t="s">
        <v>2428</v>
      </c>
      <c r="F151" s="2" t="s">
        <v>2301</v>
      </c>
      <c r="G151" s="1" t="s">
        <v>2304</v>
      </c>
      <c r="H151" s="2">
        <v>14</v>
      </c>
      <c r="I151" s="3" t="s">
        <v>2341</v>
      </c>
      <c r="J151" t="s">
        <v>2365</v>
      </c>
      <c r="M151" s="3" t="s">
        <v>2300</v>
      </c>
      <c r="N151" s="3" t="s">
        <v>2255</v>
      </c>
      <c r="O151" t="s">
        <v>2310</v>
      </c>
    </row>
    <row r="152" spans="1:15" x14ac:dyDescent="0.25">
      <c r="A152" t="s">
        <v>2284</v>
      </c>
      <c r="B152" s="1" t="s">
        <v>2288</v>
      </c>
      <c r="C152" s="1" t="s">
        <v>2291</v>
      </c>
      <c r="D152" s="1" t="s">
        <v>2413</v>
      </c>
      <c r="E152" s="1" t="s">
        <v>2298</v>
      </c>
      <c r="F152" s="2" t="s">
        <v>2300</v>
      </c>
      <c r="G152" s="1" t="s">
        <v>2304</v>
      </c>
      <c r="H152" s="2">
        <v>14</v>
      </c>
      <c r="I152" s="3" t="s">
        <v>2377</v>
      </c>
      <c r="J152" t="s">
        <v>2365</v>
      </c>
      <c r="M152" s="3" t="s">
        <v>2300</v>
      </c>
      <c r="N152" s="3" t="s">
        <v>2255</v>
      </c>
      <c r="O152" t="s">
        <v>2310</v>
      </c>
    </row>
    <row r="153" spans="1:15" x14ac:dyDescent="0.25">
      <c r="A153" t="s">
        <v>2283</v>
      </c>
      <c r="B153" s="1" t="s">
        <v>2289</v>
      </c>
      <c r="C153" s="1" t="s">
        <v>2291</v>
      </c>
      <c r="D153" s="1" t="s">
        <v>2400</v>
      </c>
      <c r="E153" s="1" t="s">
        <v>2298</v>
      </c>
      <c r="F153" s="2" t="s">
        <v>2300</v>
      </c>
      <c r="G153" s="1" t="s">
        <v>2304</v>
      </c>
      <c r="H153" s="2">
        <v>14</v>
      </c>
      <c r="I153" s="3" t="s">
        <v>2314</v>
      </c>
      <c r="J153" t="s">
        <v>2365</v>
      </c>
      <c r="M153" s="3" t="s">
        <v>2300</v>
      </c>
      <c r="N153" s="3" t="s">
        <v>2255</v>
      </c>
      <c r="O153" t="s">
        <v>2310</v>
      </c>
    </row>
    <row r="154" spans="1:15" x14ac:dyDescent="0.25">
      <c r="A154" t="s">
        <v>2285</v>
      </c>
      <c r="B154" s="1" t="e">
        <v>#N/A</v>
      </c>
      <c r="C154" s="1" t="e">
        <v>#N/A</v>
      </c>
      <c r="D154" s="1" t="e">
        <v>#N/A</v>
      </c>
      <c r="E154" s="1" t="s">
        <v>2428</v>
      </c>
      <c r="F154" s="2" t="s">
        <v>2301</v>
      </c>
      <c r="G154" s="1" t="s">
        <v>2304</v>
      </c>
      <c r="H154" s="2">
        <v>14</v>
      </c>
      <c r="I154" s="3" t="s">
        <v>11</v>
      </c>
      <c r="J154" t="s">
        <v>2365</v>
      </c>
      <c r="M154" s="3" t="s">
        <v>2300</v>
      </c>
      <c r="N154" s="3" t="s">
        <v>2255</v>
      </c>
      <c r="O154" t="s">
        <v>2310</v>
      </c>
    </row>
    <row r="155" spans="1:15" x14ac:dyDescent="0.25">
      <c r="A155" t="s">
        <v>2285</v>
      </c>
      <c r="B155" s="1" t="e">
        <v>#N/A</v>
      </c>
      <c r="C155" s="1" t="e">
        <v>#N/A</v>
      </c>
      <c r="D155" s="1" t="e">
        <v>#N/A</v>
      </c>
      <c r="E155" s="1" t="s">
        <v>2428</v>
      </c>
      <c r="F155" s="2" t="s">
        <v>2301</v>
      </c>
      <c r="G155" s="1" t="s">
        <v>2304</v>
      </c>
      <c r="H155" s="2">
        <v>14</v>
      </c>
      <c r="I155" s="3" t="s">
        <v>18</v>
      </c>
      <c r="J155" t="s">
        <v>2365</v>
      </c>
      <c r="M155" s="3" t="s">
        <v>2300</v>
      </c>
      <c r="N155" s="3" t="s">
        <v>2255</v>
      </c>
      <c r="O155" t="s">
        <v>2310</v>
      </c>
    </row>
    <row r="156" spans="1:15" x14ac:dyDescent="0.25">
      <c r="A156" t="s">
        <v>2285</v>
      </c>
      <c r="B156" s="1" t="e">
        <v>#N/A</v>
      </c>
      <c r="C156" s="1" t="e">
        <v>#N/A</v>
      </c>
      <c r="D156" s="1" t="e">
        <v>#N/A</v>
      </c>
      <c r="E156" s="1" t="s">
        <v>2298</v>
      </c>
      <c r="F156" s="2" t="s">
        <v>2300</v>
      </c>
      <c r="G156" s="1" t="s">
        <v>2303</v>
      </c>
      <c r="H156" s="2">
        <v>14</v>
      </c>
      <c r="I156" s="3" t="s">
        <v>2345</v>
      </c>
      <c r="J156" t="s">
        <v>2365</v>
      </c>
      <c r="M156" s="3" t="s">
        <v>2300</v>
      </c>
      <c r="N156" s="3" t="s">
        <v>2256</v>
      </c>
      <c r="O156" t="s">
        <v>2310</v>
      </c>
    </row>
    <row r="157" spans="1:15" x14ac:dyDescent="0.25">
      <c r="A157" t="s">
        <v>2283</v>
      </c>
      <c r="B157" s="1" t="s">
        <v>2288</v>
      </c>
      <c r="C157" s="1" t="s">
        <v>2293</v>
      </c>
      <c r="D157" s="1" t="s">
        <v>2407</v>
      </c>
      <c r="E157" s="1" t="s">
        <v>2298</v>
      </c>
      <c r="F157" s="2" t="s">
        <v>2300</v>
      </c>
      <c r="G157" s="1" t="s">
        <v>2304</v>
      </c>
      <c r="H157" s="2">
        <v>14</v>
      </c>
      <c r="I157" s="3" t="s">
        <v>2334</v>
      </c>
      <c r="J157" t="s">
        <v>2365</v>
      </c>
      <c r="M157" s="3" t="s">
        <v>2300</v>
      </c>
      <c r="N157" s="3" t="s">
        <v>2255</v>
      </c>
      <c r="O157" t="s">
        <v>2310</v>
      </c>
    </row>
    <row r="158" spans="1:15" x14ac:dyDescent="0.25">
      <c r="A158" t="s">
        <v>2284</v>
      </c>
      <c r="B158" s="1" t="s">
        <v>2289</v>
      </c>
      <c r="C158" s="1" t="s">
        <v>2291</v>
      </c>
      <c r="D158" s="1" t="s">
        <v>2400</v>
      </c>
      <c r="E158" s="1" t="s">
        <v>2298</v>
      </c>
      <c r="F158" s="2" t="s">
        <v>2300</v>
      </c>
      <c r="G158" s="1" t="s">
        <v>2303</v>
      </c>
      <c r="H158" s="2">
        <v>14</v>
      </c>
      <c r="I158" s="3" t="s">
        <v>2314</v>
      </c>
      <c r="J158" t="s">
        <v>2365</v>
      </c>
      <c r="M158" s="3" t="s">
        <v>2300</v>
      </c>
      <c r="N158" s="3" t="s">
        <v>2256</v>
      </c>
      <c r="O158" t="s">
        <v>2310</v>
      </c>
    </row>
    <row r="159" spans="1:15" x14ac:dyDescent="0.25">
      <c r="A159" t="s">
        <v>2285</v>
      </c>
      <c r="B159" s="1" t="e">
        <v>#N/A</v>
      </c>
      <c r="C159" s="1" t="e">
        <v>#N/A</v>
      </c>
      <c r="D159" s="1" t="e">
        <v>#N/A</v>
      </c>
      <c r="E159" s="1" t="s">
        <v>2428</v>
      </c>
      <c r="F159" s="2" t="s">
        <v>2301</v>
      </c>
      <c r="G159" s="1" t="s">
        <v>2304</v>
      </c>
      <c r="H159" s="2">
        <v>14</v>
      </c>
      <c r="I159" s="3" t="s">
        <v>2373</v>
      </c>
      <c r="J159" t="s">
        <v>2365</v>
      </c>
      <c r="M159" s="3" t="s">
        <v>2300</v>
      </c>
      <c r="N159" s="3" t="s">
        <v>2255</v>
      </c>
      <c r="O159" t="s">
        <v>2310</v>
      </c>
    </row>
    <row r="160" spans="1:15" x14ac:dyDescent="0.25">
      <c r="A160" t="s">
        <v>2285</v>
      </c>
      <c r="B160" s="1" t="e">
        <v>#N/A</v>
      </c>
      <c r="C160" s="1" t="e">
        <v>#N/A</v>
      </c>
      <c r="D160" s="1" t="e">
        <v>#N/A</v>
      </c>
      <c r="E160" s="1" t="s">
        <v>2428</v>
      </c>
      <c r="F160" s="2" t="s">
        <v>2301</v>
      </c>
      <c r="G160" s="1" t="s">
        <v>2303</v>
      </c>
      <c r="H160" s="2">
        <v>14</v>
      </c>
      <c r="I160" s="3" t="s">
        <v>2341</v>
      </c>
      <c r="J160" t="s">
        <v>2365</v>
      </c>
      <c r="M160" s="3" t="s">
        <v>2300</v>
      </c>
      <c r="N160" s="3" t="s">
        <v>2256</v>
      </c>
      <c r="O160" t="s">
        <v>2310</v>
      </c>
    </row>
    <row r="161" spans="1:15" x14ac:dyDescent="0.25">
      <c r="A161" t="s">
        <v>2284</v>
      </c>
      <c r="B161" s="1" t="s">
        <v>2289</v>
      </c>
      <c r="C161" s="1" t="s">
        <v>2291</v>
      </c>
      <c r="D161" s="1" t="s">
        <v>2400</v>
      </c>
      <c r="E161" s="1" t="s">
        <v>2298</v>
      </c>
      <c r="F161" s="2" t="s">
        <v>2300</v>
      </c>
      <c r="G161" s="1" t="s">
        <v>2304</v>
      </c>
      <c r="H161" s="2">
        <v>14</v>
      </c>
      <c r="I161" s="3" t="s">
        <v>2316</v>
      </c>
      <c r="J161" t="s">
        <v>2365</v>
      </c>
      <c r="M161" s="3" t="s">
        <v>2300</v>
      </c>
      <c r="N161" s="3" t="s">
        <v>2255</v>
      </c>
      <c r="O161" t="s">
        <v>2310</v>
      </c>
    </row>
    <row r="162" spans="1:15" x14ac:dyDescent="0.25">
      <c r="A162" t="s">
        <v>2284</v>
      </c>
      <c r="B162" s="1" t="s">
        <v>2288</v>
      </c>
      <c r="C162" s="1" t="s">
        <v>2291</v>
      </c>
      <c r="D162" s="1" t="s">
        <v>2413</v>
      </c>
      <c r="E162" s="1" t="s">
        <v>2298</v>
      </c>
      <c r="F162" s="2" t="s">
        <v>2300</v>
      </c>
      <c r="G162" s="1" t="s">
        <v>2304</v>
      </c>
      <c r="H162" s="2">
        <v>14</v>
      </c>
      <c r="I162" s="3" t="s">
        <v>2317</v>
      </c>
      <c r="J162" t="s">
        <v>2365</v>
      </c>
      <c r="M162" s="3" t="s">
        <v>2300</v>
      </c>
      <c r="N162" s="3" t="s">
        <v>2255</v>
      </c>
      <c r="O162" t="s">
        <v>2310</v>
      </c>
    </row>
    <row r="163" spans="1:15" x14ac:dyDescent="0.25">
      <c r="A163" t="s">
        <v>2285</v>
      </c>
      <c r="B163" s="1" t="e">
        <v>#N/A</v>
      </c>
      <c r="C163" s="1" t="e">
        <v>#N/A</v>
      </c>
      <c r="D163" s="1" t="e">
        <v>#N/A</v>
      </c>
      <c r="E163" s="1" t="s">
        <v>2298</v>
      </c>
      <c r="F163" s="2" t="s">
        <v>2300</v>
      </c>
      <c r="G163" s="1" t="s">
        <v>2303</v>
      </c>
      <c r="H163" s="2">
        <v>14</v>
      </c>
      <c r="I163" s="3" t="s">
        <v>23</v>
      </c>
      <c r="J163" t="s">
        <v>2365</v>
      </c>
      <c r="M163" s="3" t="s">
        <v>2300</v>
      </c>
      <c r="N163" s="3" t="s">
        <v>2256</v>
      </c>
      <c r="O163" t="s">
        <v>2310</v>
      </c>
    </row>
    <row r="164" spans="1:15" x14ac:dyDescent="0.25">
      <c r="A164" t="s">
        <v>2285</v>
      </c>
      <c r="B164" s="1" t="e">
        <v>#N/A</v>
      </c>
      <c r="C164" s="1" t="e">
        <v>#N/A</v>
      </c>
      <c r="D164" s="1" t="e">
        <v>#N/A</v>
      </c>
      <c r="E164" s="1" t="s">
        <v>2298</v>
      </c>
      <c r="F164" s="2" t="s">
        <v>2300</v>
      </c>
      <c r="G164" s="1" t="s">
        <v>2304</v>
      </c>
      <c r="H164" s="2">
        <v>13</v>
      </c>
      <c r="I164" s="3" t="s">
        <v>22</v>
      </c>
      <c r="J164" t="s">
        <v>2365</v>
      </c>
      <c r="M164" s="3" t="s">
        <v>2300</v>
      </c>
      <c r="N164" s="3" t="s">
        <v>2255</v>
      </c>
      <c r="O164" t="s">
        <v>2310</v>
      </c>
    </row>
    <row r="165" spans="1:15" x14ac:dyDescent="0.25">
      <c r="A165" t="s">
        <v>2284</v>
      </c>
      <c r="B165" s="1" t="s">
        <v>2288</v>
      </c>
      <c r="C165" s="1" t="s">
        <v>2295</v>
      </c>
      <c r="D165" s="1" t="s">
        <v>2427</v>
      </c>
      <c r="E165" s="1" t="s">
        <v>2298</v>
      </c>
      <c r="F165" s="2" t="s">
        <v>2300</v>
      </c>
      <c r="G165" s="1" t="s">
        <v>2304</v>
      </c>
      <c r="H165" s="2">
        <v>13</v>
      </c>
      <c r="I165" s="3" t="s">
        <v>2</v>
      </c>
      <c r="J165" t="s">
        <v>2365</v>
      </c>
      <c r="M165" s="3" t="s">
        <v>2300</v>
      </c>
      <c r="N165" s="3" t="s">
        <v>2255</v>
      </c>
      <c r="O165" t="s">
        <v>2310</v>
      </c>
    </row>
    <row r="166" spans="1:15" x14ac:dyDescent="0.25">
      <c r="A166" t="s">
        <v>2284</v>
      </c>
      <c r="B166" s="1" t="s">
        <v>2288</v>
      </c>
      <c r="C166" s="1" t="s">
        <v>2295</v>
      </c>
      <c r="D166" s="1" t="s">
        <v>2427</v>
      </c>
      <c r="E166" s="1" t="s">
        <v>2298</v>
      </c>
      <c r="F166" s="2" t="s">
        <v>2300</v>
      </c>
      <c r="G166" s="1" t="s">
        <v>2304</v>
      </c>
      <c r="H166" s="2">
        <v>13</v>
      </c>
      <c r="I166" s="3" t="s">
        <v>2327</v>
      </c>
      <c r="J166" t="s">
        <v>2365</v>
      </c>
      <c r="M166" s="3" t="s">
        <v>2300</v>
      </c>
      <c r="N166" s="3" t="s">
        <v>2255</v>
      </c>
      <c r="O166" t="s">
        <v>2310</v>
      </c>
    </row>
    <row r="167" spans="1:15" x14ac:dyDescent="0.25">
      <c r="A167" t="s">
        <v>2284</v>
      </c>
      <c r="B167" s="1" t="s">
        <v>2288</v>
      </c>
      <c r="C167" s="1" t="s">
        <v>2295</v>
      </c>
      <c r="D167" s="1" t="s">
        <v>2427</v>
      </c>
      <c r="E167" s="1" t="s">
        <v>2298</v>
      </c>
      <c r="F167" s="2" t="s">
        <v>2300</v>
      </c>
      <c r="G167" s="1" t="s">
        <v>2304</v>
      </c>
      <c r="H167" s="2">
        <v>13</v>
      </c>
      <c r="I167" s="3" t="s">
        <v>2317</v>
      </c>
      <c r="J167" t="s">
        <v>2365</v>
      </c>
      <c r="M167" s="3" t="s">
        <v>2300</v>
      </c>
      <c r="N167" s="3" t="s">
        <v>2255</v>
      </c>
      <c r="O167" t="s">
        <v>2310</v>
      </c>
    </row>
    <row r="168" spans="1:15" x14ac:dyDescent="0.25">
      <c r="A168" t="s">
        <v>2285</v>
      </c>
      <c r="B168" s="1" t="e">
        <v>#N/A</v>
      </c>
      <c r="C168" s="1" t="e">
        <v>#N/A</v>
      </c>
      <c r="D168" s="1" t="e">
        <v>#N/A</v>
      </c>
      <c r="E168" s="1" t="s">
        <v>2298</v>
      </c>
      <c r="F168" s="2" t="s">
        <v>2300</v>
      </c>
      <c r="G168" s="1" t="s">
        <v>2304</v>
      </c>
      <c r="H168" s="2">
        <v>13</v>
      </c>
      <c r="I168" s="3" t="s">
        <v>21</v>
      </c>
      <c r="J168" t="s">
        <v>2365</v>
      </c>
      <c r="M168" s="3" t="s">
        <v>2300</v>
      </c>
      <c r="N168" s="3" t="s">
        <v>2255</v>
      </c>
      <c r="O168" t="s">
        <v>2310</v>
      </c>
    </row>
    <row r="169" spans="1:15" x14ac:dyDescent="0.25">
      <c r="A169" t="s">
        <v>2285</v>
      </c>
      <c r="B169" s="1" t="e">
        <v>#N/A</v>
      </c>
      <c r="C169" s="1" t="e">
        <v>#N/A</v>
      </c>
      <c r="D169" s="1" t="e">
        <v>#N/A</v>
      </c>
      <c r="E169" s="1" t="s">
        <v>2428</v>
      </c>
      <c r="F169" s="2" t="s">
        <v>2301</v>
      </c>
      <c r="G169" s="1" t="s">
        <v>2304</v>
      </c>
      <c r="H169" s="2">
        <v>13</v>
      </c>
      <c r="I169" s="3" t="s">
        <v>2321</v>
      </c>
      <c r="J169" t="s">
        <v>2365</v>
      </c>
      <c r="M169" s="3" t="s">
        <v>2300</v>
      </c>
      <c r="N169" s="3" t="s">
        <v>2255</v>
      </c>
      <c r="O169" t="s">
        <v>2310</v>
      </c>
    </row>
    <row r="170" spans="1:15" x14ac:dyDescent="0.25">
      <c r="A170" t="s">
        <v>2284</v>
      </c>
      <c r="B170" s="1" t="s">
        <v>2288</v>
      </c>
      <c r="C170" s="1" t="s">
        <v>2295</v>
      </c>
      <c r="D170" s="1" t="s">
        <v>2427</v>
      </c>
      <c r="E170" s="1" t="s">
        <v>2298</v>
      </c>
      <c r="F170" s="2" t="s">
        <v>2300</v>
      </c>
      <c r="G170" s="1" t="s">
        <v>2304</v>
      </c>
      <c r="H170" s="2">
        <v>13</v>
      </c>
      <c r="I170" s="3" t="s">
        <v>2319</v>
      </c>
      <c r="J170" t="s">
        <v>2365</v>
      </c>
      <c r="M170" s="3" t="s">
        <v>2300</v>
      </c>
      <c r="N170" s="3" t="s">
        <v>2255</v>
      </c>
      <c r="O170" t="s">
        <v>2310</v>
      </c>
    </row>
    <row r="171" spans="1:15" x14ac:dyDescent="0.25">
      <c r="A171" t="s">
        <v>2285</v>
      </c>
      <c r="B171" s="1" t="e">
        <v>#N/A</v>
      </c>
      <c r="C171" s="1" t="e">
        <v>#N/A</v>
      </c>
      <c r="D171" s="1" t="e">
        <v>#N/A</v>
      </c>
      <c r="E171" s="1" t="s">
        <v>2428</v>
      </c>
      <c r="F171" s="2" t="s">
        <v>2300</v>
      </c>
      <c r="G171" s="1" t="s">
        <v>2304</v>
      </c>
      <c r="H171" s="2">
        <v>13</v>
      </c>
      <c r="I171" s="3" t="s">
        <v>2333</v>
      </c>
      <c r="J171" t="s">
        <v>2365</v>
      </c>
      <c r="M171" s="3" t="s">
        <v>2301</v>
      </c>
      <c r="N171" s="3" t="s">
        <v>2255</v>
      </c>
      <c r="O171" t="s">
        <v>2310</v>
      </c>
    </row>
    <row r="172" spans="1:15" x14ac:dyDescent="0.25">
      <c r="A172" t="s">
        <v>2284</v>
      </c>
      <c r="B172" s="1" t="s">
        <v>2288</v>
      </c>
      <c r="C172" s="1" t="s">
        <v>2295</v>
      </c>
      <c r="D172" s="1" t="s">
        <v>2427</v>
      </c>
      <c r="E172" s="1" t="s">
        <v>2298</v>
      </c>
      <c r="F172" s="2" t="s">
        <v>2300</v>
      </c>
      <c r="G172" s="1" t="s">
        <v>2304</v>
      </c>
      <c r="H172" s="2">
        <v>13</v>
      </c>
      <c r="I172" s="3" t="s">
        <v>2317</v>
      </c>
      <c r="J172" t="s">
        <v>2365</v>
      </c>
      <c r="M172" s="3" t="s">
        <v>2300</v>
      </c>
      <c r="N172" s="3" t="s">
        <v>2255</v>
      </c>
      <c r="O172" t="s">
        <v>2310</v>
      </c>
    </row>
    <row r="173" spans="1:15" x14ac:dyDescent="0.25">
      <c r="A173" t="s">
        <v>2284</v>
      </c>
      <c r="B173" s="1" t="s">
        <v>2288</v>
      </c>
      <c r="C173" s="1" t="s">
        <v>2291</v>
      </c>
      <c r="D173" s="1" t="s">
        <v>2413</v>
      </c>
      <c r="E173" s="1" t="s">
        <v>2298</v>
      </c>
      <c r="F173" s="2" t="s">
        <v>2300</v>
      </c>
      <c r="G173" s="1" t="s">
        <v>2304</v>
      </c>
      <c r="H173" s="2">
        <v>13</v>
      </c>
      <c r="I173" s="3" t="s">
        <v>2317</v>
      </c>
      <c r="J173" t="s">
        <v>2365</v>
      </c>
      <c r="M173" s="3" t="s">
        <v>2300</v>
      </c>
      <c r="N173" s="3" t="s">
        <v>2255</v>
      </c>
      <c r="O173" t="s">
        <v>2310</v>
      </c>
    </row>
    <row r="174" spans="1:15" x14ac:dyDescent="0.25">
      <c r="A174" t="s">
        <v>2284</v>
      </c>
      <c r="B174" s="1" t="s">
        <v>2288</v>
      </c>
      <c r="C174" s="1" t="s">
        <v>2295</v>
      </c>
      <c r="D174" s="1" t="s">
        <v>2427</v>
      </c>
      <c r="E174" s="1" t="s">
        <v>2298</v>
      </c>
      <c r="F174" s="2" t="s">
        <v>2300</v>
      </c>
      <c r="G174" s="1" t="s">
        <v>2304</v>
      </c>
      <c r="H174" s="2">
        <v>13</v>
      </c>
      <c r="I174" s="3" t="s">
        <v>2313</v>
      </c>
      <c r="J174" t="s">
        <v>2365</v>
      </c>
      <c r="M174" s="3" t="s">
        <v>2300</v>
      </c>
      <c r="N174" s="3" t="s">
        <v>2255</v>
      </c>
      <c r="O174" t="s">
        <v>2310</v>
      </c>
    </row>
    <row r="175" spans="1:15" x14ac:dyDescent="0.25">
      <c r="A175" t="s">
        <v>2284</v>
      </c>
      <c r="B175" s="1" t="s">
        <v>2288</v>
      </c>
      <c r="C175" s="1" t="s">
        <v>2295</v>
      </c>
      <c r="D175" s="1" t="s">
        <v>2427</v>
      </c>
      <c r="E175" s="1" t="s">
        <v>2298</v>
      </c>
      <c r="F175" s="2" t="s">
        <v>2300</v>
      </c>
      <c r="G175" s="1" t="s">
        <v>2304</v>
      </c>
      <c r="H175" s="2">
        <v>13</v>
      </c>
      <c r="I175" s="3" t="s">
        <v>2333</v>
      </c>
      <c r="J175" t="s">
        <v>2365</v>
      </c>
      <c r="M175" s="3" t="s">
        <v>2300</v>
      </c>
      <c r="N175" s="3" t="s">
        <v>2255</v>
      </c>
      <c r="O175" t="s">
        <v>2310</v>
      </c>
    </row>
    <row r="176" spans="1:15" x14ac:dyDescent="0.25">
      <c r="A176" t="s">
        <v>2284</v>
      </c>
      <c r="B176" s="1" t="s">
        <v>2288</v>
      </c>
      <c r="C176" s="1" t="s">
        <v>2295</v>
      </c>
      <c r="D176" s="1" t="s">
        <v>2427</v>
      </c>
      <c r="E176" s="1" t="s">
        <v>2298</v>
      </c>
      <c r="F176" s="2" t="s">
        <v>2300</v>
      </c>
      <c r="G176" s="1" t="s">
        <v>2304</v>
      </c>
      <c r="H176" s="2">
        <v>13</v>
      </c>
      <c r="I176" s="3" t="s">
        <v>2317</v>
      </c>
      <c r="J176" t="s">
        <v>2365</v>
      </c>
      <c r="M176" s="3" t="s">
        <v>2300</v>
      </c>
      <c r="N176" s="3" t="s">
        <v>2255</v>
      </c>
      <c r="O176" t="s">
        <v>2310</v>
      </c>
    </row>
    <row r="177" spans="1:15" x14ac:dyDescent="0.25">
      <c r="A177" t="s">
        <v>2285</v>
      </c>
      <c r="B177" s="1" t="e">
        <v>#N/A</v>
      </c>
      <c r="C177" s="1" t="e">
        <v>#N/A</v>
      </c>
      <c r="D177" s="1" t="e">
        <v>#N/A</v>
      </c>
      <c r="E177" s="1" t="s">
        <v>2428</v>
      </c>
      <c r="F177" s="2" t="s">
        <v>2301</v>
      </c>
      <c r="G177" s="1" t="s">
        <v>2305</v>
      </c>
      <c r="H177" s="2">
        <v>13</v>
      </c>
      <c r="I177" s="3" t="s">
        <v>1</v>
      </c>
      <c r="J177" t="s">
        <v>2365</v>
      </c>
      <c r="M177" s="3" t="s">
        <v>2300</v>
      </c>
      <c r="N177" s="3" t="s">
        <v>2257</v>
      </c>
      <c r="O177" t="s">
        <v>2310</v>
      </c>
    </row>
    <row r="178" spans="1:15" x14ac:dyDescent="0.25">
      <c r="A178" t="s">
        <v>2285</v>
      </c>
      <c r="B178" s="1" t="e">
        <v>#N/A</v>
      </c>
      <c r="C178" s="1" t="e">
        <v>#N/A</v>
      </c>
      <c r="D178" s="1" t="e">
        <v>#N/A</v>
      </c>
      <c r="E178" s="1" t="s">
        <v>2428</v>
      </c>
      <c r="F178" s="2" t="s">
        <v>2301</v>
      </c>
      <c r="G178" s="1" t="s">
        <v>2304</v>
      </c>
      <c r="H178" s="2">
        <v>13</v>
      </c>
      <c r="I178" s="3" t="s">
        <v>2332</v>
      </c>
      <c r="J178" t="s">
        <v>2365</v>
      </c>
      <c r="M178" s="3" t="s">
        <v>2300</v>
      </c>
      <c r="N178" s="3" t="s">
        <v>2255</v>
      </c>
      <c r="O178" t="s">
        <v>2310</v>
      </c>
    </row>
    <row r="179" spans="1:15" x14ac:dyDescent="0.25">
      <c r="A179" t="s">
        <v>2284</v>
      </c>
      <c r="B179" s="1" t="s">
        <v>2288</v>
      </c>
      <c r="C179" s="1" t="s">
        <v>2295</v>
      </c>
      <c r="D179" s="1" t="s">
        <v>2427</v>
      </c>
      <c r="E179" s="1" t="s">
        <v>2298</v>
      </c>
      <c r="F179" s="2" t="s">
        <v>2300</v>
      </c>
      <c r="G179" s="1" t="s">
        <v>2304</v>
      </c>
      <c r="H179" s="2">
        <v>13</v>
      </c>
      <c r="I179" s="3" t="s">
        <v>4</v>
      </c>
      <c r="J179" t="s">
        <v>2365</v>
      </c>
      <c r="M179" s="3" t="s">
        <v>2300</v>
      </c>
      <c r="N179" s="3" t="s">
        <v>2255</v>
      </c>
      <c r="O179" t="s">
        <v>2310</v>
      </c>
    </row>
    <row r="180" spans="1:15" x14ac:dyDescent="0.25">
      <c r="A180" t="s">
        <v>2285</v>
      </c>
      <c r="B180" s="1" t="e">
        <v>#N/A</v>
      </c>
      <c r="C180" s="1" t="e">
        <v>#N/A</v>
      </c>
      <c r="D180" s="1" t="e">
        <v>#N/A</v>
      </c>
      <c r="E180" s="1" t="s">
        <v>2428</v>
      </c>
      <c r="F180" s="2" t="s">
        <v>2301</v>
      </c>
      <c r="G180" s="1" t="s">
        <v>2304</v>
      </c>
      <c r="H180" s="2">
        <v>13</v>
      </c>
      <c r="I180" s="3" t="s">
        <v>2321</v>
      </c>
      <c r="J180" t="s">
        <v>2365</v>
      </c>
      <c r="M180" s="3" t="s">
        <v>2300</v>
      </c>
      <c r="N180" s="3" t="s">
        <v>2255</v>
      </c>
      <c r="O180" t="s">
        <v>2310</v>
      </c>
    </row>
    <row r="181" spans="1:15" x14ac:dyDescent="0.25">
      <c r="A181" t="s">
        <v>2285</v>
      </c>
      <c r="B181" s="1" t="e">
        <v>#N/A</v>
      </c>
      <c r="C181" s="1" t="e">
        <v>#N/A</v>
      </c>
      <c r="D181" s="1" t="e">
        <v>#N/A</v>
      </c>
      <c r="E181" s="1" t="s">
        <v>2428</v>
      </c>
      <c r="F181" s="2" t="s">
        <v>2300</v>
      </c>
      <c r="G181" s="1" t="s">
        <v>2304</v>
      </c>
      <c r="H181" s="2">
        <v>13</v>
      </c>
      <c r="I181" s="3" t="s">
        <v>2317</v>
      </c>
      <c r="J181" t="s">
        <v>2365</v>
      </c>
      <c r="M181" s="3" t="s">
        <v>2301</v>
      </c>
      <c r="N181" s="3" t="s">
        <v>2255</v>
      </c>
      <c r="O181" t="s">
        <v>2310</v>
      </c>
    </row>
    <row r="182" spans="1:15" x14ac:dyDescent="0.25">
      <c r="A182" t="s">
        <v>2285</v>
      </c>
      <c r="B182" s="1" t="e">
        <v>#N/A</v>
      </c>
      <c r="C182" s="1" t="e">
        <v>#N/A</v>
      </c>
      <c r="D182" s="1" t="e">
        <v>#N/A</v>
      </c>
      <c r="E182" s="1" t="s">
        <v>2428</v>
      </c>
      <c r="F182" s="2" t="s">
        <v>2301</v>
      </c>
      <c r="G182" s="1" t="s">
        <v>2304</v>
      </c>
      <c r="H182" s="2">
        <v>13</v>
      </c>
      <c r="I182" s="3" t="s">
        <v>2382</v>
      </c>
      <c r="J182" t="s">
        <v>2365</v>
      </c>
      <c r="M182" s="3" t="s">
        <v>2300</v>
      </c>
      <c r="N182" s="3" t="s">
        <v>2255</v>
      </c>
      <c r="O182" t="s">
        <v>2310</v>
      </c>
    </row>
    <row r="183" spans="1:15" x14ac:dyDescent="0.25">
      <c r="A183" t="s">
        <v>2284</v>
      </c>
      <c r="B183" s="1" t="s">
        <v>2288</v>
      </c>
      <c r="C183" s="1" t="s">
        <v>2295</v>
      </c>
      <c r="D183" s="1" t="s">
        <v>2427</v>
      </c>
      <c r="E183" s="1" t="s">
        <v>2298</v>
      </c>
      <c r="F183" s="2" t="s">
        <v>2300</v>
      </c>
      <c r="G183" s="1" t="s">
        <v>2304</v>
      </c>
      <c r="H183" s="2">
        <v>13</v>
      </c>
      <c r="I183" s="3" t="s">
        <v>4</v>
      </c>
      <c r="J183" t="s">
        <v>2365</v>
      </c>
      <c r="M183" s="3" t="s">
        <v>2300</v>
      </c>
      <c r="N183" s="3" t="s">
        <v>2255</v>
      </c>
      <c r="O183" t="s">
        <v>2310</v>
      </c>
    </row>
    <row r="184" spans="1:15" x14ac:dyDescent="0.25">
      <c r="A184" t="s">
        <v>2285</v>
      </c>
      <c r="B184" s="1" t="s">
        <v>2288</v>
      </c>
      <c r="C184" s="1" t="s">
        <v>2291</v>
      </c>
      <c r="D184" s="1" t="s">
        <v>2426</v>
      </c>
      <c r="E184" s="1" t="s">
        <v>2428</v>
      </c>
      <c r="F184" s="2" t="s">
        <v>2301</v>
      </c>
      <c r="G184" s="1" t="s">
        <v>2304</v>
      </c>
      <c r="H184" s="2">
        <v>13</v>
      </c>
      <c r="I184" s="3" t="s">
        <v>2384</v>
      </c>
      <c r="J184" t="s">
        <v>2365</v>
      </c>
      <c r="M184" s="3" t="s">
        <v>2300</v>
      </c>
      <c r="N184" s="3" t="s">
        <v>2255</v>
      </c>
      <c r="O184" t="s">
        <v>2310</v>
      </c>
    </row>
    <row r="185" spans="1:15" x14ac:dyDescent="0.25">
      <c r="A185" t="s">
        <v>2284</v>
      </c>
      <c r="B185" s="1" t="s">
        <v>2288</v>
      </c>
      <c r="C185" s="1" t="s">
        <v>2295</v>
      </c>
      <c r="D185" s="1" t="s">
        <v>2427</v>
      </c>
      <c r="E185" s="1" t="s">
        <v>2298</v>
      </c>
      <c r="F185" s="2" t="s">
        <v>2300</v>
      </c>
      <c r="G185" s="1" t="s">
        <v>2303</v>
      </c>
      <c r="H185" s="2">
        <v>13</v>
      </c>
      <c r="I185" s="3" t="s">
        <v>2378</v>
      </c>
      <c r="J185" t="s">
        <v>2365</v>
      </c>
      <c r="M185" s="3" t="s">
        <v>2300</v>
      </c>
      <c r="N185" s="3" t="s">
        <v>2256</v>
      </c>
      <c r="O185" t="s">
        <v>2310</v>
      </c>
    </row>
    <row r="186" spans="1:15" x14ac:dyDescent="0.25">
      <c r="A186" t="s">
        <v>2284</v>
      </c>
      <c r="B186" s="1" t="s">
        <v>2288</v>
      </c>
      <c r="C186" s="1" t="s">
        <v>2295</v>
      </c>
      <c r="D186" s="1" t="s">
        <v>2427</v>
      </c>
      <c r="E186" s="1" t="s">
        <v>2298</v>
      </c>
      <c r="F186" s="2" t="s">
        <v>2300</v>
      </c>
      <c r="G186" s="1" t="s">
        <v>2303</v>
      </c>
      <c r="H186" s="2">
        <v>13</v>
      </c>
      <c r="I186" s="3" t="s">
        <v>2315</v>
      </c>
      <c r="J186" t="s">
        <v>2365</v>
      </c>
      <c r="M186" s="3" t="s">
        <v>2300</v>
      </c>
      <c r="N186" s="3" t="s">
        <v>2256</v>
      </c>
      <c r="O186" t="s">
        <v>2310</v>
      </c>
    </row>
    <row r="187" spans="1:15" x14ac:dyDescent="0.25">
      <c r="A187" t="s">
        <v>2285</v>
      </c>
      <c r="B187" s="1" t="e">
        <v>#N/A</v>
      </c>
      <c r="C187" s="1" t="e">
        <v>#N/A</v>
      </c>
      <c r="D187" s="1" t="e">
        <v>#N/A</v>
      </c>
      <c r="E187" s="1" t="s">
        <v>2298</v>
      </c>
      <c r="F187" s="2" t="s">
        <v>2300</v>
      </c>
      <c r="G187" s="1" t="s">
        <v>2304</v>
      </c>
      <c r="H187" s="2">
        <v>13</v>
      </c>
      <c r="I187" s="3" t="s">
        <v>2380</v>
      </c>
      <c r="J187" t="s">
        <v>2365</v>
      </c>
      <c r="M187" s="3" t="s">
        <v>2300</v>
      </c>
      <c r="N187" s="3" t="s">
        <v>2255</v>
      </c>
      <c r="O187" t="s">
        <v>2310</v>
      </c>
    </row>
    <row r="188" spans="1:15" x14ac:dyDescent="0.25">
      <c r="A188" t="s">
        <v>2284</v>
      </c>
      <c r="B188" s="1" t="s">
        <v>2288</v>
      </c>
      <c r="C188" s="1" t="s">
        <v>2295</v>
      </c>
      <c r="D188" s="1" t="s">
        <v>2427</v>
      </c>
      <c r="E188" s="1" t="s">
        <v>2298</v>
      </c>
      <c r="F188" s="2" t="s">
        <v>2300</v>
      </c>
      <c r="G188" s="1" t="s">
        <v>2304</v>
      </c>
      <c r="H188" s="2">
        <v>13</v>
      </c>
      <c r="I188" s="3" t="s">
        <v>2317</v>
      </c>
      <c r="J188" t="s">
        <v>2365</v>
      </c>
      <c r="M188" s="3" t="s">
        <v>2300</v>
      </c>
      <c r="N188" s="3" t="s">
        <v>2255</v>
      </c>
      <c r="O188" t="s">
        <v>2310</v>
      </c>
    </row>
    <row r="189" spans="1:15" x14ac:dyDescent="0.25">
      <c r="A189" t="s">
        <v>2284</v>
      </c>
      <c r="B189" s="1" t="s">
        <v>2288</v>
      </c>
      <c r="C189" s="1" t="s">
        <v>2295</v>
      </c>
      <c r="D189" s="1" t="s">
        <v>2427</v>
      </c>
      <c r="E189" s="1" t="s">
        <v>2298</v>
      </c>
      <c r="F189" s="2" t="s">
        <v>2300</v>
      </c>
      <c r="G189" s="1" t="s">
        <v>2303</v>
      </c>
      <c r="H189" s="2">
        <v>13</v>
      </c>
      <c r="I189" s="3" t="s">
        <v>2327</v>
      </c>
      <c r="J189" t="s">
        <v>2365</v>
      </c>
      <c r="M189" s="3" t="s">
        <v>2300</v>
      </c>
      <c r="N189" s="3" t="s">
        <v>2256</v>
      </c>
      <c r="O189" t="s">
        <v>2310</v>
      </c>
    </row>
    <row r="190" spans="1:15" x14ac:dyDescent="0.25">
      <c r="A190" t="s">
        <v>2285</v>
      </c>
      <c r="B190" s="1" t="e">
        <v>#N/A</v>
      </c>
      <c r="C190" s="1" t="e">
        <v>#N/A</v>
      </c>
      <c r="D190" s="1" t="e">
        <v>#N/A</v>
      </c>
      <c r="E190" s="1" t="s">
        <v>2428</v>
      </c>
      <c r="F190" s="2" t="s">
        <v>2301</v>
      </c>
      <c r="G190" s="1" t="s">
        <v>2304</v>
      </c>
      <c r="H190" s="2">
        <v>13</v>
      </c>
      <c r="I190" s="3" t="s">
        <v>2329</v>
      </c>
      <c r="J190" t="s">
        <v>2365</v>
      </c>
      <c r="M190" s="3" t="s">
        <v>2300</v>
      </c>
      <c r="N190" s="3" t="s">
        <v>2255</v>
      </c>
      <c r="O190" t="s">
        <v>2310</v>
      </c>
    </row>
    <row r="191" spans="1:15" x14ac:dyDescent="0.25">
      <c r="A191" t="s">
        <v>2285</v>
      </c>
      <c r="B191" s="1" t="e">
        <v>#N/A</v>
      </c>
      <c r="C191" s="1" t="e">
        <v>#N/A</v>
      </c>
      <c r="D191" s="1" t="e">
        <v>#N/A</v>
      </c>
      <c r="E191" s="1" t="s">
        <v>2428</v>
      </c>
      <c r="F191" s="2" t="s">
        <v>2301</v>
      </c>
      <c r="G191" s="1" t="s">
        <v>2304</v>
      </c>
      <c r="H191" s="2">
        <v>13</v>
      </c>
      <c r="I191" s="3" t="s">
        <v>1</v>
      </c>
      <c r="J191" t="s">
        <v>2365</v>
      </c>
      <c r="M191" s="3" t="s">
        <v>2300</v>
      </c>
      <c r="N191" s="3" t="s">
        <v>2255</v>
      </c>
      <c r="O191" t="s">
        <v>2310</v>
      </c>
    </row>
    <row r="192" spans="1:15" x14ac:dyDescent="0.25">
      <c r="A192" t="s">
        <v>2284</v>
      </c>
      <c r="B192" s="1" t="s">
        <v>2288</v>
      </c>
      <c r="C192" s="1" t="s">
        <v>2295</v>
      </c>
      <c r="D192" s="1" t="s">
        <v>2427</v>
      </c>
      <c r="E192" s="1" t="s">
        <v>2298</v>
      </c>
      <c r="F192" s="2" t="s">
        <v>2300</v>
      </c>
      <c r="G192" s="1" t="s">
        <v>2303</v>
      </c>
      <c r="H192" s="2">
        <v>13</v>
      </c>
      <c r="I192" s="3" t="s">
        <v>2334</v>
      </c>
      <c r="J192" t="s">
        <v>2365</v>
      </c>
      <c r="M192" s="3" t="s">
        <v>2300</v>
      </c>
      <c r="N192" s="3" t="s">
        <v>2256</v>
      </c>
      <c r="O192" t="s">
        <v>2310</v>
      </c>
    </row>
    <row r="193" spans="1:15" x14ac:dyDescent="0.25">
      <c r="A193" t="s">
        <v>2285</v>
      </c>
      <c r="B193" s="1" t="e">
        <v>#N/A</v>
      </c>
      <c r="C193" s="1" t="e">
        <v>#N/A</v>
      </c>
      <c r="D193" s="1" t="e">
        <v>#N/A</v>
      </c>
      <c r="E193" s="1" t="s">
        <v>2428</v>
      </c>
      <c r="F193" s="2" t="s">
        <v>2301</v>
      </c>
      <c r="G193" s="1" t="s">
        <v>2304</v>
      </c>
      <c r="H193" s="2">
        <v>13</v>
      </c>
      <c r="I193" s="3" t="s">
        <v>2383</v>
      </c>
      <c r="J193" t="s">
        <v>2365</v>
      </c>
      <c r="M193" s="3" t="s">
        <v>2300</v>
      </c>
      <c r="N193" s="3" t="s">
        <v>2255</v>
      </c>
      <c r="O193" t="s">
        <v>2310</v>
      </c>
    </row>
    <row r="194" spans="1:15" x14ac:dyDescent="0.25">
      <c r="A194" t="s">
        <v>2285</v>
      </c>
      <c r="B194" s="1" t="e">
        <v>#N/A</v>
      </c>
      <c r="C194" s="1" t="e">
        <v>#N/A</v>
      </c>
      <c r="D194" s="1" t="e">
        <v>#N/A</v>
      </c>
      <c r="E194" s="1" t="s">
        <v>2428</v>
      </c>
      <c r="F194" s="2" t="s">
        <v>2300</v>
      </c>
      <c r="G194" s="1" t="s">
        <v>2304</v>
      </c>
      <c r="H194" s="2">
        <v>13</v>
      </c>
      <c r="I194" s="3" t="s">
        <v>2381</v>
      </c>
      <c r="J194" t="s">
        <v>2365</v>
      </c>
      <c r="M194" s="3" t="s">
        <v>2301</v>
      </c>
      <c r="N194" s="3" t="s">
        <v>2255</v>
      </c>
      <c r="O194" t="s">
        <v>2310</v>
      </c>
    </row>
    <row r="195" spans="1:15" x14ac:dyDescent="0.25">
      <c r="A195" t="s">
        <v>2285</v>
      </c>
      <c r="B195" s="1" t="e">
        <v>#N/A</v>
      </c>
      <c r="C195" s="1" t="e">
        <v>#N/A</v>
      </c>
      <c r="D195" s="1" t="e">
        <v>#N/A</v>
      </c>
      <c r="E195" s="1" t="s">
        <v>2428</v>
      </c>
      <c r="F195" s="2" t="s">
        <v>2301</v>
      </c>
      <c r="G195" s="1" t="s">
        <v>2304</v>
      </c>
      <c r="H195" s="2">
        <v>13</v>
      </c>
      <c r="I195" s="3" t="s">
        <v>2385</v>
      </c>
      <c r="J195" t="s">
        <v>2365</v>
      </c>
      <c r="M195" s="3" t="s">
        <v>2300</v>
      </c>
      <c r="N195" s="3" t="s">
        <v>2255</v>
      </c>
      <c r="O195" t="s">
        <v>2310</v>
      </c>
    </row>
    <row r="196" spans="1:15" x14ac:dyDescent="0.25">
      <c r="A196" t="s">
        <v>2285</v>
      </c>
      <c r="B196" s="1" t="e">
        <v>#N/A</v>
      </c>
      <c r="C196" s="1" t="e">
        <v>#N/A</v>
      </c>
      <c r="D196" s="1" t="e">
        <v>#N/A</v>
      </c>
      <c r="E196" s="1" t="s">
        <v>2428</v>
      </c>
      <c r="F196" s="2" t="s">
        <v>2301</v>
      </c>
      <c r="G196" s="1" t="s">
        <v>2304</v>
      </c>
      <c r="H196" s="2">
        <v>13</v>
      </c>
      <c r="I196" s="3" t="s">
        <v>2347</v>
      </c>
      <c r="J196" t="s">
        <v>2365</v>
      </c>
      <c r="M196" s="3" t="s">
        <v>2300</v>
      </c>
      <c r="N196" s="3" t="s">
        <v>2255</v>
      </c>
      <c r="O196" t="s">
        <v>2310</v>
      </c>
    </row>
    <row r="197" spans="1:15" x14ac:dyDescent="0.25">
      <c r="A197" t="s">
        <v>2285</v>
      </c>
      <c r="B197" s="1" t="e">
        <v>#N/A</v>
      </c>
      <c r="C197" s="1" t="e">
        <v>#N/A</v>
      </c>
      <c r="D197" s="1" t="e">
        <v>#N/A</v>
      </c>
      <c r="E197" s="1" t="s">
        <v>2428</v>
      </c>
      <c r="F197" s="2" t="s">
        <v>2301</v>
      </c>
      <c r="G197" s="1" t="s">
        <v>2303</v>
      </c>
      <c r="H197" s="2">
        <v>13</v>
      </c>
      <c r="I197" s="3" t="s">
        <v>2321</v>
      </c>
      <c r="J197" t="s">
        <v>2365</v>
      </c>
      <c r="M197" s="3" t="s">
        <v>2300</v>
      </c>
      <c r="N197" s="3" t="s">
        <v>2256</v>
      </c>
      <c r="O197" t="s">
        <v>2310</v>
      </c>
    </row>
    <row r="198" spans="1:15" x14ac:dyDescent="0.25">
      <c r="A198" t="s">
        <v>2285</v>
      </c>
      <c r="B198" s="1" t="e">
        <v>#N/A</v>
      </c>
      <c r="C198" s="1" t="e">
        <v>#N/A</v>
      </c>
      <c r="D198" s="1" t="e">
        <v>#N/A</v>
      </c>
      <c r="E198" s="1" t="s">
        <v>2428</v>
      </c>
      <c r="F198" s="2" t="s">
        <v>2301</v>
      </c>
      <c r="G198" s="1" t="s">
        <v>2304</v>
      </c>
      <c r="H198" s="2">
        <v>13</v>
      </c>
      <c r="I198" s="3" t="s">
        <v>2321</v>
      </c>
      <c r="J198" t="s">
        <v>2365</v>
      </c>
      <c r="M198" s="3" t="s">
        <v>2300</v>
      </c>
      <c r="N198" s="3" t="s">
        <v>2255</v>
      </c>
      <c r="O198" t="s">
        <v>2310</v>
      </c>
    </row>
    <row r="199" spans="1:15" x14ac:dyDescent="0.25">
      <c r="A199" t="s">
        <v>2285</v>
      </c>
      <c r="B199" s="1" t="e">
        <v>#N/A</v>
      </c>
      <c r="C199" s="1" t="e">
        <v>#N/A</v>
      </c>
      <c r="D199" s="1" t="e">
        <v>#N/A</v>
      </c>
      <c r="E199" s="1" t="s">
        <v>2428</v>
      </c>
      <c r="F199" s="2" t="s">
        <v>2300</v>
      </c>
      <c r="G199" s="1" t="s">
        <v>2304</v>
      </c>
      <c r="H199" s="2">
        <v>13</v>
      </c>
      <c r="I199" s="3" t="s">
        <v>2313</v>
      </c>
      <c r="J199" t="s">
        <v>2365</v>
      </c>
      <c r="M199" s="3" t="s">
        <v>2301</v>
      </c>
      <c r="N199" s="3" t="s">
        <v>2255</v>
      </c>
      <c r="O199" t="s">
        <v>2310</v>
      </c>
    </row>
    <row r="200" spans="1:15" x14ac:dyDescent="0.25">
      <c r="A200" t="s">
        <v>2285</v>
      </c>
      <c r="B200" s="1" t="e">
        <v>#N/A</v>
      </c>
      <c r="C200" s="1" t="e">
        <v>#N/A</v>
      </c>
      <c r="D200" s="1" t="e">
        <v>#N/A</v>
      </c>
      <c r="E200" s="1" t="s">
        <v>2428</v>
      </c>
      <c r="F200" s="2" t="s">
        <v>2301</v>
      </c>
      <c r="G200" s="1" t="s">
        <v>2304</v>
      </c>
      <c r="H200" s="2">
        <v>13</v>
      </c>
      <c r="I200" s="3" t="s">
        <v>1</v>
      </c>
      <c r="J200" t="s">
        <v>2365</v>
      </c>
      <c r="M200" s="3" t="s">
        <v>2300</v>
      </c>
      <c r="N200" s="3" t="s">
        <v>2255</v>
      </c>
      <c r="O200" t="s">
        <v>2310</v>
      </c>
    </row>
    <row r="201" spans="1:15" x14ac:dyDescent="0.25">
      <c r="A201" t="s">
        <v>2284</v>
      </c>
      <c r="B201" s="1" t="s">
        <v>2288</v>
      </c>
      <c r="C201" s="1" t="s">
        <v>2295</v>
      </c>
      <c r="D201" s="1" t="s">
        <v>2427</v>
      </c>
      <c r="E201" s="1" t="s">
        <v>2298</v>
      </c>
      <c r="F201" s="2" t="s">
        <v>2300</v>
      </c>
      <c r="G201" s="1" t="s">
        <v>2304</v>
      </c>
      <c r="H201" s="2">
        <v>13</v>
      </c>
      <c r="I201" s="3" t="s">
        <v>4</v>
      </c>
      <c r="J201" t="s">
        <v>2365</v>
      </c>
      <c r="M201" s="3" t="s">
        <v>2300</v>
      </c>
      <c r="N201" s="3" t="s">
        <v>2255</v>
      </c>
      <c r="O201" t="s">
        <v>2310</v>
      </c>
    </row>
    <row r="202" spans="1:15" x14ac:dyDescent="0.25">
      <c r="A202" t="s">
        <v>2284</v>
      </c>
      <c r="B202" s="1" t="s">
        <v>2289</v>
      </c>
      <c r="C202" s="1" t="s">
        <v>2291</v>
      </c>
      <c r="D202" s="1" t="s">
        <v>2413</v>
      </c>
      <c r="E202" s="1" t="s">
        <v>2298</v>
      </c>
      <c r="F202" s="2" t="s">
        <v>2300</v>
      </c>
      <c r="G202" s="1" t="s">
        <v>2304</v>
      </c>
      <c r="H202" s="2">
        <v>12</v>
      </c>
      <c r="I202" s="3" t="s">
        <v>2319</v>
      </c>
      <c r="J202" t="s">
        <v>2365</v>
      </c>
      <c r="M202" s="3" t="s">
        <v>2300</v>
      </c>
      <c r="N202" s="3" t="s">
        <v>2255</v>
      </c>
      <c r="O202" t="s">
        <v>2310</v>
      </c>
    </row>
    <row r="203" spans="1:15" x14ac:dyDescent="0.25">
      <c r="A203" t="s">
        <v>2284</v>
      </c>
      <c r="B203" s="1" t="s">
        <v>2288</v>
      </c>
      <c r="C203" s="1" t="s">
        <v>2295</v>
      </c>
      <c r="D203" s="1" t="s">
        <v>2427</v>
      </c>
      <c r="E203" s="1" t="s">
        <v>2298</v>
      </c>
      <c r="F203" s="2" t="s">
        <v>2300</v>
      </c>
      <c r="G203" s="1" t="s">
        <v>2304</v>
      </c>
      <c r="H203" s="2">
        <v>12</v>
      </c>
      <c r="I203" s="3" t="s">
        <v>31</v>
      </c>
      <c r="J203" t="s">
        <v>2365</v>
      </c>
      <c r="M203" s="3" t="s">
        <v>2300</v>
      </c>
      <c r="N203" s="3" t="s">
        <v>2255</v>
      </c>
      <c r="O203" t="s">
        <v>2310</v>
      </c>
    </row>
    <row r="204" spans="1:15" x14ac:dyDescent="0.25">
      <c r="A204" t="s">
        <v>2285</v>
      </c>
      <c r="B204" s="1" t="e">
        <v>#N/A</v>
      </c>
      <c r="C204" s="1" t="e">
        <v>#N/A</v>
      </c>
      <c r="D204" s="1" t="e">
        <v>#N/A</v>
      </c>
      <c r="E204" s="1" t="s">
        <v>2428</v>
      </c>
      <c r="F204" s="2" t="s">
        <v>2301</v>
      </c>
      <c r="G204" s="1" t="s">
        <v>2304</v>
      </c>
      <c r="H204" s="2">
        <v>12</v>
      </c>
      <c r="I204" s="3" t="s">
        <v>2408</v>
      </c>
      <c r="J204" t="s">
        <v>2365</v>
      </c>
      <c r="M204" s="3" t="s">
        <v>2300</v>
      </c>
      <c r="N204" s="3" t="s">
        <v>2308</v>
      </c>
      <c r="O204" t="s">
        <v>2310</v>
      </c>
    </row>
    <row r="205" spans="1:15" x14ac:dyDescent="0.25">
      <c r="A205" t="s">
        <v>2284</v>
      </c>
      <c r="B205" s="1" t="s">
        <v>2288</v>
      </c>
      <c r="C205" s="1" t="s">
        <v>2295</v>
      </c>
      <c r="D205" s="1" t="s">
        <v>2427</v>
      </c>
      <c r="E205" s="1" t="s">
        <v>2298</v>
      </c>
      <c r="F205" s="2" t="s">
        <v>2300</v>
      </c>
      <c r="G205" s="1" t="s">
        <v>2304</v>
      </c>
      <c r="H205" s="2">
        <v>12</v>
      </c>
      <c r="I205" s="3" t="s">
        <v>2327</v>
      </c>
      <c r="J205" t="s">
        <v>2365</v>
      </c>
      <c r="M205" s="3" t="s">
        <v>2300</v>
      </c>
      <c r="N205" s="3" t="s">
        <v>2255</v>
      </c>
      <c r="O205" t="s">
        <v>2310</v>
      </c>
    </row>
    <row r="206" spans="1:15" x14ac:dyDescent="0.25">
      <c r="A206" t="s">
        <v>2284</v>
      </c>
      <c r="B206" s="1" t="s">
        <v>2288</v>
      </c>
      <c r="C206" s="1" t="s">
        <v>2295</v>
      </c>
      <c r="D206" s="1" t="s">
        <v>2427</v>
      </c>
      <c r="E206" s="1" t="s">
        <v>2298</v>
      </c>
      <c r="F206" s="2" t="s">
        <v>2300</v>
      </c>
      <c r="G206" s="1" t="s">
        <v>2304</v>
      </c>
      <c r="H206" s="2">
        <v>12</v>
      </c>
      <c r="I206" s="3" t="s">
        <v>2</v>
      </c>
      <c r="J206" t="s">
        <v>2365</v>
      </c>
      <c r="M206" s="3" t="s">
        <v>2300</v>
      </c>
      <c r="N206" s="3" t="s">
        <v>2255</v>
      </c>
      <c r="O206" t="s">
        <v>2310</v>
      </c>
    </row>
    <row r="207" spans="1:15" x14ac:dyDescent="0.25">
      <c r="A207" t="s">
        <v>2285</v>
      </c>
      <c r="B207" s="1" t="s">
        <v>2288</v>
      </c>
      <c r="C207" s="1" t="s">
        <v>2291</v>
      </c>
      <c r="D207" s="1" t="s">
        <v>2426</v>
      </c>
      <c r="E207" s="1" t="s">
        <v>2428</v>
      </c>
      <c r="F207" s="2" t="s">
        <v>2301</v>
      </c>
      <c r="G207" s="1" t="s">
        <v>2304</v>
      </c>
      <c r="H207" s="2">
        <v>12</v>
      </c>
      <c r="I207" s="3" t="s">
        <v>2317</v>
      </c>
      <c r="J207" t="s">
        <v>2365</v>
      </c>
      <c r="M207" s="3" t="s">
        <v>2300</v>
      </c>
      <c r="N207" s="3" t="s">
        <v>2255</v>
      </c>
      <c r="O207" t="s">
        <v>2310</v>
      </c>
    </row>
    <row r="208" spans="1:15" x14ac:dyDescent="0.25">
      <c r="A208" t="s">
        <v>2284</v>
      </c>
      <c r="B208" s="1" t="s">
        <v>2288</v>
      </c>
      <c r="C208" s="1" t="s">
        <v>2295</v>
      </c>
      <c r="D208" s="1" t="s">
        <v>2427</v>
      </c>
      <c r="E208" s="1" t="s">
        <v>2298</v>
      </c>
      <c r="F208" s="2" t="s">
        <v>2300</v>
      </c>
      <c r="G208" s="1" t="s">
        <v>2304</v>
      </c>
      <c r="H208" s="2">
        <v>12</v>
      </c>
      <c r="I208" s="3" t="s">
        <v>2315</v>
      </c>
      <c r="J208" t="s">
        <v>2365</v>
      </c>
      <c r="M208" s="3" t="s">
        <v>2300</v>
      </c>
      <c r="N208" s="3" t="s">
        <v>2255</v>
      </c>
      <c r="O208" t="s">
        <v>2310</v>
      </c>
    </row>
    <row r="209" spans="1:15" x14ac:dyDescent="0.25">
      <c r="A209" t="s">
        <v>2285</v>
      </c>
      <c r="B209" s="1" t="s">
        <v>2288</v>
      </c>
      <c r="C209" s="1" t="s">
        <v>2291</v>
      </c>
      <c r="D209" s="1" t="s">
        <v>2426</v>
      </c>
      <c r="E209" s="1" t="s">
        <v>2428</v>
      </c>
      <c r="F209" s="2" t="s">
        <v>2301</v>
      </c>
      <c r="G209" s="1" t="s">
        <v>2304</v>
      </c>
      <c r="H209" s="2">
        <v>12</v>
      </c>
      <c r="I209" s="3" t="s">
        <v>2317</v>
      </c>
      <c r="J209" t="s">
        <v>2365</v>
      </c>
      <c r="M209" s="3" t="s">
        <v>2300</v>
      </c>
      <c r="N209" s="3" t="s">
        <v>2255</v>
      </c>
      <c r="O209" t="s">
        <v>2310</v>
      </c>
    </row>
    <row r="210" spans="1:15" x14ac:dyDescent="0.25">
      <c r="A210" t="s">
        <v>2285</v>
      </c>
      <c r="B210" s="1" t="e">
        <v>#N/A</v>
      </c>
      <c r="C210" s="1" t="e">
        <v>#N/A</v>
      </c>
      <c r="D210" s="1" t="e">
        <v>#N/A</v>
      </c>
      <c r="E210" s="1" t="s">
        <v>2428</v>
      </c>
      <c r="F210" s="2" t="s">
        <v>2301</v>
      </c>
      <c r="G210" s="1" t="s">
        <v>2304</v>
      </c>
      <c r="H210" s="2">
        <v>12</v>
      </c>
      <c r="I210" s="3" t="s">
        <v>72</v>
      </c>
      <c r="J210" t="s">
        <v>2365</v>
      </c>
      <c r="M210" s="3" t="s">
        <v>2300</v>
      </c>
      <c r="N210" s="3" t="s">
        <v>2255</v>
      </c>
      <c r="O210" t="s">
        <v>2310</v>
      </c>
    </row>
    <row r="211" spans="1:15" x14ac:dyDescent="0.25">
      <c r="A211" t="s">
        <v>2284</v>
      </c>
      <c r="B211" s="1" t="s">
        <v>2288</v>
      </c>
      <c r="C211" s="1" t="s">
        <v>2295</v>
      </c>
      <c r="D211" s="1" t="s">
        <v>2427</v>
      </c>
      <c r="E211" s="1" t="s">
        <v>2298</v>
      </c>
      <c r="F211" s="2" t="s">
        <v>2300</v>
      </c>
      <c r="G211" s="1" t="s">
        <v>2304</v>
      </c>
      <c r="H211" s="2">
        <v>12</v>
      </c>
      <c r="I211" s="3" t="s">
        <v>2315</v>
      </c>
      <c r="J211" t="s">
        <v>2365</v>
      </c>
      <c r="M211" s="3" t="s">
        <v>2300</v>
      </c>
      <c r="N211" s="3" t="s">
        <v>2255</v>
      </c>
      <c r="O211" t="s">
        <v>2310</v>
      </c>
    </row>
    <row r="212" spans="1:15" x14ac:dyDescent="0.25">
      <c r="A212" t="s">
        <v>2285</v>
      </c>
      <c r="B212" s="1" t="e">
        <v>#N/A</v>
      </c>
      <c r="C212" s="1" t="e">
        <v>#N/A</v>
      </c>
      <c r="D212" s="1" t="e">
        <v>#N/A</v>
      </c>
      <c r="E212" s="1" t="s">
        <v>2298</v>
      </c>
      <c r="F212" s="2" t="s">
        <v>2300</v>
      </c>
      <c r="G212" s="1" t="s">
        <v>2305</v>
      </c>
      <c r="H212" s="2">
        <v>12</v>
      </c>
      <c r="I212" s="3" t="s">
        <v>2389</v>
      </c>
      <c r="J212" t="s">
        <v>2365</v>
      </c>
      <c r="M212" s="3" t="s">
        <v>2300</v>
      </c>
      <c r="N212" s="3" t="s">
        <v>2258</v>
      </c>
      <c r="O212" t="s">
        <v>2310</v>
      </c>
    </row>
    <row r="213" spans="1:15" x14ac:dyDescent="0.25">
      <c r="A213" t="s">
        <v>2285</v>
      </c>
      <c r="B213" s="1" t="e">
        <v>#N/A</v>
      </c>
      <c r="C213" s="1" t="e">
        <v>#N/A</v>
      </c>
      <c r="D213" s="1" t="e">
        <v>#N/A</v>
      </c>
      <c r="E213" s="1" t="s">
        <v>2298</v>
      </c>
      <c r="F213" s="2" t="s">
        <v>2300</v>
      </c>
      <c r="G213" s="1" t="s">
        <v>2304</v>
      </c>
      <c r="H213" s="2">
        <v>12</v>
      </c>
      <c r="I213" s="3" t="s">
        <v>21</v>
      </c>
      <c r="J213" t="s">
        <v>2365</v>
      </c>
      <c r="M213" s="3" t="s">
        <v>2300</v>
      </c>
      <c r="N213" s="3" t="s">
        <v>2255</v>
      </c>
      <c r="O213" t="s">
        <v>2310</v>
      </c>
    </row>
    <row r="214" spans="1:15" x14ac:dyDescent="0.25">
      <c r="A214" t="s">
        <v>2285</v>
      </c>
      <c r="B214" s="1" t="e">
        <v>#N/A</v>
      </c>
      <c r="C214" s="1" t="e">
        <v>#N/A</v>
      </c>
      <c r="D214" s="1" t="e">
        <v>#N/A</v>
      </c>
      <c r="E214" s="1" t="s">
        <v>2298</v>
      </c>
      <c r="F214" s="2" t="s">
        <v>2300</v>
      </c>
      <c r="G214" s="1" t="s">
        <v>2304</v>
      </c>
      <c r="H214" s="2">
        <v>12</v>
      </c>
      <c r="I214" s="3" t="s">
        <v>29</v>
      </c>
      <c r="J214" t="s">
        <v>2365</v>
      </c>
      <c r="M214" s="3" t="s">
        <v>2300</v>
      </c>
      <c r="N214" s="3" t="s">
        <v>2255</v>
      </c>
      <c r="O214" t="s">
        <v>2310</v>
      </c>
    </row>
    <row r="215" spans="1:15" x14ac:dyDescent="0.25">
      <c r="A215" t="s">
        <v>2284</v>
      </c>
      <c r="B215" s="1" t="s">
        <v>2288</v>
      </c>
      <c r="C215" s="1" t="s">
        <v>2295</v>
      </c>
      <c r="D215" s="1" t="s">
        <v>2427</v>
      </c>
      <c r="E215" s="1" t="s">
        <v>2298</v>
      </c>
      <c r="F215" s="2" t="s">
        <v>2300</v>
      </c>
      <c r="G215" s="1" t="s">
        <v>2303</v>
      </c>
      <c r="H215" s="2">
        <v>12</v>
      </c>
      <c r="I215" s="3" t="s">
        <v>1</v>
      </c>
      <c r="J215" t="s">
        <v>2365</v>
      </c>
      <c r="M215" s="3" t="s">
        <v>2300</v>
      </c>
      <c r="N215" s="3" t="s">
        <v>2256</v>
      </c>
      <c r="O215" t="s">
        <v>2310</v>
      </c>
    </row>
    <row r="216" spans="1:15" x14ac:dyDescent="0.25">
      <c r="A216" t="s">
        <v>2285</v>
      </c>
      <c r="B216" s="1" t="e">
        <v>#N/A</v>
      </c>
      <c r="C216" s="1" t="e">
        <v>#N/A</v>
      </c>
      <c r="D216" s="1" t="e">
        <v>#N/A</v>
      </c>
      <c r="E216" s="1" t="s">
        <v>2298</v>
      </c>
      <c r="F216" s="2" t="s">
        <v>2300</v>
      </c>
      <c r="G216" s="1" t="s">
        <v>2304</v>
      </c>
      <c r="H216" s="2">
        <v>12</v>
      </c>
      <c r="I216" s="3" t="s">
        <v>2387</v>
      </c>
      <c r="J216" t="s">
        <v>2365</v>
      </c>
      <c r="M216" s="3" t="s">
        <v>2301</v>
      </c>
      <c r="N216" s="3" t="s">
        <v>2255</v>
      </c>
      <c r="O216" t="s">
        <v>2310</v>
      </c>
    </row>
    <row r="217" spans="1:15" x14ac:dyDescent="0.25">
      <c r="A217" t="s">
        <v>2285</v>
      </c>
      <c r="B217" s="1" t="s">
        <v>2288</v>
      </c>
      <c r="C217" s="1" t="s">
        <v>2291</v>
      </c>
      <c r="D217" s="1" t="s">
        <v>2426</v>
      </c>
      <c r="E217" s="1" t="s">
        <v>2428</v>
      </c>
      <c r="F217" s="2" t="s">
        <v>2301</v>
      </c>
      <c r="G217" s="1" t="s">
        <v>2303</v>
      </c>
      <c r="H217" s="2">
        <v>12</v>
      </c>
      <c r="I217" s="3" t="s">
        <v>2315</v>
      </c>
      <c r="J217" t="s">
        <v>2365</v>
      </c>
      <c r="M217" s="3" t="s">
        <v>2300</v>
      </c>
      <c r="N217" s="3" t="s">
        <v>2256</v>
      </c>
      <c r="O217" t="s">
        <v>2310</v>
      </c>
    </row>
    <row r="218" spans="1:15" x14ac:dyDescent="0.25">
      <c r="A218" t="s">
        <v>2284</v>
      </c>
      <c r="B218" s="1" t="s">
        <v>2288</v>
      </c>
      <c r="C218" s="1" t="s">
        <v>2295</v>
      </c>
      <c r="D218" s="1" t="s">
        <v>2427</v>
      </c>
      <c r="E218" s="1" t="s">
        <v>2298</v>
      </c>
      <c r="F218" s="2" t="s">
        <v>2300</v>
      </c>
      <c r="G218" s="1" t="s">
        <v>2304</v>
      </c>
      <c r="H218" s="2">
        <v>12</v>
      </c>
      <c r="I218" s="3" t="s">
        <v>2318</v>
      </c>
      <c r="J218" t="s">
        <v>2365</v>
      </c>
      <c r="M218" s="3" t="s">
        <v>2300</v>
      </c>
      <c r="N218" s="3" t="s">
        <v>2255</v>
      </c>
      <c r="O218" t="s">
        <v>2310</v>
      </c>
    </row>
    <row r="219" spans="1:15" x14ac:dyDescent="0.25">
      <c r="A219" t="s">
        <v>2285</v>
      </c>
      <c r="B219" s="1" t="s">
        <v>2288</v>
      </c>
      <c r="C219" s="1" t="s">
        <v>2291</v>
      </c>
      <c r="D219" s="1" t="s">
        <v>2426</v>
      </c>
      <c r="E219" s="1" t="s">
        <v>2428</v>
      </c>
      <c r="F219" s="2" t="s">
        <v>2301</v>
      </c>
      <c r="G219" s="1" t="s">
        <v>2304</v>
      </c>
      <c r="H219" s="2">
        <v>12</v>
      </c>
      <c r="I219" s="3" t="s">
        <v>2317</v>
      </c>
      <c r="J219" t="s">
        <v>2365</v>
      </c>
      <c r="M219" s="3" t="s">
        <v>2300</v>
      </c>
      <c r="N219" s="3" t="s">
        <v>2255</v>
      </c>
      <c r="O219" t="s">
        <v>2310</v>
      </c>
    </row>
    <row r="220" spans="1:15" x14ac:dyDescent="0.25">
      <c r="A220" t="s">
        <v>2285</v>
      </c>
      <c r="B220" s="1" t="e">
        <v>#N/A</v>
      </c>
      <c r="C220" s="1" t="e">
        <v>#N/A</v>
      </c>
      <c r="D220" s="1" t="e">
        <v>#N/A</v>
      </c>
      <c r="E220" s="1" t="s">
        <v>2298</v>
      </c>
      <c r="F220" s="2" t="s">
        <v>2300</v>
      </c>
      <c r="G220" s="1" t="s">
        <v>2304</v>
      </c>
      <c r="H220" s="2">
        <v>12</v>
      </c>
      <c r="I220" s="3" t="s">
        <v>22</v>
      </c>
      <c r="J220" t="s">
        <v>2365</v>
      </c>
      <c r="M220" s="3" t="s">
        <v>2300</v>
      </c>
      <c r="N220" s="3" t="s">
        <v>2255</v>
      </c>
      <c r="O220" t="s">
        <v>2310</v>
      </c>
    </row>
    <row r="221" spans="1:15" x14ac:dyDescent="0.25">
      <c r="A221" t="s">
        <v>2285</v>
      </c>
      <c r="B221" s="1" t="s">
        <v>2288</v>
      </c>
      <c r="C221" s="1" t="s">
        <v>2291</v>
      </c>
      <c r="D221" s="1" t="s">
        <v>2426</v>
      </c>
      <c r="E221" s="1" t="s">
        <v>2428</v>
      </c>
      <c r="F221" s="2" t="s">
        <v>2301</v>
      </c>
      <c r="G221" s="1" t="s">
        <v>2303</v>
      </c>
      <c r="H221" s="2">
        <v>12</v>
      </c>
      <c r="I221" s="3" t="s">
        <v>38</v>
      </c>
      <c r="J221" t="s">
        <v>2365</v>
      </c>
      <c r="M221" s="3" t="s">
        <v>2300</v>
      </c>
      <c r="N221" s="3" t="s">
        <v>2256</v>
      </c>
      <c r="O221" t="s">
        <v>2310</v>
      </c>
    </row>
    <row r="222" spans="1:15" x14ac:dyDescent="0.25">
      <c r="A222" t="s">
        <v>2284</v>
      </c>
      <c r="B222" s="1" t="s">
        <v>2288</v>
      </c>
      <c r="C222" s="1" t="s">
        <v>2295</v>
      </c>
      <c r="D222" s="1" t="s">
        <v>2427</v>
      </c>
      <c r="E222" s="1" t="s">
        <v>2298</v>
      </c>
      <c r="F222" s="2" t="s">
        <v>2300</v>
      </c>
      <c r="G222" s="1" t="s">
        <v>2304</v>
      </c>
      <c r="H222" s="2">
        <v>12</v>
      </c>
      <c r="I222" s="3" t="s">
        <v>2391</v>
      </c>
      <c r="J222" t="s">
        <v>2365</v>
      </c>
      <c r="M222" s="3" t="s">
        <v>2300</v>
      </c>
      <c r="N222" s="3" t="s">
        <v>2255</v>
      </c>
      <c r="O222" t="s">
        <v>2310</v>
      </c>
    </row>
    <row r="223" spans="1:15" x14ac:dyDescent="0.25">
      <c r="A223" t="s">
        <v>2285</v>
      </c>
      <c r="B223" s="1" t="e">
        <v>#N/A</v>
      </c>
      <c r="C223" s="1" t="e">
        <v>#N/A</v>
      </c>
      <c r="D223" s="1" t="e">
        <v>#N/A</v>
      </c>
      <c r="E223" s="1" t="s">
        <v>2428</v>
      </c>
      <c r="F223" s="2" t="s">
        <v>2301</v>
      </c>
      <c r="G223" s="1" t="s">
        <v>2304</v>
      </c>
      <c r="H223" s="2">
        <v>12</v>
      </c>
      <c r="I223" s="3" t="s">
        <v>1</v>
      </c>
      <c r="J223" t="s">
        <v>2365</v>
      </c>
      <c r="M223" s="3" t="s">
        <v>2300</v>
      </c>
      <c r="N223" s="3" t="s">
        <v>2255</v>
      </c>
      <c r="O223" t="s">
        <v>2310</v>
      </c>
    </row>
    <row r="224" spans="1:15" x14ac:dyDescent="0.25">
      <c r="A224" t="s">
        <v>2285</v>
      </c>
      <c r="B224" s="1" t="s">
        <v>2288</v>
      </c>
      <c r="C224" s="1" t="s">
        <v>2291</v>
      </c>
      <c r="D224" s="1" t="s">
        <v>2426</v>
      </c>
      <c r="E224" s="1" t="s">
        <v>2428</v>
      </c>
      <c r="F224" s="2" t="s">
        <v>2301</v>
      </c>
      <c r="G224" s="1" t="s">
        <v>2303</v>
      </c>
      <c r="H224" s="2">
        <v>12</v>
      </c>
      <c r="I224" s="3" t="s">
        <v>2314</v>
      </c>
      <c r="J224" t="s">
        <v>2365</v>
      </c>
      <c r="M224" s="3" t="s">
        <v>2300</v>
      </c>
      <c r="N224" s="3" t="s">
        <v>2256</v>
      </c>
      <c r="O224" t="s">
        <v>2310</v>
      </c>
    </row>
    <row r="225" spans="1:15" x14ac:dyDescent="0.25">
      <c r="A225" t="s">
        <v>2285</v>
      </c>
      <c r="B225" s="1" t="e">
        <v>#N/A</v>
      </c>
      <c r="C225" s="1" t="e">
        <v>#N/A</v>
      </c>
      <c r="D225" s="1" t="e">
        <v>#N/A</v>
      </c>
      <c r="E225" s="1" t="s">
        <v>2428</v>
      </c>
      <c r="F225" s="2" t="s">
        <v>2300</v>
      </c>
      <c r="G225" s="1" t="s">
        <v>2304</v>
      </c>
      <c r="H225" s="2">
        <v>12</v>
      </c>
      <c r="I225" s="3" t="s">
        <v>2317</v>
      </c>
      <c r="J225" t="s">
        <v>2365</v>
      </c>
      <c r="M225" s="3" t="s">
        <v>2301</v>
      </c>
      <c r="N225" s="3" t="s">
        <v>2255</v>
      </c>
      <c r="O225" t="s">
        <v>2310</v>
      </c>
    </row>
    <row r="226" spans="1:15" x14ac:dyDescent="0.25">
      <c r="A226" t="s">
        <v>2285</v>
      </c>
      <c r="B226" s="1" t="e">
        <v>#N/A</v>
      </c>
      <c r="C226" s="1" t="e">
        <v>#N/A</v>
      </c>
      <c r="D226" s="1" t="e">
        <v>#N/A</v>
      </c>
      <c r="E226" s="1" t="s">
        <v>2428</v>
      </c>
      <c r="F226" s="2" t="s">
        <v>2300</v>
      </c>
      <c r="G226" s="1" t="s">
        <v>2304</v>
      </c>
      <c r="H226" s="2">
        <v>12</v>
      </c>
      <c r="I226" s="3" t="s">
        <v>2390</v>
      </c>
      <c r="J226" t="s">
        <v>2365</v>
      </c>
      <c r="M226" s="3" t="s">
        <v>2301</v>
      </c>
      <c r="N226" s="3" t="s">
        <v>2255</v>
      </c>
      <c r="O226" t="s">
        <v>2310</v>
      </c>
    </row>
    <row r="227" spans="1:15" x14ac:dyDescent="0.25">
      <c r="A227" t="s">
        <v>2285</v>
      </c>
      <c r="B227" s="1" t="s">
        <v>2288</v>
      </c>
      <c r="C227" s="1" t="s">
        <v>2291</v>
      </c>
      <c r="D227" s="1" t="s">
        <v>2426</v>
      </c>
      <c r="E227" s="1" t="s">
        <v>2428</v>
      </c>
      <c r="F227" s="2" t="s">
        <v>2301</v>
      </c>
      <c r="G227" s="1" t="s">
        <v>2304</v>
      </c>
      <c r="H227" s="2">
        <v>12</v>
      </c>
      <c r="I227" s="3" t="s">
        <v>2317</v>
      </c>
      <c r="J227" t="s">
        <v>2365</v>
      </c>
      <c r="M227" s="3" t="s">
        <v>2300</v>
      </c>
      <c r="N227" s="3" t="s">
        <v>2255</v>
      </c>
      <c r="O227" t="s">
        <v>2310</v>
      </c>
    </row>
    <row r="228" spans="1:15" x14ac:dyDescent="0.25">
      <c r="A228" t="s">
        <v>2285</v>
      </c>
      <c r="B228" s="1" t="e">
        <v>#N/A</v>
      </c>
      <c r="C228" s="1" t="e">
        <v>#N/A</v>
      </c>
      <c r="D228" s="1" t="e">
        <v>#N/A</v>
      </c>
      <c r="E228" s="1" t="s">
        <v>2298</v>
      </c>
      <c r="F228" s="2" t="s">
        <v>2300</v>
      </c>
      <c r="G228" s="1" t="s">
        <v>2304</v>
      </c>
      <c r="H228" s="2">
        <v>12</v>
      </c>
      <c r="I228" s="3" t="s">
        <v>2388</v>
      </c>
      <c r="J228" t="s">
        <v>2365</v>
      </c>
      <c r="M228" s="3" t="s">
        <v>2300</v>
      </c>
      <c r="N228" s="3" t="s">
        <v>2255</v>
      </c>
      <c r="O228" t="s">
        <v>2310</v>
      </c>
    </row>
    <row r="229" spans="1:15" x14ac:dyDescent="0.25">
      <c r="A229" t="s">
        <v>2285</v>
      </c>
      <c r="B229" s="1" t="e">
        <v>#N/A</v>
      </c>
      <c r="C229" s="1" t="e">
        <v>#N/A</v>
      </c>
      <c r="D229" s="1" t="e">
        <v>#N/A</v>
      </c>
      <c r="E229" s="1" t="s">
        <v>2428</v>
      </c>
      <c r="F229" s="2" t="s">
        <v>2301</v>
      </c>
      <c r="G229" s="1" t="s">
        <v>2304</v>
      </c>
      <c r="H229" s="2">
        <v>12</v>
      </c>
      <c r="I229" s="3" t="s">
        <v>48</v>
      </c>
      <c r="J229" t="s">
        <v>2365</v>
      </c>
      <c r="M229" s="3" t="s">
        <v>2300</v>
      </c>
      <c r="N229" s="3" t="s">
        <v>2255</v>
      </c>
      <c r="O229" t="s">
        <v>2310</v>
      </c>
    </row>
    <row r="230" spans="1:15" x14ac:dyDescent="0.25">
      <c r="A230" t="s">
        <v>2285</v>
      </c>
      <c r="B230" s="1" t="s">
        <v>2288</v>
      </c>
      <c r="C230" s="1" t="s">
        <v>2293</v>
      </c>
      <c r="D230" s="1" t="s">
        <v>2426</v>
      </c>
      <c r="E230" s="1" t="s">
        <v>2428</v>
      </c>
      <c r="F230" s="2" t="s">
        <v>2301</v>
      </c>
      <c r="G230" s="1" t="s">
        <v>2304</v>
      </c>
      <c r="H230" s="2">
        <v>12</v>
      </c>
      <c r="I230" s="3" t="s">
        <v>2328</v>
      </c>
      <c r="J230" t="s">
        <v>2365</v>
      </c>
      <c r="M230" s="3" t="s">
        <v>2300</v>
      </c>
      <c r="N230" s="3" t="s">
        <v>2255</v>
      </c>
      <c r="O230" t="s">
        <v>2310</v>
      </c>
    </row>
    <row r="231" spans="1:15" x14ac:dyDescent="0.25">
      <c r="A231" t="s">
        <v>2285</v>
      </c>
      <c r="B231" s="1" t="e">
        <v>#N/A</v>
      </c>
      <c r="C231" s="1" t="e">
        <v>#N/A</v>
      </c>
      <c r="D231" s="1" t="e">
        <v>#N/A</v>
      </c>
      <c r="E231" s="1" t="s">
        <v>2428</v>
      </c>
      <c r="F231" s="2" t="s">
        <v>2300</v>
      </c>
      <c r="G231" s="1" t="s">
        <v>2304</v>
      </c>
      <c r="H231" s="2">
        <v>12</v>
      </c>
      <c r="I231" s="3" t="s">
        <v>9</v>
      </c>
      <c r="J231" t="s">
        <v>2365</v>
      </c>
      <c r="M231" s="3" t="s">
        <v>2301</v>
      </c>
      <c r="N231" s="3" t="s">
        <v>2255</v>
      </c>
      <c r="O231" t="s">
        <v>2310</v>
      </c>
    </row>
    <row r="232" spans="1:15" x14ac:dyDescent="0.25">
      <c r="A232" t="s">
        <v>2284</v>
      </c>
      <c r="B232" s="1" t="s">
        <v>2288</v>
      </c>
      <c r="C232" s="1" t="s">
        <v>2295</v>
      </c>
      <c r="D232" s="1" t="s">
        <v>2427</v>
      </c>
      <c r="E232" s="1" t="s">
        <v>2298</v>
      </c>
      <c r="F232" s="2" t="s">
        <v>2300</v>
      </c>
      <c r="G232" s="1" t="s">
        <v>2304</v>
      </c>
      <c r="H232" s="2">
        <v>12</v>
      </c>
      <c r="I232" s="3" t="s">
        <v>2317</v>
      </c>
      <c r="J232" t="s">
        <v>2365</v>
      </c>
      <c r="M232" s="3" t="s">
        <v>2300</v>
      </c>
      <c r="N232" s="3" t="s">
        <v>2255</v>
      </c>
      <c r="O232" t="s">
        <v>2310</v>
      </c>
    </row>
    <row r="233" spans="1:15" x14ac:dyDescent="0.25">
      <c r="A233" t="s">
        <v>2285</v>
      </c>
      <c r="B233" s="1" t="e">
        <v>#N/A</v>
      </c>
      <c r="C233" s="1" t="e">
        <v>#N/A</v>
      </c>
      <c r="D233" s="1" t="e">
        <v>#N/A</v>
      </c>
      <c r="E233" s="1" t="s">
        <v>2428</v>
      </c>
      <c r="F233" s="2" t="s">
        <v>2301</v>
      </c>
      <c r="G233" s="1" t="s">
        <v>2304</v>
      </c>
      <c r="H233" s="2">
        <v>12</v>
      </c>
      <c r="I233" s="3" t="s">
        <v>5</v>
      </c>
      <c r="J233" t="s">
        <v>2365</v>
      </c>
      <c r="M233" s="3" t="s">
        <v>2300</v>
      </c>
      <c r="N233" s="3" t="s">
        <v>2255</v>
      </c>
      <c r="O233" t="s">
        <v>2310</v>
      </c>
    </row>
    <row r="234" spans="1:15" x14ac:dyDescent="0.25">
      <c r="A234" t="s">
        <v>2285</v>
      </c>
      <c r="B234" s="1" t="e">
        <v>#N/A</v>
      </c>
      <c r="C234" s="1" t="e">
        <v>#N/A</v>
      </c>
      <c r="D234" s="1" t="e">
        <v>#N/A</v>
      </c>
      <c r="E234" s="1" t="s">
        <v>2428</v>
      </c>
      <c r="F234" s="2" t="s">
        <v>2301</v>
      </c>
      <c r="G234" s="1" t="s">
        <v>2304</v>
      </c>
      <c r="H234" s="2">
        <v>12</v>
      </c>
      <c r="I234" s="3" t="s">
        <v>2321</v>
      </c>
      <c r="J234" t="s">
        <v>2365</v>
      </c>
      <c r="M234" s="3" t="s">
        <v>2300</v>
      </c>
      <c r="N234" s="3" t="s">
        <v>2255</v>
      </c>
      <c r="O234" t="s">
        <v>2310</v>
      </c>
    </row>
    <row r="235" spans="1:15" x14ac:dyDescent="0.25">
      <c r="A235" t="s">
        <v>2285</v>
      </c>
      <c r="B235" s="1" t="e">
        <v>#N/A</v>
      </c>
      <c r="C235" s="1" t="e">
        <v>#N/A</v>
      </c>
      <c r="D235" s="1" t="e">
        <v>#N/A</v>
      </c>
      <c r="E235" s="1" t="s">
        <v>2428</v>
      </c>
      <c r="F235" s="2" t="s">
        <v>2300</v>
      </c>
      <c r="G235" s="1" t="s">
        <v>2305</v>
      </c>
      <c r="H235" s="2">
        <v>12</v>
      </c>
      <c r="I235" s="3" t="s">
        <v>2390</v>
      </c>
      <c r="J235" t="s">
        <v>2365</v>
      </c>
      <c r="M235" s="3" t="s">
        <v>2301</v>
      </c>
      <c r="N235" s="3" t="s">
        <v>2257</v>
      </c>
      <c r="O235" t="s">
        <v>2310</v>
      </c>
    </row>
    <row r="236" spans="1:15" x14ac:dyDescent="0.25">
      <c r="A236" t="s">
        <v>2285</v>
      </c>
      <c r="B236" s="1" t="s">
        <v>2288</v>
      </c>
      <c r="C236" s="1" t="s">
        <v>2291</v>
      </c>
      <c r="D236" s="1" t="s">
        <v>2426</v>
      </c>
      <c r="E236" s="1" t="s">
        <v>2428</v>
      </c>
      <c r="F236" s="2" t="s">
        <v>2301</v>
      </c>
      <c r="G236" s="1" t="s">
        <v>2303</v>
      </c>
      <c r="H236" s="2">
        <v>12</v>
      </c>
      <c r="I236" s="3" t="s">
        <v>2328</v>
      </c>
      <c r="J236" t="s">
        <v>2365</v>
      </c>
      <c r="M236" s="3" t="s">
        <v>2300</v>
      </c>
      <c r="N236" s="3" t="s">
        <v>2256</v>
      </c>
      <c r="O236" t="s">
        <v>2310</v>
      </c>
    </row>
    <row r="237" spans="1:15" x14ac:dyDescent="0.25">
      <c r="A237" t="s">
        <v>2285</v>
      </c>
      <c r="B237" s="1" t="e">
        <v>#N/A</v>
      </c>
      <c r="C237" s="1" t="e">
        <v>#N/A</v>
      </c>
      <c r="D237" s="1" t="e">
        <v>#N/A</v>
      </c>
      <c r="E237" s="1" t="s">
        <v>2428</v>
      </c>
      <c r="F237" s="2" t="s">
        <v>2300</v>
      </c>
      <c r="G237" s="1" t="s">
        <v>2304</v>
      </c>
      <c r="H237" s="2">
        <v>12</v>
      </c>
      <c r="I237" s="3" t="s">
        <v>2317</v>
      </c>
      <c r="J237" t="s">
        <v>2365</v>
      </c>
      <c r="M237" s="3" t="s">
        <v>2301</v>
      </c>
      <c r="N237" s="3" t="s">
        <v>2255</v>
      </c>
      <c r="O237" t="s">
        <v>2310</v>
      </c>
    </row>
    <row r="238" spans="1:15" x14ac:dyDescent="0.25">
      <c r="A238" t="s">
        <v>2285</v>
      </c>
      <c r="B238" s="1" t="s">
        <v>2288</v>
      </c>
      <c r="C238" s="1" t="s">
        <v>2293</v>
      </c>
      <c r="D238" s="1" t="s">
        <v>2426</v>
      </c>
      <c r="E238" s="1" t="s">
        <v>2428</v>
      </c>
      <c r="F238" s="2" t="s">
        <v>2301</v>
      </c>
      <c r="G238" s="1" t="s">
        <v>2304</v>
      </c>
      <c r="H238" s="2">
        <v>12</v>
      </c>
      <c r="I238" s="3" t="s">
        <v>2392</v>
      </c>
      <c r="J238" t="s">
        <v>2365</v>
      </c>
      <c r="M238" s="3" t="s">
        <v>2300</v>
      </c>
      <c r="N238" s="3" t="s">
        <v>2255</v>
      </c>
      <c r="O238" t="s">
        <v>2310</v>
      </c>
    </row>
    <row r="239" spans="1:15" x14ac:dyDescent="0.25">
      <c r="A239" t="s">
        <v>2285</v>
      </c>
      <c r="B239" s="1" t="e">
        <v>#N/A</v>
      </c>
      <c r="C239" s="1" t="e">
        <v>#N/A</v>
      </c>
      <c r="D239" s="1" t="e">
        <v>#N/A</v>
      </c>
      <c r="E239" s="1" t="s">
        <v>2428</v>
      </c>
      <c r="F239" s="2" t="s">
        <v>2300</v>
      </c>
      <c r="G239" s="1" t="s">
        <v>2304</v>
      </c>
      <c r="H239" s="2">
        <v>12</v>
      </c>
      <c r="I239" s="3" t="s">
        <v>6</v>
      </c>
      <c r="J239" t="s">
        <v>2365</v>
      </c>
      <c r="M239" s="3" t="s">
        <v>2301</v>
      </c>
      <c r="N239" s="3" t="s">
        <v>2255</v>
      </c>
      <c r="O239" t="s">
        <v>2310</v>
      </c>
    </row>
    <row r="240" spans="1:15" x14ac:dyDescent="0.25">
      <c r="A240" t="s">
        <v>2285</v>
      </c>
      <c r="B240" s="1" t="s">
        <v>2288</v>
      </c>
      <c r="C240" s="1" t="s">
        <v>2293</v>
      </c>
      <c r="D240" s="1" t="s">
        <v>2426</v>
      </c>
      <c r="E240" s="1" t="s">
        <v>2428</v>
      </c>
      <c r="F240" s="2" t="s">
        <v>2301</v>
      </c>
      <c r="G240" s="1" t="s">
        <v>2304</v>
      </c>
      <c r="H240" s="2">
        <v>12</v>
      </c>
      <c r="I240" s="3" t="s">
        <v>2316</v>
      </c>
      <c r="J240" t="s">
        <v>2365</v>
      </c>
      <c r="M240" s="3" t="s">
        <v>2300</v>
      </c>
      <c r="N240" s="3" t="s">
        <v>2255</v>
      </c>
      <c r="O240" t="s">
        <v>2310</v>
      </c>
    </row>
    <row r="241" spans="1:15" x14ac:dyDescent="0.25">
      <c r="A241" t="s">
        <v>2285</v>
      </c>
      <c r="B241" s="1" t="e">
        <v>#N/A</v>
      </c>
      <c r="C241" s="1" t="e">
        <v>#N/A</v>
      </c>
      <c r="D241" s="1" t="e">
        <v>#N/A</v>
      </c>
      <c r="E241" s="1" t="s">
        <v>2298</v>
      </c>
      <c r="F241" s="2" t="s">
        <v>2300</v>
      </c>
      <c r="G241" s="1" t="s">
        <v>2304</v>
      </c>
      <c r="H241" s="2">
        <v>12</v>
      </c>
      <c r="I241" s="3" t="s">
        <v>19</v>
      </c>
      <c r="J241" t="s">
        <v>2365</v>
      </c>
      <c r="M241" s="3" t="s">
        <v>2300</v>
      </c>
      <c r="N241" s="3" t="s">
        <v>2255</v>
      </c>
      <c r="O241" t="s">
        <v>2310</v>
      </c>
    </row>
    <row r="242" spans="1:15" x14ac:dyDescent="0.25">
      <c r="A242" t="s">
        <v>2285</v>
      </c>
      <c r="B242" s="1" t="e">
        <v>#N/A</v>
      </c>
      <c r="C242" s="1" t="e">
        <v>#N/A</v>
      </c>
      <c r="D242" s="1" t="e">
        <v>#N/A</v>
      </c>
      <c r="E242" s="1" t="s">
        <v>2298</v>
      </c>
      <c r="F242" s="2" t="s">
        <v>2300</v>
      </c>
      <c r="G242" s="1" t="s">
        <v>2304</v>
      </c>
      <c r="H242" s="2">
        <v>12</v>
      </c>
      <c r="I242" s="3" t="s">
        <v>2330</v>
      </c>
      <c r="J242" t="s">
        <v>2365</v>
      </c>
      <c r="M242" s="3" t="s">
        <v>2300</v>
      </c>
      <c r="N242" s="3" t="s">
        <v>2255</v>
      </c>
      <c r="O242" t="s">
        <v>2310</v>
      </c>
    </row>
    <row r="243" spans="1:15" x14ac:dyDescent="0.25">
      <c r="A243" t="s">
        <v>2285</v>
      </c>
      <c r="B243" s="1" t="e">
        <v>#N/A</v>
      </c>
      <c r="C243" s="1" t="e">
        <v>#N/A</v>
      </c>
      <c r="D243" s="1" t="e">
        <v>#N/A</v>
      </c>
      <c r="E243" s="1" t="s">
        <v>2428</v>
      </c>
      <c r="F243" s="2" t="s">
        <v>2300</v>
      </c>
      <c r="G243" s="1" t="s">
        <v>2304</v>
      </c>
      <c r="H243" s="2">
        <v>12</v>
      </c>
      <c r="I243" s="3" t="s">
        <v>2313</v>
      </c>
      <c r="J243" t="s">
        <v>2365</v>
      </c>
      <c r="M243" s="3" t="s">
        <v>2301</v>
      </c>
      <c r="N243" s="3" t="s">
        <v>2255</v>
      </c>
      <c r="O243" t="s">
        <v>2310</v>
      </c>
    </row>
    <row r="244" spans="1:15" x14ac:dyDescent="0.25">
      <c r="A244" t="s">
        <v>2283</v>
      </c>
      <c r="B244" s="1" t="s">
        <v>2289</v>
      </c>
      <c r="C244" s="1" t="s">
        <v>2292</v>
      </c>
      <c r="D244" s="1" t="s">
        <v>2427</v>
      </c>
      <c r="E244" s="1" t="s">
        <v>2298</v>
      </c>
      <c r="F244" s="2" t="s">
        <v>2300</v>
      </c>
      <c r="G244" s="1" t="s">
        <v>2304</v>
      </c>
      <c r="H244" s="2">
        <v>11</v>
      </c>
      <c r="I244" s="3" t="s">
        <v>18</v>
      </c>
      <c r="J244" t="s">
        <v>2365</v>
      </c>
      <c r="M244" s="3" t="s">
        <v>2300</v>
      </c>
      <c r="N244" s="3" t="s">
        <v>2255</v>
      </c>
      <c r="O244" t="s">
        <v>2310</v>
      </c>
    </row>
    <row r="245" spans="1:15" x14ac:dyDescent="0.25">
      <c r="A245" t="s">
        <v>2285</v>
      </c>
      <c r="B245" s="1" t="e">
        <v>#N/A</v>
      </c>
      <c r="C245" s="1" t="e">
        <v>#N/A</v>
      </c>
      <c r="D245" s="1" t="e">
        <v>#N/A</v>
      </c>
      <c r="E245" s="1" t="s">
        <v>2298</v>
      </c>
      <c r="F245" s="2" t="s">
        <v>2300</v>
      </c>
      <c r="G245" s="1" t="s">
        <v>2304</v>
      </c>
      <c r="H245" s="2">
        <v>11</v>
      </c>
      <c r="I245" s="3" t="s">
        <v>2409</v>
      </c>
      <c r="J245" t="s">
        <v>2365</v>
      </c>
      <c r="M245" s="3" t="s">
        <v>2300</v>
      </c>
      <c r="N245" s="3" t="s">
        <v>2255</v>
      </c>
      <c r="O245" t="s">
        <v>2310</v>
      </c>
    </row>
    <row r="246" spans="1:15" x14ac:dyDescent="0.25">
      <c r="A246" t="s">
        <v>2285</v>
      </c>
      <c r="B246" s="1" t="e">
        <v>#N/A</v>
      </c>
      <c r="C246" s="1" t="e">
        <v>#N/A</v>
      </c>
      <c r="D246" s="1" t="e">
        <v>#N/A</v>
      </c>
      <c r="E246" s="1" t="s">
        <v>2428</v>
      </c>
      <c r="F246" s="2" t="s">
        <v>2301</v>
      </c>
      <c r="G246" s="1" t="s">
        <v>2304</v>
      </c>
      <c r="H246" s="2">
        <v>11</v>
      </c>
      <c r="I246" s="3" t="s">
        <v>2321</v>
      </c>
      <c r="J246" t="s">
        <v>2365</v>
      </c>
      <c r="M246" s="3" t="s">
        <v>2300</v>
      </c>
      <c r="N246" s="3" t="s">
        <v>2255</v>
      </c>
      <c r="O246" t="s">
        <v>2310</v>
      </c>
    </row>
    <row r="247" spans="1:15" x14ac:dyDescent="0.25">
      <c r="A247" t="s">
        <v>2285</v>
      </c>
      <c r="B247" s="1" t="e">
        <v>#N/A</v>
      </c>
      <c r="C247" s="1" t="e">
        <v>#N/A</v>
      </c>
      <c r="D247" s="1" t="e">
        <v>#N/A</v>
      </c>
      <c r="E247" s="1" t="s">
        <v>2298</v>
      </c>
      <c r="F247" s="2" t="s">
        <v>2300</v>
      </c>
      <c r="G247" s="1" t="s">
        <v>2304</v>
      </c>
      <c r="H247" s="2">
        <v>11</v>
      </c>
      <c r="I247" s="3" t="s">
        <v>22</v>
      </c>
      <c r="J247" t="s">
        <v>2365</v>
      </c>
      <c r="M247" s="3" t="s">
        <v>2300</v>
      </c>
      <c r="N247" s="3" t="s">
        <v>2255</v>
      </c>
      <c r="O247" t="s">
        <v>2310</v>
      </c>
    </row>
    <row r="248" spans="1:15" x14ac:dyDescent="0.25">
      <c r="A248" t="s">
        <v>2285</v>
      </c>
      <c r="B248" s="1" t="s">
        <v>2288</v>
      </c>
      <c r="C248" s="1" t="s">
        <v>2291</v>
      </c>
      <c r="D248" s="1" t="s">
        <v>2426</v>
      </c>
      <c r="E248" s="1" t="s">
        <v>2428</v>
      </c>
      <c r="F248" s="2" t="s">
        <v>2301</v>
      </c>
      <c r="G248" s="1" t="s">
        <v>2304</v>
      </c>
      <c r="H248" s="2">
        <v>11</v>
      </c>
      <c r="I248" s="3" t="s">
        <v>2317</v>
      </c>
      <c r="J248" t="s">
        <v>2365</v>
      </c>
      <c r="M248" s="3" t="s">
        <v>2300</v>
      </c>
      <c r="N248" s="3" t="s">
        <v>2255</v>
      </c>
      <c r="O248" t="s">
        <v>2310</v>
      </c>
    </row>
    <row r="249" spans="1:15" x14ac:dyDescent="0.25">
      <c r="A249" t="s">
        <v>2285</v>
      </c>
      <c r="B249" s="1" t="e">
        <v>#N/A</v>
      </c>
      <c r="C249" s="1" t="e">
        <v>#N/A</v>
      </c>
      <c r="D249" s="1" t="e">
        <v>#N/A</v>
      </c>
      <c r="E249" s="1" t="s">
        <v>2428</v>
      </c>
      <c r="F249" s="2" t="s">
        <v>2301</v>
      </c>
      <c r="G249" s="1" t="s">
        <v>2304</v>
      </c>
      <c r="H249" s="2">
        <v>11</v>
      </c>
      <c r="I249" s="3" t="s">
        <v>2348</v>
      </c>
      <c r="J249" t="s">
        <v>2365</v>
      </c>
      <c r="M249" s="3" t="s">
        <v>2300</v>
      </c>
      <c r="N249" s="3" t="s">
        <v>2255</v>
      </c>
      <c r="O249" t="s">
        <v>2310</v>
      </c>
    </row>
    <row r="250" spans="1:15" x14ac:dyDescent="0.25">
      <c r="A250" t="s">
        <v>2285</v>
      </c>
      <c r="B250" s="1" t="s">
        <v>2288</v>
      </c>
      <c r="C250" s="1" t="s">
        <v>2291</v>
      </c>
      <c r="D250" s="1" t="s">
        <v>2426</v>
      </c>
      <c r="E250" s="1" t="s">
        <v>2428</v>
      </c>
      <c r="F250" s="2" t="s">
        <v>2301</v>
      </c>
      <c r="G250" s="1" t="s">
        <v>2304</v>
      </c>
      <c r="H250" s="2">
        <v>11</v>
      </c>
      <c r="I250" s="3" t="s">
        <v>1</v>
      </c>
      <c r="J250" t="s">
        <v>2365</v>
      </c>
      <c r="M250" s="3" t="s">
        <v>2300</v>
      </c>
      <c r="N250" s="3" t="s">
        <v>2255</v>
      </c>
      <c r="O250" t="s">
        <v>2310</v>
      </c>
    </row>
    <row r="251" spans="1:15" x14ac:dyDescent="0.25">
      <c r="A251" t="s">
        <v>2285</v>
      </c>
      <c r="B251" s="1" t="s">
        <v>2288</v>
      </c>
      <c r="C251" s="1" t="s">
        <v>2291</v>
      </c>
      <c r="D251" s="1" t="s">
        <v>2426</v>
      </c>
      <c r="E251" s="1" t="s">
        <v>2428</v>
      </c>
      <c r="F251" s="2" t="s">
        <v>2301</v>
      </c>
      <c r="G251" s="1" t="s">
        <v>2304</v>
      </c>
      <c r="H251" s="2">
        <v>11</v>
      </c>
      <c r="I251" s="3" t="s">
        <v>2319</v>
      </c>
      <c r="J251" t="s">
        <v>2365</v>
      </c>
      <c r="M251" s="3" t="s">
        <v>2300</v>
      </c>
      <c r="N251" s="3" t="s">
        <v>2255</v>
      </c>
      <c r="O251" t="s">
        <v>2310</v>
      </c>
    </row>
    <row r="252" spans="1:15" x14ac:dyDescent="0.25">
      <c r="A252" t="s">
        <v>2284</v>
      </c>
      <c r="B252" s="1" t="s">
        <v>2289</v>
      </c>
      <c r="C252" s="1" t="s">
        <v>2291</v>
      </c>
      <c r="D252" s="1" t="s">
        <v>2413</v>
      </c>
      <c r="E252" s="1" t="s">
        <v>2298</v>
      </c>
      <c r="F252" s="2" t="s">
        <v>2300</v>
      </c>
      <c r="G252" s="1" t="s">
        <v>2304</v>
      </c>
      <c r="H252" s="2">
        <v>11</v>
      </c>
      <c r="I252" s="3" t="s">
        <v>2314</v>
      </c>
      <c r="J252" t="s">
        <v>2365</v>
      </c>
      <c r="M252" s="3" t="s">
        <v>2300</v>
      </c>
      <c r="N252" s="3" t="s">
        <v>2255</v>
      </c>
      <c r="O252" t="s">
        <v>2310</v>
      </c>
    </row>
    <row r="253" spans="1:15" x14ac:dyDescent="0.25">
      <c r="A253" t="s">
        <v>2285</v>
      </c>
      <c r="B253" s="1" t="s">
        <v>2288</v>
      </c>
      <c r="C253" s="1" t="s">
        <v>2291</v>
      </c>
      <c r="D253" s="1" t="s">
        <v>2426</v>
      </c>
      <c r="E253" s="1" t="s">
        <v>2428</v>
      </c>
      <c r="F253" s="2" t="s">
        <v>2301</v>
      </c>
      <c r="G253" s="1" t="s">
        <v>2304</v>
      </c>
      <c r="H253" s="2">
        <v>11</v>
      </c>
      <c r="I253" s="3" t="s">
        <v>2317</v>
      </c>
      <c r="J253" t="s">
        <v>2365</v>
      </c>
      <c r="M253" s="3" t="s">
        <v>2300</v>
      </c>
      <c r="N253" s="3" t="s">
        <v>2255</v>
      </c>
      <c r="O253" t="s">
        <v>2310</v>
      </c>
    </row>
    <row r="254" spans="1:15" x14ac:dyDescent="0.25">
      <c r="A254" t="s">
        <v>2285</v>
      </c>
      <c r="B254" s="1" t="s">
        <v>2288</v>
      </c>
      <c r="C254" s="1" t="s">
        <v>2291</v>
      </c>
      <c r="D254" s="1" t="s">
        <v>2426</v>
      </c>
      <c r="E254" s="1" t="s">
        <v>2428</v>
      </c>
      <c r="F254" s="2" t="s">
        <v>2301</v>
      </c>
      <c r="G254" s="1" t="s">
        <v>2304</v>
      </c>
      <c r="H254" s="2">
        <v>11</v>
      </c>
      <c r="I254" s="3" t="s">
        <v>2318</v>
      </c>
      <c r="J254" t="s">
        <v>2365</v>
      </c>
      <c r="M254" s="3" t="s">
        <v>2300</v>
      </c>
      <c r="N254" s="3" t="s">
        <v>2255</v>
      </c>
      <c r="O254" t="s">
        <v>2310</v>
      </c>
    </row>
    <row r="255" spans="1:15" x14ac:dyDescent="0.25">
      <c r="A255" t="s">
        <v>2285</v>
      </c>
      <c r="B255" s="1" t="s">
        <v>2288</v>
      </c>
      <c r="C255" s="1" t="s">
        <v>2291</v>
      </c>
      <c r="D255" s="1" t="s">
        <v>2426</v>
      </c>
      <c r="E255" s="1" t="s">
        <v>2428</v>
      </c>
      <c r="F255" s="2" t="s">
        <v>2301</v>
      </c>
      <c r="G255" s="1" t="s">
        <v>2304</v>
      </c>
      <c r="H255" s="2">
        <v>11</v>
      </c>
      <c r="I255" s="3" t="s">
        <v>2333</v>
      </c>
      <c r="J255" t="s">
        <v>2365</v>
      </c>
      <c r="M255" s="3" t="s">
        <v>2300</v>
      </c>
      <c r="N255" s="3" t="s">
        <v>2255</v>
      </c>
      <c r="O255" t="s">
        <v>2310</v>
      </c>
    </row>
    <row r="256" spans="1:15" x14ac:dyDescent="0.25">
      <c r="A256" t="s">
        <v>2285</v>
      </c>
      <c r="B256" s="1" t="s">
        <v>2288</v>
      </c>
      <c r="C256" s="1" t="s">
        <v>2291</v>
      </c>
      <c r="D256" s="1" t="s">
        <v>2426</v>
      </c>
      <c r="E256" s="1" t="s">
        <v>2428</v>
      </c>
      <c r="F256" s="2" t="s">
        <v>2301</v>
      </c>
      <c r="G256" s="1" t="s">
        <v>2304</v>
      </c>
      <c r="H256" s="2">
        <v>11</v>
      </c>
      <c r="I256" s="3" t="s">
        <v>2313</v>
      </c>
      <c r="J256" t="s">
        <v>2365</v>
      </c>
      <c r="M256" s="3" t="s">
        <v>2300</v>
      </c>
      <c r="N256" s="3" t="s">
        <v>2255</v>
      </c>
      <c r="O256" t="s">
        <v>2310</v>
      </c>
    </row>
    <row r="257" spans="1:15" x14ac:dyDescent="0.25">
      <c r="A257" t="s">
        <v>2285</v>
      </c>
      <c r="B257" s="1" t="e">
        <v>#N/A</v>
      </c>
      <c r="C257" s="1" t="e">
        <v>#N/A</v>
      </c>
      <c r="D257" s="1" t="e">
        <v>#N/A</v>
      </c>
      <c r="E257" s="1" t="s">
        <v>2428</v>
      </c>
      <c r="F257" s="2" t="s">
        <v>2301</v>
      </c>
      <c r="G257" s="1" t="s">
        <v>2303</v>
      </c>
      <c r="H257" s="2">
        <v>11</v>
      </c>
      <c r="I257" s="3" t="s">
        <v>2314</v>
      </c>
      <c r="J257" t="s">
        <v>2365</v>
      </c>
      <c r="M257" s="3" t="s">
        <v>2300</v>
      </c>
      <c r="N257" s="3" t="s">
        <v>2256</v>
      </c>
      <c r="O257" t="s">
        <v>2310</v>
      </c>
    </row>
    <row r="258" spans="1:15" x14ac:dyDescent="0.25">
      <c r="A258" t="s">
        <v>2285</v>
      </c>
      <c r="B258" s="1" t="s">
        <v>2288</v>
      </c>
      <c r="C258" s="1" t="s">
        <v>2291</v>
      </c>
      <c r="D258" s="1" t="s">
        <v>2426</v>
      </c>
      <c r="E258" s="1" t="s">
        <v>2428</v>
      </c>
      <c r="F258" s="2" t="s">
        <v>2301</v>
      </c>
      <c r="G258" s="1" t="s">
        <v>2304</v>
      </c>
      <c r="H258" s="2">
        <v>11</v>
      </c>
      <c r="I258" s="3" t="s">
        <v>2396</v>
      </c>
      <c r="J258" t="s">
        <v>2365</v>
      </c>
      <c r="M258" s="3" t="s">
        <v>2300</v>
      </c>
      <c r="N258" s="3" t="s">
        <v>2255</v>
      </c>
      <c r="O258" t="s">
        <v>2310</v>
      </c>
    </row>
    <row r="259" spans="1:15" x14ac:dyDescent="0.25">
      <c r="A259" t="s">
        <v>2285</v>
      </c>
      <c r="B259" s="1" t="e">
        <v>#N/A</v>
      </c>
      <c r="C259" s="1" t="e">
        <v>#N/A</v>
      </c>
      <c r="D259" s="1" t="e">
        <v>#N/A</v>
      </c>
      <c r="E259" s="1" t="s">
        <v>2428</v>
      </c>
      <c r="F259" s="2" t="s">
        <v>2301</v>
      </c>
      <c r="G259" s="1" t="s">
        <v>2304</v>
      </c>
      <c r="H259" s="2">
        <v>11</v>
      </c>
      <c r="I259" s="3" t="s">
        <v>2316</v>
      </c>
      <c r="J259" t="s">
        <v>2365</v>
      </c>
      <c r="M259" s="3" t="s">
        <v>2300</v>
      </c>
      <c r="N259" s="3" t="s">
        <v>2255</v>
      </c>
      <c r="O259" t="s">
        <v>2310</v>
      </c>
    </row>
    <row r="260" spans="1:15" x14ac:dyDescent="0.25">
      <c r="A260" t="s">
        <v>2285</v>
      </c>
      <c r="B260" s="1" t="e">
        <v>#N/A</v>
      </c>
      <c r="C260" s="1" t="e">
        <v>#N/A</v>
      </c>
      <c r="D260" s="1" t="e">
        <v>#N/A</v>
      </c>
      <c r="E260" s="1" t="s">
        <v>2428</v>
      </c>
      <c r="F260" s="2" t="s">
        <v>2301</v>
      </c>
      <c r="G260" s="1" t="s">
        <v>2304</v>
      </c>
      <c r="H260" s="2">
        <v>11</v>
      </c>
      <c r="I260" s="3" t="s">
        <v>2317</v>
      </c>
      <c r="J260" t="s">
        <v>2365</v>
      </c>
      <c r="M260" s="3" t="s">
        <v>2300</v>
      </c>
      <c r="N260" s="3" t="s">
        <v>2255</v>
      </c>
      <c r="O260" t="s">
        <v>2310</v>
      </c>
    </row>
    <row r="261" spans="1:15" x14ac:dyDescent="0.25">
      <c r="A261" t="s">
        <v>2285</v>
      </c>
      <c r="B261" s="1" t="e">
        <v>#N/A</v>
      </c>
      <c r="C261" s="1" t="e">
        <v>#N/A</v>
      </c>
      <c r="D261" s="1" t="e">
        <v>#N/A</v>
      </c>
      <c r="E261" s="1" t="s">
        <v>2428</v>
      </c>
      <c r="F261" s="2" t="s">
        <v>2301</v>
      </c>
      <c r="G261" s="1" t="s">
        <v>2303</v>
      </c>
      <c r="H261" s="2">
        <v>11</v>
      </c>
      <c r="I261" s="3" t="s">
        <v>2321</v>
      </c>
      <c r="J261" t="s">
        <v>2365</v>
      </c>
      <c r="M261" s="3" t="s">
        <v>2300</v>
      </c>
      <c r="N261" s="3" t="s">
        <v>2256</v>
      </c>
      <c r="O261" t="s">
        <v>2310</v>
      </c>
    </row>
    <row r="262" spans="1:15" x14ac:dyDescent="0.25">
      <c r="A262" t="s">
        <v>2285</v>
      </c>
      <c r="B262" s="1" t="e">
        <v>#N/A</v>
      </c>
      <c r="C262" s="1" t="e">
        <v>#N/A</v>
      </c>
      <c r="D262" s="1" t="e">
        <v>#N/A</v>
      </c>
      <c r="E262" s="1" t="s">
        <v>2428</v>
      </c>
      <c r="F262" s="2" t="s">
        <v>2301</v>
      </c>
      <c r="G262" s="1" t="s">
        <v>2304</v>
      </c>
      <c r="H262" s="2">
        <v>11</v>
      </c>
      <c r="I262" s="3" t="s">
        <v>2321</v>
      </c>
      <c r="J262" t="s">
        <v>2365</v>
      </c>
      <c r="M262" s="3" t="s">
        <v>2300</v>
      </c>
      <c r="N262" s="3" t="s">
        <v>2255</v>
      </c>
      <c r="O262" t="s">
        <v>2310</v>
      </c>
    </row>
    <row r="263" spans="1:15" x14ac:dyDescent="0.25">
      <c r="A263" t="s">
        <v>2285</v>
      </c>
      <c r="B263" s="1" t="e">
        <v>#N/A</v>
      </c>
      <c r="C263" s="1" t="e">
        <v>#N/A</v>
      </c>
      <c r="D263" s="1" t="e">
        <v>#N/A</v>
      </c>
      <c r="E263" s="1" t="s">
        <v>2428</v>
      </c>
      <c r="F263" s="2" t="s">
        <v>2301</v>
      </c>
      <c r="G263" s="1" t="s">
        <v>2303</v>
      </c>
      <c r="H263" s="2">
        <v>11</v>
      </c>
      <c r="I263" s="3" t="s">
        <v>31</v>
      </c>
      <c r="J263" t="s">
        <v>2365</v>
      </c>
      <c r="M263" s="3" t="s">
        <v>2300</v>
      </c>
      <c r="N263" s="3" t="s">
        <v>2256</v>
      </c>
      <c r="O263" t="s">
        <v>2310</v>
      </c>
    </row>
    <row r="264" spans="1:15" x14ac:dyDescent="0.25">
      <c r="A264" t="s">
        <v>2285</v>
      </c>
      <c r="B264" s="1" t="e">
        <v>#N/A</v>
      </c>
      <c r="C264" s="1" t="e">
        <v>#N/A</v>
      </c>
      <c r="D264" s="1" t="e">
        <v>#N/A</v>
      </c>
      <c r="E264" s="1" t="s">
        <v>2428</v>
      </c>
      <c r="F264" s="2" t="s">
        <v>2301</v>
      </c>
      <c r="G264" s="1" t="s">
        <v>2304</v>
      </c>
      <c r="H264" s="2">
        <v>11</v>
      </c>
      <c r="I264" s="3" t="s">
        <v>2317</v>
      </c>
      <c r="J264" t="s">
        <v>2365</v>
      </c>
      <c r="M264" s="3" t="s">
        <v>2300</v>
      </c>
      <c r="N264" s="3" t="s">
        <v>2255</v>
      </c>
      <c r="O264" t="s">
        <v>2310</v>
      </c>
    </row>
    <row r="265" spans="1:15" x14ac:dyDescent="0.25">
      <c r="A265" t="s">
        <v>2285</v>
      </c>
      <c r="B265" s="1" t="e">
        <v>#N/A</v>
      </c>
      <c r="C265" s="1" t="e">
        <v>#N/A</v>
      </c>
      <c r="D265" s="1" t="e">
        <v>#N/A</v>
      </c>
      <c r="E265" s="1" t="s">
        <v>2428</v>
      </c>
      <c r="F265" s="2" t="s">
        <v>2301</v>
      </c>
      <c r="G265" s="1" t="s">
        <v>2304</v>
      </c>
      <c r="H265" s="2">
        <v>11</v>
      </c>
      <c r="I265" s="3" t="s">
        <v>2397</v>
      </c>
      <c r="J265" t="s">
        <v>2365</v>
      </c>
      <c r="M265" s="3" t="s">
        <v>2300</v>
      </c>
      <c r="N265" s="3" t="s">
        <v>2255</v>
      </c>
      <c r="O265" t="s">
        <v>2310</v>
      </c>
    </row>
    <row r="266" spans="1:15" x14ac:dyDescent="0.25">
      <c r="A266" t="s">
        <v>2285</v>
      </c>
      <c r="B266" s="1" t="e">
        <v>#N/A</v>
      </c>
      <c r="C266" s="1" t="e">
        <v>#N/A</v>
      </c>
      <c r="D266" s="1" t="e">
        <v>#N/A</v>
      </c>
      <c r="E266" s="1" t="s">
        <v>2428</v>
      </c>
      <c r="F266" s="2" t="s">
        <v>2301</v>
      </c>
      <c r="G266" s="1" t="s">
        <v>2305</v>
      </c>
      <c r="H266" s="2">
        <v>11</v>
      </c>
      <c r="I266" s="3" t="s">
        <v>2396</v>
      </c>
      <c r="J266" t="s">
        <v>2365</v>
      </c>
      <c r="M266" s="3" t="s">
        <v>2300</v>
      </c>
      <c r="N266" s="3" t="s">
        <v>2258</v>
      </c>
      <c r="O266" t="s">
        <v>2310</v>
      </c>
    </row>
    <row r="267" spans="1:15" x14ac:dyDescent="0.25">
      <c r="A267" t="s">
        <v>2285</v>
      </c>
      <c r="B267" s="1" t="e">
        <v>#N/A</v>
      </c>
      <c r="C267" s="1" t="e">
        <v>#N/A</v>
      </c>
      <c r="D267" s="1" t="e">
        <v>#N/A</v>
      </c>
      <c r="E267" s="1" t="s">
        <v>2428</v>
      </c>
      <c r="F267" s="2" t="s">
        <v>2301</v>
      </c>
      <c r="G267" s="1" t="s">
        <v>2304</v>
      </c>
      <c r="H267" s="2">
        <v>11</v>
      </c>
      <c r="I267" s="3" t="s">
        <v>2317</v>
      </c>
      <c r="J267" t="s">
        <v>2365</v>
      </c>
      <c r="M267" s="3" t="s">
        <v>2300</v>
      </c>
      <c r="N267" s="3" t="s">
        <v>2255</v>
      </c>
      <c r="O267" t="s">
        <v>2310</v>
      </c>
    </row>
    <row r="268" spans="1:15" x14ac:dyDescent="0.25">
      <c r="A268" t="s">
        <v>2285</v>
      </c>
      <c r="B268" s="1" t="e">
        <v>#N/A</v>
      </c>
      <c r="C268" s="1" t="e">
        <v>#N/A</v>
      </c>
      <c r="D268" s="1" t="e">
        <v>#N/A</v>
      </c>
      <c r="E268" s="1" t="s">
        <v>2428</v>
      </c>
      <c r="F268" s="2" t="s">
        <v>2301</v>
      </c>
      <c r="G268" s="1" t="s">
        <v>2304</v>
      </c>
      <c r="H268" s="2">
        <v>11</v>
      </c>
      <c r="I268" s="3" t="s">
        <v>11</v>
      </c>
      <c r="J268" t="s">
        <v>2365</v>
      </c>
      <c r="M268" s="3" t="s">
        <v>2300</v>
      </c>
      <c r="N268" s="3" t="s">
        <v>2255</v>
      </c>
      <c r="O268" t="s">
        <v>2310</v>
      </c>
    </row>
    <row r="269" spans="1:15" x14ac:dyDescent="0.25">
      <c r="A269" t="s">
        <v>2285</v>
      </c>
      <c r="B269" s="1" t="e">
        <v>#N/A</v>
      </c>
      <c r="C269" s="1" t="e">
        <v>#N/A</v>
      </c>
      <c r="D269" s="1" t="e">
        <v>#N/A</v>
      </c>
      <c r="E269" s="1" t="s">
        <v>2428</v>
      </c>
      <c r="F269" s="2" t="s">
        <v>2301</v>
      </c>
      <c r="G269" s="1" t="s">
        <v>2304</v>
      </c>
      <c r="H269" s="2">
        <v>11</v>
      </c>
      <c r="I269" s="3" t="s">
        <v>2317</v>
      </c>
      <c r="J269" t="s">
        <v>2365</v>
      </c>
      <c r="M269" s="3" t="s">
        <v>2300</v>
      </c>
      <c r="N269" s="3" t="s">
        <v>2255</v>
      </c>
      <c r="O269" t="s">
        <v>2310</v>
      </c>
    </row>
    <row r="270" spans="1:15" x14ac:dyDescent="0.25">
      <c r="A270" t="s">
        <v>2285</v>
      </c>
      <c r="B270" s="1" t="e">
        <v>#N/A</v>
      </c>
      <c r="C270" s="1" t="e">
        <v>#N/A</v>
      </c>
      <c r="D270" s="1" t="e">
        <v>#N/A</v>
      </c>
      <c r="E270" s="1" t="s">
        <v>2428</v>
      </c>
      <c r="F270" s="2" t="s">
        <v>2301</v>
      </c>
      <c r="G270" s="1" t="s">
        <v>2304</v>
      </c>
      <c r="H270" s="2">
        <v>11</v>
      </c>
      <c r="I270" s="3" t="s">
        <v>2317</v>
      </c>
      <c r="J270" t="s">
        <v>2365</v>
      </c>
      <c r="M270" s="3" t="s">
        <v>2300</v>
      </c>
      <c r="N270" s="3" t="s">
        <v>2255</v>
      </c>
      <c r="O270" t="s">
        <v>2310</v>
      </c>
    </row>
    <row r="271" spans="1:15" x14ac:dyDescent="0.25">
      <c r="A271" t="s">
        <v>2285</v>
      </c>
      <c r="B271" s="1" t="s">
        <v>2289</v>
      </c>
      <c r="C271" s="1" t="s">
        <v>2292</v>
      </c>
      <c r="D271" s="1" t="s">
        <v>2426</v>
      </c>
      <c r="E271" s="1" t="s">
        <v>2428</v>
      </c>
      <c r="F271" s="2" t="s">
        <v>2301</v>
      </c>
      <c r="G271" s="1" t="s">
        <v>2304</v>
      </c>
      <c r="H271" s="2">
        <v>11</v>
      </c>
      <c r="I271" s="3" t="s">
        <v>2371</v>
      </c>
      <c r="J271" t="s">
        <v>2365</v>
      </c>
      <c r="M271" s="3" t="s">
        <v>2300</v>
      </c>
      <c r="N271" s="3" t="s">
        <v>2255</v>
      </c>
      <c r="O271" t="s">
        <v>2310</v>
      </c>
    </row>
    <row r="272" spans="1:15" x14ac:dyDescent="0.25">
      <c r="A272" t="s">
        <v>2285</v>
      </c>
      <c r="B272" s="1" t="e">
        <v>#N/A</v>
      </c>
      <c r="C272" s="1" t="e">
        <v>#N/A</v>
      </c>
      <c r="D272" s="1" t="e">
        <v>#N/A</v>
      </c>
      <c r="E272" s="1" t="s">
        <v>2428</v>
      </c>
      <c r="F272" s="2" t="s">
        <v>2301</v>
      </c>
      <c r="G272" s="1" t="s">
        <v>2304</v>
      </c>
      <c r="H272" s="2">
        <v>11</v>
      </c>
      <c r="I272" s="3" t="s">
        <v>2395</v>
      </c>
      <c r="J272" t="s">
        <v>2365</v>
      </c>
      <c r="M272" s="3" t="s">
        <v>2300</v>
      </c>
      <c r="N272" s="3" t="s">
        <v>2255</v>
      </c>
      <c r="O272" t="s">
        <v>2310</v>
      </c>
    </row>
    <row r="273" spans="1:15" x14ac:dyDescent="0.25">
      <c r="A273" t="s">
        <v>2285</v>
      </c>
      <c r="B273" s="1" t="e">
        <v>#N/A</v>
      </c>
      <c r="C273" s="1" t="e">
        <v>#N/A</v>
      </c>
      <c r="D273" s="1" t="e">
        <v>#N/A</v>
      </c>
      <c r="E273" s="1" t="s">
        <v>2428</v>
      </c>
      <c r="F273" s="2" t="s">
        <v>2301</v>
      </c>
      <c r="G273" s="1" t="s">
        <v>2303</v>
      </c>
      <c r="H273" s="2">
        <v>11</v>
      </c>
      <c r="I273" s="3" t="s">
        <v>2371</v>
      </c>
      <c r="J273" t="s">
        <v>2365</v>
      </c>
      <c r="M273" s="3" t="s">
        <v>2300</v>
      </c>
      <c r="N273" s="3" t="s">
        <v>2256</v>
      </c>
      <c r="O273" t="s">
        <v>2310</v>
      </c>
    </row>
    <row r="274" spans="1:15" x14ac:dyDescent="0.25">
      <c r="A274" t="s">
        <v>2285</v>
      </c>
      <c r="B274" s="1" t="e">
        <v>#N/A</v>
      </c>
      <c r="C274" s="1" t="e">
        <v>#N/A</v>
      </c>
      <c r="D274" s="1" t="e">
        <v>#N/A</v>
      </c>
      <c r="E274" s="1" t="s">
        <v>2428</v>
      </c>
      <c r="F274" s="2" t="s">
        <v>2301</v>
      </c>
      <c r="G274" s="1" t="s">
        <v>2304</v>
      </c>
      <c r="H274" s="2">
        <v>11</v>
      </c>
      <c r="I274" s="3" t="s">
        <v>2317</v>
      </c>
      <c r="J274" t="s">
        <v>2365</v>
      </c>
      <c r="M274" s="3" t="s">
        <v>2300</v>
      </c>
      <c r="N274" s="3" t="s">
        <v>2255</v>
      </c>
      <c r="O274" t="s">
        <v>2310</v>
      </c>
    </row>
    <row r="275" spans="1:15" x14ac:dyDescent="0.25">
      <c r="A275" t="s">
        <v>2285</v>
      </c>
      <c r="B275" s="1" t="e">
        <v>#N/A</v>
      </c>
      <c r="C275" s="1" t="e">
        <v>#N/A</v>
      </c>
      <c r="D275" s="1" t="e">
        <v>#N/A</v>
      </c>
      <c r="E275" s="1" t="s">
        <v>2428</v>
      </c>
      <c r="F275" s="2" t="s">
        <v>2301</v>
      </c>
      <c r="G275" s="1" t="s">
        <v>2304</v>
      </c>
      <c r="H275" s="2">
        <v>11</v>
      </c>
      <c r="I275" s="3" t="s">
        <v>5</v>
      </c>
      <c r="J275" t="s">
        <v>2365</v>
      </c>
      <c r="M275" s="3" t="s">
        <v>2300</v>
      </c>
      <c r="N275" s="3" t="s">
        <v>2255</v>
      </c>
      <c r="O275" t="s">
        <v>2310</v>
      </c>
    </row>
    <row r="276" spans="1:15" x14ac:dyDescent="0.25">
      <c r="A276" t="s">
        <v>2285</v>
      </c>
      <c r="B276" s="1" t="e">
        <v>#N/A</v>
      </c>
      <c r="C276" s="1" t="e">
        <v>#N/A</v>
      </c>
      <c r="D276" s="1" t="e">
        <v>#N/A</v>
      </c>
      <c r="E276" s="1" t="s">
        <v>2428</v>
      </c>
      <c r="F276" s="2" t="s">
        <v>2301</v>
      </c>
      <c r="G276" s="1" t="s">
        <v>2304</v>
      </c>
      <c r="H276" s="2">
        <v>11</v>
      </c>
      <c r="I276" s="3" t="s">
        <v>2317</v>
      </c>
      <c r="J276" t="s">
        <v>2365</v>
      </c>
      <c r="M276" s="3" t="s">
        <v>2300</v>
      </c>
      <c r="N276" s="3" t="s">
        <v>2255</v>
      </c>
      <c r="O276" t="s">
        <v>2310</v>
      </c>
    </row>
    <row r="277" spans="1:15" x14ac:dyDescent="0.25">
      <c r="A277" t="s">
        <v>2284</v>
      </c>
      <c r="B277" s="1" t="s">
        <v>2289</v>
      </c>
      <c r="C277" s="1" t="s">
        <v>2291</v>
      </c>
      <c r="D277" s="1" t="s">
        <v>2413</v>
      </c>
      <c r="E277" s="1" t="s">
        <v>2298</v>
      </c>
      <c r="F277" s="2" t="s">
        <v>2300</v>
      </c>
      <c r="G277" s="1" t="s">
        <v>2303</v>
      </c>
      <c r="H277" s="2">
        <v>11</v>
      </c>
      <c r="I277" s="3" t="s">
        <v>2314</v>
      </c>
      <c r="J277" t="s">
        <v>2365</v>
      </c>
      <c r="M277" s="3" t="s">
        <v>2300</v>
      </c>
      <c r="N277" s="3" t="s">
        <v>2256</v>
      </c>
      <c r="O277" t="s">
        <v>2310</v>
      </c>
    </row>
    <row r="278" spans="1:15" x14ac:dyDescent="0.25">
      <c r="A278" t="s">
        <v>2285</v>
      </c>
      <c r="B278" s="1" t="e">
        <v>#N/A</v>
      </c>
      <c r="C278" s="1" t="e">
        <v>#N/A</v>
      </c>
      <c r="D278" s="1" t="e">
        <v>#N/A</v>
      </c>
      <c r="E278" s="1" t="s">
        <v>2428</v>
      </c>
      <c r="F278" s="2" t="s">
        <v>2301</v>
      </c>
      <c r="G278" s="1" t="s">
        <v>2304</v>
      </c>
      <c r="H278" s="2">
        <v>11</v>
      </c>
      <c r="I278" s="3" t="s">
        <v>2333</v>
      </c>
      <c r="J278" t="s">
        <v>2365</v>
      </c>
      <c r="M278" s="3" t="s">
        <v>2300</v>
      </c>
      <c r="N278" s="3" t="s">
        <v>2255</v>
      </c>
      <c r="O278" t="s">
        <v>2310</v>
      </c>
    </row>
    <row r="279" spans="1:15" x14ac:dyDescent="0.25">
      <c r="A279" t="s">
        <v>2285</v>
      </c>
      <c r="B279" s="1" t="e">
        <v>#N/A</v>
      </c>
      <c r="C279" s="1" t="e">
        <v>#N/A</v>
      </c>
      <c r="D279" s="1" t="e">
        <v>#N/A</v>
      </c>
      <c r="E279" s="1" t="s">
        <v>2428</v>
      </c>
      <c r="F279" s="2" t="s">
        <v>2301</v>
      </c>
      <c r="G279" s="1" t="s">
        <v>2304</v>
      </c>
      <c r="H279" s="2">
        <v>11</v>
      </c>
      <c r="I279" s="3" t="s">
        <v>9</v>
      </c>
      <c r="J279" t="s">
        <v>2365</v>
      </c>
      <c r="M279" s="3" t="s">
        <v>2300</v>
      </c>
      <c r="N279" s="3" t="s">
        <v>2255</v>
      </c>
      <c r="O279" t="s">
        <v>2310</v>
      </c>
    </row>
    <row r="280" spans="1:15" x14ac:dyDescent="0.25">
      <c r="A280" t="s">
        <v>2284</v>
      </c>
      <c r="B280" s="1" t="s">
        <v>2289</v>
      </c>
      <c r="C280" s="1" t="s">
        <v>2291</v>
      </c>
      <c r="D280" s="1" t="s">
        <v>2413</v>
      </c>
      <c r="E280" s="1" t="s">
        <v>2298</v>
      </c>
      <c r="F280" s="2" t="s">
        <v>2300</v>
      </c>
      <c r="G280" s="1" t="s">
        <v>2304</v>
      </c>
      <c r="H280" s="2">
        <v>11</v>
      </c>
      <c r="I280" s="3" t="s">
        <v>2314</v>
      </c>
      <c r="J280" t="s">
        <v>2365</v>
      </c>
      <c r="M280" s="3" t="s">
        <v>2300</v>
      </c>
      <c r="N280" s="3" t="s">
        <v>2255</v>
      </c>
      <c r="O280" t="s">
        <v>2310</v>
      </c>
    </row>
    <row r="281" spans="1:15" x14ac:dyDescent="0.25">
      <c r="A281" t="s">
        <v>2285</v>
      </c>
      <c r="B281" s="1" t="e">
        <v>#N/A</v>
      </c>
      <c r="C281" s="1" t="e">
        <v>#N/A</v>
      </c>
      <c r="D281" s="1" t="e">
        <v>#N/A</v>
      </c>
      <c r="E281" s="1" t="s">
        <v>2428</v>
      </c>
      <c r="F281" s="2" t="s">
        <v>2301</v>
      </c>
      <c r="G281" s="1" t="s">
        <v>2304</v>
      </c>
      <c r="H281" s="2">
        <v>11</v>
      </c>
      <c r="I281" s="3" t="s">
        <v>2317</v>
      </c>
      <c r="J281" t="s">
        <v>2365</v>
      </c>
      <c r="M281" s="3" t="s">
        <v>2300</v>
      </c>
      <c r="N281" s="3" t="s">
        <v>2255</v>
      </c>
      <c r="O281" t="s">
        <v>2310</v>
      </c>
    </row>
    <row r="282" spans="1:15" x14ac:dyDescent="0.25">
      <c r="A282" t="s">
        <v>2285</v>
      </c>
      <c r="B282" s="1" t="e">
        <v>#N/A</v>
      </c>
      <c r="C282" s="1" t="e">
        <v>#N/A</v>
      </c>
      <c r="D282" s="1" t="e">
        <v>#N/A</v>
      </c>
      <c r="E282" s="1" t="s">
        <v>2428</v>
      </c>
      <c r="F282" s="2" t="s">
        <v>2301</v>
      </c>
      <c r="G282" s="1" t="s">
        <v>2304</v>
      </c>
      <c r="H282" s="2">
        <v>11</v>
      </c>
      <c r="I282" s="3" t="s">
        <v>2317</v>
      </c>
      <c r="J282" t="s">
        <v>2365</v>
      </c>
      <c r="M282" s="3" t="s">
        <v>2300</v>
      </c>
      <c r="N282" s="3" t="s">
        <v>2255</v>
      </c>
      <c r="O282" t="s">
        <v>2310</v>
      </c>
    </row>
    <row r="283" spans="1:15" x14ac:dyDescent="0.25">
      <c r="A283" t="s">
        <v>2285</v>
      </c>
      <c r="B283" s="1" t="e">
        <v>#N/A</v>
      </c>
      <c r="C283" s="1" t="e">
        <v>#N/A</v>
      </c>
      <c r="D283" s="1" t="e">
        <v>#N/A</v>
      </c>
      <c r="E283" s="1" t="s">
        <v>2428</v>
      </c>
      <c r="F283" s="2" t="s">
        <v>2301</v>
      </c>
      <c r="G283" s="1" t="s">
        <v>2303</v>
      </c>
      <c r="H283" s="2">
        <v>11</v>
      </c>
      <c r="I283" s="3" t="s">
        <v>2315</v>
      </c>
      <c r="J283" t="s">
        <v>2365</v>
      </c>
      <c r="M283" s="3" t="s">
        <v>2300</v>
      </c>
      <c r="N283" s="3" t="s">
        <v>2256</v>
      </c>
      <c r="O283" t="s">
        <v>2310</v>
      </c>
    </row>
    <row r="284" spans="1:15" x14ac:dyDescent="0.25">
      <c r="A284" t="s">
        <v>2285</v>
      </c>
      <c r="B284" s="1" t="e">
        <v>#N/A</v>
      </c>
      <c r="C284" s="1" t="e">
        <v>#N/A</v>
      </c>
      <c r="D284" s="1" t="e">
        <v>#N/A</v>
      </c>
      <c r="E284" s="1" t="s">
        <v>2428</v>
      </c>
      <c r="F284" s="2" t="s">
        <v>2301</v>
      </c>
      <c r="G284" s="1" t="s">
        <v>2303</v>
      </c>
      <c r="H284" s="2">
        <v>10</v>
      </c>
      <c r="I284" s="3" t="s">
        <v>2332</v>
      </c>
      <c r="J284" t="s">
        <v>2365</v>
      </c>
      <c r="M284" s="3" t="s">
        <v>2300</v>
      </c>
      <c r="N284" s="3" t="s">
        <v>2256</v>
      </c>
      <c r="O284" t="s">
        <v>2310</v>
      </c>
    </row>
    <row r="285" spans="1:15" x14ac:dyDescent="0.25">
      <c r="A285" t="s">
        <v>2285</v>
      </c>
      <c r="B285" s="1" t="e">
        <v>#N/A</v>
      </c>
      <c r="C285" s="1" t="e">
        <v>#N/A</v>
      </c>
      <c r="D285" s="1" t="e">
        <v>#N/A</v>
      </c>
      <c r="E285" s="1" t="s">
        <v>2428</v>
      </c>
      <c r="F285" s="2" t="s">
        <v>2301</v>
      </c>
      <c r="G285" s="1" t="s">
        <v>2304</v>
      </c>
      <c r="H285" s="2">
        <v>10</v>
      </c>
      <c r="I285" s="3" t="s">
        <v>2321</v>
      </c>
      <c r="J285" t="s">
        <v>2365</v>
      </c>
      <c r="M285" s="3" t="s">
        <v>2300</v>
      </c>
      <c r="N285" s="3" t="s">
        <v>2255</v>
      </c>
      <c r="O285" t="s">
        <v>2310</v>
      </c>
    </row>
    <row r="286" spans="1:15" x14ac:dyDescent="0.25">
      <c r="A286" t="s">
        <v>2285</v>
      </c>
      <c r="B286" s="1" t="e">
        <v>#N/A</v>
      </c>
      <c r="C286" s="1" t="e">
        <v>#N/A</v>
      </c>
      <c r="D286" s="1" t="e">
        <v>#N/A</v>
      </c>
      <c r="E286" s="1" t="s">
        <v>2428</v>
      </c>
      <c r="F286" s="2" t="s">
        <v>2301</v>
      </c>
      <c r="G286" s="1" t="s">
        <v>2304</v>
      </c>
      <c r="H286" s="2">
        <v>10</v>
      </c>
      <c r="I286" s="3" t="s">
        <v>2319</v>
      </c>
      <c r="J286" t="s">
        <v>2365</v>
      </c>
      <c r="M286" s="3" t="s">
        <v>2300</v>
      </c>
      <c r="N286" s="3" t="s">
        <v>2255</v>
      </c>
      <c r="O286" t="s">
        <v>2310</v>
      </c>
    </row>
    <row r="287" spans="1:15" x14ac:dyDescent="0.25">
      <c r="A287" t="s">
        <v>2285</v>
      </c>
      <c r="B287" s="1" t="e">
        <v>#N/A</v>
      </c>
      <c r="C287" s="1" t="e">
        <v>#N/A</v>
      </c>
      <c r="D287" s="1" t="e">
        <v>#N/A</v>
      </c>
      <c r="E287" s="1" t="s">
        <v>2428</v>
      </c>
      <c r="F287" s="2" t="s">
        <v>2301</v>
      </c>
      <c r="G287" s="1" t="s">
        <v>2304</v>
      </c>
      <c r="H287" s="2">
        <v>10</v>
      </c>
      <c r="I287" s="3" t="s">
        <v>2317</v>
      </c>
      <c r="J287" t="s">
        <v>2365</v>
      </c>
      <c r="M287" s="3" t="s">
        <v>2300</v>
      </c>
      <c r="N287" s="3" t="s">
        <v>2255</v>
      </c>
      <c r="O287" t="s">
        <v>2310</v>
      </c>
    </row>
    <row r="288" spans="1:15" x14ac:dyDescent="0.25">
      <c r="A288" t="s">
        <v>2285</v>
      </c>
      <c r="B288" s="1" t="e">
        <v>#N/A</v>
      </c>
      <c r="C288" s="1" t="e">
        <v>#N/A</v>
      </c>
      <c r="D288" s="1" t="e">
        <v>#N/A</v>
      </c>
      <c r="E288" s="1" t="s">
        <v>2298</v>
      </c>
      <c r="F288" s="2" t="s">
        <v>2300</v>
      </c>
      <c r="G288" s="1" t="s">
        <v>2304</v>
      </c>
      <c r="H288" s="2">
        <v>10</v>
      </c>
      <c r="I288" s="3" t="s">
        <v>107</v>
      </c>
      <c r="J288" t="s">
        <v>2365</v>
      </c>
      <c r="M288" s="3" t="s">
        <v>2300</v>
      </c>
      <c r="N288" s="3" t="s">
        <v>2255</v>
      </c>
      <c r="O288" t="s">
        <v>2310</v>
      </c>
    </row>
    <row r="289" spans="1:15" x14ac:dyDescent="0.25">
      <c r="A289" t="s">
        <v>2285</v>
      </c>
      <c r="B289" s="1" t="e">
        <v>#N/A</v>
      </c>
      <c r="C289" s="1" t="e">
        <v>#N/A</v>
      </c>
      <c r="D289" s="1" t="e">
        <v>#N/A</v>
      </c>
      <c r="E289" s="1" t="s">
        <v>2298</v>
      </c>
      <c r="F289" s="2" t="s">
        <v>2300</v>
      </c>
      <c r="G289" s="1" t="s">
        <v>2304</v>
      </c>
      <c r="H289" s="2">
        <v>10</v>
      </c>
      <c r="I289" s="3" t="s">
        <v>22</v>
      </c>
      <c r="J289" t="s">
        <v>2365</v>
      </c>
      <c r="M289" s="3" t="s">
        <v>2300</v>
      </c>
      <c r="N289" s="3" t="s">
        <v>2255</v>
      </c>
      <c r="O289" t="s">
        <v>2310</v>
      </c>
    </row>
    <row r="290" spans="1:15" x14ac:dyDescent="0.25">
      <c r="A290" t="s">
        <v>2283</v>
      </c>
      <c r="B290" s="1" t="s">
        <v>2289</v>
      </c>
      <c r="C290" s="1" t="s">
        <v>2292</v>
      </c>
      <c r="D290" s="1" t="s">
        <v>2427</v>
      </c>
      <c r="E290" s="1" t="s">
        <v>2298</v>
      </c>
      <c r="F290" s="2" t="s">
        <v>2300</v>
      </c>
      <c r="G290" s="1" t="s">
        <v>2304</v>
      </c>
      <c r="H290" s="2">
        <v>10</v>
      </c>
      <c r="I290" s="3" t="s">
        <v>2327</v>
      </c>
      <c r="J290" t="s">
        <v>2365</v>
      </c>
      <c r="M290" s="3" t="s">
        <v>2300</v>
      </c>
      <c r="N290" s="3" t="s">
        <v>2255</v>
      </c>
      <c r="O290" t="s">
        <v>2310</v>
      </c>
    </row>
    <row r="291" spans="1:15" x14ac:dyDescent="0.25">
      <c r="A291" t="s">
        <v>2283</v>
      </c>
      <c r="B291" s="1" t="s">
        <v>2289</v>
      </c>
      <c r="C291" s="1" t="s">
        <v>2292</v>
      </c>
      <c r="D291" s="1" t="s">
        <v>2427</v>
      </c>
      <c r="E291" s="1" t="s">
        <v>2298</v>
      </c>
      <c r="F291" s="2" t="s">
        <v>2300</v>
      </c>
      <c r="G291" s="1" t="s">
        <v>2304</v>
      </c>
      <c r="H291" s="2">
        <v>10</v>
      </c>
      <c r="I291" s="3" t="s">
        <v>2321</v>
      </c>
      <c r="J291" t="s">
        <v>2365</v>
      </c>
      <c r="M291" s="3" t="s">
        <v>2300</v>
      </c>
      <c r="N291" s="3" t="s">
        <v>2255</v>
      </c>
      <c r="O291" t="s">
        <v>2310</v>
      </c>
    </row>
    <row r="292" spans="1:15" x14ac:dyDescent="0.25">
      <c r="A292" t="s">
        <v>2285</v>
      </c>
      <c r="B292" s="1" t="e">
        <v>#N/A</v>
      </c>
      <c r="C292" s="1" t="e">
        <v>#N/A</v>
      </c>
      <c r="D292" s="1" t="e">
        <v>#N/A</v>
      </c>
      <c r="E292" s="1" t="s">
        <v>2298</v>
      </c>
      <c r="F292" s="2" t="s">
        <v>2300</v>
      </c>
      <c r="G292" s="1" t="s">
        <v>2304</v>
      </c>
      <c r="H292" s="2">
        <v>10</v>
      </c>
      <c r="I292" s="3" t="s">
        <v>2401</v>
      </c>
      <c r="J292" t="s">
        <v>2365</v>
      </c>
      <c r="M292" s="3" t="s">
        <v>2300</v>
      </c>
      <c r="N292" s="3" t="s">
        <v>2255</v>
      </c>
      <c r="O292" t="s">
        <v>2310</v>
      </c>
    </row>
    <row r="293" spans="1:15" x14ac:dyDescent="0.25">
      <c r="A293" t="s">
        <v>2283</v>
      </c>
      <c r="B293" s="1" t="s">
        <v>2289</v>
      </c>
      <c r="C293" s="1" t="s">
        <v>2292</v>
      </c>
      <c r="D293" s="1" t="s">
        <v>2427</v>
      </c>
      <c r="E293" s="1" t="s">
        <v>2298</v>
      </c>
      <c r="F293" s="2" t="s">
        <v>2300</v>
      </c>
      <c r="G293" s="1" t="s">
        <v>2303</v>
      </c>
      <c r="H293" s="2">
        <v>10</v>
      </c>
      <c r="I293" s="3" t="s">
        <v>2327</v>
      </c>
      <c r="J293" t="s">
        <v>2365</v>
      </c>
      <c r="M293" s="3" t="s">
        <v>2300</v>
      </c>
      <c r="N293" s="3" t="s">
        <v>2256</v>
      </c>
      <c r="O293" t="s">
        <v>2310</v>
      </c>
    </row>
    <row r="294" spans="1:15" x14ac:dyDescent="0.25">
      <c r="A294" t="s">
        <v>2285</v>
      </c>
      <c r="B294" s="1" t="e">
        <v>#N/A</v>
      </c>
      <c r="C294" s="1" t="e">
        <v>#N/A</v>
      </c>
      <c r="D294" s="1" t="e">
        <v>#N/A</v>
      </c>
      <c r="E294" s="1" t="s">
        <v>2428</v>
      </c>
      <c r="F294" s="2" t="s">
        <v>2301</v>
      </c>
      <c r="G294" s="1" t="s">
        <v>2304</v>
      </c>
      <c r="H294" s="2">
        <v>10</v>
      </c>
      <c r="I294" s="3" t="s">
        <v>2317</v>
      </c>
      <c r="J294" t="s">
        <v>2365</v>
      </c>
      <c r="M294" s="3" t="s">
        <v>2300</v>
      </c>
      <c r="N294" s="3" t="s">
        <v>2255</v>
      </c>
      <c r="O294" t="s">
        <v>2310</v>
      </c>
    </row>
    <row r="295" spans="1:15" x14ac:dyDescent="0.25">
      <c r="A295" t="s">
        <v>2283</v>
      </c>
      <c r="B295" s="1" t="s">
        <v>2289</v>
      </c>
      <c r="C295" s="1" t="s">
        <v>2292</v>
      </c>
      <c r="D295" s="1" t="s">
        <v>2427</v>
      </c>
      <c r="E295" s="1" t="s">
        <v>2298</v>
      </c>
      <c r="F295" s="2" t="s">
        <v>2300</v>
      </c>
      <c r="G295" s="1" t="s">
        <v>2304</v>
      </c>
      <c r="H295" s="2">
        <v>10</v>
      </c>
      <c r="I295" s="3" t="s">
        <v>2405</v>
      </c>
      <c r="J295" t="s">
        <v>2365</v>
      </c>
      <c r="M295" s="3" t="s">
        <v>2300</v>
      </c>
      <c r="N295" s="3" t="s">
        <v>2255</v>
      </c>
      <c r="O295" t="s">
        <v>2310</v>
      </c>
    </row>
    <row r="296" spans="1:15" x14ac:dyDescent="0.25">
      <c r="A296" t="s">
        <v>2285</v>
      </c>
      <c r="B296" s="1" t="e">
        <v>#N/A</v>
      </c>
      <c r="C296" s="1" t="e">
        <v>#N/A</v>
      </c>
      <c r="D296" s="1" t="e">
        <v>#N/A</v>
      </c>
      <c r="E296" s="1" t="s">
        <v>2298</v>
      </c>
      <c r="F296" s="2" t="s">
        <v>2300</v>
      </c>
      <c r="G296" s="1" t="s">
        <v>2304</v>
      </c>
      <c r="H296" s="2">
        <v>10</v>
      </c>
      <c r="I296" s="3" t="s">
        <v>24</v>
      </c>
      <c r="J296" t="s">
        <v>2365</v>
      </c>
      <c r="M296" s="3" t="s">
        <v>2300</v>
      </c>
      <c r="N296" s="3" t="s">
        <v>2255</v>
      </c>
      <c r="O296" t="s">
        <v>2310</v>
      </c>
    </row>
    <row r="297" spans="1:15" x14ac:dyDescent="0.25">
      <c r="A297" t="s">
        <v>2285</v>
      </c>
      <c r="B297" s="1" t="e">
        <v>#N/A</v>
      </c>
      <c r="C297" s="1" t="e">
        <v>#N/A</v>
      </c>
      <c r="D297" s="1" t="e">
        <v>#N/A</v>
      </c>
      <c r="E297" s="1" t="s">
        <v>2298</v>
      </c>
      <c r="F297" s="2" t="s">
        <v>2300</v>
      </c>
      <c r="G297" s="1" t="s">
        <v>2304</v>
      </c>
      <c r="H297" s="2">
        <v>10</v>
      </c>
      <c r="I297" s="3" t="s">
        <v>2380</v>
      </c>
      <c r="J297" t="s">
        <v>2365</v>
      </c>
      <c r="M297" s="3" t="s">
        <v>2300</v>
      </c>
      <c r="N297" s="3" t="s">
        <v>2255</v>
      </c>
      <c r="O297" t="s">
        <v>2310</v>
      </c>
    </row>
    <row r="298" spans="1:15" x14ac:dyDescent="0.25">
      <c r="A298" t="s">
        <v>2285</v>
      </c>
      <c r="B298" s="1" t="e">
        <v>#N/A</v>
      </c>
      <c r="C298" s="1" t="e">
        <v>#N/A</v>
      </c>
      <c r="D298" s="1" t="e">
        <v>#N/A</v>
      </c>
      <c r="E298" s="1" t="s">
        <v>2428</v>
      </c>
      <c r="F298" s="2" t="s">
        <v>2301</v>
      </c>
      <c r="G298" s="1" t="s">
        <v>2304</v>
      </c>
      <c r="H298" s="2">
        <v>10</v>
      </c>
      <c r="I298" s="3" t="s">
        <v>8</v>
      </c>
      <c r="J298" t="s">
        <v>2365</v>
      </c>
      <c r="M298" s="3" t="s">
        <v>2300</v>
      </c>
      <c r="N298" s="3" t="s">
        <v>2255</v>
      </c>
      <c r="O298" t="s">
        <v>2310</v>
      </c>
    </row>
    <row r="299" spans="1:15" x14ac:dyDescent="0.25">
      <c r="A299" t="s">
        <v>2285</v>
      </c>
      <c r="B299" s="1" t="e">
        <v>#N/A</v>
      </c>
      <c r="C299" s="1" t="e">
        <v>#N/A</v>
      </c>
      <c r="D299" s="1" t="e">
        <v>#N/A</v>
      </c>
      <c r="E299" s="1" t="s">
        <v>2428</v>
      </c>
      <c r="F299" s="2" t="s">
        <v>2301</v>
      </c>
      <c r="G299" s="1" t="s">
        <v>2303</v>
      </c>
      <c r="H299" s="2">
        <v>10</v>
      </c>
      <c r="I299" s="3" t="s">
        <v>2318</v>
      </c>
      <c r="J299" t="s">
        <v>2365</v>
      </c>
      <c r="M299" s="3" t="s">
        <v>2300</v>
      </c>
      <c r="N299" s="3" t="s">
        <v>2256</v>
      </c>
      <c r="O299" t="s">
        <v>2310</v>
      </c>
    </row>
    <row r="300" spans="1:15" x14ac:dyDescent="0.25">
      <c r="A300" t="s">
        <v>2285</v>
      </c>
      <c r="B300" s="1" t="e">
        <v>#N/A</v>
      </c>
      <c r="C300" s="1" t="e">
        <v>#N/A</v>
      </c>
      <c r="D300" s="1" t="e">
        <v>#N/A</v>
      </c>
      <c r="E300" s="1" t="s">
        <v>2428</v>
      </c>
      <c r="F300" s="2" t="s">
        <v>2301</v>
      </c>
      <c r="G300" s="1" t="s">
        <v>2304</v>
      </c>
      <c r="H300" s="2">
        <v>10</v>
      </c>
      <c r="I300" s="3" t="s">
        <v>2403</v>
      </c>
      <c r="J300" t="s">
        <v>2365</v>
      </c>
      <c r="M300" s="3" t="s">
        <v>2300</v>
      </c>
      <c r="N300" s="3" t="s">
        <v>2255</v>
      </c>
      <c r="O300" t="s">
        <v>2310</v>
      </c>
    </row>
    <row r="301" spans="1:15" x14ac:dyDescent="0.25">
      <c r="A301" t="s">
        <v>2285</v>
      </c>
      <c r="B301" s="1" t="e">
        <v>#N/A</v>
      </c>
      <c r="C301" s="1" t="e">
        <v>#N/A</v>
      </c>
      <c r="D301" s="1" t="e">
        <v>#N/A</v>
      </c>
      <c r="E301" s="1" t="s">
        <v>2428</v>
      </c>
      <c r="F301" s="2" t="s">
        <v>2301</v>
      </c>
      <c r="G301" s="1" t="s">
        <v>2304</v>
      </c>
      <c r="H301" s="2">
        <v>10</v>
      </c>
      <c r="I301" s="3" t="s">
        <v>2404</v>
      </c>
      <c r="J301" t="s">
        <v>2365</v>
      </c>
      <c r="M301" s="3" t="s">
        <v>2300</v>
      </c>
      <c r="N301" s="3" t="s">
        <v>2255</v>
      </c>
      <c r="O301" t="s">
        <v>2310</v>
      </c>
    </row>
    <row r="302" spans="1:15" x14ac:dyDescent="0.25">
      <c r="A302" t="s">
        <v>2285</v>
      </c>
      <c r="B302" s="1" t="e">
        <v>#N/A</v>
      </c>
      <c r="C302" s="1" t="e">
        <v>#N/A</v>
      </c>
      <c r="D302" s="1" t="e">
        <v>#N/A</v>
      </c>
      <c r="E302" s="1" t="s">
        <v>2428</v>
      </c>
      <c r="F302" s="2" t="s">
        <v>2301</v>
      </c>
      <c r="G302" s="1" t="s">
        <v>2304</v>
      </c>
      <c r="H302" s="2">
        <v>10</v>
      </c>
      <c r="I302" s="3" t="s">
        <v>2321</v>
      </c>
      <c r="J302" t="s">
        <v>2365</v>
      </c>
      <c r="M302" s="3" t="s">
        <v>2300</v>
      </c>
      <c r="N302" s="3" t="s">
        <v>2255</v>
      </c>
      <c r="O302" t="s">
        <v>2310</v>
      </c>
    </row>
    <row r="303" spans="1:15" x14ac:dyDescent="0.25">
      <c r="A303" t="s">
        <v>2285</v>
      </c>
      <c r="B303" s="1" t="e">
        <v>#N/A</v>
      </c>
      <c r="C303" s="1" t="e">
        <v>#N/A</v>
      </c>
      <c r="D303" s="1" t="e">
        <v>#N/A</v>
      </c>
      <c r="E303" s="1" t="s">
        <v>2298</v>
      </c>
      <c r="F303" s="2" t="s">
        <v>2300</v>
      </c>
      <c r="G303" s="1" t="s">
        <v>2304</v>
      </c>
      <c r="H303" s="2">
        <v>10</v>
      </c>
      <c r="I303" s="3" t="s">
        <v>107</v>
      </c>
      <c r="J303" t="s">
        <v>2365</v>
      </c>
      <c r="M303" s="3" t="s">
        <v>2300</v>
      </c>
      <c r="N303" s="3" t="s">
        <v>2255</v>
      </c>
      <c r="O303" t="s">
        <v>2310</v>
      </c>
    </row>
    <row r="304" spans="1:15" x14ac:dyDescent="0.25">
      <c r="A304" t="s">
        <v>2285</v>
      </c>
      <c r="B304" s="1" t="e">
        <v>#N/A</v>
      </c>
      <c r="C304" s="1" t="e">
        <v>#N/A</v>
      </c>
      <c r="D304" s="1" t="e">
        <v>#N/A</v>
      </c>
      <c r="E304" s="1" t="s">
        <v>2428</v>
      </c>
      <c r="F304" s="2" t="s">
        <v>2301</v>
      </c>
      <c r="G304" s="1" t="s">
        <v>2304</v>
      </c>
      <c r="H304" s="2">
        <v>10</v>
      </c>
      <c r="I304" s="3" t="s">
        <v>2332</v>
      </c>
      <c r="J304" t="s">
        <v>2365</v>
      </c>
      <c r="M304" s="3" t="s">
        <v>2300</v>
      </c>
      <c r="N304" s="3" t="s">
        <v>2255</v>
      </c>
      <c r="O304" t="s">
        <v>2310</v>
      </c>
    </row>
    <row r="305" spans="1:15" x14ac:dyDescent="0.25">
      <c r="A305" t="s">
        <v>2285</v>
      </c>
      <c r="B305" s="1" t="e">
        <v>#N/A</v>
      </c>
      <c r="C305" s="1" t="e">
        <v>#N/A</v>
      </c>
      <c r="D305" s="1" t="e">
        <v>#N/A</v>
      </c>
      <c r="E305" s="1" t="s">
        <v>2428</v>
      </c>
      <c r="F305" s="2" t="s">
        <v>2301</v>
      </c>
      <c r="G305" s="1" t="s">
        <v>2304</v>
      </c>
      <c r="H305" s="2">
        <v>10</v>
      </c>
      <c r="I305" s="3" t="s">
        <v>2315</v>
      </c>
      <c r="J305" t="s">
        <v>2365</v>
      </c>
      <c r="M305" s="3" t="s">
        <v>2300</v>
      </c>
      <c r="N305" s="3" t="s">
        <v>2255</v>
      </c>
      <c r="O305" t="s">
        <v>2310</v>
      </c>
    </row>
    <row r="306" spans="1:15" x14ac:dyDescent="0.25">
      <c r="A306" t="s">
        <v>2285</v>
      </c>
      <c r="B306" s="1" t="e">
        <v>#N/A</v>
      </c>
      <c r="C306" s="1" t="e">
        <v>#N/A</v>
      </c>
      <c r="D306" s="1" t="e">
        <v>#N/A</v>
      </c>
      <c r="E306" s="1" t="s">
        <v>2428</v>
      </c>
      <c r="F306" s="2" t="s">
        <v>2301</v>
      </c>
      <c r="G306" s="1" t="s">
        <v>2304</v>
      </c>
      <c r="H306" s="2">
        <v>10</v>
      </c>
      <c r="I306" s="3" t="s">
        <v>2315</v>
      </c>
      <c r="J306" t="s">
        <v>2365</v>
      </c>
      <c r="M306" s="3" t="s">
        <v>2300</v>
      </c>
      <c r="N306" s="3" t="s">
        <v>2255</v>
      </c>
      <c r="O306" t="s">
        <v>2310</v>
      </c>
    </row>
    <row r="307" spans="1:15" x14ac:dyDescent="0.25">
      <c r="A307" t="s">
        <v>2285</v>
      </c>
      <c r="B307" s="1" t="e">
        <v>#N/A</v>
      </c>
      <c r="C307" s="1" t="e">
        <v>#N/A</v>
      </c>
      <c r="D307" s="1" t="e">
        <v>#N/A</v>
      </c>
      <c r="E307" s="1" t="s">
        <v>2428</v>
      </c>
      <c r="F307" s="2" t="s">
        <v>2301</v>
      </c>
      <c r="G307" s="1" t="s">
        <v>2304</v>
      </c>
      <c r="H307" s="2">
        <v>10</v>
      </c>
      <c r="I307" s="3" t="s">
        <v>2317</v>
      </c>
      <c r="J307" t="s">
        <v>2365</v>
      </c>
      <c r="M307" s="3" t="s">
        <v>2300</v>
      </c>
      <c r="N307" s="3" t="s">
        <v>2255</v>
      </c>
      <c r="O307" t="s">
        <v>2310</v>
      </c>
    </row>
    <row r="308" spans="1:15" x14ac:dyDescent="0.25">
      <c r="A308" t="s">
        <v>2285</v>
      </c>
      <c r="B308" s="1" t="e">
        <v>#N/A</v>
      </c>
      <c r="C308" s="1" t="e">
        <v>#N/A</v>
      </c>
      <c r="D308" s="1" t="e">
        <v>#N/A</v>
      </c>
      <c r="E308" s="1" t="s">
        <v>2298</v>
      </c>
      <c r="F308" s="2" t="s">
        <v>2300</v>
      </c>
      <c r="G308" s="1" t="s">
        <v>2303</v>
      </c>
      <c r="H308" s="2">
        <v>10</v>
      </c>
      <c r="I308" s="3" t="s">
        <v>107</v>
      </c>
      <c r="J308" t="s">
        <v>2365</v>
      </c>
      <c r="M308" s="3" t="s">
        <v>2300</v>
      </c>
      <c r="N308" s="3" t="s">
        <v>2256</v>
      </c>
      <c r="O308" t="s">
        <v>2310</v>
      </c>
    </row>
    <row r="309" spans="1:15" x14ac:dyDescent="0.25">
      <c r="A309" t="s">
        <v>2285</v>
      </c>
      <c r="B309" s="1" t="e">
        <v>#N/A</v>
      </c>
      <c r="C309" s="1" t="e">
        <v>#N/A</v>
      </c>
      <c r="D309" s="1" t="e">
        <v>#N/A</v>
      </c>
      <c r="E309" s="1" t="s">
        <v>2428</v>
      </c>
      <c r="F309" s="2" t="s">
        <v>2301</v>
      </c>
      <c r="G309" s="1" t="s">
        <v>2304</v>
      </c>
      <c r="H309" s="2">
        <v>10</v>
      </c>
      <c r="I309" s="3" t="s">
        <v>5</v>
      </c>
      <c r="J309" t="s">
        <v>2365</v>
      </c>
      <c r="M309" s="3" t="s">
        <v>2300</v>
      </c>
      <c r="N309" s="3" t="s">
        <v>2255</v>
      </c>
      <c r="O309" t="s">
        <v>2310</v>
      </c>
    </row>
    <row r="310" spans="1:15" x14ac:dyDescent="0.25">
      <c r="A310" t="s">
        <v>2285</v>
      </c>
      <c r="B310" s="1" t="e">
        <v>#N/A</v>
      </c>
      <c r="C310" s="1" t="e">
        <v>#N/A</v>
      </c>
      <c r="D310" s="1" t="e">
        <v>#N/A</v>
      </c>
      <c r="E310" s="1" t="s">
        <v>2428</v>
      </c>
      <c r="F310" s="2" t="s">
        <v>2301</v>
      </c>
      <c r="G310" s="1" t="s">
        <v>2304</v>
      </c>
      <c r="H310" s="2">
        <v>10</v>
      </c>
      <c r="I310" s="3" t="s">
        <v>5</v>
      </c>
      <c r="J310" t="s">
        <v>2365</v>
      </c>
      <c r="M310" s="3" t="s">
        <v>2300</v>
      </c>
      <c r="N310" s="3" t="s">
        <v>2255</v>
      </c>
      <c r="O310" t="s">
        <v>2310</v>
      </c>
    </row>
    <row r="311" spans="1:15" x14ac:dyDescent="0.25">
      <c r="A311" t="s">
        <v>2285</v>
      </c>
      <c r="B311" s="1" t="e">
        <v>#N/A</v>
      </c>
      <c r="C311" s="1" t="e">
        <v>#N/A</v>
      </c>
      <c r="D311" s="1" t="e">
        <v>#N/A</v>
      </c>
      <c r="E311" s="1" t="s">
        <v>2428</v>
      </c>
      <c r="F311" s="2" t="s">
        <v>2301</v>
      </c>
      <c r="G311" s="1" t="s">
        <v>2304</v>
      </c>
      <c r="H311" s="2">
        <v>10</v>
      </c>
      <c r="I311" s="3" t="s">
        <v>18</v>
      </c>
      <c r="J311" t="s">
        <v>2365</v>
      </c>
      <c r="M311" s="3" t="s">
        <v>2300</v>
      </c>
      <c r="N311" s="3" t="s">
        <v>2255</v>
      </c>
      <c r="O311" t="s">
        <v>2310</v>
      </c>
    </row>
    <row r="312" spans="1:15" x14ac:dyDescent="0.25">
      <c r="A312" t="s">
        <v>2285</v>
      </c>
      <c r="B312" s="1" t="e">
        <v>#N/A</v>
      </c>
      <c r="C312" s="1" t="e">
        <v>#N/A</v>
      </c>
      <c r="D312" s="1" t="e">
        <v>#N/A</v>
      </c>
      <c r="E312" s="1" t="s">
        <v>2428</v>
      </c>
      <c r="F312" s="2" t="s">
        <v>2301</v>
      </c>
      <c r="G312" s="1" t="s">
        <v>2304</v>
      </c>
      <c r="H312" s="2">
        <v>10</v>
      </c>
      <c r="I312" s="3" t="s">
        <v>7</v>
      </c>
      <c r="J312" t="s">
        <v>2365</v>
      </c>
      <c r="M312" s="3" t="s">
        <v>2300</v>
      </c>
      <c r="N312" s="3" t="s">
        <v>2255</v>
      </c>
      <c r="O312" t="s">
        <v>2310</v>
      </c>
    </row>
    <row r="313" spans="1:15" x14ac:dyDescent="0.25">
      <c r="A313" t="s">
        <v>2285</v>
      </c>
      <c r="B313" s="1" t="e">
        <v>#N/A</v>
      </c>
      <c r="C313" s="1" t="e">
        <v>#N/A</v>
      </c>
      <c r="D313" s="1" t="e">
        <v>#N/A</v>
      </c>
      <c r="E313" s="1" t="s">
        <v>2428</v>
      </c>
      <c r="F313" s="2" t="s">
        <v>2301</v>
      </c>
      <c r="G313" s="1" t="s">
        <v>2304</v>
      </c>
      <c r="H313" s="2">
        <v>10</v>
      </c>
      <c r="I313" s="3" t="s">
        <v>2318</v>
      </c>
      <c r="J313" t="s">
        <v>2365</v>
      </c>
      <c r="M313" s="3" t="s">
        <v>2300</v>
      </c>
      <c r="N313" s="3" t="s">
        <v>2255</v>
      </c>
      <c r="O313" t="s">
        <v>2310</v>
      </c>
    </row>
    <row r="314" spans="1:15" x14ac:dyDescent="0.25">
      <c r="A314" t="s">
        <v>2285</v>
      </c>
      <c r="B314" s="1" t="e">
        <v>#N/A</v>
      </c>
      <c r="C314" s="1" t="e">
        <v>#N/A</v>
      </c>
      <c r="D314" s="1" t="e">
        <v>#N/A</v>
      </c>
      <c r="E314" s="1" t="s">
        <v>2428</v>
      </c>
      <c r="F314" s="2" t="s">
        <v>2301</v>
      </c>
      <c r="G314" s="1" t="s">
        <v>2304</v>
      </c>
      <c r="H314" s="2">
        <v>10</v>
      </c>
      <c r="I314" s="3" t="s">
        <v>2317</v>
      </c>
      <c r="J314" t="s">
        <v>2365</v>
      </c>
      <c r="M314" s="3" t="s">
        <v>2300</v>
      </c>
      <c r="N314" s="3" t="s">
        <v>2255</v>
      </c>
      <c r="O314" t="s">
        <v>2310</v>
      </c>
    </row>
    <row r="315" spans="1:15" x14ac:dyDescent="0.25">
      <c r="A315" t="s">
        <v>2285</v>
      </c>
      <c r="B315" s="1" t="e">
        <v>#N/A</v>
      </c>
      <c r="C315" s="1" t="e">
        <v>#N/A</v>
      </c>
      <c r="D315" s="1" t="e">
        <v>#N/A</v>
      </c>
      <c r="E315" s="1" t="s">
        <v>2428</v>
      </c>
      <c r="F315" s="2" t="s">
        <v>2301</v>
      </c>
      <c r="G315" s="1" t="s">
        <v>2305</v>
      </c>
      <c r="H315" s="2">
        <v>10</v>
      </c>
      <c r="I315" s="3" t="s">
        <v>2315</v>
      </c>
      <c r="J315" t="s">
        <v>2365</v>
      </c>
      <c r="M315" s="3" t="s">
        <v>2300</v>
      </c>
      <c r="N315" s="3" t="s">
        <v>2258</v>
      </c>
      <c r="O315" t="s">
        <v>2310</v>
      </c>
    </row>
    <row r="316" spans="1:15" x14ac:dyDescent="0.25">
      <c r="A316" t="s">
        <v>2285</v>
      </c>
      <c r="B316" s="1" t="e">
        <v>#N/A</v>
      </c>
      <c r="C316" s="1" t="e">
        <v>#N/A</v>
      </c>
      <c r="D316" s="1" t="e">
        <v>#N/A</v>
      </c>
      <c r="E316" s="1" t="s">
        <v>2428</v>
      </c>
      <c r="F316" s="2" t="s">
        <v>2301</v>
      </c>
      <c r="G316" s="1" t="s">
        <v>2304</v>
      </c>
      <c r="H316" s="2">
        <v>10</v>
      </c>
      <c r="I316" s="3" t="s">
        <v>5</v>
      </c>
      <c r="J316" t="s">
        <v>2365</v>
      </c>
      <c r="M316" s="3" t="s">
        <v>2300</v>
      </c>
      <c r="N316" s="3" t="s">
        <v>2255</v>
      </c>
      <c r="O316" t="s">
        <v>2310</v>
      </c>
    </row>
    <row r="317" spans="1:15" x14ac:dyDescent="0.25">
      <c r="A317" t="s">
        <v>2285</v>
      </c>
      <c r="B317" s="1" t="e">
        <v>#N/A</v>
      </c>
      <c r="C317" s="1" t="e">
        <v>#N/A</v>
      </c>
      <c r="D317" s="1" t="e">
        <v>#N/A</v>
      </c>
      <c r="E317" s="1" t="s">
        <v>2428</v>
      </c>
      <c r="F317" s="2" t="s">
        <v>2301</v>
      </c>
      <c r="G317" s="1" t="s">
        <v>2304</v>
      </c>
      <c r="H317" s="2">
        <v>10</v>
      </c>
      <c r="I317" s="3" t="s">
        <v>2317</v>
      </c>
      <c r="J317" t="s">
        <v>2365</v>
      </c>
      <c r="M317" s="3" t="s">
        <v>2300</v>
      </c>
      <c r="N317" s="3" t="s">
        <v>2255</v>
      </c>
      <c r="O317" t="s">
        <v>2310</v>
      </c>
    </row>
    <row r="318" spans="1:15" x14ac:dyDescent="0.25">
      <c r="A318" t="s">
        <v>2285</v>
      </c>
      <c r="B318" s="1" t="e">
        <v>#N/A</v>
      </c>
      <c r="C318" s="1" t="e">
        <v>#N/A</v>
      </c>
      <c r="D318" s="1" t="e">
        <v>#N/A</v>
      </c>
      <c r="E318" s="1" t="s">
        <v>2428</v>
      </c>
      <c r="F318" s="2" t="s">
        <v>2301</v>
      </c>
      <c r="G318" s="1" t="s">
        <v>2304</v>
      </c>
      <c r="H318" s="2">
        <v>9</v>
      </c>
      <c r="I318" s="3" t="s">
        <v>2317</v>
      </c>
      <c r="J318" t="s">
        <v>2365</v>
      </c>
      <c r="M318" s="3" t="s">
        <v>2300</v>
      </c>
      <c r="N318" s="3" t="s">
        <v>2255</v>
      </c>
      <c r="O318" t="s">
        <v>2310</v>
      </c>
    </row>
    <row r="319" spans="1:15" x14ac:dyDescent="0.25">
      <c r="A319" t="s">
        <v>2285</v>
      </c>
      <c r="B319" s="1" t="e">
        <v>#N/A</v>
      </c>
      <c r="C319" s="1" t="e">
        <v>#N/A</v>
      </c>
      <c r="D319" s="1" t="e">
        <v>#N/A</v>
      </c>
      <c r="E319" s="1" t="s">
        <v>2428</v>
      </c>
      <c r="F319" s="2" t="s">
        <v>2301</v>
      </c>
      <c r="G319" s="1" t="s">
        <v>2304</v>
      </c>
      <c r="H319" s="2">
        <v>9</v>
      </c>
      <c r="I319" s="3" t="s">
        <v>2317</v>
      </c>
      <c r="J319" t="s">
        <v>2365</v>
      </c>
      <c r="M319" s="3" t="s">
        <v>2300</v>
      </c>
      <c r="N319" s="3" t="s">
        <v>2255</v>
      </c>
      <c r="O319" t="s">
        <v>2310</v>
      </c>
    </row>
    <row r="320" spans="1:15" x14ac:dyDescent="0.25">
      <c r="A320" t="s">
        <v>2285</v>
      </c>
      <c r="B320" s="1" t="e">
        <v>#N/A</v>
      </c>
      <c r="C320" s="1" t="e">
        <v>#N/A</v>
      </c>
      <c r="D320" s="1" t="e">
        <v>#N/A</v>
      </c>
      <c r="E320" s="1" t="s">
        <v>2428</v>
      </c>
      <c r="F320" s="2" t="s">
        <v>2301</v>
      </c>
      <c r="G320" s="1" t="s">
        <v>2304</v>
      </c>
      <c r="H320" s="2">
        <v>9</v>
      </c>
      <c r="I320" s="3" t="s">
        <v>2317</v>
      </c>
      <c r="J320" t="s">
        <v>2365</v>
      </c>
      <c r="M320" s="3" t="s">
        <v>2300</v>
      </c>
      <c r="N320" s="3" t="s">
        <v>2255</v>
      </c>
      <c r="O320" t="s">
        <v>2310</v>
      </c>
    </row>
    <row r="321" spans="1:15" x14ac:dyDescent="0.25">
      <c r="A321" t="s">
        <v>2285</v>
      </c>
      <c r="B321" s="1" t="e">
        <v>#N/A</v>
      </c>
      <c r="C321" s="1" t="e">
        <v>#N/A</v>
      </c>
      <c r="D321" s="1" t="e">
        <v>#N/A</v>
      </c>
      <c r="E321" s="1" t="s">
        <v>2428</v>
      </c>
      <c r="F321" s="2" t="s">
        <v>2301</v>
      </c>
      <c r="G321" s="1" t="s">
        <v>2304</v>
      </c>
      <c r="H321" s="2">
        <v>9</v>
      </c>
      <c r="I321" s="3" t="s">
        <v>2317</v>
      </c>
      <c r="J321" t="s">
        <v>2365</v>
      </c>
      <c r="M321" s="3" t="s">
        <v>2300</v>
      </c>
      <c r="N321" s="3" t="s">
        <v>2255</v>
      </c>
      <c r="O321" t="s">
        <v>2310</v>
      </c>
    </row>
    <row r="322" spans="1:15" x14ac:dyDescent="0.25">
      <c r="A322" t="s">
        <v>2285</v>
      </c>
      <c r="B322" s="1" t="e">
        <v>#N/A</v>
      </c>
      <c r="C322" s="1" t="e">
        <v>#N/A</v>
      </c>
      <c r="D322" s="1" t="e">
        <v>#N/A</v>
      </c>
      <c r="E322" s="1" t="s">
        <v>2428</v>
      </c>
      <c r="F322" s="2" t="s">
        <v>2301</v>
      </c>
      <c r="G322" s="1" t="s">
        <v>2304</v>
      </c>
      <c r="H322" s="2">
        <v>9</v>
      </c>
      <c r="I322" s="3" t="s">
        <v>48</v>
      </c>
      <c r="J322" t="s">
        <v>2365</v>
      </c>
      <c r="M322" s="3" t="s">
        <v>2300</v>
      </c>
      <c r="N322" s="3" t="s">
        <v>2255</v>
      </c>
      <c r="O322" t="s">
        <v>2310</v>
      </c>
    </row>
    <row r="323" spans="1:15" x14ac:dyDescent="0.25">
      <c r="A323" t="s">
        <v>2285</v>
      </c>
      <c r="B323" s="1" t="e">
        <v>#N/A</v>
      </c>
      <c r="C323" s="1" t="e">
        <v>#N/A</v>
      </c>
      <c r="D323" s="1" t="e">
        <v>#N/A</v>
      </c>
      <c r="E323" s="1" t="s">
        <v>2428</v>
      </c>
      <c r="F323" s="2" t="s">
        <v>2301</v>
      </c>
      <c r="G323" s="1" t="s">
        <v>2304</v>
      </c>
      <c r="H323" s="2">
        <v>7</v>
      </c>
      <c r="I323" s="3" t="s">
        <v>9</v>
      </c>
      <c r="J323" t="s">
        <v>2365</v>
      </c>
      <c r="M323" s="3" t="s">
        <v>2300</v>
      </c>
      <c r="N323" s="3" t="s">
        <v>2255</v>
      </c>
      <c r="O323" t="s">
        <v>2310</v>
      </c>
    </row>
    <row r="324" spans="1:15" x14ac:dyDescent="0.25">
      <c r="A324" t="s">
        <v>2285</v>
      </c>
      <c r="B324" s="1" t="e">
        <v>#N/A</v>
      </c>
      <c r="C324" s="1" t="e">
        <v>#N/A</v>
      </c>
      <c r="D324" s="1" t="e">
        <v>#N/A</v>
      </c>
      <c r="E324" s="1" t="s">
        <v>2428</v>
      </c>
      <c r="F324" s="2" t="s">
        <v>2301</v>
      </c>
      <c r="G324" s="1" t="s">
        <v>2304</v>
      </c>
      <c r="H324" s="2">
        <v>7</v>
      </c>
      <c r="I324" s="3" t="s">
        <v>2327</v>
      </c>
      <c r="J324" t="s">
        <v>2365</v>
      </c>
      <c r="M324" s="3" t="s">
        <v>2300</v>
      </c>
      <c r="N324" s="3" t="s">
        <v>2255</v>
      </c>
      <c r="O324" t="s">
        <v>2310</v>
      </c>
    </row>
    <row r="325" spans="1:15" x14ac:dyDescent="0.25">
      <c r="A325" t="s">
        <v>2285</v>
      </c>
      <c r="B325" s="1" t="e">
        <v>#N/A</v>
      </c>
      <c r="C325" s="1" t="e">
        <v>#N/A</v>
      </c>
      <c r="D325" s="1" t="e">
        <v>#N/A</v>
      </c>
      <c r="E325" s="1" t="s">
        <v>2428</v>
      </c>
      <c r="F325" s="2" t="s">
        <v>2301</v>
      </c>
      <c r="G325" s="1" t="s">
        <v>2304</v>
      </c>
      <c r="H325" s="2">
        <v>7</v>
      </c>
      <c r="I325" s="3" t="s">
        <v>2</v>
      </c>
      <c r="J325" t="s">
        <v>2365</v>
      </c>
      <c r="M325" s="3" t="s">
        <v>2300</v>
      </c>
      <c r="N325" s="3" t="s">
        <v>2255</v>
      </c>
      <c r="O325" t="s">
        <v>2310</v>
      </c>
    </row>
    <row r="326" spans="1:15" x14ac:dyDescent="0.25">
      <c r="A326" t="s">
        <v>2285</v>
      </c>
      <c r="B326" s="1" t="e">
        <v>#N/A</v>
      </c>
      <c r="C326" s="1" t="e">
        <v>#N/A</v>
      </c>
      <c r="D326" s="1" t="e">
        <v>#N/A</v>
      </c>
      <c r="E326" s="1" t="s">
        <v>2428</v>
      </c>
      <c r="F326" s="2" t="s">
        <v>2301</v>
      </c>
      <c r="G326" s="1" t="s">
        <v>2304</v>
      </c>
      <c r="H326" s="2">
        <v>7</v>
      </c>
      <c r="I326" s="3" t="s">
        <v>2315</v>
      </c>
      <c r="J326" t="s">
        <v>2365</v>
      </c>
      <c r="M326" s="3" t="s">
        <v>2300</v>
      </c>
      <c r="N326" s="3" t="s">
        <v>2255</v>
      </c>
      <c r="O326" t="s">
        <v>2310</v>
      </c>
    </row>
    <row r="327" spans="1:15" x14ac:dyDescent="0.25">
      <c r="A327" t="s">
        <v>2285</v>
      </c>
      <c r="B327" s="1" t="s">
        <v>2289</v>
      </c>
      <c r="C327" s="1" t="s">
        <v>2292</v>
      </c>
      <c r="D327" s="1" t="s">
        <v>2426</v>
      </c>
      <c r="E327" s="1" t="s">
        <v>2428</v>
      </c>
      <c r="F327" s="2" t="s">
        <v>2301</v>
      </c>
      <c r="G327" s="1" t="s">
        <v>2304</v>
      </c>
      <c r="H327" s="2">
        <v>7</v>
      </c>
      <c r="I327" s="3" t="s">
        <v>4</v>
      </c>
      <c r="J327" t="s">
        <v>2365</v>
      </c>
      <c r="M327" s="3" t="s">
        <v>2300</v>
      </c>
      <c r="N327" s="3" t="s">
        <v>2255</v>
      </c>
      <c r="O327" t="s">
        <v>2310</v>
      </c>
    </row>
    <row r="328" spans="1:15" x14ac:dyDescent="0.25">
      <c r="A328" t="s">
        <v>2285</v>
      </c>
      <c r="B328" s="1" t="e">
        <v>#N/A</v>
      </c>
      <c r="C328" s="1" t="e">
        <v>#N/A</v>
      </c>
      <c r="D328" s="1" t="e">
        <v>#N/A</v>
      </c>
      <c r="E328" s="1" t="s">
        <v>2428</v>
      </c>
      <c r="F328" s="2" t="s">
        <v>2301</v>
      </c>
      <c r="G328" s="1" t="s">
        <v>2303</v>
      </c>
      <c r="H328" s="2">
        <v>7</v>
      </c>
      <c r="I328" s="3" t="s">
        <v>2315</v>
      </c>
      <c r="J328" t="s">
        <v>2365</v>
      </c>
      <c r="M328" s="3" t="s">
        <v>2300</v>
      </c>
      <c r="N328" s="3" t="s">
        <v>2256</v>
      </c>
      <c r="O328" t="s">
        <v>2310</v>
      </c>
    </row>
    <row r="329" spans="1:15" x14ac:dyDescent="0.25">
      <c r="A329" t="s">
        <v>2285</v>
      </c>
      <c r="B329" s="1" t="e">
        <v>#N/A</v>
      </c>
      <c r="C329" s="1" t="e">
        <v>#N/A</v>
      </c>
      <c r="D329" s="1" t="e">
        <v>#N/A</v>
      </c>
      <c r="E329" s="1" t="s">
        <v>2428</v>
      </c>
      <c r="F329" s="2" t="s">
        <v>2301</v>
      </c>
      <c r="G329" s="1" t="s">
        <v>2304</v>
      </c>
      <c r="H329" s="2">
        <v>7</v>
      </c>
      <c r="I329" s="3" t="s">
        <v>2333</v>
      </c>
      <c r="J329" t="s">
        <v>2365</v>
      </c>
      <c r="M329" s="3" t="s">
        <v>2300</v>
      </c>
      <c r="N329" s="3" t="s">
        <v>2255</v>
      </c>
      <c r="O329" t="s">
        <v>2310</v>
      </c>
    </row>
    <row r="330" spans="1:15" x14ac:dyDescent="0.25">
      <c r="A330" t="s">
        <v>2285</v>
      </c>
      <c r="B330" s="1" t="s">
        <v>2289</v>
      </c>
      <c r="C330" s="1" t="s">
        <v>2292</v>
      </c>
      <c r="D330" s="1" t="s">
        <v>2426</v>
      </c>
      <c r="E330" s="1" t="s">
        <v>2428</v>
      </c>
      <c r="F330" s="2" t="s">
        <v>2301</v>
      </c>
      <c r="G330" s="1" t="s">
        <v>2303</v>
      </c>
      <c r="H330" s="2">
        <v>7</v>
      </c>
      <c r="I330" s="3" t="s">
        <v>6</v>
      </c>
      <c r="J330" t="s">
        <v>2365</v>
      </c>
      <c r="M330" s="3" t="s">
        <v>2300</v>
      </c>
      <c r="N330" s="3" t="s">
        <v>2256</v>
      </c>
      <c r="O330" t="s">
        <v>2310</v>
      </c>
    </row>
    <row r="331" spans="1:15" x14ac:dyDescent="0.25">
      <c r="A331" t="s">
        <v>2285</v>
      </c>
      <c r="B331" s="1" t="e">
        <v>#N/A</v>
      </c>
      <c r="C331" s="1" t="e">
        <v>#N/A</v>
      </c>
      <c r="D331" s="1" t="e">
        <v>#N/A</v>
      </c>
      <c r="E331" s="1" t="s">
        <v>2428</v>
      </c>
      <c r="F331" s="2" t="s">
        <v>2301</v>
      </c>
      <c r="G331" s="1" t="s">
        <v>2304</v>
      </c>
      <c r="H331" s="2">
        <v>7</v>
      </c>
      <c r="I331" s="3" t="s">
        <v>2314</v>
      </c>
      <c r="J331" t="s">
        <v>2365</v>
      </c>
      <c r="M331" s="3" t="s">
        <v>2300</v>
      </c>
      <c r="N331" s="3" t="s">
        <v>2255</v>
      </c>
      <c r="O331" t="s">
        <v>2310</v>
      </c>
    </row>
    <row r="332" spans="1:15" x14ac:dyDescent="0.25">
      <c r="A332" t="s">
        <v>2285</v>
      </c>
      <c r="B332" s="1" t="e">
        <v>#N/A</v>
      </c>
      <c r="C332" s="1" t="e">
        <v>#N/A</v>
      </c>
      <c r="D332" s="1" t="e">
        <v>#N/A</v>
      </c>
      <c r="E332" s="1" t="s">
        <v>2428</v>
      </c>
      <c r="F332" s="2" t="s">
        <v>2301</v>
      </c>
      <c r="G332" s="1" t="s">
        <v>2304</v>
      </c>
      <c r="H332" s="2">
        <v>7</v>
      </c>
      <c r="I332" s="3" t="s">
        <v>2334</v>
      </c>
      <c r="J332" t="s">
        <v>2365</v>
      </c>
      <c r="M332" s="3" t="s">
        <v>2300</v>
      </c>
      <c r="N332" s="3" t="s">
        <v>2255</v>
      </c>
      <c r="O332" t="s">
        <v>2310</v>
      </c>
    </row>
    <row r="333" spans="1:15" x14ac:dyDescent="0.25">
      <c r="A333" t="s">
        <v>2285</v>
      </c>
      <c r="B333" s="1" t="e">
        <v>#N/A</v>
      </c>
      <c r="C333" s="1" t="e">
        <v>#N/A</v>
      </c>
      <c r="D333" s="1" t="e">
        <v>#N/A</v>
      </c>
      <c r="E333" s="1" t="s">
        <v>2428</v>
      </c>
      <c r="F333" s="2" t="s">
        <v>2301</v>
      </c>
      <c r="G333" s="1" t="s">
        <v>2304</v>
      </c>
      <c r="H333" s="2">
        <v>7</v>
      </c>
      <c r="I333" s="3" t="s">
        <v>2317</v>
      </c>
      <c r="J333" t="s">
        <v>2365</v>
      </c>
      <c r="M333" s="3" t="s">
        <v>2300</v>
      </c>
      <c r="N333" s="3" t="s">
        <v>2255</v>
      </c>
      <c r="O333" t="s">
        <v>2310</v>
      </c>
    </row>
    <row r="334" spans="1:15" x14ac:dyDescent="0.25">
      <c r="A334" t="s">
        <v>2285</v>
      </c>
      <c r="B334" s="1" t="e">
        <v>#N/A</v>
      </c>
      <c r="C334" s="1" t="e">
        <v>#N/A</v>
      </c>
      <c r="D334" s="1" t="e">
        <v>#N/A</v>
      </c>
      <c r="E334" s="1" t="s">
        <v>2428</v>
      </c>
      <c r="F334" s="2" t="s">
        <v>2301</v>
      </c>
      <c r="G334" s="1" t="s">
        <v>2304</v>
      </c>
      <c r="H334" s="2">
        <v>7</v>
      </c>
      <c r="I334" s="3" t="s">
        <v>2</v>
      </c>
      <c r="J334" t="s">
        <v>2365</v>
      </c>
      <c r="M334" s="3" t="s">
        <v>2300</v>
      </c>
      <c r="N334" s="3" t="s">
        <v>2255</v>
      </c>
      <c r="O334" t="s">
        <v>2310</v>
      </c>
    </row>
    <row r="335" spans="1:15" x14ac:dyDescent="0.25">
      <c r="A335" t="s">
        <v>2285</v>
      </c>
      <c r="B335" s="1" t="s">
        <v>2289</v>
      </c>
      <c r="C335" s="1" t="s">
        <v>2292</v>
      </c>
      <c r="D335" s="1" t="s">
        <v>2426</v>
      </c>
      <c r="E335" s="1" t="s">
        <v>2428</v>
      </c>
      <c r="F335" s="2" t="s">
        <v>2301</v>
      </c>
      <c r="G335" s="1" t="s">
        <v>2304</v>
      </c>
      <c r="H335" s="2">
        <v>7</v>
      </c>
      <c r="I335" s="3" t="s">
        <v>2410</v>
      </c>
      <c r="J335" t="s">
        <v>2365</v>
      </c>
      <c r="M335" s="3" t="s">
        <v>2300</v>
      </c>
      <c r="N335" s="3" t="s">
        <v>2255</v>
      </c>
      <c r="O335" t="s">
        <v>2310</v>
      </c>
    </row>
    <row r="336" spans="1:15" x14ac:dyDescent="0.25">
      <c r="A336" t="s">
        <v>2285</v>
      </c>
      <c r="B336" s="1" t="e">
        <v>#N/A</v>
      </c>
      <c r="C336" s="1" t="e">
        <v>#N/A</v>
      </c>
      <c r="D336" s="1" t="e">
        <v>#N/A</v>
      </c>
      <c r="E336" s="1" t="s">
        <v>2428</v>
      </c>
      <c r="F336" s="2" t="s">
        <v>2301</v>
      </c>
      <c r="G336" s="1" t="s">
        <v>2304</v>
      </c>
      <c r="H336" s="2">
        <v>7</v>
      </c>
      <c r="I336" s="3" t="s">
        <v>2357</v>
      </c>
      <c r="J336" t="s">
        <v>2365</v>
      </c>
      <c r="M336" s="3" t="s">
        <v>2300</v>
      </c>
      <c r="N336" s="3" t="s">
        <v>2255</v>
      </c>
      <c r="O336" t="s">
        <v>2310</v>
      </c>
    </row>
    <row r="337" spans="1:15" x14ac:dyDescent="0.25">
      <c r="A337" t="s">
        <v>2285</v>
      </c>
      <c r="B337" s="1" t="e">
        <v>#N/A</v>
      </c>
      <c r="C337" s="1" t="e">
        <v>#N/A</v>
      </c>
      <c r="D337" s="1" t="e">
        <v>#N/A</v>
      </c>
      <c r="E337" s="1" t="s">
        <v>2428</v>
      </c>
      <c r="F337" s="2" t="s">
        <v>2301</v>
      </c>
      <c r="G337" s="1" t="s">
        <v>2304</v>
      </c>
      <c r="H337" s="2">
        <v>7</v>
      </c>
      <c r="I337" s="3" t="s">
        <v>2315</v>
      </c>
      <c r="J337" t="s">
        <v>2365</v>
      </c>
      <c r="M337" s="3" t="s">
        <v>2300</v>
      </c>
      <c r="N337" s="3" t="s">
        <v>2255</v>
      </c>
      <c r="O337" t="s">
        <v>2310</v>
      </c>
    </row>
    <row r="338" spans="1:15" x14ac:dyDescent="0.25">
      <c r="A338" t="s">
        <v>2285</v>
      </c>
      <c r="B338" s="1" t="e">
        <v>#N/A</v>
      </c>
      <c r="C338" s="1" t="e">
        <v>#N/A</v>
      </c>
      <c r="D338" s="1" t="e">
        <v>#N/A</v>
      </c>
      <c r="E338" s="1" t="s">
        <v>2428</v>
      </c>
      <c r="F338" s="2" t="s">
        <v>2301</v>
      </c>
      <c r="G338" s="1" t="s">
        <v>2304</v>
      </c>
      <c r="H338" s="2">
        <v>7</v>
      </c>
      <c r="I338" s="3" t="s">
        <v>2316</v>
      </c>
      <c r="J338" t="s">
        <v>2365</v>
      </c>
      <c r="M338" s="3" t="s">
        <v>2300</v>
      </c>
      <c r="N338" s="3" t="s">
        <v>2255</v>
      </c>
      <c r="O338" t="s">
        <v>2310</v>
      </c>
    </row>
    <row r="339" spans="1:15" x14ac:dyDescent="0.25">
      <c r="A339" t="s">
        <v>2285</v>
      </c>
      <c r="B339" s="1" t="e">
        <v>#N/A</v>
      </c>
      <c r="C339" s="1" t="e">
        <v>#N/A</v>
      </c>
      <c r="D339" s="1" t="e">
        <v>#N/A</v>
      </c>
      <c r="E339" s="1" t="s">
        <v>2428</v>
      </c>
      <c r="F339" s="2" t="s">
        <v>2301</v>
      </c>
      <c r="G339" s="1" t="s">
        <v>2304</v>
      </c>
      <c r="H339" s="2">
        <v>7</v>
      </c>
      <c r="I339" s="3" t="s">
        <v>31</v>
      </c>
      <c r="J339" t="s">
        <v>2365</v>
      </c>
      <c r="M339" s="3" t="s">
        <v>2300</v>
      </c>
      <c r="N339" s="3" t="s">
        <v>2255</v>
      </c>
      <c r="O339" t="s">
        <v>2310</v>
      </c>
    </row>
    <row r="340" spans="1:15" x14ac:dyDescent="0.25">
      <c r="A340" t="s">
        <v>2285</v>
      </c>
      <c r="B340" s="1" t="e">
        <v>#N/A</v>
      </c>
      <c r="C340" s="1" t="e">
        <v>#N/A</v>
      </c>
      <c r="D340" s="1" t="e">
        <v>#N/A</v>
      </c>
      <c r="E340" s="1" t="s">
        <v>2428</v>
      </c>
      <c r="F340" s="2" t="s">
        <v>2301</v>
      </c>
      <c r="G340" s="1" t="s">
        <v>2304</v>
      </c>
      <c r="H340" s="2">
        <v>7</v>
      </c>
      <c r="I340" s="3" t="s">
        <v>2317</v>
      </c>
      <c r="J340" t="s">
        <v>2365</v>
      </c>
      <c r="M340" s="3" t="s">
        <v>2300</v>
      </c>
      <c r="N340" s="3" t="s">
        <v>2255</v>
      </c>
      <c r="O340" t="s">
        <v>2310</v>
      </c>
    </row>
    <row r="341" spans="1:15" x14ac:dyDescent="0.25">
      <c r="A341" t="s">
        <v>2285</v>
      </c>
      <c r="B341" s="1" t="e">
        <v>#N/A</v>
      </c>
      <c r="C341" s="1" t="e">
        <v>#N/A</v>
      </c>
      <c r="D341" s="1" t="e">
        <v>#N/A</v>
      </c>
      <c r="E341" s="1" t="s">
        <v>2428</v>
      </c>
      <c r="F341" s="2" t="s">
        <v>2301</v>
      </c>
      <c r="G341" s="1" t="s">
        <v>2304</v>
      </c>
      <c r="H341" s="2">
        <v>7</v>
      </c>
      <c r="I341" s="3" t="s">
        <v>2317</v>
      </c>
      <c r="J341" t="s">
        <v>2365</v>
      </c>
      <c r="M341" s="3" t="s">
        <v>2300</v>
      </c>
      <c r="N341" s="3" t="s">
        <v>2255</v>
      </c>
      <c r="O341" t="s">
        <v>2310</v>
      </c>
    </row>
    <row r="342" spans="1:15" x14ac:dyDescent="0.25">
      <c r="A342" t="s">
        <v>2285</v>
      </c>
      <c r="B342" s="1" t="e">
        <v>#N/A</v>
      </c>
      <c r="C342" s="1" t="e">
        <v>#N/A</v>
      </c>
      <c r="D342" s="1" t="e">
        <v>#N/A</v>
      </c>
      <c r="E342" s="1" t="s">
        <v>2428</v>
      </c>
      <c r="F342" s="2" t="s">
        <v>2301</v>
      </c>
      <c r="G342" s="1" t="s">
        <v>2303</v>
      </c>
      <c r="H342" s="2">
        <v>7</v>
      </c>
      <c r="I342" s="3" t="s">
        <v>32</v>
      </c>
      <c r="J342" t="s">
        <v>2365</v>
      </c>
      <c r="M342" s="3" t="s">
        <v>2300</v>
      </c>
      <c r="N342" s="3" t="s">
        <v>2256</v>
      </c>
      <c r="O342" t="s">
        <v>2310</v>
      </c>
    </row>
    <row r="343" spans="1:15" x14ac:dyDescent="0.25">
      <c r="A343" t="s">
        <v>2285</v>
      </c>
      <c r="B343" s="1" t="e">
        <v>#N/A</v>
      </c>
      <c r="C343" s="1" t="e">
        <v>#N/A</v>
      </c>
      <c r="D343" s="1" t="e">
        <v>#N/A</v>
      </c>
      <c r="E343" s="1" t="s">
        <v>2428</v>
      </c>
      <c r="F343" s="2" t="s">
        <v>2301</v>
      </c>
      <c r="G343" s="1" t="s">
        <v>2304</v>
      </c>
      <c r="H343" s="2">
        <v>7</v>
      </c>
      <c r="I343" s="3" t="s">
        <v>2317</v>
      </c>
      <c r="J343" t="s">
        <v>2365</v>
      </c>
      <c r="M343" s="3" t="s">
        <v>2300</v>
      </c>
      <c r="N343" s="3" t="s">
        <v>2255</v>
      </c>
      <c r="O343" t="s">
        <v>2310</v>
      </c>
    </row>
    <row r="344" spans="1:15" x14ac:dyDescent="0.25">
      <c r="A344" t="s">
        <v>2285</v>
      </c>
      <c r="B344" s="1" t="e">
        <v>#N/A</v>
      </c>
      <c r="C344" s="1" t="e">
        <v>#N/A</v>
      </c>
      <c r="D344" s="1" t="e">
        <v>#N/A</v>
      </c>
      <c r="E344" s="1" t="s">
        <v>2428</v>
      </c>
      <c r="F344" s="2" t="s">
        <v>2301</v>
      </c>
      <c r="G344" s="1" t="s">
        <v>2303</v>
      </c>
      <c r="H344" s="2">
        <v>7</v>
      </c>
      <c r="I344" s="3" t="s">
        <v>2327</v>
      </c>
      <c r="J344" t="s">
        <v>2365</v>
      </c>
      <c r="M344" s="3" t="s">
        <v>2300</v>
      </c>
      <c r="N344" s="3" t="s">
        <v>2256</v>
      </c>
      <c r="O344" t="s">
        <v>2310</v>
      </c>
    </row>
    <row r="345" spans="1:15" x14ac:dyDescent="0.25">
      <c r="A345" t="s">
        <v>2285</v>
      </c>
      <c r="B345" s="1" t="e">
        <v>#N/A</v>
      </c>
      <c r="C345" s="1" t="e">
        <v>#N/A</v>
      </c>
      <c r="D345" s="1" t="e">
        <v>#N/A</v>
      </c>
      <c r="E345" s="1" t="s">
        <v>2428</v>
      </c>
      <c r="F345" s="2" t="s">
        <v>2301</v>
      </c>
      <c r="G345" s="1" t="s">
        <v>2304</v>
      </c>
      <c r="H345" s="2">
        <v>7</v>
      </c>
      <c r="I345" s="3" t="s">
        <v>2317</v>
      </c>
      <c r="J345" t="s">
        <v>2365</v>
      </c>
      <c r="M345" s="3" t="s">
        <v>2300</v>
      </c>
      <c r="N345" s="3" t="s">
        <v>2255</v>
      </c>
      <c r="O345" t="s">
        <v>2310</v>
      </c>
    </row>
    <row r="346" spans="1:15" x14ac:dyDescent="0.25">
      <c r="A346" t="s">
        <v>2285</v>
      </c>
      <c r="B346" s="1" t="e">
        <v>#N/A</v>
      </c>
      <c r="C346" s="1" t="e">
        <v>#N/A</v>
      </c>
      <c r="D346" s="1" t="e">
        <v>#N/A</v>
      </c>
      <c r="E346" s="1" t="s">
        <v>2428</v>
      </c>
      <c r="F346" s="2" t="s">
        <v>2301</v>
      </c>
      <c r="G346" s="1" t="s">
        <v>2304</v>
      </c>
      <c r="H346" s="2">
        <v>7</v>
      </c>
      <c r="I346" s="3" t="s">
        <v>2</v>
      </c>
      <c r="J346" t="s">
        <v>2365</v>
      </c>
      <c r="M346" s="3" t="s">
        <v>2300</v>
      </c>
      <c r="N346" s="3" t="s">
        <v>2255</v>
      </c>
      <c r="O346" t="s">
        <v>2310</v>
      </c>
    </row>
    <row r="347" spans="1:15" x14ac:dyDescent="0.25">
      <c r="A347" t="s">
        <v>2285</v>
      </c>
      <c r="B347" s="1" t="e">
        <v>#N/A</v>
      </c>
      <c r="C347" s="1" t="e">
        <v>#N/A</v>
      </c>
      <c r="D347" s="1" t="e">
        <v>#N/A</v>
      </c>
      <c r="E347" s="1" t="s">
        <v>2428</v>
      </c>
      <c r="F347" s="2" t="s">
        <v>2301</v>
      </c>
      <c r="G347" s="1" t="s">
        <v>2304</v>
      </c>
      <c r="H347" s="2">
        <v>7</v>
      </c>
      <c r="I347" s="3" t="s">
        <v>2321</v>
      </c>
      <c r="J347" t="s">
        <v>2365</v>
      </c>
      <c r="M347" s="3" t="s">
        <v>2300</v>
      </c>
      <c r="N347" s="3" t="s">
        <v>2255</v>
      </c>
      <c r="O347" t="s">
        <v>2310</v>
      </c>
    </row>
    <row r="348" spans="1:15" x14ac:dyDescent="0.25">
      <c r="A348" t="s">
        <v>2285</v>
      </c>
      <c r="B348" s="1" t="e">
        <v>#N/A</v>
      </c>
      <c r="C348" s="1" t="e">
        <v>#N/A</v>
      </c>
      <c r="D348" s="1" t="e">
        <v>#N/A</v>
      </c>
      <c r="E348" s="1" t="s">
        <v>2428</v>
      </c>
      <c r="F348" s="2" t="s">
        <v>2301</v>
      </c>
      <c r="G348" s="1" t="s">
        <v>2304</v>
      </c>
      <c r="H348" s="2">
        <v>7</v>
      </c>
      <c r="I348" s="3" t="s">
        <v>2317</v>
      </c>
      <c r="J348" t="s">
        <v>2365</v>
      </c>
      <c r="M348" s="3" t="s">
        <v>2300</v>
      </c>
      <c r="N348" s="3" t="s">
        <v>2255</v>
      </c>
      <c r="O348" t="s">
        <v>2310</v>
      </c>
    </row>
    <row r="349" spans="1:15" x14ac:dyDescent="0.25">
      <c r="A349" t="s">
        <v>2285</v>
      </c>
      <c r="B349" s="1" t="s">
        <v>2289</v>
      </c>
      <c r="C349" s="1" t="s">
        <v>2292</v>
      </c>
      <c r="D349" s="1" t="s">
        <v>2426</v>
      </c>
      <c r="E349" s="1" t="s">
        <v>2428</v>
      </c>
      <c r="F349" s="2" t="s">
        <v>2301</v>
      </c>
      <c r="G349" s="1" t="s">
        <v>2304</v>
      </c>
      <c r="H349" s="2">
        <v>7</v>
      </c>
      <c r="I349" s="3" t="s">
        <v>1</v>
      </c>
      <c r="J349" t="s">
        <v>2365</v>
      </c>
      <c r="M349" s="3" t="s">
        <v>2300</v>
      </c>
      <c r="N349" s="3" t="s">
        <v>2255</v>
      </c>
      <c r="O349" t="s">
        <v>2310</v>
      </c>
    </row>
    <row r="350" spans="1:15" x14ac:dyDescent="0.25">
      <c r="A350" t="s">
        <v>2285</v>
      </c>
      <c r="B350" s="1" t="e">
        <v>#N/A</v>
      </c>
      <c r="C350" s="1" t="e">
        <v>#N/A</v>
      </c>
      <c r="D350" s="1" t="e">
        <v>#N/A</v>
      </c>
      <c r="E350" s="1" t="s">
        <v>2428</v>
      </c>
      <c r="F350" s="2" t="s">
        <v>2301</v>
      </c>
      <c r="G350" s="1" t="s">
        <v>2304</v>
      </c>
      <c r="H350" s="2">
        <v>7</v>
      </c>
      <c r="I350" s="3" t="s">
        <v>5</v>
      </c>
      <c r="J350" t="s">
        <v>2365</v>
      </c>
      <c r="M350" s="3" t="s">
        <v>2300</v>
      </c>
      <c r="N350" s="3" t="s">
        <v>2255</v>
      </c>
      <c r="O350" t="s">
        <v>2310</v>
      </c>
    </row>
    <row r="351" spans="1:15" x14ac:dyDescent="0.25">
      <c r="A351" t="s">
        <v>2285</v>
      </c>
      <c r="B351" s="1" t="e">
        <v>#N/A</v>
      </c>
      <c r="C351" s="1" t="e">
        <v>#N/A</v>
      </c>
      <c r="D351" s="1" t="e">
        <v>#N/A</v>
      </c>
      <c r="E351" s="1" t="s">
        <v>2428</v>
      </c>
      <c r="F351" s="2" t="s">
        <v>2301</v>
      </c>
      <c r="G351" s="1" t="s">
        <v>2305</v>
      </c>
      <c r="H351" s="2">
        <v>7</v>
      </c>
      <c r="I351" s="3" t="s">
        <v>1</v>
      </c>
      <c r="J351" t="s">
        <v>2365</v>
      </c>
      <c r="M351" s="3" t="s">
        <v>2300</v>
      </c>
      <c r="N351" s="3" t="s">
        <v>2258</v>
      </c>
      <c r="O351" t="s">
        <v>2310</v>
      </c>
    </row>
    <row r="352" spans="1:15" x14ac:dyDescent="0.25">
      <c r="A352" t="s">
        <v>2285</v>
      </c>
      <c r="B352" s="1" t="e">
        <v>#N/A</v>
      </c>
      <c r="C352" s="1" t="e">
        <v>#N/A</v>
      </c>
      <c r="D352" s="1" t="e">
        <v>#N/A</v>
      </c>
      <c r="E352" s="1" t="s">
        <v>2428</v>
      </c>
      <c r="F352" s="2" t="s">
        <v>2301</v>
      </c>
      <c r="G352" s="1" t="s">
        <v>2304</v>
      </c>
      <c r="H352" s="2">
        <v>7</v>
      </c>
      <c r="I352" s="3" t="s">
        <v>2313</v>
      </c>
      <c r="J352" t="s">
        <v>2365</v>
      </c>
      <c r="M352" s="3" t="s">
        <v>2300</v>
      </c>
      <c r="N352" s="3" t="s">
        <v>2255</v>
      </c>
      <c r="O352" t="s">
        <v>2310</v>
      </c>
    </row>
    <row r="353" spans="1:15" x14ac:dyDescent="0.25">
      <c r="A353" t="s">
        <v>2285</v>
      </c>
      <c r="B353" s="1" t="e">
        <v>#N/A</v>
      </c>
      <c r="C353" s="1" t="e">
        <v>#N/A</v>
      </c>
      <c r="D353" s="1" t="e">
        <v>#N/A</v>
      </c>
      <c r="E353" s="1" t="s">
        <v>2428</v>
      </c>
      <c r="F353" s="2" t="s">
        <v>2301</v>
      </c>
      <c r="G353" s="1" t="s">
        <v>2304</v>
      </c>
      <c r="H353" s="2">
        <v>7</v>
      </c>
      <c r="I353" s="3" t="s">
        <v>2321</v>
      </c>
      <c r="J353" t="s">
        <v>2365</v>
      </c>
      <c r="M353" s="3" t="s">
        <v>2300</v>
      </c>
      <c r="N353" s="3" t="s">
        <v>2255</v>
      </c>
      <c r="O353" t="s">
        <v>2310</v>
      </c>
    </row>
    <row r="354" spans="1:15" x14ac:dyDescent="0.25">
      <c r="A354" t="s">
        <v>2285</v>
      </c>
      <c r="B354" s="1" t="e">
        <v>#N/A</v>
      </c>
      <c r="C354" s="1" t="e">
        <v>#N/A</v>
      </c>
      <c r="D354" s="1" t="e">
        <v>#N/A</v>
      </c>
      <c r="E354" s="1" t="s">
        <v>2428</v>
      </c>
      <c r="F354" s="2" t="s">
        <v>2301</v>
      </c>
      <c r="G354" s="1" t="s">
        <v>2304</v>
      </c>
      <c r="H354" s="2">
        <v>7</v>
      </c>
      <c r="I354" s="3" t="s">
        <v>2333</v>
      </c>
      <c r="J354" t="s">
        <v>2365</v>
      </c>
      <c r="M354" s="3" t="s">
        <v>2300</v>
      </c>
      <c r="N354" s="3" t="s">
        <v>2255</v>
      </c>
      <c r="O354" t="s">
        <v>2310</v>
      </c>
    </row>
    <row r="355" spans="1:15" x14ac:dyDescent="0.25">
      <c r="A355" t="s">
        <v>2285</v>
      </c>
      <c r="B355" s="1" t="e">
        <v>#N/A</v>
      </c>
      <c r="C355" s="1" t="e">
        <v>#N/A</v>
      </c>
      <c r="D355" s="1" t="e">
        <v>#N/A</v>
      </c>
      <c r="E355" s="1" t="s">
        <v>2428</v>
      </c>
      <c r="F355" s="2" t="s">
        <v>2301</v>
      </c>
      <c r="G355" s="1" t="s">
        <v>2304</v>
      </c>
      <c r="H355" s="2">
        <v>7</v>
      </c>
      <c r="I355" s="3" t="s">
        <v>2313</v>
      </c>
      <c r="J355" t="s">
        <v>2365</v>
      </c>
      <c r="M355" s="3" t="s">
        <v>2300</v>
      </c>
      <c r="N355" s="3" t="s">
        <v>2255</v>
      </c>
      <c r="O355" t="s">
        <v>2310</v>
      </c>
    </row>
    <row r="356" spans="1:15" x14ac:dyDescent="0.25">
      <c r="A356" t="s">
        <v>2285</v>
      </c>
      <c r="B356" s="1" t="e">
        <v>#N/A</v>
      </c>
      <c r="C356" s="1" t="e">
        <v>#N/A</v>
      </c>
      <c r="D356" s="1" t="e">
        <v>#N/A</v>
      </c>
      <c r="E356" s="1" t="s">
        <v>2428</v>
      </c>
      <c r="F356" s="2" t="s">
        <v>2301</v>
      </c>
      <c r="G356" s="1" t="s">
        <v>2305</v>
      </c>
      <c r="H356" s="2">
        <v>7</v>
      </c>
      <c r="I356" s="3" t="s">
        <v>2314</v>
      </c>
      <c r="J356" t="s">
        <v>2365</v>
      </c>
      <c r="M356" s="3" t="s">
        <v>2300</v>
      </c>
      <c r="N356" s="3" t="s">
        <v>2258</v>
      </c>
      <c r="O356" t="s">
        <v>2310</v>
      </c>
    </row>
    <row r="357" spans="1:15" x14ac:dyDescent="0.25">
      <c r="A357" t="s">
        <v>2285</v>
      </c>
      <c r="B357" s="1" t="e">
        <v>#N/A</v>
      </c>
      <c r="C357" s="1" t="e">
        <v>#N/A</v>
      </c>
      <c r="D357" s="1" t="e">
        <v>#N/A</v>
      </c>
      <c r="E357" s="1" t="s">
        <v>2298</v>
      </c>
      <c r="F357" s="2" t="s">
        <v>2300</v>
      </c>
      <c r="G357" s="1" t="s">
        <v>2304</v>
      </c>
      <c r="H357" s="2">
        <v>7</v>
      </c>
      <c r="I357" s="3" t="s">
        <v>19</v>
      </c>
      <c r="J357" t="s">
        <v>2365</v>
      </c>
      <c r="M357" s="3" t="s">
        <v>2300</v>
      </c>
      <c r="N357" s="3" t="s">
        <v>2255</v>
      </c>
      <c r="O357" t="s">
        <v>2310</v>
      </c>
    </row>
    <row r="358" spans="1:15" x14ac:dyDescent="0.25">
      <c r="A358" t="s">
        <v>2285</v>
      </c>
      <c r="B358" s="1" t="e">
        <v>#N/A</v>
      </c>
      <c r="C358" s="1" t="e">
        <v>#N/A</v>
      </c>
      <c r="D358" s="1" t="e">
        <v>#N/A</v>
      </c>
      <c r="E358" s="1" t="s">
        <v>2298</v>
      </c>
      <c r="F358" s="2" t="s">
        <v>2300</v>
      </c>
      <c r="G358" s="1" t="s">
        <v>2304</v>
      </c>
      <c r="H358" s="2">
        <v>7</v>
      </c>
      <c r="I358" s="3" t="s">
        <v>2411</v>
      </c>
      <c r="J358" t="s">
        <v>2365</v>
      </c>
      <c r="M358" s="3" t="s">
        <v>2300</v>
      </c>
      <c r="N358" s="3" t="s">
        <v>2255</v>
      </c>
      <c r="O358" t="s">
        <v>2310</v>
      </c>
    </row>
    <row r="359" spans="1:15" x14ac:dyDescent="0.25">
      <c r="A359" t="s">
        <v>2285</v>
      </c>
      <c r="B359" s="1" t="e">
        <v>#N/A</v>
      </c>
      <c r="C359" s="1" t="e">
        <v>#N/A</v>
      </c>
      <c r="D359" s="1" t="e">
        <v>#N/A</v>
      </c>
      <c r="E359" s="1" t="s">
        <v>2298</v>
      </c>
      <c r="F359" s="2" t="s">
        <v>2300</v>
      </c>
      <c r="G359" s="1" t="s">
        <v>2304</v>
      </c>
      <c r="H359" s="2">
        <v>7</v>
      </c>
      <c r="I359" s="3" t="s">
        <v>2415</v>
      </c>
      <c r="J359" t="s">
        <v>2365</v>
      </c>
      <c r="M359" s="3" t="s">
        <v>2300</v>
      </c>
      <c r="N359" s="3" t="s">
        <v>2255</v>
      </c>
      <c r="O359" t="s">
        <v>2310</v>
      </c>
    </row>
    <row r="360" spans="1:15" x14ac:dyDescent="0.25">
      <c r="A360" t="s">
        <v>2285</v>
      </c>
      <c r="B360" s="1" t="e">
        <v>#N/A</v>
      </c>
      <c r="C360" s="1" t="e">
        <v>#N/A</v>
      </c>
      <c r="D360" s="1" t="e">
        <v>#N/A</v>
      </c>
      <c r="E360" s="1" t="s">
        <v>2298</v>
      </c>
      <c r="F360" s="2" t="s">
        <v>2300</v>
      </c>
      <c r="G360" s="1" t="s">
        <v>2304</v>
      </c>
      <c r="H360" s="2">
        <v>7</v>
      </c>
      <c r="I360" s="3" t="s">
        <v>2412</v>
      </c>
      <c r="J360" t="s">
        <v>2365</v>
      </c>
      <c r="M360" s="3" t="s">
        <v>2300</v>
      </c>
      <c r="N360" s="3" t="s">
        <v>2255</v>
      </c>
      <c r="O360" t="s">
        <v>2310</v>
      </c>
    </row>
    <row r="361" spans="1:15" x14ac:dyDescent="0.25">
      <c r="A361" t="s">
        <v>2285</v>
      </c>
      <c r="B361" s="1" t="e">
        <v>#N/A</v>
      </c>
      <c r="C361" s="1" t="e">
        <v>#N/A</v>
      </c>
      <c r="D361" s="1" t="e">
        <v>#N/A</v>
      </c>
      <c r="E361" s="1" t="s">
        <v>2428</v>
      </c>
      <c r="F361" s="2" t="s">
        <v>2301</v>
      </c>
      <c r="G361" s="1" t="s">
        <v>2304</v>
      </c>
      <c r="H361" s="2">
        <v>7</v>
      </c>
      <c r="I361" s="3" t="s">
        <v>2317</v>
      </c>
      <c r="J361" t="s">
        <v>2365</v>
      </c>
      <c r="M361" s="3" t="s">
        <v>2300</v>
      </c>
      <c r="N361" s="3" t="s">
        <v>2255</v>
      </c>
      <c r="O361" t="s">
        <v>2310</v>
      </c>
    </row>
    <row r="362" spans="1:15" x14ac:dyDescent="0.25">
      <c r="A362" t="s">
        <v>2285</v>
      </c>
      <c r="B362" s="1" t="e">
        <v>#N/A</v>
      </c>
      <c r="C362" s="1" t="e">
        <v>#N/A</v>
      </c>
      <c r="D362" s="1" t="e">
        <v>#N/A</v>
      </c>
      <c r="E362" s="1" t="s">
        <v>2428</v>
      </c>
      <c r="F362" s="2" t="s">
        <v>2301</v>
      </c>
      <c r="G362" s="1" t="s">
        <v>2303</v>
      </c>
      <c r="H362" s="2">
        <v>7</v>
      </c>
      <c r="I362" s="3" t="s">
        <v>2321</v>
      </c>
      <c r="J362" t="s">
        <v>2365</v>
      </c>
      <c r="M362" s="3" t="s">
        <v>2300</v>
      </c>
      <c r="N362" s="3" t="s">
        <v>2256</v>
      </c>
      <c r="O362" t="s">
        <v>2310</v>
      </c>
    </row>
    <row r="363" spans="1:15" x14ac:dyDescent="0.25">
      <c r="A363" t="s">
        <v>2285</v>
      </c>
      <c r="B363" s="1" t="e">
        <v>#N/A</v>
      </c>
      <c r="C363" s="1" t="e">
        <v>#N/A</v>
      </c>
      <c r="D363" s="1" t="e">
        <v>#N/A</v>
      </c>
      <c r="E363" s="1" t="s">
        <v>2428</v>
      </c>
      <c r="F363" s="2" t="s">
        <v>2301</v>
      </c>
      <c r="G363" s="1" t="s">
        <v>2304</v>
      </c>
      <c r="H363" s="2">
        <v>7</v>
      </c>
      <c r="I363" s="3" t="s">
        <v>2313</v>
      </c>
      <c r="J363" t="s">
        <v>2365</v>
      </c>
      <c r="M363" s="3" t="s">
        <v>2300</v>
      </c>
      <c r="N363" s="3" t="s">
        <v>2255</v>
      </c>
      <c r="O363" t="s">
        <v>2310</v>
      </c>
    </row>
    <row r="364" spans="1:15" x14ac:dyDescent="0.25">
      <c r="A364" t="s">
        <v>2285</v>
      </c>
      <c r="B364" s="1" t="e">
        <v>#N/A</v>
      </c>
      <c r="C364" s="1" t="e">
        <v>#N/A</v>
      </c>
      <c r="D364" s="1" t="e">
        <v>#N/A</v>
      </c>
      <c r="E364" s="1" t="s">
        <v>2428</v>
      </c>
      <c r="F364" s="2" t="s">
        <v>2301</v>
      </c>
      <c r="G364" s="1" t="s">
        <v>2304</v>
      </c>
      <c r="H364" s="2">
        <v>7</v>
      </c>
      <c r="I364" s="3" t="s">
        <v>2333</v>
      </c>
      <c r="J364" t="s">
        <v>2365</v>
      </c>
      <c r="M364" s="3" t="s">
        <v>2300</v>
      </c>
      <c r="N364" s="3" t="s">
        <v>2255</v>
      </c>
      <c r="O364" t="s">
        <v>2310</v>
      </c>
    </row>
    <row r="365" spans="1:15" x14ac:dyDescent="0.25">
      <c r="A365" t="s">
        <v>2285</v>
      </c>
      <c r="B365" s="1" t="e">
        <v>#N/A</v>
      </c>
      <c r="C365" s="1" t="e">
        <v>#N/A</v>
      </c>
      <c r="D365" s="1" t="e">
        <v>#N/A</v>
      </c>
      <c r="E365" s="1" t="s">
        <v>2428</v>
      </c>
      <c r="F365" s="2" t="s">
        <v>2300</v>
      </c>
      <c r="G365" s="1" t="s">
        <v>2304</v>
      </c>
      <c r="H365" s="2">
        <v>6</v>
      </c>
      <c r="I365" s="3" t="s">
        <v>12</v>
      </c>
      <c r="J365" t="s">
        <v>2365</v>
      </c>
      <c r="M365" s="3" t="s">
        <v>2300</v>
      </c>
      <c r="N365" s="3" t="s">
        <v>2255</v>
      </c>
      <c r="O365" t="s">
        <v>2310</v>
      </c>
    </row>
    <row r="366" spans="1:15" x14ac:dyDescent="0.25">
      <c r="A366" t="s">
        <v>2285</v>
      </c>
      <c r="B366" s="1" t="e">
        <v>#N/A</v>
      </c>
      <c r="C366" s="1" t="e">
        <v>#N/A</v>
      </c>
      <c r="D366" s="1" t="e">
        <v>#N/A</v>
      </c>
      <c r="E366" s="1" t="s">
        <v>2428</v>
      </c>
      <c r="F366" s="2" t="s">
        <v>2300</v>
      </c>
      <c r="G366" s="1" t="s">
        <v>2304</v>
      </c>
      <c r="H366" s="2">
        <v>6</v>
      </c>
      <c r="I366" s="3" t="s">
        <v>2317</v>
      </c>
      <c r="J366" t="s">
        <v>2365</v>
      </c>
      <c r="M366" s="3" t="s">
        <v>2300</v>
      </c>
      <c r="N366" s="3" t="s">
        <v>2255</v>
      </c>
      <c r="O366" t="s">
        <v>2310</v>
      </c>
    </row>
    <row r="367" spans="1:15" x14ac:dyDescent="0.25">
      <c r="A367" t="s">
        <v>2285</v>
      </c>
      <c r="B367" s="1" t="e">
        <v>#N/A</v>
      </c>
      <c r="C367" s="1" t="e">
        <v>#N/A</v>
      </c>
      <c r="D367" s="1" t="e">
        <v>#N/A</v>
      </c>
      <c r="E367" s="1" t="s">
        <v>2428</v>
      </c>
      <c r="F367" s="2" t="s">
        <v>2300</v>
      </c>
      <c r="G367" s="1" t="s">
        <v>2304</v>
      </c>
      <c r="H367" s="2">
        <v>6</v>
      </c>
      <c r="I367" s="3" t="s">
        <v>2</v>
      </c>
      <c r="J367" t="s">
        <v>2365</v>
      </c>
      <c r="M367" s="3" t="s">
        <v>2300</v>
      </c>
      <c r="N367" s="3" t="s">
        <v>2255</v>
      </c>
      <c r="O367" t="s">
        <v>2310</v>
      </c>
    </row>
    <row r="368" spans="1:15" x14ac:dyDescent="0.25">
      <c r="A368" t="s">
        <v>2285</v>
      </c>
      <c r="B368" s="1" t="e">
        <v>#N/A</v>
      </c>
      <c r="C368" s="1" t="e">
        <v>#N/A</v>
      </c>
      <c r="D368" s="1" t="e">
        <v>#N/A</v>
      </c>
      <c r="E368" s="1" t="s">
        <v>2428</v>
      </c>
      <c r="F368" s="2" t="s">
        <v>2300</v>
      </c>
      <c r="G368" s="1" t="s">
        <v>2304</v>
      </c>
      <c r="H368" s="2">
        <v>6</v>
      </c>
      <c r="I368" s="3" t="s">
        <v>2321</v>
      </c>
      <c r="J368" t="s">
        <v>2365</v>
      </c>
      <c r="M368" s="3" t="s">
        <v>2300</v>
      </c>
      <c r="N368" s="3" t="s">
        <v>2255</v>
      </c>
      <c r="O368" t="s">
        <v>2310</v>
      </c>
    </row>
    <row r="369" spans="1:15" x14ac:dyDescent="0.25">
      <c r="A369" t="s">
        <v>2285</v>
      </c>
      <c r="B369" s="1" t="e">
        <v>#N/A</v>
      </c>
      <c r="C369" s="1" t="e">
        <v>#N/A</v>
      </c>
      <c r="D369" s="1" t="e">
        <v>#N/A</v>
      </c>
      <c r="E369" s="1" t="s">
        <v>2428</v>
      </c>
      <c r="F369" s="2" t="s">
        <v>2300</v>
      </c>
      <c r="G369" s="1" t="s">
        <v>2304</v>
      </c>
      <c r="H369" s="2">
        <v>6</v>
      </c>
      <c r="I369" s="3" t="s">
        <v>2317</v>
      </c>
      <c r="J369" t="s">
        <v>2365</v>
      </c>
      <c r="M369" s="3" t="s">
        <v>2300</v>
      </c>
      <c r="N369" s="3" t="s">
        <v>2255</v>
      </c>
      <c r="O369" t="s">
        <v>2310</v>
      </c>
    </row>
    <row r="370" spans="1:15" x14ac:dyDescent="0.25">
      <c r="A370" t="s">
        <v>2285</v>
      </c>
      <c r="B370" s="1" t="e">
        <v>#N/A</v>
      </c>
      <c r="C370" s="1" t="e">
        <v>#N/A</v>
      </c>
      <c r="D370" s="1" t="e">
        <v>#N/A</v>
      </c>
      <c r="E370" s="1" t="s">
        <v>2428</v>
      </c>
      <c r="F370" s="2" t="s">
        <v>2300</v>
      </c>
      <c r="G370" s="1" t="s">
        <v>2305</v>
      </c>
      <c r="H370" s="2">
        <v>6</v>
      </c>
      <c r="I370" s="3" t="s">
        <v>2316</v>
      </c>
      <c r="J370" t="s">
        <v>2365</v>
      </c>
      <c r="M370" s="3" t="s">
        <v>2300</v>
      </c>
      <c r="N370" s="3" t="s">
        <v>2258</v>
      </c>
      <c r="O370" t="s">
        <v>2310</v>
      </c>
    </row>
    <row r="371" spans="1:15" x14ac:dyDescent="0.25">
      <c r="A371" t="s">
        <v>2285</v>
      </c>
      <c r="B371" s="1" t="e">
        <v>#N/A</v>
      </c>
      <c r="C371" s="1" t="e">
        <v>#N/A</v>
      </c>
      <c r="D371" s="1" t="e">
        <v>#N/A</v>
      </c>
      <c r="E371" s="1" t="s">
        <v>2428</v>
      </c>
      <c r="F371" s="2" t="s">
        <v>2300</v>
      </c>
      <c r="G371" s="1" t="s">
        <v>2304</v>
      </c>
      <c r="H371" s="2">
        <v>6</v>
      </c>
      <c r="I371" s="3" t="s">
        <v>31</v>
      </c>
      <c r="J371" t="s">
        <v>2365</v>
      </c>
      <c r="M371" s="3" t="s">
        <v>2300</v>
      </c>
      <c r="N371" s="3" t="s">
        <v>2255</v>
      </c>
      <c r="O371" t="s">
        <v>2310</v>
      </c>
    </row>
    <row r="372" spans="1:15" x14ac:dyDescent="0.25">
      <c r="A372" t="s">
        <v>2285</v>
      </c>
      <c r="B372" s="1" t="e">
        <v>#N/A</v>
      </c>
      <c r="C372" s="1" t="e">
        <v>#N/A</v>
      </c>
      <c r="D372" s="1" t="e">
        <v>#N/A</v>
      </c>
      <c r="E372" s="1" t="s">
        <v>2428</v>
      </c>
      <c r="F372" s="2" t="s">
        <v>2300</v>
      </c>
      <c r="G372" s="1" t="s">
        <v>2305</v>
      </c>
      <c r="H372" s="2">
        <v>6</v>
      </c>
      <c r="I372" s="3" t="s">
        <v>2327</v>
      </c>
      <c r="J372" t="s">
        <v>2365</v>
      </c>
      <c r="M372" s="3" t="s">
        <v>2300</v>
      </c>
      <c r="N372" s="3" t="s">
        <v>2258</v>
      </c>
      <c r="O372" t="s">
        <v>2310</v>
      </c>
    </row>
    <row r="373" spans="1:15" x14ac:dyDescent="0.25">
      <c r="A373" t="s">
        <v>2285</v>
      </c>
      <c r="B373" s="1" t="e">
        <v>#N/A</v>
      </c>
      <c r="C373" s="1" t="e">
        <v>#N/A</v>
      </c>
      <c r="D373" s="1" t="e">
        <v>#N/A</v>
      </c>
      <c r="E373" s="1" t="s">
        <v>2428</v>
      </c>
      <c r="F373" s="2" t="s">
        <v>2300</v>
      </c>
      <c r="G373" s="1" t="s">
        <v>2304</v>
      </c>
      <c r="H373" s="2">
        <v>6</v>
      </c>
      <c r="I373" s="3" t="s">
        <v>2416</v>
      </c>
      <c r="J373" t="s">
        <v>2365</v>
      </c>
      <c r="M373" s="3" t="s">
        <v>2300</v>
      </c>
      <c r="N373" s="3" t="s">
        <v>2255</v>
      </c>
      <c r="O373" t="s">
        <v>2310</v>
      </c>
    </row>
    <row r="374" spans="1:15" x14ac:dyDescent="0.25">
      <c r="A374" t="s">
        <v>2285</v>
      </c>
      <c r="B374" s="1" t="e">
        <v>#N/A</v>
      </c>
      <c r="C374" s="1" t="e">
        <v>#N/A</v>
      </c>
      <c r="D374" s="1" t="e">
        <v>#N/A</v>
      </c>
      <c r="E374" s="1" t="s">
        <v>2428</v>
      </c>
      <c r="F374" s="2" t="s">
        <v>2300</v>
      </c>
      <c r="G374" s="1" t="s">
        <v>2304</v>
      </c>
      <c r="H374" s="2">
        <v>6</v>
      </c>
      <c r="I374" s="3" t="s">
        <v>2317</v>
      </c>
      <c r="J374" t="s">
        <v>2365</v>
      </c>
      <c r="M374" s="3" t="s">
        <v>2300</v>
      </c>
      <c r="N374" s="3" t="s">
        <v>2255</v>
      </c>
      <c r="O374" t="s">
        <v>2310</v>
      </c>
    </row>
    <row r="375" spans="1:15" x14ac:dyDescent="0.25">
      <c r="A375" t="s">
        <v>2285</v>
      </c>
      <c r="B375" s="1" t="e">
        <v>#N/A</v>
      </c>
      <c r="C375" s="1" t="e">
        <v>#N/A</v>
      </c>
      <c r="D375" s="1" t="e">
        <v>#N/A</v>
      </c>
      <c r="E375" s="1" t="s">
        <v>2428</v>
      </c>
      <c r="F375" s="2" t="s">
        <v>2300</v>
      </c>
      <c r="G375" s="1" t="s">
        <v>2304</v>
      </c>
      <c r="H375" s="2">
        <v>6</v>
      </c>
      <c r="I375" s="3" t="s">
        <v>2317</v>
      </c>
      <c r="J375" t="s">
        <v>2365</v>
      </c>
      <c r="M375" s="3" t="s">
        <v>2300</v>
      </c>
      <c r="N375" s="3" t="s">
        <v>2255</v>
      </c>
      <c r="O375" t="s">
        <v>2310</v>
      </c>
    </row>
    <row r="376" spans="1:15" x14ac:dyDescent="0.25">
      <c r="A376" t="s">
        <v>2285</v>
      </c>
      <c r="B376" s="1" t="e">
        <v>#N/A</v>
      </c>
      <c r="C376" s="1" t="e">
        <v>#N/A</v>
      </c>
      <c r="D376" s="1" t="e">
        <v>#N/A</v>
      </c>
      <c r="E376" s="1" t="s">
        <v>2428</v>
      </c>
      <c r="F376" s="2" t="s">
        <v>2300</v>
      </c>
      <c r="G376" s="1" t="s">
        <v>2303</v>
      </c>
      <c r="H376" s="2">
        <v>6</v>
      </c>
      <c r="I376" s="3" t="s">
        <v>2402</v>
      </c>
      <c r="J376" t="s">
        <v>2365</v>
      </c>
      <c r="M376" s="3" t="s">
        <v>2300</v>
      </c>
      <c r="N376" s="3" t="s">
        <v>2256</v>
      </c>
      <c r="O376" t="s">
        <v>2310</v>
      </c>
    </row>
    <row r="377" spans="1:15" x14ac:dyDescent="0.25">
      <c r="A377" t="s">
        <v>2285</v>
      </c>
      <c r="B377" s="1" t="e">
        <v>#N/A</v>
      </c>
      <c r="C377" s="1" t="e">
        <v>#N/A</v>
      </c>
      <c r="D377" s="1" t="e">
        <v>#N/A</v>
      </c>
      <c r="E377" s="1" t="s">
        <v>2428</v>
      </c>
      <c r="F377" s="2" t="s">
        <v>2300</v>
      </c>
      <c r="G377" s="1" t="s">
        <v>2303</v>
      </c>
      <c r="H377" s="2">
        <v>6</v>
      </c>
      <c r="I377" s="3" t="s">
        <v>7</v>
      </c>
      <c r="J377" t="s">
        <v>2365</v>
      </c>
      <c r="M377" s="3" t="s">
        <v>2300</v>
      </c>
      <c r="N377" s="3" t="s">
        <v>2256</v>
      </c>
      <c r="O377" t="s">
        <v>2310</v>
      </c>
    </row>
    <row r="378" spans="1:15" x14ac:dyDescent="0.25">
      <c r="A378" t="s">
        <v>2285</v>
      </c>
      <c r="B378" s="1" t="e">
        <v>#N/A</v>
      </c>
      <c r="C378" s="1" t="e">
        <v>#N/A</v>
      </c>
      <c r="D378" s="1" t="e">
        <v>#N/A</v>
      </c>
      <c r="E378" s="1" t="s">
        <v>2428</v>
      </c>
      <c r="F378" s="2" t="s">
        <v>2300</v>
      </c>
      <c r="G378" s="1" t="s">
        <v>2304</v>
      </c>
      <c r="H378" s="2">
        <v>6</v>
      </c>
      <c r="I378" s="3" t="s">
        <v>2417</v>
      </c>
      <c r="J378" t="s">
        <v>2365</v>
      </c>
      <c r="M378" s="3" t="s">
        <v>2300</v>
      </c>
      <c r="N378" s="3" t="s">
        <v>2255</v>
      </c>
      <c r="O378" t="s">
        <v>2310</v>
      </c>
    </row>
    <row r="379" spans="1:15" x14ac:dyDescent="0.25">
      <c r="A379" t="s">
        <v>2285</v>
      </c>
      <c r="B379" s="1" t="e">
        <v>#N/A</v>
      </c>
      <c r="C379" s="1" t="e">
        <v>#N/A</v>
      </c>
      <c r="D379" s="1" t="e">
        <v>#N/A</v>
      </c>
      <c r="E379" s="1" t="s">
        <v>2428</v>
      </c>
      <c r="F379" s="2" t="s">
        <v>2300</v>
      </c>
      <c r="G379" s="1" t="s">
        <v>2304</v>
      </c>
      <c r="H379" s="2">
        <v>6</v>
      </c>
      <c r="I379" s="3" t="s">
        <v>2358</v>
      </c>
      <c r="J379" t="s">
        <v>2365</v>
      </c>
      <c r="M379" s="3" t="s">
        <v>2300</v>
      </c>
      <c r="N379" s="3" t="s">
        <v>2255</v>
      </c>
      <c r="O379" t="s">
        <v>2310</v>
      </c>
    </row>
    <row r="380" spans="1:15" x14ac:dyDescent="0.25">
      <c r="A380" t="s">
        <v>2285</v>
      </c>
      <c r="B380" s="1" t="e">
        <v>#N/A</v>
      </c>
      <c r="C380" s="1" t="e">
        <v>#N/A</v>
      </c>
      <c r="D380" s="1" t="e">
        <v>#N/A</v>
      </c>
      <c r="E380" s="1" t="s">
        <v>2428</v>
      </c>
      <c r="F380" s="2" t="s">
        <v>2300</v>
      </c>
      <c r="G380" s="1" t="s">
        <v>2305</v>
      </c>
      <c r="H380" s="2">
        <v>6</v>
      </c>
      <c r="I380" s="3" t="s">
        <v>2357</v>
      </c>
      <c r="J380" t="s">
        <v>2365</v>
      </c>
      <c r="M380" s="3" t="s">
        <v>2300</v>
      </c>
      <c r="N380" s="3" t="s">
        <v>2257</v>
      </c>
      <c r="O380" t="s">
        <v>2310</v>
      </c>
    </row>
    <row r="381" spans="1:15" x14ac:dyDescent="0.25">
      <c r="A381" t="s">
        <v>2285</v>
      </c>
      <c r="B381" s="1" t="e">
        <v>#N/A</v>
      </c>
      <c r="C381" s="1" t="e">
        <v>#N/A</v>
      </c>
      <c r="D381" s="1" t="e">
        <v>#N/A</v>
      </c>
      <c r="E381" s="1" t="s">
        <v>2428</v>
      </c>
      <c r="F381" s="2" t="s">
        <v>2300</v>
      </c>
      <c r="G381" s="1" t="s">
        <v>2303</v>
      </c>
      <c r="H381" s="2">
        <v>6</v>
      </c>
      <c r="I381" s="3" t="s">
        <v>2419</v>
      </c>
      <c r="J381" t="s">
        <v>2365</v>
      </c>
      <c r="M381" s="3" t="s">
        <v>2300</v>
      </c>
      <c r="N381" s="3" t="s">
        <v>2256</v>
      </c>
      <c r="O381" t="s">
        <v>2310</v>
      </c>
    </row>
    <row r="382" spans="1:15" x14ac:dyDescent="0.25">
      <c r="A382" t="s">
        <v>2285</v>
      </c>
      <c r="B382" s="1" t="e">
        <v>#N/A</v>
      </c>
      <c r="C382" s="1" t="e">
        <v>#N/A</v>
      </c>
      <c r="D382" s="1" t="e">
        <v>#N/A</v>
      </c>
      <c r="E382" s="1" t="s">
        <v>2428</v>
      </c>
      <c r="F382" s="2" t="s">
        <v>2300</v>
      </c>
      <c r="G382" s="1" t="s">
        <v>2304</v>
      </c>
      <c r="H382" s="2">
        <v>6</v>
      </c>
      <c r="I382" s="3" t="s">
        <v>2317</v>
      </c>
      <c r="J382" t="s">
        <v>2365</v>
      </c>
      <c r="M382" s="3" t="s">
        <v>2300</v>
      </c>
      <c r="N382" s="3" t="s">
        <v>2255</v>
      </c>
      <c r="O382" t="s">
        <v>2310</v>
      </c>
    </row>
    <row r="383" spans="1:15" x14ac:dyDescent="0.25">
      <c r="A383" t="s">
        <v>2285</v>
      </c>
      <c r="B383" s="1" t="e">
        <v>#N/A</v>
      </c>
      <c r="C383" s="1" t="e">
        <v>#N/A</v>
      </c>
      <c r="D383" s="1" t="e">
        <v>#N/A</v>
      </c>
      <c r="E383" s="1" t="s">
        <v>2428</v>
      </c>
      <c r="F383" s="2" t="s">
        <v>2300</v>
      </c>
      <c r="G383" s="1" t="s">
        <v>2304</v>
      </c>
      <c r="H383" s="2">
        <v>6</v>
      </c>
      <c r="I383" s="3" t="s">
        <v>12</v>
      </c>
      <c r="J383" t="s">
        <v>2365</v>
      </c>
      <c r="M383" s="3" t="s">
        <v>2300</v>
      </c>
      <c r="N383" s="3" t="s">
        <v>2255</v>
      </c>
      <c r="O383" t="s">
        <v>2310</v>
      </c>
    </row>
    <row r="384" spans="1:15" x14ac:dyDescent="0.25">
      <c r="A384" t="s">
        <v>2285</v>
      </c>
      <c r="B384" s="1" t="e">
        <v>#N/A</v>
      </c>
      <c r="C384" s="1" t="e">
        <v>#N/A</v>
      </c>
      <c r="D384" s="1" t="e">
        <v>#N/A</v>
      </c>
      <c r="E384" s="1" t="s">
        <v>2428</v>
      </c>
      <c r="F384" s="2" t="s">
        <v>2300</v>
      </c>
      <c r="G384" s="1" t="s">
        <v>2304</v>
      </c>
      <c r="H384" s="2">
        <v>6</v>
      </c>
      <c r="I384" s="3" t="s">
        <v>2317</v>
      </c>
      <c r="J384" t="s">
        <v>2365</v>
      </c>
      <c r="M384" s="3" t="s">
        <v>2300</v>
      </c>
      <c r="N384" s="3" t="s">
        <v>2255</v>
      </c>
      <c r="O384" t="s">
        <v>2310</v>
      </c>
    </row>
    <row r="385" spans="1:15" x14ac:dyDescent="0.25">
      <c r="A385" t="s">
        <v>2285</v>
      </c>
      <c r="B385" s="1" t="e">
        <v>#N/A</v>
      </c>
      <c r="C385" s="1" t="e">
        <v>#N/A</v>
      </c>
      <c r="D385" s="1" t="e">
        <v>#N/A</v>
      </c>
      <c r="E385" s="1" t="s">
        <v>2428</v>
      </c>
      <c r="F385" s="2" t="s">
        <v>2300</v>
      </c>
      <c r="G385" s="1" t="s">
        <v>2304</v>
      </c>
      <c r="H385" s="2">
        <v>6</v>
      </c>
      <c r="I385" s="3" t="s">
        <v>2316</v>
      </c>
      <c r="J385" t="s">
        <v>2365</v>
      </c>
      <c r="M385" s="3" t="s">
        <v>2300</v>
      </c>
      <c r="N385" s="3" t="s">
        <v>2255</v>
      </c>
      <c r="O385" t="s">
        <v>2310</v>
      </c>
    </row>
    <row r="386" spans="1:15" x14ac:dyDescent="0.25">
      <c r="A386" t="s">
        <v>2285</v>
      </c>
      <c r="B386" s="1" t="e">
        <v>#N/A</v>
      </c>
      <c r="C386" s="1" t="e">
        <v>#N/A</v>
      </c>
      <c r="D386" s="1" t="e">
        <v>#N/A</v>
      </c>
      <c r="E386" s="1" t="s">
        <v>2428</v>
      </c>
      <c r="F386" s="2" t="s">
        <v>2300</v>
      </c>
      <c r="G386" s="1" t="s">
        <v>2304</v>
      </c>
      <c r="H386" s="2">
        <v>6</v>
      </c>
      <c r="I386" s="3" t="s">
        <v>2418</v>
      </c>
      <c r="J386" t="s">
        <v>2365</v>
      </c>
      <c r="M386" s="3" t="s">
        <v>2300</v>
      </c>
      <c r="N386" s="3" t="s">
        <v>2255</v>
      </c>
      <c r="O386" t="s">
        <v>2310</v>
      </c>
    </row>
    <row r="387" spans="1:15" x14ac:dyDescent="0.25">
      <c r="A387" t="s">
        <v>2284</v>
      </c>
      <c r="B387" s="1" t="e">
        <v>#N/A</v>
      </c>
      <c r="C387" s="1" t="e">
        <v>#N/A</v>
      </c>
      <c r="D387" s="1" t="e">
        <v>#N/A</v>
      </c>
      <c r="E387" s="1" t="s">
        <v>2298</v>
      </c>
      <c r="F387" s="2" t="s">
        <v>2300</v>
      </c>
      <c r="G387" s="1" t="s">
        <v>2304</v>
      </c>
      <c r="H387" s="2">
        <v>6</v>
      </c>
      <c r="I387" s="3" t="s">
        <v>2317</v>
      </c>
      <c r="J387" t="s">
        <v>2365</v>
      </c>
      <c r="M387" s="3" t="s">
        <v>2300</v>
      </c>
      <c r="N387" s="3" t="s">
        <v>2255</v>
      </c>
      <c r="O387" t="s">
        <v>2310</v>
      </c>
    </row>
    <row r="388" spans="1:15" x14ac:dyDescent="0.25">
      <c r="A388" t="s">
        <v>2284</v>
      </c>
      <c r="B388" s="1" t="e">
        <v>#N/A</v>
      </c>
      <c r="C388" s="1" t="e">
        <v>#N/A</v>
      </c>
      <c r="D388" s="1" t="e">
        <v>#N/A</v>
      </c>
      <c r="E388" s="1" t="s">
        <v>2298</v>
      </c>
      <c r="F388" s="2" t="s">
        <v>2300</v>
      </c>
      <c r="G388" s="1" t="s">
        <v>2304</v>
      </c>
      <c r="H388" s="2">
        <v>6</v>
      </c>
      <c r="I388" s="3" t="s">
        <v>2317</v>
      </c>
      <c r="J388" t="s">
        <v>2365</v>
      </c>
      <c r="M388" s="3" t="s">
        <v>2300</v>
      </c>
      <c r="N388" s="3" t="s">
        <v>2255</v>
      </c>
      <c r="O388" t="s">
        <v>2310</v>
      </c>
    </row>
    <row r="389" spans="1:15" x14ac:dyDescent="0.25">
      <c r="A389" t="s">
        <v>2284</v>
      </c>
      <c r="B389" s="1" t="e">
        <v>#N/A</v>
      </c>
      <c r="C389" s="1" t="e">
        <v>#N/A</v>
      </c>
      <c r="D389" s="1" t="e">
        <v>#N/A</v>
      </c>
      <c r="E389" s="1" t="s">
        <v>2298</v>
      </c>
      <c r="F389" s="2" t="s">
        <v>2300</v>
      </c>
      <c r="G389" s="1" t="s">
        <v>2304</v>
      </c>
      <c r="H389" s="2">
        <v>6</v>
      </c>
      <c r="I389" s="3" t="s">
        <v>2317</v>
      </c>
      <c r="J389" t="s">
        <v>2365</v>
      </c>
      <c r="M389" s="3" t="s">
        <v>2300</v>
      </c>
      <c r="N389" s="3" t="s">
        <v>2255</v>
      </c>
      <c r="O389" t="s">
        <v>2310</v>
      </c>
    </row>
    <row r="390" spans="1:15" x14ac:dyDescent="0.25">
      <c r="A390" t="s">
        <v>2285</v>
      </c>
      <c r="B390" s="1" t="e">
        <v>#N/A</v>
      </c>
      <c r="C390" s="1" t="e">
        <v>#N/A</v>
      </c>
      <c r="D390" s="1" t="e">
        <v>#N/A</v>
      </c>
      <c r="E390" s="1" t="s">
        <v>2428</v>
      </c>
      <c r="F390" s="2" t="s">
        <v>2300</v>
      </c>
      <c r="G390" s="1" t="s">
        <v>2304</v>
      </c>
      <c r="H390" s="2">
        <v>6</v>
      </c>
      <c r="I390" s="3" t="s">
        <v>2321</v>
      </c>
      <c r="J390" t="s">
        <v>2365</v>
      </c>
      <c r="M390" s="3" t="s">
        <v>2300</v>
      </c>
      <c r="N390" s="3" t="s">
        <v>2255</v>
      </c>
      <c r="O390" t="s">
        <v>2310</v>
      </c>
    </row>
    <row r="391" spans="1:15" x14ac:dyDescent="0.25">
      <c r="A391" t="s">
        <v>2285</v>
      </c>
      <c r="B391" s="1" t="e">
        <v>#N/A</v>
      </c>
      <c r="C391" s="1" t="e">
        <v>#N/A</v>
      </c>
      <c r="D391" s="1" t="e">
        <v>#N/A</v>
      </c>
      <c r="E391" s="1" t="s">
        <v>2428</v>
      </c>
      <c r="F391" s="2" t="s">
        <v>2300</v>
      </c>
      <c r="G391" s="1" t="s">
        <v>2304</v>
      </c>
      <c r="H391" s="2">
        <v>6</v>
      </c>
      <c r="I391" s="3" t="s">
        <v>2321</v>
      </c>
      <c r="J391" t="s">
        <v>2365</v>
      </c>
      <c r="M391" s="3" t="s">
        <v>2300</v>
      </c>
      <c r="N391" s="3" t="s">
        <v>2255</v>
      </c>
      <c r="O391" t="s">
        <v>2310</v>
      </c>
    </row>
    <row r="392" spans="1:15" x14ac:dyDescent="0.25">
      <c r="A392" t="s">
        <v>2285</v>
      </c>
      <c r="B392" s="1" t="e">
        <v>#N/A</v>
      </c>
      <c r="C392" s="1" t="e">
        <v>#N/A</v>
      </c>
      <c r="D392" s="1" t="e">
        <v>#N/A</v>
      </c>
      <c r="E392" s="1" t="s">
        <v>2428</v>
      </c>
      <c r="F392" s="2" t="s">
        <v>2300</v>
      </c>
      <c r="G392" s="1" t="s">
        <v>2304</v>
      </c>
      <c r="H392" s="2">
        <v>6</v>
      </c>
      <c r="I392" s="3" t="s">
        <v>2357</v>
      </c>
      <c r="J392" t="s">
        <v>2365</v>
      </c>
      <c r="M392" s="3" t="s">
        <v>2300</v>
      </c>
      <c r="N392" s="3" t="s">
        <v>2308</v>
      </c>
      <c r="O392" t="s">
        <v>2310</v>
      </c>
    </row>
    <row r="393" spans="1:15" x14ac:dyDescent="0.25">
      <c r="A393" t="s">
        <v>2285</v>
      </c>
      <c r="B393" s="1" t="e">
        <v>#N/A</v>
      </c>
      <c r="C393" s="1" t="e">
        <v>#N/A</v>
      </c>
      <c r="D393" s="1" t="e">
        <v>#N/A</v>
      </c>
      <c r="E393" s="1" t="s">
        <v>2428</v>
      </c>
      <c r="F393" s="2" t="s">
        <v>2300</v>
      </c>
      <c r="G393" s="1" t="s">
        <v>2304</v>
      </c>
      <c r="H393" s="2">
        <v>6</v>
      </c>
      <c r="I393" s="3" t="s">
        <v>2316</v>
      </c>
      <c r="J393" t="s">
        <v>2365</v>
      </c>
      <c r="M393" s="3" t="s">
        <v>2300</v>
      </c>
      <c r="N393" s="3" t="s">
        <v>2255</v>
      </c>
      <c r="O393" t="s">
        <v>2310</v>
      </c>
    </row>
    <row r="394" spans="1:15" x14ac:dyDescent="0.25">
      <c r="A394" t="s">
        <v>2284</v>
      </c>
      <c r="B394" s="1" t="e">
        <v>#N/A</v>
      </c>
      <c r="C394" s="1" t="e">
        <v>#N/A</v>
      </c>
      <c r="D394" s="1" t="e">
        <v>#N/A</v>
      </c>
      <c r="E394" s="1" t="s">
        <v>2298</v>
      </c>
      <c r="F394" s="2" t="s">
        <v>2300</v>
      </c>
      <c r="G394" s="1" t="s">
        <v>2304</v>
      </c>
      <c r="H394" s="2">
        <v>6</v>
      </c>
      <c r="I394" s="3" t="s">
        <v>2317</v>
      </c>
      <c r="J394" t="s">
        <v>2365</v>
      </c>
      <c r="M394" s="3" t="s">
        <v>2300</v>
      </c>
      <c r="N394" s="3" t="s">
        <v>2255</v>
      </c>
      <c r="O394" t="s">
        <v>2310</v>
      </c>
    </row>
    <row r="395" spans="1:15" x14ac:dyDescent="0.25">
      <c r="A395" t="s">
        <v>2285</v>
      </c>
      <c r="B395" s="1" t="e">
        <v>#N/A</v>
      </c>
      <c r="C395" s="1" t="e">
        <v>#N/A</v>
      </c>
      <c r="D395" s="1" t="e">
        <v>#N/A</v>
      </c>
      <c r="E395" s="1" t="s">
        <v>2428</v>
      </c>
      <c r="F395" s="2" t="s">
        <v>2300</v>
      </c>
      <c r="G395" s="1" t="s">
        <v>2304</v>
      </c>
      <c r="H395" s="2">
        <v>6</v>
      </c>
      <c r="I395" s="3" t="s">
        <v>2</v>
      </c>
      <c r="J395" t="s">
        <v>2365</v>
      </c>
      <c r="M395" s="3" t="s">
        <v>2301</v>
      </c>
      <c r="N395" s="3" t="s">
        <v>2255</v>
      </c>
      <c r="O395" t="s">
        <v>2310</v>
      </c>
    </row>
    <row r="396" spans="1:15" x14ac:dyDescent="0.25">
      <c r="A396" t="s">
        <v>2284</v>
      </c>
      <c r="B396" s="1" t="e">
        <v>#N/A</v>
      </c>
      <c r="C396" s="1" t="e">
        <v>#N/A</v>
      </c>
      <c r="D396" s="1" t="e">
        <v>#N/A</v>
      </c>
      <c r="E396" s="1" t="s">
        <v>2298</v>
      </c>
      <c r="F396" s="2" t="s">
        <v>2300</v>
      </c>
      <c r="G396" s="1" t="s">
        <v>2304</v>
      </c>
      <c r="H396" s="2">
        <v>6</v>
      </c>
      <c r="I396" s="3" t="s">
        <v>2317</v>
      </c>
      <c r="J396" t="s">
        <v>2365</v>
      </c>
      <c r="M396" s="3" t="s">
        <v>2301</v>
      </c>
      <c r="N396" s="3" t="s">
        <v>2255</v>
      </c>
      <c r="O396" t="s">
        <v>2310</v>
      </c>
    </row>
    <row r="397" spans="1:15" x14ac:dyDescent="0.25">
      <c r="A397" t="s">
        <v>2285</v>
      </c>
      <c r="B397" s="1" t="e">
        <v>#N/A</v>
      </c>
      <c r="C397" s="1" t="e">
        <v>#N/A</v>
      </c>
      <c r="D397" s="1" t="e">
        <v>#N/A</v>
      </c>
      <c r="E397" s="1" t="s">
        <v>2428</v>
      </c>
      <c r="F397" s="2" t="s">
        <v>2300</v>
      </c>
      <c r="G397" s="1" t="s">
        <v>2304</v>
      </c>
      <c r="H397" s="2">
        <v>6</v>
      </c>
      <c r="I397" s="3" t="s">
        <v>2327</v>
      </c>
      <c r="J397" t="s">
        <v>2365</v>
      </c>
      <c r="M397" s="3" t="s">
        <v>2300</v>
      </c>
      <c r="N397" s="3" t="s">
        <v>2255</v>
      </c>
      <c r="O397" t="s">
        <v>2310</v>
      </c>
    </row>
    <row r="398" spans="1:15" x14ac:dyDescent="0.25">
      <c r="A398" t="s">
        <v>2285</v>
      </c>
      <c r="B398" s="1" t="e">
        <v>#N/A</v>
      </c>
      <c r="C398" s="1" t="e">
        <v>#N/A</v>
      </c>
      <c r="D398" s="1" t="e">
        <v>#N/A</v>
      </c>
      <c r="E398" s="1" t="s">
        <v>2428</v>
      </c>
      <c r="F398" s="2" t="s">
        <v>2300</v>
      </c>
      <c r="G398" s="1" t="s">
        <v>2304</v>
      </c>
      <c r="H398" s="2">
        <v>6</v>
      </c>
      <c r="I398" s="3" t="s">
        <v>9</v>
      </c>
      <c r="J398" t="s">
        <v>2365</v>
      </c>
      <c r="M398" s="3" t="s">
        <v>2300</v>
      </c>
      <c r="N398" s="3" t="s">
        <v>2255</v>
      </c>
      <c r="O398" t="s">
        <v>2310</v>
      </c>
    </row>
    <row r="399" spans="1:15" x14ac:dyDescent="0.25">
      <c r="A399" t="s">
        <v>2285</v>
      </c>
      <c r="B399" s="1" t="e">
        <v>#N/A</v>
      </c>
      <c r="C399" s="1" t="e">
        <v>#N/A</v>
      </c>
      <c r="D399" s="1" t="e">
        <v>#N/A</v>
      </c>
      <c r="E399" s="1" t="s">
        <v>2298</v>
      </c>
      <c r="F399" s="2" t="s">
        <v>2300</v>
      </c>
      <c r="G399" s="1" t="s">
        <v>2303</v>
      </c>
      <c r="H399" s="2">
        <v>6</v>
      </c>
      <c r="I399" s="3" t="s">
        <v>2353</v>
      </c>
      <c r="J399" t="s">
        <v>2365</v>
      </c>
      <c r="M399" s="3" t="s">
        <v>2300</v>
      </c>
      <c r="N399" s="3" t="s">
        <v>2256</v>
      </c>
      <c r="O399" t="s">
        <v>2310</v>
      </c>
    </row>
    <row r="400" spans="1:15" x14ac:dyDescent="0.25">
      <c r="A400" t="s">
        <v>2285</v>
      </c>
      <c r="B400" s="1" t="e">
        <v>#N/A</v>
      </c>
      <c r="C400" s="1" t="e">
        <v>#N/A</v>
      </c>
      <c r="D400" s="1" t="e">
        <v>#N/A</v>
      </c>
      <c r="E400" s="1" t="s">
        <v>2428</v>
      </c>
      <c r="F400" s="2" t="s">
        <v>2300</v>
      </c>
      <c r="G400" s="1" t="s">
        <v>2304</v>
      </c>
      <c r="H400" s="2">
        <v>6</v>
      </c>
      <c r="I400" s="3" t="s">
        <v>2333</v>
      </c>
      <c r="J400" t="s">
        <v>2365</v>
      </c>
      <c r="M400" s="3" t="s">
        <v>2300</v>
      </c>
      <c r="N400" s="3" t="s">
        <v>2255</v>
      </c>
      <c r="O400" t="s">
        <v>2310</v>
      </c>
    </row>
    <row r="401" spans="1:15" x14ac:dyDescent="0.25">
      <c r="A401" t="s">
        <v>2285</v>
      </c>
      <c r="B401" s="1" t="e">
        <v>#N/A</v>
      </c>
      <c r="C401" s="1" t="e">
        <v>#N/A</v>
      </c>
      <c r="D401" s="1" t="e">
        <v>#N/A</v>
      </c>
      <c r="E401" s="1" t="s">
        <v>2428</v>
      </c>
      <c r="F401" s="2" t="s">
        <v>2300</v>
      </c>
      <c r="G401" s="1" t="s">
        <v>2305</v>
      </c>
      <c r="H401" s="2">
        <v>6</v>
      </c>
      <c r="I401" s="3" t="s">
        <v>31</v>
      </c>
      <c r="J401" t="s">
        <v>2365</v>
      </c>
      <c r="M401" s="3" t="s">
        <v>2300</v>
      </c>
      <c r="N401" s="3" t="s">
        <v>2258</v>
      </c>
      <c r="O401" t="s">
        <v>2310</v>
      </c>
    </row>
    <row r="402" spans="1:15" x14ac:dyDescent="0.25">
      <c r="A402" t="s">
        <v>2285</v>
      </c>
      <c r="B402" s="1" t="e">
        <v>#N/A</v>
      </c>
      <c r="C402" s="1" t="e">
        <v>#N/A</v>
      </c>
      <c r="D402" s="1" t="e">
        <v>#N/A</v>
      </c>
      <c r="E402" s="1" t="s">
        <v>2428</v>
      </c>
      <c r="F402" s="2" t="s">
        <v>2300</v>
      </c>
      <c r="G402" s="1" t="s">
        <v>2304</v>
      </c>
      <c r="H402" s="2">
        <v>6</v>
      </c>
      <c r="I402" s="3" t="s">
        <v>2317</v>
      </c>
      <c r="J402" t="s">
        <v>2365</v>
      </c>
      <c r="M402" s="3" t="s">
        <v>2301</v>
      </c>
      <c r="N402" s="3" t="s">
        <v>2255</v>
      </c>
      <c r="O402" t="s">
        <v>2310</v>
      </c>
    </row>
    <row r="403" spans="1:15" x14ac:dyDescent="0.25">
      <c r="A403" t="s">
        <v>2285</v>
      </c>
      <c r="B403" s="1" t="e">
        <v>#N/A</v>
      </c>
      <c r="C403" s="1" t="e">
        <v>#N/A</v>
      </c>
      <c r="D403" s="1" t="e">
        <v>#N/A</v>
      </c>
      <c r="E403" s="1" t="s">
        <v>2428</v>
      </c>
      <c r="F403" s="2" t="s">
        <v>2300</v>
      </c>
      <c r="G403" s="1" t="s">
        <v>2304</v>
      </c>
      <c r="H403" s="2">
        <v>6</v>
      </c>
      <c r="I403" s="3" t="s">
        <v>2346</v>
      </c>
      <c r="J403" t="s">
        <v>2365</v>
      </c>
      <c r="M403" s="3" t="s">
        <v>2300</v>
      </c>
      <c r="N403" s="3" t="s">
        <v>2255</v>
      </c>
      <c r="O403" t="s">
        <v>2310</v>
      </c>
    </row>
    <row r="404" spans="1:15" x14ac:dyDescent="0.25">
      <c r="A404" t="s">
        <v>2284</v>
      </c>
      <c r="B404" s="1" t="e">
        <v>#N/A</v>
      </c>
      <c r="C404" s="1" t="e">
        <v>#N/A</v>
      </c>
      <c r="D404" s="1" t="e">
        <v>#N/A</v>
      </c>
      <c r="E404" s="1" t="s">
        <v>2298</v>
      </c>
      <c r="F404" s="2" t="s">
        <v>2300</v>
      </c>
      <c r="G404" s="1" t="s">
        <v>2304</v>
      </c>
      <c r="H404" s="2">
        <v>6</v>
      </c>
      <c r="I404" s="3" t="s">
        <v>38</v>
      </c>
      <c r="J404" t="s">
        <v>2365</v>
      </c>
      <c r="M404" s="3" t="s">
        <v>2300</v>
      </c>
      <c r="N404" s="3" t="s">
        <v>2255</v>
      </c>
      <c r="O404" t="s">
        <v>2310</v>
      </c>
    </row>
    <row r="405" spans="1:15" x14ac:dyDescent="0.25">
      <c r="A405" t="s">
        <v>2285</v>
      </c>
      <c r="B405" s="1" t="e">
        <v>#N/A</v>
      </c>
      <c r="C405" s="1" t="e">
        <v>#N/A</v>
      </c>
      <c r="D405" s="1" t="e">
        <v>#N/A</v>
      </c>
      <c r="E405" s="1" t="s">
        <v>2428</v>
      </c>
      <c r="F405" s="2" t="s">
        <v>2300</v>
      </c>
      <c r="G405" s="1" t="s">
        <v>2303</v>
      </c>
      <c r="H405" s="2">
        <v>6</v>
      </c>
      <c r="I405" s="3" t="s">
        <v>7</v>
      </c>
      <c r="J405" t="s">
        <v>2365</v>
      </c>
      <c r="M405" s="3" t="s">
        <v>2300</v>
      </c>
      <c r="N405" s="3" t="s">
        <v>2256</v>
      </c>
      <c r="O405" t="s">
        <v>2310</v>
      </c>
    </row>
    <row r="406" spans="1:15" x14ac:dyDescent="0.25">
      <c r="A406" t="s">
        <v>2285</v>
      </c>
      <c r="B406" s="1" t="e">
        <v>#N/A</v>
      </c>
      <c r="C406" s="1" t="e">
        <v>#N/A</v>
      </c>
      <c r="D406" s="1" t="e">
        <v>#N/A</v>
      </c>
      <c r="E406" s="1" t="s">
        <v>2298</v>
      </c>
      <c r="F406" s="2" t="s">
        <v>2300</v>
      </c>
      <c r="G406" s="1" t="s">
        <v>2304</v>
      </c>
      <c r="H406" s="2">
        <v>5</v>
      </c>
      <c r="I406" s="3" t="s">
        <v>2421</v>
      </c>
      <c r="J406" t="s">
        <v>2365</v>
      </c>
      <c r="M406" s="3" t="s">
        <v>2300</v>
      </c>
      <c r="N406" s="3" t="s">
        <v>2255</v>
      </c>
      <c r="O406" t="s">
        <v>2310</v>
      </c>
    </row>
    <row r="407" spans="1:15" x14ac:dyDescent="0.25">
      <c r="A407" t="s">
        <v>2285</v>
      </c>
      <c r="B407" s="1" t="e">
        <v>#N/A</v>
      </c>
      <c r="C407" s="1" t="e">
        <v>#N/A</v>
      </c>
      <c r="D407" s="1" t="e">
        <v>#N/A</v>
      </c>
      <c r="E407" s="1" t="s">
        <v>2298</v>
      </c>
      <c r="F407" s="2" t="s">
        <v>2300</v>
      </c>
      <c r="G407" s="1" t="s">
        <v>2304</v>
      </c>
      <c r="H407" s="2">
        <v>5</v>
      </c>
      <c r="I407" s="3" t="s">
        <v>21</v>
      </c>
      <c r="J407" t="s">
        <v>2365</v>
      </c>
      <c r="M407" s="3" t="s">
        <v>2300</v>
      </c>
      <c r="N407" s="3" t="s">
        <v>2255</v>
      </c>
      <c r="O407" t="s">
        <v>2310</v>
      </c>
    </row>
    <row r="408" spans="1:15" x14ac:dyDescent="0.25">
      <c r="A408" t="s">
        <v>2285</v>
      </c>
      <c r="B408" s="1" t="e">
        <v>#N/A</v>
      </c>
      <c r="C408" s="1" t="e">
        <v>#N/A</v>
      </c>
      <c r="D408" s="1" t="e">
        <v>#N/A</v>
      </c>
      <c r="E408" s="1" t="s">
        <v>2428</v>
      </c>
      <c r="F408" s="2" t="s">
        <v>2300</v>
      </c>
      <c r="G408" s="1" t="s">
        <v>2305</v>
      </c>
      <c r="H408" s="2">
        <v>5</v>
      </c>
      <c r="I408" s="3" t="s">
        <v>2357</v>
      </c>
      <c r="J408" t="s">
        <v>2365</v>
      </c>
      <c r="M408" s="3" t="s">
        <v>2300</v>
      </c>
      <c r="N408" s="3" t="s">
        <v>2258</v>
      </c>
      <c r="O408" t="s">
        <v>2310</v>
      </c>
    </row>
    <row r="409" spans="1:15" x14ac:dyDescent="0.25">
      <c r="A409" t="s">
        <v>2285</v>
      </c>
      <c r="B409" s="1" t="e">
        <v>#N/A</v>
      </c>
      <c r="C409" s="1" t="e">
        <v>#N/A</v>
      </c>
      <c r="D409" s="1" t="e">
        <v>#N/A</v>
      </c>
      <c r="E409" s="1" t="s">
        <v>2428</v>
      </c>
      <c r="F409" s="2" t="s">
        <v>2300</v>
      </c>
      <c r="G409" s="1" t="s">
        <v>2304</v>
      </c>
      <c r="H409" s="2">
        <v>5</v>
      </c>
      <c r="I409" s="3" t="s">
        <v>1</v>
      </c>
      <c r="J409" t="s">
        <v>2365</v>
      </c>
      <c r="M409" s="3" t="s">
        <v>2300</v>
      </c>
      <c r="N409" s="3" t="s">
        <v>2255</v>
      </c>
      <c r="O409" t="s">
        <v>2310</v>
      </c>
    </row>
    <row r="410" spans="1:15" x14ac:dyDescent="0.25">
      <c r="A410" t="s">
        <v>2285</v>
      </c>
      <c r="B410" s="1" t="e">
        <v>#N/A</v>
      </c>
      <c r="C410" s="1" t="e">
        <v>#N/A</v>
      </c>
      <c r="D410" s="1" t="e">
        <v>#N/A</v>
      </c>
      <c r="E410" s="1" t="s">
        <v>2428</v>
      </c>
      <c r="F410" s="2" t="s">
        <v>2300</v>
      </c>
      <c r="G410" s="1" t="s">
        <v>2303</v>
      </c>
      <c r="H410" s="2">
        <v>5</v>
      </c>
      <c r="I410" s="3" t="s">
        <v>2315</v>
      </c>
      <c r="J410" t="s">
        <v>2365</v>
      </c>
      <c r="M410" s="3" t="s">
        <v>2300</v>
      </c>
      <c r="N410" s="3" t="s">
        <v>2256</v>
      </c>
      <c r="O410" t="s">
        <v>2310</v>
      </c>
    </row>
    <row r="411" spans="1:15" x14ac:dyDescent="0.25">
      <c r="A411" t="s">
        <v>2285</v>
      </c>
      <c r="B411" s="1" t="e">
        <v>#N/A</v>
      </c>
      <c r="C411" s="1" t="e">
        <v>#N/A</v>
      </c>
      <c r="D411" s="1" t="e">
        <v>#N/A</v>
      </c>
      <c r="E411" s="1" t="s">
        <v>2428</v>
      </c>
      <c r="F411" s="2" t="s">
        <v>2300</v>
      </c>
      <c r="G411" s="1" t="s">
        <v>2303</v>
      </c>
      <c r="H411" s="2">
        <v>5</v>
      </c>
      <c r="I411" s="3" t="s">
        <v>2316</v>
      </c>
      <c r="J411" t="s">
        <v>2365</v>
      </c>
      <c r="M411" s="3" t="s">
        <v>2300</v>
      </c>
      <c r="N411" s="3" t="s">
        <v>2256</v>
      </c>
      <c r="O411" t="s">
        <v>2310</v>
      </c>
    </row>
    <row r="412" spans="1:15" x14ac:dyDescent="0.25">
      <c r="A412" t="s">
        <v>2285</v>
      </c>
      <c r="B412" s="1" t="e">
        <v>#N/A</v>
      </c>
      <c r="C412" s="1" t="e">
        <v>#N/A</v>
      </c>
      <c r="D412" s="1" t="e">
        <v>#N/A</v>
      </c>
      <c r="E412" s="1" t="s">
        <v>2428</v>
      </c>
      <c r="F412" s="2" t="s">
        <v>2300</v>
      </c>
      <c r="G412" s="1" t="s">
        <v>2303</v>
      </c>
      <c r="H412" s="2">
        <v>5</v>
      </c>
      <c r="I412" s="3" t="s">
        <v>2318</v>
      </c>
      <c r="J412" t="s">
        <v>2365</v>
      </c>
      <c r="M412" s="3" t="s">
        <v>2300</v>
      </c>
      <c r="N412" s="3" t="s">
        <v>2256</v>
      </c>
      <c r="O412" t="s">
        <v>2310</v>
      </c>
    </row>
    <row r="413" spans="1:15" x14ac:dyDescent="0.25">
      <c r="A413" t="s">
        <v>2285</v>
      </c>
      <c r="B413" s="1" t="e">
        <v>#N/A</v>
      </c>
      <c r="C413" s="1" t="e">
        <v>#N/A</v>
      </c>
      <c r="D413" s="1" t="e">
        <v>#N/A</v>
      </c>
      <c r="E413" s="1" t="s">
        <v>2428</v>
      </c>
      <c r="F413" s="2" t="s">
        <v>2300</v>
      </c>
      <c r="G413" s="1" t="s">
        <v>2303</v>
      </c>
      <c r="H413" s="2">
        <v>5</v>
      </c>
      <c r="I413" s="3" t="s">
        <v>1</v>
      </c>
      <c r="J413" t="s">
        <v>2365</v>
      </c>
      <c r="M413" s="3" t="s">
        <v>2300</v>
      </c>
      <c r="N413" s="3" t="s">
        <v>2256</v>
      </c>
      <c r="O413" t="s">
        <v>2310</v>
      </c>
    </row>
    <row r="414" spans="1:15" x14ac:dyDescent="0.25">
      <c r="A414" t="s">
        <v>2285</v>
      </c>
      <c r="B414" s="1" t="e">
        <v>#N/A</v>
      </c>
      <c r="C414" s="1" t="e">
        <v>#N/A</v>
      </c>
      <c r="D414" s="1" t="e">
        <v>#N/A</v>
      </c>
      <c r="E414" s="1" t="s">
        <v>2428</v>
      </c>
      <c r="F414" s="2" t="s">
        <v>2300</v>
      </c>
      <c r="G414" s="1" t="s">
        <v>2303</v>
      </c>
      <c r="H414" s="2">
        <v>5</v>
      </c>
      <c r="I414" s="3" t="s">
        <v>2315</v>
      </c>
      <c r="J414" t="s">
        <v>2365</v>
      </c>
      <c r="M414" s="3" t="s">
        <v>2300</v>
      </c>
      <c r="N414" s="3" t="s">
        <v>2256</v>
      </c>
      <c r="O414" t="s">
        <v>2310</v>
      </c>
    </row>
    <row r="415" spans="1:15" x14ac:dyDescent="0.25">
      <c r="A415" t="s">
        <v>2285</v>
      </c>
      <c r="B415" s="1" t="e">
        <v>#N/A</v>
      </c>
      <c r="C415" s="1" t="e">
        <v>#N/A</v>
      </c>
      <c r="D415" s="1" t="e">
        <v>#N/A</v>
      </c>
      <c r="E415" s="1" t="s">
        <v>2298</v>
      </c>
      <c r="F415" s="2" t="s">
        <v>2300</v>
      </c>
      <c r="G415" s="1" t="s">
        <v>2304</v>
      </c>
      <c r="H415" s="2">
        <v>5</v>
      </c>
      <c r="I415" s="3" t="s">
        <v>21</v>
      </c>
      <c r="J415" t="s">
        <v>2365</v>
      </c>
      <c r="M415" s="3" t="s">
        <v>2300</v>
      </c>
      <c r="N415" s="3" t="s">
        <v>2255</v>
      </c>
      <c r="O415" t="s">
        <v>2310</v>
      </c>
    </row>
    <row r="416" spans="1:15" x14ac:dyDescent="0.25">
      <c r="A416" t="s">
        <v>2285</v>
      </c>
      <c r="B416" s="1" t="e">
        <v>#N/A</v>
      </c>
      <c r="C416" s="1" t="e">
        <v>#N/A</v>
      </c>
      <c r="D416" s="1" t="e">
        <v>#N/A</v>
      </c>
      <c r="E416" s="1" t="s">
        <v>2428</v>
      </c>
      <c r="F416" s="2" t="s">
        <v>2300</v>
      </c>
      <c r="G416" s="1" t="s">
        <v>2304</v>
      </c>
      <c r="H416" s="2">
        <v>5</v>
      </c>
      <c r="I416" s="3" t="s">
        <v>5</v>
      </c>
      <c r="J416" t="s">
        <v>2365</v>
      </c>
      <c r="M416" s="3" t="s">
        <v>2300</v>
      </c>
      <c r="N416" s="3" t="s">
        <v>2255</v>
      </c>
      <c r="O416" t="s">
        <v>2310</v>
      </c>
    </row>
    <row r="417" spans="1:15" x14ac:dyDescent="0.25">
      <c r="A417" t="s">
        <v>2285</v>
      </c>
      <c r="B417" s="1" t="e">
        <v>#N/A</v>
      </c>
      <c r="C417" s="1" t="e">
        <v>#N/A</v>
      </c>
      <c r="D417" s="1" t="e">
        <v>#N/A</v>
      </c>
      <c r="E417" s="1" t="s">
        <v>2428</v>
      </c>
      <c r="F417" s="2" t="s">
        <v>2300</v>
      </c>
      <c r="G417" s="1" t="s">
        <v>2304</v>
      </c>
      <c r="H417" s="2">
        <v>5</v>
      </c>
      <c r="I417" s="3" t="s">
        <v>2</v>
      </c>
      <c r="J417" t="s">
        <v>2365</v>
      </c>
      <c r="M417" s="3" t="s">
        <v>2300</v>
      </c>
      <c r="N417" s="3" t="s">
        <v>2255</v>
      </c>
      <c r="O417" t="s">
        <v>2310</v>
      </c>
    </row>
    <row r="418" spans="1:15" x14ac:dyDescent="0.25">
      <c r="A418" t="s">
        <v>2285</v>
      </c>
      <c r="B418" s="1" t="e">
        <v>#N/A</v>
      </c>
      <c r="C418" s="1" t="e">
        <v>#N/A</v>
      </c>
      <c r="D418" s="1" t="e">
        <v>#N/A</v>
      </c>
      <c r="E418" s="1" t="s">
        <v>2428</v>
      </c>
      <c r="F418" s="2" t="s">
        <v>2300</v>
      </c>
      <c r="G418" s="1" t="s">
        <v>2304</v>
      </c>
      <c r="H418" s="2">
        <v>5</v>
      </c>
      <c r="I418" s="3" t="s">
        <v>2316</v>
      </c>
      <c r="J418" t="s">
        <v>2365</v>
      </c>
      <c r="M418" s="3" t="s">
        <v>2300</v>
      </c>
      <c r="N418" s="3" t="s">
        <v>2255</v>
      </c>
      <c r="O418" t="s">
        <v>2310</v>
      </c>
    </row>
    <row r="419" spans="1:15" x14ac:dyDescent="0.25">
      <c r="A419" t="s">
        <v>2285</v>
      </c>
      <c r="B419" s="1" t="e">
        <v>#N/A</v>
      </c>
      <c r="C419" s="1" t="e">
        <v>#N/A</v>
      </c>
      <c r="D419" s="1" t="e">
        <v>#N/A</v>
      </c>
      <c r="E419" s="1" t="s">
        <v>2428</v>
      </c>
      <c r="F419" s="2" t="s">
        <v>2300</v>
      </c>
      <c r="G419" s="1" t="s">
        <v>2304</v>
      </c>
      <c r="H419" s="2">
        <v>5</v>
      </c>
      <c r="I419" s="3" t="s">
        <v>2317</v>
      </c>
      <c r="J419" t="s">
        <v>2365</v>
      </c>
      <c r="M419" s="3" t="s">
        <v>2300</v>
      </c>
      <c r="N419" s="3" t="s">
        <v>2255</v>
      </c>
      <c r="O419" t="s">
        <v>2310</v>
      </c>
    </row>
    <row r="420" spans="1:15" x14ac:dyDescent="0.25">
      <c r="A420" t="s">
        <v>2285</v>
      </c>
      <c r="B420" s="1" t="e">
        <v>#N/A</v>
      </c>
      <c r="C420" s="1" t="e">
        <v>#N/A</v>
      </c>
      <c r="D420" s="1" t="e">
        <v>#N/A</v>
      </c>
      <c r="E420" s="1" t="s">
        <v>2428</v>
      </c>
      <c r="F420" s="2" t="s">
        <v>2300</v>
      </c>
      <c r="G420" s="1" t="s">
        <v>2304</v>
      </c>
      <c r="H420" s="2">
        <v>5</v>
      </c>
      <c r="I420" s="3" t="s">
        <v>2317</v>
      </c>
      <c r="J420" t="s">
        <v>2365</v>
      </c>
      <c r="M420" s="3" t="s">
        <v>2300</v>
      </c>
      <c r="N420" s="3" t="s">
        <v>2255</v>
      </c>
      <c r="O420" t="s">
        <v>2310</v>
      </c>
    </row>
    <row r="421" spans="1:15" x14ac:dyDescent="0.25">
      <c r="A421" t="s">
        <v>2285</v>
      </c>
      <c r="B421" s="1" t="e">
        <v>#N/A</v>
      </c>
      <c r="C421" s="1" t="e">
        <v>#N/A</v>
      </c>
      <c r="D421" s="1" t="e">
        <v>#N/A</v>
      </c>
      <c r="E421" s="1" t="s">
        <v>2428</v>
      </c>
      <c r="F421" s="2" t="s">
        <v>2300</v>
      </c>
      <c r="G421" s="1" t="s">
        <v>2304</v>
      </c>
      <c r="H421" s="2">
        <v>5</v>
      </c>
      <c r="I421" s="3" t="s">
        <v>2338</v>
      </c>
      <c r="J421" t="s">
        <v>2365</v>
      </c>
      <c r="M421" s="3" t="s">
        <v>2300</v>
      </c>
      <c r="N421" s="3" t="s">
        <v>2255</v>
      </c>
      <c r="O421" t="s">
        <v>2310</v>
      </c>
    </row>
    <row r="422" spans="1:15" x14ac:dyDescent="0.25">
      <c r="A422" t="s">
        <v>2285</v>
      </c>
      <c r="B422" s="1" t="e">
        <v>#N/A</v>
      </c>
      <c r="C422" s="1" t="e">
        <v>#N/A</v>
      </c>
      <c r="D422" s="1" t="e">
        <v>#N/A</v>
      </c>
      <c r="E422" s="1" t="s">
        <v>2428</v>
      </c>
      <c r="F422" s="2" t="s">
        <v>2300</v>
      </c>
      <c r="G422" s="1" t="s">
        <v>2304</v>
      </c>
      <c r="H422" s="2">
        <v>5</v>
      </c>
      <c r="I422" s="3" t="s">
        <v>2317</v>
      </c>
      <c r="J422" t="s">
        <v>2365</v>
      </c>
      <c r="M422" s="3" t="s">
        <v>2300</v>
      </c>
      <c r="N422" s="3" t="s">
        <v>2255</v>
      </c>
      <c r="O422" t="s">
        <v>2310</v>
      </c>
    </row>
    <row r="423" spans="1:15" x14ac:dyDescent="0.25">
      <c r="A423" t="s">
        <v>2285</v>
      </c>
      <c r="B423" s="1" t="e">
        <v>#N/A</v>
      </c>
      <c r="C423" s="1" t="e">
        <v>#N/A</v>
      </c>
      <c r="D423" s="1" t="e">
        <v>#N/A</v>
      </c>
      <c r="E423" s="1" t="s">
        <v>2428</v>
      </c>
      <c r="F423" s="2" t="s">
        <v>2300</v>
      </c>
      <c r="G423" s="1" t="s">
        <v>2304</v>
      </c>
      <c r="H423" s="2">
        <v>5</v>
      </c>
      <c r="I423" s="3" t="s">
        <v>2316</v>
      </c>
      <c r="J423" t="s">
        <v>2365</v>
      </c>
      <c r="M423" s="3" t="s">
        <v>2300</v>
      </c>
      <c r="N423" s="3" t="s">
        <v>2255</v>
      </c>
      <c r="O423" t="s">
        <v>2310</v>
      </c>
    </row>
    <row r="424" spans="1:15" x14ac:dyDescent="0.25">
      <c r="A424" t="s">
        <v>2285</v>
      </c>
      <c r="B424" s="1" t="e">
        <v>#N/A</v>
      </c>
      <c r="C424" s="1" t="e">
        <v>#N/A</v>
      </c>
      <c r="D424" s="1" t="e">
        <v>#N/A</v>
      </c>
      <c r="E424" s="1" t="s">
        <v>2428</v>
      </c>
      <c r="F424" s="2" t="s">
        <v>2300</v>
      </c>
      <c r="G424" s="1" t="s">
        <v>2304</v>
      </c>
      <c r="H424" s="2">
        <v>5</v>
      </c>
      <c r="I424" s="3" t="s">
        <v>2357</v>
      </c>
      <c r="J424" t="s">
        <v>2365</v>
      </c>
      <c r="M424" s="3" t="s">
        <v>2300</v>
      </c>
      <c r="N424" s="3" t="s">
        <v>2255</v>
      </c>
      <c r="O424" t="s">
        <v>2310</v>
      </c>
    </row>
    <row r="425" spans="1:15" x14ac:dyDescent="0.25">
      <c r="A425" t="s">
        <v>2285</v>
      </c>
      <c r="B425" s="1" t="e">
        <v>#N/A</v>
      </c>
      <c r="C425" s="1" t="e">
        <v>#N/A</v>
      </c>
      <c r="D425" s="1" t="e">
        <v>#N/A</v>
      </c>
      <c r="E425" s="1" t="s">
        <v>2428</v>
      </c>
      <c r="F425" s="2" t="s">
        <v>2300</v>
      </c>
      <c r="G425" s="1" t="s">
        <v>2304</v>
      </c>
      <c r="H425" s="2">
        <v>5</v>
      </c>
      <c r="I425" s="3" t="s">
        <v>2317</v>
      </c>
      <c r="J425" t="s">
        <v>2365</v>
      </c>
      <c r="M425" s="3" t="s">
        <v>2300</v>
      </c>
      <c r="N425" s="3" t="s">
        <v>2255</v>
      </c>
      <c r="O425" t="s">
        <v>2310</v>
      </c>
    </row>
    <row r="426" spans="1:15" x14ac:dyDescent="0.25">
      <c r="A426" t="s">
        <v>2285</v>
      </c>
      <c r="B426" s="1" t="e">
        <v>#N/A</v>
      </c>
      <c r="C426" s="1" t="e">
        <v>#N/A</v>
      </c>
      <c r="D426" s="1" t="e">
        <v>#N/A</v>
      </c>
      <c r="E426" s="1" t="s">
        <v>2428</v>
      </c>
      <c r="F426" s="2" t="s">
        <v>2300</v>
      </c>
      <c r="G426" s="1" t="s">
        <v>2304</v>
      </c>
      <c r="H426" s="2">
        <v>5</v>
      </c>
      <c r="I426" s="3" t="s">
        <v>1</v>
      </c>
      <c r="J426" t="s">
        <v>2365</v>
      </c>
      <c r="M426" s="3" t="s">
        <v>2300</v>
      </c>
      <c r="N426" s="3" t="s">
        <v>2255</v>
      </c>
      <c r="O426" t="s">
        <v>2310</v>
      </c>
    </row>
    <row r="427" spans="1:15" x14ac:dyDescent="0.25">
      <c r="A427" t="s">
        <v>2285</v>
      </c>
      <c r="B427" s="1" t="e">
        <v>#N/A</v>
      </c>
      <c r="C427" s="1" t="e">
        <v>#N/A</v>
      </c>
      <c r="D427" s="1" t="e">
        <v>#N/A</v>
      </c>
      <c r="E427" s="1" t="s">
        <v>2428</v>
      </c>
      <c r="F427" s="2" t="s">
        <v>2300</v>
      </c>
      <c r="G427" s="1" t="s">
        <v>2304</v>
      </c>
      <c r="H427" s="2">
        <v>5</v>
      </c>
      <c r="I427" s="3" t="s">
        <v>9</v>
      </c>
      <c r="J427" t="s">
        <v>2365</v>
      </c>
      <c r="M427" s="3" t="s">
        <v>2300</v>
      </c>
      <c r="N427" s="3" t="s">
        <v>2255</v>
      </c>
      <c r="O427" t="s">
        <v>2310</v>
      </c>
    </row>
    <row r="428" spans="1:15" x14ac:dyDescent="0.25">
      <c r="A428" t="s">
        <v>2285</v>
      </c>
      <c r="B428" s="1" t="e">
        <v>#N/A</v>
      </c>
      <c r="C428" s="1" t="e">
        <v>#N/A</v>
      </c>
      <c r="D428" s="1" t="e">
        <v>#N/A</v>
      </c>
      <c r="E428" s="1" t="s">
        <v>2428</v>
      </c>
      <c r="F428" s="2" t="s">
        <v>2300</v>
      </c>
      <c r="G428" s="1" t="s">
        <v>2304</v>
      </c>
      <c r="H428" s="2">
        <v>5</v>
      </c>
      <c r="I428" s="3" t="s">
        <v>2317</v>
      </c>
      <c r="J428" t="s">
        <v>2365</v>
      </c>
      <c r="M428" s="3" t="s">
        <v>2300</v>
      </c>
      <c r="N428" s="3" t="s">
        <v>2255</v>
      </c>
      <c r="O428" t="s">
        <v>2310</v>
      </c>
    </row>
    <row r="429" spans="1:15" x14ac:dyDescent="0.25">
      <c r="A429" t="s">
        <v>2285</v>
      </c>
      <c r="B429" s="1" t="e">
        <v>#N/A</v>
      </c>
      <c r="C429" s="1" t="e">
        <v>#N/A</v>
      </c>
      <c r="D429" s="1" t="e">
        <v>#N/A</v>
      </c>
      <c r="E429" s="1" t="s">
        <v>2428</v>
      </c>
      <c r="F429" s="2" t="s">
        <v>2300</v>
      </c>
      <c r="G429" s="1" t="s">
        <v>2304</v>
      </c>
      <c r="H429" s="2">
        <v>5</v>
      </c>
      <c r="I429" s="3" t="s">
        <v>2313</v>
      </c>
      <c r="J429" t="s">
        <v>2365</v>
      </c>
      <c r="M429" s="3" t="s">
        <v>2300</v>
      </c>
      <c r="N429" s="3" t="s">
        <v>2255</v>
      </c>
      <c r="O429" t="s">
        <v>2310</v>
      </c>
    </row>
    <row r="430" spans="1:15" x14ac:dyDescent="0.25">
      <c r="A430" t="s">
        <v>2285</v>
      </c>
      <c r="B430" s="1" t="e">
        <v>#N/A</v>
      </c>
      <c r="C430" s="1" t="e">
        <v>#N/A</v>
      </c>
      <c r="D430" s="1" t="e">
        <v>#N/A</v>
      </c>
      <c r="E430" s="1" t="s">
        <v>2428</v>
      </c>
      <c r="F430" s="2" t="s">
        <v>2300</v>
      </c>
      <c r="G430" s="1" t="s">
        <v>2304</v>
      </c>
      <c r="H430" s="2">
        <v>5</v>
      </c>
      <c r="I430" s="3" t="s">
        <v>2318</v>
      </c>
      <c r="J430" t="s">
        <v>2365</v>
      </c>
      <c r="M430" s="3" t="s">
        <v>2300</v>
      </c>
      <c r="N430" s="3" t="s">
        <v>2255</v>
      </c>
      <c r="O430" t="s">
        <v>2310</v>
      </c>
    </row>
    <row r="431" spans="1:15" x14ac:dyDescent="0.25">
      <c r="A431" t="s">
        <v>2285</v>
      </c>
      <c r="B431" s="1" t="e">
        <v>#N/A</v>
      </c>
      <c r="C431" s="1" t="e">
        <v>#N/A</v>
      </c>
      <c r="D431" s="1" t="e">
        <v>#N/A</v>
      </c>
      <c r="E431" s="1" t="s">
        <v>2428</v>
      </c>
      <c r="F431" s="2" t="s">
        <v>2300</v>
      </c>
      <c r="G431" s="1" t="s">
        <v>2304</v>
      </c>
      <c r="H431" s="2">
        <v>5</v>
      </c>
      <c r="I431" s="3" t="s">
        <v>2315</v>
      </c>
      <c r="J431" t="s">
        <v>2365</v>
      </c>
      <c r="M431" s="3" t="s">
        <v>2300</v>
      </c>
      <c r="N431" s="3" t="s">
        <v>2255</v>
      </c>
      <c r="O431" t="s">
        <v>2310</v>
      </c>
    </row>
    <row r="432" spans="1:15" x14ac:dyDescent="0.25">
      <c r="A432" t="s">
        <v>2285</v>
      </c>
      <c r="B432" s="1" t="e">
        <v>#N/A</v>
      </c>
      <c r="C432" s="1" t="e">
        <v>#N/A</v>
      </c>
      <c r="D432" s="1" t="e">
        <v>#N/A</v>
      </c>
      <c r="E432" s="1" t="s">
        <v>2428</v>
      </c>
      <c r="F432" s="2" t="s">
        <v>2300</v>
      </c>
      <c r="G432" s="1" t="s">
        <v>2304</v>
      </c>
      <c r="H432" s="2">
        <v>5</v>
      </c>
      <c r="I432" s="3" t="s">
        <v>2317</v>
      </c>
      <c r="J432" t="s">
        <v>2365</v>
      </c>
      <c r="M432" s="3" t="s">
        <v>2300</v>
      </c>
      <c r="N432" s="3" t="s">
        <v>2255</v>
      </c>
      <c r="O432" t="s">
        <v>2310</v>
      </c>
    </row>
    <row r="433" spans="1:15" x14ac:dyDescent="0.25">
      <c r="A433" t="s">
        <v>2285</v>
      </c>
      <c r="B433" s="1" t="e">
        <v>#N/A</v>
      </c>
      <c r="C433" s="1" t="e">
        <v>#N/A</v>
      </c>
      <c r="D433" s="1" t="e">
        <v>#N/A</v>
      </c>
      <c r="E433" s="1" t="s">
        <v>2428</v>
      </c>
      <c r="F433" s="2" t="s">
        <v>2300</v>
      </c>
      <c r="G433" s="1" t="s">
        <v>2304</v>
      </c>
      <c r="H433" s="2">
        <v>5</v>
      </c>
      <c r="I433" s="3" t="s">
        <v>2317</v>
      </c>
      <c r="J433" t="s">
        <v>2365</v>
      </c>
      <c r="M433" s="3" t="s">
        <v>2300</v>
      </c>
      <c r="N433" s="3" t="s">
        <v>2255</v>
      </c>
      <c r="O433" t="s">
        <v>2310</v>
      </c>
    </row>
    <row r="434" spans="1:15" x14ac:dyDescent="0.25">
      <c r="A434" t="s">
        <v>2285</v>
      </c>
      <c r="B434" s="1" t="e">
        <v>#N/A</v>
      </c>
      <c r="C434" s="1" t="e">
        <v>#N/A</v>
      </c>
      <c r="D434" s="1" t="e">
        <v>#N/A</v>
      </c>
      <c r="E434" s="1" t="s">
        <v>2428</v>
      </c>
      <c r="F434" s="2" t="s">
        <v>2300</v>
      </c>
      <c r="G434" s="1" t="s">
        <v>2304</v>
      </c>
      <c r="H434" s="2">
        <v>5</v>
      </c>
      <c r="I434" s="3" t="s">
        <v>2357</v>
      </c>
      <c r="J434" t="s">
        <v>2365</v>
      </c>
      <c r="M434" s="3" t="s">
        <v>2300</v>
      </c>
      <c r="N434" s="3" t="s">
        <v>2255</v>
      </c>
      <c r="O434" t="s">
        <v>2310</v>
      </c>
    </row>
    <row r="435" spans="1:15" x14ac:dyDescent="0.25">
      <c r="A435" t="s">
        <v>2285</v>
      </c>
      <c r="B435" s="1" t="e">
        <v>#N/A</v>
      </c>
      <c r="C435" s="1" t="e">
        <v>#N/A</v>
      </c>
      <c r="D435" s="1" t="e">
        <v>#N/A</v>
      </c>
      <c r="E435" s="1" t="s">
        <v>2428</v>
      </c>
      <c r="F435" s="2" t="s">
        <v>2300</v>
      </c>
      <c r="G435" s="1" t="s">
        <v>2304</v>
      </c>
      <c r="H435" s="2">
        <v>5</v>
      </c>
      <c r="I435" s="3" t="s">
        <v>2318</v>
      </c>
      <c r="J435" t="s">
        <v>2365</v>
      </c>
      <c r="M435" s="3" t="s">
        <v>2300</v>
      </c>
      <c r="N435" s="3" t="s">
        <v>2255</v>
      </c>
      <c r="O435" t="s">
        <v>2310</v>
      </c>
    </row>
    <row r="436" spans="1:15" x14ac:dyDescent="0.25">
      <c r="A436" t="s">
        <v>2285</v>
      </c>
      <c r="B436" s="1" t="e">
        <v>#N/A</v>
      </c>
      <c r="C436" s="1" t="e">
        <v>#N/A</v>
      </c>
      <c r="D436" s="1" t="e">
        <v>#N/A</v>
      </c>
      <c r="E436" s="1" t="s">
        <v>2428</v>
      </c>
      <c r="F436" s="2" t="s">
        <v>2300</v>
      </c>
      <c r="G436" s="1" t="s">
        <v>2304</v>
      </c>
      <c r="H436" s="2">
        <v>5</v>
      </c>
      <c r="I436" s="3" t="s">
        <v>2315</v>
      </c>
      <c r="J436" t="s">
        <v>2365</v>
      </c>
      <c r="M436" s="3" t="s">
        <v>2300</v>
      </c>
      <c r="N436" s="3" t="s">
        <v>2255</v>
      </c>
      <c r="O436" t="s">
        <v>2310</v>
      </c>
    </row>
    <row r="437" spans="1:15" x14ac:dyDescent="0.25">
      <c r="A437" t="s">
        <v>2285</v>
      </c>
      <c r="B437" s="1" t="e">
        <v>#N/A</v>
      </c>
      <c r="C437" s="1" t="e">
        <v>#N/A</v>
      </c>
      <c r="D437" s="1" t="e">
        <v>#N/A</v>
      </c>
      <c r="E437" s="1" t="s">
        <v>2428</v>
      </c>
      <c r="F437" s="2" t="s">
        <v>2300</v>
      </c>
      <c r="G437" s="1" t="s">
        <v>2304</v>
      </c>
      <c r="H437" s="2">
        <v>5</v>
      </c>
      <c r="I437" s="3" t="s">
        <v>2317</v>
      </c>
      <c r="J437" t="s">
        <v>2365</v>
      </c>
      <c r="M437" s="3" t="s">
        <v>2300</v>
      </c>
      <c r="N437" s="3" t="s">
        <v>2255</v>
      </c>
      <c r="O437" t="s">
        <v>2310</v>
      </c>
    </row>
    <row r="438" spans="1:15" x14ac:dyDescent="0.25">
      <c r="A438" t="s">
        <v>2285</v>
      </c>
      <c r="B438" s="1" t="e">
        <v>#N/A</v>
      </c>
      <c r="C438" s="1" t="e">
        <v>#N/A</v>
      </c>
      <c r="D438" s="1" t="e">
        <v>#N/A</v>
      </c>
      <c r="E438" s="1" t="s">
        <v>2428</v>
      </c>
      <c r="F438" s="2" t="s">
        <v>2300</v>
      </c>
      <c r="G438" s="1" t="s">
        <v>2304</v>
      </c>
      <c r="H438" s="2">
        <v>5</v>
      </c>
      <c r="I438" s="3" t="s">
        <v>2338</v>
      </c>
      <c r="J438" t="s">
        <v>2365</v>
      </c>
      <c r="M438" s="3" t="s">
        <v>2300</v>
      </c>
      <c r="N438" s="3" t="s">
        <v>2255</v>
      </c>
      <c r="O438" t="s">
        <v>2310</v>
      </c>
    </row>
    <row r="439" spans="1:15" x14ac:dyDescent="0.25">
      <c r="A439" t="s">
        <v>2284</v>
      </c>
      <c r="B439" s="1" t="e">
        <v>#N/A</v>
      </c>
      <c r="C439" s="1" t="e">
        <v>#N/A</v>
      </c>
      <c r="D439" s="1" t="e">
        <v>#N/A</v>
      </c>
      <c r="E439" s="1" t="s">
        <v>2298</v>
      </c>
      <c r="F439" s="2" t="s">
        <v>2300</v>
      </c>
      <c r="G439" s="1" t="s">
        <v>2305</v>
      </c>
      <c r="H439" s="2">
        <v>5</v>
      </c>
      <c r="I439" s="3" t="s">
        <v>72</v>
      </c>
      <c r="J439" t="s">
        <v>2365</v>
      </c>
      <c r="M439" s="3" t="s">
        <v>2301</v>
      </c>
      <c r="N439" s="3" t="s">
        <v>2258</v>
      </c>
      <c r="O439" t="s">
        <v>2310</v>
      </c>
    </row>
    <row r="440" spans="1:15" x14ac:dyDescent="0.25">
      <c r="A440" t="s">
        <v>2284</v>
      </c>
      <c r="B440" s="1" t="e">
        <v>#N/A</v>
      </c>
      <c r="C440" s="1" t="e">
        <v>#N/A</v>
      </c>
      <c r="D440" s="1" t="e">
        <v>#N/A</v>
      </c>
      <c r="E440" s="1" t="s">
        <v>2298</v>
      </c>
      <c r="F440" s="2" t="s">
        <v>2300</v>
      </c>
      <c r="G440" s="1" t="s">
        <v>2304</v>
      </c>
      <c r="H440" s="2">
        <v>5</v>
      </c>
      <c r="I440" s="3" t="s">
        <v>2316</v>
      </c>
      <c r="J440" t="s">
        <v>2365</v>
      </c>
      <c r="M440" s="3" t="s">
        <v>2300</v>
      </c>
      <c r="N440" s="3" t="s">
        <v>2255</v>
      </c>
      <c r="O440" t="s">
        <v>2310</v>
      </c>
    </row>
    <row r="441" spans="1:15" x14ac:dyDescent="0.25">
      <c r="A441" t="s">
        <v>2285</v>
      </c>
      <c r="B441" s="1" t="e">
        <v>#N/A</v>
      </c>
      <c r="C441" s="1" t="e">
        <v>#N/A</v>
      </c>
      <c r="D441" s="1" t="e">
        <v>#N/A</v>
      </c>
      <c r="E441" s="1" t="s">
        <v>2428</v>
      </c>
      <c r="F441" s="2" t="s">
        <v>2300</v>
      </c>
      <c r="G441" s="1" t="s">
        <v>2304</v>
      </c>
      <c r="H441" s="2">
        <v>4</v>
      </c>
      <c r="I441" s="3" t="s">
        <v>2315</v>
      </c>
      <c r="J441" t="s">
        <v>2365</v>
      </c>
      <c r="M441" s="3" t="s">
        <v>2300</v>
      </c>
      <c r="N441" s="3" t="s">
        <v>2255</v>
      </c>
      <c r="O441" t="s">
        <v>2310</v>
      </c>
    </row>
    <row r="442" spans="1:15" x14ac:dyDescent="0.25">
      <c r="A442" t="s">
        <v>2285</v>
      </c>
      <c r="B442" s="1" t="e">
        <v>#N/A</v>
      </c>
      <c r="C442" s="1" t="e">
        <v>#N/A</v>
      </c>
      <c r="D442" s="1" t="e">
        <v>#N/A</v>
      </c>
      <c r="E442" s="1" t="s">
        <v>2428</v>
      </c>
      <c r="F442" s="2" t="s">
        <v>2300</v>
      </c>
      <c r="G442" s="1" t="s">
        <v>2304</v>
      </c>
      <c r="H442" s="2">
        <v>4</v>
      </c>
      <c r="I442" s="3" t="s">
        <v>2317</v>
      </c>
      <c r="J442" t="s">
        <v>2365</v>
      </c>
      <c r="M442" s="3" t="s">
        <v>2300</v>
      </c>
      <c r="N442" s="3" t="s">
        <v>2255</v>
      </c>
      <c r="O442" t="s">
        <v>2310</v>
      </c>
    </row>
    <row r="443" spans="1:15" x14ac:dyDescent="0.25">
      <c r="A443" t="s">
        <v>2285</v>
      </c>
      <c r="B443" s="1" t="e">
        <v>#N/A</v>
      </c>
      <c r="C443" s="1" t="e">
        <v>#N/A</v>
      </c>
      <c r="D443" s="1" t="e">
        <v>#N/A</v>
      </c>
      <c r="E443" s="1" t="s">
        <v>2428</v>
      </c>
      <c r="F443" s="2" t="s">
        <v>2300</v>
      </c>
      <c r="G443" s="1" t="s">
        <v>2303</v>
      </c>
      <c r="H443" s="2">
        <v>4</v>
      </c>
      <c r="I443" s="3" t="s">
        <v>2315</v>
      </c>
      <c r="J443" t="s">
        <v>2365</v>
      </c>
      <c r="M443" s="3" t="s">
        <v>2300</v>
      </c>
      <c r="N443" s="3" t="s">
        <v>2256</v>
      </c>
      <c r="O443" t="s">
        <v>2310</v>
      </c>
    </row>
    <row r="444" spans="1:15" x14ac:dyDescent="0.25">
      <c r="A444" t="s">
        <v>2285</v>
      </c>
      <c r="B444" s="1" t="e">
        <v>#N/A</v>
      </c>
      <c r="C444" s="1" t="e">
        <v>#N/A</v>
      </c>
      <c r="D444" s="1" t="e">
        <v>#N/A</v>
      </c>
      <c r="E444" s="1" t="s">
        <v>2428</v>
      </c>
      <c r="F444" s="2" t="s">
        <v>2300</v>
      </c>
      <c r="G444" s="1" t="s">
        <v>2304</v>
      </c>
      <c r="H444" s="2">
        <v>4</v>
      </c>
      <c r="I444" s="3" t="s">
        <v>2316</v>
      </c>
      <c r="J444" t="s">
        <v>2365</v>
      </c>
      <c r="M444" s="3" t="s">
        <v>2300</v>
      </c>
      <c r="N444" s="3" t="s">
        <v>2255</v>
      </c>
      <c r="O444" t="s">
        <v>2310</v>
      </c>
    </row>
    <row r="445" spans="1:15" x14ac:dyDescent="0.25">
      <c r="A445" t="s">
        <v>2285</v>
      </c>
      <c r="B445" s="1" t="e">
        <v>#N/A</v>
      </c>
      <c r="C445" s="1" t="e">
        <v>#N/A</v>
      </c>
      <c r="D445" s="1" t="e">
        <v>#N/A</v>
      </c>
      <c r="E445" s="1" t="s">
        <v>2428</v>
      </c>
      <c r="F445" s="2" t="s">
        <v>2300</v>
      </c>
      <c r="G445" s="1" t="s">
        <v>2303</v>
      </c>
      <c r="H445" s="2">
        <v>4</v>
      </c>
      <c r="I445" s="3" t="s">
        <v>2329</v>
      </c>
      <c r="J445" t="s">
        <v>2365</v>
      </c>
      <c r="M445" s="3" t="s">
        <v>2300</v>
      </c>
      <c r="N445" s="3" t="s">
        <v>2256</v>
      </c>
      <c r="O445" t="s">
        <v>2310</v>
      </c>
    </row>
    <row r="446" spans="1:15" x14ac:dyDescent="0.25">
      <c r="A446" t="s">
        <v>2285</v>
      </c>
      <c r="B446" s="1" t="e">
        <v>#N/A</v>
      </c>
      <c r="C446" s="1" t="e">
        <v>#N/A</v>
      </c>
      <c r="D446" s="1" t="e">
        <v>#N/A</v>
      </c>
      <c r="E446" s="1" t="s">
        <v>2428</v>
      </c>
      <c r="F446" s="2" t="s">
        <v>2300</v>
      </c>
      <c r="G446" s="1" t="s">
        <v>2304</v>
      </c>
      <c r="H446" s="2">
        <v>4</v>
      </c>
      <c r="I446" s="3" t="s">
        <v>2317</v>
      </c>
      <c r="J446" t="s">
        <v>2365</v>
      </c>
      <c r="M446" s="3" t="s">
        <v>2300</v>
      </c>
      <c r="N446" s="3" t="s">
        <v>2255</v>
      </c>
      <c r="O446" t="s">
        <v>2310</v>
      </c>
    </row>
    <row r="447" spans="1:15" x14ac:dyDescent="0.25">
      <c r="A447" t="s">
        <v>2285</v>
      </c>
      <c r="B447" s="1" t="e">
        <v>#N/A</v>
      </c>
      <c r="C447" s="1" t="e">
        <v>#N/A</v>
      </c>
      <c r="D447" s="1" t="e">
        <v>#N/A</v>
      </c>
      <c r="E447" s="1" t="s">
        <v>2428</v>
      </c>
      <c r="F447" s="2" t="s">
        <v>2300</v>
      </c>
      <c r="G447" s="1" t="s">
        <v>2304</v>
      </c>
      <c r="H447" s="2">
        <v>4</v>
      </c>
      <c r="I447" s="3" t="s">
        <v>2333</v>
      </c>
      <c r="J447" t="s">
        <v>2365</v>
      </c>
      <c r="M447" s="3" t="s">
        <v>2300</v>
      </c>
      <c r="N447" s="3" t="s">
        <v>2255</v>
      </c>
      <c r="O447" t="s">
        <v>2310</v>
      </c>
    </row>
    <row r="448" spans="1:15" x14ac:dyDescent="0.25">
      <c r="A448" t="s">
        <v>2285</v>
      </c>
      <c r="B448" s="1" t="e">
        <v>#N/A</v>
      </c>
      <c r="C448" s="1" t="e">
        <v>#N/A</v>
      </c>
      <c r="D448" s="1" t="e">
        <v>#N/A</v>
      </c>
      <c r="E448" s="1" t="s">
        <v>2428</v>
      </c>
      <c r="F448" s="2" t="s">
        <v>2300</v>
      </c>
      <c r="G448" s="1" t="s">
        <v>2305</v>
      </c>
      <c r="H448" s="2">
        <v>4</v>
      </c>
      <c r="I448" s="3" t="s">
        <v>2315</v>
      </c>
      <c r="J448" t="s">
        <v>2365</v>
      </c>
      <c r="M448" s="3" t="s">
        <v>2300</v>
      </c>
      <c r="N448" s="3" t="s">
        <v>2258</v>
      </c>
      <c r="O448" t="s">
        <v>2310</v>
      </c>
    </row>
    <row r="449" spans="1:15" x14ac:dyDescent="0.25">
      <c r="A449" t="s">
        <v>2285</v>
      </c>
      <c r="B449" s="1" t="e">
        <v>#N/A</v>
      </c>
      <c r="C449" s="1" t="e">
        <v>#N/A</v>
      </c>
      <c r="D449" s="1" t="e">
        <v>#N/A</v>
      </c>
      <c r="E449" s="1" t="s">
        <v>2428</v>
      </c>
      <c r="F449" s="2" t="s">
        <v>2300</v>
      </c>
      <c r="G449" s="1" t="s">
        <v>2304</v>
      </c>
      <c r="H449" s="2">
        <v>4</v>
      </c>
      <c r="I449" s="3" t="s">
        <v>12</v>
      </c>
      <c r="J449" t="s">
        <v>2365</v>
      </c>
      <c r="M449" s="3" t="s">
        <v>2300</v>
      </c>
      <c r="N449" s="3" t="s">
        <v>2255</v>
      </c>
      <c r="O449" t="s">
        <v>2310</v>
      </c>
    </row>
    <row r="450" spans="1:15" x14ac:dyDescent="0.25">
      <c r="A450" t="s">
        <v>2285</v>
      </c>
      <c r="B450" s="1" t="e">
        <v>#N/A</v>
      </c>
      <c r="C450" s="1" t="e">
        <v>#N/A</v>
      </c>
      <c r="D450" s="1" t="e">
        <v>#N/A</v>
      </c>
      <c r="E450" s="1" t="s">
        <v>2428</v>
      </c>
      <c r="F450" s="2" t="s">
        <v>2300</v>
      </c>
      <c r="G450" s="1" t="s">
        <v>2303</v>
      </c>
      <c r="H450" s="2">
        <v>4</v>
      </c>
      <c r="I450" s="3" t="s">
        <v>1</v>
      </c>
      <c r="J450" t="s">
        <v>2365</v>
      </c>
      <c r="M450" s="3" t="s">
        <v>2301</v>
      </c>
      <c r="N450" s="3" t="s">
        <v>2256</v>
      </c>
      <c r="O450" t="s">
        <v>2310</v>
      </c>
    </row>
    <row r="451" spans="1:15" x14ac:dyDescent="0.25">
      <c r="A451" t="s">
        <v>2285</v>
      </c>
      <c r="B451" s="1" t="e">
        <v>#N/A</v>
      </c>
      <c r="C451" s="1" t="e">
        <v>#N/A</v>
      </c>
      <c r="D451" s="1" t="e">
        <v>#N/A</v>
      </c>
      <c r="E451" s="1" t="s">
        <v>2428</v>
      </c>
      <c r="F451" s="2" t="s">
        <v>2300</v>
      </c>
      <c r="G451" s="1" t="s">
        <v>2304</v>
      </c>
      <c r="H451" s="2">
        <v>4</v>
      </c>
      <c r="I451" s="3" t="s">
        <v>2317</v>
      </c>
      <c r="J451" t="s">
        <v>2365</v>
      </c>
      <c r="M451" s="3" t="s">
        <v>2300</v>
      </c>
      <c r="N451" s="3" t="s">
        <v>2255</v>
      </c>
      <c r="O451" t="s">
        <v>2310</v>
      </c>
    </row>
    <row r="452" spans="1:15" x14ac:dyDescent="0.25">
      <c r="A452" t="s">
        <v>2285</v>
      </c>
      <c r="B452" s="1" t="e">
        <v>#N/A</v>
      </c>
      <c r="C452" s="1" t="e">
        <v>#N/A</v>
      </c>
      <c r="D452" s="1" t="e">
        <v>#N/A</v>
      </c>
      <c r="E452" s="1" t="s">
        <v>2428</v>
      </c>
      <c r="F452" s="2" t="s">
        <v>2300</v>
      </c>
      <c r="G452" s="1" t="s">
        <v>2304</v>
      </c>
      <c r="H452" s="2">
        <v>4</v>
      </c>
      <c r="I452" s="3" t="s">
        <v>1</v>
      </c>
      <c r="J452" t="s">
        <v>2365</v>
      </c>
      <c r="M452" s="3" t="s">
        <v>2301</v>
      </c>
      <c r="N452" s="3" t="s">
        <v>2255</v>
      </c>
      <c r="O452" t="s">
        <v>2310</v>
      </c>
    </row>
    <row r="453" spans="1:15" x14ac:dyDescent="0.25">
      <c r="A453" t="s">
        <v>2285</v>
      </c>
      <c r="B453" s="1" t="e">
        <v>#N/A</v>
      </c>
      <c r="C453" s="1" t="e">
        <v>#N/A</v>
      </c>
      <c r="D453" s="1" t="e">
        <v>#N/A</v>
      </c>
      <c r="E453" s="1" t="s">
        <v>2428</v>
      </c>
      <c r="F453" s="2" t="s">
        <v>2300</v>
      </c>
      <c r="G453" s="1" t="s">
        <v>2304</v>
      </c>
      <c r="H453" s="2">
        <v>4</v>
      </c>
      <c r="I453" s="3" t="s">
        <v>2317</v>
      </c>
      <c r="J453" t="s">
        <v>2365</v>
      </c>
      <c r="M453" s="3" t="s">
        <v>2300</v>
      </c>
      <c r="N453" s="3" t="s">
        <v>2255</v>
      </c>
      <c r="O453" t="s">
        <v>2310</v>
      </c>
    </row>
    <row r="454" spans="1:15" x14ac:dyDescent="0.25">
      <c r="A454" t="s">
        <v>2285</v>
      </c>
      <c r="B454" s="1" t="e">
        <v>#N/A</v>
      </c>
      <c r="C454" s="1" t="e">
        <v>#N/A</v>
      </c>
      <c r="D454" s="1" t="e">
        <v>#N/A</v>
      </c>
      <c r="E454" s="1" t="s">
        <v>2428</v>
      </c>
      <c r="F454" s="2" t="s">
        <v>2300</v>
      </c>
      <c r="G454" s="1" t="s">
        <v>2305</v>
      </c>
      <c r="H454" s="2">
        <v>4</v>
      </c>
      <c r="I454" s="3" t="s">
        <v>2316</v>
      </c>
      <c r="J454" t="s">
        <v>2365</v>
      </c>
      <c r="M454" s="3" t="s">
        <v>2300</v>
      </c>
      <c r="N454" s="3" t="s">
        <v>2257</v>
      </c>
      <c r="O454" t="s">
        <v>2310</v>
      </c>
    </row>
    <row r="455" spans="1:15" x14ac:dyDescent="0.25">
      <c r="A455" t="s">
        <v>2284</v>
      </c>
      <c r="B455" s="1" t="e">
        <v>#N/A</v>
      </c>
      <c r="C455" s="1" t="e">
        <v>#N/A</v>
      </c>
      <c r="D455" s="1" t="e">
        <v>#N/A</v>
      </c>
      <c r="E455" s="1" t="s">
        <v>2298</v>
      </c>
      <c r="F455" s="2" t="s">
        <v>2300</v>
      </c>
      <c r="G455" s="1" t="s">
        <v>2304</v>
      </c>
      <c r="H455" s="2">
        <v>4</v>
      </c>
      <c r="I455" s="3" t="s">
        <v>2313</v>
      </c>
      <c r="J455" t="s">
        <v>2365</v>
      </c>
      <c r="M455" s="3" t="s">
        <v>2300</v>
      </c>
      <c r="N455" s="3" t="s">
        <v>2255</v>
      </c>
      <c r="O455" t="s">
        <v>2310</v>
      </c>
    </row>
    <row r="456" spans="1:15" x14ac:dyDescent="0.25">
      <c r="A456" t="s">
        <v>2285</v>
      </c>
      <c r="B456" s="1" t="e">
        <v>#N/A</v>
      </c>
      <c r="C456" s="1" t="e">
        <v>#N/A</v>
      </c>
      <c r="D456" s="1" t="e">
        <v>#N/A</v>
      </c>
      <c r="E456" s="1" t="s">
        <v>2428</v>
      </c>
      <c r="F456" s="2" t="s">
        <v>2300</v>
      </c>
      <c r="G456" s="1" t="s">
        <v>2304</v>
      </c>
      <c r="H456" s="2">
        <v>4</v>
      </c>
      <c r="I456" s="3" t="s">
        <v>2317</v>
      </c>
      <c r="J456" t="s">
        <v>2365</v>
      </c>
      <c r="M456" s="3" t="s">
        <v>2300</v>
      </c>
      <c r="N456" s="3" t="s">
        <v>2255</v>
      </c>
      <c r="O456" t="s">
        <v>2310</v>
      </c>
    </row>
    <row r="457" spans="1:15" x14ac:dyDescent="0.25">
      <c r="A457" t="s">
        <v>2285</v>
      </c>
      <c r="B457" s="1" t="e">
        <v>#N/A</v>
      </c>
      <c r="C457" s="1" t="e">
        <v>#N/A</v>
      </c>
      <c r="D457" s="1" t="e">
        <v>#N/A</v>
      </c>
      <c r="E457" s="1" t="s">
        <v>2428</v>
      </c>
      <c r="F457" s="2" t="s">
        <v>2300</v>
      </c>
      <c r="G457" s="1" t="s">
        <v>2304</v>
      </c>
      <c r="H457" s="2">
        <v>4</v>
      </c>
      <c r="I457" s="3" t="s">
        <v>2317</v>
      </c>
      <c r="J457" t="s">
        <v>2365</v>
      </c>
      <c r="M457" s="3" t="s">
        <v>2300</v>
      </c>
      <c r="N457" s="3" t="s">
        <v>2255</v>
      </c>
      <c r="O457" t="s">
        <v>2310</v>
      </c>
    </row>
    <row r="458" spans="1:15" x14ac:dyDescent="0.25">
      <c r="A458" t="s">
        <v>2285</v>
      </c>
      <c r="B458" s="1" t="e">
        <v>#N/A</v>
      </c>
      <c r="C458" s="1" t="e">
        <v>#N/A</v>
      </c>
      <c r="D458" s="1" t="e">
        <v>#N/A</v>
      </c>
      <c r="E458" s="1" t="s">
        <v>2428</v>
      </c>
      <c r="F458" s="2" t="s">
        <v>2300</v>
      </c>
      <c r="G458" s="1" t="s">
        <v>2304</v>
      </c>
      <c r="H458" s="2">
        <v>4</v>
      </c>
      <c r="I458" s="3" t="s">
        <v>2333</v>
      </c>
      <c r="J458" t="s">
        <v>2365</v>
      </c>
      <c r="M458" s="3" t="s">
        <v>2300</v>
      </c>
      <c r="N458" s="3" t="s">
        <v>2255</v>
      </c>
      <c r="O458" t="s">
        <v>2310</v>
      </c>
    </row>
    <row r="459" spans="1:15" x14ac:dyDescent="0.25">
      <c r="A459" t="s">
        <v>2285</v>
      </c>
      <c r="B459" s="1" t="e">
        <v>#N/A</v>
      </c>
      <c r="C459" s="1" t="e">
        <v>#N/A</v>
      </c>
      <c r="D459" s="1" t="e">
        <v>#N/A</v>
      </c>
      <c r="E459" s="1" t="s">
        <v>2428</v>
      </c>
      <c r="F459" s="2" t="s">
        <v>2300</v>
      </c>
      <c r="G459" s="1" t="s">
        <v>2304</v>
      </c>
      <c r="H459" s="2">
        <v>4</v>
      </c>
      <c r="I459" s="3" t="s">
        <v>6</v>
      </c>
      <c r="J459" t="s">
        <v>2365</v>
      </c>
      <c r="M459" s="3" t="s">
        <v>2300</v>
      </c>
      <c r="N459" s="3" t="s">
        <v>2255</v>
      </c>
      <c r="O459" t="s">
        <v>2310</v>
      </c>
    </row>
    <row r="460" spans="1:15" x14ac:dyDescent="0.25">
      <c r="A460" t="s">
        <v>2285</v>
      </c>
      <c r="B460" s="1" t="e">
        <v>#N/A</v>
      </c>
      <c r="C460" s="1" t="e">
        <v>#N/A</v>
      </c>
      <c r="D460" s="1" t="e">
        <v>#N/A</v>
      </c>
      <c r="E460" s="1" t="s">
        <v>2428</v>
      </c>
      <c r="F460" s="2" t="s">
        <v>2300</v>
      </c>
      <c r="G460" s="1" t="s">
        <v>2304</v>
      </c>
      <c r="H460" s="2">
        <v>4</v>
      </c>
      <c r="I460" s="3" t="s">
        <v>2329</v>
      </c>
      <c r="J460" t="s">
        <v>2365</v>
      </c>
      <c r="M460" s="3" t="s">
        <v>2300</v>
      </c>
      <c r="N460" s="3" t="s">
        <v>2255</v>
      </c>
      <c r="O460" t="s">
        <v>2310</v>
      </c>
    </row>
    <row r="461" spans="1:15" x14ac:dyDescent="0.25">
      <c r="A461" t="s">
        <v>2284</v>
      </c>
      <c r="B461" s="1" t="e">
        <v>#N/A</v>
      </c>
      <c r="C461" s="1" t="e">
        <v>#N/A</v>
      </c>
      <c r="D461" s="1" t="e">
        <v>#N/A</v>
      </c>
      <c r="E461" s="1" t="s">
        <v>2298</v>
      </c>
      <c r="F461" s="2" t="s">
        <v>2300</v>
      </c>
      <c r="G461" s="1" t="s">
        <v>2304</v>
      </c>
      <c r="H461" s="2">
        <v>4</v>
      </c>
      <c r="I461" s="3" t="s">
        <v>2423</v>
      </c>
      <c r="J461" t="s">
        <v>2365</v>
      </c>
      <c r="M461" s="3" t="s">
        <v>2300</v>
      </c>
      <c r="N461" s="3" t="s">
        <v>2255</v>
      </c>
      <c r="O461" t="s">
        <v>2310</v>
      </c>
    </row>
    <row r="462" spans="1:15" x14ac:dyDescent="0.25">
      <c r="A462" t="s">
        <v>2285</v>
      </c>
      <c r="B462" s="1" t="e">
        <v>#N/A</v>
      </c>
      <c r="C462" s="1" t="e">
        <v>#N/A</v>
      </c>
      <c r="D462" s="1" t="e">
        <v>#N/A</v>
      </c>
      <c r="E462" s="1" t="s">
        <v>2428</v>
      </c>
      <c r="F462" s="2" t="s">
        <v>2300</v>
      </c>
      <c r="G462" s="1" t="s">
        <v>2304</v>
      </c>
      <c r="H462" s="2">
        <v>3</v>
      </c>
      <c r="I462" s="3" t="s">
        <v>2317</v>
      </c>
      <c r="J462" t="s">
        <v>2365</v>
      </c>
      <c r="M462" s="3" t="s">
        <v>2300</v>
      </c>
      <c r="N462" s="3" t="s">
        <v>2255</v>
      </c>
      <c r="O462" t="s">
        <v>2310</v>
      </c>
    </row>
    <row r="463" spans="1:15" x14ac:dyDescent="0.25">
      <c r="A463" t="s">
        <v>2285</v>
      </c>
      <c r="B463" s="1" t="e">
        <v>#N/A</v>
      </c>
      <c r="C463" s="1" t="e">
        <v>#N/A</v>
      </c>
      <c r="D463" s="1" t="e">
        <v>#N/A</v>
      </c>
      <c r="E463" s="1" t="s">
        <v>2298</v>
      </c>
      <c r="F463" s="2" t="s">
        <v>2300</v>
      </c>
      <c r="G463" s="1" t="s">
        <v>2304</v>
      </c>
      <c r="H463" s="2">
        <v>3</v>
      </c>
      <c r="I463" s="3" t="s">
        <v>19</v>
      </c>
      <c r="J463" t="s">
        <v>2365</v>
      </c>
      <c r="M463" s="3" t="s">
        <v>2300</v>
      </c>
      <c r="N463" s="3" t="s">
        <v>2255</v>
      </c>
      <c r="O463" t="s">
        <v>2310</v>
      </c>
    </row>
    <row r="464" spans="1:15" x14ac:dyDescent="0.25">
      <c r="A464" t="s">
        <v>2285</v>
      </c>
      <c r="B464" s="1" t="e">
        <v>#N/A</v>
      </c>
      <c r="C464" s="1" t="e">
        <v>#N/A</v>
      </c>
      <c r="D464" s="1" t="e">
        <v>#N/A</v>
      </c>
      <c r="E464" s="1" t="s">
        <v>2428</v>
      </c>
      <c r="F464" s="2" t="s">
        <v>2300</v>
      </c>
      <c r="G464" s="1" t="s">
        <v>2304</v>
      </c>
      <c r="H464" s="2">
        <v>3</v>
      </c>
      <c r="I464" s="3" t="s">
        <v>2317</v>
      </c>
      <c r="J464" t="s">
        <v>2365</v>
      </c>
      <c r="M464" s="3" t="s">
        <v>2300</v>
      </c>
      <c r="N464" s="3" t="s">
        <v>2255</v>
      </c>
      <c r="O464" t="s">
        <v>2310</v>
      </c>
    </row>
    <row r="465" spans="1:15" x14ac:dyDescent="0.25">
      <c r="A465" t="s">
        <v>2284</v>
      </c>
      <c r="B465" s="1" t="e">
        <v>#N/A</v>
      </c>
      <c r="C465" s="1" t="e">
        <v>#N/A</v>
      </c>
      <c r="D465" s="1" t="e">
        <v>#N/A</v>
      </c>
      <c r="E465" s="1" t="s">
        <v>2298</v>
      </c>
      <c r="F465" s="2" t="s">
        <v>2300</v>
      </c>
      <c r="G465" s="1" t="s">
        <v>2304</v>
      </c>
      <c r="H465" s="2">
        <v>3</v>
      </c>
      <c r="I465" s="3" t="s">
        <v>2317</v>
      </c>
      <c r="J465" t="s">
        <v>2365</v>
      </c>
      <c r="M465" s="3" t="s">
        <v>2301</v>
      </c>
      <c r="N465" s="3" t="s">
        <v>2255</v>
      </c>
      <c r="O465" t="s">
        <v>2310</v>
      </c>
    </row>
    <row r="466" spans="1:15" x14ac:dyDescent="0.25">
      <c r="A466" t="s">
        <v>2284</v>
      </c>
      <c r="B466" s="1" t="e">
        <v>#N/A</v>
      </c>
      <c r="C466" s="1" t="e">
        <v>#N/A</v>
      </c>
      <c r="D466" s="1" t="e">
        <v>#N/A</v>
      </c>
      <c r="E466" s="1" t="s">
        <v>2298</v>
      </c>
      <c r="F466" s="2" t="s">
        <v>2300</v>
      </c>
      <c r="G466" s="1" t="s">
        <v>2304</v>
      </c>
      <c r="H466" s="2">
        <v>3</v>
      </c>
      <c r="I466" s="3" t="s">
        <v>2429</v>
      </c>
      <c r="J466" t="s">
        <v>2365</v>
      </c>
      <c r="M466" s="3" t="s">
        <v>2300</v>
      </c>
      <c r="N466" s="3" t="s">
        <v>2255</v>
      </c>
      <c r="O466" t="s">
        <v>2310</v>
      </c>
    </row>
    <row r="467" spans="1:15" x14ac:dyDescent="0.25">
      <c r="A467" t="s">
        <v>2285</v>
      </c>
      <c r="B467" s="1" t="e">
        <v>#N/A</v>
      </c>
      <c r="C467" s="1" t="e">
        <v>#N/A</v>
      </c>
      <c r="D467" s="1" t="e">
        <v>#N/A</v>
      </c>
      <c r="E467" s="1" t="s">
        <v>2428</v>
      </c>
      <c r="F467" s="2" t="s">
        <v>2300</v>
      </c>
      <c r="G467" s="1" t="s">
        <v>2304</v>
      </c>
      <c r="H467" s="2">
        <v>3</v>
      </c>
      <c r="I467" s="3" t="s">
        <v>72</v>
      </c>
      <c r="J467" t="s">
        <v>2365</v>
      </c>
      <c r="M467" s="3" t="s">
        <v>2300</v>
      </c>
      <c r="N467" s="3" t="s">
        <v>2255</v>
      </c>
      <c r="O467" t="s">
        <v>2310</v>
      </c>
    </row>
    <row r="468" spans="1:15" x14ac:dyDescent="0.25">
      <c r="A468" t="s">
        <v>2285</v>
      </c>
      <c r="B468" s="1" t="e">
        <v>#N/A</v>
      </c>
      <c r="C468" s="1" t="e">
        <v>#N/A</v>
      </c>
      <c r="D468" s="1" t="e">
        <v>#N/A</v>
      </c>
      <c r="E468" s="1" t="s">
        <v>2428</v>
      </c>
      <c r="F468" s="2" t="s">
        <v>2300</v>
      </c>
      <c r="G468" s="1" t="s">
        <v>2304</v>
      </c>
      <c r="H468" s="2">
        <v>3</v>
      </c>
      <c r="I468" s="3" t="s">
        <v>41</v>
      </c>
      <c r="J468" t="s">
        <v>2365</v>
      </c>
      <c r="M468" s="3" t="s">
        <v>2300</v>
      </c>
      <c r="N468" s="3" t="s">
        <v>2255</v>
      </c>
      <c r="O468" t="s">
        <v>2310</v>
      </c>
    </row>
    <row r="469" spans="1:15" x14ac:dyDescent="0.25">
      <c r="A469" t="s">
        <v>2285</v>
      </c>
      <c r="B469" s="1" t="e">
        <v>#N/A</v>
      </c>
      <c r="C469" s="1" t="e">
        <v>#N/A</v>
      </c>
      <c r="D469" s="1" t="e">
        <v>#N/A</v>
      </c>
      <c r="E469" s="1" t="s">
        <v>2428</v>
      </c>
      <c r="F469" s="2" t="s">
        <v>2300</v>
      </c>
      <c r="G469" s="1" t="s">
        <v>2304</v>
      </c>
      <c r="H469" s="2">
        <v>3</v>
      </c>
      <c r="I469" s="3" t="s">
        <v>2424</v>
      </c>
      <c r="J469" t="s">
        <v>2365</v>
      </c>
      <c r="M469" s="3" t="s">
        <v>2300</v>
      </c>
      <c r="N469" s="3" t="s">
        <v>2255</v>
      </c>
      <c r="O469" t="s">
        <v>2310</v>
      </c>
    </row>
    <row r="470" spans="1:15" x14ac:dyDescent="0.25">
      <c r="A470" t="s">
        <v>2285</v>
      </c>
      <c r="B470" s="1" t="e">
        <v>#N/A</v>
      </c>
      <c r="C470" s="1" t="e">
        <v>#N/A</v>
      </c>
      <c r="D470" s="1" t="e">
        <v>#N/A</v>
      </c>
      <c r="E470" s="1" t="s">
        <v>2428</v>
      </c>
      <c r="F470" s="2" t="s">
        <v>2300</v>
      </c>
      <c r="G470" s="1" t="s">
        <v>2304</v>
      </c>
      <c r="H470" s="2">
        <v>3</v>
      </c>
      <c r="I470" s="3" t="s">
        <v>2317</v>
      </c>
      <c r="J470" t="s">
        <v>2365</v>
      </c>
      <c r="M470" s="3" t="s">
        <v>2300</v>
      </c>
      <c r="N470" s="3" t="s">
        <v>2255</v>
      </c>
      <c r="O470" t="s">
        <v>2310</v>
      </c>
    </row>
    <row r="471" spans="1:15" x14ac:dyDescent="0.25">
      <c r="A471" t="s">
        <v>2285</v>
      </c>
      <c r="B471" s="1" t="e">
        <v>#N/A</v>
      </c>
      <c r="C471" s="1" t="e">
        <v>#N/A</v>
      </c>
      <c r="D471" s="1" t="e">
        <v>#N/A</v>
      </c>
      <c r="E471" s="1" t="s">
        <v>2428</v>
      </c>
      <c r="F471" s="2" t="s">
        <v>2300</v>
      </c>
      <c r="G471" s="1" t="s">
        <v>2304</v>
      </c>
      <c r="H471" s="2">
        <v>3</v>
      </c>
      <c r="I471" s="3" t="s">
        <v>2317</v>
      </c>
      <c r="J471" t="s">
        <v>2365</v>
      </c>
      <c r="M471" s="3" t="s">
        <v>2300</v>
      </c>
      <c r="N471" s="3" t="s">
        <v>2255</v>
      </c>
      <c r="O471" t="s">
        <v>2310</v>
      </c>
    </row>
    <row r="472" spans="1:15" x14ac:dyDescent="0.25">
      <c r="A472" t="s">
        <v>2285</v>
      </c>
      <c r="B472" s="1" t="e">
        <v>#N/A</v>
      </c>
      <c r="C472" s="1" t="e">
        <v>#N/A</v>
      </c>
      <c r="D472" s="1" t="e">
        <v>#N/A</v>
      </c>
      <c r="E472" s="1" t="s">
        <v>2428</v>
      </c>
      <c r="F472" s="2" t="s">
        <v>2300</v>
      </c>
      <c r="G472" s="1" t="s">
        <v>2304</v>
      </c>
      <c r="H472" s="2">
        <v>3</v>
      </c>
      <c r="I472" s="3" t="s">
        <v>2317</v>
      </c>
      <c r="J472" t="s">
        <v>2365</v>
      </c>
      <c r="M472" s="3" t="s">
        <v>2300</v>
      </c>
      <c r="N472" s="3" t="s">
        <v>2255</v>
      </c>
      <c r="O472" t="s">
        <v>2310</v>
      </c>
    </row>
    <row r="473" spans="1:15" x14ac:dyDescent="0.25">
      <c r="A473" t="s">
        <v>2285</v>
      </c>
      <c r="B473" s="1" t="e">
        <v>#N/A</v>
      </c>
      <c r="C473" s="1" t="e">
        <v>#N/A</v>
      </c>
      <c r="D473" s="1" t="e">
        <v>#N/A</v>
      </c>
      <c r="E473" s="1" t="s">
        <v>2428</v>
      </c>
      <c r="F473" s="2" t="s">
        <v>2300</v>
      </c>
      <c r="G473" s="1" t="s">
        <v>2303</v>
      </c>
      <c r="H473" s="2">
        <v>3</v>
      </c>
      <c r="I473" s="3" t="s">
        <v>2321</v>
      </c>
      <c r="J473" t="s">
        <v>2365</v>
      </c>
      <c r="M473" s="3" t="s">
        <v>2300</v>
      </c>
      <c r="N473" s="3" t="s">
        <v>2256</v>
      </c>
      <c r="O473" t="s">
        <v>2310</v>
      </c>
    </row>
  </sheetData>
  <autoFilter ref="A1:O473" xr:uid="{2A1FF057-4764-4FD7-89FE-8A410ABFD659}"/>
  <conditionalFormatting sqref="A1:A473">
    <cfRule type="cellIs" dxfId="1385" priority="146" operator="equal">
      <formula>"Mare"</formula>
    </cfRule>
    <cfRule type="cellIs" dxfId="1384" priority="147" operator="equal">
      <formula>"Axel"</formula>
    </cfRule>
    <cfRule type="cellIs" dxfId="1383" priority="148" operator="equal">
      <formula>"Christian"</formula>
    </cfRule>
    <cfRule type="cellIs" dxfId="1382" priority="149" operator="equal">
      <formula>"Farid"</formula>
    </cfRule>
    <cfRule type="cellIs" dxfId="1381" priority="150" stopIfTrue="1" operator="equal">
      <formula>"Alex"</formula>
    </cfRule>
    <cfRule type="cellIs" dxfId="1380" priority="151" operator="equal">
      <formula>"Gaby"</formula>
    </cfRule>
    <cfRule type="cellIs" dxfId="1379" priority="152" operator="equal">
      <formula>"Randall"</formula>
    </cfRule>
    <cfRule type="cellIs" dxfId="1378" priority="153" operator="equal">
      <formula>"Johan"</formula>
    </cfRule>
    <cfRule type="cellIs" dxfId="1377" priority="154" operator="equal">
      <formula>"Eva"</formula>
    </cfRule>
    <cfRule type="cellIs" dxfId="1376" priority="155" operator="equal">
      <formula>"Ronald"</formula>
    </cfRule>
  </conditionalFormatting>
  <conditionalFormatting sqref="B1:B473">
    <cfRule type="cellIs" dxfId="1375" priority="134" operator="equal">
      <formula>"Mare"</formula>
    </cfRule>
    <cfRule type="cellIs" dxfId="1374" priority="135" operator="equal">
      <formula>"Axel"</formula>
    </cfRule>
    <cfRule type="cellIs" dxfId="1373" priority="136" operator="equal">
      <formula>"Christian"</formula>
    </cfRule>
    <cfRule type="cellIs" dxfId="1372" priority="137" operator="equal">
      <formula>"Farid"</formula>
    </cfRule>
    <cfRule type="cellIs" dxfId="1371" priority="138" stopIfTrue="1" operator="equal">
      <formula>"Alex"</formula>
    </cfRule>
    <cfRule type="cellIs" dxfId="1370" priority="139" operator="equal">
      <formula>"Gaby"</formula>
    </cfRule>
    <cfRule type="cellIs" dxfId="1369" priority="140" operator="equal">
      <formula>"Randall"</formula>
    </cfRule>
    <cfRule type="cellIs" dxfId="1368" priority="141" operator="equal">
      <formula>"Johan"</formula>
    </cfRule>
    <cfRule type="cellIs" dxfId="1367" priority="142" operator="equal">
      <formula>"Eva"</formula>
    </cfRule>
    <cfRule type="cellIs" dxfId="1366" priority="143" operator="equal">
      <formula>"Ronald"</formula>
    </cfRule>
  </conditionalFormatting>
  <conditionalFormatting sqref="B1:B473">
    <cfRule type="cellIs" dxfId="1365" priority="144" operator="equal">
      <formula>"Maria"</formula>
    </cfRule>
    <cfRule type="cellIs" dxfId="1364" priority="145" operator="equal">
      <formula>"Jason"</formula>
    </cfRule>
  </conditionalFormatting>
  <conditionalFormatting sqref="B2:B473">
    <cfRule type="cellIs" dxfId="1363" priority="131" operator="equal">
      <formula>"Jose"</formula>
    </cfRule>
  </conditionalFormatting>
  <conditionalFormatting sqref="B2:B473">
    <cfRule type="cellIs" dxfId="1362" priority="132" operator="equal">
      <formula>"David"</formula>
    </cfRule>
    <cfRule type="cellIs" dxfId="1361" priority="133" stopIfTrue="1" operator="equal">
      <formula>"Jenny"</formula>
    </cfRule>
  </conditionalFormatting>
  <conditionalFormatting sqref="C1:C473">
    <cfRule type="cellIs" dxfId="1360" priority="118" operator="equal">
      <formula>"Mare"</formula>
    </cfRule>
    <cfRule type="cellIs" dxfId="1359" priority="119" operator="equal">
      <formula>"Axel"</formula>
    </cfRule>
    <cfRule type="cellIs" dxfId="1358" priority="120" operator="equal">
      <formula>"Christian"</formula>
    </cfRule>
    <cfRule type="cellIs" dxfId="1357" priority="121" operator="equal">
      <formula>"Farid"</formula>
    </cfRule>
    <cfRule type="cellIs" dxfId="1356" priority="123" stopIfTrue="1" operator="equal">
      <formula>"Alex"</formula>
    </cfRule>
    <cfRule type="cellIs" dxfId="1355" priority="124" operator="equal">
      <formula>"Gaby"</formula>
    </cfRule>
    <cfRule type="cellIs" dxfId="1354" priority="125" operator="equal">
      <formula>"Randall"</formula>
    </cfRule>
    <cfRule type="cellIs" dxfId="1353" priority="126" operator="equal">
      <formula>"Johan"</formula>
    </cfRule>
    <cfRule type="cellIs" dxfId="1352" priority="127" operator="equal">
      <formula>"Eva"</formula>
    </cfRule>
    <cfRule type="cellIs" dxfId="1351" priority="128" operator="equal">
      <formula>"Ronald"</formula>
    </cfRule>
  </conditionalFormatting>
  <conditionalFormatting sqref="C1:C473">
    <cfRule type="cellIs" dxfId="1350" priority="122" stopIfTrue="1" operator="equal">
      <formula>"Approved"</formula>
    </cfRule>
    <cfRule type="cellIs" dxfId="1349" priority="129" operator="equal">
      <formula>"Done"</formula>
    </cfRule>
    <cfRule type="cellIs" dxfId="1348" priority="130" operator="equal">
      <formula>"Pending Review"</formula>
    </cfRule>
  </conditionalFormatting>
  <conditionalFormatting sqref="C2:C473">
    <cfRule type="containsText" dxfId="1347" priority="117" operator="containsText" text="Pending Info">
      <formula>NOT(ISERROR(SEARCH("Pending Info",C2)))</formula>
    </cfRule>
  </conditionalFormatting>
  <conditionalFormatting sqref="D1:D473">
    <cfRule type="cellIs" dxfId="1346" priority="107" operator="equal">
      <formula>"Mare"</formula>
    </cfRule>
    <cfRule type="cellIs" dxfId="1345" priority="108" operator="equal">
      <formula>"Axel"</formula>
    </cfRule>
    <cfRule type="cellIs" dxfId="1344" priority="109" operator="equal">
      <formula>"Christian"</formula>
    </cfRule>
    <cfRule type="cellIs" dxfId="1343" priority="110" operator="equal">
      <formula>"Farid"</formula>
    </cfRule>
    <cfRule type="cellIs" dxfId="1342" priority="111" stopIfTrue="1" operator="equal">
      <formula>"Alex"</formula>
    </cfRule>
    <cfRule type="cellIs" dxfId="1341" priority="112" operator="equal">
      <formula>"Gaby"</formula>
    </cfRule>
    <cfRule type="cellIs" dxfId="1340" priority="113" operator="equal">
      <formula>"Randall"</formula>
    </cfRule>
    <cfRule type="cellIs" dxfId="1339" priority="114" operator="equal">
      <formula>"Johan"</formula>
    </cfRule>
    <cfRule type="cellIs" dxfId="1338" priority="115" operator="equal">
      <formula>"Eva"</formula>
    </cfRule>
    <cfRule type="cellIs" dxfId="1337" priority="116" operator="equal">
      <formula>"Ronald"</formula>
    </cfRule>
  </conditionalFormatting>
  <conditionalFormatting sqref="D266">
    <cfRule type="cellIs" dxfId="1336" priority="102" operator="equal">
      <formula>"Jose"</formula>
    </cfRule>
  </conditionalFormatting>
  <conditionalFormatting sqref="D266">
    <cfRule type="cellIs" dxfId="1335" priority="103" operator="equal">
      <formula>"David"</formula>
    </cfRule>
    <cfRule type="cellIs" dxfId="1334" priority="104" stopIfTrue="1" operator="equal">
      <formula>"Jenny"</formula>
    </cfRule>
  </conditionalFormatting>
  <conditionalFormatting sqref="D266">
    <cfRule type="cellIs" dxfId="1333" priority="105" operator="equal">
      <formula>"Maria"</formula>
    </cfRule>
    <cfRule type="cellIs" dxfId="1332" priority="106" operator="equal">
      <formula>"Jason"</formula>
    </cfRule>
  </conditionalFormatting>
  <conditionalFormatting sqref="E1:E473">
    <cfRule type="cellIs" dxfId="1331" priority="92" operator="equal">
      <formula>"Mare"</formula>
    </cfRule>
    <cfRule type="cellIs" dxfId="1330" priority="93" operator="equal">
      <formula>"Axel"</formula>
    </cfRule>
    <cfRule type="cellIs" dxfId="1329" priority="94" operator="equal">
      <formula>"Christian"</formula>
    </cfRule>
    <cfRule type="cellIs" dxfId="1328" priority="95" operator="equal">
      <formula>"Farid"</formula>
    </cfRule>
    <cfRule type="cellIs" dxfId="1327" priority="96" stopIfTrue="1" operator="equal">
      <formula>"Alex"</formula>
    </cfRule>
    <cfRule type="cellIs" dxfId="1326" priority="97" operator="equal">
      <formula>"Gaby"</formula>
    </cfRule>
    <cfRule type="cellIs" dxfId="1325" priority="98" operator="equal">
      <formula>"Randall"</formula>
    </cfRule>
    <cfRule type="cellIs" dxfId="1324" priority="99" operator="equal">
      <formula>"Johan"</formula>
    </cfRule>
    <cfRule type="cellIs" dxfId="1323" priority="100" operator="equal">
      <formula>"Eva"</formula>
    </cfRule>
    <cfRule type="cellIs" dxfId="1322" priority="101" operator="equal">
      <formula>"Ronald"</formula>
    </cfRule>
  </conditionalFormatting>
  <conditionalFormatting sqref="F1:F473">
    <cfRule type="cellIs" dxfId="1321" priority="91" operator="equal">
      <formula>"YES"</formula>
    </cfRule>
  </conditionalFormatting>
  <conditionalFormatting sqref="F1:F473">
    <cfRule type="cellIs" dxfId="1320" priority="90" operator="equal">
      <formula>"YES"</formula>
    </cfRule>
  </conditionalFormatting>
  <conditionalFormatting sqref="F1:F473">
    <cfRule type="cellIs" dxfId="1319" priority="80" operator="equal">
      <formula>"Mare"</formula>
    </cfRule>
    <cfRule type="cellIs" dxfId="1318" priority="81" operator="equal">
      <formula>"Axel"</formula>
    </cfRule>
    <cfRule type="cellIs" dxfId="1317" priority="82" operator="equal">
      <formula>"Christian"</formula>
    </cfRule>
    <cfRule type="cellIs" dxfId="1316" priority="83" operator="equal">
      <formula>"Farid"</formula>
    </cfRule>
    <cfRule type="cellIs" dxfId="1315" priority="84" stopIfTrue="1" operator="equal">
      <formula>"Alex"</formula>
    </cfRule>
    <cfRule type="cellIs" dxfId="1314" priority="85" operator="equal">
      <formula>"Gaby"</formula>
    </cfRule>
    <cfRule type="cellIs" dxfId="1313" priority="86" operator="equal">
      <formula>"Randall"</formula>
    </cfRule>
    <cfRule type="cellIs" dxfId="1312" priority="87" operator="equal">
      <formula>"Johan"</formula>
    </cfRule>
    <cfRule type="cellIs" dxfId="1311" priority="88" operator="equal">
      <formula>"Eva"</formula>
    </cfRule>
    <cfRule type="cellIs" dxfId="1310" priority="89" operator="equal">
      <formula>"Ronald"</formula>
    </cfRule>
  </conditionalFormatting>
  <conditionalFormatting sqref="G1:G473">
    <cfRule type="cellIs" dxfId="1309" priority="66" operator="equal">
      <formula>"Mare"</formula>
    </cfRule>
    <cfRule type="cellIs" dxfId="1308" priority="67" operator="equal">
      <formula>"Axel"</formula>
    </cfRule>
    <cfRule type="cellIs" dxfId="1307" priority="68" operator="equal">
      <formula>"Christian"</formula>
    </cfRule>
    <cfRule type="cellIs" dxfId="1306" priority="70" operator="equal">
      <formula>"Farid"</formula>
    </cfRule>
    <cfRule type="cellIs" dxfId="1305" priority="71" stopIfTrue="1" operator="equal">
      <formula>"Alex"</formula>
    </cfRule>
    <cfRule type="cellIs" dxfId="1304" priority="72" operator="equal">
      <formula>"Gaby"</formula>
    </cfRule>
    <cfRule type="cellIs" dxfId="1303" priority="73" operator="equal">
      <formula>"Randall"</formula>
    </cfRule>
    <cfRule type="cellIs" dxfId="1302" priority="74" operator="equal">
      <formula>"Johan"</formula>
    </cfRule>
    <cfRule type="cellIs" dxfId="1301" priority="75" operator="equal">
      <formula>"Eva"</formula>
    </cfRule>
    <cfRule type="cellIs" dxfId="1300" priority="76" operator="equal">
      <formula>"Ronald"</formula>
    </cfRule>
  </conditionalFormatting>
  <conditionalFormatting sqref="G1:G473">
    <cfRule type="cellIs" dxfId="1299" priority="69" stopIfTrue="1" operator="equal">
      <formula>"Accessory"</formula>
    </cfRule>
    <cfRule type="cellIs" dxfId="1298" priority="77" operator="equal">
      <formula>"Tachy"</formula>
    </cfRule>
    <cfRule type="cellIs" dxfId="1297" priority="78" operator="equal">
      <formula>"LEADS"</formula>
    </cfRule>
    <cfRule type="cellIs" dxfId="1296" priority="79" stopIfTrue="1" operator="equal">
      <formula>"Brady"</formula>
    </cfRule>
  </conditionalFormatting>
  <conditionalFormatting sqref="H1:H473">
    <cfRule type="cellIs" dxfId="1295" priority="56" operator="equal">
      <formula>"Mare"</formula>
    </cfRule>
    <cfRule type="cellIs" dxfId="1294" priority="57" operator="equal">
      <formula>"Axel"</formula>
    </cfRule>
    <cfRule type="cellIs" dxfId="1293" priority="58" operator="equal">
      <formula>"Christian"</formula>
    </cfRule>
    <cfRule type="cellIs" dxfId="1292" priority="59" operator="equal">
      <formula>"Farid"</formula>
    </cfRule>
    <cfRule type="cellIs" dxfId="1291" priority="60" stopIfTrue="1" operator="equal">
      <formula>"Alex"</formula>
    </cfRule>
    <cfRule type="cellIs" dxfId="1290" priority="61" operator="equal">
      <formula>"Gaby"</formula>
    </cfRule>
    <cfRule type="cellIs" dxfId="1289" priority="62" operator="equal">
      <formula>"Randall"</formula>
    </cfRule>
    <cfRule type="cellIs" dxfId="1288" priority="63" operator="equal">
      <formula>"Johan"</formula>
    </cfRule>
    <cfRule type="cellIs" dxfId="1287" priority="64" operator="equal">
      <formula>"Eva"</formula>
    </cfRule>
    <cfRule type="cellIs" dxfId="1286" priority="65" operator="equal">
      <formula>"Ronald"</formula>
    </cfRule>
  </conditionalFormatting>
  <conditionalFormatting sqref="H2:H473">
    <cfRule type="cellIs" dxfId="1285" priority="54" stopIfTrue="1" operator="between">
      <formula>20</formula>
      <formula>29</formula>
    </cfRule>
    <cfRule type="cellIs" dxfId="1284" priority="55" stopIfTrue="1" operator="greaterThan">
      <formula>29</formula>
    </cfRule>
  </conditionalFormatting>
  <conditionalFormatting sqref="N1:N473">
    <cfRule type="cellIs" dxfId="1283" priority="42" operator="equal">
      <formula>"Mare"</formula>
    </cfRule>
    <cfRule type="cellIs" dxfId="1282" priority="43" operator="equal">
      <formula>"Axel"</formula>
    </cfRule>
    <cfRule type="cellIs" dxfId="1281" priority="44" operator="equal">
      <formula>"Christian"</formula>
    </cfRule>
    <cfRule type="cellIs" dxfId="1280" priority="45" operator="equal">
      <formula>"Farid"</formula>
    </cfRule>
    <cfRule type="cellIs" dxfId="1279" priority="46" stopIfTrue="1" operator="equal">
      <formula>"Alex"</formula>
    </cfRule>
    <cfRule type="cellIs" dxfId="1278" priority="47" operator="equal">
      <formula>"Gaby"</formula>
    </cfRule>
    <cfRule type="cellIs" dxfId="1277" priority="48" operator="equal">
      <formula>"Randall"</formula>
    </cfRule>
    <cfRule type="cellIs" dxfId="1276" priority="49" operator="equal">
      <formula>"Johan"</formula>
    </cfRule>
    <cfRule type="cellIs" dxfId="1275" priority="50" operator="equal">
      <formula>"Eva"</formula>
    </cfRule>
    <cfRule type="cellIs" dxfId="1274" priority="51" operator="equal">
      <formula>"Ronald"</formula>
    </cfRule>
  </conditionalFormatting>
  <conditionalFormatting sqref="N1:N473">
    <cfRule type="cellIs" dxfId="1273" priority="52" operator="equal">
      <formula>"Insignia, Nexus"</formula>
    </cfRule>
    <cfRule type="cellIs" dxfId="1272" priority="53" operator="equal">
      <formula>"Altrua"</formula>
    </cfRule>
  </conditionalFormatting>
  <conditionalFormatting sqref="N2:N473">
    <cfRule type="cellIs" dxfId="1271" priority="41" operator="equal">
      <formula>"Subcutaneous ICD"</formula>
    </cfRule>
  </conditionalFormatting>
  <conditionalFormatting sqref="O1:O473">
    <cfRule type="cellIs" dxfId="1270" priority="31" operator="equal">
      <formula>"Mare"</formula>
    </cfRule>
    <cfRule type="cellIs" dxfId="1269" priority="32" operator="equal">
      <formula>"Axel"</formula>
    </cfRule>
    <cfRule type="cellIs" dxfId="1268" priority="33" operator="equal">
      <formula>"Christian"</formula>
    </cfRule>
    <cfRule type="cellIs" dxfId="1267" priority="34" operator="equal">
      <formula>"Farid"</formula>
    </cfRule>
    <cfRule type="cellIs" dxfId="1266" priority="35" stopIfTrue="1" operator="equal">
      <formula>"Alex"</formula>
    </cfRule>
    <cfRule type="cellIs" dxfId="1265" priority="36" operator="equal">
      <formula>"Gaby"</formula>
    </cfRule>
    <cfRule type="cellIs" dxfId="1264" priority="37" operator="equal">
      <formula>"Randall"</formula>
    </cfRule>
    <cfRule type="cellIs" dxfId="1263" priority="38" operator="equal">
      <formula>"Johan"</formula>
    </cfRule>
    <cfRule type="cellIs" dxfId="1262" priority="39" operator="equal">
      <formula>"Eva"</formula>
    </cfRule>
    <cfRule type="cellIs" dxfId="1261" priority="40" operator="equal">
      <formula>"Ronald"</formula>
    </cfRule>
  </conditionalFormatting>
  <conditionalFormatting sqref="I1:I473">
    <cfRule type="cellIs" dxfId="1260" priority="21" operator="equal">
      <formula>"Mare"</formula>
    </cfRule>
    <cfRule type="cellIs" dxfId="1259" priority="22" operator="equal">
      <formula>"Axel"</formula>
    </cfRule>
    <cfRule type="cellIs" dxfId="1258" priority="23" operator="equal">
      <formula>"Christian"</formula>
    </cfRule>
    <cfRule type="cellIs" dxfId="1257" priority="24" operator="equal">
      <formula>"Farid"</formula>
    </cfRule>
    <cfRule type="cellIs" dxfId="1256" priority="25" stopIfTrue="1" operator="equal">
      <formula>"Alex"</formula>
    </cfRule>
    <cfRule type="cellIs" dxfId="1255" priority="26" operator="equal">
      <formula>"Gaby"</formula>
    </cfRule>
    <cfRule type="cellIs" dxfId="1254" priority="27" operator="equal">
      <formula>"Randall"</formula>
    </cfRule>
    <cfRule type="cellIs" dxfId="1253" priority="28" operator="equal">
      <formula>"Johan"</formula>
    </cfRule>
    <cfRule type="cellIs" dxfId="1252" priority="29" operator="equal">
      <formula>"Eva"</formula>
    </cfRule>
    <cfRule type="cellIs" dxfId="1251" priority="30" operator="equal">
      <formula>"Ronald"</formula>
    </cfRule>
  </conditionalFormatting>
  <conditionalFormatting sqref="M1:M473">
    <cfRule type="cellIs" dxfId="1250" priority="11" operator="equal">
      <formula>"Mare"</formula>
    </cfRule>
    <cfRule type="cellIs" dxfId="1249" priority="12" operator="equal">
      <formula>"Axel"</formula>
    </cfRule>
    <cfRule type="cellIs" dxfId="1248" priority="13" operator="equal">
      <formula>"Christian"</formula>
    </cfRule>
    <cfRule type="cellIs" dxfId="1247" priority="14" operator="equal">
      <formula>"Farid"</formula>
    </cfRule>
    <cfRule type="cellIs" dxfId="1246" priority="15" stopIfTrue="1" operator="equal">
      <formula>"Alex"</formula>
    </cfRule>
    <cfRule type="cellIs" dxfId="1245" priority="16" operator="equal">
      <formula>"Gaby"</formula>
    </cfRule>
    <cfRule type="cellIs" dxfId="1244" priority="17" operator="equal">
      <formula>"Randall"</formula>
    </cfRule>
    <cfRule type="cellIs" dxfId="1243" priority="18" operator="equal">
      <formula>"Johan"</formula>
    </cfRule>
    <cfRule type="cellIs" dxfId="1242" priority="19" operator="equal">
      <formula>"Eva"</formula>
    </cfRule>
    <cfRule type="cellIs" dxfId="1241" priority="20" operator="equal">
      <formula>"Ronald"</formula>
    </cfRule>
  </conditionalFormatting>
  <conditionalFormatting sqref="L1">
    <cfRule type="cellIs" dxfId="1240" priority="1" operator="equal">
      <formula>"Mare"</formula>
    </cfRule>
    <cfRule type="cellIs" dxfId="1239" priority="2" operator="equal">
      <formula>"Axel"</formula>
    </cfRule>
    <cfRule type="cellIs" dxfId="1238" priority="3" operator="equal">
      <formula>"Christian"</formula>
    </cfRule>
    <cfRule type="cellIs" dxfId="1237" priority="4" operator="equal">
      <formula>"Farid"</formula>
    </cfRule>
    <cfRule type="cellIs" dxfId="1236" priority="5" stopIfTrue="1" operator="equal">
      <formula>"Alex"</formula>
    </cfRule>
    <cfRule type="cellIs" dxfId="1235" priority="6" operator="equal">
      <formula>"Gaby"</formula>
    </cfRule>
    <cfRule type="cellIs" dxfId="1234" priority="7" operator="equal">
      <formula>"Randall"</formula>
    </cfRule>
    <cfRule type="cellIs" dxfId="1233" priority="8" operator="equal">
      <formula>"Johan"</formula>
    </cfRule>
    <cfRule type="cellIs" dxfId="1232" priority="9" operator="equal">
      <formula>"Eva"</formula>
    </cfRule>
    <cfRule type="cellIs" dxfId="1231" priority="10" operator="equal">
      <formula>"Ronald"</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20F31-E090-4FE6-B167-4618E8329809}">
  <sheetPr codeName="Sheet4"/>
  <dimension ref="A1:O371"/>
  <sheetViews>
    <sheetView workbookViewId="0">
      <selection activeCell="L1" sqref="L1"/>
    </sheetView>
  </sheetViews>
  <sheetFormatPr defaultRowHeight="15" x14ac:dyDescent="0.25"/>
  <cols>
    <col min="13" max="13" width="24.28515625" bestFit="1" customWidth="1"/>
  </cols>
  <sheetData>
    <row r="1" spans="1:15" ht="15.75" thickBot="1" x14ac:dyDescent="0.3">
      <c r="A1" s="22" t="s">
        <v>2282</v>
      </c>
      <c r="B1" s="23" t="s">
        <v>2287</v>
      </c>
      <c r="C1" s="22" t="s">
        <v>2290</v>
      </c>
      <c r="D1" s="23" t="s">
        <v>2296</v>
      </c>
      <c r="E1" s="23" t="s">
        <v>0</v>
      </c>
      <c r="F1" s="24" t="s">
        <v>2299</v>
      </c>
      <c r="G1" s="25" t="s">
        <v>2302</v>
      </c>
      <c r="H1" s="26" t="s">
        <v>2306</v>
      </c>
      <c r="I1" s="27" t="s">
        <v>2311</v>
      </c>
      <c r="J1" t="s">
        <v>2364</v>
      </c>
      <c r="K1" cm="1">
        <f t="array" aca="1" ref="K1" ca="1">SUMPRODUCT(SUBTOTAL(3,OFFSET(J2,ROW(J2:J10000)-ROW(J2),0)),(J2:J10000="CRM")+0)</f>
        <v>370</v>
      </c>
      <c r="L1" s="1" t="s">
        <v>2432</v>
      </c>
      <c r="M1" s="29" t="s">
        <v>2366</v>
      </c>
      <c r="N1" s="27" t="s">
        <v>2307</v>
      </c>
      <c r="O1" s="28" t="s">
        <v>2309</v>
      </c>
    </row>
    <row r="2" spans="1:15" x14ac:dyDescent="0.25">
      <c r="A2" t="s">
        <v>2283</v>
      </c>
      <c r="B2" s="1" t="e">
        <v>#N/A</v>
      </c>
      <c r="C2" s="1" t="e">
        <v>#N/A</v>
      </c>
      <c r="D2" s="1" t="e">
        <v>#N/A</v>
      </c>
      <c r="E2" s="1" t="s">
        <v>2298</v>
      </c>
      <c r="F2" s="2" t="s">
        <v>2300</v>
      </c>
      <c r="G2" s="1" t="s">
        <v>2303</v>
      </c>
      <c r="H2" s="2">
        <v>161</v>
      </c>
      <c r="I2" s="3" t="s">
        <v>2312</v>
      </c>
      <c r="J2" t="s">
        <v>2365</v>
      </c>
      <c r="M2" s="3" t="s">
        <v>2300</v>
      </c>
      <c r="N2" s="3" t="s">
        <v>2256</v>
      </c>
      <c r="O2" t="s">
        <v>2310</v>
      </c>
    </row>
    <row r="3" spans="1:15" x14ac:dyDescent="0.25">
      <c r="A3" t="s">
        <v>2286</v>
      </c>
      <c r="B3" s="1" t="e">
        <v>#N/A</v>
      </c>
      <c r="C3" s="1" t="e">
        <v>#N/A</v>
      </c>
      <c r="D3" s="1" t="e">
        <v>#N/A</v>
      </c>
      <c r="E3" s="1" t="s">
        <v>2298</v>
      </c>
      <c r="F3" s="2" t="s">
        <v>2300</v>
      </c>
      <c r="G3" s="1" t="s">
        <v>2303</v>
      </c>
      <c r="H3" s="2">
        <v>47</v>
      </c>
      <c r="I3" s="3" t="s">
        <v>2316</v>
      </c>
      <c r="J3" t="s">
        <v>2365</v>
      </c>
      <c r="M3" s="3" t="s">
        <v>2300</v>
      </c>
      <c r="N3" s="3" t="s">
        <v>2256</v>
      </c>
      <c r="O3" t="s">
        <v>2310</v>
      </c>
    </row>
    <row r="4" spans="1:15" x14ac:dyDescent="0.25">
      <c r="A4" t="s">
        <v>2285</v>
      </c>
      <c r="B4" s="1" t="e">
        <v>#N/A</v>
      </c>
      <c r="C4" s="1" t="e">
        <v>#N/A</v>
      </c>
      <c r="D4" s="1" t="e">
        <v>#N/A</v>
      </c>
      <c r="E4" s="1" t="s">
        <v>2298</v>
      </c>
      <c r="F4" s="2" t="s">
        <v>2300</v>
      </c>
      <c r="G4" s="1" t="s">
        <v>2304</v>
      </c>
      <c r="H4" s="2">
        <v>46</v>
      </c>
      <c r="I4" s="3" t="s">
        <v>2405</v>
      </c>
      <c r="J4" t="s">
        <v>2365</v>
      </c>
      <c r="M4" s="3" t="s">
        <v>2300</v>
      </c>
      <c r="N4" s="3" t="s">
        <v>2255</v>
      </c>
      <c r="O4" t="s">
        <v>2310</v>
      </c>
    </row>
    <row r="5" spans="1:15" x14ac:dyDescent="0.25">
      <c r="A5" t="s">
        <v>2285</v>
      </c>
      <c r="B5" s="1" t="e">
        <v>#N/A</v>
      </c>
      <c r="C5" s="1" t="e">
        <v>#N/A</v>
      </c>
      <c r="D5" s="1" t="e">
        <v>#N/A</v>
      </c>
      <c r="E5" s="1" t="s">
        <v>2298</v>
      </c>
      <c r="F5" s="2" t="s">
        <v>2300</v>
      </c>
      <c r="G5" s="1" t="s">
        <v>2305</v>
      </c>
      <c r="H5" s="2">
        <v>42</v>
      </c>
      <c r="I5" s="3" t="s">
        <v>2320</v>
      </c>
      <c r="J5" t="s">
        <v>2365</v>
      </c>
      <c r="M5" s="3" t="s">
        <v>2300</v>
      </c>
      <c r="N5" s="3" t="s">
        <v>2258</v>
      </c>
      <c r="O5" t="s">
        <v>2310</v>
      </c>
    </row>
    <row r="6" spans="1:15" x14ac:dyDescent="0.25">
      <c r="A6" t="s">
        <v>2285</v>
      </c>
      <c r="B6" s="1" t="e">
        <v>#N/A</v>
      </c>
      <c r="C6" s="1" t="e">
        <v>#N/A</v>
      </c>
      <c r="D6" s="1" t="e">
        <v>#N/A</v>
      </c>
      <c r="E6" s="1" t="s">
        <v>2432</v>
      </c>
      <c r="F6" s="2" t="s">
        <v>2301</v>
      </c>
      <c r="G6" s="1" t="s">
        <v>2305</v>
      </c>
      <c r="H6" s="2">
        <v>40</v>
      </c>
      <c r="I6" s="3" t="s">
        <v>2322</v>
      </c>
      <c r="J6" t="s">
        <v>2365</v>
      </c>
      <c r="M6" s="3" t="s">
        <v>2300</v>
      </c>
      <c r="N6" s="3" t="s">
        <v>2257</v>
      </c>
      <c r="O6" t="s">
        <v>2310</v>
      </c>
    </row>
    <row r="7" spans="1:15" x14ac:dyDescent="0.25">
      <c r="A7" t="s">
        <v>2285</v>
      </c>
      <c r="B7" s="1" t="e">
        <v>#N/A</v>
      </c>
      <c r="C7" s="1" t="e">
        <v>#N/A</v>
      </c>
      <c r="D7" s="1" t="e">
        <v>#N/A</v>
      </c>
      <c r="E7" s="1" t="s">
        <v>2432</v>
      </c>
      <c r="F7" s="2" t="s">
        <v>2301</v>
      </c>
      <c r="G7" s="1" t="s">
        <v>2305</v>
      </c>
      <c r="H7" s="2">
        <v>39</v>
      </c>
      <c r="I7" s="3" t="s">
        <v>2324</v>
      </c>
      <c r="J7" t="s">
        <v>2365</v>
      </c>
      <c r="M7" s="3" t="s">
        <v>2300</v>
      </c>
      <c r="N7" s="3" t="s">
        <v>2258</v>
      </c>
      <c r="O7" t="s">
        <v>2310</v>
      </c>
    </row>
    <row r="8" spans="1:15" x14ac:dyDescent="0.25">
      <c r="A8" t="s">
        <v>2285</v>
      </c>
      <c r="B8" s="1" t="e">
        <v>#N/A</v>
      </c>
      <c r="C8" s="1" t="e">
        <v>#N/A</v>
      </c>
      <c r="D8" s="1" t="e">
        <v>#N/A</v>
      </c>
      <c r="E8" s="1" t="s">
        <v>2298</v>
      </c>
      <c r="F8" s="2" t="s">
        <v>2300</v>
      </c>
      <c r="G8" s="1" t="s">
        <v>2305</v>
      </c>
      <c r="H8" s="2">
        <v>36</v>
      </c>
      <c r="I8" s="3" t="s">
        <v>2325</v>
      </c>
      <c r="J8" t="s">
        <v>2365</v>
      </c>
      <c r="M8" s="3" t="s">
        <v>2300</v>
      </c>
      <c r="N8" s="3" t="s">
        <v>2257</v>
      </c>
      <c r="O8" t="s">
        <v>2310</v>
      </c>
    </row>
    <row r="9" spans="1:15" x14ac:dyDescent="0.25">
      <c r="A9" t="s">
        <v>2285</v>
      </c>
      <c r="B9" s="1" t="e">
        <v>#N/A</v>
      </c>
      <c r="C9" s="1" t="e">
        <v>#N/A</v>
      </c>
      <c r="D9" s="1" t="e">
        <v>#N/A</v>
      </c>
      <c r="E9" s="1" t="s">
        <v>2432</v>
      </c>
      <c r="F9" s="2" t="s">
        <v>2301</v>
      </c>
      <c r="G9" s="1" t="s">
        <v>2305</v>
      </c>
      <c r="H9" s="2">
        <v>34</v>
      </c>
      <c r="I9" s="3" t="s">
        <v>2327</v>
      </c>
      <c r="J9" t="s">
        <v>2365</v>
      </c>
      <c r="M9" s="3" t="s">
        <v>2300</v>
      </c>
      <c r="N9" s="3" t="s">
        <v>2258</v>
      </c>
      <c r="O9" t="s">
        <v>2310</v>
      </c>
    </row>
    <row r="10" spans="1:15" x14ac:dyDescent="0.25">
      <c r="A10" t="s">
        <v>2285</v>
      </c>
      <c r="B10" s="1" t="e">
        <v>#N/A</v>
      </c>
      <c r="C10" s="1" t="e">
        <v>#N/A</v>
      </c>
      <c r="D10" s="1" t="e">
        <v>#N/A</v>
      </c>
      <c r="E10" s="1" t="s">
        <v>2432</v>
      </c>
      <c r="F10" s="2" t="s">
        <v>2301</v>
      </c>
      <c r="G10" s="1" t="s">
        <v>2305</v>
      </c>
      <c r="H10" s="2">
        <v>34</v>
      </c>
      <c r="I10" s="3" t="s">
        <v>2327</v>
      </c>
      <c r="J10" t="s">
        <v>2365</v>
      </c>
      <c r="M10" s="3" t="s">
        <v>2300</v>
      </c>
      <c r="N10" s="3" t="s">
        <v>2258</v>
      </c>
      <c r="O10" t="s">
        <v>2310</v>
      </c>
    </row>
    <row r="11" spans="1:15" x14ac:dyDescent="0.25">
      <c r="A11" t="s">
        <v>2285</v>
      </c>
      <c r="B11" s="1" t="e">
        <v>#N/A</v>
      </c>
      <c r="C11" s="1" t="e">
        <v>#N/A</v>
      </c>
      <c r="D11" s="1" t="e">
        <v>#N/A</v>
      </c>
      <c r="E11" s="1" t="s">
        <v>2432</v>
      </c>
      <c r="F11" s="2" t="s">
        <v>2301</v>
      </c>
      <c r="G11" s="1" t="s">
        <v>2305</v>
      </c>
      <c r="H11" s="2">
        <v>33</v>
      </c>
      <c r="I11" s="3" t="s">
        <v>1</v>
      </c>
      <c r="J11" t="s">
        <v>2365</v>
      </c>
      <c r="M11" s="3" t="s">
        <v>2300</v>
      </c>
      <c r="N11" s="3" t="s">
        <v>2258</v>
      </c>
      <c r="O11" t="s">
        <v>2310</v>
      </c>
    </row>
    <row r="12" spans="1:15" x14ac:dyDescent="0.25">
      <c r="A12" t="s">
        <v>2285</v>
      </c>
      <c r="B12" s="1" t="e">
        <v>#N/A</v>
      </c>
      <c r="C12" s="1" t="e">
        <v>#N/A</v>
      </c>
      <c r="D12" s="1" t="e">
        <v>#N/A</v>
      </c>
      <c r="E12" s="1" t="s">
        <v>2432</v>
      </c>
      <c r="F12" s="2" t="s">
        <v>2301</v>
      </c>
      <c r="G12" s="1" t="s">
        <v>2305</v>
      </c>
      <c r="H12" s="2">
        <v>28</v>
      </c>
      <c r="I12" s="3" t="s">
        <v>2335</v>
      </c>
      <c r="J12" t="s">
        <v>2365</v>
      </c>
      <c r="M12" s="3" t="s">
        <v>2301</v>
      </c>
      <c r="N12" s="3" t="s">
        <v>2258</v>
      </c>
      <c r="O12" t="s">
        <v>2310</v>
      </c>
    </row>
    <row r="13" spans="1:15" x14ac:dyDescent="0.25">
      <c r="A13" t="s">
        <v>2285</v>
      </c>
      <c r="B13" s="1" t="e">
        <v>#N/A</v>
      </c>
      <c r="C13" s="1" t="e">
        <v>#N/A</v>
      </c>
      <c r="D13" s="1" t="e">
        <v>#N/A</v>
      </c>
      <c r="E13" s="1" t="s">
        <v>2432</v>
      </c>
      <c r="F13" s="2" t="s">
        <v>2301</v>
      </c>
      <c r="G13" s="1" t="s">
        <v>2305</v>
      </c>
      <c r="H13" s="2">
        <v>28</v>
      </c>
      <c r="I13" s="3" t="s">
        <v>2315</v>
      </c>
      <c r="J13" t="s">
        <v>2365</v>
      </c>
      <c r="M13" s="3" t="s">
        <v>2300</v>
      </c>
      <c r="N13" s="3" t="s">
        <v>2257</v>
      </c>
      <c r="O13" t="s">
        <v>2310</v>
      </c>
    </row>
    <row r="14" spans="1:15" x14ac:dyDescent="0.25">
      <c r="A14" t="s">
        <v>2285</v>
      </c>
      <c r="B14" s="1" t="e">
        <v>#N/A</v>
      </c>
      <c r="C14" s="1" t="e">
        <v>#N/A</v>
      </c>
      <c r="D14" s="1" t="e">
        <v>#N/A</v>
      </c>
      <c r="E14" s="1" t="s">
        <v>2298</v>
      </c>
      <c r="F14" s="2" t="s">
        <v>2300</v>
      </c>
      <c r="G14" s="1" t="s">
        <v>2304</v>
      </c>
      <c r="H14" s="2">
        <v>27</v>
      </c>
      <c r="I14" s="3" t="s">
        <v>2336</v>
      </c>
      <c r="J14" t="s">
        <v>2365</v>
      </c>
      <c r="M14" s="3" t="s">
        <v>2300</v>
      </c>
      <c r="N14" s="3" t="s">
        <v>2255</v>
      </c>
      <c r="O14" t="s">
        <v>2310</v>
      </c>
    </row>
    <row r="15" spans="1:15" x14ac:dyDescent="0.25">
      <c r="A15" t="s">
        <v>2285</v>
      </c>
      <c r="B15" s="1" t="e">
        <v>#N/A</v>
      </c>
      <c r="C15" s="1" t="e">
        <v>#N/A</v>
      </c>
      <c r="D15" s="1" t="e">
        <v>#N/A</v>
      </c>
      <c r="E15" s="1" t="s">
        <v>2432</v>
      </c>
      <c r="F15" s="2" t="s">
        <v>2301</v>
      </c>
      <c r="G15" s="1" t="s">
        <v>2305</v>
      </c>
      <c r="H15" s="2">
        <v>27</v>
      </c>
      <c r="I15" s="3" t="s">
        <v>2321</v>
      </c>
      <c r="J15" t="s">
        <v>2365</v>
      </c>
      <c r="M15" s="3" t="s">
        <v>2300</v>
      </c>
      <c r="N15" s="3" t="s">
        <v>2258</v>
      </c>
      <c r="O15" t="s">
        <v>2310</v>
      </c>
    </row>
    <row r="16" spans="1:15" x14ac:dyDescent="0.25">
      <c r="A16" t="s">
        <v>2283</v>
      </c>
      <c r="B16" s="1" t="s">
        <v>2288</v>
      </c>
      <c r="C16" s="1" t="s">
        <v>2293</v>
      </c>
      <c r="D16" s="1" t="s">
        <v>2407</v>
      </c>
      <c r="E16" s="1" t="s">
        <v>2298</v>
      </c>
      <c r="F16" s="2" t="s">
        <v>2300</v>
      </c>
      <c r="G16" s="1" t="s">
        <v>2304</v>
      </c>
      <c r="H16" s="2">
        <v>26</v>
      </c>
      <c r="I16" s="3" t="s">
        <v>2314</v>
      </c>
      <c r="J16" t="s">
        <v>2365</v>
      </c>
      <c r="M16" s="3" t="s">
        <v>2301</v>
      </c>
      <c r="N16" s="3" t="s">
        <v>2255</v>
      </c>
      <c r="O16" t="s">
        <v>2310</v>
      </c>
    </row>
    <row r="17" spans="1:15" x14ac:dyDescent="0.25">
      <c r="A17" t="s">
        <v>2285</v>
      </c>
      <c r="B17" s="1" t="e">
        <v>#N/A</v>
      </c>
      <c r="C17" s="1" t="e">
        <v>#N/A</v>
      </c>
      <c r="D17" s="1" t="e">
        <v>#N/A</v>
      </c>
      <c r="E17" s="1" t="s">
        <v>2298</v>
      </c>
      <c r="F17" s="2" t="s">
        <v>2300</v>
      </c>
      <c r="G17" s="1" t="s">
        <v>2303</v>
      </c>
      <c r="H17" s="2">
        <v>26</v>
      </c>
      <c r="I17" s="3" t="s">
        <v>1164</v>
      </c>
      <c r="J17" t="s">
        <v>2365</v>
      </c>
      <c r="M17" s="3" t="s">
        <v>2300</v>
      </c>
      <c r="N17" s="3" t="s">
        <v>2256</v>
      </c>
      <c r="O17" t="s">
        <v>2310</v>
      </c>
    </row>
    <row r="18" spans="1:15" x14ac:dyDescent="0.25">
      <c r="A18" t="s">
        <v>2283</v>
      </c>
      <c r="B18" s="1" t="s">
        <v>2288</v>
      </c>
      <c r="C18" s="1" t="s">
        <v>2291</v>
      </c>
      <c r="D18" s="1" t="e">
        <v>#N/A</v>
      </c>
      <c r="E18" s="1" t="s">
        <v>2298</v>
      </c>
      <c r="F18" s="2" t="s">
        <v>2300</v>
      </c>
      <c r="G18" s="1" t="s">
        <v>2304</v>
      </c>
      <c r="H18" s="2">
        <v>26</v>
      </c>
      <c r="I18" s="3" t="s">
        <v>2340</v>
      </c>
      <c r="J18" t="s">
        <v>2365</v>
      </c>
      <c r="M18" s="3" t="s">
        <v>2300</v>
      </c>
      <c r="N18" s="3" t="s">
        <v>2255</v>
      </c>
      <c r="O18" t="s">
        <v>2310</v>
      </c>
    </row>
    <row r="19" spans="1:15" x14ac:dyDescent="0.25">
      <c r="A19" t="s">
        <v>2285</v>
      </c>
      <c r="B19" s="1" t="e">
        <v>#N/A</v>
      </c>
      <c r="C19" s="1" t="e">
        <v>#N/A</v>
      </c>
      <c r="D19" s="1" t="e">
        <v>#N/A</v>
      </c>
      <c r="E19" s="1" t="s">
        <v>2298</v>
      </c>
      <c r="F19" s="2" t="s">
        <v>2300</v>
      </c>
      <c r="G19" s="1" t="s">
        <v>2304</v>
      </c>
      <c r="H19" s="2">
        <v>25</v>
      </c>
      <c r="I19" s="3" t="s">
        <v>22</v>
      </c>
      <c r="J19" t="s">
        <v>2365</v>
      </c>
      <c r="M19" s="3" t="s">
        <v>2301</v>
      </c>
      <c r="N19" s="3" t="s">
        <v>2255</v>
      </c>
      <c r="O19" t="s">
        <v>2310</v>
      </c>
    </row>
    <row r="20" spans="1:15" x14ac:dyDescent="0.25">
      <c r="A20" t="s">
        <v>2285</v>
      </c>
      <c r="B20" s="1" t="e">
        <v>#N/A</v>
      </c>
      <c r="C20" s="1" t="e">
        <v>#N/A</v>
      </c>
      <c r="D20" s="1" t="e">
        <v>#N/A</v>
      </c>
      <c r="E20" s="1" t="s">
        <v>2298</v>
      </c>
      <c r="F20" s="2" t="s">
        <v>2300</v>
      </c>
      <c r="G20" s="1" t="s">
        <v>2303</v>
      </c>
      <c r="H20" s="2">
        <v>25</v>
      </c>
      <c r="I20" s="3" t="s">
        <v>2342</v>
      </c>
      <c r="J20" t="s">
        <v>2365</v>
      </c>
      <c r="M20" s="3" t="s">
        <v>2300</v>
      </c>
      <c r="N20" s="3" t="s">
        <v>2256</v>
      </c>
      <c r="O20" t="s">
        <v>2310</v>
      </c>
    </row>
    <row r="21" spans="1:15" x14ac:dyDescent="0.25">
      <c r="A21" t="s">
        <v>2285</v>
      </c>
      <c r="B21" s="1" t="e">
        <v>#N/A</v>
      </c>
      <c r="C21" s="1" t="e">
        <v>#N/A</v>
      </c>
      <c r="D21" s="1" t="e">
        <v>#N/A</v>
      </c>
      <c r="E21" s="1" t="s">
        <v>2298</v>
      </c>
      <c r="F21" s="2" t="s">
        <v>2300</v>
      </c>
      <c r="G21" s="1" t="s">
        <v>2304</v>
      </c>
      <c r="H21" s="2">
        <v>23</v>
      </c>
      <c r="I21" s="3" t="s">
        <v>19</v>
      </c>
      <c r="J21" t="s">
        <v>2365</v>
      </c>
      <c r="M21" s="3" t="s">
        <v>2300</v>
      </c>
      <c r="N21" s="3" t="s">
        <v>2255</v>
      </c>
      <c r="O21" t="s">
        <v>2310</v>
      </c>
    </row>
    <row r="22" spans="1:15" x14ac:dyDescent="0.25">
      <c r="A22" t="s">
        <v>2285</v>
      </c>
      <c r="B22" s="1" t="e">
        <v>#N/A</v>
      </c>
      <c r="C22" s="1" t="e">
        <v>#N/A</v>
      </c>
      <c r="D22" s="1" t="e">
        <v>#N/A</v>
      </c>
      <c r="E22" s="1" t="s">
        <v>2298</v>
      </c>
      <c r="F22" s="2" t="s">
        <v>2300</v>
      </c>
      <c r="G22" s="1" t="s">
        <v>2304</v>
      </c>
      <c r="H22" s="2">
        <v>22</v>
      </c>
      <c r="I22" s="3" t="s">
        <v>2343</v>
      </c>
      <c r="J22" t="s">
        <v>2365</v>
      </c>
      <c r="M22" s="3" t="s">
        <v>2300</v>
      </c>
      <c r="N22" s="3" t="s">
        <v>2255</v>
      </c>
      <c r="O22" t="s">
        <v>2310</v>
      </c>
    </row>
    <row r="23" spans="1:15" x14ac:dyDescent="0.25">
      <c r="A23" t="s">
        <v>2285</v>
      </c>
      <c r="B23" s="1" t="e">
        <v>#N/A</v>
      </c>
      <c r="C23" s="1" t="e">
        <v>#N/A</v>
      </c>
      <c r="D23" s="1" t="e">
        <v>#N/A</v>
      </c>
      <c r="E23" s="1" t="s">
        <v>2298</v>
      </c>
      <c r="F23" s="2" t="s">
        <v>2300</v>
      </c>
      <c r="G23" s="1" t="s">
        <v>2304</v>
      </c>
      <c r="H23" s="2">
        <v>22</v>
      </c>
      <c r="I23" s="3" t="s">
        <v>2344</v>
      </c>
      <c r="J23" t="s">
        <v>2365</v>
      </c>
      <c r="M23" s="3" t="s">
        <v>2300</v>
      </c>
      <c r="N23" s="3" t="s">
        <v>2255</v>
      </c>
      <c r="O23" t="s">
        <v>2310</v>
      </c>
    </row>
    <row r="24" spans="1:15" x14ac:dyDescent="0.25">
      <c r="A24" t="s">
        <v>2283</v>
      </c>
      <c r="B24" s="1" t="s">
        <v>2288</v>
      </c>
      <c r="C24" s="1" t="s">
        <v>2293</v>
      </c>
      <c r="D24" s="1" t="s">
        <v>2426</v>
      </c>
      <c r="E24" s="1" t="s">
        <v>2298</v>
      </c>
      <c r="F24" s="2" t="s">
        <v>2300</v>
      </c>
      <c r="G24" s="1" t="s">
        <v>2304</v>
      </c>
      <c r="H24" s="2">
        <v>22</v>
      </c>
      <c r="I24" s="3" t="s">
        <v>2349</v>
      </c>
      <c r="J24" t="s">
        <v>2365</v>
      </c>
      <c r="M24" s="3" t="s">
        <v>2301</v>
      </c>
      <c r="N24" s="3" t="s">
        <v>2255</v>
      </c>
      <c r="O24" t="s">
        <v>2310</v>
      </c>
    </row>
    <row r="25" spans="1:15" x14ac:dyDescent="0.25">
      <c r="A25" t="s">
        <v>2285</v>
      </c>
      <c r="B25" s="1" t="e">
        <v>#N/A</v>
      </c>
      <c r="C25" s="1" t="e">
        <v>#N/A</v>
      </c>
      <c r="D25" s="1" t="e">
        <v>#N/A</v>
      </c>
      <c r="E25" s="1" t="s">
        <v>2298</v>
      </c>
      <c r="F25" s="2" t="s">
        <v>2300</v>
      </c>
      <c r="G25" s="1" t="s">
        <v>2303</v>
      </c>
      <c r="H25" s="2">
        <v>22</v>
      </c>
      <c r="I25" s="3" t="s">
        <v>2345</v>
      </c>
      <c r="J25" t="s">
        <v>2365</v>
      </c>
      <c r="M25" s="3" t="s">
        <v>2301</v>
      </c>
      <c r="N25" s="3" t="s">
        <v>2256</v>
      </c>
      <c r="O25" t="s">
        <v>2310</v>
      </c>
    </row>
    <row r="26" spans="1:15" x14ac:dyDescent="0.25">
      <c r="A26" t="s">
        <v>2285</v>
      </c>
      <c r="B26" s="1" t="e">
        <v>#N/A</v>
      </c>
      <c r="C26" s="1" t="e">
        <v>#N/A</v>
      </c>
      <c r="D26" s="1" t="e">
        <v>#N/A</v>
      </c>
      <c r="E26" s="1" t="s">
        <v>2298</v>
      </c>
      <c r="F26" s="2" t="s">
        <v>2300</v>
      </c>
      <c r="G26" s="1" t="s">
        <v>2304</v>
      </c>
      <c r="H26" s="2">
        <v>21</v>
      </c>
      <c r="I26" s="3" t="s">
        <v>60</v>
      </c>
      <c r="J26" t="s">
        <v>2365</v>
      </c>
      <c r="M26" s="3" t="s">
        <v>2300</v>
      </c>
      <c r="N26" s="3" t="s">
        <v>2255</v>
      </c>
      <c r="O26" t="s">
        <v>2310</v>
      </c>
    </row>
    <row r="27" spans="1:15" x14ac:dyDescent="0.25">
      <c r="A27" t="s">
        <v>2283</v>
      </c>
      <c r="B27" s="1" t="s">
        <v>2288</v>
      </c>
      <c r="C27" s="1" t="s">
        <v>2295</v>
      </c>
      <c r="D27" s="1" t="s">
        <v>2393</v>
      </c>
      <c r="E27" s="1" t="s">
        <v>2298</v>
      </c>
      <c r="F27" s="2" t="s">
        <v>2300</v>
      </c>
      <c r="G27" s="1" t="s">
        <v>2304</v>
      </c>
      <c r="H27" s="2">
        <v>21</v>
      </c>
      <c r="I27" s="3" t="s">
        <v>2314</v>
      </c>
      <c r="J27" t="s">
        <v>2365</v>
      </c>
      <c r="M27" s="3" t="s">
        <v>2300</v>
      </c>
      <c r="N27" s="3" t="s">
        <v>2255</v>
      </c>
      <c r="O27" t="s">
        <v>2310</v>
      </c>
    </row>
    <row r="28" spans="1:15" x14ac:dyDescent="0.25">
      <c r="A28" t="s">
        <v>2285</v>
      </c>
      <c r="B28" s="1" t="e">
        <v>#N/A</v>
      </c>
      <c r="C28" s="1" t="e">
        <v>#N/A</v>
      </c>
      <c r="D28" s="1" t="e">
        <v>#N/A</v>
      </c>
      <c r="E28" s="1" t="s">
        <v>2298</v>
      </c>
      <c r="F28" s="2" t="s">
        <v>2300</v>
      </c>
      <c r="G28" s="1" t="s">
        <v>2303</v>
      </c>
      <c r="H28" s="2">
        <v>21</v>
      </c>
      <c r="I28" s="3" t="s">
        <v>2352</v>
      </c>
      <c r="J28" t="s">
        <v>2365</v>
      </c>
      <c r="M28" s="3" t="s">
        <v>2300</v>
      </c>
      <c r="N28" s="3" t="s">
        <v>2256</v>
      </c>
      <c r="O28" t="s">
        <v>2310</v>
      </c>
    </row>
    <row r="29" spans="1:15" x14ac:dyDescent="0.25">
      <c r="A29" t="s">
        <v>2285</v>
      </c>
      <c r="B29" s="1" t="e">
        <v>#N/A</v>
      </c>
      <c r="C29" s="1" t="e">
        <v>#N/A</v>
      </c>
      <c r="D29" s="1" t="e">
        <v>#N/A</v>
      </c>
      <c r="E29" s="1" t="s">
        <v>2298</v>
      </c>
      <c r="F29" s="2" t="s">
        <v>2300</v>
      </c>
      <c r="G29" s="1" t="s">
        <v>2303</v>
      </c>
      <c r="H29" s="2">
        <v>21</v>
      </c>
      <c r="I29" s="3" t="s">
        <v>2350</v>
      </c>
      <c r="J29" t="s">
        <v>2365</v>
      </c>
      <c r="M29" s="3" t="s">
        <v>2300</v>
      </c>
      <c r="N29" s="3" t="s">
        <v>2256</v>
      </c>
      <c r="O29" t="s">
        <v>2310</v>
      </c>
    </row>
    <row r="30" spans="1:15" x14ac:dyDescent="0.25">
      <c r="A30" t="s">
        <v>2285</v>
      </c>
      <c r="B30" s="1" t="e">
        <v>#N/A</v>
      </c>
      <c r="C30" s="1" t="e">
        <v>#N/A</v>
      </c>
      <c r="D30" s="1" t="e">
        <v>#N/A</v>
      </c>
      <c r="E30" s="1" t="s">
        <v>2298</v>
      </c>
      <c r="F30" s="2" t="s">
        <v>2300</v>
      </c>
      <c r="G30" s="1" t="s">
        <v>2303</v>
      </c>
      <c r="H30" s="2">
        <v>21</v>
      </c>
      <c r="I30" s="3" t="s">
        <v>60</v>
      </c>
      <c r="J30" t="s">
        <v>2365</v>
      </c>
      <c r="M30" s="3" t="s">
        <v>2300</v>
      </c>
      <c r="N30" s="3" t="s">
        <v>2256</v>
      </c>
      <c r="O30" t="s">
        <v>2310</v>
      </c>
    </row>
    <row r="31" spans="1:15" x14ac:dyDescent="0.25">
      <c r="A31" t="s">
        <v>2283</v>
      </c>
      <c r="B31" s="1" t="s">
        <v>2288</v>
      </c>
      <c r="C31" s="1" t="s">
        <v>2291</v>
      </c>
      <c r="D31" s="1" t="s">
        <v>2406</v>
      </c>
      <c r="E31" s="1" t="s">
        <v>2298</v>
      </c>
      <c r="F31" s="2" t="s">
        <v>2300</v>
      </c>
      <c r="G31" s="1" t="s">
        <v>2304</v>
      </c>
      <c r="H31" s="2">
        <v>20</v>
      </c>
      <c r="I31" s="3" t="s">
        <v>2314</v>
      </c>
      <c r="J31" t="s">
        <v>2365</v>
      </c>
      <c r="M31" s="3" t="s">
        <v>2300</v>
      </c>
      <c r="N31" s="3" t="s">
        <v>2255</v>
      </c>
      <c r="O31" t="s">
        <v>2310</v>
      </c>
    </row>
    <row r="32" spans="1:15" x14ac:dyDescent="0.25">
      <c r="A32" t="s">
        <v>2285</v>
      </c>
      <c r="B32" s="1" t="e">
        <v>#N/A</v>
      </c>
      <c r="C32" s="1" t="e">
        <v>#N/A</v>
      </c>
      <c r="D32" s="1" t="e">
        <v>#N/A</v>
      </c>
      <c r="E32" s="1" t="s">
        <v>2298</v>
      </c>
      <c r="F32" s="2" t="s">
        <v>2300</v>
      </c>
      <c r="G32" s="1" t="s">
        <v>2304</v>
      </c>
      <c r="H32" s="2">
        <v>20</v>
      </c>
      <c r="I32" s="3" t="s">
        <v>2354</v>
      </c>
      <c r="J32" t="s">
        <v>2365</v>
      </c>
      <c r="M32" s="3" t="s">
        <v>2300</v>
      </c>
      <c r="N32" s="3" t="s">
        <v>2255</v>
      </c>
      <c r="O32" t="s">
        <v>2310</v>
      </c>
    </row>
    <row r="33" spans="1:15" x14ac:dyDescent="0.25">
      <c r="A33" t="s">
        <v>2285</v>
      </c>
      <c r="B33" s="1" t="e">
        <v>#N/A</v>
      </c>
      <c r="C33" s="1" t="e">
        <v>#N/A</v>
      </c>
      <c r="D33" s="1" t="e">
        <v>#N/A</v>
      </c>
      <c r="E33" s="1" t="s">
        <v>2298</v>
      </c>
      <c r="F33" s="2" t="s">
        <v>2300</v>
      </c>
      <c r="G33" s="1" t="s">
        <v>2304</v>
      </c>
      <c r="H33" s="2">
        <v>20</v>
      </c>
      <c r="I33" s="3" t="s">
        <v>2355</v>
      </c>
      <c r="J33" t="s">
        <v>2365</v>
      </c>
      <c r="M33" s="3" t="s">
        <v>2300</v>
      </c>
      <c r="N33" s="3" t="s">
        <v>2255</v>
      </c>
      <c r="O33" t="s">
        <v>2310</v>
      </c>
    </row>
    <row r="34" spans="1:15" x14ac:dyDescent="0.25">
      <c r="A34" t="s">
        <v>2285</v>
      </c>
      <c r="B34" s="1" t="e">
        <v>#N/A</v>
      </c>
      <c r="C34" s="1" t="e">
        <v>#N/A</v>
      </c>
      <c r="D34" s="1" t="e">
        <v>#N/A</v>
      </c>
      <c r="E34" s="1" t="s">
        <v>2298</v>
      </c>
      <c r="F34" s="2" t="s">
        <v>2300</v>
      </c>
      <c r="G34" s="1" t="s">
        <v>2303</v>
      </c>
      <c r="H34" s="2">
        <v>20</v>
      </c>
      <c r="I34" s="3" t="s">
        <v>2344</v>
      </c>
      <c r="J34" t="s">
        <v>2365</v>
      </c>
      <c r="M34" s="3" t="s">
        <v>2300</v>
      </c>
      <c r="N34" s="3" t="s">
        <v>2256</v>
      </c>
      <c r="O34" t="s">
        <v>2310</v>
      </c>
    </row>
    <row r="35" spans="1:15" x14ac:dyDescent="0.25">
      <c r="A35" t="s">
        <v>2285</v>
      </c>
      <c r="B35" s="1" t="s">
        <v>2288</v>
      </c>
      <c r="C35" s="1" t="s">
        <v>2291</v>
      </c>
      <c r="D35" s="1" t="s">
        <v>2431</v>
      </c>
      <c r="E35" s="1" t="s">
        <v>2432</v>
      </c>
      <c r="F35" s="2" t="s">
        <v>2301</v>
      </c>
      <c r="G35" s="1" t="s">
        <v>2304</v>
      </c>
      <c r="H35" s="2">
        <v>20</v>
      </c>
      <c r="I35" s="3" t="s">
        <v>2358</v>
      </c>
      <c r="J35" t="s">
        <v>2365</v>
      </c>
      <c r="M35" s="3" t="s">
        <v>2301</v>
      </c>
      <c r="N35" s="3" t="s">
        <v>2255</v>
      </c>
      <c r="O35" t="s">
        <v>2310</v>
      </c>
    </row>
    <row r="36" spans="1:15" x14ac:dyDescent="0.25">
      <c r="A36" t="s">
        <v>2285</v>
      </c>
      <c r="B36" s="1" t="e">
        <v>#N/A</v>
      </c>
      <c r="C36" s="1" t="e">
        <v>#N/A</v>
      </c>
      <c r="D36" s="1" t="e">
        <v>#N/A</v>
      </c>
      <c r="E36" s="1" t="s">
        <v>2298</v>
      </c>
      <c r="F36" s="2" t="s">
        <v>2300</v>
      </c>
      <c r="G36" s="1" t="s">
        <v>2303</v>
      </c>
      <c r="H36" s="2">
        <v>20</v>
      </c>
      <c r="I36" s="3" t="s">
        <v>2355</v>
      </c>
      <c r="J36" t="s">
        <v>2365</v>
      </c>
      <c r="M36" s="3" t="s">
        <v>2300</v>
      </c>
      <c r="N36" s="3" t="s">
        <v>2256</v>
      </c>
      <c r="O36" t="s">
        <v>2310</v>
      </c>
    </row>
    <row r="37" spans="1:15" x14ac:dyDescent="0.25">
      <c r="A37" t="s">
        <v>2283</v>
      </c>
      <c r="B37" s="1" t="s">
        <v>2288</v>
      </c>
      <c r="C37" s="1" t="s">
        <v>2293</v>
      </c>
      <c r="D37" s="1" t="s">
        <v>2406</v>
      </c>
      <c r="E37" s="1" t="s">
        <v>2298</v>
      </c>
      <c r="F37" s="2" t="s">
        <v>2300</v>
      </c>
      <c r="G37" s="1" t="s">
        <v>2304</v>
      </c>
      <c r="H37" s="2">
        <v>20</v>
      </c>
      <c r="I37" s="3" t="s">
        <v>2314</v>
      </c>
      <c r="J37" t="s">
        <v>2365</v>
      </c>
      <c r="M37" s="3" t="s">
        <v>2300</v>
      </c>
      <c r="N37" s="3" t="s">
        <v>2255</v>
      </c>
      <c r="O37" t="s">
        <v>2310</v>
      </c>
    </row>
    <row r="38" spans="1:15" x14ac:dyDescent="0.25">
      <c r="A38" t="s">
        <v>2285</v>
      </c>
      <c r="B38" s="1" t="s">
        <v>2288</v>
      </c>
      <c r="C38" s="1" t="s">
        <v>2291</v>
      </c>
      <c r="D38" s="1" t="s">
        <v>2431</v>
      </c>
      <c r="E38" s="1" t="s">
        <v>2432</v>
      </c>
      <c r="F38" s="2" t="s">
        <v>2301</v>
      </c>
      <c r="G38" s="1" t="s">
        <v>2304</v>
      </c>
      <c r="H38" s="2">
        <v>20</v>
      </c>
      <c r="I38" s="3" t="s">
        <v>2317</v>
      </c>
      <c r="J38" t="s">
        <v>2365</v>
      </c>
      <c r="M38" s="3" t="s">
        <v>2301</v>
      </c>
      <c r="N38" s="3" t="s">
        <v>2255</v>
      </c>
      <c r="O38" t="s">
        <v>2310</v>
      </c>
    </row>
    <row r="39" spans="1:15" x14ac:dyDescent="0.25">
      <c r="A39" t="s">
        <v>2286</v>
      </c>
      <c r="B39" s="1" t="s">
        <v>2289</v>
      </c>
      <c r="C39" s="1" t="s">
        <v>2291</v>
      </c>
      <c r="D39" s="1" t="s">
        <v>2406</v>
      </c>
      <c r="E39" s="1" t="s">
        <v>2298</v>
      </c>
      <c r="F39" s="2" t="s">
        <v>2300</v>
      </c>
      <c r="G39" s="1" t="s">
        <v>2304</v>
      </c>
      <c r="H39" s="2">
        <v>19</v>
      </c>
      <c r="I39" s="3" t="s">
        <v>2319</v>
      </c>
      <c r="J39" t="s">
        <v>2365</v>
      </c>
      <c r="M39" s="3" t="s">
        <v>2300</v>
      </c>
      <c r="N39" s="3" t="s">
        <v>2255</v>
      </c>
      <c r="O39" t="s">
        <v>2310</v>
      </c>
    </row>
    <row r="40" spans="1:15" x14ac:dyDescent="0.25">
      <c r="A40" t="s">
        <v>2285</v>
      </c>
      <c r="B40" s="1" t="e">
        <v>#N/A</v>
      </c>
      <c r="C40" s="1" t="s">
        <v>2294</v>
      </c>
      <c r="D40" s="1" t="s">
        <v>2406</v>
      </c>
      <c r="E40" s="1" t="s">
        <v>2298</v>
      </c>
      <c r="F40" s="2" t="s">
        <v>2300</v>
      </c>
      <c r="G40" s="1" t="s">
        <v>2304</v>
      </c>
      <c r="H40" s="2">
        <v>19</v>
      </c>
      <c r="I40" s="3" t="s">
        <v>2361</v>
      </c>
      <c r="J40" t="s">
        <v>2365</v>
      </c>
      <c r="M40" s="3" t="s">
        <v>2300</v>
      </c>
      <c r="N40" s="3" t="s">
        <v>2255</v>
      </c>
      <c r="O40" t="s">
        <v>2310</v>
      </c>
    </row>
    <row r="41" spans="1:15" x14ac:dyDescent="0.25">
      <c r="A41" t="s">
        <v>2285</v>
      </c>
      <c r="B41" s="1" t="e">
        <v>#N/A</v>
      </c>
      <c r="C41" s="1" t="e">
        <v>#N/A</v>
      </c>
      <c r="D41" s="1" t="e">
        <v>#N/A</v>
      </c>
      <c r="E41" s="1" t="s">
        <v>2298</v>
      </c>
      <c r="F41" s="2" t="s">
        <v>2300</v>
      </c>
      <c r="G41" s="1" t="s">
        <v>2304</v>
      </c>
      <c r="H41" s="2">
        <v>19</v>
      </c>
      <c r="I41" s="3" t="s">
        <v>19</v>
      </c>
      <c r="J41" t="s">
        <v>2365</v>
      </c>
      <c r="M41" s="3" t="s">
        <v>2300</v>
      </c>
      <c r="N41" s="3" t="s">
        <v>2255</v>
      </c>
      <c r="O41" t="s">
        <v>2310</v>
      </c>
    </row>
    <row r="42" spans="1:15" x14ac:dyDescent="0.25">
      <c r="A42" t="s">
        <v>2285</v>
      </c>
      <c r="B42" s="1" t="s">
        <v>2289</v>
      </c>
      <c r="C42" s="1" t="s">
        <v>2291</v>
      </c>
      <c r="D42" s="1" t="s">
        <v>2431</v>
      </c>
      <c r="E42" s="1" t="s">
        <v>2432</v>
      </c>
      <c r="F42" s="2" t="s">
        <v>2301</v>
      </c>
      <c r="G42" s="1" t="s">
        <v>2304</v>
      </c>
      <c r="H42" s="2">
        <v>19</v>
      </c>
      <c r="I42" s="3" t="s">
        <v>11</v>
      </c>
      <c r="J42" t="s">
        <v>2365</v>
      </c>
      <c r="M42" s="3" t="s">
        <v>2300</v>
      </c>
      <c r="N42" s="3" t="s">
        <v>2255</v>
      </c>
      <c r="O42" t="s">
        <v>2310</v>
      </c>
    </row>
    <row r="43" spans="1:15" x14ac:dyDescent="0.25">
      <c r="A43" t="s">
        <v>2285</v>
      </c>
      <c r="B43" s="1" t="e">
        <v>#N/A</v>
      </c>
      <c r="C43" s="1" t="e">
        <v>#N/A</v>
      </c>
      <c r="D43" s="1" t="e">
        <v>#N/A</v>
      </c>
      <c r="E43" s="1" t="s">
        <v>2432</v>
      </c>
      <c r="F43" s="2" t="s">
        <v>2301</v>
      </c>
      <c r="G43" s="1" t="s">
        <v>2304</v>
      </c>
      <c r="H43" s="2">
        <v>19</v>
      </c>
      <c r="I43" s="3" t="s">
        <v>48</v>
      </c>
      <c r="J43" t="s">
        <v>2365</v>
      </c>
      <c r="M43" s="3" t="s">
        <v>2300</v>
      </c>
      <c r="N43" s="3" t="s">
        <v>2255</v>
      </c>
      <c r="O43" t="s">
        <v>2310</v>
      </c>
    </row>
    <row r="44" spans="1:15" x14ac:dyDescent="0.25">
      <c r="A44" t="s">
        <v>2285</v>
      </c>
      <c r="B44" s="1" t="s">
        <v>2289</v>
      </c>
      <c r="C44" s="1" t="s">
        <v>2291</v>
      </c>
      <c r="D44" s="1" t="s">
        <v>2431</v>
      </c>
      <c r="E44" s="1" t="s">
        <v>2432</v>
      </c>
      <c r="F44" s="2" t="s">
        <v>2301</v>
      </c>
      <c r="G44" s="1" t="s">
        <v>2304</v>
      </c>
      <c r="H44" s="2">
        <v>19</v>
      </c>
      <c r="I44" s="3" t="s">
        <v>126</v>
      </c>
      <c r="J44" t="s">
        <v>2365</v>
      </c>
      <c r="M44" s="3" t="s">
        <v>2300</v>
      </c>
      <c r="N44" s="3" t="s">
        <v>2255</v>
      </c>
      <c r="O44" t="s">
        <v>2310</v>
      </c>
    </row>
    <row r="45" spans="1:15" x14ac:dyDescent="0.25">
      <c r="A45" t="s">
        <v>2285</v>
      </c>
      <c r="B45" s="1" t="e">
        <v>#N/A</v>
      </c>
      <c r="C45" s="1" t="e">
        <v>#N/A</v>
      </c>
      <c r="D45" s="1" t="e">
        <v>#N/A</v>
      </c>
      <c r="E45" s="1" t="s">
        <v>2298</v>
      </c>
      <c r="F45" s="2" t="s">
        <v>2300</v>
      </c>
      <c r="G45" s="1" t="s">
        <v>2304</v>
      </c>
      <c r="H45" s="2">
        <v>19</v>
      </c>
      <c r="I45" s="3" t="s">
        <v>2359</v>
      </c>
      <c r="J45" t="s">
        <v>2365</v>
      </c>
      <c r="M45" s="3" t="s">
        <v>2300</v>
      </c>
      <c r="N45" s="3" t="s">
        <v>2255</v>
      </c>
      <c r="O45" t="s">
        <v>2310</v>
      </c>
    </row>
    <row r="46" spans="1:15" x14ac:dyDescent="0.25">
      <c r="A46" t="s">
        <v>2285</v>
      </c>
      <c r="B46" s="1" t="e">
        <v>#N/A</v>
      </c>
      <c r="C46" s="1" t="e">
        <v>#N/A</v>
      </c>
      <c r="D46" s="1" t="e">
        <v>#N/A</v>
      </c>
      <c r="E46" s="1" t="s">
        <v>2298</v>
      </c>
      <c r="F46" s="2" t="s">
        <v>2300</v>
      </c>
      <c r="G46" s="1" t="s">
        <v>2304</v>
      </c>
      <c r="H46" s="2">
        <v>18</v>
      </c>
      <c r="I46" s="3" t="s">
        <v>19</v>
      </c>
      <c r="J46" t="s">
        <v>2365</v>
      </c>
      <c r="M46" s="3" t="s">
        <v>2300</v>
      </c>
      <c r="N46" s="3" t="s">
        <v>2255</v>
      </c>
      <c r="O46" t="s">
        <v>2310</v>
      </c>
    </row>
    <row r="47" spans="1:15" x14ac:dyDescent="0.25">
      <c r="A47" t="s">
        <v>2286</v>
      </c>
      <c r="B47" s="1" t="s">
        <v>2289</v>
      </c>
      <c r="C47" s="1" t="s">
        <v>2291</v>
      </c>
      <c r="D47" s="1" t="s">
        <v>2406</v>
      </c>
      <c r="E47" s="1" t="s">
        <v>2298</v>
      </c>
      <c r="F47" s="2" t="s">
        <v>2300</v>
      </c>
      <c r="G47" s="1" t="s">
        <v>2304</v>
      </c>
      <c r="H47" s="2">
        <v>18</v>
      </c>
      <c r="I47" s="3" t="s">
        <v>2394</v>
      </c>
      <c r="J47" t="s">
        <v>2365</v>
      </c>
      <c r="M47" s="3" t="s">
        <v>2300</v>
      </c>
      <c r="N47" s="3" t="s">
        <v>2255</v>
      </c>
      <c r="O47" t="s">
        <v>2310</v>
      </c>
    </row>
    <row r="48" spans="1:15" x14ac:dyDescent="0.25">
      <c r="A48" t="s">
        <v>2286</v>
      </c>
      <c r="B48" s="1" t="s">
        <v>2288</v>
      </c>
      <c r="C48" s="1" t="s">
        <v>2291</v>
      </c>
      <c r="D48" s="1" t="s">
        <v>2407</v>
      </c>
      <c r="E48" s="1" t="s">
        <v>2298</v>
      </c>
      <c r="F48" s="2" t="s">
        <v>2300</v>
      </c>
      <c r="G48" s="1" t="s">
        <v>2303</v>
      </c>
      <c r="H48" s="2">
        <v>18</v>
      </c>
      <c r="I48" s="3" t="s">
        <v>2363</v>
      </c>
      <c r="J48" t="s">
        <v>2365</v>
      </c>
      <c r="M48" s="3" t="s">
        <v>2300</v>
      </c>
      <c r="N48" s="3" t="s">
        <v>2256</v>
      </c>
      <c r="O48" t="s">
        <v>2310</v>
      </c>
    </row>
    <row r="49" spans="1:15" x14ac:dyDescent="0.25">
      <c r="A49" t="s">
        <v>2285</v>
      </c>
      <c r="B49" s="1" t="e">
        <v>#N/A</v>
      </c>
      <c r="C49" s="1" t="e">
        <v>#N/A</v>
      </c>
      <c r="D49" s="1" t="e">
        <v>#N/A</v>
      </c>
      <c r="E49" s="1" t="s">
        <v>2432</v>
      </c>
      <c r="F49" s="2" t="s">
        <v>2300</v>
      </c>
      <c r="G49" s="1" t="s">
        <v>2304</v>
      </c>
      <c r="H49" s="2">
        <v>18</v>
      </c>
      <c r="I49" s="3" t="s">
        <v>2317</v>
      </c>
      <c r="J49" t="s">
        <v>2365</v>
      </c>
      <c r="M49" s="3" t="s">
        <v>2301</v>
      </c>
      <c r="N49" s="3" t="s">
        <v>2255</v>
      </c>
      <c r="O49" t="s">
        <v>2310</v>
      </c>
    </row>
    <row r="50" spans="1:15" x14ac:dyDescent="0.25">
      <c r="A50" t="s">
        <v>2285</v>
      </c>
      <c r="B50" s="1" t="e">
        <v>#N/A</v>
      </c>
      <c r="C50" s="1" t="e">
        <v>#N/A</v>
      </c>
      <c r="D50" s="1" t="e">
        <v>#N/A</v>
      </c>
      <c r="E50" s="1" t="s">
        <v>2432</v>
      </c>
      <c r="F50" s="2" t="s">
        <v>2301</v>
      </c>
      <c r="G50" s="1" t="s">
        <v>2304</v>
      </c>
      <c r="H50" s="2">
        <v>18</v>
      </c>
      <c r="I50" s="3" t="s">
        <v>31</v>
      </c>
      <c r="J50" t="s">
        <v>2365</v>
      </c>
      <c r="M50" s="3" t="s">
        <v>2300</v>
      </c>
      <c r="N50" s="3" t="s">
        <v>2255</v>
      </c>
      <c r="O50" t="s">
        <v>2310</v>
      </c>
    </row>
    <row r="51" spans="1:15" x14ac:dyDescent="0.25">
      <c r="A51" t="s">
        <v>2285</v>
      </c>
      <c r="B51" s="1" t="e">
        <v>#N/A</v>
      </c>
      <c r="C51" s="1" t="e">
        <v>#N/A</v>
      </c>
      <c r="D51" s="1" t="e">
        <v>#N/A</v>
      </c>
      <c r="E51" s="1" t="s">
        <v>2432</v>
      </c>
      <c r="F51" s="2" t="s">
        <v>2300</v>
      </c>
      <c r="G51" s="1" t="s">
        <v>2304</v>
      </c>
      <c r="H51" s="2">
        <v>18</v>
      </c>
      <c r="I51" s="3" t="s">
        <v>2317</v>
      </c>
      <c r="J51" t="s">
        <v>2365</v>
      </c>
      <c r="M51" s="3" t="s">
        <v>2301</v>
      </c>
      <c r="N51" s="3" t="s">
        <v>2255</v>
      </c>
      <c r="O51" t="s">
        <v>2310</v>
      </c>
    </row>
    <row r="52" spans="1:15" x14ac:dyDescent="0.25">
      <c r="A52" t="s">
        <v>2285</v>
      </c>
      <c r="B52" s="1" t="e">
        <v>#N/A</v>
      </c>
      <c r="C52" s="1" t="e">
        <v>#N/A</v>
      </c>
      <c r="D52" s="1" t="e">
        <v>#N/A</v>
      </c>
      <c r="E52" s="1" t="s">
        <v>2432</v>
      </c>
      <c r="F52" s="2" t="s">
        <v>2301</v>
      </c>
      <c r="G52" s="1" t="s">
        <v>2303</v>
      </c>
      <c r="H52" s="2">
        <v>18</v>
      </c>
      <c r="I52" s="3" t="s">
        <v>2318</v>
      </c>
      <c r="J52" t="s">
        <v>2365</v>
      </c>
      <c r="M52" s="3" t="s">
        <v>2300</v>
      </c>
      <c r="N52" s="3" t="s">
        <v>2256</v>
      </c>
      <c r="O52" t="s">
        <v>2310</v>
      </c>
    </row>
    <row r="53" spans="1:15" x14ac:dyDescent="0.25">
      <c r="A53" t="s">
        <v>2285</v>
      </c>
      <c r="B53" s="1" t="e">
        <v>#N/A</v>
      </c>
      <c r="C53" s="1" t="e">
        <v>#N/A</v>
      </c>
      <c r="D53" s="1" t="e">
        <v>#N/A</v>
      </c>
      <c r="E53" s="1" t="s">
        <v>2432</v>
      </c>
      <c r="F53" s="2" t="s">
        <v>2300</v>
      </c>
      <c r="G53" s="1" t="s">
        <v>2304</v>
      </c>
      <c r="H53" s="2">
        <v>18</v>
      </c>
      <c r="I53" s="3" t="s">
        <v>2319</v>
      </c>
      <c r="J53" t="s">
        <v>2365</v>
      </c>
      <c r="M53" s="3" t="s">
        <v>2301</v>
      </c>
      <c r="N53" s="3" t="s">
        <v>2255</v>
      </c>
      <c r="O53" t="s">
        <v>2310</v>
      </c>
    </row>
    <row r="54" spans="1:15" x14ac:dyDescent="0.25">
      <c r="A54" t="s">
        <v>2283</v>
      </c>
      <c r="B54" s="1" t="s">
        <v>2288</v>
      </c>
      <c r="C54" s="1" t="s">
        <v>2293</v>
      </c>
      <c r="D54" s="1" t="s">
        <v>2407</v>
      </c>
      <c r="E54" s="1" t="s">
        <v>2298</v>
      </c>
      <c r="F54" s="2" t="s">
        <v>2300</v>
      </c>
      <c r="G54" s="1" t="s">
        <v>2304</v>
      </c>
      <c r="H54" s="2">
        <v>15</v>
      </c>
      <c r="I54" s="3" t="s">
        <v>2334</v>
      </c>
      <c r="J54" t="s">
        <v>2365</v>
      </c>
      <c r="M54" s="3" t="s">
        <v>2300</v>
      </c>
      <c r="N54" s="3" t="s">
        <v>2255</v>
      </c>
      <c r="O54" t="s">
        <v>2310</v>
      </c>
    </row>
    <row r="55" spans="1:15" x14ac:dyDescent="0.25">
      <c r="A55" t="s">
        <v>2285</v>
      </c>
      <c r="B55" s="1" t="e">
        <v>#N/A</v>
      </c>
      <c r="C55" s="1" t="e">
        <v>#N/A</v>
      </c>
      <c r="D55" s="1" t="e">
        <v>#N/A</v>
      </c>
      <c r="E55" s="1" t="s">
        <v>2298</v>
      </c>
      <c r="F55" s="2" t="s">
        <v>2300</v>
      </c>
      <c r="G55" s="1" t="s">
        <v>2304</v>
      </c>
      <c r="H55" s="2">
        <v>15</v>
      </c>
      <c r="I55" s="3" t="s">
        <v>2368</v>
      </c>
      <c r="J55" t="s">
        <v>2365</v>
      </c>
      <c r="M55" s="3" t="s">
        <v>2300</v>
      </c>
      <c r="N55" s="3" t="s">
        <v>2255</v>
      </c>
      <c r="O55" t="s">
        <v>2310</v>
      </c>
    </row>
    <row r="56" spans="1:15" x14ac:dyDescent="0.25">
      <c r="A56" t="s">
        <v>2285</v>
      </c>
      <c r="B56" s="1" t="e">
        <v>#N/A</v>
      </c>
      <c r="C56" s="1" t="e">
        <v>#N/A</v>
      </c>
      <c r="D56" s="1" t="e">
        <v>#N/A</v>
      </c>
      <c r="E56" s="1" t="s">
        <v>2432</v>
      </c>
      <c r="F56" s="2" t="s">
        <v>2301</v>
      </c>
      <c r="G56" s="1" t="s">
        <v>2303</v>
      </c>
      <c r="H56" s="2">
        <v>15</v>
      </c>
      <c r="I56" s="3" t="s">
        <v>2341</v>
      </c>
      <c r="J56" t="s">
        <v>2365</v>
      </c>
      <c r="M56" s="3" t="s">
        <v>2300</v>
      </c>
      <c r="N56" s="3" t="s">
        <v>2256</v>
      </c>
      <c r="O56" t="s">
        <v>2310</v>
      </c>
    </row>
    <row r="57" spans="1:15" x14ac:dyDescent="0.25">
      <c r="A57" t="s">
        <v>2285</v>
      </c>
      <c r="B57" s="1" t="e">
        <v>#N/A</v>
      </c>
      <c r="C57" s="1" t="e">
        <v>#N/A</v>
      </c>
      <c r="D57" s="1" t="e">
        <v>#N/A</v>
      </c>
      <c r="E57" s="1" t="s">
        <v>2432</v>
      </c>
      <c r="F57" s="2" t="s">
        <v>2301</v>
      </c>
      <c r="G57" s="1" t="s">
        <v>2304</v>
      </c>
      <c r="H57" s="2">
        <v>15</v>
      </c>
      <c r="I57" s="3" t="s">
        <v>18</v>
      </c>
      <c r="J57" t="s">
        <v>2365</v>
      </c>
      <c r="M57" s="3" t="s">
        <v>2300</v>
      </c>
      <c r="N57" s="3" t="s">
        <v>2255</v>
      </c>
      <c r="O57" t="s">
        <v>2310</v>
      </c>
    </row>
    <row r="58" spans="1:15" x14ac:dyDescent="0.25">
      <c r="A58" t="s">
        <v>2285</v>
      </c>
      <c r="B58" s="1" t="s">
        <v>2289</v>
      </c>
      <c r="C58" s="1" t="s">
        <v>2291</v>
      </c>
      <c r="D58" s="1" t="s">
        <v>2431</v>
      </c>
      <c r="E58" s="1" t="s">
        <v>2432</v>
      </c>
      <c r="F58" s="2" t="s">
        <v>2301</v>
      </c>
      <c r="G58" s="1" t="s">
        <v>2304</v>
      </c>
      <c r="H58" s="2">
        <v>15</v>
      </c>
      <c r="I58" s="3" t="s">
        <v>11</v>
      </c>
      <c r="J58" t="s">
        <v>2365</v>
      </c>
      <c r="M58" s="3" t="s">
        <v>2300</v>
      </c>
      <c r="N58" s="3" t="s">
        <v>2255</v>
      </c>
      <c r="O58" t="s">
        <v>2310</v>
      </c>
    </row>
    <row r="59" spans="1:15" x14ac:dyDescent="0.25">
      <c r="A59" t="s">
        <v>2285</v>
      </c>
      <c r="B59" s="1" t="e">
        <v>#N/A</v>
      </c>
      <c r="C59" s="1" t="e">
        <v>#N/A</v>
      </c>
      <c r="D59" s="1" t="e">
        <v>#N/A</v>
      </c>
      <c r="E59" s="1" t="s">
        <v>2298</v>
      </c>
      <c r="F59" s="2" t="s">
        <v>2300</v>
      </c>
      <c r="G59" s="1" t="s">
        <v>2303</v>
      </c>
      <c r="H59" s="2">
        <v>15</v>
      </c>
      <c r="I59" s="3" t="s">
        <v>2345</v>
      </c>
      <c r="J59" t="s">
        <v>2365</v>
      </c>
      <c r="M59" s="3" t="s">
        <v>2300</v>
      </c>
      <c r="N59" s="3" t="s">
        <v>2256</v>
      </c>
      <c r="O59" t="s">
        <v>2310</v>
      </c>
    </row>
    <row r="60" spans="1:15" x14ac:dyDescent="0.25">
      <c r="A60" t="s">
        <v>2285</v>
      </c>
      <c r="B60" s="1" t="e">
        <v>#N/A</v>
      </c>
      <c r="C60" s="1" t="e">
        <v>#N/A</v>
      </c>
      <c r="D60" s="1" t="e">
        <v>#N/A</v>
      </c>
      <c r="E60" s="1" t="s">
        <v>2298</v>
      </c>
      <c r="F60" s="2" t="s">
        <v>2300</v>
      </c>
      <c r="G60" s="1" t="s">
        <v>2304</v>
      </c>
      <c r="H60" s="2">
        <v>15</v>
      </c>
      <c r="I60" s="3" t="s">
        <v>19</v>
      </c>
      <c r="J60" t="s">
        <v>2365</v>
      </c>
      <c r="M60" s="3" t="s">
        <v>2300</v>
      </c>
      <c r="N60" s="3" t="s">
        <v>2255</v>
      </c>
      <c r="O60" t="s">
        <v>2310</v>
      </c>
    </row>
    <row r="61" spans="1:15" x14ac:dyDescent="0.25">
      <c r="A61" t="s">
        <v>2283</v>
      </c>
      <c r="B61" s="1" t="s">
        <v>2289</v>
      </c>
      <c r="C61" s="1" t="s">
        <v>2291</v>
      </c>
      <c r="D61" s="1" t="s">
        <v>2400</v>
      </c>
      <c r="E61" s="1" t="s">
        <v>2298</v>
      </c>
      <c r="F61" s="2" t="s">
        <v>2300</v>
      </c>
      <c r="G61" s="1" t="s">
        <v>2304</v>
      </c>
      <c r="H61" s="2">
        <v>15</v>
      </c>
      <c r="I61" s="3" t="s">
        <v>2314</v>
      </c>
      <c r="J61" t="s">
        <v>2365</v>
      </c>
      <c r="M61" s="3" t="s">
        <v>2300</v>
      </c>
      <c r="N61" s="3" t="s">
        <v>2255</v>
      </c>
      <c r="O61" t="s">
        <v>2310</v>
      </c>
    </row>
    <row r="62" spans="1:15" x14ac:dyDescent="0.25">
      <c r="A62" t="s">
        <v>2285</v>
      </c>
      <c r="B62" s="1" t="e">
        <v>#N/A</v>
      </c>
      <c r="C62" s="1" t="e">
        <v>#N/A</v>
      </c>
      <c r="D62" s="1" t="e">
        <v>#N/A</v>
      </c>
      <c r="E62" s="1" t="s">
        <v>2298</v>
      </c>
      <c r="F62" s="2" t="s">
        <v>2300</v>
      </c>
      <c r="G62" s="1" t="s">
        <v>2305</v>
      </c>
      <c r="H62" s="2">
        <v>15</v>
      </c>
      <c r="I62" s="3" t="s">
        <v>2369</v>
      </c>
      <c r="J62" t="s">
        <v>2365</v>
      </c>
      <c r="M62" s="3" t="s">
        <v>2300</v>
      </c>
      <c r="N62" s="3" t="s">
        <v>2258</v>
      </c>
      <c r="O62" t="s">
        <v>2310</v>
      </c>
    </row>
    <row r="63" spans="1:15" x14ac:dyDescent="0.25">
      <c r="A63" t="s">
        <v>2285</v>
      </c>
      <c r="B63" s="1" t="e">
        <v>#N/A</v>
      </c>
      <c r="C63" s="1" t="e">
        <v>#N/A</v>
      </c>
      <c r="D63" s="1" t="e">
        <v>#N/A</v>
      </c>
      <c r="E63" s="1" t="s">
        <v>2298</v>
      </c>
      <c r="F63" s="2" t="s">
        <v>2300</v>
      </c>
      <c r="G63" s="1" t="s">
        <v>2304</v>
      </c>
      <c r="H63" s="2">
        <v>15</v>
      </c>
      <c r="I63" s="3" t="s">
        <v>22</v>
      </c>
      <c r="J63" t="s">
        <v>2365</v>
      </c>
      <c r="M63" s="3" t="s">
        <v>2300</v>
      </c>
      <c r="N63" s="3" t="s">
        <v>2255</v>
      </c>
      <c r="O63" t="s">
        <v>2310</v>
      </c>
    </row>
    <row r="64" spans="1:15" x14ac:dyDescent="0.25">
      <c r="A64" t="s">
        <v>2286</v>
      </c>
      <c r="B64" s="1" t="s">
        <v>2288</v>
      </c>
      <c r="C64" s="1" t="s">
        <v>2291</v>
      </c>
      <c r="D64" s="1" t="s">
        <v>2407</v>
      </c>
      <c r="E64" s="1" t="s">
        <v>2298</v>
      </c>
      <c r="F64" s="2" t="s">
        <v>2300</v>
      </c>
      <c r="G64" s="1" t="s">
        <v>2304</v>
      </c>
      <c r="H64" s="2">
        <v>15</v>
      </c>
      <c r="I64" s="3" t="s">
        <v>2317</v>
      </c>
      <c r="J64" t="s">
        <v>2365</v>
      </c>
      <c r="M64" s="3" t="s">
        <v>2300</v>
      </c>
      <c r="N64" s="3" t="s">
        <v>2255</v>
      </c>
      <c r="O64" t="s">
        <v>2310</v>
      </c>
    </row>
    <row r="65" spans="1:15" x14ac:dyDescent="0.25">
      <c r="A65" t="s">
        <v>2285</v>
      </c>
      <c r="B65" s="1" t="e">
        <v>#N/A</v>
      </c>
      <c r="C65" s="1" t="e">
        <v>#N/A</v>
      </c>
      <c r="D65" s="1" t="e">
        <v>#N/A</v>
      </c>
      <c r="E65" s="1" t="s">
        <v>2298</v>
      </c>
      <c r="F65" s="2" t="s">
        <v>2300</v>
      </c>
      <c r="G65" s="1" t="s">
        <v>2303</v>
      </c>
      <c r="H65" s="2">
        <v>15</v>
      </c>
      <c r="I65" s="3" t="s">
        <v>23</v>
      </c>
      <c r="J65" t="s">
        <v>2365</v>
      </c>
      <c r="M65" s="3" t="s">
        <v>2300</v>
      </c>
      <c r="N65" s="3" t="s">
        <v>2256</v>
      </c>
      <c r="O65" t="s">
        <v>2310</v>
      </c>
    </row>
    <row r="66" spans="1:15" x14ac:dyDescent="0.25">
      <c r="A66" t="s">
        <v>2285</v>
      </c>
      <c r="B66" s="1" t="e">
        <v>#N/A</v>
      </c>
      <c r="C66" s="1" t="e">
        <v>#N/A</v>
      </c>
      <c r="D66" s="1" t="e">
        <v>#N/A</v>
      </c>
      <c r="E66" s="1" t="s">
        <v>2298</v>
      </c>
      <c r="F66" s="2" t="s">
        <v>2300</v>
      </c>
      <c r="G66" s="1" t="s">
        <v>2304</v>
      </c>
      <c r="H66" s="2">
        <v>15</v>
      </c>
      <c r="I66" s="3" t="s">
        <v>2370</v>
      </c>
      <c r="J66" t="s">
        <v>2365</v>
      </c>
      <c r="M66" s="3" t="s">
        <v>2300</v>
      </c>
      <c r="N66" s="3" t="s">
        <v>2255</v>
      </c>
      <c r="O66" t="s">
        <v>2310</v>
      </c>
    </row>
    <row r="67" spans="1:15" x14ac:dyDescent="0.25">
      <c r="A67" t="s">
        <v>2285</v>
      </c>
      <c r="B67" s="1" t="e">
        <v>#N/A</v>
      </c>
      <c r="C67" s="1" t="e">
        <v>#N/A</v>
      </c>
      <c r="D67" s="1" t="e">
        <v>#N/A</v>
      </c>
      <c r="E67" s="1" t="s">
        <v>2432</v>
      </c>
      <c r="F67" s="2" t="s">
        <v>2301</v>
      </c>
      <c r="G67" s="1" t="s">
        <v>2304</v>
      </c>
      <c r="H67" s="2">
        <v>15</v>
      </c>
      <c r="I67" s="3" t="s">
        <v>38</v>
      </c>
      <c r="J67" t="s">
        <v>2365</v>
      </c>
      <c r="M67" s="3" t="s">
        <v>2300</v>
      </c>
      <c r="N67" s="3" t="s">
        <v>2255</v>
      </c>
      <c r="O67" t="s">
        <v>2310</v>
      </c>
    </row>
    <row r="68" spans="1:15" x14ac:dyDescent="0.25">
      <c r="A68" t="s">
        <v>2285</v>
      </c>
      <c r="B68" s="1" t="s">
        <v>2289</v>
      </c>
      <c r="C68" s="1" t="s">
        <v>2291</v>
      </c>
      <c r="D68" s="1" t="s">
        <v>2431</v>
      </c>
      <c r="E68" s="1" t="s">
        <v>2432</v>
      </c>
      <c r="F68" s="2" t="s">
        <v>2301</v>
      </c>
      <c r="G68" s="1" t="s">
        <v>2304</v>
      </c>
      <c r="H68" s="2">
        <v>15</v>
      </c>
      <c r="I68" s="3" t="s">
        <v>11</v>
      </c>
      <c r="J68" t="s">
        <v>2365</v>
      </c>
      <c r="M68" s="3" t="s">
        <v>2300</v>
      </c>
      <c r="N68" s="3" t="s">
        <v>2255</v>
      </c>
      <c r="O68" t="s">
        <v>2310</v>
      </c>
    </row>
    <row r="69" spans="1:15" x14ac:dyDescent="0.25">
      <c r="A69" t="s">
        <v>2285</v>
      </c>
      <c r="B69" s="1" t="e">
        <v>#N/A</v>
      </c>
      <c r="C69" s="1" t="e">
        <v>#N/A</v>
      </c>
      <c r="D69" s="1" t="e">
        <v>#N/A</v>
      </c>
      <c r="E69" s="1" t="s">
        <v>2432</v>
      </c>
      <c r="F69" s="2" t="s">
        <v>2301</v>
      </c>
      <c r="G69" s="1" t="s">
        <v>2304</v>
      </c>
      <c r="H69" s="2">
        <v>15</v>
      </c>
      <c r="I69" s="3" t="s">
        <v>2348</v>
      </c>
      <c r="J69" t="s">
        <v>2365</v>
      </c>
      <c r="M69" s="3" t="s">
        <v>2300</v>
      </c>
      <c r="N69" s="3" t="s">
        <v>2255</v>
      </c>
      <c r="O69" t="s">
        <v>2310</v>
      </c>
    </row>
    <row r="70" spans="1:15" x14ac:dyDescent="0.25">
      <c r="A70" t="s">
        <v>2285</v>
      </c>
      <c r="B70" s="1" t="e">
        <v>#N/A</v>
      </c>
      <c r="C70" s="1" t="e">
        <v>#N/A</v>
      </c>
      <c r="D70" s="1" t="e">
        <v>#N/A</v>
      </c>
      <c r="E70" s="1" t="s">
        <v>2432</v>
      </c>
      <c r="F70" s="2" t="s">
        <v>2301</v>
      </c>
      <c r="G70" s="1" t="s">
        <v>2304</v>
      </c>
      <c r="H70" s="2">
        <v>15</v>
      </c>
      <c r="I70" s="3" t="s">
        <v>2341</v>
      </c>
      <c r="J70" t="s">
        <v>2365</v>
      </c>
      <c r="M70" s="3" t="s">
        <v>2300</v>
      </c>
      <c r="N70" s="3" t="s">
        <v>2255</v>
      </c>
      <c r="O70" t="s">
        <v>2310</v>
      </c>
    </row>
    <row r="71" spans="1:15" x14ac:dyDescent="0.25">
      <c r="A71" t="s">
        <v>2285</v>
      </c>
      <c r="B71" s="1" t="e">
        <v>#N/A</v>
      </c>
      <c r="C71" s="1" t="e">
        <v>#N/A</v>
      </c>
      <c r="D71" s="1" t="e">
        <v>#N/A</v>
      </c>
      <c r="E71" s="1" t="s">
        <v>2432</v>
      </c>
      <c r="F71" s="2" t="s">
        <v>2301</v>
      </c>
      <c r="G71" s="1" t="s">
        <v>2304</v>
      </c>
      <c r="H71" s="2">
        <v>15</v>
      </c>
      <c r="I71" s="3" t="s">
        <v>2373</v>
      </c>
      <c r="J71" t="s">
        <v>2365</v>
      </c>
      <c r="M71" s="3" t="s">
        <v>2300</v>
      </c>
      <c r="N71" s="3" t="s">
        <v>2255</v>
      </c>
      <c r="O71" t="s">
        <v>2310</v>
      </c>
    </row>
    <row r="72" spans="1:15" x14ac:dyDescent="0.25">
      <c r="A72" t="s">
        <v>2285</v>
      </c>
      <c r="B72" s="1" t="e">
        <v>#N/A</v>
      </c>
      <c r="C72" s="1" t="e">
        <v>#N/A</v>
      </c>
      <c r="D72" s="1" t="e">
        <v>#N/A</v>
      </c>
      <c r="E72" s="1" t="s">
        <v>2298</v>
      </c>
      <c r="F72" s="2" t="s">
        <v>2300</v>
      </c>
      <c r="G72" s="1" t="s">
        <v>2304</v>
      </c>
      <c r="H72" s="2">
        <v>15</v>
      </c>
      <c r="I72" s="3" t="s">
        <v>2420</v>
      </c>
      <c r="J72" t="s">
        <v>2365</v>
      </c>
      <c r="M72" s="3" t="s">
        <v>2300</v>
      </c>
      <c r="N72" s="3" t="s">
        <v>2255</v>
      </c>
      <c r="O72" t="s">
        <v>2310</v>
      </c>
    </row>
    <row r="73" spans="1:15" x14ac:dyDescent="0.25">
      <c r="A73" t="s">
        <v>2285</v>
      </c>
      <c r="B73" s="1" t="e">
        <v>#N/A</v>
      </c>
      <c r="C73" s="1" t="e">
        <v>#N/A</v>
      </c>
      <c r="D73" s="1" t="e">
        <v>#N/A</v>
      </c>
      <c r="E73" s="1" t="s">
        <v>2298</v>
      </c>
      <c r="F73" s="2" t="s">
        <v>2300</v>
      </c>
      <c r="G73" s="1" t="s">
        <v>2304</v>
      </c>
      <c r="H73" s="2">
        <v>14</v>
      </c>
      <c r="I73" s="3" t="s">
        <v>2380</v>
      </c>
      <c r="J73" t="s">
        <v>2365</v>
      </c>
      <c r="M73" s="3" t="s">
        <v>2300</v>
      </c>
      <c r="N73" s="3" t="s">
        <v>2255</v>
      </c>
      <c r="O73" t="s">
        <v>2310</v>
      </c>
    </row>
    <row r="74" spans="1:15" x14ac:dyDescent="0.25">
      <c r="A74" t="s">
        <v>2286</v>
      </c>
      <c r="B74" s="1" t="s">
        <v>2288</v>
      </c>
      <c r="C74" s="1" t="s">
        <v>2291</v>
      </c>
      <c r="D74" s="1" t="s">
        <v>2426</v>
      </c>
      <c r="E74" s="1" t="s">
        <v>2298</v>
      </c>
      <c r="F74" s="2" t="s">
        <v>2300</v>
      </c>
      <c r="G74" s="1" t="s">
        <v>2304</v>
      </c>
      <c r="H74" s="2">
        <v>14</v>
      </c>
      <c r="I74" s="3" t="s">
        <v>2384</v>
      </c>
      <c r="J74" t="s">
        <v>2365</v>
      </c>
      <c r="M74" s="3" t="s">
        <v>2300</v>
      </c>
      <c r="N74" s="3" t="s">
        <v>2255</v>
      </c>
      <c r="O74" t="s">
        <v>2310</v>
      </c>
    </row>
    <row r="75" spans="1:15" x14ac:dyDescent="0.25">
      <c r="A75" t="s">
        <v>2285</v>
      </c>
      <c r="B75" s="1" t="e">
        <v>#N/A</v>
      </c>
      <c r="C75" s="1" t="e">
        <v>#N/A</v>
      </c>
      <c r="D75" s="1" t="e">
        <v>#N/A</v>
      </c>
      <c r="E75" s="1" t="s">
        <v>2298</v>
      </c>
      <c r="F75" s="2" t="s">
        <v>2300</v>
      </c>
      <c r="G75" s="1" t="s">
        <v>2304</v>
      </c>
      <c r="H75" s="2">
        <v>14</v>
      </c>
      <c r="I75" s="3" t="s">
        <v>21</v>
      </c>
      <c r="J75" t="s">
        <v>2365</v>
      </c>
      <c r="M75" s="3" t="s">
        <v>2300</v>
      </c>
      <c r="N75" s="3" t="s">
        <v>2255</v>
      </c>
      <c r="O75" t="s">
        <v>2310</v>
      </c>
    </row>
    <row r="76" spans="1:15" x14ac:dyDescent="0.25">
      <c r="A76" t="s">
        <v>2285</v>
      </c>
      <c r="B76" s="1" t="e">
        <v>#N/A</v>
      </c>
      <c r="C76" s="1" t="e">
        <v>#N/A</v>
      </c>
      <c r="D76" s="1" t="e">
        <v>#N/A</v>
      </c>
      <c r="E76" s="1" t="s">
        <v>2432</v>
      </c>
      <c r="F76" s="2" t="s">
        <v>2301</v>
      </c>
      <c r="G76" s="1" t="s">
        <v>2304</v>
      </c>
      <c r="H76" s="2">
        <v>14</v>
      </c>
      <c r="I76" s="3" t="s">
        <v>2385</v>
      </c>
      <c r="J76" t="s">
        <v>2365</v>
      </c>
      <c r="M76" s="3" t="s">
        <v>2300</v>
      </c>
      <c r="N76" s="3" t="s">
        <v>2255</v>
      </c>
      <c r="O76" t="s">
        <v>2310</v>
      </c>
    </row>
    <row r="77" spans="1:15" x14ac:dyDescent="0.25">
      <c r="A77" t="s">
        <v>2285</v>
      </c>
      <c r="B77" s="1" t="e">
        <v>#N/A</v>
      </c>
      <c r="C77" s="1" t="e">
        <v>#N/A</v>
      </c>
      <c r="D77" s="1" t="e">
        <v>#N/A</v>
      </c>
      <c r="E77" s="1" t="s">
        <v>2432</v>
      </c>
      <c r="F77" s="2" t="s">
        <v>2300</v>
      </c>
      <c r="G77" s="1" t="s">
        <v>2304</v>
      </c>
      <c r="H77" s="2">
        <v>14</v>
      </c>
      <c r="I77" s="3" t="s">
        <v>2317</v>
      </c>
      <c r="J77" t="s">
        <v>2365</v>
      </c>
      <c r="M77" s="3" t="s">
        <v>2301</v>
      </c>
      <c r="N77" s="3" t="s">
        <v>2255</v>
      </c>
      <c r="O77" t="s">
        <v>2310</v>
      </c>
    </row>
    <row r="78" spans="1:15" x14ac:dyDescent="0.25">
      <c r="A78" t="s">
        <v>2285</v>
      </c>
      <c r="B78" s="1" t="s">
        <v>2289</v>
      </c>
      <c r="C78" s="1" t="s">
        <v>2291</v>
      </c>
      <c r="D78" s="1" t="s">
        <v>2431</v>
      </c>
      <c r="E78" s="1" t="s">
        <v>2432</v>
      </c>
      <c r="F78" s="2" t="s">
        <v>2301</v>
      </c>
      <c r="G78" s="1" t="s">
        <v>2304</v>
      </c>
      <c r="H78" s="2">
        <v>14</v>
      </c>
      <c r="I78" s="3" t="s">
        <v>1</v>
      </c>
      <c r="J78" t="s">
        <v>2365</v>
      </c>
      <c r="M78" s="3" t="s">
        <v>2300</v>
      </c>
      <c r="N78" s="3" t="s">
        <v>2255</v>
      </c>
      <c r="O78" t="s">
        <v>2310</v>
      </c>
    </row>
    <row r="79" spans="1:15" x14ac:dyDescent="0.25">
      <c r="A79" t="s">
        <v>2285</v>
      </c>
      <c r="B79" s="1" t="e">
        <v>#N/A</v>
      </c>
      <c r="C79" s="1" t="e">
        <v>#N/A</v>
      </c>
      <c r="D79" s="1" t="e">
        <v>#N/A</v>
      </c>
      <c r="E79" s="1" t="s">
        <v>2432</v>
      </c>
      <c r="F79" s="2" t="s">
        <v>2301</v>
      </c>
      <c r="G79" s="1" t="s">
        <v>2304</v>
      </c>
      <c r="H79" s="2">
        <v>14</v>
      </c>
      <c r="I79" s="3" t="s">
        <v>2383</v>
      </c>
      <c r="J79" t="s">
        <v>2365</v>
      </c>
      <c r="M79" s="3" t="s">
        <v>2300</v>
      </c>
      <c r="N79" s="3" t="s">
        <v>2255</v>
      </c>
      <c r="O79" t="s">
        <v>2310</v>
      </c>
    </row>
    <row r="80" spans="1:15" x14ac:dyDescent="0.25">
      <c r="A80" t="s">
        <v>2285</v>
      </c>
      <c r="B80" s="1" t="e">
        <v>#N/A</v>
      </c>
      <c r="C80" s="1" t="e">
        <v>#N/A</v>
      </c>
      <c r="D80" s="1" t="e">
        <v>#N/A</v>
      </c>
      <c r="E80" s="1" t="s">
        <v>2432</v>
      </c>
      <c r="F80" s="2" t="s">
        <v>2300</v>
      </c>
      <c r="G80" s="1" t="s">
        <v>2304</v>
      </c>
      <c r="H80" s="2">
        <v>14</v>
      </c>
      <c r="I80" s="3" t="s">
        <v>2313</v>
      </c>
      <c r="J80" t="s">
        <v>2365</v>
      </c>
      <c r="M80" s="3" t="s">
        <v>2301</v>
      </c>
      <c r="N80" s="3" t="s">
        <v>2255</v>
      </c>
      <c r="O80" t="s">
        <v>2310</v>
      </c>
    </row>
    <row r="81" spans="1:15" x14ac:dyDescent="0.25">
      <c r="A81" t="s">
        <v>2285</v>
      </c>
      <c r="B81" s="1" t="e">
        <v>#N/A</v>
      </c>
      <c r="C81" s="1" t="e">
        <v>#N/A</v>
      </c>
      <c r="D81" s="1" t="e">
        <v>#N/A</v>
      </c>
      <c r="E81" s="1" t="s">
        <v>2432</v>
      </c>
      <c r="F81" s="2" t="s">
        <v>2301</v>
      </c>
      <c r="G81" s="1" t="s">
        <v>2304</v>
      </c>
      <c r="H81" s="2">
        <v>14</v>
      </c>
      <c r="I81" s="3" t="s">
        <v>2321</v>
      </c>
      <c r="J81" t="s">
        <v>2365</v>
      </c>
      <c r="M81" s="3" t="s">
        <v>2300</v>
      </c>
      <c r="N81" s="3" t="s">
        <v>2255</v>
      </c>
      <c r="O81" t="s">
        <v>2310</v>
      </c>
    </row>
    <row r="82" spans="1:15" x14ac:dyDescent="0.25">
      <c r="A82" t="s">
        <v>2285</v>
      </c>
      <c r="B82" s="1" t="e">
        <v>#N/A</v>
      </c>
      <c r="C82" s="1" t="e">
        <v>#N/A</v>
      </c>
      <c r="D82" s="1" t="e">
        <v>#N/A</v>
      </c>
      <c r="E82" s="1" t="s">
        <v>2432</v>
      </c>
      <c r="F82" s="2" t="s">
        <v>2301</v>
      </c>
      <c r="G82" s="1" t="s">
        <v>2305</v>
      </c>
      <c r="H82" s="2">
        <v>14</v>
      </c>
      <c r="I82" s="3" t="s">
        <v>1</v>
      </c>
      <c r="J82" t="s">
        <v>2365</v>
      </c>
      <c r="M82" s="3" t="s">
        <v>2300</v>
      </c>
      <c r="N82" s="3" t="s">
        <v>2257</v>
      </c>
      <c r="O82" t="s">
        <v>2310</v>
      </c>
    </row>
    <row r="83" spans="1:15" x14ac:dyDescent="0.25">
      <c r="A83" t="s">
        <v>2285</v>
      </c>
      <c r="B83" s="1" t="e">
        <v>#N/A</v>
      </c>
      <c r="C83" s="1" t="e">
        <v>#N/A</v>
      </c>
      <c r="D83" s="1" t="e">
        <v>#N/A</v>
      </c>
      <c r="E83" s="1" t="s">
        <v>2432</v>
      </c>
      <c r="F83" s="2" t="s">
        <v>2300</v>
      </c>
      <c r="G83" s="1" t="s">
        <v>2304</v>
      </c>
      <c r="H83" s="2">
        <v>14</v>
      </c>
      <c r="I83" s="3" t="s">
        <v>2333</v>
      </c>
      <c r="J83" t="s">
        <v>2365</v>
      </c>
      <c r="M83" s="3" t="s">
        <v>2301</v>
      </c>
      <c r="N83" s="3" t="s">
        <v>2255</v>
      </c>
      <c r="O83" t="s">
        <v>2310</v>
      </c>
    </row>
    <row r="84" spans="1:15" x14ac:dyDescent="0.25">
      <c r="A84" t="s">
        <v>2285</v>
      </c>
      <c r="B84" s="1" t="e">
        <v>#N/A</v>
      </c>
      <c r="C84" s="1" t="e">
        <v>#N/A</v>
      </c>
      <c r="D84" s="1" t="e">
        <v>#N/A</v>
      </c>
      <c r="E84" s="1" t="s">
        <v>2432</v>
      </c>
      <c r="F84" s="2" t="s">
        <v>2301</v>
      </c>
      <c r="G84" s="1" t="s">
        <v>2304</v>
      </c>
      <c r="H84" s="2">
        <v>14</v>
      </c>
      <c r="I84" s="3" t="s">
        <v>2347</v>
      </c>
      <c r="J84" t="s">
        <v>2365</v>
      </c>
      <c r="M84" s="3" t="s">
        <v>2300</v>
      </c>
      <c r="N84" s="3" t="s">
        <v>2255</v>
      </c>
      <c r="O84" t="s">
        <v>2310</v>
      </c>
    </row>
    <row r="85" spans="1:15" x14ac:dyDescent="0.25">
      <c r="A85" t="s">
        <v>2285</v>
      </c>
      <c r="B85" s="1" t="e">
        <v>#N/A</v>
      </c>
      <c r="C85" s="1" t="e">
        <v>#N/A</v>
      </c>
      <c r="D85" s="1" t="e">
        <v>#N/A</v>
      </c>
      <c r="E85" s="1" t="s">
        <v>2432</v>
      </c>
      <c r="F85" s="2" t="s">
        <v>2301</v>
      </c>
      <c r="G85" s="1" t="s">
        <v>2303</v>
      </c>
      <c r="H85" s="2">
        <v>14</v>
      </c>
      <c r="I85" s="3" t="s">
        <v>2321</v>
      </c>
      <c r="J85" t="s">
        <v>2365</v>
      </c>
      <c r="M85" s="3" t="s">
        <v>2300</v>
      </c>
      <c r="N85" s="3" t="s">
        <v>2256</v>
      </c>
      <c r="O85" t="s">
        <v>2310</v>
      </c>
    </row>
    <row r="86" spans="1:15" x14ac:dyDescent="0.25">
      <c r="A86" t="s">
        <v>2285</v>
      </c>
      <c r="B86" s="1" t="e">
        <v>#N/A</v>
      </c>
      <c r="C86" s="1" t="e">
        <v>#N/A</v>
      </c>
      <c r="D86" s="1" t="e">
        <v>#N/A</v>
      </c>
      <c r="E86" s="1" t="s">
        <v>2298</v>
      </c>
      <c r="F86" s="2" t="s">
        <v>2300</v>
      </c>
      <c r="G86" s="1" t="s">
        <v>2304</v>
      </c>
      <c r="H86" s="2">
        <v>14</v>
      </c>
      <c r="I86" s="3" t="s">
        <v>22</v>
      </c>
      <c r="J86" t="s">
        <v>2365</v>
      </c>
      <c r="M86" s="3" t="s">
        <v>2300</v>
      </c>
      <c r="N86" s="3" t="s">
        <v>2255</v>
      </c>
      <c r="O86" t="s">
        <v>2310</v>
      </c>
    </row>
    <row r="87" spans="1:15" x14ac:dyDescent="0.25">
      <c r="A87" t="s">
        <v>2285</v>
      </c>
      <c r="B87" s="1" t="e">
        <v>#N/A</v>
      </c>
      <c r="C87" s="1" t="e">
        <v>#N/A</v>
      </c>
      <c r="D87" s="1" t="e">
        <v>#N/A</v>
      </c>
      <c r="E87" s="1" t="s">
        <v>2432</v>
      </c>
      <c r="F87" s="2" t="s">
        <v>2301</v>
      </c>
      <c r="G87" s="1" t="s">
        <v>2304</v>
      </c>
      <c r="H87" s="2">
        <v>14</v>
      </c>
      <c r="I87" s="3" t="s">
        <v>2382</v>
      </c>
      <c r="J87" t="s">
        <v>2365</v>
      </c>
      <c r="M87" s="3" t="s">
        <v>2300</v>
      </c>
      <c r="N87" s="3" t="s">
        <v>2255</v>
      </c>
      <c r="O87" t="s">
        <v>2310</v>
      </c>
    </row>
    <row r="88" spans="1:15" x14ac:dyDescent="0.25">
      <c r="A88" t="s">
        <v>2285</v>
      </c>
      <c r="B88" s="1" t="e">
        <v>#N/A</v>
      </c>
      <c r="C88" s="1" t="e">
        <v>#N/A</v>
      </c>
      <c r="D88" s="1" t="e">
        <v>#N/A</v>
      </c>
      <c r="E88" s="1" t="s">
        <v>2432</v>
      </c>
      <c r="F88" s="2" t="s">
        <v>2301</v>
      </c>
      <c r="G88" s="1" t="s">
        <v>2304</v>
      </c>
      <c r="H88" s="2">
        <v>14</v>
      </c>
      <c r="I88" s="3" t="s">
        <v>2321</v>
      </c>
      <c r="J88" t="s">
        <v>2365</v>
      </c>
      <c r="M88" s="3" t="s">
        <v>2300</v>
      </c>
      <c r="N88" s="3" t="s">
        <v>2255</v>
      </c>
      <c r="O88" t="s">
        <v>2310</v>
      </c>
    </row>
    <row r="89" spans="1:15" x14ac:dyDescent="0.25">
      <c r="A89" t="s">
        <v>2285</v>
      </c>
      <c r="B89" s="1" t="e">
        <v>#N/A</v>
      </c>
      <c r="C89" s="1" t="e">
        <v>#N/A</v>
      </c>
      <c r="D89" s="1" t="e">
        <v>#N/A</v>
      </c>
      <c r="E89" s="1" t="s">
        <v>2432</v>
      </c>
      <c r="F89" s="2" t="s">
        <v>2301</v>
      </c>
      <c r="G89" s="1" t="s">
        <v>2304</v>
      </c>
      <c r="H89" s="2">
        <v>14</v>
      </c>
      <c r="I89" s="3" t="s">
        <v>2321</v>
      </c>
      <c r="J89" t="s">
        <v>2365</v>
      </c>
      <c r="M89" s="3" t="s">
        <v>2300</v>
      </c>
      <c r="N89" s="3" t="s">
        <v>2255</v>
      </c>
      <c r="O89" t="s">
        <v>2310</v>
      </c>
    </row>
    <row r="90" spans="1:15" x14ac:dyDescent="0.25">
      <c r="A90" t="s">
        <v>2285</v>
      </c>
      <c r="B90" s="1" t="e">
        <v>#N/A</v>
      </c>
      <c r="C90" s="1" t="e">
        <v>#N/A</v>
      </c>
      <c r="D90" s="1" t="e">
        <v>#N/A</v>
      </c>
      <c r="E90" s="1" t="s">
        <v>2432</v>
      </c>
      <c r="F90" s="2" t="s">
        <v>2300</v>
      </c>
      <c r="G90" s="1" t="s">
        <v>2304</v>
      </c>
      <c r="H90" s="2">
        <v>14</v>
      </c>
      <c r="I90" s="3" t="s">
        <v>2381</v>
      </c>
      <c r="J90" t="s">
        <v>2365</v>
      </c>
      <c r="M90" s="3" t="s">
        <v>2301</v>
      </c>
      <c r="N90" s="3" t="s">
        <v>2255</v>
      </c>
      <c r="O90" t="s">
        <v>2310</v>
      </c>
    </row>
    <row r="91" spans="1:15" x14ac:dyDescent="0.25">
      <c r="A91" t="s">
        <v>2285</v>
      </c>
      <c r="B91" s="1" t="e">
        <v>#N/A</v>
      </c>
      <c r="C91" s="1" t="e">
        <v>#N/A</v>
      </c>
      <c r="D91" s="1" t="e">
        <v>#N/A</v>
      </c>
      <c r="E91" s="1" t="s">
        <v>2432</v>
      </c>
      <c r="F91" s="2" t="s">
        <v>2301</v>
      </c>
      <c r="G91" s="1" t="s">
        <v>2304</v>
      </c>
      <c r="H91" s="2">
        <v>14</v>
      </c>
      <c r="I91" s="3" t="s">
        <v>2332</v>
      </c>
      <c r="J91" t="s">
        <v>2365</v>
      </c>
      <c r="M91" s="3" t="s">
        <v>2300</v>
      </c>
      <c r="N91" s="3" t="s">
        <v>2255</v>
      </c>
      <c r="O91" t="s">
        <v>2310</v>
      </c>
    </row>
    <row r="92" spans="1:15" x14ac:dyDescent="0.25">
      <c r="A92" t="s">
        <v>2285</v>
      </c>
      <c r="B92" s="1" t="e">
        <v>#N/A</v>
      </c>
      <c r="C92" s="1" t="e">
        <v>#N/A</v>
      </c>
      <c r="D92" s="1" t="e">
        <v>#N/A</v>
      </c>
      <c r="E92" s="1" t="s">
        <v>2432</v>
      </c>
      <c r="F92" s="2" t="s">
        <v>2301</v>
      </c>
      <c r="G92" s="1" t="s">
        <v>2304</v>
      </c>
      <c r="H92" s="2">
        <v>14</v>
      </c>
      <c r="I92" s="3" t="s">
        <v>2329</v>
      </c>
      <c r="J92" t="s">
        <v>2365</v>
      </c>
      <c r="M92" s="3" t="s">
        <v>2300</v>
      </c>
      <c r="N92" s="3" t="s">
        <v>2255</v>
      </c>
      <c r="O92" t="s">
        <v>2310</v>
      </c>
    </row>
    <row r="93" spans="1:15" x14ac:dyDescent="0.25">
      <c r="A93" t="s">
        <v>2285</v>
      </c>
      <c r="B93" s="1" t="e">
        <v>#N/A</v>
      </c>
      <c r="C93" s="1" t="e">
        <v>#N/A</v>
      </c>
      <c r="D93" s="1" t="e">
        <v>#N/A</v>
      </c>
      <c r="E93" s="1" t="s">
        <v>2432</v>
      </c>
      <c r="F93" s="2" t="s">
        <v>2301</v>
      </c>
      <c r="G93" s="1" t="s">
        <v>2304</v>
      </c>
      <c r="H93" s="2">
        <v>14</v>
      </c>
      <c r="I93" s="3" t="s">
        <v>1</v>
      </c>
      <c r="J93" t="s">
        <v>2365</v>
      </c>
      <c r="M93" s="3" t="s">
        <v>2300</v>
      </c>
      <c r="N93" s="3" t="s">
        <v>2255</v>
      </c>
      <c r="O93" t="s">
        <v>2310</v>
      </c>
    </row>
    <row r="94" spans="1:15" x14ac:dyDescent="0.25">
      <c r="A94" t="s">
        <v>2285</v>
      </c>
      <c r="B94" s="1" t="e">
        <v>#N/A</v>
      </c>
      <c r="C94" s="1" t="e">
        <v>#N/A</v>
      </c>
      <c r="D94" s="1" t="e">
        <v>#N/A</v>
      </c>
      <c r="E94" s="1" t="s">
        <v>2298</v>
      </c>
      <c r="F94" s="2" t="s">
        <v>2300</v>
      </c>
      <c r="G94" s="1" t="s">
        <v>2305</v>
      </c>
      <c r="H94" s="2">
        <v>13</v>
      </c>
      <c r="I94" s="3" t="s">
        <v>2389</v>
      </c>
      <c r="J94" t="s">
        <v>2365</v>
      </c>
      <c r="M94" s="3" t="s">
        <v>2300</v>
      </c>
      <c r="N94" s="3" t="s">
        <v>2258</v>
      </c>
      <c r="O94" t="s">
        <v>2310</v>
      </c>
    </row>
    <row r="95" spans="1:15" x14ac:dyDescent="0.25">
      <c r="A95" t="s">
        <v>2285</v>
      </c>
      <c r="B95" s="1" t="e">
        <v>#N/A</v>
      </c>
      <c r="C95" s="1" t="e">
        <v>#N/A</v>
      </c>
      <c r="D95" s="1" t="e">
        <v>#N/A</v>
      </c>
      <c r="E95" s="1" t="s">
        <v>2298</v>
      </c>
      <c r="F95" s="2" t="s">
        <v>2300</v>
      </c>
      <c r="G95" s="1" t="s">
        <v>2304</v>
      </c>
      <c r="H95" s="2">
        <v>13</v>
      </c>
      <c r="I95" s="3" t="s">
        <v>21</v>
      </c>
      <c r="J95" t="s">
        <v>2365</v>
      </c>
      <c r="M95" s="3" t="s">
        <v>2300</v>
      </c>
      <c r="N95" s="3" t="s">
        <v>2255</v>
      </c>
      <c r="O95" t="s">
        <v>2310</v>
      </c>
    </row>
    <row r="96" spans="1:15" x14ac:dyDescent="0.25">
      <c r="A96" t="s">
        <v>2285</v>
      </c>
      <c r="B96" s="1" t="e">
        <v>#N/A</v>
      </c>
      <c r="C96" s="1" t="e">
        <v>#N/A</v>
      </c>
      <c r="D96" s="1" t="e">
        <v>#N/A</v>
      </c>
      <c r="E96" s="1" t="s">
        <v>2298</v>
      </c>
      <c r="F96" s="2" t="s">
        <v>2300</v>
      </c>
      <c r="G96" s="1" t="s">
        <v>2304</v>
      </c>
      <c r="H96" s="2">
        <v>13</v>
      </c>
      <c r="I96" s="3" t="s">
        <v>2387</v>
      </c>
      <c r="J96" t="s">
        <v>2365</v>
      </c>
      <c r="M96" s="3" t="s">
        <v>2301</v>
      </c>
      <c r="N96" s="3" t="s">
        <v>2255</v>
      </c>
      <c r="O96" t="s">
        <v>2310</v>
      </c>
    </row>
    <row r="97" spans="1:15" x14ac:dyDescent="0.25">
      <c r="A97" t="s">
        <v>2285</v>
      </c>
      <c r="B97" s="1" t="e">
        <v>#N/A</v>
      </c>
      <c r="C97" s="1" t="e">
        <v>#N/A</v>
      </c>
      <c r="D97" s="1" t="e">
        <v>#N/A</v>
      </c>
      <c r="E97" s="1" t="s">
        <v>2298</v>
      </c>
      <c r="F97" s="2" t="s">
        <v>2300</v>
      </c>
      <c r="G97" s="1" t="s">
        <v>2304</v>
      </c>
      <c r="H97" s="2">
        <v>13</v>
      </c>
      <c r="I97" s="3" t="s">
        <v>29</v>
      </c>
      <c r="J97" t="s">
        <v>2365</v>
      </c>
      <c r="M97" s="3" t="s">
        <v>2300</v>
      </c>
      <c r="N97" s="3" t="s">
        <v>2255</v>
      </c>
      <c r="O97" t="s">
        <v>2310</v>
      </c>
    </row>
    <row r="98" spans="1:15" x14ac:dyDescent="0.25">
      <c r="A98" t="s">
        <v>2283</v>
      </c>
      <c r="B98" s="1" t="s">
        <v>2288</v>
      </c>
      <c r="C98" s="1" t="s">
        <v>2293</v>
      </c>
      <c r="D98" s="1" t="s">
        <v>2426</v>
      </c>
      <c r="E98" s="1" t="s">
        <v>2298</v>
      </c>
      <c r="F98" s="2" t="s">
        <v>2300</v>
      </c>
      <c r="G98" s="1" t="s">
        <v>2304</v>
      </c>
      <c r="H98" s="2">
        <v>13</v>
      </c>
      <c r="I98" s="3" t="s">
        <v>2328</v>
      </c>
      <c r="J98" t="s">
        <v>2365</v>
      </c>
      <c r="M98" s="3" t="s">
        <v>2300</v>
      </c>
      <c r="N98" s="3" t="s">
        <v>2255</v>
      </c>
      <c r="O98" t="s">
        <v>2310</v>
      </c>
    </row>
    <row r="99" spans="1:15" x14ac:dyDescent="0.25">
      <c r="A99" t="s">
        <v>2283</v>
      </c>
      <c r="B99" s="1" t="s">
        <v>2288</v>
      </c>
      <c r="C99" s="1" t="s">
        <v>2293</v>
      </c>
      <c r="D99" s="1" t="s">
        <v>2426</v>
      </c>
      <c r="E99" s="1" t="s">
        <v>2298</v>
      </c>
      <c r="F99" s="2" t="s">
        <v>2300</v>
      </c>
      <c r="G99" s="1" t="s">
        <v>2304</v>
      </c>
      <c r="H99" s="2">
        <v>13</v>
      </c>
      <c r="I99" s="3" t="s">
        <v>2316</v>
      </c>
      <c r="J99" t="s">
        <v>2365</v>
      </c>
      <c r="M99" s="3" t="s">
        <v>2300</v>
      </c>
      <c r="N99" s="3" t="s">
        <v>2255</v>
      </c>
      <c r="O99" t="s">
        <v>2310</v>
      </c>
    </row>
    <row r="100" spans="1:15" x14ac:dyDescent="0.25">
      <c r="A100" t="s">
        <v>2285</v>
      </c>
      <c r="B100" s="1" t="e">
        <v>#N/A</v>
      </c>
      <c r="C100" s="1" t="e">
        <v>#N/A</v>
      </c>
      <c r="D100" s="1" t="e">
        <v>#N/A</v>
      </c>
      <c r="E100" s="1" t="s">
        <v>2298</v>
      </c>
      <c r="F100" s="2" t="s">
        <v>2300</v>
      </c>
      <c r="G100" s="1" t="s">
        <v>2304</v>
      </c>
      <c r="H100" s="2">
        <v>13</v>
      </c>
      <c r="I100" s="3" t="s">
        <v>22</v>
      </c>
      <c r="J100" t="s">
        <v>2365</v>
      </c>
      <c r="M100" s="3" t="s">
        <v>2300</v>
      </c>
      <c r="N100" s="3" t="s">
        <v>2255</v>
      </c>
      <c r="O100" t="s">
        <v>2310</v>
      </c>
    </row>
    <row r="101" spans="1:15" x14ac:dyDescent="0.25">
      <c r="A101" t="s">
        <v>2285</v>
      </c>
      <c r="B101" s="1" t="e">
        <v>#N/A</v>
      </c>
      <c r="C101" s="1" t="e">
        <v>#N/A</v>
      </c>
      <c r="D101" s="1" t="e">
        <v>#N/A</v>
      </c>
      <c r="E101" s="1" t="s">
        <v>2298</v>
      </c>
      <c r="F101" s="2" t="s">
        <v>2300</v>
      </c>
      <c r="G101" s="1" t="s">
        <v>2304</v>
      </c>
      <c r="H101" s="2">
        <v>13</v>
      </c>
      <c r="I101" s="3" t="s">
        <v>19</v>
      </c>
      <c r="J101" t="s">
        <v>2365</v>
      </c>
      <c r="M101" s="3" t="s">
        <v>2300</v>
      </c>
      <c r="N101" s="3" t="s">
        <v>2255</v>
      </c>
      <c r="O101" t="s">
        <v>2310</v>
      </c>
    </row>
    <row r="102" spans="1:15" x14ac:dyDescent="0.25">
      <c r="A102" t="s">
        <v>2285</v>
      </c>
      <c r="B102" s="1" t="e">
        <v>#N/A</v>
      </c>
      <c r="C102" s="1" t="e">
        <v>#N/A</v>
      </c>
      <c r="D102" s="1" t="e">
        <v>#N/A</v>
      </c>
      <c r="E102" s="1" t="s">
        <v>2298</v>
      </c>
      <c r="F102" s="2" t="s">
        <v>2300</v>
      </c>
      <c r="G102" s="1" t="s">
        <v>2304</v>
      </c>
      <c r="H102" s="2">
        <v>13</v>
      </c>
      <c r="I102" s="3" t="s">
        <v>2330</v>
      </c>
      <c r="J102" t="s">
        <v>2365</v>
      </c>
      <c r="M102" s="3" t="s">
        <v>2300</v>
      </c>
      <c r="N102" s="3" t="s">
        <v>2255</v>
      </c>
      <c r="O102" t="s">
        <v>2310</v>
      </c>
    </row>
    <row r="103" spans="1:15" x14ac:dyDescent="0.25">
      <c r="A103" t="s">
        <v>2283</v>
      </c>
      <c r="B103" s="1" t="s">
        <v>2288</v>
      </c>
      <c r="C103" s="1" t="s">
        <v>2293</v>
      </c>
      <c r="D103" s="1" t="s">
        <v>2426</v>
      </c>
      <c r="E103" s="1" t="s">
        <v>2298</v>
      </c>
      <c r="F103" s="2" t="s">
        <v>2300</v>
      </c>
      <c r="G103" s="1" t="s">
        <v>2304</v>
      </c>
      <c r="H103" s="2">
        <v>13</v>
      </c>
      <c r="I103" s="3" t="s">
        <v>2392</v>
      </c>
      <c r="J103" t="s">
        <v>2365</v>
      </c>
      <c r="M103" s="3" t="s">
        <v>2300</v>
      </c>
      <c r="N103" s="3" t="s">
        <v>2255</v>
      </c>
      <c r="O103" t="s">
        <v>2310</v>
      </c>
    </row>
    <row r="104" spans="1:15" x14ac:dyDescent="0.25">
      <c r="A104" t="s">
        <v>2285</v>
      </c>
      <c r="B104" s="1" t="e">
        <v>#N/A</v>
      </c>
      <c r="C104" s="1" t="e">
        <v>#N/A</v>
      </c>
      <c r="D104" s="1" t="e">
        <v>#N/A</v>
      </c>
      <c r="E104" s="1" t="s">
        <v>2298</v>
      </c>
      <c r="F104" s="2" t="s">
        <v>2300</v>
      </c>
      <c r="G104" s="1" t="s">
        <v>2304</v>
      </c>
      <c r="H104" s="2">
        <v>13</v>
      </c>
      <c r="I104" s="3" t="s">
        <v>2388</v>
      </c>
      <c r="J104" t="s">
        <v>2365</v>
      </c>
      <c r="M104" s="3" t="s">
        <v>2300</v>
      </c>
      <c r="N104" s="3" t="s">
        <v>2255</v>
      </c>
      <c r="O104" t="s">
        <v>2310</v>
      </c>
    </row>
    <row r="105" spans="1:15" x14ac:dyDescent="0.25">
      <c r="A105" t="s">
        <v>2285</v>
      </c>
      <c r="B105" s="1" t="e">
        <v>#N/A</v>
      </c>
      <c r="C105" s="1" t="e">
        <v>#N/A</v>
      </c>
      <c r="D105" s="1" t="e">
        <v>#N/A</v>
      </c>
      <c r="E105" s="1" t="s">
        <v>2432</v>
      </c>
      <c r="F105" s="2" t="s">
        <v>2301</v>
      </c>
      <c r="G105" s="1" t="s">
        <v>2304</v>
      </c>
      <c r="H105" s="2">
        <v>13</v>
      </c>
      <c r="I105" s="3" t="s">
        <v>2408</v>
      </c>
      <c r="J105" t="s">
        <v>2365</v>
      </c>
      <c r="M105" s="3" t="s">
        <v>2300</v>
      </c>
      <c r="N105" s="3" t="s">
        <v>2308</v>
      </c>
      <c r="O105" t="s">
        <v>2310</v>
      </c>
    </row>
    <row r="106" spans="1:15" x14ac:dyDescent="0.25">
      <c r="A106" t="s">
        <v>2285</v>
      </c>
      <c r="B106" s="1" t="e">
        <v>#N/A</v>
      </c>
      <c r="C106" s="1" t="e">
        <v>#N/A</v>
      </c>
      <c r="D106" s="1" t="e">
        <v>#N/A</v>
      </c>
      <c r="E106" s="1" t="s">
        <v>2432</v>
      </c>
      <c r="F106" s="2" t="s">
        <v>2300</v>
      </c>
      <c r="G106" s="1" t="s">
        <v>2304</v>
      </c>
      <c r="H106" s="2">
        <v>13</v>
      </c>
      <c r="I106" s="3" t="s">
        <v>2390</v>
      </c>
      <c r="J106" t="s">
        <v>2365</v>
      </c>
      <c r="M106" s="3" t="s">
        <v>2301</v>
      </c>
      <c r="N106" s="3" t="s">
        <v>2255</v>
      </c>
      <c r="O106" t="s">
        <v>2310</v>
      </c>
    </row>
    <row r="107" spans="1:15" x14ac:dyDescent="0.25">
      <c r="A107" t="s">
        <v>2285</v>
      </c>
      <c r="B107" s="1" t="e">
        <v>#N/A</v>
      </c>
      <c r="C107" s="1" t="e">
        <v>#N/A</v>
      </c>
      <c r="D107" s="1" t="e">
        <v>#N/A</v>
      </c>
      <c r="E107" s="1" t="s">
        <v>2432</v>
      </c>
      <c r="F107" s="2" t="s">
        <v>2300</v>
      </c>
      <c r="G107" s="1" t="s">
        <v>2304</v>
      </c>
      <c r="H107" s="2">
        <v>13</v>
      </c>
      <c r="I107" s="3" t="s">
        <v>9</v>
      </c>
      <c r="J107" t="s">
        <v>2365</v>
      </c>
      <c r="M107" s="3" t="s">
        <v>2301</v>
      </c>
      <c r="N107" s="3" t="s">
        <v>2255</v>
      </c>
      <c r="O107" t="s">
        <v>2310</v>
      </c>
    </row>
    <row r="108" spans="1:15" x14ac:dyDescent="0.25">
      <c r="A108" t="s">
        <v>2285</v>
      </c>
      <c r="B108" s="1" t="e">
        <v>#N/A</v>
      </c>
      <c r="C108" s="1" t="e">
        <v>#N/A</v>
      </c>
      <c r="D108" s="1" t="e">
        <v>#N/A</v>
      </c>
      <c r="E108" s="1" t="s">
        <v>2432</v>
      </c>
      <c r="F108" s="2" t="s">
        <v>2301</v>
      </c>
      <c r="G108" s="1" t="s">
        <v>2304</v>
      </c>
      <c r="H108" s="2">
        <v>13</v>
      </c>
      <c r="I108" s="3" t="s">
        <v>72</v>
      </c>
      <c r="J108" t="s">
        <v>2365</v>
      </c>
      <c r="M108" s="3" t="s">
        <v>2300</v>
      </c>
      <c r="N108" s="3" t="s">
        <v>2255</v>
      </c>
      <c r="O108" t="s">
        <v>2310</v>
      </c>
    </row>
    <row r="109" spans="1:15" x14ac:dyDescent="0.25">
      <c r="A109" t="s">
        <v>2285</v>
      </c>
      <c r="B109" s="1" t="e">
        <v>#N/A</v>
      </c>
      <c r="C109" s="1" t="e">
        <v>#N/A</v>
      </c>
      <c r="D109" s="1" t="e">
        <v>#N/A</v>
      </c>
      <c r="E109" s="1" t="s">
        <v>2432</v>
      </c>
      <c r="F109" s="2" t="s">
        <v>2300</v>
      </c>
      <c r="G109" s="1" t="s">
        <v>2304</v>
      </c>
      <c r="H109" s="2">
        <v>13</v>
      </c>
      <c r="I109" s="3" t="s">
        <v>2313</v>
      </c>
      <c r="J109" t="s">
        <v>2365</v>
      </c>
      <c r="M109" s="3" t="s">
        <v>2301</v>
      </c>
      <c r="N109" s="3" t="s">
        <v>2255</v>
      </c>
      <c r="O109" t="s">
        <v>2310</v>
      </c>
    </row>
    <row r="110" spans="1:15" x14ac:dyDescent="0.25">
      <c r="A110" t="s">
        <v>2285</v>
      </c>
      <c r="B110" s="1" t="e">
        <v>#N/A</v>
      </c>
      <c r="C110" s="1" t="e">
        <v>#N/A</v>
      </c>
      <c r="D110" s="1" t="e">
        <v>#N/A</v>
      </c>
      <c r="E110" s="1" t="s">
        <v>2432</v>
      </c>
      <c r="F110" s="2" t="s">
        <v>2301</v>
      </c>
      <c r="G110" s="1" t="s">
        <v>2304</v>
      </c>
      <c r="H110" s="2">
        <v>13</v>
      </c>
      <c r="I110" s="3" t="s">
        <v>1</v>
      </c>
      <c r="J110" t="s">
        <v>2365</v>
      </c>
      <c r="M110" s="3" t="s">
        <v>2300</v>
      </c>
      <c r="N110" s="3" t="s">
        <v>2255</v>
      </c>
      <c r="O110" t="s">
        <v>2310</v>
      </c>
    </row>
    <row r="111" spans="1:15" x14ac:dyDescent="0.25">
      <c r="A111" t="s">
        <v>2285</v>
      </c>
      <c r="B111" s="1" t="e">
        <v>#N/A</v>
      </c>
      <c r="C111" s="1" t="e">
        <v>#N/A</v>
      </c>
      <c r="D111" s="1" t="e">
        <v>#N/A</v>
      </c>
      <c r="E111" s="1" t="s">
        <v>2432</v>
      </c>
      <c r="F111" s="2" t="s">
        <v>2301</v>
      </c>
      <c r="G111" s="1" t="s">
        <v>2304</v>
      </c>
      <c r="H111" s="2">
        <v>13</v>
      </c>
      <c r="I111" s="3" t="s">
        <v>5</v>
      </c>
      <c r="J111" t="s">
        <v>2365</v>
      </c>
      <c r="M111" s="3" t="s">
        <v>2300</v>
      </c>
      <c r="N111" s="3" t="s">
        <v>2255</v>
      </c>
      <c r="O111" t="s">
        <v>2310</v>
      </c>
    </row>
    <row r="112" spans="1:15" x14ac:dyDescent="0.25">
      <c r="A112" t="s">
        <v>2285</v>
      </c>
      <c r="B112" s="1" t="e">
        <v>#N/A</v>
      </c>
      <c r="C112" s="1" t="e">
        <v>#N/A</v>
      </c>
      <c r="D112" s="1" t="e">
        <v>#N/A</v>
      </c>
      <c r="E112" s="1" t="s">
        <v>2432</v>
      </c>
      <c r="F112" s="2" t="s">
        <v>2301</v>
      </c>
      <c r="G112" s="1" t="s">
        <v>2304</v>
      </c>
      <c r="H112" s="2">
        <v>13</v>
      </c>
      <c r="I112" s="3" t="s">
        <v>2321</v>
      </c>
      <c r="J112" t="s">
        <v>2365</v>
      </c>
      <c r="M112" s="3" t="s">
        <v>2300</v>
      </c>
      <c r="N112" s="3" t="s">
        <v>2255</v>
      </c>
      <c r="O112" t="s">
        <v>2310</v>
      </c>
    </row>
    <row r="113" spans="1:15" x14ac:dyDescent="0.25">
      <c r="A113" t="s">
        <v>2285</v>
      </c>
      <c r="B113" s="1" t="e">
        <v>#N/A</v>
      </c>
      <c r="C113" s="1" t="e">
        <v>#N/A</v>
      </c>
      <c r="D113" s="1" t="e">
        <v>#N/A</v>
      </c>
      <c r="E113" s="1" t="s">
        <v>2432</v>
      </c>
      <c r="F113" s="2" t="s">
        <v>2300</v>
      </c>
      <c r="G113" s="1" t="s">
        <v>2304</v>
      </c>
      <c r="H113" s="2">
        <v>13</v>
      </c>
      <c r="I113" s="3" t="s">
        <v>6</v>
      </c>
      <c r="J113" t="s">
        <v>2365</v>
      </c>
      <c r="M113" s="3" t="s">
        <v>2301</v>
      </c>
      <c r="N113" s="3" t="s">
        <v>2255</v>
      </c>
      <c r="O113" t="s">
        <v>2310</v>
      </c>
    </row>
    <row r="114" spans="1:15" x14ac:dyDescent="0.25">
      <c r="A114" t="s">
        <v>2285</v>
      </c>
      <c r="B114" s="1" t="e">
        <v>#N/A</v>
      </c>
      <c r="C114" s="1" t="e">
        <v>#N/A</v>
      </c>
      <c r="D114" s="1" t="e">
        <v>#N/A</v>
      </c>
      <c r="E114" s="1" t="s">
        <v>2432</v>
      </c>
      <c r="F114" s="2" t="s">
        <v>2301</v>
      </c>
      <c r="G114" s="1" t="s">
        <v>2304</v>
      </c>
      <c r="H114" s="2">
        <v>13</v>
      </c>
      <c r="I114" s="3" t="s">
        <v>48</v>
      </c>
      <c r="J114" t="s">
        <v>2365</v>
      </c>
      <c r="M114" s="3" t="s">
        <v>2300</v>
      </c>
      <c r="N114" s="3" t="s">
        <v>2255</v>
      </c>
      <c r="O114" t="s">
        <v>2310</v>
      </c>
    </row>
    <row r="115" spans="1:15" x14ac:dyDescent="0.25">
      <c r="A115" t="s">
        <v>2285</v>
      </c>
      <c r="B115" s="1" t="e">
        <v>#N/A</v>
      </c>
      <c r="C115" s="1" t="e">
        <v>#N/A</v>
      </c>
      <c r="D115" s="1" t="e">
        <v>#N/A</v>
      </c>
      <c r="E115" s="1" t="s">
        <v>2432</v>
      </c>
      <c r="F115" s="2" t="s">
        <v>2300</v>
      </c>
      <c r="G115" s="1" t="s">
        <v>2304</v>
      </c>
      <c r="H115" s="2">
        <v>13</v>
      </c>
      <c r="I115" s="3" t="s">
        <v>2317</v>
      </c>
      <c r="J115" t="s">
        <v>2365</v>
      </c>
      <c r="M115" s="3" t="s">
        <v>2301</v>
      </c>
      <c r="N115" s="3" t="s">
        <v>2255</v>
      </c>
      <c r="O115" t="s">
        <v>2310</v>
      </c>
    </row>
    <row r="116" spans="1:15" x14ac:dyDescent="0.25">
      <c r="A116" t="s">
        <v>2285</v>
      </c>
      <c r="B116" s="1" t="e">
        <v>#N/A</v>
      </c>
      <c r="C116" s="1" t="e">
        <v>#N/A</v>
      </c>
      <c r="D116" s="1" t="e">
        <v>#N/A</v>
      </c>
      <c r="E116" s="1" t="s">
        <v>2432</v>
      </c>
      <c r="F116" s="2" t="s">
        <v>2300</v>
      </c>
      <c r="G116" s="1" t="s">
        <v>2304</v>
      </c>
      <c r="H116" s="2">
        <v>13</v>
      </c>
      <c r="I116" s="3" t="s">
        <v>2317</v>
      </c>
      <c r="J116" t="s">
        <v>2365</v>
      </c>
      <c r="M116" s="3" t="s">
        <v>2301</v>
      </c>
      <c r="N116" s="3" t="s">
        <v>2255</v>
      </c>
      <c r="O116" t="s">
        <v>2310</v>
      </c>
    </row>
    <row r="117" spans="1:15" x14ac:dyDescent="0.25">
      <c r="A117" t="s">
        <v>2285</v>
      </c>
      <c r="B117" s="1" t="e">
        <v>#N/A</v>
      </c>
      <c r="C117" s="1" t="e">
        <v>#N/A</v>
      </c>
      <c r="D117" s="1" t="e">
        <v>#N/A</v>
      </c>
      <c r="E117" s="1" t="s">
        <v>2432</v>
      </c>
      <c r="F117" s="2" t="s">
        <v>2300</v>
      </c>
      <c r="G117" s="1" t="s">
        <v>2305</v>
      </c>
      <c r="H117" s="2">
        <v>13</v>
      </c>
      <c r="I117" s="3" t="s">
        <v>2390</v>
      </c>
      <c r="J117" t="s">
        <v>2365</v>
      </c>
      <c r="M117" s="3" t="s">
        <v>2301</v>
      </c>
      <c r="N117" s="3" t="s">
        <v>2257</v>
      </c>
      <c r="O117" t="s">
        <v>2310</v>
      </c>
    </row>
    <row r="118" spans="1:15" x14ac:dyDescent="0.25">
      <c r="A118" t="s">
        <v>2285</v>
      </c>
      <c r="B118" s="1" t="s">
        <v>2288</v>
      </c>
      <c r="C118" s="1" t="s">
        <v>2291</v>
      </c>
      <c r="D118" s="1" t="s">
        <v>2426</v>
      </c>
      <c r="E118" s="1" t="s">
        <v>2432</v>
      </c>
      <c r="F118" s="2" t="s">
        <v>2301</v>
      </c>
      <c r="G118" s="1" t="s">
        <v>2304</v>
      </c>
      <c r="H118" s="2">
        <v>12</v>
      </c>
      <c r="I118" s="3" t="s">
        <v>1</v>
      </c>
      <c r="J118" t="s">
        <v>2365</v>
      </c>
      <c r="M118" s="3" t="s">
        <v>2300</v>
      </c>
      <c r="N118" s="3" t="s">
        <v>2255</v>
      </c>
      <c r="O118" t="s">
        <v>2310</v>
      </c>
    </row>
    <row r="119" spans="1:15" x14ac:dyDescent="0.25">
      <c r="A119" t="s">
        <v>2285</v>
      </c>
      <c r="B119" s="1" t="s">
        <v>2288</v>
      </c>
      <c r="C119" s="1" t="s">
        <v>2291</v>
      </c>
      <c r="D119" s="1" t="s">
        <v>2431</v>
      </c>
      <c r="E119" s="1" t="s">
        <v>2432</v>
      </c>
      <c r="F119" s="2" t="s">
        <v>2301</v>
      </c>
      <c r="G119" s="1" t="s">
        <v>2304</v>
      </c>
      <c r="H119" s="2">
        <v>12</v>
      </c>
      <c r="I119" s="3" t="s">
        <v>2317</v>
      </c>
      <c r="J119" t="s">
        <v>2365</v>
      </c>
      <c r="M119" s="3" t="s">
        <v>2300</v>
      </c>
      <c r="N119" s="3" t="s">
        <v>2255</v>
      </c>
      <c r="O119" t="s">
        <v>2310</v>
      </c>
    </row>
    <row r="120" spans="1:15" x14ac:dyDescent="0.25">
      <c r="A120" t="s">
        <v>2285</v>
      </c>
      <c r="B120" s="1" t="e">
        <v>#N/A</v>
      </c>
      <c r="C120" s="1" t="e">
        <v>#N/A</v>
      </c>
      <c r="D120" s="1" t="e">
        <v>#N/A</v>
      </c>
      <c r="E120" s="1" t="s">
        <v>2298</v>
      </c>
      <c r="F120" s="2" t="s">
        <v>2300</v>
      </c>
      <c r="G120" s="1" t="s">
        <v>2304</v>
      </c>
      <c r="H120" s="2">
        <v>12</v>
      </c>
      <c r="I120" s="3" t="s">
        <v>2409</v>
      </c>
      <c r="J120" t="s">
        <v>2365</v>
      </c>
      <c r="M120" s="3" t="s">
        <v>2300</v>
      </c>
      <c r="N120" s="3" t="s">
        <v>2255</v>
      </c>
      <c r="O120" t="s">
        <v>2310</v>
      </c>
    </row>
    <row r="121" spans="1:15" x14ac:dyDescent="0.25">
      <c r="A121" t="s">
        <v>2285</v>
      </c>
      <c r="B121" s="1" t="s">
        <v>2288</v>
      </c>
      <c r="C121" s="1" t="s">
        <v>2291</v>
      </c>
      <c r="D121" s="1" t="s">
        <v>2431</v>
      </c>
      <c r="E121" s="1" t="s">
        <v>2432</v>
      </c>
      <c r="F121" s="2" t="s">
        <v>2301</v>
      </c>
      <c r="G121" s="1" t="s">
        <v>2303</v>
      </c>
      <c r="H121" s="2">
        <v>12</v>
      </c>
      <c r="I121" s="3" t="s">
        <v>31</v>
      </c>
      <c r="J121" t="s">
        <v>2365</v>
      </c>
      <c r="M121" s="3" t="s">
        <v>2300</v>
      </c>
      <c r="N121" s="3" t="s">
        <v>2256</v>
      </c>
      <c r="O121" t="s">
        <v>2310</v>
      </c>
    </row>
    <row r="122" spans="1:15" x14ac:dyDescent="0.25">
      <c r="A122" t="s">
        <v>2285</v>
      </c>
      <c r="B122" s="1" t="s">
        <v>2288</v>
      </c>
      <c r="C122" s="1" t="s">
        <v>2291</v>
      </c>
      <c r="D122" s="1" t="s">
        <v>2431</v>
      </c>
      <c r="E122" s="1" t="s">
        <v>2432</v>
      </c>
      <c r="F122" s="2" t="s">
        <v>2301</v>
      </c>
      <c r="G122" s="1" t="s">
        <v>2303</v>
      </c>
      <c r="H122" s="2">
        <v>12</v>
      </c>
      <c r="I122" s="3" t="s">
        <v>2315</v>
      </c>
      <c r="J122" t="s">
        <v>2365</v>
      </c>
      <c r="M122" s="3" t="s">
        <v>2300</v>
      </c>
      <c r="N122" s="3" t="s">
        <v>2256</v>
      </c>
      <c r="O122" t="s">
        <v>2310</v>
      </c>
    </row>
    <row r="123" spans="1:15" x14ac:dyDescent="0.25">
      <c r="A123" t="s">
        <v>2283</v>
      </c>
      <c r="B123" s="1" t="s">
        <v>2289</v>
      </c>
      <c r="C123" s="1" t="s">
        <v>2292</v>
      </c>
      <c r="D123" s="1" t="s">
        <v>2426</v>
      </c>
      <c r="E123" s="1" t="s">
        <v>2298</v>
      </c>
      <c r="F123" s="2" t="s">
        <v>2300</v>
      </c>
      <c r="G123" s="1" t="s">
        <v>2304</v>
      </c>
      <c r="H123" s="2">
        <v>12</v>
      </c>
      <c r="I123" s="3" t="s">
        <v>2371</v>
      </c>
      <c r="J123" t="s">
        <v>2365</v>
      </c>
      <c r="M123" s="3" t="s">
        <v>2300</v>
      </c>
      <c r="N123" s="3" t="s">
        <v>2255</v>
      </c>
      <c r="O123" t="s">
        <v>2310</v>
      </c>
    </row>
    <row r="124" spans="1:15" x14ac:dyDescent="0.25">
      <c r="A124" t="s">
        <v>2285</v>
      </c>
      <c r="B124" s="1" t="s">
        <v>2288</v>
      </c>
      <c r="C124" s="1" t="s">
        <v>2291</v>
      </c>
      <c r="D124" s="1" t="s">
        <v>2431</v>
      </c>
      <c r="E124" s="1" t="s">
        <v>2432</v>
      </c>
      <c r="F124" s="2" t="s">
        <v>2301</v>
      </c>
      <c r="G124" s="1" t="s">
        <v>2304</v>
      </c>
      <c r="H124" s="2">
        <v>12</v>
      </c>
      <c r="I124" s="3" t="s">
        <v>2317</v>
      </c>
      <c r="J124" t="s">
        <v>2365</v>
      </c>
      <c r="M124" s="3" t="s">
        <v>2300</v>
      </c>
      <c r="N124" s="3" t="s">
        <v>2255</v>
      </c>
      <c r="O124" t="s">
        <v>2310</v>
      </c>
    </row>
    <row r="125" spans="1:15" x14ac:dyDescent="0.25">
      <c r="A125" t="s">
        <v>2285</v>
      </c>
      <c r="B125" s="1" t="s">
        <v>2288</v>
      </c>
      <c r="C125" s="1" t="s">
        <v>2293</v>
      </c>
      <c r="D125" s="1" t="s">
        <v>2431</v>
      </c>
      <c r="E125" s="1" t="s">
        <v>2432</v>
      </c>
      <c r="F125" s="2" t="s">
        <v>2301</v>
      </c>
      <c r="G125" s="1" t="s">
        <v>2304</v>
      </c>
      <c r="H125" s="2">
        <v>12</v>
      </c>
      <c r="I125" s="3" t="s">
        <v>2316</v>
      </c>
      <c r="J125" t="s">
        <v>2365</v>
      </c>
      <c r="M125" s="3" t="s">
        <v>2300</v>
      </c>
      <c r="N125" s="3" t="s">
        <v>2255</v>
      </c>
      <c r="O125" t="s">
        <v>2310</v>
      </c>
    </row>
    <row r="126" spans="1:15" x14ac:dyDescent="0.25">
      <c r="A126" t="s">
        <v>2285</v>
      </c>
      <c r="B126" s="1" t="e">
        <v>#N/A</v>
      </c>
      <c r="C126" s="1" t="e">
        <v>#N/A</v>
      </c>
      <c r="D126" s="1" t="e">
        <v>#N/A</v>
      </c>
      <c r="E126" s="1" t="s">
        <v>2432</v>
      </c>
      <c r="F126" s="2" t="s">
        <v>2301</v>
      </c>
      <c r="G126" s="1" t="s">
        <v>2304</v>
      </c>
      <c r="H126" s="2">
        <v>12</v>
      </c>
      <c r="I126" s="3" t="s">
        <v>2395</v>
      </c>
      <c r="J126" t="s">
        <v>2365</v>
      </c>
      <c r="M126" s="3" t="s">
        <v>2300</v>
      </c>
      <c r="N126" s="3" t="s">
        <v>2255</v>
      </c>
      <c r="O126" t="s">
        <v>2310</v>
      </c>
    </row>
    <row r="127" spans="1:15" x14ac:dyDescent="0.25">
      <c r="A127" t="s">
        <v>2285</v>
      </c>
      <c r="B127" s="1" t="e">
        <v>#N/A</v>
      </c>
      <c r="C127" s="1" t="e">
        <v>#N/A</v>
      </c>
      <c r="D127" s="1" t="e">
        <v>#N/A</v>
      </c>
      <c r="E127" s="1" t="s">
        <v>2432</v>
      </c>
      <c r="F127" s="2" t="s">
        <v>2301</v>
      </c>
      <c r="G127" s="1" t="s">
        <v>2304</v>
      </c>
      <c r="H127" s="2">
        <v>12</v>
      </c>
      <c r="I127" s="3" t="s">
        <v>2321</v>
      </c>
      <c r="J127" t="s">
        <v>2365</v>
      </c>
      <c r="M127" s="3" t="s">
        <v>2300</v>
      </c>
      <c r="N127" s="3" t="s">
        <v>2255</v>
      </c>
      <c r="O127" t="s">
        <v>2310</v>
      </c>
    </row>
    <row r="128" spans="1:15" x14ac:dyDescent="0.25">
      <c r="A128" t="s">
        <v>2283</v>
      </c>
      <c r="B128" s="1" t="s">
        <v>2289</v>
      </c>
      <c r="C128" s="1" t="s">
        <v>2291</v>
      </c>
      <c r="D128" s="1" t="s">
        <v>2427</v>
      </c>
      <c r="E128" s="1" t="s">
        <v>2298</v>
      </c>
      <c r="F128" s="2" t="s">
        <v>2300</v>
      </c>
      <c r="G128" s="1" t="s">
        <v>2304</v>
      </c>
      <c r="H128" s="2">
        <v>12</v>
      </c>
      <c r="I128" s="3" t="s">
        <v>18</v>
      </c>
      <c r="J128" t="s">
        <v>2365</v>
      </c>
      <c r="M128" s="3" t="s">
        <v>2300</v>
      </c>
      <c r="N128" s="3" t="s">
        <v>2255</v>
      </c>
      <c r="O128" t="s">
        <v>2310</v>
      </c>
    </row>
    <row r="129" spans="1:15" x14ac:dyDescent="0.25">
      <c r="A129" t="s">
        <v>2285</v>
      </c>
      <c r="B129" s="1" t="e">
        <v>#N/A</v>
      </c>
      <c r="C129" s="1" t="e">
        <v>#N/A</v>
      </c>
      <c r="D129" s="1" t="e">
        <v>#N/A</v>
      </c>
      <c r="E129" s="1" t="s">
        <v>2432</v>
      </c>
      <c r="F129" s="2" t="s">
        <v>2301</v>
      </c>
      <c r="G129" s="1" t="s">
        <v>2304</v>
      </c>
      <c r="H129" s="2">
        <v>12</v>
      </c>
      <c r="I129" s="3" t="s">
        <v>2321</v>
      </c>
      <c r="J129" t="s">
        <v>2365</v>
      </c>
      <c r="M129" s="3" t="s">
        <v>2300</v>
      </c>
      <c r="N129" s="3" t="s">
        <v>2255</v>
      </c>
      <c r="O129" t="s">
        <v>2310</v>
      </c>
    </row>
    <row r="130" spans="1:15" x14ac:dyDescent="0.25">
      <c r="A130" t="s">
        <v>2285</v>
      </c>
      <c r="B130" s="1" t="s">
        <v>2288</v>
      </c>
      <c r="C130" s="1" t="s">
        <v>2291</v>
      </c>
      <c r="D130" s="1" t="s">
        <v>2431</v>
      </c>
      <c r="E130" s="1" t="s">
        <v>2432</v>
      </c>
      <c r="F130" s="2" t="s">
        <v>2301</v>
      </c>
      <c r="G130" s="1" t="s">
        <v>2304</v>
      </c>
      <c r="H130" s="2">
        <v>12</v>
      </c>
      <c r="I130" s="3" t="s">
        <v>2317</v>
      </c>
      <c r="J130" t="s">
        <v>2365</v>
      </c>
      <c r="M130" s="3" t="s">
        <v>2300</v>
      </c>
      <c r="N130" s="3" t="s">
        <v>2255</v>
      </c>
      <c r="O130" t="s">
        <v>2310</v>
      </c>
    </row>
    <row r="131" spans="1:15" x14ac:dyDescent="0.25">
      <c r="A131" t="s">
        <v>2285</v>
      </c>
      <c r="B131" s="1" t="e">
        <v>#N/A</v>
      </c>
      <c r="C131" s="1" t="e">
        <v>#N/A</v>
      </c>
      <c r="D131" s="1" t="e">
        <v>#N/A</v>
      </c>
      <c r="E131" s="1" t="s">
        <v>2298</v>
      </c>
      <c r="F131" s="2" t="s">
        <v>2300</v>
      </c>
      <c r="G131" s="1" t="s">
        <v>2304</v>
      </c>
      <c r="H131" s="2">
        <v>12</v>
      </c>
      <c r="I131" s="3" t="s">
        <v>22</v>
      </c>
      <c r="J131" t="s">
        <v>2365</v>
      </c>
      <c r="M131" s="3" t="s">
        <v>2300</v>
      </c>
      <c r="N131" s="3" t="s">
        <v>2255</v>
      </c>
      <c r="O131" t="s">
        <v>2310</v>
      </c>
    </row>
    <row r="132" spans="1:15" x14ac:dyDescent="0.25">
      <c r="A132" t="s">
        <v>2285</v>
      </c>
      <c r="B132" s="1" t="s">
        <v>2288</v>
      </c>
      <c r="C132" s="1" t="s">
        <v>2291</v>
      </c>
      <c r="D132" s="1" t="s">
        <v>2431</v>
      </c>
      <c r="E132" s="1" t="s">
        <v>2432</v>
      </c>
      <c r="F132" s="2" t="s">
        <v>2301</v>
      </c>
      <c r="G132" s="1" t="s">
        <v>2304</v>
      </c>
      <c r="H132" s="2">
        <v>12</v>
      </c>
      <c r="I132" s="3" t="s">
        <v>2333</v>
      </c>
      <c r="J132" t="s">
        <v>2365</v>
      </c>
      <c r="M132" s="3" t="s">
        <v>2300</v>
      </c>
      <c r="N132" s="3" t="s">
        <v>2255</v>
      </c>
      <c r="O132" t="s">
        <v>2310</v>
      </c>
    </row>
    <row r="133" spans="1:15" x14ac:dyDescent="0.25">
      <c r="A133" t="s">
        <v>2285</v>
      </c>
      <c r="B133" s="1" t="s">
        <v>2288</v>
      </c>
      <c r="C133" s="1" t="s">
        <v>2291</v>
      </c>
      <c r="D133" s="1" t="s">
        <v>2431</v>
      </c>
      <c r="E133" s="1" t="s">
        <v>2432</v>
      </c>
      <c r="F133" s="2" t="s">
        <v>2301</v>
      </c>
      <c r="G133" s="1" t="s">
        <v>2304</v>
      </c>
      <c r="H133" s="2">
        <v>12</v>
      </c>
      <c r="I133" s="3" t="s">
        <v>2317</v>
      </c>
      <c r="J133" t="s">
        <v>2365</v>
      </c>
      <c r="M133" s="3" t="s">
        <v>2300</v>
      </c>
      <c r="N133" s="3" t="s">
        <v>2255</v>
      </c>
      <c r="O133" t="s">
        <v>2310</v>
      </c>
    </row>
    <row r="134" spans="1:15" x14ac:dyDescent="0.25">
      <c r="A134" t="s">
        <v>2285</v>
      </c>
      <c r="B134" s="1" t="e">
        <v>#N/A</v>
      </c>
      <c r="C134" s="1" t="e">
        <v>#N/A</v>
      </c>
      <c r="D134" s="1" t="e">
        <v>#N/A</v>
      </c>
      <c r="E134" s="1" t="s">
        <v>2432</v>
      </c>
      <c r="F134" s="2" t="s">
        <v>2301</v>
      </c>
      <c r="G134" s="1" t="s">
        <v>2304</v>
      </c>
      <c r="H134" s="2">
        <v>12</v>
      </c>
      <c r="I134" s="3" t="s">
        <v>5</v>
      </c>
      <c r="J134" t="s">
        <v>2365</v>
      </c>
      <c r="M134" s="3" t="s">
        <v>2300</v>
      </c>
      <c r="N134" s="3" t="s">
        <v>2255</v>
      </c>
      <c r="O134" t="s">
        <v>2310</v>
      </c>
    </row>
    <row r="135" spans="1:15" x14ac:dyDescent="0.25">
      <c r="A135" t="s">
        <v>2285</v>
      </c>
      <c r="B135" s="1" t="s">
        <v>2288</v>
      </c>
      <c r="C135" s="1" t="s">
        <v>2291</v>
      </c>
      <c r="D135" s="1" t="s">
        <v>2431</v>
      </c>
      <c r="E135" s="1" t="s">
        <v>2432</v>
      </c>
      <c r="F135" s="2" t="s">
        <v>2301</v>
      </c>
      <c r="G135" s="1" t="s">
        <v>2304</v>
      </c>
      <c r="H135" s="2">
        <v>12</v>
      </c>
      <c r="I135" s="3" t="s">
        <v>2317</v>
      </c>
      <c r="J135" t="s">
        <v>2365</v>
      </c>
      <c r="M135" s="3" t="s">
        <v>2300</v>
      </c>
      <c r="N135" s="3" t="s">
        <v>2255</v>
      </c>
      <c r="O135" t="s">
        <v>2310</v>
      </c>
    </row>
    <row r="136" spans="1:15" x14ac:dyDescent="0.25">
      <c r="A136" t="s">
        <v>2285</v>
      </c>
      <c r="B136" s="1" t="e">
        <v>#N/A</v>
      </c>
      <c r="C136" s="1" t="e">
        <v>#N/A</v>
      </c>
      <c r="D136" s="1" t="e">
        <v>#N/A</v>
      </c>
      <c r="E136" s="1" t="s">
        <v>2432</v>
      </c>
      <c r="F136" s="2" t="s">
        <v>2301</v>
      </c>
      <c r="G136" s="1" t="s">
        <v>2304</v>
      </c>
      <c r="H136" s="2">
        <v>12</v>
      </c>
      <c r="I136" s="3" t="s">
        <v>2397</v>
      </c>
      <c r="J136" t="s">
        <v>2365</v>
      </c>
      <c r="M136" s="3" t="s">
        <v>2300</v>
      </c>
      <c r="N136" s="3" t="s">
        <v>2255</v>
      </c>
      <c r="O136" t="s">
        <v>2310</v>
      </c>
    </row>
    <row r="137" spans="1:15" x14ac:dyDescent="0.25">
      <c r="A137" t="s">
        <v>2285</v>
      </c>
      <c r="B137" s="1" t="e">
        <v>#N/A</v>
      </c>
      <c r="C137" s="1" t="e">
        <v>#N/A</v>
      </c>
      <c r="D137" s="1" t="e">
        <v>#N/A</v>
      </c>
      <c r="E137" s="1" t="s">
        <v>2432</v>
      </c>
      <c r="F137" s="2" t="s">
        <v>2301</v>
      </c>
      <c r="G137" s="1" t="s">
        <v>2304</v>
      </c>
      <c r="H137" s="2">
        <v>12</v>
      </c>
      <c r="I137" s="3" t="s">
        <v>9</v>
      </c>
      <c r="J137" t="s">
        <v>2365</v>
      </c>
      <c r="M137" s="3" t="s">
        <v>2300</v>
      </c>
      <c r="N137" s="3" t="s">
        <v>2255</v>
      </c>
      <c r="O137" t="s">
        <v>2310</v>
      </c>
    </row>
    <row r="138" spans="1:15" x14ac:dyDescent="0.25">
      <c r="A138" t="s">
        <v>2285</v>
      </c>
      <c r="B138" s="1" t="s">
        <v>2288</v>
      </c>
      <c r="C138" s="1" t="s">
        <v>2291</v>
      </c>
      <c r="D138" s="1" t="s">
        <v>2431</v>
      </c>
      <c r="E138" s="1" t="s">
        <v>2432</v>
      </c>
      <c r="F138" s="2" t="s">
        <v>2301</v>
      </c>
      <c r="G138" s="1" t="s">
        <v>2303</v>
      </c>
      <c r="H138" s="2">
        <v>12</v>
      </c>
      <c r="I138" s="3" t="s">
        <v>2314</v>
      </c>
      <c r="J138" t="s">
        <v>2365</v>
      </c>
      <c r="M138" s="3" t="s">
        <v>2300</v>
      </c>
      <c r="N138" s="3" t="s">
        <v>2256</v>
      </c>
      <c r="O138" t="s">
        <v>2310</v>
      </c>
    </row>
    <row r="139" spans="1:15" x14ac:dyDescent="0.25">
      <c r="A139" t="s">
        <v>2285</v>
      </c>
      <c r="B139" s="1" t="s">
        <v>2288</v>
      </c>
      <c r="C139" s="1" t="s">
        <v>2291</v>
      </c>
      <c r="D139" s="1" t="s">
        <v>2431</v>
      </c>
      <c r="E139" s="1" t="s">
        <v>2432</v>
      </c>
      <c r="F139" s="2" t="s">
        <v>2301</v>
      </c>
      <c r="G139" s="1" t="s">
        <v>2303</v>
      </c>
      <c r="H139" s="2">
        <v>12</v>
      </c>
      <c r="I139" s="3" t="s">
        <v>2371</v>
      </c>
      <c r="J139" t="s">
        <v>2365</v>
      </c>
      <c r="M139" s="3" t="s">
        <v>2300</v>
      </c>
      <c r="N139" s="3" t="s">
        <v>2256</v>
      </c>
      <c r="O139" t="s">
        <v>2310</v>
      </c>
    </row>
    <row r="140" spans="1:15" x14ac:dyDescent="0.25">
      <c r="A140" t="s">
        <v>2285</v>
      </c>
      <c r="B140" s="1" t="s">
        <v>2288</v>
      </c>
      <c r="C140" s="1" t="s">
        <v>2291</v>
      </c>
      <c r="D140" s="1" t="s">
        <v>2431</v>
      </c>
      <c r="E140" s="1" t="s">
        <v>2432</v>
      </c>
      <c r="F140" s="2" t="s">
        <v>2301</v>
      </c>
      <c r="G140" s="1" t="s">
        <v>2304</v>
      </c>
      <c r="H140" s="2">
        <v>12</v>
      </c>
      <c r="I140" s="3" t="s">
        <v>2317</v>
      </c>
      <c r="J140" t="s">
        <v>2365</v>
      </c>
      <c r="M140" s="3" t="s">
        <v>2300</v>
      </c>
      <c r="N140" s="3" t="s">
        <v>2255</v>
      </c>
      <c r="O140" t="s">
        <v>2310</v>
      </c>
    </row>
    <row r="141" spans="1:15" x14ac:dyDescent="0.25">
      <c r="A141" t="s">
        <v>2285</v>
      </c>
      <c r="B141" s="1" t="s">
        <v>2288</v>
      </c>
      <c r="C141" s="1" t="s">
        <v>2291</v>
      </c>
      <c r="D141" s="1" t="s">
        <v>2431</v>
      </c>
      <c r="E141" s="1" t="s">
        <v>2432</v>
      </c>
      <c r="F141" s="2" t="s">
        <v>2301</v>
      </c>
      <c r="G141" s="1" t="s">
        <v>2304</v>
      </c>
      <c r="H141" s="2">
        <v>12</v>
      </c>
      <c r="I141" s="3" t="s">
        <v>2317</v>
      </c>
      <c r="J141" t="s">
        <v>2365</v>
      </c>
      <c r="M141" s="3" t="s">
        <v>2300</v>
      </c>
      <c r="N141" s="3" t="s">
        <v>2255</v>
      </c>
      <c r="O141" t="s">
        <v>2310</v>
      </c>
    </row>
    <row r="142" spans="1:15" x14ac:dyDescent="0.25">
      <c r="A142" t="s">
        <v>2286</v>
      </c>
      <c r="B142" s="1" t="s">
        <v>2288</v>
      </c>
      <c r="C142" s="1" t="s">
        <v>2291</v>
      </c>
      <c r="D142" s="1" t="s">
        <v>2426</v>
      </c>
      <c r="E142" s="1" t="s">
        <v>2298</v>
      </c>
      <c r="F142" s="2" t="s">
        <v>2300</v>
      </c>
      <c r="G142" s="1" t="s">
        <v>2304</v>
      </c>
      <c r="H142" s="2">
        <v>12</v>
      </c>
      <c r="I142" s="3" t="s">
        <v>2396</v>
      </c>
      <c r="J142" t="s">
        <v>2365</v>
      </c>
      <c r="M142" s="3" t="s">
        <v>2300</v>
      </c>
      <c r="N142" s="3" t="s">
        <v>2255</v>
      </c>
      <c r="O142" t="s">
        <v>2310</v>
      </c>
    </row>
    <row r="143" spans="1:15" x14ac:dyDescent="0.25">
      <c r="A143" t="s">
        <v>2285</v>
      </c>
      <c r="B143" s="1" t="e">
        <v>#N/A</v>
      </c>
      <c r="C143" s="1" t="e">
        <v>#N/A</v>
      </c>
      <c r="D143" s="1" t="e">
        <v>#N/A</v>
      </c>
      <c r="E143" s="1" t="s">
        <v>2432</v>
      </c>
      <c r="F143" s="2" t="s">
        <v>2301</v>
      </c>
      <c r="G143" s="1" t="s">
        <v>2304</v>
      </c>
      <c r="H143" s="2">
        <v>12</v>
      </c>
      <c r="I143" s="3" t="s">
        <v>2348</v>
      </c>
      <c r="J143" t="s">
        <v>2365</v>
      </c>
      <c r="M143" s="3" t="s">
        <v>2300</v>
      </c>
      <c r="N143" s="3" t="s">
        <v>2255</v>
      </c>
      <c r="O143" t="s">
        <v>2310</v>
      </c>
    </row>
    <row r="144" spans="1:15" x14ac:dyDescent="0.25">
      <c r="A144" t="s">
        <v>2285</v>
      </c>
      <c r="B144" s="1" t="e">
        <v>#N/A</v>
      </c>
      <c r="C144" s="1" t="e">
        <v>#N/A</v>
      </c>
      <c r="D144" s="1" t="e">
        <v>#N/A</v>
      </c>
      <c r="E144" s="1" t="s">
        <v>2432</v>
      </c>
      <c r="F144" s="2" t="s">
        <v>2301</v>
      </c>
      <c r="G144" s="1" t="s">
        <v>2303</v>
      </c>
      <c r="H144" s="2">
        <v>12</v>
      </c>
      <c r="I144" s="3" t="s">
        <v>2321</v>
      </c>
      <c r="J144" t="s">
        <v>2365</v>
      </c>
      <c r="M144" s="3" t="s">
        <v>2300</v>
      </c>
      <c r="N144" s="3" t="s">
        <v>2256</v>
      </c>
      <c r="O144" t="s">
        <v>2310</v>
      </c>
    </row>
    <row r="145" spans="1:15" x14ac:dyDescent="0.25">
      <c r="A145" t="s">
        <v>2285</v>
      </c>
      <c r="B145" s="1" t="e">
        <v>#N/A</v>
      </c>
      <c r="C145" s="1" t="e">
        <v>#N/A</v>
      </c>
      <c r="D145" s="1" t="e">
        <v>#N/A</v>
      </c>
      <c r="E145" s="1" t="s">
        <v>2432</v>
      </c>
      <c r="F145" s="2" t="s">
        <v>2301</v>
      </c>
      <c r="G145" s="1" t="s">
        <v>2304</v>
      </c>
      <c r="H145" s="2">
        <v>12</v>
      </c>
      <c r="I145" s="3" t="s">
        <v>11</v>
      </c>
      <c r="J145" t="s">
        <v>2365</v>
      </c>
      <c r="M145" s="3" t="s">
        <v>2300</v>
      </c>
      <c r="N145" s="3" t="s">
        <v>2255</v>
      </c>
      <c r="O145" t="s">
        <v>2310</v>
      </c>
    </row>
    <row r="146" spans="1:15" x14ac:dyDescent="0.25">
      <c r="A146" t="s">
        <v>2285</v>
      </c>
      <c r="B146" s="1" t="s">
        <v>2288</v>
      </c>
      <c r="C146" s="1" t="s">
        <v>2291</v>
      </c>
      <c r="D146" s="1" t="s">
        <v>2431</v>
      </c>
      <c r="E146" s="1" t="s">
        <v>2432</v>
      </c>
      <c r="F146" s="2" t="s">
        <v>2301</v>
      </c>
      <c r="G146" s="1" t="s">
        <v>2304</v>
      </c>
      <c r="H146" s="2">
        <v>12</v>
      </c>
      <c r="I146" s="3" t="s">
        <v>2317</v>
      </c>
      <c r="J146" t="s">
        <v>2365</v>
      </c>
      <c r="M146" s="3" t="s">
        <v>2300</v>
      </c>
      <c r="N146" s="3" t="s">
        <v>2255</v>
      </c>
      <c r="O146" t="s">
        <v>2310</v>
      </c>
    </row>
    <row r="147" spans="1:15" x14ac:dyDescent="0.25">
      <c r="A147" t="s">
        <v>2285</v>
      </c>
      <c r="B147" s="1" t="s">
        <v>2288</v>
      </c>
      <c r="C147" s="1" t="s">
        <v>2291</v>
      </c>
      <c r="D147" s="1" t="s">
        <v>2431</v>
      </c>
      <c r="E147" s="1" t="s">
        <v>2432</v>
      </c>
      <c r="F147" s="2" t="s">
        <v>2301</v>
      </c>
      <c r="G147" s="1" t="s">
        <v>2304</v>
      </c>
      <c r="H147" s="2">
        <v>12</v>
      </c>
      <c r="I147" s="3" t="s">
        <v>2317</v>
      </c>
      <c r="J147" t="s">
        <v>2365</v>
      </c>
      <c r="M147" s="3" t="s">
        <v>2300</v>
      </c>
      <c r="N147" s="3" t="s">
        <v>2255</v>
      </c>
      <c r="O147" t="s">
        <v>2310</v>
      </c>
    </row>
    <row r="148" spans="1:15" x14ac:dyDescent="0.25">
      <c r="A148" t="s">
        <v>2285</v>
      </c>
      <c r="B148" s="1" t="s">
        <v>2288</v>
      </c>
      <c r="C148" s="1" t="s">
        <v>2291</v>
      </c>
      <c r="D148" s="1" t="s">
        <v>2431</v>
      </c>
      <c r="E148" s="1" t="s">
        <v>2432</v>
      </c>
      <c r="F148" s="2" t="s">
        <v>2301</v>
      </c>
      <c r="G148" s="1" t="s">
        <v>2305</v>
      </c>
      <c r="H148" s="2">
        <v>12</v>
      </c>
      <c r="I148" s="3" t="s">
        <v>2396</v>
      </c>
      <c r="J148" t="s">
        <v>2365</v>
      </c>
      <c r="M148" s="3" t="s">
        <v>2300</v>
      </c>
      <c r="N148" s="3" t="s">
        <v>2258</v>
      </c>
      <c r="O148" t="s">
        <v>2310</v>
      </c>
    </row>
    <row r="149" spans="1:15" x14ac:dyDescent="0.25">
      <c r="A149" t="s">
        <v>2285</v>
      </c>
      <c r="B149" s="1" t="e">
        <v>#N/A</v>
      </c>
      <c r="C149" s="1" t="e">
        <v>#N/A</v>
      </c>
      <c r="D149" s="1" t="e">
        <v>#N/A</v>
      </c>
      <c r="E149" s="1" t="s">
        <v>2298</v>
      </c>
      <c r="F149" s="2" t="s">
        <v>2300</v>
      </c>
      <c r="G149" s="1" t="s">
        <v>2303</v>
      </c>
      <c r="H149" s="2">
        <v>11</v>
      </c>
      <c r="I149" s="3" t="s">
        <v>107</v>
      </c>
      <c r="J149" t="s">
        <v>2365</v>
      </c>
      <c r="M149" s="3" t="s">
        <v>2300</v>
      </c>
      <c r="N149" s="3" t="s">
        <v>2256</v>
      </c>
      <c r="O149" t="s">
        <v>2310</v>
      </c>
    </row>
    <row r="150" spans="1:15" x14ac:dyDescent="0.25">
      <c r="A150" t="s">
        <v>2283</v>
      </c>
      <c r="B150" s="1" t="s">
        <v>2289</v>
      </c>
      <c r="C150" s="1" t="s">
        <v>2291</v>
      </c>
      <c r="D150" s="1" t="s">
        <v>2427</v>
      </c>
      <c r="E150" s="1" t="s">
        <v>2298</v>
      </c>
      <c r="F150" s="2" t="s">
        <v>2300</v>
      </c>
      <c r="G150" s="1" t="s">
        <v>2303</v>
      </c>
      <c r="H150" s="2">
        <v>11</v>
      </c>
      <c r="I150" s="3" t="s">
        <v>2327</v>
      </c>
      <c r="J150" t="s">
        <v>2365</v>
      </c>
      <c r="M150" s="3" t="s">
        <v>2300</v>
      </c>
      <c r="N150" s="3" t="s">
        <v>2256</v>
      </c>
      <c r="O150" t="s">
        <v>2310</v>
      </c>
    </row>
    <row r="151" spans="1:15" x14ac:dyDescent="0.25">
      <c r="A151" t="s">
        <v>2285</v>
      </c>
      <c r="B151" s="1" t="e">
        <v>#N/A</v>
      </c>
      <c r="C151" s="1" t="e">
        <v>#N/A</v>
      </c>
      <c r="D151" s="1" t="e">
        <v>#N/A</v>
      </c>
      <c r="E151" s="1" t="s">
        <v>2298</v>
      </c>
      <c r="F151" s="2" t="s">
        <v>2300</v>
      </c>
      <c r="G151" s="1" t="s">
        <v>2304</v>
      </c>
      <c r="H151" s="2">
        <v>11</v>
      </c>
      <c r="I151" s="3" t="s">
        <v>22</v>
      </c>
      <c r="J151" t="s">
        <v>2365</v>
      </c>
      <c r="M151" s="3" t="s">
        <v>2300</v>
      </c>
      <c r="N151" s="3" t="s">
        <v>2255</v>
      </c>
      <c r="O151" t="s">
        <v>2310</v>
      </c>
    </row>
    <row r="152" spans="1:15" x14ac:dyDescent="0.25">
      <c r="A152" t="s">
        <v>2285</v>
      </c>
      <c r="B152" s="1" t="s">
        <v>2288</v>
      </c>
      <c r="C152" s="1" t="s">
        <v>2291</v>
      </c>
      <c r="D152" s="1" t="s">
        <v>2431</v>
      </c>
      <c r="E152" s="1" t="s">
        <v>2432</v>
      </c>
      <c r="F152" s="2" t="s">
        <v>2301</v>
      </c>
      <c r="G152" s="1" t="s">
        <v>2304</v>
      </c>
      <c r="H152" s="2">
        <v>11</v>
      </c>
      <c r="I152" s="3" t="s">
        <v>2319</v>
      </c>
      <c r="J152" t="s">
        <v>2365</v>
      </c>
      <c r="M152" s="3" t="s">
        <v>2300</v>
      </c>
      <c r="N152" s="3" t="s">
        <v>2255</v>
      </c>
      <c r="O152" t="s">
        <v>2310</v>
      </c>
    </row>
    <row r="153" spans="1:15" x14ac:dyDescent="0.25">
      <c r="A153" t="s">
        <v>2285</v>
      </c>
      <c r="B153" s="1" t="s">
        <v>2288</v>
      </c>
      <c r="C153" s="1" t="s">
        <v>2291</v>
      </c>
      <c r="D153" s="1" t="s">
        <v>2431</v>
      </c>
      <c r="E153" s="1" t="s">
        <v>2432</v>
      </c>
      <c r="F153" s="2" t="s">
        <v>2301</v>
      </c>
      <c r="G153" s="1" t="s">
        <v>2304</v>
      </c>
      <c r="H153" s="2">
        <v>11</v>
      </c>
      <c r="I153" s="3" t="s">
        <v>2317</v>
      </c>
      <c r="J153" t="s">
        <v>2365</v>
      </c>
      <c r="M153" s="3" t="s">
        <v>2300</v>
      </c>
      <c r="N153" s="3" t="s">
        <v>2255</v>
      </c>
      <c r="O153" t="s">
        <v>2310</v>
      </c>
    </row>
    <row r="154" spans="1:15" x14ac:dyDescent="0.25">
      <c r="A154" t="s">
        <v>2285</v>
      </c>
      <c r="B154" s="1" t="s">
        <v>2288</v>
      </c>
      <c r="C154" s="1" t="s">
        <v>2291</v>
      </c>
      <c r="D154" s="1" t="s">
        <v>2431</v>
      </c>
      <c r="E154" s="1" t="s">
        <v>2432</v>
      </c>
      <c r="F154" s="2" t="s">
        <v>2301</v>
      </c>
      <c r="G154" s="1" t="s">
        <v>2304</v>
      </c>
      <c r="H154" s="2">
        <v>11</v>
      </c>
      <c r="I154" s="3" t="s">
        <v>2315</v>
      </c>
      <c r="J154" t="s">
        <v>2365</v>
      </c>
      <c r="M154" s="3" t="s">
        <v>2300</v>
      </c>
      <c r="N154" s="3" t="s">
        <v>2255</v>
      </c>
      <c r="O154" t="s">
        <v>2310</v>
      </c>
    </row>
    <row r="155" spans="1:15" x14ac:dyDescent="0.25">
      <c r="A155" t="s">
        <v>2285</v>
      </c>
      <c r="B155" s="1" t="e">
        <v>#N/A</v>
      </c>
      <c r="C155" s="1" t="e">
        <v>#N/A</v>
      </c>
      <c r="D155" s="1" t="e">
        <v>#N/A</v>
      </c>
      <c r="E155" s="1" t="s">
        <v>2298</v>
      </c>
      <c r="F155" s="2" t="s">
        <v>2300</v>
      </c>
      <c r="G155" s="1" t="s">
        <v>2304</v>
      </c>
      <c r="H155" s="2">
        <v>11</v>
      </c>
      <c r="I155" s="3" t="s">
        <v>24</v>
      </c>
      <c r="J155" t="s">
        <v>2365</v>
      </c>
      <c r="M155" s="3" t="s">
        <v>2300</v>
      </c>
      <c r="N155" s="3" t="s">
        <v>2255</v>
      </c>
      <c r="O155" t="s">
        <v>2310</v>
      </c>
    </row>
    <row r="156" spans="1:15" x14ac:dyDescent="0.25">
      <c r="A156" t="s">
        <v>2283</v>
      </c>
      <c r="B156" s="1" t="s">
        <v>2289</v>
      </c>
      <c r="C156" s="1" t="s">
        <v>2291</v>
      </c>
      <c r="D156" s="1" t="s">
        <v>2427</v>
      </c>
      <c r="E156" s="1" t="s">
        <v>2298</v>
      </c>
      <c r="F156" s="2" t="s">
        <v>2300</v>
      </c>
      <c r="G156" s="1" t="s">
        <v>2304</v>
      </c>
      <c r="H156" s="2">
        <v>11</v>
      </c>
      <c r="I156" s="3" t="s">
        <v>2405</v>
      </c>
      <c r="J156" t="s">
        <v>2365</v>
      </c>
      <c r="M156" s="3" t="s">
        <v>2300</v>
      </c>
      <c r="N156" s="3" t="s">
        <v>2255</v>
      </c>
      <c r="O156" t="s">
        <v>2310</v>
      </c>
    </row>
    <row r="157" spans="1:15" x14ac:dyDescent="0.25">
      <c r="A157" t="s">
        <v>2285</v>
      </c>
      <c r="B157" s="1" t="e">
        <v>#N/A</v>
      </c>
      <c r="C157" s="1" t="e">
        <v>#N/A</v>
      </c>
      <c r="D157" s="1" t="e">
        <v>#N/A</v>
      </c>
      <c r="E157" s="1" t="s">
        <v>2432</v>
      </c>
      <c r="F157" s="2" t="s">
        <v>2301</v>
      </c>
      <c r="G157" s="1" t="s">
        <v>2304</v>
      </c>
      <c r="H157" s="2">
        <v>11</v>
      </c>
      <c r="I157" s="3" t="s">
        <v>5</v>
      </c>
      <c r="J157" t="s">
        <v>2365</v>
      </c>
      <c r="M157" s="3" t="s">
        <v>2300</v>
      </c>
      <c r="N157" s="3" t="s">
        <v>2255</v>
      </c>
      <c r="O157" t="s">
        <v>2310</v>
      </c>
    </row>
    <row r="158" spans="1:15" x14ac:dyDescent="0.25">
      <c r="A158" t="s">
        <v>2285</v>
      </c>
      <c r="B158" s="1" t="e">
        <v>#N/A</v>
      </c>
      <c r="C158" s="1" t="e">
        <v>#N/A</v>
      </c>
      <c r="D158" s="1" t="e">
        <v>#N/A</v>
      </c>
      <c r="E158" s="1" t="s">
        <v>2298</v>
      </c>
      <c r="F158" s="2" t="s">
        <v>2300</v>
      </c>
      <c r="G158" s="1" t="s">
        <v>2304</v>
      </c>
      <c r="H158" s="2">
        <v>11</v>
      </c>
      <c r="I158" s="3" t="s">
        <v>2401</v>
      </c>
      <c r="J158" t="s">
        <v>2365</v>
      </c>
      <c r="M158" s="3" t="s">
        <v>2300</v>
      </c>
      <c r="N158" s="3" t="s">
        <v>2255</v>
      </c>
      <c r="O158" t="s">
        <v>2310</v>
      </c>
    </row>
    <row r="159" spans="1:15" x14ac:dyDescent="0.25">
      <c r="A159" t="s">
        <v>2285</v>
      </c>
      <c r="B159" s="1" t="e">
        <v>#N/A</v>
      </c>
      <c r="C159" s="1" t="e">
        <v>#N/A</v>
      </c>
      <c r="D159" s="1" t="e">
        <v>#N/A</v>
      </c>
      <c r="E159" s="1" t="s">
        <v>2432</v>
      </c>
      <c r="F159" s="2" t="s">
        <v>2301</v>
      </c>
      <c r="G159" s="1" t="s">
        <v>2304</v>
      </c>
      <c r="H159" s="2">
        <v>11</v>
      </c>
      <c r="I159" s="3" t="s">
        <v>2321</v>
      </c>
      <c r="J159" t="s">
        <v>2365</v>
      </c>
      <c r="M159" s="3" t="s">
        <v>2300</v>
      </c>
      <c r="N159" s="3" t="s">
        <v>2255</v>
      </c>
      <c r="O159" t="s">
        <v>2310</v>
      </c>
    </row>
    <row r="160" spans="1:15" x14ac:dyDescent="0.25">
      <c r="A160" t="s">
        <v>2283</v>
      </c>
      <c r="B160" s="1" t="s">
        <v>2289</v>
      </c>
      <c r="C160" s="1" t="s">
        <v>2291</v>
      </c>
      <c r="D160" s="1" t="s">
        <v>2427</v>
      </c>
      <c r="E160" s="1" t="s">
        <v>2298</v>
      </c>
      <c r="F160" s="2" t="s">
        <v>2300</v>
      </c>
      <c r="G160" s="1" t="s">
        <v>2304</v>
      </c>
      <c r="H160" s="2">
        <v>11</v>
      </c>
      <c r="I160" s="3" t="s">
        <v>2321</v>
      </c>
      <c r="J160" t="s">
        <v>2365</v>
      </c>
      <c r="M160" s="3" t="s">
        <v>2300</v>
      </c>
      <c r="N160" s="3" t="s">
        <v>2255</v>
      </c>
      <c r="O160" t="s">
        <v>2310</v>
      </c>
    </row>
    <row r="161" spans="1:15" x14ac:dyDescent="0.25">
      <c r="A161" t="s">
        <v>2285</v>
      </c>
      <c r="B161" s="1" t="e">
        <v>#N/A</v>
      </c>
      <c r="C161" s="1" t="e">
        <v>#N/A</v>
      </c>
      <c r="D161" s="1" t="e">
        <v>#N/A</v>
      </c>
      <c r="E161" s="1" t="s">
        <v>2298</v>
      </c>
      <c r="F161" s="2" t="s">
        <v>2300</v>
      </c>
      <c r="G161" s="1" t="s">
        <v>2304</v>
      </c>
      <c r="H161" s="2">
        <v>11</v>
      </c>
      <c r="I161" s="3" t="s">
        <v>107</v>
      </c>
      <c r="J161" t="s">
        <v>2365</v>
      </c>
      <c r="M161" s="3" t="s">
        <v>2300</v>
      </c>
      <c r="N161" s="3" t="s">
        <v>2255</v>
      </c>
      <c r="O161" t="s">
        <v>2310</v>
      </c>
    </row>
    <row r="162" spans="1:15" x14ac:dyDescent="0.25">
      <c r="A162" t="s">
        <v>2285</v>
      </c>
      <c r="B162" s="1" t="e">
        <v>#N/A</v>
      </c>
      <c r="C162" s="1" t="e">
        <v>#N/A</v>
      </c>
      <c r="D162" s="1" t="e">
        <v>#N/A</v>
      </c>
      <c r="E162" s="1" t="s">
        <v>2432</v>
      </c>
      <c r="F162" s="2" t="s">
        <v>2301</v>
      </c>
      <c r="G162" s="1" t="s">
        <v>2304</v>
      </c>
      <c r="H162" s="2">
        <v>11</v>
      </c>
      <c r="I162" s="3" t="s">
        <v>8</v>
      </c>
      <c r="J162" t="s">
        <v>2365</v>
      </c>
      <c r="M162" s="3" t="s">
        <v>2300</v>
      </c>
      <c r="N162" s="3" t="s">
        <v>2255</v>
      </c>
      <c r="O162" t="s">
        <v>2310</v>
      </c>
    </row>
    <row r="163" spans="1:15" x14ac:dyDescent="0.25">
      <c r="A163" t="s">
        <v>2285</v>
      </c>
      <c r="B163" s="1" t="e">
        <v>#N/A</v>
      </c>
      <c r="C163" s="1" t="e">
        <v>#N/A</v>
      </c>
      <c r="D163" s="1" t="e">
        <v>#N/A</v>
      </c>
      <c r="E163" s="1" t="s">
        <v>2432</v>
      </c>
      <c r="F163" s="2" t="s">
        <v>2301</v>
      </c>
      <c r="G163" s="1" t="s">
        <v>2304</v>
      </c>
      <c r="H163" s="2">
        <v>11</v>
      </c>
      <c r="I163" s="3" t="s">
        <v>18</v>
      </c>
      <c r="J163" t="s">
        <v>2365</v>
      </c>
      <c r="M163" s="3" t="s">
        <v>2300</v>
      </c>
      <c r="N163" s="3" t="s">
        <v>2255</v>
      </c>
      <c r="O163" t="s">
        <v>2310</v>
      </c>
    </row>
    <row r="164" spans="1:15" x14ac:dyDescent="0.25">
      <c r="A164" t="s">
        <v>2285</v>
      </c>
      <c r="B164" s="1" t="e">
        <v>#N/A</v>
      </c>
      <c r="C164" s="1" t="e">
        <v>#N/A</v>
      </c>
      <c r="D164" s="1" t="e">
        <v>#N/A</v>
      </c>
      <c r="E164" s="1" t="s">
        <v>2298</v>
      </c>
      <c r="F164" s="2" t="s">
        <v>2300</v>
      </c>
      <c r="G164" s="1" t="s">
        <v>2304</v>
      </c>
      <c r="H164" s="2">
        <v>11</v>
      </c>
      <c r="I164" s="3" t="s">
        <v>2380</v>
      </c>
      <c r="J164" t="s">
        <v>2365</v>
      </c>
      <c r="M164" s="3" t="s">
        <v>2300</v>
      </c>
      <c r="N164" s="3" t="s">
        <v>2255</v>
      </c>
      <c r="O164" t="s">
        <v>2310</v>
      </c>
    </row>
    <row r="165" spans="1:15" x14ac:dyDescent="0.25">
      <c r="A165" t="s">
        <v>2285</v>
      </c>
      <c r="B165" s="1" t="e">
        <v>#N/A</v>
      </c>
      <c r="C165" s="1" t="e">
        <v>#N/A</v>
      </c>
      <c r="D165" s="1" t="e">
        <v>#N/A</v>
      </c>
      <c r="E165" s="1" t="s">
        <v>2432</v>
      </c>
      <c r="F165" s="2" t="s">
        <v>2301</v>
      </c>
      <c r="G165" s="1" t="s">
        <v>2304</v>
      </c>
      <c r="H165" s="2">
        <v>11</v>
      </c>
      <c r="I165" s="3" t="s">
        <v>2332</v>
      </c>
      <c r="J165" t="s">
        <v>2365</v>
      </c>
      <c r="M165" s="3" t="s">
        <v>2300</v>
      </c>
      <c r="N165" s="3" t="s">
        <v>2255</v>
      </c>
      <c r="O165" t="s">
        <v>2310</v>
      </c>
    </row>
    <row r="166" spans="1:15" x14ac:dyDescent="0.25">
      <c r="A166" t="s">
        <v>2285</v>
      </c>
      <c r="B166" s="1" t="s">
        <v>2288</v>
      </c>
      <c r="C166" s="1" t="s">
        <v>2291</v>
      </c>
      <c r="D166" s="1" t="s">
        <v>2431</v>
      </c>
      <c r="E166" s="1" t="s">
        <v>2432</v>
      </c>
      <c r="F166" s="2" t="s">
        <v>2301</v>
      </c>
      <c r="G166" s="1" t="s">
        <v>2303</v>
      </c>
      <c r="H166" s="2">
        <v>11</v>
      </c>
      <c r="I166" s="3" t="s">
        <v>2318</v>
      </c>
      <c r="J166" t="s">
        <v>2365</v>
      </c>
      <c r="M166" s="3" t="s">
        <v>2300</v>
      </c>
      <c r="N166" s="3" t="s">
        <v>2256</v>
      </c>
      <c r="O166" t="s">
        <v>2310</v>
      </c>
    </row>
    <row r="167" spans="1:15" x14ac:dyDescent="0.25">
      <c r="A167" t="s">
        <v>2285</v>
      </c>
      <c r="B167" s="1" t="s">
        <v>2288</v>
      </c>
      <c r="C167" s="1" t="s">
        <v>2291</v>
      </c>
      <c r="D167" s="1" t="s">
        <v>2431</v>
      </c>
      <c r="E167" s="1" t="s">
        <v>2432</v>
      </c>
      <c r="F167" s="2" t="s">
        <v>2301</v>
      </c>
      <c r="G167" s="1" t="s">
        <v>2304</v>
      </c>
      <c r="H167" s="2">
        <v>11</v>
      </c>
      <c r="I167" s="3" t="s">
        <v>2315</v>
      </c>
      <c r="J167" t="s">
        <v>2365</v>
      </c>
      <c r="M167" s="3" t="s">
        <v>2300</v>
      </c>
      <c r="N167" s="3" t="s">
        <v>2255</v>
      </c>
      <c r="O167" t="s">
        <v>2310</v>
      </c>
    </row>
    <row r="168" spans="1:15" x14ac:dyDescent="0.25">
      <c r="A168" t="s">
        <v>2285</v>
      </c>
      <c r="B168" s="1" t="s">
        <v>2288</v>
      </c>
      <c r="C168" s="1" t="s">
        <v>2291</v>
      </c>
      <c r="D168" s="1" t="s">
        <v>2431</v>
      </c>
      <c r="E168" s="1" t="s">
        <v>2432</v>
      </c>
      <c r="F168" s="2" t="s">
        <v>2301</v>
      </c>
      <c r="G168" s="1" t="s">
        <v>2305</v>
      </c>
      <c r="H168" s="2">
        <v>11</v>
      </c>
      <c r="I168" s="3" t="s">
        <v>2315</v>
      </c>
      <c r="J168" t="s">
        <v>2365</v>
      </c>
      <c r="M168" s="3" t="s">
        <v>2300</v>
      </c>
      <c r="N168" s="3" t="s">
        <v>2258</v>
      </c>
      <c r="O168" t="s">
        <v>2310</v>
      </c>
    </row>
    <row r="169" spans="1:15" x14ac:dyDescent="0.25">
      <c r="A169" t="s">
        <v>2285</v>
      </c>
      <c r="B169" s="1" t="s">
        <v>2288</v>
      </c>
      <c r="C169" s="1" t="s">
        <v>2291</v>
      </c>
      <c r="D169" s="1" t="s">
        <v>2431</v>
      </c>
      <c r="E169" s="1" t="s">
        <v>2432</v>
      </c>
      <c r="F169" s="2" t="s">
        <v>2301</v>
      </c>
      <c r="G169" s="1" t="s">
        <v>2304</v>
      </c>
      <c r="H169" s="2">
        <v>11</v>
      </c>
      <c r="I169" s="3" t="s">
        <v>2317</v>
      </c>
      <c r="J169" t="s">
        <v>2365</v>
      </c>
      <c r="M169" s="3" t="s">
        <v>2300</v>
      </c>
      <c r="N169" s="3" t="s">
        <v>2255</v>
      </c>
      <c r="O169" t="s">
        <v>2310</v>
      </c>
    </row>
    <row r="170" spans="1:15" x14ac:dyDescent="0.25">
      <c r="A170" t="s">
        <v>2285</v>
      </c>
      <c r="B170" s="1" t="e">
        <v>#N/A</v>
      </c>
      <c r="C170" s="1" t="e">
        <v>#N/A</v>
      </c>
      <c r="D170" s="1" t="e">
        <v>#N/A</v>
      </c>
      <c r="E170" s="1" t="s">
        <v>2432</v>
      </c>
      <c r="F170" s="2" t="s">
        <v>2301</v>
      </c>
      <c r="G170" s="1" t="s">
        <v>2304</v>
      </c>
      <c r="H170" s="2">
        <v>11</v>
      </c>
      <c r="I170" s="3" t="s">
        <v>5</v>
      </c>
      <c r="J170" t="s">
        <v>2365</v>
      </c>
      <c r="M170" s="3" t="s">
        <v>2300</v>
      </c>
      <c r="N170" s="3" t="s">
        <v>2255</v>
      </c>
      <c r="O170" t="s">
        <v>2310</v>
      </c>
    </row>
    <row r="171" spans="1:15" x14ac:dyDescent="0.25">
      <c r="A171" t="s">
        <v>2285</v>
      </c>
      <c r="B171" s="1" t="e">
        <v>#N/A</v>
      </c>
      <c r="C171" s="1" t="e">
        <v>#N/A</v>
      </c>
      <c r="D171" s="1" t="e">
        <v>#N/A</v>
      </c>
      <c r="E171" s="1" t="s">
        <v>2432</v>
      </c>
      <c r="F171" s="2" t="s">
        <v>2301</v>
      </c>
      <c r="G171" s="1" t="s">
        <v>2304</v>
      </c>
      <c r="H171" s="2">
        <v>11</v>
      </c>
      <c r="I171" s="3" t="s">
        <v>2318</v>
      </c>
      <c r="J171" t="s">
        <v>2365</v>
      </c>
      <c r="M171" s="3" t="s">
        <v>2300</v>
      </c>
      <c r="N171" s="3" t="s">
        <v>2255</v>
      </c>
      <c r="O171" t="s">
        <v>2310</v>
      </c>
    </row>
    <row r="172" spans="1:15" x14ac:dyDescent="0.25">
      <c r="A172" t="s">
        <v>2285</v>
      </c>
      <c r="B172" s="1" t="e">
        <v>#N/A</v>
      </c>
      <c r="C172" s="1" t="e">
        <v>#N/A</v>
      </c>
      <c r="D172" s="1" t="e">
        <v>#N/A</v>
      </c>
      <c r="E172" s="1" t="s">
        <v>2432</v>
      </c>
      <c r="F172" s="2" t="s">
        <v>2301</v>
      </c>
      <c r="G172" s="1" t="s">
        <v>2304</v>
      </c>
      <c r="H172" s="2">
        <v>11</v>
      </c>
      <c r="I172" s="3" t="s">
        <v>2321</v>
      </c>
      <c r="J172" t="s">
        <v>2365</v>
      </c>
      <c r="M172" s="3" t="s">
        <v>2300</v>
      </c>
      <c r="N172" s="3" t="s">
        <v>2255</v>
      </c>
      <c r="O172" t="s">
        <v>2310</v>
      </c>
    </row>
    <row r="173" spans="1:15" x14ac:dyDescent="0.25">
      <c r="A173" t="s">
        <v>2285</v>
      </c>
      <c r="B173" s="1" t="e">
        <v>#N/A</v>
      </c>
      <c r="C173" s="1" t="e">
        <v>#N/A</v>
      </c>
      <c r="D173" s="1" t="e">
        <v>#N/A</v>
      </c>
      <c r="E173" s="1" t="s">
        <v>2432</v>
      </c>
      <c r="F173" s="2" t="s">
        <v>2301</v>
      </c>
      <c r="G173" s="1" t="s">
        <v>2304</v>
      </c>
      <c r="H173" s="2">
        <v>11</v>
      </c>
      <c r="I173" s="3" t="s">
        <v>2403</v>
      </c>
      <c r="J173" t="s">
        <v>2365</v>
      </c>
      <c r="M173" s="3" t="s">
        <v>2300</v>
      </c>
      <c r="N173" s="3" t="s">
        <v>2255</v>
      </c>
      <c r="O173" t="s">
        <v>2310</v>
      </c>
    </row>
    <row r="174" spans="1:15" x14ac:dyDescent="0.25">
      <c r="A174" t="s">
        <v>2285</v>
      </c>
      <c r="B174" s="1" t="e">
        <v>#N/A</v>
      </c>
      <c r="C174" s="1" t="e">
        <v>#N/A</v>
      </c>
      <c r="D174" s="1" t="e">
        <v>#N/A</v>
      </c>
      <c r="E174" s="1" t="s">
        <v>2432</v>
      </c>
      <c r="F174" s="2" t="s">
        <v>2301</v>
      </c>
      <c r="G174" s="1" t="s">
        <v>2304</v>
      </c>
      <c r="H174" s="2">
        <v>11</v>
      </c>
      <c r="I174" s="3" t="s">
        <v>5</v>
      </c>
      <c r="J174" t="s">
        <v>2365</v>
      </c>
      <c r="M174" s="3" t="s">
        <v>2300</v>
      </c>
      <c r="N174" s="3" t="s">
        <v>2255</v>
      </c>
      <c r="O174" t="s">
        <v>2310</v>
      </c>
    </row>
    <row r="175" spans="1:15" x14ac:dyDescent="0.25">
      <c r="A175" t="s">
        <v>2285</v>
      </c>
      <c r="B175" s="1" t="e">
        <v>#N/A</v>
      </c>
      <c r="C175" s="1" t="e">
        <v>#N/A</v>
      </c>
      <c r="D175" s="1" t="e">
        <v>#N/A</v>
      </c>
      <c r="E175" s="1" t="s">
        <v>2432</v>
      </c>
      <c r="F175" s="2" t="s">
        <v>2301</v>
      </c>
      <c r="G175" s="1" t="s">
        <v>2304</v>
      </c>
      <c r="H175" s="2">
        <v>11</v>
      </c>
      <c r="I175" s="3" t="s">
        <v>2317</v>
      </c>
      <c r="J175" t="s">
        <v>2365</v>
      </c>
      <c r="M175" s="3" t="s">
        <v>2300</v>
      </c>
      <c r="N175" s="3" t="s">
        <v>2255</v>
      </c>
      <c r="O175" t="s">
        <v>2310</v>
      </c>
    </row>
    <row r="176" spans="1:15" x14ac:dyDescent="0.25">
      <c r="A176" t="s">
        <v>2285</v>
      </c>
      <c r="B176" s="1" t="e">
        <v>#N/A</v>
      </c>
      <c r="C176" s="1" t="e">
        <v>#N/A</v>
      </c>
      <c r="D176" s="1" t="e">
        <v>#N/A</v>
      </c>
      <c r="E176" s="1" t="s">
        <v>2432</v>
      </c>
      <c r="F176" s="2" t="s">
        <v>2301</v>
      </c>
      <c r="G176" s="1" t="s">
        <v>2304</v>
      </c>
      <c r="H176" s="2">
        <v>11</v>
      </c>
      <c r="I176" s="3" t="s">
        <v>2404</v>
      </c>
      <c r="J176" t="s">
        <v>2365</v>
      </c>
      <c r="M176" s="3" t="s">
        <v>2300</v>
      </c>
      <c r="N176" s="3" t="s">
        <v>2255</v>
      </c>
      <c r="O176" t="s">
        <v>2310</v>
      </c>
    </row>
    <row r="177" spans="1:15" x14ac:dyDescent="0.25">
      <c r="A177" t="s">
        <v>2285</v>
      </c>
      <c r="B177" s="1" t="e">
        <v>#N/A</v>
      </c>
      <c r="C177" s="1" t="e">
        <v>#N/A</v>
      </c>
      <c r="D177" s="1" t="e">
        <v>#N/A</v>
      </c>
      <c r="E177" s="1" t="s">
        <v>2432</v>
      </c>
      <c r="F177" s="2" t="s">
        <v>2301</v>
      </c>
      <c r="G177" s="1" t="s">
        <v>2303</v>
      </c>
      <c r="H177" s="2">
        <v>11</v>
      </c>
      <c r="I177" s="3" t="s">
        <v>2332</v>
      </c>
      <c r="J177" t="s">
        <v>2365</v>
      </c>
      <c r="M177" s="3" t="s">
        <v>2300</v>
      </c>
      <c r="N177" s="3" t="s">
        <v>2256</v>
      </c>
      <c r="O177" t="s">
        <v>2310</v>
      </c>
    </row>
    <row r="178" spans="1:15" x14ac:dyDescent="0.25">
      <c r="A178" t="s">
        <v>2285</v>
      </c>
      <c r="B178" s="1" t="e">
        <v>#N/A</v>
      </c>
      <c r="C178" s="1" t="e">
        <v>#N/A</v>
      </c>
      <c r="D178" s="1" t="e">
        <v>#N/A</v>
      </c>
      <c r="E178" s="1" t="s">
        <v>2432</v>
      </c>
      <c r="F178" s="2" t="s">
        <v>2301</v>
      </c>
      <c r="G178" s="1" t="s">
        <v>2304</v>
      </c>
      <c r="H178" s="2">
        <v>11</v>
      </c>
      <c r="I178" s="3" t="s">
        <v>7</v>
      </c>
      <c r="J178" t="s">
        <v>2365</v>
      </c>
      <c r="M178" s="3" t="s">
        <v>2300</v>
      </c>
      <c r="N178" s="3" t="s">
        <v>2255</v>
      </c>
      <c r="O178" t="s">
        <v>2310</v>
      </c>
    </row>
    <row r="179" spans="1:15" x14ac:dyDescent="0.25">
      <c r="A179" t="s">
        <v>2285</v>
      </c>
      <c r="B179" s="1" t="e">
        <v>#N/A</v>
      </c>
      <c r="C179" s="1" t="e">
        <v>#N/A</v>
      </c>
      <c r="D179" s="1" t="e">
        <v>#N/A</v>
      </c>
      <c r="E179" s="1" t="s">
        <v>2432</v>
      </c>
      <c r="F179" s="2" t="s">
        <v>2301</v>
      </c>
      <c r="G179" s="1" t="s">
        <v>2304</v>
      </c>
      <c r="H179" s="2">
        <v>11</v>
      </c>
      <c r="I179" s="3" t="s">
        <v>2317</v>
      </c>
      <c r="J179" t="s">
        <v>2365</v>
      </c>
      <c r="M179" s="3" t="s">
        <v>2300</v>
      </c>
      <c r="N179" s="3" t="s">
        <v>2255</v>
      </c>
      <c r="O179" t="s">
        <v>2310</v>
      </c>
    </row>
    <row r="180" spans="1:15" x14ac:dyDescent="0.25">
      <c r="A180" t="s">
        <v>2285</v>
      </c>
      <c r="B180" s="1" t="e">
        <v>#N/A</v>
      </c>
      <c r="C180" s="1" t="e">
        <v>#N/A</v>
      </c>
      <c r="D180" s="1" t="e">
        <v>#N/A</v>
      </c>
      <c r="E180" s="1" t="s">
        <v>2298</v>
      </c>
      <c r="F180" s="2" t="s">
        <v>2300</v>
      </c>
      <c r="G180" s="1" t="s">
        <v>2304</v>
      </c>
      <c r="H180" s="2">
        <v>11</v>
      </c>
      <c r="I180" s="3" t="s">
        <v>107</v>
      </c>
      <c r="J180" t="s">
        <v>2365</v>
      </c>
      <c r="M180" s="3" t="s">
        <v>2300</v>
      </c>
      <c r="N180" s="3" t="s">
        <v>2255</v>
      </c>
      <c r="O180" t="s">
        <v>2310</v>
      </c>
    </row>
    <row r="181" spans="1:15" x14ac:dyDescent="0.25">
      <c r="A181" t="s">
        <v>2285</v>
      </c>
      <c r="B181" s="1" t="e">
        <v>#N/A</v>
      </c>
      <c r="C181" s="1" t="e">
        <v>#N/A</v>
      </c>
      <c r="D181" s="1" t="e">
        <v>#N/A</v>
      </c>
      <c r="E181" s="1" t="s">
        <v>2432</v>
      </c>
      <c r="F181" s="2" t="s">
        <v>2301</v>
      </c>
      <c r="G181" s="1" t="s">
        <v>2304</v>
      </c>
      <c r="H181" s="2">
        <v>11</v>
      </c>
      <c r="I181" s="3" t="s">
        <v>2317</v>
      </c>
      <c r="J181" t="s">
        <v>2365</v>
      </c>
      <c r="M181" s="3" t="s">
        <v>2300</v>
      </c>
      <c r="N181" s="3" t="s">
        <v>2255</v>
      </c>
      <c r="O181" t="s">
        <v>2310</v>
      </c>
    </row>
    <row r="182" spans="1:15" x14ac:dyDescent="0.25">
      <c r="A182" t="s">
        <v>2283</v>
      </c>
      <c r="B182" s="1" t="s">
        <v>2289</v>
      </c>
      <c r="C182" s="1" t="s">
        <v>2291</v>
      </c>
      <c r="D182" s="1" t="s">
        <v>2427</v>
      </c>
      <c r="E182" s="1" t="s">
        <v>2298</v>
      </c>
      <c r="F182" s="2" t="s">
        <v>2300</v>
      </c>
      <c r="G182" s="1" t="s">
        <v>2304</v>
      </c>
      <c r="H182" s="2">
        <v>11</v>
      </c>
      <c r="I182" s="3" t="s">
        <v>2327</v>
      </c>
      <c r="J182" t="s">
        <v>2365</v>
      </c>
      <c r="M182" s="3" t="s">
        <v>2300</v>
      </c>
      <c r="N182" s="3" t="s">
        <v>2255</v>
      </c>
      <c r="O182" t="s">
        <v>2310</v>
      </c>
    </row>
    <row r="183" spans="1:15" x14ac:dyDescent="0.25">
      <c r="A183" t="s">
        <v>2285</v>
      </c>
      <c r="B183" s="1" t="e">
        <v>#N/A</v>
      </c>
      <c r="C183" s="1" t="e">
        <v>#N/A</v>
      </c>
      <c r="D183" s="1" t="e">
        <v>#N/A</v>
      </c>
      <c r="E183" s="1" t="s">
        <v>2432</v>
      </c>
      <c r="F183" s="2" t="s">
        <v>2301</v>
      </c>
      <c r="G183" s="1" t="s">
        <v>2304</v>
      </c>
      <c r="H183" s="2">
        <v>10</v>
      </c>
      <c r="I183" s="3" t="s">
        <v>2317</v>
      </c>
      <c r="J183" t="s">
        <v>2365</v>
      </c>
      <c r="M183" s="3" t="s">
        <v>2300</v>
      </c>
      <c r="N183" s="3" t="s">
        <v>2255</v>
      </c>
      <c r="O183" t="s">
        <v>2310</v>
      </c>
    </row>
    <row r="184" spans="1:15" x14ac:dyDescent="0.25">
      <c r="A184" t="s">
        <v>2285</v>
      </c>
      <c r="B184" s="1" t="e">
        <v>#N/A</v>
      </c>
      <c r="C184" s="1" t="e">
        <v>#N/A</v>
      </c>
      <c r="D184" s="1" t="e">
        <v>#N/A</v>
      </c>
      <c r="E184" s="1" t="s">
        <v>2432</v>
      </c>
      <c r="F184" s="2" t="s">
        <v>2301</v>
      </c>
      <c r="G184" s="1" t="s">
        <v>2304</v>
      </c>
      <c r="H184" s="2">
        <v>10</v>
      </c>
      <c r="I184" s="3" t="s">
        <v>2317</v>
      </c>
      <c r="J184" t="s">
        <v>2365</v>
      </c>
      <c r="M184" s="3" t="s">
        <v>2300</v>
      </c>
      <c r="N184" s="3" t="s">
        <v>2255</v>
      </c>
      <c r="O184" t="s">
        <v>2310</v>
      </c>
    </row>
    <row r="185" spans="1:15" x14ac:dyDescent="0.25">
      <c r="A185" t="s">
        <v>2285</v>
      </c>
      <c r="B185" s="1" t="e">
        <v>#N/A</v>
      </c>
      <c r="C185" s="1" t="e">
        <v>#N/A</v>
      </c>
      <c r="D185" s="1" t="e">
        <v>#N/A</v>
      </c>
      <c r="E185" s="1" t="s">
        <v>2432</v>
      </c>
      <c r="F185" s="2" t="s">
        <v>2301</v>
      </c>
      <c r="G185" s="1" t="s">
        <v>2304</v>
      </c>
      <c r="H185" s="2">
        <v>10</v>
      </c>
      <c r="I185" s="3" t="s">
        <v>2317</v>
      </c>
      <c r="J185" t="s">
        <v>2365</v>
      </c>
      <c r="M185" s="3" t="s">
        <v>2300</v>
      </c>
      <c r="N185" s="3" t="s">
        <v>2255</v>
      </c>
      <c r="O185" t="s">
        <v>2310</v>
      </c>
    </row>
    <row r="186" spans="1:15" x14ac:dyDescent="0.25">
      <c r="A186" t="s">
        <v>2285</v>
      </c>
      <c r="B186" s="1" t="e">
        <v>#N/A</v>
      </c>
      <c r="C186" s="1" t="e">
        <v>#N/A</v>
      </c>
      <c r="D186" s="1" t="e">
        <v>#N/A</v>
      </c>
      <c r="E186" s="1" t="s">
        <v>2432</v>
      </c>
      <c r="F186" s="2" t="s">
        <v>2301</v>
      </c>
      <c r="G186" s="1" t="s">
        <v>2304</v>
      </c>
      <c r="H186" s="2">
        <v>10</v>
      </c>
      <c r="I186" s="3" t="s">
        <v>2317</v>
      </c>
      <c r="J186" t="s">
        <v>2365</v>
      </c>
      <c r="M186" s="3" t="s">
        <v>2300</v>
      </c>
      <c r="N186" s="3" t="s">
        <v>2255</v>
      </c>
      <c r="O186" t="s">
        <v>2310</v>
      </c>
    </row>
    <row r="187" spans="1:15" x14ac:dyDescent="0.25">
      <c r="A187" t="s">
        <v>2285</v>
      </c>
      <c r="B187" s="1" t="e">
        <v>#N/A</v>
      </c>
      <c r="C187" s="1" t="e">
        <v>#N/A</v>
      </c>
      <c r="D187" s="1" t="e">
        <v>#N/A</v>
      </c>
      <c r="E187" s="1" t="s">
        <v>2432</v>
      </c>
      <c r="F187" s="2" t="s">
        <v>2301</v>
      </c>
      <c r="G187" s="1" t="s">
        <v>2304</v>
      </c>
      <c r="H187" s="2">
        <v>10</v>
      </c>
      <c r="I187" s="3" t="s">
        <v>48</v>
      </c>
      <c r="J187" t="s">
        <v>2365</v>
      </c>
      <c r="M187" s="3" t="s">
        <v>2300</v>
      </c>
      <c r="N187" s="3" t="s">
        <v>2255</v>
      </c>
      <c r="O187" t="s">
        <v>2310</v>
      </c>
    </row>
    <row r="188" spans="1:15" x14ac:dyDescent="0.25">
      <c r="A188" t="s">
        <v>2285</v>
      </c>
      <c r="B188" s="1" t="e">
        <v>#N/A</v>
      </c>
      <c r="C188" s="1" t="e">
        <v>#N/A</v>
      </c>
      <c r="D188" s="1" t="e">
        <v>#N/A</v>
      </c>
      <c r="E188" s="1" t="s">
        <v>2298</v>
      </c>
      <c r="F188" s="2" t="s">
        <v>2300</v>
      </c>
      <c r="G188" s="1" t="s">
        <v>2304</v>
      </c>
      <c r="H188" s="2">
        <v>8</v>
      </c>
      <c r="I188" s="3" t="s">
        <v>2411</v>
      </c>
      <c r="J188" t="s">
        <v>2365</v>
      </c>
      <c r="M188" s="3" t="s">
        <v>2300</v>
      </c>
      <c r="N188" s="3" t="s">
        <v>2255</v>
      </c>
      <c r="O188" t="s">
        <v>2310</v>
      </c>
    </row>
    <row r="189" spans="1:15" x14ac:dyDescent="0.25">
      <c r="A189" t="s">
        <v>2285</v>
      </c>
      <c r="B189" s="1" t="e">
        <v>#N/A</v>
      </c>
      <c r="C189" s="1" t="e">
        <v>#N/A</v>
      </c>
      <c r="D189" s="1" t="e">
        <v>#N/A</v>
      </c>
      <c r="E189" s="1" t="s">
        <v>2298</v>
      </c>
      <c r="F189" s="2" t="s">
        <v>2300</v>
      </c>
      <c r="G189" s="1" t="s">
        <v>2304</v>
      </c>
      <c r="H189" s="2">
        <v>8</v>
      </c>
      <c r="I189" s="3" t="s">
        <v>19</v>
      </c>
      <c r="J189" t="s">
        <v>2365</v>
      </c>
      <c r="M189" s="3" t="s">
        <v>2300</v>
      </c>
      <c r="N189" s="3" t="s">
        <v>2255</v>
      </c>
      <c r="O189" t="s">
        <v>2310</v>
      </c>
    </row>
    <row r="190" spans="1:15" x14ac:dyDescent="0.25">
      <c r="A190" t="s">
        <v>2283</v>
      </c>
      <c r="B190" s="1" t="s">
        <v>2289</v>
      </c>
      <c r="C190" s="1" t="s">
        <v>2292</v>
      </c>
      <c r="D190" s="1" t="s">
        <v>2426</v>
      </c>
      <c r="E190" s="1" t="s">
        <v>2298</v>
      </c>
      <c r="F190" s="2" t="s">
        <v>2300</v>
      </c>
      <c r="G190" s="1" t="s">
        <v>2304</v>
      </c>
      <c r="H190" s="2">
        <v>8</v>
      </c>
      <c r="I190" s="3" t="s">
        <v>4</v>
      </c>
      <c r="J190" t="s">
        <v>2365</v>
      </c>
      <c r="M190" s="3" t="s">
        <v>2300</v>
      </c>
      <c r="N190" s="3" t="s">
        <v>2255</v>
      </c>
      <c r="O190" t="s">
        <v>2310</v>
      </c>
    </row>
    <row r="191" spans="1:15" x14ac:dyDescent="0.25">
      <c r="A191" t="s">
        <v>2285</v>
      </c>
      <c r="B191" s="1" t="e">
        <v>#N/A</v>
      </c>
      <c r="C191" s="1" t="e">
        <v>#N/A</v>
      </c>
      <c r="D191" s="1" t="e">
        <v>#N/A</v>
      </c>
      <c r="E191" s="1" t="s">
        <v>2298</v>
      </c>
      <c r="F191" s="2" t="s">
        <v>2300</v>
      </c>
      <c r="G191" s="1" t="s">
        <v>2304</v>
      </c>
      <c r="H191" s="2">
        <v>8</v>
      </c>
      <c r="I191" s="3" t="s">
        <v>2415</v>
      </c>
      <c r="J191" t="s">
        <v>2365</v>
      </c>
      <c r="M191" s="3" t="s">
        <v>2300</v>
      </c>
      <c r="N191" s="3" t="s">
        <v>2255</v>
      </c>
      <c r="O191" t="s">
        <v>2310</v>
      </c>
    </row>
    <row r="192" spans="1:15" x14ac:dyDescent="0.25">
      <c r="A192" t="s">
        <v>2285</v>
      </c>
      <c r="B192" s="1" t="s">
        <v>2289</v>
      </c>
      <c r="C192" s="1" t="s">
        <v>2292</v>
      </c>
      <c r="D192" s="1" t="s">
        <v>2426</v>
      </c>
      <c r="E192" s="1" t="s">
        <v>2298</v>
      </c>
      <c r="F192" s="2" t="s">
        <v>2300</v>
      </c>
      <c r="G192" s="1" t="s">
        <v>2303</v>
      </c>
      <c r="H192" s="2">
        <v>8</v>
      </c>
      <c r="I192" s="3" t="s">
        <v>6</v>
      </c>
      <c r="J192" t="s">
        <v>2365</v>
      </c>
      <c r="M192" s="3" t="s">
        <v>2300</v>
      </c>
      <c r="N192" s="3" t="s">
        <v>2256</v>
      </c>
      <c r="O192" t="s">
        <v>2310</v>
      </c>
    </row>
    <row r="193" spans="1:15" x14ac:dyDescent="0.25">
      <c r="A193" t="s">
        <v>2285</v>
      </c>
      <c r="B193" s="1" t="e">
        <v>#N/A</v>
      </c>
      <c r="C193" s="1" t="e">
        <v>#N/A</v>
      </c>
      <c r="D193" s="1" t="e">
        <v>#N/A</v>
      </c>
      <c r="E193" s="1" t="s">
        <v>2298</v>
      </c>
      <c r="F193" s="2" t="s">
        <v>2300</v>
      </c>
      <c r="G193" s="1" t="s">
        <v>2304</v>
      </c>
      <c r="H193" s="2">
        <v>8</v>
      </c>
      <c r="I193" s="3" t="s">
        <v>2412</v>
      </c>
      <c r="J193" t="s">
        <v>2365</v>
      </c>
      <c r="M193" s="3" t="s">
        <v>2300</v>
      </c>
      <c r="N193" s="3" t="s">
        <v>2255</v>
      </c>
      <c r="O193" t="s">
        <v>2310</v>
      </c>
    </row>
    <row r="194" spans="1:15" x14ac:dyDescent="0.25">
      <c r="A194" t="s">
        <v>2285</v>
      </c>
      <c r="B194" s="1" t="e">
        <v>#N/A</v>
      </c>
      <c r="C194" s="1" t="e">
        <v>#N/A</v>
      </c>
      <c r="D194" s="1" t="e">
        <v>#N/A</v>
      </c>
      <c r="E194" s="1" t="s">
        <v>2432</v>
      </c>
      <c r="F194" s="2" t="s">
        <v>2301</v>
      </c>
      <c r="G194" s="1" t="s">
        <v>2304</v>
      </c>
      <c r="H194" s="2">
        <v>8</v>
      </c>
      <c r="I194" s="3" t="s">
        <v>2315</v>
      </c>
      <c r="J194" t="s">
        <v>2365</v>
      </c>
      <c r="M194" s="3" t="s">
        <v>2300</v>
      </c>
      <c r="N194" s="3" t="s">
        <v>2255</v>
      </c>
      <c r="O194" t="s">
        <v>2310</v>
      </c>
    </row>
    <row r="195" spans="1:15" x14ac:dyDescent="0.25">
      <c r="A195" t="s">
        <v>2285</v>
      </c>
      <c r="B195" s="1" t="e">
        <v>#N/A</v>
      </c>
      <c r="C195" s="1" t="e">
        <v>#N/A</v>
      </c>
      <c r="D195" s="1" t="e">
        <v>#N/A</v>
      </c>
      <c r="E195" s="1" t="s">
        <v>2432</v>
      </c>
      <c r="F195" s="2" t="s">
        <v>2301</v>
      </c>
      <c r="G195" s="1" t="s">
        <v>2304</v>
      </c>
      <c r="H195" s="2">
        <v>8</v>
      </c>
      <c r="I195" s="3" t="s">
        <v>5</v>
      </c>
      <c r="J195" t="s">
        <v>2365</v>
      </c>
      <c r="M195" s="3" t="s">
        <v>2300</v>
      </c>
      <c r="N195" s="3" t="s">
        <v>2255</v>
      </c>
      <c r="O195" t="s">
        <v>2310</v>
      </c>
    </row>
    <row r="196" spans="1:15" x14ac:dyDescent="0.25">
      <c r="A196" t="s">
        <v>2285</v>
      </c>
      <c r="B196" s="1" t="e">
        <v>#N/A</v>
      </c>
      <c r="C196" s="1" t="e">
        <v>#N/A</v>
      </c>
      <c r="D196" s="1" t="e">
        <v>#N/A</v>
      </c>
      <c r="E196" s="1" t="s">
        <v>2432</v>
      </c>
      <c r="F196" s="2" t="s">
        <v>2301</v>
      </c>
      <c r="G196" s="1" t="s">
        <v>2304</v>
      </c>
      <c r="H196" s="2">
        <v>8</v>
      </c>
      <c r="I196" s="3" t="s">
        <v>2333</v>
      </c>
      <c r="J196" t="s">
        <v>2365</v>
      </c>
      <c r="M196" s="3" t="s">
        <v>2300</v>
      </c>
      <c r="N196" s="3" t="s">
        <v>2255</v>
      </c>
      <c r="O196" t="s">
        <v>2310</v>
      </c>
    </row>
    <row r="197" spans="1:15" x14ac:dyDescent="0.25">
      <c r="A197" t="s">
        <v>2285</v>
      </c>
      <c r="B197" s="1" t="e">
        <v>#N/A</v>
      </c>
      <c r="C197" s="1" t="e">
        <v>#N/A</v>
      </c>
      <c r="D197" s="1" t="e">
        <v>#N/A</v>
      </c>
      <c r="E197" s="1" t="s">
        <v>2432</v>
      </c>
      <c r="F197" s="2" t="s">
        <v>2301</v>
      </c>
      <c r="G197" s="1" t="s">
        <v>2304</v>
      </c>
      <c r="H197" s="2">
        <v>8</v>
      </c>
      <c r="I197" s="3" t="s">
        <v>2317</v>
      </c>
      <c r="J197" t="s">
        <v>2365</v>
      </c>
      <c r="M197" s="3" t="s">
        <v>2300</v>
      </c>
      <c r="N197" s="3" t="s">
        <v>2255</v>
      </c>
      <c r="O197" t="s">
        <v>2310</v>
      </c>
    </row>
    <row r="198" spans="1:15" x14ac:dyDescent="0.25">
      <c r="A198" t="s">
        <v>2285</v>
      </c>
      <c r="B198" s="1" t="e">
        <v>#N/A</v>
      </c>
      <c r="C198" s="1" t="e">
        <v>#N/A</v>
      </c>
      <c r="D198" s="1" t="e">
        <v>#N/A</v>
      </c>
      <c r="E198" s="1" t="s">
        <v>2432</v>
      </c>
      <c r="F198" s="2" t="s">
        <v>2301</v>
      </c>
      <c r="G198" s="1" t="s">
        <v>2304</v>
      </c>
      <c r="H198" s="2">
        <v>8</v>
      </c>
      <c r="I198" s="3" t="s">
        <v>2</v>
      </c>
      <c r="J198" t="s">
        <v>2365</v>
      </c>
      <c r="M198" s="3" t="s">
        <v>2300</v>
      </c>
      <c r="N198" s="3" t="s">
        <v>2255</v>
      </c>
      <c r="O198" t="s">
        <v>2310</v>
      </c>
    </row>
    <row r="199" spans="1:15" x14ac:dyDescent="0.25">
      <c r="A199" t="s">
        <v>2285</v>
      </c>
      <c r="B199" s="1" t="e">
        <v>#N/A</v>
      </c>
      <c r="C199" s="1" t="e">
        <v>#N/A</v>
      </c>
      <c r="D199" s="1" t="e">
        <v>#N/A</v>
      </c>
      <c r="E199" s="1" t="s">
        <v>2432</v>
      </c>
      <c r="F199" s="2" t="s">
        <v>2301</v>
      </c>
      <c r="G199" s="1" t="s">
        <v>2304</v>
      </c>
      <c r="H199" s="2">
        <v>8</v>
      </c>
      <c r="I199" s="3" t="s">
        <v>2314</v>
      </c>
      <c r="J199" t="s">
        <v>2365</v>
      </c>
      <c r="M199" s="3" t="s">
        <v>2300</v>
      </c>
      <c r="N199" s="3" t="s">
        <v>2255</v>
      </c>
      <c r="O199" t="s">
        <v>2310</v>
      </c>
    </row>
    <row r="200" spans="1:15" x14ac:dyDescent="0.25">
      <c r="A200" t="s">
        <v>2285</v>
      </c>
      <c r="B200" s="1" t="e">
        <v>#N/A</v>
      </c>
      <c r="C200" s="1" t="e">
        <v>#N/A</v>
      </c>
      <c r="D200" s="1" t="e">
        <v>#N/A</v>
      </c>
      <c r="E200" s="1" t="s">
        <v>2432</v>
      </c>
      <c r="F200" s="2" t="s">
        <v>2301</v>
      </c>
      <c r="G200" s="1" t="s">
        <v>2304</v>
      </c>
      <c r="H200" s="2">
        <v>8</v>
      </c>
      <c r="I200" s="3" t="s">
        <v>2321</v>
      </c>
      <c r="J200" t="s">
        <v>2365</v>
      </c>
      <c r="M200" s="3" t="s">
        <v>2300</v>
      </c>
      <c r="N200" s="3" t="s">
        <v>2255</v>
      </c>
      <c r="O200" t="s">
        <v>2310</v>
      </c>
    </row>
    <row r="201" spans="1:15" x14ac:dyDescent="0.25">
      <c r="A201" t="s">
        <v>2285</v>
      </c>
      <c r="B201" s="1" t="e">
        <v>#N/A</v>
      </c>
      <c r="C201" s="1" t="e">
        <v>#N/A</v>
      </c>
      <c r="D201" s="1" t="e">
        <v>#N/A</v>
      </c>
      <c r="E201" s="1" t="s">
        <v>2432</v>
      </c>
      <c r="F201" s="2" t="s">
        <v>2301</v>
      </c>
      <c r="G201" s="1" t="s">
        <v>2304</v>
      </c>
      <c r="H201" s="2">
        <v>8</v>
      </c>
      <c r="I201" s="3" t="s">
        <v>2317</v>
      </c>
      <c r="J201" t="s">
        <v>2365</v>
      </c>
      <c r="M201" s="3" t="s">
        <v>2300</v>
      </c>
      <c r="N201" s="3" t="s">
        <v>2255</v>
      </c>
      <c r="O201" t="s">
        <v>2310</v>
      </c>
    </row>
    <row r="202" spans="1:15" x14ac:dyDescent="0.25">
      <c r="A202" t="s">
        <v>2285</v>
      </c>
      <c r="B202" s="1" t="e">
        <v>#N/A</v>
      </c>
      <c r="C202" s="1" t="e">
        <v>#N/A</v>
      </c>
      <c r="D202" s="1" t="e">
        <v>#N/A</v>
      </c>
      <c r="E202" s="1" t="s">
        <v>2432</v>
      </c>
      <c r="F202" s="2" t="s">
        <v>2301</v>
      </c>
      <c r="G202" s="1" t="s">
        <v>2304</v>
      </c>
      <c r="H202" s="2">
        <v>8</v>
      </c>
      <c r="I202" s="3" t="s">
        <v>2334</v>
      </c>
      <c r="J202" t="s">
        <v>2365</v>
      </c>
      <c r="M202" s="3" t="s">
        <v>2300</v>
      </c>
      <c r="N202" s="3" t="s">
        <v>2255</v>
      </c>
      <c r="O202" t="s">
        <v>2310</v>
      </c>
    </row>
    <row r="203" spans="1:15" x14ac:dyDescent="0.25">
      <c r="A203" t="s">
        <v>2285</v>
      </c>
      <c r="B203" s="1" t="e">
        <v>#N/A</v>
      </c>
      <c r="C203" s="1" t="e">
        <v>#N/A</v>
      </c>
      <c r="D203" s="1" t="e">
        <v>#N/A</v>
      </c>
      <c r="E203" s="1" t="s">
        <v>2432</v>
      </c>
      <c r="F203" s="2" t="s">
        <v>2301</v>
      </c>
      <c r="G203" s="1" t="s">
        <v>2304</v>
      </c>
      <c r="H203" s="2">
        <v>8</v>
      </c>
      <c r="I203" s="3" t="s">
        <v>2333</v>
      </c>
      <c r="J203" t="s">
        <v>2365</v>
      </c>
      <c r="M203" s="3" t="s">
        <v>2300</v>
      </c>
      <c r="N203" s="3" t="s">
        <v>2255</v>
      </c>
      <c r="O203" t="s">
        <v>2310</v>
      </c>
    </row>
    <row r="204" spans="1:15" x14ac:dyDescent="0.25">
      <c r="A204" t="s">
        <v>2285</v>
      </c>
      <c r="B204" s="1" t="e">
        <v>#N/A</v>
      </c>
      <c r="C204" s="1" t="e">
        <v>#N/A</v>
      </c>
      <c r="D204" s="1" t="e">
        <v>#N/A</v>
      </c>
      <c r="E204" s="1" t="s">
        <v>2432</v>
      </c>
      <c r="F204" s="2" t="s">
        <v>2301</v>
      </c>
      <c r="G204" s="1" t="s">
        <v>2303</v>
      </c>
      <c r="H204" s="2">
        <v>8</v>
      </c>
      <c r="I204" s="3" t="s">
        <v>2315</v>
      </c>
      <c r="J204" t="s">
        <v>2365</v>
      </c>
      <c r="M204" s="3" t="s">
        <v>2300</v>
      </c>
      <c r="N204" s="3" t="s">
        <v>2256</v>
      </c>
      <c r="O204" t="s">
        <v>2310</v>
      </c>
    </row>
    <row r="205" spans="1:15" x14ac:dyDescent="0.25">
      <c r="A205" t="s">
        <v>2285</v>
      </c>
      <c r="B205" s="1" t="e">
        <v>#N/A</v>
      </c>
      <c r="C205" s="1" t="e">
        <v>#N/A</v>
      </c>
      <c r="D205" s="1" t="e">
        <v>#N/A</v>
      </c>
      <c r="E205" s="1" t="s">
        <v>2432</v>
      </c>
      <c r="F205" s="2" t="s">
        <v>2301</v>
      </c>
      <c r="G205" s="1" t="s">
        <v>2304</v>
      </c>
      <c r="H205" s="2">
        <v>8</v>
      </c>
      <c r="I205" s="3" t="s">
        <v>2315</v>
      </c>
      <c r="J205" t="s">
        <v>2365</v>
      </c>
      <c r="M205" s="3" t="s">
        <v>2300</v>
      </c>
      <c r="N205" s="3" t="s">
        <v>2255</v>
      </c>
      <c r="O205" t="s">
        <v>2310</v>
      </c>
    </row>
    <row r="206" spans="1:15" x14ac:dyDescent="0.25">
      <c r="A206" t="s">
        <v>2285</v>
      </c>
      <c r="B206" s="1" t="e">
        <v>#N/A</v>
      </c>
      <c r="C206" s="1" t="e">
        <v>#N/A</v>
      </c>
      <c r="D206" s="1" t="e">
        <v>#N/A</v>
      </c>
      <c r="E206" s="1" t="s">
        <v>2432</v>
      </c>
      <c r="F206" s="2" t="s">
        <v>2301</v>
      </c>
      <c r="G206" s="1" t="s">
        <v>2303</v>
      </c>
      <c r="H206" s="2">
        <v>8</v>
      </c>
      <c r="I206" s="3" t="s">
        <v>2321</v>
      </c>
      <c r="J206" t="s">
        <v>2365</v>
      </c>
      <c r="M206" s="3" t="s">
        <v>2300</v>
      </c>
      <c r="N206" s="3" t="s">
        <v>2256</v>
      </c>
      <c r="O206" t="s">
        <v>2310</v>
      </c>
    </row>
    <row r="207" spans="1:15" x14ac:dyDescent="0.25">
      <c r="A207" t="s">
        <v>2285</v>
      </c>
      <c r="B207" s="1" t="e">
        <v>#N/A</v>
      </c>
      <c r="C207" s="1" t="e">
        <v>#N/A</v>
      </c>
      <c r="D207" s="1" t="e">
        <v>#N/A</v>
      </c>
      <c r="E207" s="1" t="s">
        <v>2432</v>
      </c>
      <c r="F207" s="2" t="s">
        <v>2301</v>
      </c>
      <c r="G207" s="1" t="s">
        <v>2304</v>
      </c>
      <c r="H207" s="2">
        <v>8</v>
      </c>
      <c r="I207" s="3" t="s">
        <v>2317</v>
      </c>
      <c r="J207" t="s">
        <v>2365</v>
      </c>
      <c r="M207" s="3" t="s">
        <v>2300</v>
      </c>
      <c r="N207" s="3" t="s">
        <v>2255</v>
      </c>
      <c r="O207" t="s">
        <v>2310</v>
      </c>
    </row>
    <row r="208" spans="1:15" x14ac:dyDescent="0.25">
      <c r="A208" t="s">
        <v>2285</v>
      </c>
      <c r="B208" s="1" t="e">
        <v>#N/A</v>
      </c>
      <c r="C208" s="1" t="e">
        <v>#N/A</v>
      </c>
      <c r="D208" s="1" t="e">
        <v>#N/A</v>
      </c>
      <c r="E208" s="1" t="s">
        <v>2432</v>
      </c>
      <c r="F208" s="2" t="s">
        <v>2301</v>
      </c>
      <c r="G208" s="1" t="s">
        <v>2304</v>
      </c>
      <c r="H208" s="2">
        <v>8</v>
      </c>
      <c r="I208" s="3" t="s">
        <v>2317</v>
      </c>
      <c r="J208" t="s">
        <v>2365</v>
      </c>
      <c r="M208" s="3" t="s">
        <v>2300</v>
      </c>
      <c r="N208" s="3" t="s">
        <v>2255</v>
      </c>
      <c r="O208" t="s">
        <v>2310</v>
      </c>
    </row>
    <row r="209" spans="1:15" x14ac:dyDescent="0.25">
      <c r="A209" t="s">
        <v>2285</v>
      </c>
      <c r="B209" s="1" t="e">
        <v>#N/A</v>
      </c>
      <c r="C209" s="1" t="e">
        <v>#N/A</v>
      </c>
      <c r="D209" s="1" t="e">
        <v>#N/A</v>
      </c>
      <c r="E209" s="1" t="s">
        <v>2432</v>
      </c>
      <c r="F209" s="2" t="s">
        <v>2301</v>
      </c>
      <c r="G209" s="1" t="s">
        <v>2304</v>
      </c>
      <c r="H209" s="2">
        <v>8</v>
      </c>
      <c r="I209" s="3" t="s">
        <v>2313</v>
      </c>
      <c r="J209" t="s">
        <v>2365</v>
      </c>
      <c r="M209" s="3" t="s">
        <v>2300</v>
      </c>
      <c r="N209" s="3" t="s">
        <v>2255</v>
      </c>
      <c r="O209" t="s">
        <v>2310</v>
      </c>
    </row>
    <row r="210" spans="1:15" x14ac:dyDescent="0.25">
      <c r="A210" t="s">
        <v>2285</v>
      </c>
      <c r="B210" s="1" t="e">
        <v>#N/A</v>
      </c>
      <c r="C210" s="1" t="e">
        <v>#N/A</v>
      </c>
      <c r="D210" s="1" t="e">
        <v>#N/A</v>
      </c>
      <c r="E210" s="1" t="s">
        <v>2432</v>
      </c>
      <c r="F210" s="2" t="s">
        <v>2301</v>
      </c>
      <c r="G210" s="1" t="s">
        <v>2304</v>
      </c>
      <c r="H210" s="2">
        <v>8</v>
      </c>
      <c r="I210" s="3" t="s">
        <v>2</v>
      </c>
      <c r="J210" t="s">
        <v>2365</v>
      </c>
      <c r="M210" s="3" t="s">
        <v>2300</v>
      </c>
      <c r="N210" s="3" t="s">
        <v>2255</v>
      </c>
      <c r="O210" t="s">
        <v>2310</v>
      </c>
    </row>
    <row r="211" spans="1:15" x14ac:dyDescent="0.25">
      <c r="A211" t="s">
        <v>2285</v>
      </c>
      <c r="B211" s="1" t="e">
        <v>#N/A</v>
      </c>
      <c r="C211" s="1" t="e">
        <v>#N/A</v>
      </c>
      <c r="D211" s="1" t="e">
        <v>#N/A</v>
      </c>
      <c r="E211" s="1" t="s">
        <v>2432</v>
      </c>
      <c r="F211" s="2" t="s">
        <v>2301</v>
      </c>
      <c r="G211" s="1" t="s">
        <v>2304</v>
      </c>
      <c r="H211" s="2">
        <v>8</v>
      </c>
      <c r="I211" s="3" t="s">
        <v>2317</v>
      </c>
      <c r="J211" t="s">
        <v>2365</v>
      </c>
      <c r="M211" s="3" t="s">
        <v>2300</v>
      </c>
      <c r="N211" s="3" t="s">
        <v>2255</v>
      </c>
      <c r="O211" t="s">
        <v>2310</v>
      </c>
    </row>
    <row r="212" spans="1:15" x14ac:dyDescent="0.25">
      <c r="A212" t="s">
        <v>2285</v>
      </c>
      <c r="B212" s="1" t="e">
        <v>#N/A</v>
      </c>
      <c r="C212" s="1" t="e">
        <v>#N/A</v>
      </c>
      <c r="D212" s="1" t="e">
        <v>#N/A</v>
      </c>
      <c r="E212" s="1" t="s">
        <v>2432</v>
      </c>
      <c r="F212" s="2" t="s">
        <v>2301</v>
      </c>
      <c r="G212" s="1" t="s">
        <v>2304</v>
      </c>
      <c r="H212" s="2">
        <v>8</v>
      </c>
      <c r="I212" s="3" t="s">
        <v>2313</v>
      </c>
      <c r="J212" t="s">
        <v>2365</v>
      </c>
      <c r="M212" s="3" t="s">
        <v>2300</v>
      </c>
      <c r="N212" s="3" t="s">
        <v>2255</v>
      </c>
      <c r="O212" t="s">
        <v>2310</v>
      </c>
    </row>
    <row r="213" spans="1:15" x14ac:dyDescent="0.25">
      <c r="A213" t="s">
        <v>2285</v>
      </c>
      <c r="B213" s="1" t="e">
        <v>#N/A</v>
      </c>
      <c r="C213" s="1" t="e">
        <v>#N/A</v>
      </c>
      <c r="D213" s="1" t="e">
        <v>#N/A</v>
      </c>
      <c r="E213" s="1" t="s">
        <v>2432</v>
      </c>
      <c r="F213" s="2" t="s">
        <v>2301</v>
      </c>
      <c r="G213" s="1" t="s">
        <v>2304</v>
      </c>
      <c r="H213" s="2">
        <v>8</v>
      </c>
      <c r="I213" s="3" t="s">
        <v>9</v>
      </c>
      <c r="J213" t="s">
        <v>2365</v>
      </c>
      <c r="M213" s="3" t="s">
        <v>2300</v>
      </c>
      <c r="N213" s="3" t="s">
        <v>2255</v>
      </c>
      <c r="O213" t="s">
        <v>2310</v>
      </c>
    </row>
    <row r="214" spans="1:15" x14ac:dyDescent="0.25">
      <c r="A214" t="s">
        <v>2285</v>
      </c>
      <c r="B214" s="1" t="e">
        <v>#N/A</v>
      </c>
      <c r="C214" s="1" t="e">
        <v>#N/A</v>
      </c>
      <c r="D214" s="1" t="e">
        <v>#N/A</v>
      </c>
      <c r="E214" s="1" t="s">
        <v>2432</v>
      </c>
      <c r="F214" s="2" t="s">
        <v>2301</v>
      </c>
      <c r="G214" s="1" t="s">
        <v>2305</v>
      </c>
      <c r="H214" s="2">
        <v>8</v>
      </c>
      <c r="I214" s="3" t="s">
        <v>1</v>
      </c>
      <c r="J214" t="s">
        <v>2365</v>
      </c>
      <c r="M214" s="3" t="s">
        <v>2300</v>
      </c>
      <c r="N214" s="3" t="s">
        <v>2258</v>
      </c>
      <c r="O214" t="s">
        <v>2310</v>
      </c>
    </row>
    <row r="215" spans="1:15" x14ac:dyDescent="0.25">
      <c r="A215" t="s">
        <v>2285</v>
      </c>
      <c r="B215" s="1" t="e">
        <v>#N/A</v>
      </c>
      <c r="C215" s="1" t="e">
        <v>#N/A</v>
      </c>
      <c r="D215" s="1" t="e">
        <v>#N/A</v>
      </c>
      <c r="E215" s="1" t="s">
        <v>2432</v>
      </c>
      <c r="F215" s="2" t="s">
        <v>2301</v>
      </c>
      <c r="G215" s="1" t="s">
        <v>2304</v>
      </c>
      <c r="H215" s="2">
        <v>8</v>
      </c>
      <c r="I215" s="3" t="s">
        <v>2316</v>
      </c>
      <c r="J215" t="s">
        <v>2365</v>
      </c>
      <c r="M215" s="3" t="s">
        <v>2300</v>
      </c>
      <c r="N215" s="3" t="s">
        <v>2255</v>
      </c>
      <c r="O215" t="s">
        <v>2310</v>
      </c>
    </row>
    <row r="216" spans="1:15" x14ac:dyDescent="0.25">
      <c r="A216" t="s">
        <v>2285</v>
      </c>
      <c r="B216" s="1" t="e">
        <v>#N/A</v>
      </c>
      <c r="C216" s="1" t="e">
        <v>#N/A</v>
      </c>
      <c r="D216" s="1" t="e">
        <v>#N/A</v>
      </c>
      <c r="E216" s="1" t="s">
        <v>2432</v>
      </c>
      <c r="F216" s="2" t="s">
        <v>2301</v>
      </c>
      <c r="G216" s="1" t="s">
        <v>2304</v>
      </c>
      <c r="H216" s="2">
        <v>8</v>
      </c>
      <c r="I216" s="3" t="s">
        <v>2</v>
      </c>
      <c r="J216" t="s">
        <v>2365</v>
      </c>
      <c r="M216" s="3" t="s">
        <v>2300</v>
      </c>
      <c r="N216" s="3" t="s">
        <v>2255</v>
      </c>
      <c r="O216" t="s">
        <v>2310</v>
      </c>
    </row>
    <row r="217" spans="1:15" x14ac:dyDescent="0.25">
      <c r="A217" t="s">
        <v>2285</v>
      </c>
      <c r="B217" s="1" t="e">
        <v>#N/A</v>
      </c>
      <c r="C217" s="1" t="e">
        <v>#N/A</v>
      </c>
      <c r="D217" s="1" t="e">
        <v>#N/A</v>
      </c>
      <c r="E217" s="1" t="s">
        <v>2432</v>
      </c>
      <c r="F217" s="2" t="s">
        <v>2301</v>
      </c>
      <c r="G217" s="1" t="s">
        <v>2304</v>
      </c>
      <c r="H217" s="2">
        <v>8</v>
      </c>
      <c r="I217" s="3" t="s">
        <v>31</v>
      </c>
      <c r="J217" t="s">
        <v>2365</v>
      </c>
      <c r="M217" s="3" t="s">
        <v>2300</v>
      </c>
      <c r="N217" s="3" t="s">
        <v>2255</v>
      </c>
      <c r="O217" t="s">
        <v>2310</v>
      </c>
    </row>
    <row r="218" spans="1:15" x14ac:dyDescent="0.25">
      <c r="A218" t="s">
        <v>2285</v>
      </c>
      <c r="B218" s="1" t="e">
        <v>#N/A</v>
      </c>
      <c r="C218" s="1" t="e">
        <v>#N/A</v>
      </c>
      <c r="D218" s="1" t="e">
        <v>#N/A</v>
      </c>
      <c r="E218" s="1" t="s">
        <v>2432</v>
      </c>
      <c r="F218" s="2" t="s">
        <v>2301</v>
      </c>
      <c r="G218" s="1" t="s">
        <v>2304</v>
      </c>
      <c r="H218" s="2">
        <v>8</v>
      </c>
      <c r="I218" s="3" t="s">
        <v>2317</v>
      </c>
      <c r="J218" t="s">
        <v>2365</v>
      </c>
      <c r="M218" s="3" t="s">
        <v>2300</v>
      </c>
      <c r="N218" s="3" t="s">
        <v>2255</v>
      </c>
      <c r="O218" t="s">
        <v>2310</v>
      </c>
    </row>
    <row r="219" spans="1:15" x14ac:dyDescent="0.25">
      <c r="A219" t="s">
        <v>2285</v>
      </c>
      <c r="B219" s="1" t="e">
        <v>#N/A</v>
      </c>
      <c r="C219" s="1" t="e">
        <v>#N/A</v>
      </c>
      <c r="D219" s="1" t="e">
        <v>#N/A</v>
      </c>
      <c r="E219" s="1" t="s">
        <v>2432</v>
      </c>
      <c r="F219" s="2" t="s">
        <v>2301</v>
      </c>
      <c r="G219" s="1" t="s">
        <v>2304</v>
      </c>
      <c r="H219" s="2">
        <v>8</v>
      </c>
      <c r="I219" s="3" t="s">
        <v>2357</v>
      </c>
      <c r="J219" t="s">
        <v>2365</v>
      </c>
      <c r="M219" s="3" t="s">
        <v>2300</v>
      </c>
      <c r="N219" s="3" t="s">
        <v>2255</v>
      </c>
      <c r="O219" t="s">
        <v>2310</v>
      </c>
    </row>
    <row r="220" spans="1:15" x14ac:dyDescent="0.25">
      <c r="A220" t="s">
        <v>2285</v>
      </c>
      <c r="B220" s="1" t="e">
        <v>#N/A</v>
      </c>
      <c r="C220" s="1" t="e">
        <v>#N/A</v>
      </c>
      <c r="D220" s="1" t="e">
        <v>#N/A</v>
      </c>
      <c r="E220" s="1" t="s">
        <v>2432</v>
      </c>
      <c r="F220" s="2" t="s">
        <v>2301</v>
      </c>
      <c r="G220" s="1" t="s">
        <v>2304</v>
      </c>
      <c r="H220" s="2">
        <v>8</v>
      </c>
      <c r="I220" s="3" t="s">
        <v>2327</v>
      </c>
      <c r="J220" t="s">
        <v>2365</v>
      </c>
      <c r="M220" s="3" t="s">
        <v>2300</v>
      </c>
      <c r="N220" s="3" t="s">
        <v>2255</v>
      </c>
      <c r="O220" t="s">
        <v>2310</v>
      </c>
    </row>
    <row r="221" spans="1:15" x14ac:dyDescent="0.25">
      <c r="A221" t="s">
        <v>2285</v>
      </c>
      <c r="B221" s="1" t="e">
        <v>#N/A</v>
      </c>
      <c r="C221" s="1" t="e">
        <v>#N/A</v>
      </c>
      <c r="D221" s="1" t="e">
        <v>#N/A</v>
      </c>
      <c r="E221" s="1" t="s">
        <v>2432</v>
      </c>
      <c r="F221" s="2" t="s">
        <v>2301</v>
      </c>
      <c r="G221" s="1" t="s">
        <v>2304</v>
      </c>
      <c r="H221" s="2">
        <v>8</v>
      </c>
      <c r="I221" s="3" t="s">
        <v>2333</v>
      </c>
      <c r="J221" t="s">
        <v>2365</v>
      </c>
      <c r="M221" s="3" t="s">
        <v>2300</v>
      </c>
      <c r="N221" s="3" t="s">
        <v>2255</v>
      </c>
      <c r="O221" t="s">
        <v>2310</v>
      </c>
    </row>
    <row r="222" spans="1:15" x14ac:dyDescent="0.25">
      <c r="A222" t="s">
        <v>2285</v>
      </c>
      <c r="B222" s="1" t="e">
        <v>#N/A</v>
      </c>
      <c r="C222" s="1" t="e">
        <v>#N/A</v>
      </c>
      <c r="D222" s="1" t="e">
        <v>#N/A</v>
      </c>
      <c r="E222" s="1" t="s">
        <v>2432</v>
      </c>
      <c r="F222" s="2" t="s">
        <v>2301</v>
      </c>
      <c r="G222" s="1" t="s">
        <v>2304</v>
      </c>
      <c r="H222" s="2">
        <v>8</v>
      </c>
      <c r="I222" s="3" t="s">
        <v>2313</v>
      </c>
      <c r="J222" t="s">
        <v>2365</v>
      </c>
      <c r="M222" s="3" t="s">
        <v>2300</v>
      </c>
      <c r="N222" s="3" t="s">
        <v>2255</v>
      </c>
      <c r="O222" t="s">
        <v>2310</v>
      </c>
    </row>
    <row r="223" spans="1:15" x14ac:dyDescent="0.25">
      <c r="A223" t="s">
        <v>2285</v>
      </c>
      <c r="B223" s="1" t="e">
        <v>#N/A</v>
      </c>
      <c r="C223" s="1" t="e">
        <v>#N/A</v>
      </c>
      <c r="D223" s="1" t="e">
        <v>#N/A</v>
      </c>
      <c r="E223" s="1" t="s">
        <v>2432</v>
      </c>
      <c r="F223" s="2" t="s">
        <v>2301</v>
      </c>
      <c r="G223" s="1" t="s">
        <v>2304</v>
      </c>
      <c r="H223" s="2">
        <v>8</v>
      </c>
      <c r="I223" s="3" t="s">
        <v>2321</v>
      </c>
      <c r="J223" t="s">
        <v>2365</v>
      </c>
      <c r="M223" s="3" t="s">
        <v>2300</v>
      </c>
      <c r="N223" s="3" t="s">
        <v>2255</v>
      </c>
      <c r="O223" t="s">
        <v>2310</v>
      </c>
    </row>
    <row r="224" spans="1:15" x14ac:dyDescent="0.25">
      <c r="A224" t="s">
        <v>2285</v>
      </c>
      <c r="B224" s="1" t="e">
        <v>#N/A</v>
      </c>
      <c r="C224" s="1" t="e">
        <v>#N/A</v>
      </c>
      <c r="D224" s="1" t="e">
        <v>#N/A</v>
      </c>
      <c r="E224" s="1" t="s">
        <v>2432</v>
      </c>
      <c r="F224" s="2" t="s">
        <v>2301</v>
      </c>
      <c r="G224" s="1" t="s">
        <v>2303</v>
      </c>
      <c r="H224" s="2">
        <v>8</v>
      </c>
      <c r="I224" s="3" t="s">
        <v>2327</v>
      </c>
      <c r="J224" t="s">
        <v>2365</v>
      </c>
      <c r="M224" s="3" t="s">
        <v>2300</v>
      </c>
      <c r="N224" s="3" t="s">
        <v>2256</v>
      </c>
      <c r="O224" t="s">
        <v>2310</v>
      </c>
    </row>
    <row r="225" spans="1:15" x14ac:dyDescent="0.25">
      <c r="A225" t="s">
        <v>2285</v>
      </c>
      <c r="B225" s="1" t="s">
        <v>2289</v>
      </c>
      <c r="C225" s="1" t="s">
        <v>2430</v>
      </c>
      <c r="D225" s="1" t="s">
        <v>2426</v>
      </c>
      <c r="E225" s="1" t="s">
        <v>2432</v>
      </c>
      <c r="F225" s="2" t="s">
        <v>2301</v>
      </c>
      <c r="G225" s="1" t="s">
        <v>2304</v>
      </c>
      <c r="H225" s="2">
        <v>8</v>
      </c>
      <c r="I225" s="3" t="s">
        <v>2410</v>
      </c>
      <c r="J225" t="s">
        <v>2365</v>
      </c>
      <c r="M225" s="3" t="s">
        <v>2300</v>
      </c>
      <c r="N225" s="3" t="s">
        <v>2255</v>
      </c>
      <c r="O225" t="s">
        <v>2310</v>
      </c>
    </row>
    <row r="226" spans="1:15" x14ac:dyDescent="0.25">
      <c r="A226" t="s">
        <v>2285</v>
      </c>
      <c r="B226" s="1" t="e">
        <v>#N/A</v>
      </c>
      <c r="C226" s="1" t="e">
        <v>#N/A</v>
      </c>
      <c r="D226" s="1" t="e">
        <v>#N/A</v>
      </c>
      <c r="E226" s="1" t="s">
        <v>2432</v>
      </c>
      <c r="F226" s="2" t="s">
        <v>2301</v>
      </c>
      <c r="G226" s="1" t="s">
        <v>2304</v>
      </c>
      <c r="H226" s="2">
        <v>8</v>
      </c>
      <c r="I226" s="3" t="s">
        <v>2317</v>
      </c>
      <c r="J226" t="s">
        <v>2365</v>
      </c>
      <c r="M226" s="3" t="s">
        <v>2300</v>
      </c>
      <c r="N226" s="3" t="s">
        <v>2255</v>
      </c>
      <c r="O226" t="s">
        <v>2310</v>
      </c>
    </row>
    <row r="227" spans="1:15" x14ac:dyDescent="0.25">
      <c r="A227" t="s">
        <v>2285</v>
      </c>
      <c r="B227" s="1" t="e">
        <v>#N/A</v>
      </c>
      <c r="C227" s="1" t="e">
        <v>#N/A</v>
      </c>
      <c r="D227" s="1" t="e">
        <v>#N/A</v>
      </c>
      <c r="E227" s="1" t="s">
        <v>2432</v>
      </c>
      <c r="F227" s="2" t="s">
        <v>2301</v>
      </c>
      <c r="G227" s="1" t="s">
        <v>2305</v>
      </c>
      <c r="H227" s="2">
        <v>8</v>
      </c>
      <c r="I227" s="3" t="s">
        <v>2314</v>
      </c>
      <c r="J227" t="s">
        <v>2365</v>
      </c>
      <c r="M227" s="3" t="s">
        <v>2300</v>
      </c>
      <c r="N227" s="3" t="s">
        <v>2258</v>
      </c>
      <c r="O227" t="s">
        <v>2310</v>
      </c>
    </row>
    <row r="228" spans="1:15" x14ac:dyDescent="0.25">
      <c r="A228" t="s">
        <v>2285</v>
      </c>
      <c r="B228" s="1" t="e">
        <v>#N/A</v>
      </c>
      <c r="C228" s="1" t="e">
        <v>#N/A</v>
      </c>
      <c r="D228" s="1" t="e">
        <v>#N/A</v>
      </c>
      <c r="E228" s="1" t="s">
        <v>2432</v>
      </c>
      <c r="F228" s="2" t="s">
        <v>2301</v>
      </c>
      <c r="G228" s="1" t="s">
        <v>2305</v>
      </c>
      <c r="H228" s="2">
        <v>7</v>
      </c>
      <c r="I228" s="3" t="s">
        <v>2327</v>
      </c>
      <c r="J228" t="s">
        <v>2365</v>
      </c>
      <c r="M228" s="3" t="s">
        <v>2300</v>
      </c>
      <c r="N228" s="3" t="s">
        <v>2258</v>
      </c>
      <c r="O228" t="s">
        <v>2310</v>
      </c>
    </row>
    <row r="229" spans="1:15" x14ac:dyDescent="0.25">
      <c r="A229" t="s">
        <v>2285</v>
      </c>
      <c r="B229" s="1" t="e">
        <v>#N/A</v>
      </c>
      <c r="C229" s="1" t="e">
        <v>#N/A</v>
      </c>
      <c r="D229" s="1" t="e">
        <v>#N/A</v>
      </c>
      <c r="E229" s="1" t="s">
        <v>2432</v>
      </c>
      <c r="F229" s="2" t="s">
        <v>2301</v>
      </c>
      <c r="G229" s="1" t="s">
        <v>2304</v>
      </c>
      <c r="H229" s="2">
        <v>7</v>
      </c>
      <c r="I229" s="3" t="s">
        <v>2418</v>
      </c>
      <c r="J229" t="s">
        <v>2365</v>
      </c>
      <c r="M229" s="3" t="s">
        <v>2300</v>
      </c>
      <c r="N229" s="3" t="s">
        <v>2255</v>
      </c>
      <c r="O229" t="s">
        <v>2310</v>
      </c>
    </row>
    <row r="230" spans="1:15" x14ac:dyDescent="0.25">
      <c r="A230" t="s">
        <v>2285</v>
      </c>
      <c r="B230" s="1" t="e">
        <v>#N/A</v>
      </c>
      <c r="C230" s="1" t="e">
        <v>#N/A</v>
      </c>
      <c r="D230" s="1" t="e">
        <v>#N/A</v>
      </c>
      <c r="E230" s="1" t="s">
        <v>2432</v>
      </c>
      <c r="F230" s="2" t="s">
        <v>2301</v>
      </c>
      <c r="G230" s="1" t="s">
        <v>2304</v>
      </c>
      <c r="H230" s="2">
        <v>7</v>
      </c>
      <c r="I230" s="3" t="s">
        <v>2317</v>
      </c>
      <c r="J230" t="s">
        <v>2365</v>
      </c>
      <c r="M230" s="3" t="s">
        <v>2300</v>
      </c>
      <c r="N230" s="3" t="s">
        <v>2255</v>
      </c>
      <c r="O230" t="s">
        <v>2310</v>
      </c>
    </row>
    <row r="231" spans="1:15" x14ac:dyDescent="0.25">
      <c r="A231" t="s">
        <v>2285</v>
      </c>
      <c r="B231" s="1" t="e">
        <v>#N/A</v>
      </c>
      <c r="C231" s="1" t="e">
        <v>#N/A</v>
      </c>
      <c r="D231" s="1" t="e">
        <v>#N/A</v>
      </c>
      <c r="E231" s="1" t="s">
        <v>2432</v>
      </c>
      <c r="F231" s="2" t="s">
        <v>2301</v>
      </c>
      <c r="G231" s="1" t="s">
        <v>2303</v>
      </c>
      <c r="H231" s="2">
        <v>7</v>
      </c>
      <c r="I231" s="3" t="s">
        <v>7</v>
      </c>
      <c r="J231" t="s">
        <v>2365</v>
      </c>
      <c r="M231" s="3" t="s">
        <v>2300</v>
      </c>
      <c r="N231" s="3" t="s">
        <v>2256</v>
      </c>
      <c r="O231" t="s">
        <v>2310</v>
      </c>
    </row>
    <row r="232" spans="1:15" x14ac:dyDescent="0.25">
      <c r="A232" t="s">
        <v>2285</v>
      </c>
      <c r="B232" s="1" t="e">
        <v>#N/A</v>
      </c>
      <c r="C232" s="1" t="e">
        <v>#N/A</v>
      </c>
      <c r="D232" s="1" t="e">
        <v>#N/A</v>
      </c>
      <c r="E232" s="1" t="s">
        <v>2432</v>
      </c>
      <c r="F232" s="2" t="s">
        <v>2301</v>
      </c>
      <c r="G232" s="1" t="s">
        <v>2303</v>
      </c>
      <c r="H232" s="2">
        <v>7</v>
      </c>
      <c r="I232" s="3" t="s">
        <v>7</v>
      </c>
      <c r="J232" t="s">
        <v>2365</v>
      </c>
      <c r="M232" s="3" t="s">
        <v>2300</v>
      </c>
      <c r="N232" s="3" t="s">
        <v>2256</v>
      </c>
      <c r="O232" t="s">
        <v>2310</v>
      </c>
    </row>
    <row r="233" spans="1:15" x14ac:dyDescent="0.25">
      <c r="A233" t="s">
        <v>2285</v>
      </c>
      <c r="B233" s="1" t="e">
        <v>#N/A</v>
      </c>
      <c r="C233" s="1" t="e">
        <v>#N/A</v>
      </c>
      <c r="D233" s="1" t="e">
        <v>#N/A</v>
      </c>
      <c r="E233" s="1" t="s">
        <v>2432</v>
      </c>
      <c r="F233" s="2" t="s">
        <v>2301</v>
      </c>
      <c r="G233" s="1" t="s">
        <v>2304</v>
      </c>
      <c r="H233" s="2">
        <v>7</v>
      </c>
      <c r="I233" s="3" t="s">
        <v>2321</v>
      </c>
      <c r="J233" t="s">
        <v>2365</v>
      </c>
      <c r="M233" s="3" t="s">
        <v>2300</v>
      </c>
      <c r="N233" s="3" t="s">
        <v>2255</v>
      </c>
      <c r="O233" t="s">
        <v>2310</v>
      </c>
    </row>
    <row r="234" spans="1:15" x14ac:dyDescent="0.25">
      <c r="A234" t="s">
        <v>2285</v>
      </c>
      <c r="B234" s="1" t="e">
        <v>#N/A</v>
      </c>
      <c r="C234" s="1" t="e">
        <v>#N/A</v>
      </c>
      <c r="D234" s="1" t="e">
        <v>#N/A</v>
      </c>
      <c r="E234" s="1" t="s">
        <v>2432</v>
      </c>
      <c r="F234" s="2" t="s">
        <v>2301</v>
      </c>
      <c r="G234" s="1" t="s">
        <v>2304</v>
      </c>
      <c r="H234" s="2">
        <v>7</v>
      </c>
      <c r="I234" s="3" t="s">
        <v>2</v>
      </c>
      <c r="J234" t="s">
        <v>2365</v>
      </c>
      <c r="M234" s="3" t="s">
        <v>2300</v>
      </c>
      <c r="N234" s="3" t="s">
        <v>2255</v>
      </c>
      <c r="O234" t="s">
        <v>2310</v>
      </c>
    </row>
    <row r="235" spans="1:15" x14ac:dyDescent="0.25">
      <c r="A235" t="s">
        <v>2285</v>
      </c>
      <c r="B235" s="1" t="e">
        <v>#N/A</v>
      </c>
      <c r="C235" s="1" t="e">
        <v>#N/A</v>
      </c>
      <c r="D235" s="1" t="e">
        <v>#N/A</v>
      </c>
      <c r="E235" s="1" t="s">
        <v>2432</v>
      </c>
      <c r="F235" s="2" t="s">
        <v>2301</v>
      </c>
      <c r="G235" s="1" t="s">
        <v>2304</v>
      </c>
      <c r="H235" s="2">
        <v>7</v>
      </c>
      <c r="I235" s="3" t="s">
        <v>2316</v>
      </c>
      <c r="J235" t="s">
        <v>2365</v>
      </c>
      <c r="M235" s="3" t="s">
        <v>2300</v>
      </c>
      <c r="N235" s="3" t="s">
        <v>2255</v>
      </c>
      <c r="O235" t="s">
        <v>2310</v>
      </c>
    </row>
    <row r="236" spans="1:15" x14ac:dyDescent="0.25">
      <c r="A236" t="s">
        <v>2285</v>
      </c>
      <c r="B236" s="1" t="e">
        <v>#N/A</v>
      </c>
      <c r="C236" s="1" t="e">
        <v>#N/A</v>
      </c>
      <c r="D236" s="1" t="e">
        <v>#N/A</v>
      </c>
      <c r="E236" s="1" t="s">
        <v>2432</v>
      </c>
      <c r="F236" s="2" t="s">
        <v>2301</v>
      </c>
      <c r="G236" s="1" t="s">
        <v>2304</v>
      </c>
      <c r="H236" s="2">
        <v>7</v>
      </c>
      <c r="I236" s="3" t="s">
        <v>2321</v>
      </c>
      <c r="J236" t="s">
        <v>2365</v>
      </c>
      <c r="M236" s="3" t="s">
        <v>2300</v>
      </c>
      <c r="N236" s="3" t="s">
        <v>2255</v>
      </c>
      <c r="O236" t="s">
        <v>2310</v>
      </c>
    </row>
    <row r="237" spans="1:15" x14ac:dyDescent="0.25">
      <c r="A237" t="s">
        <v>2285</v>
      </c>
      <c r="B237" s="1" t="e">
        <v>#N/A</v>
      </c>
      <c r="C237" s="1" t="e">
        <v>#N/A</v>
      </c>
      <c r="D237" s="1" t="e">
        <v>#N/A</v>
      </c>
      <c r="E237" s="1" t="s">
        <v>2432</v>
      </c>
      <c r="F237" s="2" t="s">
        <v>2301</v>
      </c>
      <c r="G237" s="1" t="s">
        <v>2303</v>
      </c>
      <c r="H237" s="2">
        <v>7</v>
      </c>
      <c r="I237" s="3" t="s">
        <v>2402</v>
      </c>
      <c r="J237" t="s">
        <v>2365</v>
      </c>
      <c r="M237" s="3" t="s">
        <v>2300</v>
      </c>
      <c r="N237" s="3" t="s">
        <v>2256</v>
      </c>
      <c r="O237" t="s">
        <v>2310</v>
      </c>
    </row>
    <row r="238" spans="1:15" x14ac:dyDescent="0.25">
      <c r="A238" t="s">
        <v>2285</v>
      </c>
      <c r="B238" s="1" t="e">
        <v>#N/A</v>
      </c>
      <c r="C238" s="1" t="e">
        <v>#N/A</v>
      </c>
      <c r="D238" s="1" t="e">
        <v>#N/A</v>
      </c>
      <c r="E238" s="1" t="s">
        <v>2432</v>
      </c>
      <c r="F238" s="2" t="s">
        <v>2301</v>
      </c>
      <c r="G238" s="1" t="s">
        <v>2305</v>
      </c>
      <c r="H238" s="2">
        <v>7</v>
      </c>
      <c r="I238" s="3" t="s">
        <v>31</v>
      </c>
      <c r="J238" t="s">
        <v>2365</v>
      </c>
      <c r="M238" s="3" t="s">
        <v>2300</v>
      </c>
      <c r="N238" s="3" t="s">
        <v>2258</v>
      </c>
      <c r="O238" t="s">
        <v>2310</v>
      </c>
    </row>
    <row r="239" spans="1:15" x14ac:dyDescent="0.25">
      <c r="A239" t="s">
        <v>2285</v>
      </c>
      <c r="B239" s="1" t="e">
        <v>#N/A</v>
      </c>
      <c r="C239" s="1" t="e">
        <v>#N/A</v>
      </c>
      <c r="D239" s="1" t="e">
        <v>#N/A</v>
      </c>
      <c r="E239" s="1" t="s">
        <v>2432</v>
      </c>
      <c r="F239" s="2" t="s">
        <v>2301</v>
      </c>
      <c r="G239" s="1" t="s">
        <v>2304</v>
      </c>
      <c r="H239" s="2">
        <v>7</v>
      </c>
      <c r="I239" s="3" t="s">
        <v>2321</v>
      </c>
      <c r="J239" t="s">
        <v>2365</v>
      </c>
      <c r="M239" s="3" t="s">
        <v>2300</v>
      </c>
      <c r="N239" s="3" t="s">
        <v>2255</v>
      </c>
      <c r="O239" t="s">
        <v>2310</v>
      </c>
    </row>
    <row r="240" spans="1:15" x14ac:dyDescent="0.25">
      <c r="A240" t="s">
        <v>2285</v>
      </c>
      <c r="B240" s="1" t="e">
        <v>#N/A</v>
      </c>
      <c r="C240" s="1" t="e">
        <v>#N/A</v>
      </c>
      <c r="D240" s="1" t="e">
        <v>#N/A</v>
      </c>
      <c r="E240" s="1" t="s">
        <v>2432</v>
      </c>
      <c r="F240" s="2" t="s">
        <v>2301</v>
      </c>
      <c r="G240" s="1" t="s">
        <v>2305</v>
      </c>
      <c r="H240" s="2">
        <v>7</v>
      </c>
      <c r="I240" s="3" t="s">
        <v>2357</v>
      </c>
      <c r="J240" t="s">
        <v>2365</v>
      </c>
      <c r="M240" s="3" t="s">
        <v>2300</v>
      </c>
      <c r="N240" s="3" t="s">
        <v>2257</v>
      </c>
      <c r="O240" t="s">
        <v>2310</v>
      </c>
    </row>
    <row r="241" spans="1:15" x14ac:dyDescent="0.25">
      <c r="A241" t="s">
        <v>2285</v>
      </c>
      <c r="B241" s="1" t="e">
        <v>#N/A</v>
      </c>
      <c r="C241" s="1" t="e">
        <v>#N/A</v>
      </c>
      <c r="D241" s="1" t="e">
        <v>#N/A</v>
      </c>
      <c r="E241" s="1" t="s">
        <v>2432</v>
      </c>
      <c r="F241" s="2" t="s">
        <v>2301</v>
      </c>
      <c r="G241" s="1" t="s">
        <v>2305</v>
      </c>
      <c r="H241" s="2">
        <v>7</v>
      </c>
      <c r="I241" s="3" t="s">
        <v>2316</v>
      </c>
      <c r="J241" t="s">
        <v>2365</v>
      </c>
      <c r="M241" s="3" t="s">
        <v>2300</v>
      </c>
      <c r="N241" s="3" t="s">
        <v>2258</v>
      </c>
      <c r="O241" t="s">
        <v>2310</v>
      </c>
    </row>
    <row r="242" spans="1:15" x14ac:dyDescent="0.25">
      <c r="A242" t="s">
        <v>2285</v>
      </c>
      <c r="B242" s="1" t="e">
        <v>#N/A</v>
      </c>
      <c r="C242" s="1" t="e">
        <v>#N/A</v>
      </c>
      <c r="D242" s="1" t="e">
        <v>#N/A</v>
      </c>
      <c r="E242" s="1" t="s">
        <v>2432</v>
      </c>
      <c r="F242" s="2" t="s">
        <v>2301</v>
      </c>
      <c r="G242" s="1" t="s">
        <v>2303</v>
      </c>
      <c r="H242" s="2">
        <v>7</v>
      </c>
      <c r="I242" s="3" t="s">
        <v>2419</v>
      </c>
      <c r="J242" t="s">
        <v>2365</v>
      </c>
      <c r="M242" s="3" t="s">
        <v>2300</v>
      </c>
      <c r="N242" s="3" t="s">
        <v>2256</v>
      </c>
      <c r="O242" t="s">
        <v>2310</v>
      </c>
    </row>
    <row r="243" spans="1:15" x14ac:dyDescent="0.25">
      <c r="A243" t="s">
        <v>2285</v>
      </c>
      <c r="B243" s="1" t="e">
        <v>#N/A</v>
      </c>
      <c r="C243" s="1" t="e">
        <v>#N/A</v>
      </c>
      <c r="D243" s="1" t="e">
        <v>#N/A</v>
      </c>
      <c r="E243" s="1" t="s">
        <v>2432</v>
      </c>
      <c r="F243" s="2" t="s">
        <v>2301</v>
      </c>
      <c r="G243" s="1" t="s">
        <v>2304</v>
      </c>
      <c r="H243" s="2">
        <v>7</v>
      </c>
      <c r="I243" s="3" t="s">
        <v>31</v>
      </c>
      <c r="J243" t="s">
        <v>2365</v>
      </c>
      <c r="M243" s="3" t="s">
        <v>2300</v>
      </c>
      <c r="N243" s="3" t="s">
        <v>2255</v>
      </c>
      <c r="O243" t="s">
        <v>2310</v>
      </c>
    </row>
    <row r="244" spans="1:15" x14ac:dyDescent="0.25">
      <c r="A244" t="s">
        <v>2285</v>
      </c>
      <c r="B244" s="1" t="e">
        <v>#N/A</v>
      </c>
      <c r="C244" s="1" t="e">
        <v>#N/A</v>
      </c>
      <c r="D244" s="1" t="e">
        <v>#N/A</v>
      </c>
      <c r="E244" s="1" t="s">
        <v>2432</v>
      </c>
      <c r="F244" s="2" t="s">
        <v>2301</v>
      </c>
      <c r="G244" s="1" t="s">
        <v>2304</v>
      </c>
      <c r="H244" s="2">
        <v>7</v>
      </c>
      <c r="I244" s="3" t="s">
        <v>2416</v>
      </c>
      <c r="J244" t="s">
        <v>2365</v>
      </c>
      <c r="M244" s="3" t="s">
        <v>2300</v>
      </c>
      <c r="N244" s="3" t="s">
        <v>2255</v>
      </c>
      <c r="O244" t="s">
        <v>2310</v>
      </c>
    </row>
    <row r="245" spans="1:15" x14ac:dyDescent="0.25">
      <c r="A245" t="s">
        <v>2285</v>
      </c>
      <c r="B245" s="1" t="e">
        <v>#N/A</v>
      </c>
      <c r="C245" s="1" t="e">
        <v>#N/A</v>
      </c>
      <c r="D245" s="1" t="e">
        <v>#N/A</v>
      </c>
      <c r="E245" s="1" t="s">
        <v>2432</v>
      </c>
      <c r="F245" s="2" t="s">
        <v>2301</v>
      </c>
      <c r="G245" s="1" t="s">
        <v>2304</v>
      </c>
      <c r="H245" s="2">
        <v>7</v>
      </c>
      <c r="I245" s="3" t="s">
        <v>2346</v>
      </c>
      <c r="J245" t="s">
        <v>2365</v>
      </c>
      <c r="M245" s="3" t="s">
        <v>2300</v>
      </c>
      <c r="N245" s="3" t="s">
        <v>2255</v>
      </c>
      <c r="O245" t="s">
        <v>2310</v>
      </c>
    </row>
    <row r="246" spans="1:15" x14ac:dyDescent="0.25">
      <c r="A246" t="s">
        <v>2285</v>
      </c>
      <c r="B246" s="1" t="e">
        <v>#N/A</v>
      </c>
      <c r="C246" s="1" t="e">
        <v>#N/A</v>
      </c>
      <c r="D246" s="1" t="e">
        <v>#N/A</v>
      </c>
      <c r="E246" s="1" t="s">
        <v>2432</v>
      </c>
      <c r="F246" s="2" t="s">
        <v>2301</v>
      </c>
      <c r="G246" s="1" t="s">
        <v>2304</v>
      </c>
      <c r="H246" s="2">
        <v>7</v>
      </c>
      <c r="I246" s="3" t="s">
        <v>12</v>
      </c>
      <c r="J246" t="s">
        <v>2365</v>
      </c>
      <c r="M246" s="3" t="s">
        <v>2300</v>
      </c>
      <c r="N246" s="3" t="s">
        <v>2255</v>
      </c>
      <c r="O246" t="s">
        <v>2310</v>
      </c>
    </row>
    <row r="247" spans="1:15" x14ac:dyDescent="0.25">
      <c r="A247" t="s">
        <v>2285</v>
      </c>
      <c r="B247" s="1" t="e">
        <v>#N/A</v>
      </c>
      <c r="C247" s="1" t="e">
        <v>#N/A</v>
      </c>
      <c r="D247" s="1" t="e">
        <v>#N/A</v>
      </c>
      <c r="E247" s="1" t="s">
        <v>2298</v>
      </c>
      <c r="F247" s="2" t="s">
        <v>2300</v>
      </c>
      <c r="G247" s="1" t="s">
        <v>2303</v>
      </c>
      <c r="H247" s="2">
        <v>7</v>
      </c>
      <c r="I247" s="3" t="s">
        <v>2353</v>
      </c>
      <c r="J247" t="s">
        <v>2365</v>
      </c>
      <c r="M247" s="3" t="s">
        <v>2300</v>
      </c>
      <c r="N247" s="3" t="s">
        <v>2256</v>
      </c>
      <c r="O247" t="s">
        <v>2310</v>
      </c>
    </row>
    <row r="248" spans="1:15" x14ac:dyDescent="0.25">
      <c r="A248" t="s">
        <v>2285</v>
      </c>
      <c r="B248" s="1" t="e">
        <v>#N/A</v>
      </c>
      <c r="C248" s="1" t="e">
        <v>#N/A</v>
      </c>
      <c r="D248" s="1" t="e">
        <v>#N/A</v>
      </c>
      <c r="E248" s="1" t="s">
        <v>2432</v>
      </c>
      <c r="F248" s="2" t="s">
        <v>2301</v>
      </c>
      <c r="G248" s="1" t="s">
        <v>2304</v>
      </c>
      <c r="H248" s="2">
        <v>7</v>
      </c>
      <c r="I248" s="3" t="s">
        <v>2317</v>
      </c>
      <c r="J248" t="s">
        <v>2365</v>
      </c>
      <c r="M248" s="3" t="s">
        <v>2300</v>
      </c>
      <c r="N248" s="3" t="s">
        <v>2255</v>
      </c>
      <c r="O248" t="s">
        <v>2310</v>
      </c>
    </row>
    <row r="249" spans="1:15" x14ac:dyDescent="0.25">
      <c r="A249" t="s">
        <v>2285</v>
      </c>
      <c r="B249" s="1" t="e">
        <v>#N/A</v>
      </c>
      <c r="C249" s="1" t="e">
        <v>#N/A</v>
      </c>
      <c r="D249" s="1" t="e">
        <v>#N/A</v>
      </c>
      <c r="E249" s="1" t="s">
        <v>2432</v>
      </c>
      <c r="F249" s="2" t="s">
        <v>2300</v>
      </c>
      <c r="G249" s="1" t="s">
        <v>2304</v>
      </c>
      <c r="H249" s="2">
        <v>7</v>
      </c>
      <c r="I249" s="3" t="s">
        <v>2317</v>
      </c>
      <c r="J249" t="s">
        <v>2365</v>
      </c>
      <c r="M249" s="3" t="s">
        <v>2301</v>
      </c>
      <c r="N249" s="3" t="s">
        <v>2255</v>
      </c>
      <c r="O249" t="s">
        <v>2310</v>
      </c>
    </row>
    <row r="250" spans="1:15" x14ac:dyDescent="0.25">
      <c r="A250" t="s">
        <v>2285</v>
      </c>
      <c r="B250" s="1" t="e">
        <v>#N/A</v>
      </c>
      <c r="C250" s="1" t="e">
        <v>#N/A</v>
      </c>
      <c r="D250" s="1" t="e">
        <v>#N/A</v>
      </c>
      <c r="E250" s="1" t="s">
        <v>2432</v>
      </c>
      <c r="F250" s="2" t="s">
        <v>2301</v>
      </c>
      <c r="G250" s="1" t="s">
        <v>2304</v>
      </c>
      <c r="H250" s="2">
        <v>7</v>
      </c>
      <c r="I250" s="3" t="s">
        <v>2417</v>
      </c>
      <c r="J250" t="s">
        <v>2365</v>
      </c>
      <c r="M250" s="3" t="s">
        <v>2300</v>
      </c>
      <c r="N250" s="3" t="s">
        <v>2255</v>
      </c>
      <c r="O250" t="s">
        <v>2310</v>
      </c>
    </row>
    <row r="251" spans="1:15" x14ac:dyDescent="0.25">
      <c r="A251" t="s">
        <v>2285</v>
      </c>
      <c r="B251" s="1" t="e">
        <v>#N/A</v>
      </c>
      <c r="C251" s="1" t="e">
        <v>#N/A</v>
      </c>
      <c r="D251" s="1" t="e">
        <v>#N/A</v>
      </c>
      <c r="E251" s="1" t="s">
        <v>2432</v>
      </c>
      <c r="F251" s="2" t="s">
        <v>2301</v>
      </c>
      <c r="G251" s="1" t="s">
        <v>2304</v>
      </c>
      <c r="H251" s="2">
        <v>7</v>
      </c>
      <c r="I251" s="3" t="s">
        <v>12</v>
      </c>
      <c r="J251" t="s">
        <v>2365</v>
      </c>
      <c r="M251" s="3" t="s">
        <v>2300</v>
      </c>
      <c r="N251" s="3" t="s">
        <v>2255</v>
      </c>
      <c r="O251" t="s">
        <v>2310</v>
      </c>
    </row>
    <row r="252" spans="1:15" x14ac:dyDescent="0.25">
      <c r="A252" t="s">
        <v>2285</v>
      </c>
      <c r="B252" s="1" t="e">
        <v>#N/A</v>
      </c>
      <c r="C252" s="1" t="e">
        <v>#N/A</v>
      </c>
      <c r="D252" s="1" t="e">
        <v>#N/A</v>
      </c>
      <c r="E252" s="1" t="s">
        <v>2432</v>
      </c>
      <c r="F252" s="2" t="s">
        <v>2301</v>
      </c>
      <c r="G252" s="1" t="s">
        <v>2304</v>
      </c>
      <c r="H252" s="2">
        <v>7</v>
      </c>
      <c r="I252" s="3" t="s">
        <v>2316</v>
      </c>
      <c r="J252" t="s">
        <v>2365</v>
      </c>
      <c r="M252" s="3" t="s">
        <v>2300</v>
      </c>
      <c r="N252" s="3" t="s">
        <v>2255</v>
      </c>
      <c r="O252" t="s">
        <v>2310</v>
      </c>
    </row>
    <row r="253" spans="1:15" x14ac:dyDescent="0.25">
      <c r="A253" t="s">
        <v>2285</v>
      </c>
      <c r="B253" s="1" t="e">
        <v>#N/A</v>
      </c>
      <c r="C253" s="1" t="e">
        <v>#N/A</v>
      </c>
      <c r="D253" s="1" t="e">
        <v>#N/A</v>
      </c>
      <c r="E253" s="1" t="s">
        <v>2432</v>
      </c>
      <c r="F253" s="2" t="s">
        <v>2301</v>
      </c>
      <c r="G253" s="1" t="s">
        <v>2304</v>
      </c>
      <c r="H253" s="2">
        <v>7</v>
      </c>
      <c r="I253" s="3" t="s">
        <v>2327</v>
      </c>
      <c r="J253" t="s">
        <v>2365</v>
      </c>
      <c r="M253" s="3" t="s">
        <v>2300</v>
      </c>
      <c r="N253" s="3" t="s">
        <v>2255</v>
      </c>
      <c r="O253" t="s">
        <v>2310</v>
      </c>
    </row>
    <row r="254" spans="1:15" x14ac:dyDescent="0.25">
      <c r="A254" t="s">
        <v>2285</v>
      </c>
      <c r="B254" s="1" t="e">
        <v>#N/A</v>
      </c>
      <c r="C254" s="1" t="e">
        <v>#N/A</v>
      </c>
      <c r="D254" s="1" t="e">
        <v>#N/A</v>
      </c>
      <c r="E254" s="1" t="s">
        <v>2432</v>
      </c>
      <c r="F254" s="2" t="s">
        <v>2301</v>
      </c>
      <c r="G254" s="1" t="s">
        <v>2304</v>
      </c>
      <c r="H254" s="2">
        <v>7</v>
      </c>
      <c r="I254" s="3" t="s">
        <v>2357</v>
      </c>
      <c r="J254" t="s">
        <v>2365</v>
      </c>
      <c r="M254" s="3" t="s">
        <v>2300</v>
      </c>
      <c r="N254" s="3" t="s">
        <v>2308</v>
      </c>
      <c r="O254" t="s">
        <v>2310</v>
      </c>
    </row>
    <row r="255" spans="1:15" x14ac:dyDescent="0.25">
      <c r="A255" t="s">
        <v>2285</v>
      </c>
      <c r="B255" s="1" t="e">
        <v>#N/A</v>
      </c>
      <c r="C255" s="1" t="e">
        <v>#N/A</v>
      </c>
      <c r="D255" s="1" t="e">
        <v>#N/A</v>
      </c>
      <c r="E255" s="1" t="s">
        <v>2432</v>
      </c>
      <c r="F255" s="2" t="s">
        <v>2300</v>
      </c>
      <c r="G255" s="1" t="s">
        <v>2304</v>
      </c>
      <c r="H255" s="2">
        <v>7</v>
      </c>
      <c r="I255" s="3" t="s">
        <v>2</v>
      </c>
      <c r="J255" t="s">
        <v>2365</v>
      </c>
      <c r="M255" s="3" t="s">
        <v>2301</v>
      </c>
      <c r="N255" s="3" t="s">
        <v>2255</v>
      </c>
      <c r="O255" t="s">
        <v>2310</v>
      </c>
    </row>
    <row r="256" spans="1:15" x14ac:dyDescent="0.25">
      <c r="A256" t="s">
        <v>2285</v>
      </c>
      <c r="B256" s="1" t="e">
        <v>#N/A</v>
      </c>
      <c r="C256" s="1" t="e">
        <v>#N/A</v>
      </c>
      <c r="D256" s="1" t="e">
        <v>#N/A</v>
      </c>
      <c r="E256" s="1" t="s">
        <v>2432</v>
      </c>
      <c r="F256" s="2" t="s">
        <v>2301</v>
      </c>
      <c r="G256" s="1" t="s">
        <v>2304</v>
      </c>
      <c r="H256" s="2">
        <v>7</v>
      </c>
      <c r="I256" s="3" t="s">
        <v>2317</v>
      </c>
      <c r="J256" t="s">
        <v>2365</v>
      </c>
      <c r="M256" s="3" t="s">
        <v>2300</v>
      </c>
      <c r="N256" s="3" t="s">
        <v>2255</v>
      </c>
      <c r="O256" t="s">
        <v>2310</v>
      </c>
    </row>
    <row r="257" spans="1:15" x14ac:dyDescent="0.25">
      <c r="A257" t="s">
        <v>2285</v>
      </c>
      <c r="B257" s="1" t="e">
        <v>#N/A</v>
      </c>
      <c r="C257" s="1" t="e">
        <v>#N/A</v>
      </c>
      <c r="D257" s="1" t="e">
        <v>#N/A</v>
      </c>
      <c r="E257" s="1" t="s">
        <v>2432</v>
      </c>
      <c r="F257" s="2" t="s">
        <v>2301</v>
      </c>
      <c r="G257" s="1" t="s">
        <v>2304</v>
      </c>
      <c r="H257" s="2">
        <v>7</v>
      </c>
      <c r="I257" s="3" t="s">
        <v>9</v>
      </c>
      <c r="J257" t="s">
        <v>2365</v>
      </c>
      <c r="M257" s="3" t="s">
        <v>2300</v>
      </c>
      <c r="N257" s="3" t="s">
        <v>2255</v>
      </c>
      <c r="O257" t="s">
        <v>2310</v>
      </c>
    </row>
    <row r="258" spans="1:15" x14ac:dyDescent="0.25">
      <c r="A258" t="s">
        <v>2285</v>
      </c>
      <c r="B258" s="1" t="e">
        <v>#N/A</v>
      </c>
      <c r="C258" s="1" t="e">
        <v>#N/A</v>
      </c>
      <c r="D258" s="1" t="e">
        <v>#N/A</v>
      </c>
      <c r="E258" s="1" t="s">
        <v>2432</v>
      </c>
      <c r="F258" s="2" t="s">
        <v>2300</v>
      </c>
      <c r="G258" s="1" t="s">
        <v>2304</v>
      </c>
      <c r="H258" s="2">
        <v>7</v>
      </c>
      <c r="I258" s="3" t="s">
        <v>2317</v>
      </c>
      <c r="J258" t="s">
        <v>2365</v>
      </c>
      <c r="M258" s="3" t="s">
        <v>2301</v>
      </c>
      <c r="N258" s="3" t="s">
        <v>2255</v>
      </c>
      <c r="O258" t="s">
        <v>2310</v>
      </c>
    </row>
    <row r="259" spans="1:15" x14ac:dyDescent="0.25">
      <c r="A259" t="s">
        <v>2285</v>
      </c>
      <c r="B259" s="1" t="e">
        <v>#N/A</v>
      </c>
      <c r="C259" s="1" t="e">
        <v>#N/A</v>
      </c>
      <c r="D259" s="1" t="e">
        <v>#N/A</v>
      </c>
      <c r="E259" s="1" t="s">
        <v>2432</v>
      </c>
      <c r="F259" s="2" t="s">
        <v>2301</v>
      </c>
      <c r="G259" s="1" t="s">
        <v>2304</v>
      </c>
      <c r="H259" s="2">
        <v>7</v>
      </c>
      <c r="I259" s="3" t="s">
        <v>2333</v>
      </c>
      <c r="J259" t="s">
        <v>2365</v>
      </c>
      <c r="M259" s="3" t="s">
        <v>2300</v>
      </c>
      <c r="N259" s="3" t="s">
        <v>2255</v>
      </c>
      <c r="O259" t="s">
        <v>2310</v>
      </c>
    </row>
    <row r="260" spans="1:15" x14ac:dyDescent="0.25">
      <c r="A260" t="s">
        <v>2285</v>
      </c>
      <c r="B260" s="1" t="e">
        <v>#N/A</v>
      </c>
      <c r="C260" s="1" t="e">
        <v>#N/A</v>
      </c>
      <c r="D260" s="1" t="e">
        <v>#N/A</v>
      </c>
      <c r="E260" s="1" t="s">
        <v>2432</v>
      </c>
      <c r="F260" s="2" t="s">
        <v>2301</v>
      </c>
      <c r="G260" s="1" t="s">
        <v>2304</v>
      </c>
      <c r="H260" s="2">
        <v>7</v>
      </c>
      <c r="I260" s="3" t="s">
        <v>2317</v>
      </c>
      <c r="J260" t="s">
        <v>2365</v>
      </c>
      <c r="M260" s="3" t="s">
        <v>2300</v>
      </c>
      <c r="N260" s="3" t="s">
        <v>2255</v>
      </c>
      <c r="O260" t="s">
        <v>2310</v>
      </c>
    </row>
    <row r="261" spans="1:15" x14ac:dyDescent="0.25">
      <c r="A261" t="s">
        <v>2285</v>
      </c>
      <c r="B261" s="1" t="e">
        <v>#N/A</v>
      </c>
      <c r="C261" s="1" t="e">
        <v>#N/A</v>
      </c>
      <c r="D261" s="1" t="e">
        <v>#N/A</v>
      </c>
      <c r="E261" s="1" t="s">
        <v>2432</v>
      </c>
      <c r="F261" s="2" t="s">
        <v>2301</v>
      </c>
      <c r="G261" s="1" t="s">
        <v>2304</v>
      </c>
      <c r="H261" s="2">
        <v>7</v>
      </c>
      <c r="I261" s="3" t="s">
        <v>2317</v>
      </c>
      <c r="J261" t="s">
        <v>2365</v>
      </c>
      <c r="M261" s="3" t="s">
        <v>2300</v>
      </c>
      <c r="N261" s="3" t="s">
        <v>2255</v>
      </c>
      <c r="O261" t="s">
        <v>2310</v>
      </c>
    </row>
    <row r="262" spans="1:15" x14ac:dyDescent="0.25">
      <c r="A262" t="s">
        <v>2285</v>
      </c>
      <c r="B262" s="1" t="e">
        <v>#N/A</v>
      </c>
      <c r="C262" s="1" t="e">
        <v>#N/A</v>
      </c>
      <c r="D262" s="1" t="e">
        <v>#N/A</v>
      </c>
      <c r="E262" s="1" t="s">
        <v>2432</v>
      </c>
      <c r="F262" s="2" t="s">
        <v>2301</v>
      </c>
      <c r="G262" s="1" t="s">
        <v>2304</v>
      </c>
      <c r="H262" s="2">
        <v>7</v>
      </c>
      <c r="I262" s="3" t="s">
        <v>2358</v>
      </c>
      <c r="J262" t="s">
        <v>2365</v>
      </c>
      <c r="M262" s="3" t="s">
        <v>2300</v>
      </c>
      <c r="N262" s="3" t="s">
        <v>2255</v>
      </c>
      <c r="O262" t="s">
        <v>2310</v>
      </c>
    </row>
    <row r="263" spans="1:15" x14ac:dyDescent="0.25">
      <c r="A263" t="s">
        <v>2285</v>
      </c>
      <c r="B263" s="1" t="e">
        <v>#N/A</v>
      </c>
      <c r="C263" s="1" t="e">
        <v>#N/A</v>
      </c>
      <c r="D263" s="1" t="e">
        <v>#N/A</v>
      </c>
      <c r="E263" s="1" t="s">
        <v>2298</v>
      </c>
      <c r="F263" s="2" t="s">
        <v>2300</v>
      </c>
      <c r="G263" s="1" t="s">
        <v>2304</v>
      </c>
      <c r="H263" s="2">
        <v>6</v>
      </c>
      <c r="I263" s="3" t="s">
        <v>2421</v>
      </c>
      <c r="J263" t="s">
        <v>2365</v>
      </c>
      <c r="M263" s="3" t="s">
        <v>2300</v>
      </c>
      <c r="N263" s="3" t="s">
        <v>2255</v>
      </c>
      <c r="O263" t="s">
        <v>2310</v>
      </c>
    </row>
    <row r="264" spans="1:15" x14ac:dyDescent="0.25">
      <c r="A264" t="s">
        <v>2285</v>
      </c>
      <c r="B264" s="1" t="e">
        <v>#N/A</v>
      </c>
      <c r="C264" s="1" t="e">
        <v>#N/A</v>
      </c>
      <c r="D264" s="1" t="e">
        <v>#N/A</v>
      </c>
      <c r="E264" s="1" t="s">
        <v>2298</v>
      </c>
      <c r="F264" s="2" t="s">
        <v>2300</v>
      </c>
      <c r="G264" s="1" t="s">
        <v>2304</v>
      </c>
      <c r="H264" s="2">
        <v>6</v>
      </c>
      <c r="I264" s="3" t="s">
        <v>21</v>
      </c>
      <c r="J264" t="s">
        <v>2365</v>
      </c>
      <c r="M264" s="3" t="s">
        <v>2300</v>
      </c>
      <c r="N264" s="3" t="s">
        <v>2255</v>
      </c>
      <c r="O264" t="s">
        <v>2310</v>
      </c>
    </row>
    <row r="265" spans="1:15" x14ac:dyDescent="0.25">
      <c r="A265" t="s">
        <v>2285</v>
      </c>
      <c r="B265" s="1" t="e">
        <v>#N/A</v>
      </c>
      <c r="C265" s="1" t="e">
        <v>#N/A</v>
      </c>
      <c r="D265" s="1" t="e">
        <v>#N/A</v>
      </c>
      <c r="E265" s="1" t="s">
        <v>2432</v>
      </c>
      <c r="F265" s="2" t="s">
        <v>2300</v>
      </c>
      <c r="G265" s="1" t="s">
        <v>2304</v>
      </c>
      <c r="H265" s="2">
        <v>6</v>
      </c>
      <c r="I265" s="3" t="s">
        <v>2318</v>
      </c>
      <c r="J265" t="s">
        <v>2365</v>
      </c>
      <c r="M265" s="3" t="s">
        <v>2300</v>
      </c>
      <c r="N265" s="3" t="s">
        <v>2255</v>
      </c>
      <c r="O265" t="s">
        <v>2310</v>
      </c>
    </row>
    <row r="266" spans="1:15" x14ac:dyDescent="0.25">
      <c r="A266" t="s">
        <v>2285</v>
      </c>
      <c r="B266" s="1" t="e">
        <v>#N/A</v>
      </c>
      <c r="C266" s="1" t="e">
        <v>#N/A</v>
      </c>
      <c r="D266" s="1" t="e">
        <v>#N/A</v>
      </c>
      <c r="E266" s="1" t="s">
        <v>2298</v>
      </c>
      <c r="F266" s="2" t="s">
        <v>2300</v>
      </c>
      <c r="G266" s="1" t="s">
        <v>2304</v>
      </c>
      <c r="H266" s="2">
        <v>6</v>
      </c>
      <c r="I266" s="3" t="s">
        <v>21</v>
      </c>
      <c r="J266" t="s">
        <v>2365</v>
      </c>
      <c r="M266" s="3" t="s">
        <v>2300</v>
      </c>
      <c r="N266" s="3" t="s">
        <v>2255</v>
      </c>
      <c r="O266" t="s">
        <v>2310</v>
      </c>
    </row>
    <row r="267" spans="1:15" x14ac:dyDescent="0.25">
      <c r="A267" t="s">
        <v>2285</v>
      </c>
      <c r="B267" s="1" t="e">
        <v>#N/A</v>
      </c>
      <c r="C267" s="1" t="e">
        <v>#N/A</v>
      </c>
      <c r="D267" s="1" t="e">
        <v>#N/A</v>
      </c>
      <c r="E267" s="1" t="s">
        <v>2432</v>
      </c>
      <c r="F267" s="2" t="s">
        <v>2300</v>
      </c>
      <c r="G267" s="1" t="s">
        <v>2304</v>
      </c>
      <c r="H267" s="2">
        <v>6</v>
      </c>
      <c r="I267" s="3" t="s">
        <v>2318</v>
      </c>
      <c r="J267" t="s">
        <v>2365</v>
      </c>
      <c r="M267" s="3" t="s">
        <v>2300</v>
      </c>
      <c r="N267" s="3" t="s">
        <v>2255</v>
      </c>
      <c r="O267" t="s">
        <v>2310</v>
      </c>
    </row>
    <row r="268" spans="1:15" x14ac:dyDescent="0.25">
      <c r="A268" t="s">
        <v>2285</v>
      </c>
      <c r="B268" s="1" t="e">
        <v>#N/A</v>
      </c>
      <c r="C268" s="1" t="e">
        <v>#N/A</v>
      </c>
      <c r="D268" s="1" t="e">
        <v>#N/A</v>
      </c>
      <c r="E268" s="1" t="s">
        <v>2432</v>
      </c>
      <c r="F268" s="2" t="s">
        <v>2300</v>
      </c>
      <c r="G268" s="1" t="s">
        <v>2304</v>
      </c>
      <c r="H268" s="2">
        <v>6</v>
      </c>
      <c r="I268" s="3" t="s">
        <v>2317</v>
      </c>
      <c r="J268" t="s">
        <v>2365</v>
      </c>
      <c r="M268" s="3" t="s">
        <v>2300</v>
      </c>
      <c r="N268" s="3" t="s">
        <v>2255</v>
      </c>
      <c r="O268" t="s">
        <v>2310</v>
      </c>
    </row>
    <row r="269" spans="1:15" x14ac:dyDescent="0.25">
      <c r="A269" t="s">
        <v>2285</v>
      </c>
      <c r="B269" s="1" t="e">
        <v>#N/A</v>
      </c>
      <c r="C269" s="1" t="e">
        <v>#N/A</v>
      </c>
      <c r="D269" s="1" t="e">
        <v>#N/A</v>
      </c>
      <c r="E269" s="1" t="s">
        <v>2432</v>
      </c>
      <c r="F269" s="2" t="s">
        <v>2300</v>
      </c>
      <c r="G269" s="1" t="s">
        <v>2303</v>
      </c>
      <c r="H269" s="2">
        <v>6</v>
      </c>
      <c r="I269" s="3" t="s">
        <v>2316</v>
      </c>
      <c r="J269" t="s">
        <v>2365</v>
      </c>
      <c r="M269" s="3" t="s">
        <v>2300</v>
      </c>
      <c r="N269" s="3" t="s">
        <v>2256</v>
      </c>
      <c r="O269" t="s">
        <v>2310</v>
      </c>
    </row>
    <row r="270" spans="1:15" x14ac:dyDescent="0.25">
      <c r="A270" t="s">
        <v>2285</v>
      </c>
      <c r="B270" s="1" t="e">
        <v>#N/A</v>
      </c>
      <c r="C270" s="1" t="e">
        <v>#N/A</v>
      </c>
      <c r="D270" s="1" t="e">
        <v>#N/A</v>
      </c>
      <c r="E270" s="1" t="s">
        <v>2432</v>
      </c>
      <c r="F270" s="2" t="s">
        <v>2300</v>
      </c>
      <c r="G270" s="1" t="s">
        <v>2304</v>
      </c>
      <c r="H270" s="2">
        <v>6</v>
      </c>
      <c r="I270" s="3" t="s">
        <v>2</v>
      </c>
      <c r="J270" t="s">
        <v>2365</v>
      </c>
      <c r="M270" s="3" t="s">
        <v>2300</v>
      </c>
      <c r="N270" s="3" t="s">
        <v>2255</v>
      </c>
      <c r="O270" t="s">
        <v>2310</v>
      </c>
    </row>
    <row r="271" spans="1:15" x14ac:dyDescent="0.25">
      <c r="A271" t="s">
        <v>2285</v>
      </c>
      <c r="B271" s="1" t="e">
        <v>#N/A</v>
      </c>
      <c r="C271" s="1" t="e">
        <v>#N/A</v>
      </c>
      <c r="D271" s="1" t="e">
        <v>#N/A</v>
      </c>
      <c r="E271" s="1" t="s">
        <v>2432</v>
      </c>
      <c r="F271" s="2" t="s">
        <v>2300</v>
      </c>
      <c r="G271" s="1" t="s">
        <v>2303</v>
      </c>
      <c r="H271" s="2">
        <v>6</v>
      </c>
      <c r="I271" s="3" t="s">
        <v>1</v>
      </c>
      <c r="J271" t="s">
        <v>2365</v>
      </c>
      <c r="M271" s="3" t="s">
        <v>2300</v>
      </c>
      <c r="N271" s="3" t="s">
        <v>2256</v>
      </c>
      <c r="O271" t="s">
        <v>2310</v>
      </c>
    </row>
    <row r="272" spans="1:15" x14ac:dyDescent="0.25">
      <c r="A272" t="s">
        <v>2285</v>
      </c>
      <c r="B272" s="1" t="e">
        <v>#N/A</v>
      </c>
      <c r="C272" s="1" t="e">
        <v>#N/A</v>
      </c>
      <c r="D272" s="1" t="e">
        <v>#N/A</v>
      </c>
      <c r="E272" s="1" t="s">
        <v>2432</v>
      </c>
      <c r="F272" s="2" t="s">
        <v>2300</v>
      </c>
      <c r="G272" s="1" t="s">
        <v>2304</v>
      </c>
      <c r="H272" s="2">
        <v>6</v>
      </c>
      <c r="I272" s="3" t="s">
        <v>2357</v>
      </c>
      <c r="J272" t="s">
        <v>2365</v>
      </c>
      <c r="M272" s="3" t="s">
        <v>2300</v>
      </c>
      <c r="N272" s="3" t="s">
        <v>2255</v>
      </c>
      <c r="O272" t="s">
        <v>2310</v>
      </c>
    </row>
    <row r="273" spans="1:15" x14ac:dyDescent="0.25">
      <c r="A273" t="s">
        <v>2285</v>
      </c>
      <c r="B273" s="1" t="e">
        <v>#N/A</v>
      </c>
      <c r="C273" s="1" t="e">
        <v>#N/A</v>
      </c>
      <c r="D273" s="1" t="e">
        <v>#N/A</v>
      </c>
      <c r="E273" s="1" t="s">
        <v>2432</v>
      </c>
      <c r="F273" s="2" t="s">
        <v>2300</v>
      </c>
      <c r="G273" s="1" t="s">
        <v>2304</v>
      </c>
      <c r="H273" s="2">
        <v>6</v>
      </c>
      <c r="I273" s="3" t="s">
        <v>2315</v>
      </c>
      <c r="J273" t="s">
        <v>2365</v>
      </c>
      <c r="M273" s="3" t="s">
        <v>2300</v>
      </c>
      <c r="N273" s="3" t="s">
        <v>2255</v>
      </c>
      <c r="O273" t="s">
        <v>2310</v>
      </c>
    </row>
    <row r="274" spans="1:15" x14ac:dyDescent="0.25">
      <c r="A274" t="s">
        <v>2285</v>
      </c>
      <c r="B274" s="1" t="e">
        <v>#N/A</v>
      </c>
      <c r="C274" s="1" t="e">
        <v>#N/A</v>
      </c>
      <c r="D274" s="1" t="e">
        <v>#N/A</v>
      </c>
      <c r="E274" s="1" t="s">
        <v>2432</v>
      </c>
      <c r="F274" s="2" t="s">
        <v>2300</v>
      </c>
      <c r="G274" s="1" t="s">
        <v>2304</v>
      </c>
      <c r="H274" s="2">
        <v>6</v>
      </c>
      <c r="I274" s="3" t="s">
        <v>2357</v>
      </c>
      <c r="J274" t="s">
        <v>2365</v>
      </c>
      <c r="M274" s="3" t="s">
        <v>2300</v>
      </c>
      <c r="N274" s="3" t="s">
        <v>2255</v>
      </c>
      <c r="O274" t="s">
        <v>2310</v>
      </c>
    </row>
    <row r="275" spans="1:15" x14ac:dyDescent="0.25">
      <c r="A275" t="s">
        <v>2285</v>
      </c>
      <c r="B275" s="1" t="e">
        <v>#N/A</v>
      </c>
      <c r="C275" s="1" t="e">
        <v>#N/A</v>
      </c>
      <c r="D275" s="1" t="e">
        <v>#N/A</v>
      </c>
      <c r="E275" s="1" t="s">
        <v>2432</v>
      </c>
      <c r="F275" s="2" t="s">
        <v>2300</v>
      </c>
      <c r="G275" s="1" t="s">
        <v>2303</v>
      </c>
      <c r="H275" s="2">
        <v>6</v>
      </c>
      <c r="I275" s="3" t="s">
        <v>2315</v>
      </c>
      <c r="J275" t="s">
        <v>2365</v>
      </c>
      <c r="M275" s="3" t="s">
        <v>2300</v>
      </c>
      <c r="N275" s="3" t="s">
        <v>2256</v>
      </c>
      <c r="O275" t="s">
        <v>2310</v>
      </c>
    </row>
    <row r="276" spans="1:15" x14ac:dyDescent="0.25">
      <c r="A276" t="s">
        <v>2285</v>
      </c>
      <c r="B276" s="1" t="e">
        <v>#N/A</v>
      </c>
      <c r="C276" s="1" t="e">
        <v>#N/A</v>
      </c>
      <c r="D276" s="1" t="e">
        <v>#N/A</v>
      </c>
      <c r="E276" s="1" t="s">
        <v>2432</v>
      </c>
      <c r="F276" s="2" t="s">
        <v>2300</v>
      </c>
      <c r="G276" s="1" t="s">
        <v>2304</v>
      </c>
      <c r="H276" s="2">
        <v>6</v>
      </c>
      <c r="I276" s="3" t="s">
        <v>2317</v>
      </c>
      <c r="J276" t="s">
        <v>2365</v>
      </c>
      <c r="M276" s="3" t="s">
        <v>2300</v>
      </c>
      <c r="N276" s="3" t="s">
        <v>2255</v>
      </c>
      <c r="O276" t="s">
        <v>2310</v>
      </c>
    </row>
    <row r="277" spans="1:15" x14ac:dyDescent="0.25">
      <c r="A277" t="s">
        <v>2285</v>
      </c>
      <c r="B277" s="1" t="e">
        <v>#N/A</v>
      </c>
      <c r="C277" s="1" t="e">
        <v>#N/A</v>
      </c>
      <c r="D277" s="1" t="e">
        <v>#N/A</v>
      </c>
      <c r="E277" s="1" t="s">
        <v>2432</v>
      </c>
      <c r="F277" s="2" t="s">
        <v>2300</v>
      </c>
      <c r="G277" s="1" t="s">
        <v>2303</v>
      </c>
      <c r="H277" s="2">
        <v>6</v>
      </c>
      <c r="I277" s="3" t="s">
        <v>2315</v>
      </c>
      <c r="J277" t="s">
        <v>2365</v>
      </c>
      <c r="M277" s="3" t="s">
        <v>2300</v>
      </c>
      <c r="N277" s="3" t="s">
        <v>2256</v>
      </c>
      <c r="O277" t="s">
        <v>2310</v>
      </c>
    </row>
    <row r="278" spans="1:15" x14ac:dyDescent="0.25">
      <c r="A278" t="s">
        <v>2285</v>
      </c>
      <c r="B278" s="1" t="e">
        <v>#N/A</v>
      </c>
      <c r="C278" s="1" t="e">
        <v>#N/A</v>
      </c>
      <c r="D278" s="1" t="e">
        <v>#N/A</v>
      </c>
      <c r="E278" s="1" t="s">
        <v>2432</v>
      </c>
      <c r="F278" s="2" t="s">
        <v>2300</v>
      </c>
      <c r="G278" s="1" t="s">
        <v>2304</v>
      </c>
      <c r="H278" s="2">
        <v>6</v>
      </c>
      <c r="I278" s="3" t="s">
        <v>5</v>
      </c>
      <c r="J278" t="s">
        <v>2365</v>
      </c>
      <c r="M278" s="3" t="s">
        <v>2300</v>
      </c>
      <c r="N278" s="3" t="s">
        <v>2255</v>
      </c>
      <c r="O278" t="s">
        <v>2310</v>
      </c>
    </row>
    <row r="279" spans="1:15" x14ac:dyDescent="0.25">
      <c r="A279" t="s">
        <v>2285</v>
      </c>
      <c r="B279" s="1" t="e">
        <v>#N/A</v>
      </c>
      <c r="C279" s="1" t="e">
        <v>#N/A</v>
      </c>
      <c r="D279" s="1" t="e">
        <v>#N/A</v>
      </c>
      <c r="E279" s="1" t="s">
        <v>2432</v>
      </c>
      <c r="F279" s="2" t="s">
        <v>2300</v>
      </c>
      <c r="G279" s="1" t="s">
        <v>2304</v>
      </c>
      <c r="H279" s="2">
        <v>6</v>
      </c>
      <c r="I279" s="3" t="s">
        <v>1</v>
      </c>
      <c r="J279" t="s">
        <v>2365</v>
      </c>
      <c r="M279" s="3" t="s">
        <v>2300</v>
      </c>
      <c r="N279" s="3" t="s">
        <v>2255</v>
      </c>
      <c r="O279" t="s">
        <v>2310</v>
      </c>
    </row>
    <row r="280" spans="1:15" x14ac:dyDescent="0.25">
      <c r="A280" t="s">
        <v>2285</v>
      </c>
      <c r="B280" s="1" t="e">
        <v>#N/A</v>
      </c>
      <c r="C280" s="1" t="e">
        <v>#N/A</v>
      </c>
      <c r="D280" s="1" t="e">
        <v>#N/A</v>
      </c>
      <c r="E280" s="1" t="s">
        <v>2432</v>
      </c>
      <c r="F280" s="2" t="s">
        <v>2300</v>
      </c>
      <c r="G280" s="1" t="s">
        <v>2304</v>
      </c>
      <c r="H280" s="2">
        <v>6</v>
      </c>
      <c r="I280" s="3" t="s">
        <v>2317</v>
      </c>
      <c r="J280" t="s">
        <v>2365</v>
      </c>
      <c r="M280" s="3" t="s">
        <v>2300</v>
      </c>
      <c r="N280" s="3" t="s">
        <v>2255</v>
      </c>
      <c r="O280" t="s">
        <v>2310</v>
      </c>
    </row>
    <row r="281" spans="1:15" x14ac:dyDescent="0.25">
      <c r="A281" t="s">
        <v>2285</v>
      </c>
      <c r="B281" s="1" t="e">
        <v>#N/A</v>
      </c>
      <c r="C281" s="1" t="e">
        <v>#N/A</v>
      </c>
      <c r="D281" s="1" t="e">
        <v>#N/A</v>
      </c>
      <c r="E281" s="1" t="s">
        <v>2432</v>
      </c>
      <c r="F281" s="2" t="s">
        <v>2300</v>
      </c>
      <c r="G281" s="1" t="s">
        <v>2304</v>
      </c>
      <c r="H281" s="2">
        <v>6</v>
      </c>
      <c r="I281" s="3" t="s">
        <v>2338</v>
      </c>
      <c r="J281" t="s">
        <v>2365</v>
      </c>
      <c r="M281" s="3" t="s">
        <v>2300</v>
      </c>
      <c r="N281" s="3" t="s">
        <v>2255</v>
      </c>
      <c r="O281" t="s">
        <v>2310</v>
      </c>
    </row>
    <row r="282" spans="1:15" x14ac:dyDescent="0.25">
      <c r="A282" t="s">
        <v>2285</v>
      </c>
      <c r="B282" s="1" t="e">
        <v>#N/A</v>
      </c>
      <c r="C282" s="1" t="e">
        <v>#N/A</v>
      </c>
      <c r="D282" s="1" t="e">
        <v>#N/A</v>
      </c>
      <c r="E282" s="1" t="s">
        <v>2432</v>
      </c>
      <c r="F282" s="2" t="s">
        <v>2300</v>
      </c>
      <c r="G282" s="1" t="s">
        <v>2304</v>
      </c>
      <c r="H282" s="2">
        <v>6</v>
      </c>
      <c r="I282" s="3" t="s">
        <v>2313</v>
      </c>
      <c r="J282" t="s">
        <v>2365</v>
      </c>
      <c r="M282" s="3" t="s">
        <v>2300</v>
      </c>
      <c r="N282" s="3" t="s">
        <v>2255</v>
      </c>
      <c r="O282" t="s">
        <v>2310</v>
      </c>
    </row>
    <row r="283" spans="1:15" x14ac:dyDescent="0.25">
      <c r="A283" t="s">
        <v>2285</v>
      </c>
      <c r="B283" s="1" t="e">
        <v>#N/A</v>
      </c>
      <c r="C283" s="1" t="e">
        <v>#N/A</v>
      </c>
      <c r="D283" s="1" t="e">
        <v>#N/A</v>
      </c>
      <c r="E283" s="1" t="s">
        <v>2432</v>
      </c>
      <c r="F283" s="2" t="s">
        <v>2300</v>
      </c>
      <c r="G283" s="1" t="s">
        <v>2304</v>
      </c>
      <c r="H283" s="2">
        <v>6</v>
      </c>
      <c r="I283" s="3" t="s">
        <v>2317</v>
      </c>
      <c r="J283" t="s">
        <v>2365</v>
      </c>
      <c r="M283" s="3" t="s">
        <v>2300</v>
      </c>
      <c r="N283" s="3" t="s">
        <v>2255</v>
      </c>
      <c r="O283" t="s">
        <v>2310</v>
      </c>
    </row>
    <row r="284" spans="1:15" x14ac:dyDescent="0.25">
      <c r="A284" t="s">
        <v>2285</v>
      </c>
      <c r="B284" s="1" t="e">
        <v>#N/A</v>
      </c>
      <c r="C284" s="1" t="e">
        <v>#N/A</v>
      </c>
      <c r="D284" s="1" t="e">
        <v>#N/A</v>
      </c>
      <c r="E284" s="1" t="s">
        <v>2432</v>
      </c>
      <c r="F284" s="2" t="s">
        <v>2300</v>
      </c>
      <c r="G284" s="1" t="s">
        <v>2305</v>
      </c>
      <c r="H284" s="2">
        <v>6</v>
      </c>
      <c r="I284" s="3" t="s">
        <v>2357</v>
      </c>
      <c r="J284" t="s">
        <v>2365</v>
      </c>
      <c r="M284" s="3" t="s">
        <v>2300</v>
      </c>
      <c r="N284" s="3" t="s">
        <v>2258</v>
      </c>
      <c r="O284" t="s">
        <v>2310</v>
      </c>
    </row>
    <row r="285" spans="1:15" x14ac:dyDescent="0.25">
      <c r="A285" t="s">
        <v>2285</v>
      </c>
      <c r="B285" s="1" t="e">
        <v>#N/A</v>
      </c>
      <c r="C285" s="1" t="e">
        <v>#N/A</v>
      </c>
      <c r="D285" s="1" t="e">
        <v>#N/A</v>
      </c>
      <c r="E285" s="1" t="s">
        <v>2432</v>
      </c>
      <c r="F285" s="2" t="s">
        <v>2300</v>
      </c>
      <c r="G285" s="1" t="s">
        <v>2304</v>
      </c>
      <c r="H285" s="2">
        <v>6</v>
      </c>
      <c r="I285" s="3" t="s">
        <v>2338</v>
      </c>
      <c r="J285" t="s">
        <v>2365</v>
      </c>
      <c r="M285" s="3" t="s">
        <v>2300</v>
      </c>
      <c r="N285" s="3" t="s">
        <v>2255</v>
      </c>
      <c r="O285" t="s">
        <v>2310</v>
      </c>
    </row>
    <row r="286" spans="1:15" x14ac:dyDescent="0.25">
      <c r="A286" t="s">
        <v>2285</v>
      </c>
      <c r="B286" s="1" t="e">
        <v>#N/A</v>
      </c>
      <c r="C286" s="1" t="e">
        <v>#N/A</v>
      </c>
      <c r="D286" s="1" t="e">
        <v>#N/A</v>
      </c>
      <c r="E286" s="1" t="s">
        <v>2432</v>
      </c>
      <c r="F286" s="2" t="s">
        <v>2300</v>
      </c>
      <c r="G286" s="1" t="s">
        <v>2304</v>
      </c>
      <c r="H286" s="2">
        <v>6</v>
      </c>
      <c r="I286" s="3" t="s">
        <v>2317</v>
      </c>
      <c r="J286" t="s">
        <v>2365</v>
      </c>
      <c r="M286" s="3" t="s">
        <v>2300</v>
      </c>
      <c r="N286" s="3" t="s">
        <v>2255</v>
      </c>
      <c r="O286" t="s">
        <v>2310</v>
      </c>
    </row>
    <row r="287" spans="1:15" x14ac:dyDescent="0.25">
      <c r="A287" t="s">
        <v>2285</v>
      </c>
      <c r="B287" s="1" t="e">
        <v>#N/A</v>
      </c>
      <c r="C287" s="1" t="e">
        <v>#N/A</v>
      </c>
      <c r="D287" s="1" t="e">
        <v>#N/A</v>
      </c>
      <c r="E287" s="1" t="s">
        <v>2432</v>
      </c>
      <c r="F287" s="2" t="s">
        <v>2300</v>
      </c>
      <c r="G287" s="1" t="s">
        <v>2304</v>
      </c>
      <c r="H287" s="2">
        <v>6</v>
      </c>
      <c r="I287" s="3" t="s">
        <v>2315</v>
      </c>
      <c r="J287" t="s">
        <v>2365</v>
      </c>
      <c r="M287" s="3" t="s">
        <v>2300</v>
      </c>
      <c r="N287" s="3" t="s">
        <v>2255</v>
      </c>
      <c r="O287" t="s">
        <v>2310</v>
      </c>
    </row>
    <row r="288" spans="1:15" x14ac:dyDescent="0.25">
      <c r="A288" t="s">
        <v>2285</v>
      </c>
      <c r="B288" s="1" t="e">
        <v>#N/A</v>
      </c>
      <c r="C288" s="1" t="e">
        <v>#N/A</v>
      </c>
      <c r="D288" s="1" t="e">
        <v>#N/A</v>
      </c>
      <c r="E288" s="1" t="s">
        <v>2432</v>
      </c>
      <c r="F288" s="2" t="s">
        <v>2300</v>
      </c>
      <c r="G288" s="1" t="s">
        <v>2304</v>
      </c>
      <c r="H288" s="2">
        <v>6</v>
      </c>
      <c r="I288" s="3" t="s">
        <v>1</v>
      </c>
      <c r="J288" t="s">
        <v>2365</v>
      </c>
      <c r="M288" s="3" t="s">
        <v>2300</v>
      </c>
      <c r="N288" s="3" t="s">
        <v>2255</v>
      </c>
      <c r="O288" t="s">
        <v>2310</v>
      </c>
    </row>
    <row r="289" spans="1:15" x14ac:dyDescent="0.25">
      <c r="A289" t="s">
        <v>2285</v>
      </c>
      <c r="B289" s="1" t="e">
        <v>#N/A</v>
      </c>
      <c r="C289" s="1" t="e">
        <v>#N/A</v>
      </c>
      <c r="D289" s="1" t="e">
        <v>#N/A</v>
      </c>
      <c r="E289" s="1" t="s">
        <v>2432</v>
      </c>
      <c r="F289" s="2" t="s">
        <v>2300</v>
      </c>
      <c r="G289" s="1" t="s">
        <v>2303</v>
      </c>
      <c r="H289" s="2">
        <v>6</v>
      </c>
      <c r="I289" s="3" t="s">
        <v>2318</v>
      </c>
      <c r="J289" t="s">
        <v>2365</v>
      </c>
      <c r="M289" s="3" t="s">
        <v>2300</v>
      </c>
      <c r="N289" s="3" t="s">
        <v>2256</v>
      </c>
      <c r="O289" t="s">
        <v>2310</v>
      </c>
    </row>
    <row r="290" spans="1:15" x14ac:dyDescent="0.25">
      <c r="A290" t="s">
        <v>2285</v>
      </c>
      <c r="B290" s="1" t="e">
        <v>#N/A</v>
      </c>
      <c r="C290" s="1" t="e">
        <v>#N/A</v>
      </c>
      <c r="D290" s="1" t="e">
        <v>#N/A</v>
      </c>
      <c r="E290" s="1" t="s">
        <v>2432</v>
      </c>
      <c r="F290" s="2" t="s">
        <v>2300</v>
      </c>
      <c r="G290" s="1" t="s">
        <v>2304</v>
      </c>
      <c r="H290" s="2">
        <v>6</v>
      </c>
      <c r="I290" s="3" t="s">
        <v>9</v>
      </c>
      <c r="J290" t="s">
        <v>2365</v>
      </c>
      <c r="M290" s="3" t="s">
        <v>2300</v>
      </c>
      <c r="N290" s="3" t="s">
        <v>2255</v>
      </c>
      <c r="O290" t="s">
        <v>2310</v>
      </c>
    </row>
    <row r="291" spans="1:15" x14ac:dyDescent="0.25">
      <c r="A291" t="s">
        <v>2285</v>
      </c>
      <c r="B291" s="1" t="e">
        <v>#N/A</v>
      </c>
      <c r="C291" s="1" t="e">
        <v>#N/A</v>
      </c>
      <c r="D291" s="1" t="e">
        <v>#N/A</v>
      </c>
      <c r="E291" s="1" t="s">
        <v>2432</v>
      </c>
      <c r="F291" s="2" t="s">
        <v>2300</v>
      </c>
      <c r="G291" s="1" t="s">
        <v>2304</v>
      </c>
      <c r="H291" s="2">
        <v>6</v>
      </c>
      <c r="I291" s="3" t="s">
        <v>2317</v>
      </c>
      <c r="J291" t="s">
        <v>2365</v>
      </c>
      <c r="M291" s="3" t="s">
        <v>2300</v>
      </c>
      <c r="N291" s="3" t="s">
        <v>2255</v>
      </c>
      <c r="O291" t="s">
        <v>2310</v>
      </c>
    </row>
    <row r="292" spans="1:15" x14ac:dyDescent="0.25">
      <c r="A292" t="s">
        <v>2285</v>
      </c>
      <c r="B292" s="1" t="e">
        <v>#N/A</v>
      </c>
      <c r="C292" s="1" t="e">
        <v>#N/A</v>
      </c>
      <c r="D292" s="1" t="e">
        <v>#N/A</v>
      </c>
      <c r="E292" s="1" t="s">
        <v>2432</v>
      </c>
      <c r="F292" s="2" t="s">
        <v>2300</v>
      </c>
      <c r="G292" s="1" t="s">
        <v>2304</v>
      </c>
      <c r="H292" s="2">
        <v>6</v>
      </c>
      <c r="I292" s="3" t="s">
        <v>2317</v>
      </c>
      <c r="J292" t="s">
        <v>2365</v>
      </c>
      <c r="M292" s="3" t="s">
        <v>2300</v>
      </c>
      <c r="N292" s="3" t="s">
        <v>2255</v>
      </c>
      <c r="O292" t="s">
        <v>2310</v>
      </c>
    </row>
    <row r="293" spans="1:15" x14ac:dyDescent="0.25">
      <c r="A293" t="s">
        <v>2285</v>
      </c>
      <c r="B293" s="1" t="e">
        <v>#N/A</v>
      </c>
      <c r="C293" s="1" t="e">
        <v>#N/A</v>
      </c>
      <c r="D293" s="1" t="e">
        <v>#N/A</v>
      </c>
      <c r="E293" s="1" t="s">
        <v>2432</v>
      </c>
      <c r="F293" s="2" t="s">
        <v>2300</v>
      </c>
      <c r="G293" s="1" t="s">
        <v>2304</v>
      </c>
      <c r="H293" s="2">
        <v>6</v>
      </c>
      <c r="I293" s="3" t="s">
        <v>2317</v>
      </c>
      <c r="J293" t="s">
        <v>2365</v>
      </c>
      <c r="M293" s="3" t="s">
        <v>2300</v>
      </c>
      <c r="N293" s="3" t="s">
        <v>2255</v>
      </c>
      <c r="O293" t="s">
        <v>2310</v>
      </c>
    </row>
    <row r="294" spans="1:15" x14ac:dyDescent="0.25">
      <c r="A294" t="s">
        <v>2285</v>
      </c>
      <c r="B294" s="1" t="e">
        <v>#N/A</v>
      </c>
      <c r="C294" s="1" t="e">
        <v>#N/A</v>
      </c>
      <c r="D294" s="1" t="e">
        <v>#N/A</v>
      </c>
      <c r="E294" s="1" t="s">
        <v>2432</v>
      </c>
      <c r="F294" s="2" t="s">
        <v>2300</v>
      </c>
      <c r="G294" s="1" t="s">
        <v>2304</v>
      </c>
      <c r="H294" s="2">
        <v>6</v>
      </c>
      <c r="I294" s="3" t="s">
        <v>2316</v>
      </c>
      <c r="J294" t="s">
        <v>2365</v>
      </c>
      <c r="M294" s="3" t="s">
        <v>2300</v>
      </c>
      <c r="N294" s="3" t="s">
        <v>2255</v>
      </c>
      <c r="O294" t="s">
        <v>2310</v>
      </c>
    </row>
    <row r="295" spans="1:15" x14ac:dyDescent="0.25">
      <c r="A295" t="s">
        <v>2285</v>
      </c>
      <c r="B295" s="1" t="e">
        <v>#N/A</v>
      </c>
      <c r="C295" s="1" t="e">
        <v>#N/A</v>
      </c>
      <c r="D295" s="1" t="e">
        <v>#N/A</v>
      </c>
      <c r="E295" s="1" t="s">
        <v>2432</v>
      </c>
      <c r="F295" s="2" t="s">
        <v>2300</v>
      </c>
      <c r="G295" s="1" t="s">
        <v>2304</v>
      </c>
      <c r="H295" s="2">
        <v>6</v>
      </c>
      <c r="I295" s="3" t="s">
        <v>2316</v>
      </c>
      <c r="J295" t="s">
        <v>2365</v>
      </c>
      <c r="M295" s="3" t="s">
        <v>2300</v>
      </c>
      <c r="N295" s="3" t="s">
        <v>2255</v>
      </c>
      <c r="O295" t="s">
        <v>2310</v>
      </c>
    </row>
    <row r="296" spans="1:15" x14ac:dyDescent="0.25">
      <c r="A296" t="s">
        <v>2285</v>
      </c>
      <c r="B296" s="1" t="e">
        <v>#N/A</v>
      </c>
      <c r="C296" s="1" t="e">
        <v>#N/A</v>
      </c>
      <c r="D296" s="1" t="e">
        <v>#N/A</v>
      </c>
      <c r="E296" s="1" t="s">
        <v>2432</v>
      </c>
      <c r="F296" s="2" t="s">
        <v>2300</v>
      </c>
      <c r="G296" s="1" t="s">
        <v>2304</v>
      </c>
      <c r="H296" s="2">
        <v>5</v>
      </c>
      <c r="I296" s="3" t="s">
        <v>2329</v>
      </c>
      <c r="J296" t="s">
        <v>2365</v>
      </c>
      <c r="M296" s="3" t="s">
        <v>2300</v>
      </c>
      <c r="N296" s="3" t="s">
        <v>2255</v>
      </c>
      <c r="O296" t="s">
        <v>2310</v>
      </c>
    </row>
    <row r="297" spans="1:15" x14ac:dyDescent="0.25">
      <c r="A297" t="s">
        <v>2285</v>
      </c>
      <c r="B297" s="1" t="e">
        <v>#N/A</v>
      </c>
      <c r="C297" s="1" t="e">
        <v>#N/A</v>
      </c>
      <c r="D297" s="1" t="e">
        <v>#N/A</v>
      </c>
      <c r="E297" s="1" t="s">
        <v>2432</v>
      </c>
      <c r="F297" s="2" t="s">
        <v>2300</v>
      </c>
      <c r="G297" s="1" t="s">
        <v>2304</v>
      </c>
      <c r="H297" s="2">
        <v>5</v>
      </c>
      <c r="I297" s="3" t="s">
        <v>12</v>
      </c>
      <c r="J297" t="s">
        <v>2365</v>
      </c>
      <c r="M297" s="3" t="s">
        <v>2300</v>
      </c>
      <c r="N297" s="3" t="s">
        <v>2255</v>
      </c>
      <c r="O297" t="s">
        <v>2310</v>
      </c>
    </row>
    <row r="298" spans="1:15" x14ac:dyDescent="0.25">
      <c r="A298" t="s">
        <v>2285</v>
      </c>
      <c r="B298" s="1" t="e">
        <v>#N/A</v>
      </c>
      <c r="C298" s="1" t="e">
        <v>#N/A</v>
      </c>
      <c r="D298" s="1" t="e">
        <v>#N/A</v>
      </c>
      <c r="E298" s="1" t="s">
        <v>2432</v>
      </c>
      <c r="F298" s="2" t="s">
        <v>2300</v>
      </c>
      <c r="G298" s="1" t="s">
        <v>2304</v>
      </c>
      <c r="H298" s="2">
        <v>5</v>
      </c>
      <c r="I298" s="3" t="s">
        <v>2316</v>
      </c>
      <c r="J298" t="s">
        <v>2365</v>
      </c>
      <c r="M298" s="3" t="s">
        <v>2300</v>
      </c>
      <c r="N298" s="3" t="s">
        <v>2255</v>
      </c>
      <c r="O298" t="s">
        <v>2310</v>
      </c>
    </row>
    <row r="299" spans="1:15" x14ac:dyDescent="0.25">
      <c r="A299" t="s">
        <v>2285</v>
      </c>
      <c r="B299" s="1" t="e">
        <v>#N/A</v>
      </c>
      <c r="C299" s="1" t="e">
        <v>#N/A</v>
      </c>
      <c r="D299" s="1" t="e">
        <v>#N/A</v>
      </c>
      <c r="E299" s="1" t="s">
        <v>2432</v>
      </c>
      <c r="F299" s="2" t="s">
        <v>2300</v>
      </c>
      <c r="G299" s="1" t="s">
        <v>2304</v>
      </c>
      <c r="H299" s="2">
        <v>5</v>
      </c>
      <c r="I299" s="3" t="s">
        <v>2317</v>
      </c>
      <c r="J299" t="s">
        <v>2365</v>
      </c>
      <c r="M299" s="3" t="s">
        <v>2300</v>
      </c>
      <c r="N299" s="3" t="s">
        <v>2255</v>
      </c>
      <c r="O299" t="s">
        <v>2310</v>
      </c>
    </row>
    <row r="300" spans="1:15" x14ac:dyDescent="0.25">
      <c r="A300" t="s">
        <v>2285</v>
      </c>
      <c r="B300" s="1" t="e">
        <v>#N/A</v>
      </c>
      <c r="C300" s="1" t="e">
        <v>#N/A</v>
      </c>
      <c r="D300" s="1" t="e">
        <v>#N/A</v>
      </c>
      <c r="E300" s="1" t="s">
        <v>2432</v>
      </c>
      <c r="F300" s="2" t="s">
        <v>2300</v>
      </c>
      <c r="G300" s="1" t="s">
        <v>2304</v>
      </c>
      <c r="H300" s="2">
        <v>5</v>
      </c>
      <c r="I300" s="3" t="s">
        <v>2317</v>
      </c>
      <c r="J300" t="s">
        <v>2365</v>
      </c>
      <c r="M300" s="3" t="s">
        <v>2300</v>
      </c>
      <c r="N300" s="3" t="s">
        <v>2255</v>
      </c>
      <c r="O300" t="s">
        <v>2310</v>
      </c>
    </row>
    <row r="301" spans="1:15" x14ac:dyDescent="0.25">
      <c r="A301" t="s">
        <v>2285</v>
      </c>
      <c r="B301" s="1" t="e">
        <v>#N/A</v>
      </c>
      <c r="C301" s="1" t="e">
        <v>#N/A</v>
      </c>
      <c r="D301" s="1" t="e">
        <v>#N/A</v>
      </c>
      <c r="E301" s="1" t="s">
        <v>2432</v>
      </c>
      <c r="F301" s="2" t="s">
        <v>2300</v>
      </c>
      <c r="G301" s="1" t="s">
        <v>2304</v>
      </c>
      <c r="H301" s="2">
        <v>5</v>
      </c>
      <c r="I301" s="3" t="s">
        <v>2317</v>
      </c>
      <c r="J301" t="s">
        <v>2365</v>
      </c>
      <c r="M301" s="3" t="s">
        <v>2300</v>
      </c>
      <c r="N301" s="3" t="s">
        <v>2255</v>
      </c>
      <c r="O301" t="s">
        <v>2310</v>
      </c>
    </row>
    <row r="302" spans="1:15" x14ac:dyDescent="0.25">
      <c r="A302" t="s">
        <v>2285</v>
      </c>
      <c r="B302" s="1" t="e">
        <v>#N/A</v>
      </c>
      <c r="C302" s="1" t="e">
        <v>#N/A</v>
      </c>
      <c r="D302" s="1" t="e">
        <v>#N/A</v>
      </c>
      <c r="E302" s="1" t="s">
        <v>2432</v>
      </c>
      <c r="F302" s="2" t="s">
        <v>2300</v>
      </c>
      <c r="G302" s="1" t="s">
        <v>2304</v>
      </c>
      <c r="H302" s="2">
        <v>5</v>
      </c>
      <c r="I302" s="3" t="s">
        <v>2333</v>
      </c>
      <c r="J302" t="s">
        <v>2365</v>
      </c>
      <c r="M302" s="3" t="s">
        <v>2300</v>
      </c>
      <c r="N302" s="3" t="s">
        <v>2255</v>
      </c>
      <c r="O302" t="s">
        <v>2310</v>
      </c>
    </row>
    <row r="303" spans="1:15" x14ac:dyDescent="0.25">
      <c r="A303" t="s">
        <v>2285</v>
      </c>
      <c r="B303" s="1" t="e">
        <v>#N/A</v>
      </c>
      <c r="C303" s="1" t="e">
        <v>#N/A</v>
      </c>
      <c r="D303" s="1" t="e">
        <v>#N/A</v>
      </c>
      <c r="E303" s="1" t="s">
        <v>2432</v>
      </c>
      <c r="F303" s="2" t="s">
        <v>2300</v>
      </c>
      <c r="G303" s="1" t="s">
        <v>2304</v>
      </c>
      <c r="H303" s="2">
        <v>5</v>
      </c>
      <c r="I303" s="3" t="s">
        <v>6</v>
      </c>
      <c r="J303" t="s">
        <v>2365</v>
      </c>
      <c r="M303" s="3" t="s">
        <v>2300</v>
      </c>
      <c r="N303" s="3" t="s">
        <v>2255</v>
      </c>
      <c r="O303" t="s">
        <v>2310</v>
      </c>
    </row>
    <row r="304" spans="1:15" x14ac:dyDescent="0.25">
      <c r="A304" t="s">
        <v>2285</v>
      </c>
      <c r="B304" s="1" t="e">
        <v>#N/A</v>
      </c>
      <c r="C304" s="1" t="e">
        <v>#N/A</v>
      </c>
      <c r="D304" s="1" t="e">
        <v>#N/A</v>
      </c>
      <c r="E304" s="1" t="s">
        <v>2432</v>
      </c>
      <c r="F304" s="2" t="s">
        <v>2300</v>
      </c>
      <c r="G304" s="1" t="s">
        <v>2304</v>
      </c>
      <c r="H304" s="2">
        <v>5</v>
      </c>
      <c r="I304" s="3" t="s">
        <v>1</v>
      </c>
      <c r="J304" t="s">
        <v>2365</v>
      </c>
      <c r="M304" s="3" t="s">
        <v>2301</v>
      </c>
      <c r="N304" s="3" t="s">
        <v>2255</v>
      </c>
      <c r="O304" t="s">
        <v>2310</v>
      </c>
    </row>
    <row r="305" spans="1:15" x14ac:dyDescent="0.25">
      <c r="A305" t="s">
        <v>2285</v>
      </c>
      <c r="B305" s="1" t="e">
        <v>#N/A</v>
      </c>
      <c r="C305" s="1" t="e">
        <v>#N/A</v>
      </c>
      <c r="D305" s="1" t="e">
        <v>#N/A</v>
      </c>
      <c r="E305" s="1" t="s">
        <v>2432</v>
      </c>
      <c r="F305" s="2" t="s">
        <v>2300</v>
      </c>
      <c r="G305" s="1" t="s">
        <v>2304</v>
      </c>
      <c r="H305" s="2">
        <v>5</v>
      </c>
      <c r="I305" s="3" t="s">
        <v>2317</v>
      </c>
      <c r="J305" t="s">
        <v>2365</v>
      </c>
      <c r="M305" s="3" t="s">
        <v>2300</v>
      </c>
      <c r="N305" s="3" t="s">
        <v>2255</v>
      </c>
      <c r="O305" t="s">
        <v>2310</v>
      </c>
    </row>
    <row r="306" spans="1:15" x14ac:dyDescent="0.25">
      <c r="A306" t="s">
        <v>2285</v>
      </c>
      <c r="B306" s="1" t="e">
        <v>#N/A</v>
      </c>
      <c r="C306" s="1" t="e">
        <v>#N/A</v>
      </c>
      <c r="D306" s="1" t="e">
        <v>#N/A</v>
      </c>
      <c r="E306" s="1" t="s">
        <v>2432</v>
      </c>
      <c r="F306" s="2" t="s">
        <v>2300</v>
      </c>
      <c r="G306" s="1" t="s">
        <v>2304</v>
      </c>
      <c r="H306" s="2">
        <v>5</v>
      </c>
      <c r="I306" s="3" t="s">
        <v>2317</v>
      </c>
      <c r="J306" t="s">
        <v>2365</v>
      </c>
      <c r="M306" s="3" t="s">
        <v>2300</v>
      </c>
      <c r="N306" s="3" t="s">
        <v>2255</v>
      </c>
      <c r="O306" t="s">
        <v>2310</v>
      </c>
    </row>
    <row r="307" spans="1:15" x14ac:dyDescent="0.25">
      <c r="A307" t="s">
        <v>2285</v>
      </c>
      <c r="B307" s="1" t="e">
        <v>#N/A</v>
      </c>
      <c r="C307" s="1" t="e">
        <v>#N/A</v>
      </c>
      <c r="D307" s="1" t="e">
        <v>#N/A</v>
      </c>
      <c r="E307" s="1" t="s">
        <v>2432</v>
      </c>
      <c r="F307" s="2" t="s">
        <v>2300</v>
      </c>
      <c r="G307" s="1" t="s">
        <v>2305</v>
      </c>
      <c r="H307" s="2">
        <v>5</v>
      </c>
      <c r="I307" s="3" t="s">
        <v>2315</v>
      </c>
      <c r="J307" t="s">
        <v>2365</v>
      </c>
      <c r="M307" s="3" t="s">
        <v>2300</v>
      </c>
      <c r="N307" s="3" t="s">
        <v>2258</v>
      </c>
      <c r="O307" t="s">
        <v>2310</v>
      </c>
    </row>
    <row r="308" spans="1:15" x14ac:dyDescent="0.25">
      <c r="A308" t="s">
        <v>2285</v>
      </c>
      <c r="B308" s="1" t="e">
        <v>#N/A</v>
      </c>
      <c r="C308" s="1" t="e">
        <v>#N/A</v>
      </c>
      <c r="D308" s="1" t="e">
        <v>#N/A</v>
      </c>
      <c r="E308" s="1" t="s">
        <v>2432</v>
      </c>
      <c r="F308" s="2" t="s">
        <v>2300</v>
      </c>
      <c r="G308" s="1" t="s">
        <v>2303</v>
      </c>
      <c r="H308" s="2">
        <v>5</v>
      </c>
      <c r="I308" s="3" t="s">
        <v>1</v>
      </c>
      <c r="J308" t="s">
        <v>2365</v>
      </c>
      <c r="M308" s="3" t="s">
        <v>2301</v>
      </c>
      <c r="N308" s="3" t="s">
        <v>2256</v>
      </c>
      <c r="O308" t="s">
        <v>2310</v>
      </c>
    </row>
    <row r="309" spans="1:15" x14ac:dyDescent="0.25">
      <c r="A309" t="s">
        <v>2285</v>
      </c>
      <c r="B309" s="1" t="e">
        <v>#N/A</v>
      </c>
      <c r="C309" s="1" t="e">
        <v>#N/A</v>
      </c>
      <c r="D309" s="1" t="e">
        <v>#N/A</v>
      </c>
      <c r="E309" s="1" t="s">
        <v>2432</v>
      </c>
      <c r="F309" s="2" t="s">
        <v>2300</v>
      </c>
      <c r="G309" s="1" t="s">
        <v>2304</v>
      </c>
      <c r="H309" s="2">
        <v>5</v>
      </c>
      <c r="I309" s="3" t="s">
        <v>2315</v>
      </c>
      <c r="J309" t="s">
        <v>2365</v>
      </c>
      <c r="M309" s="3" t="s">
        <v>2300</v>
      </c>
      <c r="N309" s="3" t="s">
        <v>2255</v>
      </c>
      <c r="O309" t="s">
        <v>2310</v>
      </c>
    </row>
    <row r="310" spans="1:15" x14ac:dyDescent="0.25">
      <c r="A310" t="s">
        <v>2285</v>
      </c>
      <c r="B310" s="1" t="e">
        <v>#N/A</v>
      </c>
      <c r="C310" s="1" t="e">
        <v>#N/A</v>
      </c>
      <c r="D310" s="1" t="e">
        <v>#N/A</v>
      </c>
      <c r="E310" s="1" t="s">
        <v>2432</v>
      </c>
      <c r="F310" s="2" t="s">
        <v>2300</v>
      </c>
      <c r="G310" s="1" t="s">
        <v>2304</v>
      </c>
      <c r="H310" s="2">
        <v>5</v>
      </c>
      <c r="I310" s="3" t="s">
        <v>2333</v>
      </c>
      <c r="J310" t="s">
        <v>2365</v>
      </c>
      <c r="M310" s="3" t="s">
        <v>2300</v>
      </c>
      <c r="N310" s="3" t="s">
        <v>2255</v>
      </c>
      <c r="O310" t="s">
        <v>2310</v>
      </c>
    </row>
    <row r="311" spans="1:15" x14ac:dyDescent="0.25">
      <c r="A311" t="s">
        <v>2285</v>
      </c>
      <c r="B311" s="1" t="e">
        <v>#N/A</v>
      </c>
      <c r="C311" s="1" t="e">
        <v>#N/A</v>
      </c>
      <c r="D311" s="1" t="e">
        <v>#N/A</v>
      </c>
      <c r="E311" s="1" t="s">
        <v>2432</v>
      </c>
      <c r="F311" s="2" t="s">
        <v>2300</v>
      </c>
      <c r="G311" s="1" t="s">
        <v>2303</v>
      </c>
      <c r="H311" s="2">
        <v>5</v>
      </c>
      <c r="I311" s="3" t="s">
        <v>2329</v>
      </c>
      <c r="J311" t="s">
        <v>2365</v>
      </c>
      <c r="M311" s="3" t="s">
        <v>2300</v>
      </c>
      <c r="N311" s="3" t="s">
        <v>2256</v>
      </c>
      <c r="O311" t="s">
        <v>2310</v>
      </c>
    </row>
    <row r="312" spans="1:15" x14ac:dyDescent="0.25">
      <c r="A312" t="s">
        <v>2285</v>
      </c>
      <c r="B312" s="1" t="e">
        <v>#N/A</v>
      </c>
      <c r="C312" s="1" t="e">
        <v>#N/A</v>
      </c>
      <c r="D312" s="1" t="e">
        <v>#N/A</v>
      </c>
      <c r="E312" s="1" t="s">
        <v>2432</v>
      </c>
      <c r="F312" s="2" t="s">
        <v>2300</v>
      </c>
      <c r="G312" s="1" t="s">
        <v>2305</v>
      </c>
      <c r="H312" s="2">
        <v>5</v>
      </c>
      <c r="I312" s="3" t="s">
        <v>2316</v>
      </c>
      <c r="J312" t="s">
        <v>2365</v>
      </c>
      <c r="M312" s="3" t="s">
        <v>2300</v>
      </c>
      <c r="N312" s="3" t="s">
        <v>2257</v>
      </c>
      <c r="O312" t="s">
        <v>2310</v>
      </c>
    </row>
    <row r="313" spans="1:15" x14ac:dyDescent="0.25">
      <c r="A313" t="s">
        <v>2285</v>
      </c>
      <c r="B313" s="1" t="e">
        <v>#N/A</v>
      </c>
      <c r="C313" s="1" t="e">
        <v>#N/A</v>
      </c>
      <c r="D313" s="1" t="e">
        <v>#N/A</v>
      </c>
      <c r="E313" s="1" t="s">
        <v>2432</v>
      </c>
      <c r="F313" s="2" t="s">
        <v>2300</v>
      </c>
      <c r="G313" s="1" t="s">
        <v>2304</v>
      </c>
      <c r="H313" s="2">
        <v>5</v>
      </c>
      <c r="I313" s="3" t="s">
        <v>2317</v>
      </c>
      <c r="J313" t="s">
        <v>2365</v>
      </c>
      <c r="M313" s="3" t="s">
        <v>2300</v>
      </c>
      <c r="N313" s="3" t="s">
        <v>2255</v>
      </c>
      <c r="O313" t="s">
        <v>2310</v>
      </c>
    </row>
    <row r="314" spans="1:15" x14ac:dyDescent="0.25">
      <c r="A314" t="s">
        <v>2285</v>
      </c>
      <c r="B314" s="1" t="e">
        <v>#N/A</v>
      </c>
      <c r="C314" s="1" t="e">
        <v>#N/A</v>
      </c>
      <c r="D314" s="1" t="e">
        <v>#N/A</v>
      </c>
      <c r="E314" s="1" t="s">
        <v>2432</v>
      </c>
      <c r="F314" s="2" t="s">
        <v>2300</v>
      </c>
      <c r="G314" s="1" t="s">
        <v>2303</v>
      </c>
      <c r="H314" s="2">
        <v>5</v>
      </c>
      <c r="I314" s="3" t="s">
        <v>2315</v>
      </c>
      <c r="J314" t="s">
        <v>2365</v>
      </c>
      <c r="M314" s="3" t="s">
        <v>2300</v>
      </c>
      <c r="N314" s="3" t="s">
        <v>2256</v>
      </c>
      <c r="O314" t="s">
        <v>2310</v>
      </c>
    </row>
    <row r="315" spans="1:15" x14ac:dyDescent="0.25">
      <c r="A315" t="s">
        <v>2285</v>
      </c>
      <c r="B315" s="1" t="e">
        <v>#N/A</v>
      </c>
      <c r="C315" s="1" t="e">
        <v>#N/A</v>
      </c>
      <c r="D315" s="1" t="e">
        <v>#N/A</v>
      </c>
      <c r="E315" s="1" t="s">
        <v>2432</v>
      </c>
      <c r="F315" s="2" t="s">
        <v>2300</v>
      </c>
      <c r="G315" s="1" t="s">
        <v>2304</v>
      </c>
      <c r="H315" s="2">
        <v>4</v>
      </c>
      <c r="I315" s="3" t="s">
        <v>41</v>
      </c>
      <c r="J315" t="s">
        <v>2365</v>
      </c>
      <c r="M315" s="3" t="s">
        <v>2300</v>
      </c>
      <c r="N315" s="3" t="s">
        <v>2255</v>
      </c>
      <c r="O315" t="s">
        <v>2310</v>
      </c>
    </row>
    <row r="316" spans="1:15" x14ac:dyDescent="0.25">
      <c r="A316" t="s">
        <v>2285</v>
      </c>
      <c r="B316" s="1" t="e">
        <v>#N/A</v>
      </c>
      <c r="C316" s="1" t="e">
        <v>#N/A</v>
      </c>
      <c r="D316" s="1" t="e">
        <v>#N/A</v>
      </c>
      <c r="E316" s="1" t="s">
        <v>2432</v>
      </c>
      <c r="F316" s="2" t="s">
        <v>2300</v>
      </c>
      <c r="G316" s="1" t="s">
        <v>2304</v>
      </c>
      <c r="H316" s="2">
        <v>4</v>
      </c>
      <c r="I316" s="3" t="s">
        <v>2317</v>
      </c>
      <c r="J316" t="s">
        <v>2365</v>
      </c>
      <c r="M316" s="3" t="s">
        <v>2300</v>
      </c>
      <c r="N316" s="3" t="s">
        <v>2255</v>
      </c>
      <c r="O316" t="s">
        <v>2310</v>
      </c>
    </row>
    <row r="317" spans="1:15" x14ac:dyDescent="0.25">
      <c r="A317" t="s">
        <v>2285</v>
      </c>
      <c r="B317" s="1" t="e">
        <v>#N/A</v>
      </c>
      <c r="C317" s="1" t="e">
        <v>#N/A</v>
      </c>
      <c r="D317" s="1" t="e">
        <v>#N/A</v>
      </c>
      <c r="E317" s="1" t="s">
        <v>2432</v>
      </c>
      <c r="F317" s="2" t="s">
        <v>2300</v>
      </c>
      <c r="G317" s="1" t="s">
        <v>2304</v>
      </c>
      <c r="H317" s="2">
        <v>4</v>
      </c>
      <c r="I317" s="3" t="s">
        <v>2317</v>
      </c>
      <c r="J317" t="s">
        <v>2365</v>
      </c>
      <c r="M317" s="3" t="s">
        <v>2300</v>
      </c>
      <c r="N317" s="3" t="s">
        <v>2255</v>
      </c>
      <c r="O317" t="s">
        <v>2310</v>
      </c>
    </row>
    <row r="318" spans="1:15" x14ac:dyDescent="0.25">
      <c r="A318" t="s">
        <v>2285</v>
      </c>
      <c r="B318" s="1" t="e">
        <v>#N/A</v>
      </c>
      <c r="C318" s="1" t="e">
        <v>#N/A</v>
      </c>
      <c r="D318" s="1" t="e">
        <v>#N/A</v>
      </c>
      <c r="E318" s="1" t="s">
        <v>2432</v>
      </c>
      <c r="F318" s="2" t="s">
        <v>2300</v>
      </c>
      <c r="G318" s="1" t="s">
        <v>2304</v>
      </c>
      <c r="H318" s="2">
        <v>4</v>
      </c>
      <c r="I318" s="3" t="s">
        <v>2317</v>
      </c>
      <c r="J318" t="s">
        <v>2365</v>
      </c>
      <c r="M318" s="3" t="s">
        <v>2300</v>
      </c>
      <c r="N318" s="3" t="s">
        <v>2255</v>
      </c>
      <c r="O318" t="s">
        <v>2310</v>
      </c>
    </row>
    <row r="319" spans="1:15" x14ac:dyDescent="0.25">
      <c r="A319" t="s">
        <v>2285</v>
      </c>
      <c r="B319" s="1" t="e">
        <v>#N/A</v>
      </c>
      <c r="C319" s="1" t="e">
        <v>#N/A</v>
      </c>
      <c r="D319" s="1" t="e">
        <v>#N/A</v>
      </c>
      <c r="E319" s="1" t="s">
        <v>2432</v>
      </c>
      <c r="F319" s="2" t="s">
        <v>2300</v>
      </c>
      <c r="G319" s="1" t="s">
        <v>2304</v>
      </c>
      <c r="H319" s="2">
        <v>4</v>
      </c>
      <c r="I319" s="3" t="s">
        <v>2317</v>
      </c>
      <c r="J319" t="s">
        <v>2365</v>
      </c>
      <c r="M319" s="3" t="s">
        <v>2300</v>
      </c>
      <c r="N319" s="3" t="s">
        <v>2255</v>
      </c>
      <c r="O319" t="s">
        <v>2310</v>
      </c>
    </row>
    <row r="320" spans="1:15" x14ac:dyDescent="0.25">
      <c r="A320" t="s">
        <v>2285</v>
      </c>
      <c r="B320" s="1" t="e">
        <v>#N/A</v>
      </c>
      <c r="C320" s="1" t="e">
        <v>#N/A</v>
      </c>
      <c r="D320" s="1" t="e">
        <v>#N/A</v>
      </c>
      <c r="E320" s="1" t="s">
        <v>2432</v>
      </c>
      <c r="F320" s="2" t="s">
        <v>2300</v>
      </c>
      <c r="G320" s="1" t="s">
        <v>2304</v>
      </c>
      <c r="H320" s="2">
        <v>4</v>
      </c>
      <c r="I320" s="3" t="s">
        <v>2317</v>
      </c>
      <c r="J320" t="s">
        <v>2365</v>
      </c>
      <c r="M320" s="3" t="s">
        <v>2300</v>
      </c>
      <c r="N320" s="3" t="s">
        <v>2255</v>
      </c>
      <c r="O320" t="s">
        <v>2310</v>
      </c>
    </row>
    <row r="321" spans="1:15" x14ac:dyDescent="0.25">
      <c r="A321" t="s">
        <v>2285</v>
      </c>
      <c r="B321" s="1" t="e">
        <v>#N/A</v>
      </c>
      <c r="C321" s="1" t="e">
        <v>#N/A</v>
      </c>
      <c r="D321" s="1" t="e">
        <v>#N/A</v>
      </c>
      <c r="E321" s="1" t="s">
        <v>2432</v>
      </c>
      <c r="F321" s="2" t="s">
        <v>2300</v>
      </c>
      <c r="G321" s="1" t="s">
        <v>2304</v>
      </c>
      <c r="H321" s="2">
        <v>4</v>
      </c>
      <c r="I321" s="3" t="s">
        <v>2424</v>
      </c>
      <c r="J321" t="s">
        <v>2365</v>
      </c>
      <c r="M321" s="3" t="s">
        <v>2300</v>
      </c>
      <c r="N321" s="3" t="s">
        <v>2255</v>
      </c>
      <c r="O321" t="s">
        <v>2310</v>
      </c>
    </row>
    <row r="322" spans="1:15" x14ac:dyDescent="0.25">
      <c r="A322" t="s">
        <v>2285</v>
      </c>
      <c r="B322" s="1" t="e">
        <v>#N/A</v>
      </c>
      <c r="C322" s="1" t="e">
        <v>#N/A</v>
      </c>
      <c r="D322" s="1" t="e">
        <v>#N/A</v>
      </c>
      <c r="E322" s="1" t="s">
        <v>2432</v>
      </c>
      <c r="F322" s="2" t="s">
        <v>2300</v>
      </c>
      <c r="G322" s="1" t="s">
        <v>2304</v>
      </c>
      <c r="H322" s="2">
        <v>4</v>
      </c>
      <c r="I322" s="3" t="s">
        <v>72</v>
      </c>
      <c r="J322" t="s">
        <v>2365</v>
      </c>
      <c r="M322" s="3" t="s">
        <v>2300</v>
      </c>
      <c r="N322" s="3" t="s">
        <v>2255</v>
      </c>
      <c r="O322" t="s">
        <v>2310</v>
      </c>
    </row>
    <row r="323" spans="1:15" x14ac:dyDescent="0.25">
      <c r="A323" t="s">
        <v>2285</v>
      </c>
      <c r="B323" s="1" t="e">
        <v>#N/A</v>
      </c>
      <c r="C323" s="1" t="e">
        <v>#N/A</v>
      </c>
      <c r="D323" s="1" t="e">
        <v>#N/A</v>
      </c>
      <c r="E323" s="1" t="s">
        <v>2432</v>
      </c>
      <c r="F323" s="2" t="s">
        <v>2300</v>
      </c>
      <c r="G323" s="1" t="s">
        <v>2303</v>
      </c>
      <c r="H323" s="2">
        <v>4</v>
      </c>
      <c r="I323" s="3" t="s">
        <v>2321</v>
      </c>
      <c r="J323" t="s">
        <v>2365</v>
      </c>
      <c r="M323" s="3" t="s">
        <v>2300</v>
      </c>
      <c r="N323" s="3" t="s">
        <v>2256</v>
      </c>
      <c r="O323" t="s">
        <v>2310</v>
      </c>
    </row>
    <row r="324" spans="1:15" x14ac:dyDescent="0.25">
      <c r="A324" t="s">
        <v>2285</v>
      </c>
      <c r="B324" s="1" t="e">
        <v>#N/A</v>
      </c>
      <c r="C324" s="1" t="e">
        <v>#N/A</v>
      </c>
      <c r="D324" s="1" t="e">
        <v>#N/A</v>
      </c>
      <c r="E324" s="1" t="s">
        <v>2298</v>
      </c>
      <c r="F324" s="2" t="s">
        <v>2300</v>
      </c>
      <c r="G324" s="1" t="s">
        <v>2304</v>
      </c>
      <c r="H324" s="2">
        <v>4</v>
      </c>
      <c r="I324" s="3" t="s">
        <v>19</v>
      </c>
      <c r="J324" t="s">
        <v>2365</v>
      </c>
      <c r="M324" s="3" t="s">
        <v>2300</v>
      </c>
      <c r="N324" s="3" t="s">
        <v>2255</v>
      </c>
      <c r="O324" t="s">
        <v>2310</v>
      </c>
    </row>
    <row r="325" spans="1:15" x14ac:dyDescent="0.25">
      <c r="A325" t="s">
        <v>2285</v>
      </c>
      <c r="B325" s="1" t="e">
        <v>#N/A</v>
      </c>
      <c r="C325" s="1" t="e">
        <v>#N/A</v>
      </c>
      <c r="D325" s="1" t="e">
        <v>#N/A</v>
      </c>
      <c r="E325" s="1" t="s">
        <v>2298</v>
      </c>
      <c r="F325" s="2" t="s">
        <v>2300</v>
      </c>
      <c r="G325" s="1" t="s">
        <v>2304</v>
      </c>
      <c r="H325" s="2">
        <v>1</v>
      </c>
      <c r="I325" s="3" t="s">
        <v>2433</v>
      </c>
      <c r="J325" t="s">
        <v>2365</v>
      </c>
      <c r="M325" s="3" t="s">
        <v>2300</v>
      </c>
      <c r="N325" s="3" t="s">
        <v>2255</v>
      </c>
      <c r="O325" t="s">
        <v>2310</v>
      </c>
    </row>
    <row r="326" spans="1:15" x14ac:dyDescent="0.25">
      <c r="A326" t="s">
        <v>2285</v>
      </c>
      <c r="B326" s="1" t="e">
        <v>#N/A</v>
      </c>
      <c r="C326" s="1" t="e">
        <v>#N/A</v>
      </c>
      <c r="D326" s="1" t="e">
        <v>#N/A</v>
      </c>
      <c r="E326" s="1" t="s">
        <v>2298</v>
      </c>
      <c r="F326" s="2" t="s">
        <v>2300</v>
      </c>
      <c r="G326" s="1" t="s">
        <v>2304</v>
      </c>
      <c r="H326" s="2">
        <v>1</v>
      </c>
      <c r="I326" s="3" t="s">
        <v>24</v>
      </c>
      <c r="J326" t="s">
        <v>2365</v>
      </c>
      <c r="M326" s="3" t="s">
        <v>2300</v>
      </c>
      <c r="N326" s="3" t="s">
        <v>2255</v>
      </c>
      <c r="O326" t="s">
        <v>2310</v>
      </c>
    </row>
    <row r="327" spans="1:15" x14ac:dyDescent="0.25">
      <c r="A327" t="s">
        <v>2285</v>
      </c>
      <c r="B327" s="1" t="e">
        <v>#N/A</v>
      </c>
      <c r="C327" s="1" t="e">
        <v>#N/A</v>
      </c>
      <c r="D327" s="1" t="e">
        <v>#N/A</v>
      </c>
      <c r="E327" s="1" t="s">
        <v>2298</v>
      </c>
      <c r="F327" s="2" t="s">
        <v>2300</v>
      </c>
      <c r="G327" s="1" t="s">
        <v>2304</v>
      </c>
      <c r="H327" s="2">
        <v>1</v>
      </c>
      <c r="I327" s="3" t="s">
        <v>122</v>
      </c>
      <c r="J327" t="s">
        <v>2365</v>
      </c>
      <c r="M327" s="3" t="s">
        <v>2300</v>
      </c>
      <c r="N327" s="3" t="s">
        <v>2255</v>
      </c>
      <c r="O327" t="s">
        <v>2310</v>
      </c>
    </row>
    <row r="328" spans="1:15" x14ac:dyDescent="0.25">
      <c r="A328" t="s">
        <v>2285</v>
      </c>
      <c r="B328" s="1" t="e">
        <v>#N/A</v>
      </c>
      <c r="C328" s="1" t="e">
        <v>#N/A</v>
      </c>
      <c r="D328" s="1" t="e">
        <v>#N/A</v>
      </c>
      <c r="E328" s="1" t="s">
        <v>2298</v>
      </c>
      <c r="F328" s="2" t="s">
        <v>2300</v>
      </c>
      <c r="G328" s="1" t="s">
        <v>2303</v>
      </c>
      <c r="H328" s="2">
        <v>1</v>
      </c>
      <c r="I328" s="3" t="s">
        <v>2434</v>
      </c>
      <c r="J328" t="s">
        <v>2365</v>
      </c>
      <c r="M328" s="3" t="s">
        <v>2300</v>
      </c>
      <c r="N328" s="3" t="s">
        <v>2256</v>
      </c>
      <c r="O328" t="s">
        <v>2310</v>
      </c>
    </row>
    <row r="329" spans="1:15" x14ac:dyDescent="0.25">
      <c r="A329" t="s">
        <v>2285</v>
      </c>
      <c r="B329" s="1" t="e">
        <v>#N/A</v>
      </c>
      <c r="C329" s="1" t="e">
        <v>#N/A</v>
      </c>
      <c r="D329" s="1" t="e">
        <v>#N/A</v>
      </c>
      <c r="E329" s="1" t="s">
        <v>2298</v>
      </c>
      <c r="F329" s="2" t="s">
        <v>2300</v>
      </c>
      <c r="G329" s="1" t="s">
        <v>2303</v>
      </c>
      <c r="H329" s="2">
        <v>1</v>
      </c>
      <c r="I329" s="3" t="s">
        <v>2421</v>
      </c>
      <c r="J329" t="s">
        <v>2365</v>
      </c>
      <c r="M329" s="3" t="s">
        <v>2300</v>
      </c>
      <c r="N329" s="3" t="s">
        <v>2256</v>
      </c>
      <c r="O329" t="s">
        <v>2310</v>
      </c>
    </row>
    <row r="330" spans="1:15" x14ac:dyDescent="0.25">
      <c r="A330" t="s">
        <v>2285</v>
      </c>
      <c r="B330" s="1" t="e">
        <v>#N/A</v>
      </c>
      <c r="C330" s="1" t="e">
        <v>#N/A</v>
      </c>
      <c r="D330" s="1" t="e">
        <v>#N/A</v>
      </c>
      <c r="E330" s="1" t="s">
        <v>2298</v>
      </c>
      <c r="F330" s="2" t="s">
        <v>2300</v>
      </c>
      <c r="G330" s="1" t="s">
        <v>2303</v>
      </c>
      <c r="H330" s="2">
        <v>1</v>
      </c>
      <c r="I330" s="3" t="s">
        <v>2435</v>
      </c>
      <c r="J330" t="s">
        <v>2365</v>
      </c>
      <c r="M330" s="3" t="s">
        <v>2300</v>
      </c>
      <c r="N330" s="3" t="s">
        <v>2256</v>
      </c>
      <c r="O330" t="s">
        <v>2310</v>
      </c>
    </row>
    <row r="331" spans="1:15" x14ac:dyDescent="0.25">
      <c r="A331" t="s">
        <v>2285</v>
      </c>
      <c r="B331" s="1" t="e">
        <v>#N/A</v>
      </c>
      <c r="C331" s="1" t="e">
        <v>#N/A</v>
      </c>
      <c r="D331" s="1" t="e">
        <v>#N/A</v>
      </c>
      <c r="E331" s="1" t="s">
        <v>2432</v>
      </c>
      <c r="F331" s="2" t="s">
        <v>2300</v>
      </c>
      <c r="G331" s="1" t="s">
        <v>2303</v>
      </c>
      <c r="H331" s="2">
        <v>1</v>
      </c>
      <c r="I331" s="3" t="s">
        <v>2436</v>
      </c>
      <c r="J331" t="s">
        <v>2365</v>
      </c>
      <c r="M331" s="3" t="s">
        <v>2300</v>
      </c>
      <c r="N331" s="3" t="s">
        <v>2256</v>
      </c>
      <c r="O331" t="s">
        <v>2310</v>
      </c>
    </row>
    <row r="332" spans="1:15" x14ac:dyDescent="0.25">
      <c r="A332" t="s">
        <v>2285</v>
      </c>
      <c r="B332" s="1" t="e">
        <v>#N/A</v>
      </c>
      <c r="C332" s="1" t="e">
        <v>#N/A</v>
      </c>
      <c r="D332" s="1" t="e">
        <v>#N/A</v>
      </c>
      <c r="E332" s="1" t="s">
        <v>2432</v>
      </c>
      <c r="F332" s="2" t="s">
        <v>2300</v>
      </c>
      <c r="G332" s="1" t="s">
        <v>2304</v>
      </c>
      <c r="H332" s="2">
        <v>1</v>
      </c>
      <c r="I332" s="3" t="s">
        <v>2315</v>
      </c>
      <c r="J332" t="s">
        <v>2365</v>
      </c>
      <c r="M332" s="3" t="s">
        <v>2300</v>
      </c>
      <c r="N332" s="3" t="s">
        <v>2255</v>
      </c>
      <c r="O332" t="s">
        <v>2310</v>
      </c>
    </row>
    <row r="333" spans="1:15" x14ac:dyDescent="0.25">
      <c r="A333" t="s">
        <v>2285</v>
      </c>
      <c r="B333" s="1" t="e">
        <v>#N/A</v>
      </c>
      <c r="C333" s="1" t="e">
        <v>#N/A</v>
      </c>
      <c r="D333" s="1" t="e">
        <v>#N/A</v>
      </c>
      <c r="E333" s="1" t="s">
        <v>2432</v>
      </c>
      <c r="F333" s="2" t="s">
        <v>2300</v>
      </c>
      <c r="G333" s="1" t="s">
        <v>2304</v>
      </c>
      <c r="H333" s="2">
        <v>1</v>
      </c>
      <c r="I333" s="3" t="s">
        <v>5</v>
      </c>
      <c r="J333" t="s">
        <v>2365</v>
      </c>
      <c r="M333" s="3" t="s">
        <v>2300</v>
      </c>
      <c r="N333" s="3" t="s">
        <v>2255</v>
      </c>
      <c r="O333" t="s">
        <v>2310</v>
      </c>
    </row>
    <row r="334" spans="1:15" x14ac:dyDescent="0.25">
      <c r="A334" t="s">
        <v>2285</v>
      </c>
      <c r="B334" s="1" t="e">
        <v>#N/A</v>
      </c>
      <c r="C334" s="1" t="e">
        <v>#N/A</v>
      </c>
      <c r="D334" s="1" t="e">
        <v>#N/A</v>
      </c>
      <c r="E334" s="1" t="s">
        <v>2432</v>
      </c>
      <c r="F334" s="2" t="s">
        <v>2300</v>
      </c>
      <c r="G334" s="1" t="s">
        <v>2304</v>
      </c>
      <c r="H334" s="2">
        <v>1</v>
      </c>
      <c r="I334" s="3" t="s">
        <v>2</v>
      </c>
      <c r="J334" t="s">
        <v>2365</v>
      </c>
      <c r="M334" s="3" t="s">
        <v>2301</v>
      </c>
      <c r="N334" s="3" t="s">
        <v>2255</v>
      </c>
      <c r="O334" t="s">
        <v>2310</v>
      </c>
    </row>
    <row r="335" spans="1:15" x14ac:dyDescent="0.25">
      <c r="A335" t="s">
        <v>2285</v>
      </c>
      <c r="B335" s="1" t="e">
        <v>#N/A</v>
      </c>
      <c r="C335" s="1" t="e">
        <v>#N/A</v>
      </c>
      <c r="D335" s="1" t="e">
        <v>#N/A</v>
      </c>
      <c r="E335" s="1" t="s">
        <v>2432</v>
      </c>
      <c r="F335" s="2" t="s">
        <v>2300</v>
      </c>
      <c r="G335" s="1" t="s">
        <v>2304</v>
      </c>
      <c r="H335" s="2">
        <v>1</v>
      </c>
      <c r="I335" s="3" t="s">
        <v>2</v>
      </c>
      <c r="J335" t="s">
        <v>2365</v>
      </c>
      <c r="M335" s="3" t="s">
        <v>2300</v>
      </c>
      <c r="N335" s="3" t="s">
        <v>2255</v>
      </c>
      <c r="O335" t="s">
        <v>2310</v>
      </c>
    </row>
    <row r="336" spans="1:15" x14ac:dyDescent="0.25">
      <c r="A336" t="s">
        <v>2285</v>
      </c>
      <c r="B336" s="1" t="e">
        <v>#N/A</v>
      </c>
      <c r="C336" s="1" t="e">
        <v>#N/A</v>
      </c>
      <c r="D336" s="1" t="e">
        <v>#N/A</v>
      </c>
      <c r="E336" s="1" t="s">
        <v>2432</v>
      </c>
      <c r="F336" s="2" t="s">
        <v>2300</v>
      </c>
      <c r="G336" s="1" t="s">
        <v>2304</v>
      </c>
      <c r="H336" s="2">
        <v>1</v>
      </c>
      <c r="I336" s="3" t="s">
        <v>2317</v>
      </c>
      <c r="J336" t="s">
        <v>2365</v>
      </c>
      <c r="M336" s="3" t="s">
        <v>2301</v>
      </c>
      <c r="N336" s="3" t="s">
        <v>2255</v>
      </c>
      <c r="O336" t="s">
        <v>2310</v>
      </c>
    </row>
    <row r="337" spans="1:15" x14ac:dyDescent="0.25">
      <c r="A337" t="s">
        <v>2285</v>
      </c>
      <c r="B337" s="1" t="e">
        <v>#N/A</v>
      </c>
      <c r="C337" s="1" t="e">
        <v>#N/A</v>
      </c>
      <c r="D337" s="1" t="e">
        <v>#N/A</v>
      </c>
      <c r="E337" s="1" t="s">
        <v>2432</v>
      </c>
      <c r="F337" s="2" t="s">
        <v>2300</v>
      </c>
      <c r="G337" s="1" t="s">
        <v>2304</v>
      </c>
      <c r="H337" s="2">
        <v>1</v>
      </c>
      <c r="I337" s="3" t="s">
        <v>2416</v>
      </c>
      <c r="J337" t="s">
        <v>2365</v>
      </c>
      <c r="M337" s="3" t="s">
        <v>2300</v>
      </c>
      <c r="N337" s="3" t="s">
        <v>2255</v>
      </c>
      <c r="O337" t="s">
        <v>2310</v>
      </c>
    </row>
    <row r="338" spans="1:15" x14ac:dyDescent="0.25">
      <c r="A338" t="s">
        <v>2285</v>
      </c>
      <c r="B338" s="1" t="e">
        <v>#N/A</v>
      </c>
      <c r="C338" s="1" t="e">
        <v>#N/A</v>
      </c>
      <c r="D338" s="1" t="e">
        <v>#N/A</v>
      </c>
      <c r="E338" s="1" t="s">
        <v>2432</v>
      </c>
      <c r="F338" s="2" t="s">
        <v>2300</v>
      </c>
      <c r="G338" s="1" t="s">
        <v>2303</v>
      </c>
      <c r="H338" s="2">
        <v>1</v>
      </c>
      <c r="I338" s="3" t="s">
        <v>2316</v>
      </c>
      <c r="J338" t="s">
        <v>2365</v>
      </c>
      <c r="M338" s="3" t="s">
        <v>2300</v>
      </c>
      <c r="N338" s="3" t="s">
        <v>2256</v>
      </c>
      <c r="O338" t="s">
        <v>2310</v>
      </c>
    </row>
    <row r="339" spans="1:15" x14ac:dyDescent="0.25">
      <c r="A339" t="s">
        <v>2285</v>
      </c>
      <c r="B339" s="1" t="e">
        <v>#N/A</v>
      </c>
      <c r="C339" s="1" t="e">
        <v>#N/A</v>
      </c>
      <c r="D339" s="1" t="e">
        <v>#N/A</v>
      </c>
      <c r="E339" s="1" t="s">
        <v>2432</v>
      </c>
      <c r="F339" s="2" t="s">
        <v>2300</v>
      </c>
      <c r="G339" s="1" t="s">
        <v>2304</v>
      </c>
      <c r="H339" s="2">
        <v>1</v>
      </c>
      <c r="I339" s="3" t="s">
        <v>2317</v>
      </c>
      <c r="J339" t="s">
        <v>2365</v>
      </c>
      <c r="M339" s="3" t="s">
        <v>2300</v>
      </c>
      <c r="N339" s="3" t="s">
        <v>2255</v>
      </c>
      <c r="O339" t="s">
        <v>2310</v>
      </c>
    </row>
    <row r="340" spans="1:15" x14ac:dyDescent="0.25">
      <c r="A340" t="s">
        <v>2285</v>
      </c>
      <c r="B340" s="1" t="e">
        <v>#N/A</v>
      </c>
      <c r="C340" s="1" t="e">
        <v>#N/A</v>
      </c>
      <c r="D340" s="1" t="e">
        <v>#N/A</v>
      </c>
      <c r="E340" s="1" t="s">
        <v>2432</v>
      </c>
      <c r="F340" s="2" t="s">
        <v>2300</v>
      </c>
      <c r="G340" s="1" t="s">
        <v>2304</v>
      </c>
      <c r="H340" s="2">
        <v>1</v>
      </c>
      <c r="I340" s="3" t="s">
        <v>1</v>
      </c>
      <c r="J340" t="s">
        <v>2365</v>
      </c>
      <c r="M340" s="3" t="s">
        <v>2300</v>
      </c>
      <c r="N340" s="3" t="s">
        <v>2255</v>
      </c>
      <c r="O340" t="s">
        <v>2310</v>
      </c>
    </row>
    <row r="341" spans="1:15" x14ac:dyDescent="0.25">
      <c r="A341" t="s">
        <v>2285</v>
      </c>
      <c r="B341" s="1" t="e">
        <v>#N/A</v>
      </c>
      <c r="C341" s="1" t="e">
        <v>#N/A</v>
      </c>
      <c r="D341" s="1" t="e">
        <v>#N/A</v>
      </c>
      <c r="E341" s="1" t="s">
        <v>2432</v>
      </c>
      <c r="F341" s="2" t="s">
        <v>2300</v>
      </c>
      <c r="G341" s="1" t="s">
        <v>2304</v>
      </c>
      <c r="H341" s="2">
        <v>1</v>
      </c>
      <c r="I341" s="3" t="s">
        <v>2317</v>
      </c>
      <c r="J341" t="s">
        <v>2365</v>
      </c>
      <c r="M341" s="3" t="s">
        <v>2300</v>
      </c>
      <c r="N341" s="3" t="s">
        <v>2255</v>
      </c>
      <c r="O341" t="s">
        <v>2310</v>
      </c>
    </row>
    <row r="342" spans="1:15" x14ac:dyDescent="0.25">
      <c r="A342" t="s">
        <v>2285</v>
      </c>
      <c r="B342" s="1" t="e">
        <v>#N/A</v>
      </c>
      <c r="C342" s="1" t="e">
        <v>#N/A</v>
      </c>
      <c r="D342" s="1" t="e">
        <v>#N/A</v>
      </c>
      <c r="E342" s="1" t="s">
        <v>2432</v>
      </c>
      <c r="F342" s="2" t="s">
        <v>2300</v>
      </c>
      <c r="G342" s="1" t="s">
        <v>2304</v>
      </c>
      <c r="H342" s="2">
        <v>1</v>
      </c>
      <c r="I342" s="3" t="s">
        <v>2</v>
      </c>
      <c r="J342" t="s">
        <v>2365</v>
      </c>
      <c r="M342" s="3" t="s">
        <v>2300</v>
      </c>
      <c r="N342" s="3" t="s">
        <v>2255</v>
      </c>
      <c r="O342" t="s">
        <v>2310</v>
      </c>
    </row>
    <row r="343" spans="1:15" x14ac:dyDescent="0.25">
      <c r="A343" t="s">
        <v>2285</v>
      </c>
      <c r="B343" s="1" t="e">
        <v>#N/A</v>
      </c>
      <c r="C343" s="1" t="e">
        <v>#N/A</v>
      </c>
      <c r="D343" s="1" t="e">
        <v>#N/A</v>
      </c>
      <c r="E343" s="1" t="s">
        <v>2432</v>
      </c>
      <c r="F343" s="2" t="s">
        <v>2300</v>
      </c>
      <c r="G343" s="1" t="s">
        <v>2304</v>
      </c>
      <c r="H343" s="2">
        <v>1</v>
      </c>
      <c r="I343" s="3" t="s">
        <v>9</v>
      </c>
      <c r="J343" t="s">
        <v>2365</v>
      </c>
      <c r="M343" s="3" t="s">
        <v>2300</v>
      </c>
      <c r="N343" s="3" t="s">
        <v>2255</v>
      </c>
      <c r="O343" t="s">
        <v>2310</v>
      </c>
    </row>
    <row r="344" spans="1:15" x14ac:dyDescent="0.25">
      <c r="A344" t="s">
        <v>2285</v>
      </c>
      <c r="B344" s="1" t="e">
        <v>#N/A</v>
      </c>
      <c r="C344" s="1" t="e">
        <v>#N/A</v>
      </c>
      <c r="D344" s="1" t="e">
        <v>#N/A</v>
      </c>
      <c r="E344" s="1" t="s">
        <v>2432</v>
      </c>
      <c r="F344" s="2" t="s">
        <v>2300</v>
      </c>
      <c r="G344" s="1" t="s">
        <v>2304</v>
      </c>
      <c r="H344" s="2">
        <v>1</v>
      </c>
      <c r="I344" s="3" t="s">
        <v>2375</v>
      </c>
      <c r="J344" t="s">
        <v>2365</v>
      </c>
      <c r="M344" s="3" t="s">
        <v>2300</v>
      </c>
      <c r="N344" s="3" t="s">
        <v>2255</v>
      </c>
      <c r="O344" t="s">
        <v>2310</v>
      </c>
    </row>
    <row r="345" spans="1:15" x14ac:dyDescent="0.25">
      <c r="A345" t="s">
        <v>2285</v>
      </c>
      <c r="B345" s="1" t="e">
        <v>#N/A</v>
      </c>
      <c r="C345" s="1" t="e">
        <v>#N/A</v>
      </c>
      <c r="D345" s="1" t="e">
        <v>#N/A</v>
      </c>
      <c r="E345" s="1" t="s">
        <v>2432</v>
      </c>
      <c r="F345" s="2" t="s">
        <v>2300</v>
      </c>
      <c r="G345" s="1" t="s">
        <v>2304</v>
      </c>
      <c r="H345" s="2">
        <v>1</v>
      </c>
      <c r="I345" s="3" t="s">
        <v>2</v>
      </c>
      <c r="J345" t="s">
        <v>2365</v>
      </c>
      <c r="M345" s="3" t="s">
        <v>2300</v>
      </c>
      <c r="N345" s="3" t="s">
        <v>2255</v>
      </c>
      <c r="O345" t="s">
        <v>2310</v>
      </c>
    </row>
    <row r="346" spans="1:15" x14ac:dyDescent="0.25">
      <c r="A346" t="s">
        <v>2285</v>
      </c>
      <c r="B346" s="1" t="e">
        <v>#N/A</v>
      </c>
      <c r="C346" s="1" t="e">
        <v>#N/A</v>
      </c>
      <c r="D346" s="1" t="e">
        <v>#N/A</v>
      </c>
      <c r="E346" s="1" t="s">
        <v>2432</v>
      </c>
      <c r="F346" s="2" t="s">
        <v>2300</v>
      </c>
      <c r="G346" s="1" t="s">
        <v>2304</v>
      </c>
      <c r="H346" s="2">
        <v>1</v>
      </c>
      <c r="I346" s="3" t="s">
        <v>18</v>
      </c>
      <c r="J346" t="s">
        <v>2365</v>
      </c>
      <c r="M346" s="3" t="s">
        <v>2300</v>
      </c>
      <c r="N346" s="3" t="s">
        <v>2255</v>
      </c>
      <c r="O346" t="s">
        <v>2310</v>
      </c>
    </row>
    <row r="347" spans="1:15" x14ac:dyDescent="0.25">
      <c r="A347" t="s">
        <v>2285</v>
      </c>
      <c r="B347" s="1" t="e">
        <v>#N/A</v>
      </c>
      <c r="C347" s="1" t="e">
        <v>#N/A</v>
      </c>
      <c r="D347" s="1" t="e">
        <v>#N/A</v>
      </c>
      <c r="E347" s="1" t="s">
        <v>2432</v>
      </c>
      <c r="F347" s="2" t="s">
        <v>2300</v>
      </c>
      <c r="G347" s="1" t="s">
        <v>2304</v>
      </c>
      <c r="H347" s="2">
        <v>1</v>
      </c>
      <c r="I347" s="3" t="s">
        <v>5</v>
      </c>
      <c r="J347" t="s">
        <v>2365</v>
      </c>
      <c r="M347" s="3" t="s">
        <v>2300</v>
      </c>
      <c r="N347" s="3" t="s">
        <v>2255</v>
      </c>
      <c r="O347" t="s">
        <v>2310</v>
      </c>
    </row>
    <row r="348" spans="1:15" x14ac:dyDescent="0.25">
      <c r="A348" t="s">
        <v>2285</v>
      </c>
      <c r="B348" s="1" t="e">
        <v>#N/A</v>
      </c>
      <c r="C348" s="1" t="e">
        <v>#N/A</v>
      </c>
      <c r="D348" s="1" t="e">
        <v>#N/A</v>
      </c>
      <c r="E348" s="1" t="s">
        <v>2432</v>
      </c>
      <c r="F348" s="2" t="s">
        <v>2300</v>
      </c>
      <c r="G348" s="1" t="s">
        <v>2304</v>
      </c>
      <c r="H348" s="2">
        <v>1</v>
      </c>
      <c r="I348" s="3" t="s">
        <v>2317</v>
      </c>
      <c r="J348" t="s">
        <v>2365</v>
      </c>
      <c r="M348" s="3" t="s">
        <v>2300</v>
      </c>
      <c r="N348" s="3" t="s">
        <v>2255</v>
      </c>
      <c r="O348" t="s">
        <v>2310</v>
      </c>
    </row>
    <row r="349" spans="1:15" x14ac:dyDescent="0.25">
      <c r="A349" t="s">
        <v>2285</v>
      </c>
      <c r="B349" s="1" t="e">
        <v>#N/A</v>
      </c>
      <c r="C349" s="1" t="e">
        <v>#N/A</v>
      </c>
      <c r="D349" s="1" t="e">
        <v>#N/A</v>
      </c>
      <c r="E349" s="1" t="s">
        <v>2432</v>
      </c>
      <c r="F349" s="2" t="s">
        <v>2300</v>
      </c>
      <c r="G349" s="1" t="s">
        <v>2304</v>
      </c>
      <c r="H349" s="2">
        <v>1</v>
      </c>
      <c r="I349" s="3" t="s">
        <v>12</v>
      </c>
      <c r="J349" t="s">
        <v>2365</v>
      </c>
      <c r="M349" s="3" t="s">
        <v>2300</v>
      </c>
      <c r="N349" s="3" t="s">
        <v>2255</v>
      </c>
      <c r="O349" t="s">
        <v>2310</v>
      </c>
    </row>
    <row r="350" spans="1:15" x14ac:dyDescent="0.25">
      <c r="A350" t="s">
        <v>2285</v>
      </c>
      <c r="B350" s="1" t="e">
        <v>#N/A</v>
      </c>
      <c r="C350" s="1" t="e">
        <v>#N/A</v>
      </c>
      <c r="D350" s="1" t="e">
        <v>#N/A</v>
      </c>
      <c r="E350" s="1" t="s">
        <v>2432</v>
      </c>
      <c r="F350" s="2" t="s">
        <v>2300</v>
      </c>
      <c r="G350" s="1" t="s">
        <v>2304</v>
      </c>
      <c r="H350" s="2">
        <v>1</v>
      </c>
      <c r="I350" s="3" t="s">
        <v>2317</v>
      </c>
      <c r="J350" t="s">
        <v>2365</v>
      </c>
      <c r="M350" s="3" t="s">
        <v>2300</v>
      </c>
      <c r="N350" s="3" t="s">
        <v>2255</v>
      </c>
      <c r="O350" t="s">
        <v>2310</v>
      </c>
    </row>
    <row r="351" spans="1:15" x14ac:dyDescent="0.25">
      <c r="A351" t="s">
        <v>2285</v>
      </c>
      <c r="B351" s="1" t="e">
        <v>#N/A</v>
      </c>
      <c r="C351" s="1" t="e">
        <v>#N/A</v>
      </c>
      <c r="D351" s="1" t="e">
        <v>#N/A</v>
      </c>
      <c r="E351" s="1" t="s">
        <v>2432</v>
      </c>
      <c r="F351" s="2" t="s">
        <v>2300</v>
      </c>
      <c r="G351" s="1" t="s">
        <v>2304</v>
      </c>
      <c r="H351" s="2">
        <v>1</v>
      </c>
      <c r="I351" s="3" t="s">
        <v>2321</v>
      </c>
      <c r="J351" t="s">
        <v>2365</v>
      </c>
      <c r="M351" s="3" t="s">
        <v>2300</v>
      </c>
      <c r="N351" s="3" t="s">
        <v>2255</v>
      </c>
      <c r="O351" t="s">
        <v>2310</v>
      </c>
    </row>
    <row r="352" spans="1:15" x14ac:dyDescent="0.25">
      <c r="A352" t="s">
        <v>2285</v>
      </c>
      <c r="B352" s="1" t="e">
        <v>#N/A</v>
      </c>
      <c r="C352" s="1" t="e">
        <v>#N/A</v>
      </c>
      <c r="D352" s="1" t="e">
        <v>#N/A</v>
      </c>
      <c r="E352" s="1" t="s">
        <v>2432</v>
      </c>
      <c r="F352" s="2" t="s">
        <v>2300</v>
      </c>
      <c r="G352" s="1" t="s">
        <v>2303</v>
      </c>
      <c r="H352" s="2">
        <v>1</v>
      </c>
      <c r="I352" s="3" t="s">
        <v>1</v>
      </c>
      <c r="J352" t="s">
        <v>2365</v>
      </c>
      <c r="M352" s="3" t="s">
        <v>2300</v>
      </c>
      <c r="N352" s="3" t="s">
        <v>2256</v>
      </c>
      <c r="O352" t="s">
        <v>2310</v>
      </c>
    </row>
    <row r="353" spans="1:15" x14ac:dyDescent="0.25">
      <c r="A353" t="s">
        <v>2285</v>
      </c>
      <c r="B353" s="1" t="e">
        <v>#N/A</v>
      </c>
      <c r="C353" s="1" t="e">
        <v>#N/A</v>
      </c>
      <c r="D353" s="1" t="e">
        <v>#N/A</v>
      </c>
      <c r="E353" s="1" t="s">
        <v>2432</v>
      </c>
      <c r="F353" s="2" t="s">
        <v>2300</v>
      </c>
      <c r="G353" s="1" t="s">
        <v>2303</v>
      </c>
      <c r="H353" s="2">
        <v>1</v>
      </c>
      <c r="I353" s="3" t="s">
        <v>2327</v>
      </c>
      <c r="J353" t="s">
        <v>2365</v>
      </c>
      <c r="M353" s="3" t="s">
        <v>2300</v>
      </c>
      <c r="N353" s="3" t="s">
        <v>2256</v>
      </c>
      <c r="O353" t="s">
        <v>2310</v>
      </c>
    </row>
    <row r="354" spans="1:15" x14ac:dyDescent="0.25">
      <c r="A354" t="s">
        <v>2285</v>
      </c>
      <c r="B354" s="1" t="e">
        <v>#N/A</v>
      </c>
      <c r="C354" s="1" t="e">
        <v>#N/A</v>
      </c>
      <c r="D354" s="1" t="e">
        <v>#N/A</v>
      </c>
      <c r="E354" s="1" t="s">
        <v>2432</v>
      </c>
      <c r="F354" s="2" t="s">
        <v>2300</v>
      </c>
      <c r="G354" s="1" t="s">
        <v>2303</v>
      </c>
      <c r="H354" s="2">
        <v>1</v>
      </c>
      <c r="I354" s="3" t="s">
        <v>2318</v>
      </c>
      <c r="J354" t="s">
        <v>2365</v>
      </c>
      <c r="M354" s="3" t="s">
        <v>2300</v>
      </c>
      <c r="N354" s="3" t="s">
        <v>2256</v>
      </c>
      <c r="O354" t="s">
        <v>2310</v>
      </c>
    </row>
    <row r="355" spans="1:15" x14ac:dyDescent="0.25">
      <c r="A355" t="s">
        <v>2285</v>
      </c>
      <c r="B355" s="1" t="e">
        <v>#N/A</v>
      </c>
      <c r="C355" s="1" t="e">
        <v>#N/A</v>
      </c>
      <c r="D355" s="1" t="e">
        <v>#N/A</v>
      </c>
      <c r="E355" s="1" t="s">
        <v>2432</v>
      </c>
      <c r="F355" s="2" t="s">
        <v>2300</v>
      </c>
      <c r="G355" s="1" t="s">
        <v>2304</v>
      </c>
      <c r="H355" s="2">
        <v>1</v>
      </c>
      <c r="I355" s="3" t="s">
        <v>38</v>
      </c>
      <c r="J355" t="s">
        <v>2365</v>
      </c>
      <c r="M355" s="3" t="s">
        <v>2300</v>
      </c>
      <c r="N355" s="3" t="s">
        <v>2255</v>
      </c>
      <c r="O355" t="s">
        <v>2310</v>
      </c>
    </row>
    <row r="356" spans="1:15" x14ac:dyDescent="0.25">
      <c r="A356" t="s">
        <v>2285</v>
      </c>
      <c r="B356" s="1" t="e">
        <v>#N/A</v>
      </c>
      <c r="C356" s="1" t="e">
        <v>#N/A</v>
      </c>
      <c r="D356" s="1" t="e">
        <v>#N/A</v>
      </c>
      <c r="E356" s="1" t="s">
        <v>2432</v>
      </c>
      <c r="F356" s="2" t="s">
        <v>2300</v>
      </c>
      <c r="G356" s="1" t="s">
        <v>2304</v>
      </c>
      <c r="H356" s="2">
        <v>1</v>
      </c>
      <c r="I356" s="3" t="s">
        <v>1</v>
      </c>
      <c r="J356" t="s">
        <v>2365</v>
      </c>
      <c r="M356" s="3" t="s">
        <v>2300</v>
      </c>
      <c r="N356" s="3" t="s">
        <v>2255</v>
      </c>
      <c r="O356" t="s">
        <v>2310</v>
      </c>
    </row>
    <row r="357" spans="1:15" x14ac:dyDescent="0.25">
      <c r="A357" t="s">
        <v>2285</v>
      </c>
      <c r="B357" s="1" t="e">
        <v>#N/A</v>
      </c>
      <c r="C357" s="1" t="e">
        <v>#N/A</v>
      </c>
      <c r="D357" s="1" t="e">
        <v>#N/A</v>
      </c>
      <c r="E357" s="1" t="s">
        <v>2432</v>
      </c>
      <c r="F357" s="2" t="s">
        <v>2300</v>
      </c>
      <c r="G357" s="1" t="s">
        <v>2304</v>
      </c>
      <c r="H357" s="2">
        <v>1</v>
      </c>
      <c r="I357" s="3" t="s">
        <v>2356</v>
      </c>
      <c r="J357" t="s">
        <v>2365</v>
      </c>
      <c r="M357" s="3" t="s">
        <v>2300</v>
      </c>
      <c r="N357" s="3" t="s">
        <v>2255</v>
      </c>
      <c r="O357" t="s">
        <v>2310</v>
      </c>
    </row>
    <row r="358" spans="1:15" x14ac:dyDescent="0.25">
      <c r="A358" t="s">
        <v>2285</v>
      </c>
      <c r="B358" s="1" t="e">
        <v>#N/A</v>
      </c>
      <c r="C358" s="1" t="e">
        <v>#N/A</v>
      </c>
      <c r="D358" s="1" t="e">
        <v>#N/A</v>
      </c>
      <c r="E358" s="1" t="s">
        <v>2432</v>
      </c>
      <c r="F358" s="2" t="s">
        <v>2300</v>
      </c>
      <c r="G358" s="1" t="s">
        <v>2305</v>
      </c>
      <c r="H358" s="2">
        <v>1</v>
      </c>
      <c r="I358" s="3" t="s">
        <v>2437</v>
      </c>
      <c r="J358" t="s">
        <v>2365</v>
      </c>
      <c r="M358" s="3" t="s">
        <v>2300</v>
      </c>
      <c r="N358" s="3" t="s">
        <v>2258</v>
      </c>
      <c r="O358" t="s">
        <v>2310</v>
      </c>
    </row>
    <row r="359" spans="1:15" x14ac:dyDescent="0.25">
      <c r="A359" t="s">
        <v>2285</v>
      </c>
      <c r="B359" s="1" t="e">
        <v>#N/A</v>
      </c>
      <c r="C359" s="1" t="e">
        <v>#N/A</v>
      </c>
      <c r="D359" s="1" t="e">
        <v>#N/A</v>
      </c>
      <c r="E359" s="1" t="s">
        <v>2432</v>
      </c>
      <c r="F359" s="2" t="s">
        <v>2300</v>
      </c>
      <c r="G359" s="1" t="s">
        <v>2304</v>
      </c>
      <c r="H359" s="2">
        <v>1</v>
      </c>
      <c r="I359" s="3" t="s">
        <v>2317</v>
      </c>
      <c r="J359" t="s">
        <v>2365</v>
      </c>
      <c r="M359" s="3" t="s">
        <v>2300</v>
      </c>
      <c r="N359" s="3" t="s">
        <v>2255</v>
      </c>
      <c r="O359" t="s">
        <v>2310</v>
      </c>
    </row>
    <row r="360" spans="1:15" x14ac:dyDescent="0.25">
      <c r="A360" t="s">
        <v>2285</v>
      </c>
      <c r="B360" s="1" t="e">
        <v>#N/A</v>
      </c>
      <c r="C360" s="1" t="e">
        <v>#N/A</v>
      </c>
      <c r="D360" s="1" t="e">
        <v>#N/A</v>
      </c>
      <c r="E360" s="1" t="s">
        <v>2432</v>
      </c>
      <c r="F360" s="2" t="s">
        <v>2300</v>
      </c>
      <c r="G360" s="1" t="s">
        <v>2303</v>
      </c>
      <c r="H360" s="2">
        <v>1</v>
      </c>
      <c r="I360" s="3" t="s">
        <v>72</v>
      </c>
      <c r="J360" t="s">
        <v>2365</v>
      </c>
      <c r="M360" s="3" t="s">
        <v>2300</v>
      </c>
      <c r="N360" s="3" t="s">
        <v>2256</v>
      </c>
      <c r="O360" t="s">
        <v>2310</v>
      </c>
    </row>
    <row r="361" spans="1:15" x14ac:dyDescent="0.25">
      <c r="A361" t="s">
        <v>2285</v>
      </c>
      <c r="B361" s="1" t="e">
        <v>#N/A</v>
      </c>
      <c r="C361" s="1" t="e">
        <v>#N/A</v>
      </c>
      <c r="D361" s="1" t="e">
        <v>#N/A</v>
      </c>
      <c r="E361" s="1" t="s">
        <v>2432</v>
      </c>
      <c r="F361" s="2" t="s">
        <v>2300</v>
      </c>
      <c r="G361" s="1" t="s">
        <v>2304</v>
      </c>
      <c r="H361" s="2">
        <v>1</v>
      </c>
      <c r="I361" s="3" t="s">
        <v>1</v>
      </c>
      <c r="J361" t="s">
        <v>2365</v>
      </c>
      <c r="M361" s="3" t="s">
        <v>2300</v>
      </c>
      <c r="N361" s="3" t="s">
        <v>2255</v>
      </c>
      <c r="O361" t="s">
        <v>2310</v>
      </c>
    </row>
    <row r="362" spans="1:15" x14ac:dyDescent="0.25">
      <c r="A362" t="s">
        <v>2285</v>
      </c>
      <c r="B362" s="1" t="e">
        <v>#N/A</v>
      </c>
      <c r="C362" s="1" t="e">
        <v>#N/A</v>
      </c>
      <c r="D362" s="1" t="e">
        <v>#N/A</v>
      </c>
      <c r="E362" s="1" t="s">
        <v>2432</v>
      </c>
      <c r="F362" s="2" t="s">
        <v>2300</v>
      </c>
      <c r="G362" s="1" t="s">
        <v>2304</v>
      </c>
      <c r="H362" s="2">
        <v>1</v>
      </c>
      <c r="I362" s="3" t="s">
        <v>2349</v>
      </c>
      <c r="J362" t="s">
        <v>2365</v>
      </c>
      <c r="M362" s="3" t="s">
        <v>2300</v>
      </c>
      <c r="N362" s="3" t="s">
        <v>2255</v>
      </c>
      <c r="O362" t="s">
        <v>2310</v>
      </c>
    </row>
    <row r="363" spans="1:15" x14ac:dyDescent="0.25">
      <c r="A363" t="s">
        <v>2285</v>
      </c>
      <c r="B363" s="1" t="e">
        <v>#N/A</v>
      </c>
      <c r="C363" s="1" t="e">
        <v>#N/A</v>
      </c>
      <c r="D363" s="1" t="e">
        <v>#N/A</v>
      </c>
      <c r="E363" s="1" t="s">
        <v>2432</v>
      </c>
      <c r="F363" s="2" t="s">
        <v>2300</v>
      </c>
      <c r="G363" s="1" t="s">
        <v>2304</v>
      </c>
      <c r="H363" s="2">
        <v>1</v>
      </c>
      <c r="I363" s="3" t="s">
        <v>78</v>
      </c>
      <c r="J363" t="s">
        <v>2365</v>
      </c>
      <c r="M363" s="3" t="s">
        <v>2300</v>
      </c>
      <c r="N363" s="3" t="s">
        <v>2255</v>
      </c>
      <c r="O363" t="s">
        <v>2310</v>
      </c>
    </row>
    <row r="364" spans="1:15" x14ac:dyDescent="0.25">
      <c r="A364" t="s">
        <v>2285</v>
      </c>
      <c r="B364" s="1" t="e">
        <v>#N/A</v>
      </c>
      <c r="C364" s="1" t="e">
        <v>#N/A</v>
      </c>
      <c r="D364" s="1" t="e">
        <v>#N/A</v>
      </c>
      <c r="E364" s="1" t="s">
        <v>2432</v>
      </c>
      <c r="F364" s="2" t="s">
        <v>2300</v>
      </c>
      <c r="G364" s="1" t="s">
        <v>2304</v>
      </c>
      <c r="H364" s="2">
        <v>1</v>
      </c>
      <c r="I364" s="3" t="s">
        <v>2318</v>
      </c>
      <c r="J364" t="s">
        <v>2365</v>
      </c>
      <c r="M364" s="3" t="s">
        <v>2300</v>
      </c>
      <c r="N364" s="3" t="s">
        <v>2255</v>
      </c>
      <c r="O364" t="s">
        <v>2310</v>
      </c>
    </row>
    <row r="365" spans="1:15" x14ac:dyDescent="0.25">
      <c r="A365" t="s">
        <v>2285</v>
      </c>
      <c r="B365" s="1" t="e">
        <v>#N/A</v>
      </c>
      <c r="C365" s="1" t="e">
        <v>#N/A</v>
      </c>
      <c r="D365" s="1" t="e">
        <v>#N/A</v>
      </c>
      <c r="E365" s="1" t="s">
        <v>2432</v>
      </c>
      <c r="F365" s="2" t="s">
        <v>2300</v>
      </c>
      <c r="G365" s="1" t="s">
        <v>2304</v>
      </c>
      <c r="H365" s="2">
        <v>1</v>
      </c>
      <c r="I365" s="3" t="s">
        <v>2327</v>
      </c>
      <c r="J365" t="s">
        <v>2365</v>
      </c>
      <c r="M365" s="3" t="s">
        <v>2300</v>
      </c>
      <c r="N365" s="3" t="s">
        <v>2255</v>
      </c>
      <c r="O365" t="s">
        <v>2310</v>
      </c>
    </row>
    <row r="366" spans="1:15" x14ac:dyDescent="0.25">
      <c r="A366" t="s">
        <v>2285</v>
      </c>
      <c r="B366" s="1" t="e">
        <v>#N/A</v>
      </c>
      <c r="C366" s="1" t="e">
        <v>#N/A</v>
      </c>
      <c r="D366" s="1" t="e">
        <v>#N/A</v>
      </c>
      <c r="E366" s="1" t="s">
        <v>2432</v>
      </c>
      <c r="F366" s="2" t="s">
        <v>2300</v>
      </c>
      <c r="G366" s="1" t="s">
        <v>2303</v>
      </c>
      <c r="H366" s="2">
        <v>1</v>
      </c>
      <c r="I366" s="3" t="s">
        <v>32</v>
      </c>
      <c r="J366" t="s">
        <v>2365</v>
      </c>
      <c r="M366" s="3" t="s">
        <v>2300</v>
      </c>
      <c r="N366" s="3" t="s">
        <v>2256</v>
      </c>
      <c r="O366" t="s">
        <v>2310</v>
      </c>
    </row>
    <row r="367" spans="1:15" x14ac:dyDescent="0.25">
      <c r="A367" t="s">
        <v>2285</v>
      </c>
      <c r="B367" s="1" t="e">
        <v>#N/A</v>
      </c>
      <c r="C367" s="1" t="e">
        <v>#N/A</v>
      </c>
      <c r="D367" s="1" t="e">
        <v>#N/A</v>
      </c>
      <c r="E367" s="1" t="s">
        <v>2432</v>
      </c>
      <c r="F367" s="2" t="s">
        <v>2300</v>
      </c>
      <c r="G367" s="1" t="s">
        <v>2303</v>
      </c>
      <c r="H367" s="2">
        <v>1</v>
      </c>
      <c r="I367" s="3" t="s">
        <v>2315</v>
      </c>
      <c r="J367" t="s">
        <v>2365</v>
      </c>
      <c r="M367" s="3" t="s">
        <v>2300</v>
      </c>
      <c r="N367" s="3" t="s">
        <v>2256</v>
      </c>
      <c r="O367" t="s">
        <v>2310</v>
      </c>
    </row>
    <row r="368" spans="1:15" x14ac:dyDescent="0.25">
      <c r="A368" t="s">
        <v>2285</v>
      </c>
      <c r="B368" s="1" t="e">
        <v>#N/A</v>
      </c>
      <c r="C368" s="1" t="e">
        <v>#N/A</v>
      </c>
      <c r="D368" s="1" t="e">
        <v>#N/A</v>
      </c>
      <c r="E368" s="1" t="s">
        <v>2432</v>
      </c>
      <c r="F368" s="2" t="s">
        <v>2300</v>
      </c>
      <c r="G368" s="1" t="s">
        <v>2303</v>
      </c>
      <c r="H368" s="2">
        <v>1</v>
      </c>
      <c r="I368" s="3" t="s">
        <v>2321</v>
      </c>
      <c r="J368" t="s">
        <v>2365</v>
      </c>
      <c r="M368" s="3" t="s">
        <v>2300</v>
      </c>
      <c r="N368" s="3" t="s">
        <v>2256</v>
      </c>
      <c r="O368" t="s">
        <v>2310</v>
      </c>
    </row>
    <row r="369" spans="1:15" x14ac:dyDescent="0.25">
      <c r="A369" t="s">
        <v>2285</v>
      </c>
      <c r="B369" s="1" t="e">
        <v>#N/A</v>
      </c>
      <c r="C369" s="1" t="e">
        <v>#N/A</v>
      </c>
      <c r="D369" s="1" t="e">
        <v>#N/A</v>
      </c>
      <c r="E369" s="1" t="s">
        <v>2432</v>
      </c>
      <c r="F369" s="2" t="s">
        <v>2300</v>
      </c>
      <c r="G369" s="1" t="s">
        <v>2305</v>
      </c>
      <c r="H369" s="2">
        <v>1</v>
      </c>
      <c r="I369" s="3" t="s">
        <v>1</v>
      </c>
      <c r="J369" t="s">
        <v>2365</v>
      </c>
      <c r="M369" s="3" t="s">
        <v>2300</v>
      </c>
      <c r="N369" s="3" t="s">
        <v>2258</v>
      </c>
      <c r="O369" t="s">
        <v>2310</v>
      </c>
    </row>
    <row r="370" spans="1:15" x14ac:dyDescent="0.25">
      <c r="A370" t="s">
        <v>2285</v>
      </c>
      <c r="B370" s="1" t="e">
        <v>#N/A</v>
      </c>
      <c r="C370" s="1" t="e">
        <v>#N/A</v>
      </c>
      <c r="D370" s="1" t="e">
        <v>#N/A</v>
      </c>
      <c r="E370" s="1" t="s">
        <v>2432</v>
      </c>
      <c r="F370" s="2" t="s">
        <v>2300</v>
      </c>
      <c r="G370" s="1" t="s">
        <v>2303</v>
      </c>
      <c r="H370" s="2">
        <v>0</v>
      </c>
      <c r="I370" s="3" t="s">
        <v>38</v>
      </c>
      <c r="J370" t="s">
        <v>2365</v>
      </c>
      <c r="M370" s="3" t="s">
        <v>2300</v>
      </c>
      <c r="N370" s="3" t="s">
        <v>2256</v>
      </c>
      <c r="O370" t="s">
        <v>2310</v>
      </c>
    </row>
    <row r="371" spans="1:15" x14ac:dyDescent="0.25">
      <c r="A371" t="s">
        <v>2285</v>
      </c>
      <c r="B371" s="1" t="e">
        <v>#N/A</v>
      </c>
      <c r="C371" s="1" t="e">
        <v>#N/A</v>
      </c>
      <c r="D371" s="1" t="e">
        <v>#N/A</v>
      </c>
      <c r="E371" s="1" t="s">
        <v>2432</v>
      </c>
      <c r="F371" s="2" t="s">
        <v>2300</v>
      </c>
      <c r="G371" s="1" t="s">
        <v>2304</v>
      </c>
      <c r="H371" s="2">
        <v>0</v>
      </c>
      <c r="I371" s="3" t="s">
        <v>38</v>
      </c>
      <c r="J371" t="s">
        <v>2365</v>
      </c>
      <c r="M371" s="3" t="s">
        <v>2300</v>
      </c>
      <c r="N371" s="3" t="s">
        <v>2255</v>
      </c>
      <c r="O371" t="s">
        <v>2310</v>
      </c>
    </row>
  </sheetData>
  <autoFilter ref="A1:O371" xr:uid="{BB720F31-E090-4FE6-B167-4618E8329809}"/>
  <conditionalFormatting sqref="A1:A371">
    <cfRule type="cellIs" dxfId="1072" priority="141" operator="equal">
      <formula>"Mare"</formula>
    </cfRule>
    <cfRule type="cellIs" dxfId="1071" priority="142" operator="equal">
      <formula>"Axel"</formula>
    </cfRule>
    <cfRule type="cellIs" dxfId="1070" priority="143" operator="equal">
      <formula>"Christian"</formula>
    </cfRule>
    <cfRule type="cellIs" dxfId="1069" priority="144" operator="equal">
      <formula>"Farid"</formula>
    </cfRule>
    <cfRule type="cellIs" dxfId="1068" priority="145" stopIfTrue="1" operator="equal">
      <formula>"Alex"</formula>
    </cfRule>
    <cfRule type="cellIs" dxfId="1067" priority="146" operator="equal">
      <formula>"Gaby"</formula>
    </cfRule>
    <cfRule type="cellIs" dxfId="1066" priority="147" operator="equal">
      <formula>"Randall"</formula>
    </cfRule>
    <cfRule type="cellIs" dxfId="1065" priority="148" operator="equal">
      <formula>"Johan"</formula>
    </cfRule>
    <cfRule type="cellIs" dxfId="1064" priority="149" operator="equal">
      <formula>"Eva"</formula>
    </cfRule>
    <cfRule type="cellIs" dxfId="1063" priority="150" operator="equal">
      <formula>"Ronald"</formula>
    </cfRule>
  </conditionalFormatting>
  <conditionalFormatting sqref="B1:B371">
    <cfRule type="cellIs" dxfId="1062" priority="129" operator="equal">
      <formula>"Mare"</formula>
    </cfRule>
    <cfRule type="cellIs" dxfId="1061" priority="130" operator="equal">
      <formula>"Axel"</formula>
    </cfRule>
    <cfRule type="cellIs" dxfId="1060" priority="131" operator="equal">
      <formula>"Christian"</formula>
    </cfRule>
    <cfRule type="cellIs" dxfId="1059" priority="132" operator="equal">
      <formula>"Farid"</formula>
    </cfRule>
    <cfRule type="cellIs" dxfId="1058" priority="133" stopIfTrue="1" operator="equal">
      <formula>"Alex"</formula>
    </cfRule>
    <cfRule type="cellIs" dxfId="1057" priority="134" operator="equal">
      <formula>"Gaby"</formula>
    </cfRule>
    <cfRule type="cellIs" dxfId="1056" priority="135" operator="equal">
      <formula>"Randall"</formula>
    </cfRule>
    <cfRule type="cellIs" dxfId="1055" priority="136" operator="equal">
      <formula>"Johan"</formula>
    </cfRule>
    <cfRule type="cellIs" dxfId="1054" priority="137" operator="equal">
      <formula>"Eva"</formula>
    </cfRule>
    <cfRule type="cellIs" dxfId="1053" priority="138" operator="equal">
      <formula>"Ronald"</formula>
    </cfRule>
  </conditionalFormatting>
  <conditionalFormatting sqref="B1:B371">
    <cfRule type="cellIs" dxfId="1052" priority="139" operator="equal">
      <formula>"Maria"</formula>
    </cfRule>
    <cfRule type="cellIs" dxfId="1051" priority="140" operator="equal">
      <formula>"Jason"</formula>
    </cfRule>
  </conditionalFormatting>
  <conditionalFormatting sqref="B2:B371">
    <cfRule type="cellIs" dxfId="1050" priority="126" operator="equal">
      <formula>"Jose"</formula>
    </cfRule>
  </conditionalFormatting>
  <conditionalFormatting sqref="B2:B371">
    <cfRule type="cellIs" dxfId="1049" priority="127" operator="equal">
      <formula>"David"</formula>
    </cfRule>
    <cfRule type="cellIs" dxfId="1048" priority="128" stopIfTrue="1" operator="equal">
      <formula>"Jenny"</formula>
    </cfRule>
  </conditionalFormatting>
  <conditionalFormatting sqref="C1:C371">
    <cfRule type="cellIs" dxfId="1047" priority="113" operator="equal">
      <formula>"Mare"</formula>
    </cfRule>
    <cfRule type="cellIs" dxfId="1046" priority="114" operator="equal">
      <formula>"Axel"</formula>
    </cfRule>
    <cfRule type="cellIs" dxfId="1045" priority="115" operator="equal">
      <formula>"Christian"</formula>
    </cfRule>
    <cfRule type="cellIs" dxfId="1044" priority="116" operator="equal">
      <formula>"Farid"</formula>
    </cfRule>
    <cfRule type="cellIs" dxfId="1043" priority="118" stopIfTrue="1" operator="equal">
      <formula>"Alex"</formula>
    </cfRule>
    <cfRule type="cellIs" dxfId="1042" priority="119" operator="equal">
      <formula>"Gaby"</formula>
    </cfRule>
    <cfRule type="cellIs" dxfId="1041" priority="120" operator="equal">
      <formula>"Randall"</formula>
    </cfRule>
    <cfRule type="cellIs" dxfId="1040" priority="121" operator="equal">
      <formula>"Johan"</formula>
    </cfRule>
    <cfRule type="cellIs" dxfId="1039" priority="122" operator="equal">
      <formula>"Eva"</formula>
    </cfRule>
    <cfRule type="cellIs" dxfId="1038" priority="123" operator="equal">
      <formula>"Ronald"</formula>
    </cfRule>
  </conditionalFormatting>
  <conditionalFormatting sqref="C1:C371">
    <cfRule type="cellIs" dxfId="1037" priority="117" stopIfTrue="1" operator="equal">
      <formula>"Approved"</formula>
    </cfRule>
    <cfRule type="cellIs" dxfId="1036" priority="124" operator="equal">
      <formula>"Done"</formula>
    </cfRule>
    <cfRule type="cellIs" dxfId="1035" priority="125" operator="equal">
      <formula>"Pending Review"</formula>
    </cfRule>
  </conditionalFormatting>
  <conditionalFormatting sqref="C2:C371">
    <cfRule type="containsText" dxfId="1034" priority="112" operator="containsText" text="Pending Info">
      <formula>NOT(ISERROR(SEARCH("Pending Info",C2)))</formula>
    </cfRule>
  </conditionalFormatting>
  <conditionalFormatting sqref="D1:D371">
    <cfRule type="cellIs" dxfId="1033" priority="102" operator="equal">
      <formula>"Mare"</formula>
    </cfRule>
    <cfRule type="cellIs" dxfId="1032" priority="103" operator="equal">
      <formula>"Axel"</formula>
    </cfRule>
    <cfRule type="cellIs" dxfId="1031" priority="104" operator="equal">
      <formula>"Christian"</formula>
    </cfRule>
    <cfRule type="cellIs" dxfId="1030" priority="105" operator="equal">
      <formula>"Farid"</formula>
    </cfRule>
    <cfRule type="cellIs" dxfId="1029" priority="106" stopIfTrue="1" operator="equal">
      <formula>"Alex"</formula>
    </cfRule>
    <cfRule type="cellIs" dxfId="1028" priority="107" operator="equal">
      <formula>"Gaby"</formula>
    </cfRule>
    <cfRule type="cellIs" dxfId="1027" priority="108" operator="equal">
      <formula>"Randall"</formula>
    </cfRule>
    <cfRule type="cellIs" dxfId="1026" priority="109" operator="equal">
      <formula>"Johan"</formula>
    </cfRule>
    <cfRule type="cellIs" dxfId="1025" priority="110" operator="equal">
      <formula>"Eva"</formula>
    </cfRule>
    <cfRule type="cellIs" dxfId="1024" priority="111" operator="equal">
      <formula>"Ronald"</formula>
    </cfRule>
  </conditionalFormatting>
  <conditionalFormatting sqref="E1:E371">
    <cfRule type="cellIs" dxfId="1023" priority="92" operator="equal">
      <formula>"Mare"</formula>
    </cfRule>
    <cfRule type="cellIs" dxfId="1022" priority="93" operator="equal">
      <formula>"Axel"</formula>
    </cfRule>
    <cfRule type="cellIs" dxfId="1021" priority="94" operator="equal">
      <formula>"Christian"</formula>
    </cfRule>
    <cfRule type="cellIs" dxfId="1020" priority="95" operator="equal">
      <formula>"Farid"</formula>
    </cfRule>
    <cfRule type="cellIs" dxfId="1019" priority="96" stopIfTrue="1" operator="equal">
      <formula>"Alex"</formula>
    </cfRule>
    <cfRule type="cellIs" dxfId="1018" priority="97" operator="equal">
      <formula>"Gaby"</formula>
    </cfRule>
    <cfRule type="cellIs" dxfId="1017" priority="98" operator="equal">
      <formula>"Randall"</formula>
    </cfRule>
    <cfRule type="cellIs" dxfId="1016" priority="99" operator="equal">
      <formula>"Johan"</formula>
    </cfRule>
    <cfRule type="cellIs" dxfId="1015" priority="100" operator="equal">
      <formula>"Eva"</formula>
    </cfRule>
    <cfRule type="cellIs" dxfId="1014" priority="101" operator="equal">
      <formula>"Ronald"</formula>
    </cfRule>
  </conditionalFormatting>
  <conditionalFormatting sqref="F1:F371">
    <cfRule type="cellIs" dxfId="1013" priority="91" operator="equal">
      <formula>"YES"</formula>
    </cfRule>
  </conditionalFormatting>
  <conditionalFormatting sqref="F1:F371">
    <cfRule type="cellIs" dxfId="1012" priority="90" operator="equal">
      <formula>"YES"</formula>
    </cfRule>
  </conditionalFormatting>
  <conditionalFormatting sqref="F1:F371">
    <cfRule type="cellIs" dxfId="1011" priority="80" operator="equal">
      <formula>"Mare"</formula>
    </cfRule>
    <cfRule type="cellIs" dxfId="1010" priority="81" operator="equal">
      <formula>"Axel"</formula>
    </cfRule>
    <cfRule type="cellIs" dxfId="1009" priority="82" operator="equal">
      <formula>"Christian"</formula>
    </cfRule>
    <cfRule type="cellIs" dxfId="1008" priority="83" operator="equal">
      <formula>"Farid"</formula>
    </cfRule>
    <cfRule type="cellIs" dxfId="1007" priority="84" stopIfTrue="1" operator="equal">
      <formula>"Alex"</formula>
    </cfRule>
    <cfRule type="cellIs" dxfId="1006" priority="85" operator="equal">
      <formula>"Gaby"</formula>
    </cfRule>
    <cfRule type="cellIs" dxfId="1005" priority="86" operator="equal">
      <formula>"Randall"</formula>
    </cfRule>
    <cfRule type="cellIs" dxfId="1004" priority="87" operator="equal">
      <formula>"Johan"</formula>
    </cfRule>
    <cfRule type="cellIs" dxfId="1003" priority="88" operator="equal">
      <formula>"Eva"</formula>
    </cfRule>
    <cfRule type="cellIs" dxfId="1002" priority="89" operator="equal">
      <formula>"Ronald"</formula>
    </cfRule>
  </conditionalFormatting>
  <conditionalFormatting sqref="G1:G371">
    <cfRule type="cellIs" dxfId="1001" priority="66" operator="equal">
      <formula>"Mare"</formula>
    </cfRule>
    <cfRule type="cellIs" dxfId="1000" priority="67" operator="equal">
      <formula>"Axel"</formula>
    </cfRule>
    <cfRule type="cellIs" dxfId="999" priority="68" operator="equal">
      <formula>"Christian"</formula>
    </cfRule>
    <cfRule type="cellIs" dxfId="998" priority="70" operator="equal">
      <formula>"Farid"</formula>
    </cfRule>
    <cfRule type="cellIs" dxfId="997" priority="71" stopIfTrue="1" operator="equal">
      <formula>"Alex"</formula>
    </cfRule>
    <cfRule type="cellIs" dxfId="996" priority="72" operator="equal">
      <formula>"Gaby"</formula>
    </cfRule>
    <cfRule type="cellIs" dxfId="995" priority="73" operator="equal">
      <formula>"Randall"</formula>
    </cfRule>
    <cfRule type="cellIs" dxfId="994" priority="74" operator="equal">
      <formula>"Johan"</formula>
    </cfRule>
    <cfRule type="cellIs" dxfId="993" priority="75" operator="equal">
      <formula>"Eva"</formula>
    </cfRule>
    <cfRule type="cellIs" dxfId="992" priority="76" operator="equal">
      <formula>"Ronald"</formula>
    </cfRule>
  </conditionalFormatting>
  <conditionalFormatting sqref="G1:G371">
    <cfRule type="cellIs" dxfId="991" priority="69" stopIfTrue="1" operator="equal">
      <formula>"Accessory"</formula>
    </cfRule>
    <cfRule type="cellIs" dxfId="990" priority="77" operator="equal">
      <formula>"Tachy"</formula>
    </cfRule>
    <cfRule type="cellIs" dxfId="989" priority="78" operator="equal">
      <formula>"LEADS"</formula>
    </cfRule>
    <cfRule type="cellIs" dxfId="988" priority="79" stopIfTrue="1" operator="equal">
      <formula>"Brady"</formula>
    </cfRule>
  </conditionalFormatting>
  <conditionalFormatting sqref="H1:H371">
    <cfRule type="cellIs" dxfId="987" priority="56" operator="equal">
      <formula>"Mare"</formula>
    </cfRule>
    <cfRule type="cellIs" dxfId="986" priority="57" operator="equal">
      <formula>"Axel"</formula>
    </cfRule>
    <cfRule type="cellIs" dxfId="985" priority="58" operator="equal">
      <formula>"Christian"</formula>
    </cfRule>
    <cfRule type="cellIs" dxfId="984" priority="59" operator="equal">
      <formula>"Farid"</formula>
    </cfRule>
    <cfRule type="cellIs" dxfId="983" priority="60" stopIfTrue="1" operator="equal">
      <formula>"Alex"</formula>
    </cfRule>
    <cfRule type="cellIs" dxfId="982" priority="61" operator="equal">
      <formula>"Gaby"</formula>
    </cfRule>
    <cfRule type="cellIs" dxfId="981" priority="62" operator="equal">
      <formula>"Randall"</formula>
    </cfRule>
    <cfRule type="cellIs" dxfId="980" priority="63" operator="equal">
      <formula>"Johan"</formula>
    </cfRule>
    <cfRule type="cellIs" dxfId="979" priority="64" operator="equal">
      <formula>"Eva"</formula>
    </cfRule>
    <cfRule type="cellIs" dxfId="978" priority="65" operator="equal">
      <formula>"Ronald"</formula>
    </cfRule>
  </conditionalFormatting>
  <conditionalFormatting sqref="H2:H371">
    <cfRule type="cellIs" dxfId="977" priority="54" stopIfTrue="1" operator="between">
      <formula>20</formula>
      <formula>29</formula>
    </cfRule>
    <cfRule type="cellIs" dxfId="976" priority="55" stopIfTrue="1" operator="greaterThan">
      <formula>29</formula>
    </cfRule>
  </conditionalFormatting>
  <conditionalFormatting sqref="N1:N371">
    <cfRule type="cellIs" dxfId="975" priority="42" operator="equal">
      <formula>"Mare"</formula>
    </cfRule>
    <cfRule type="cellIs" dxfId="974" priority="43" operator="equal">
      <formula>"Axel"</formula>
    </cfRule>
    <cfRule type="cellIs" dxfId="973" priority="44" operator="equal">
      <formula>"Christian"</formula>
    </cfRule>
    <cfRule type="cellIs" dxfId="972" priority="45" operator="equal">
      <formula>"Farid"</formula>
    </cfRule>
    <cfRule type="cellIs" dxfId="971" priority="46" stopIfTrue="1" operator="equal">
      <formula>"Alex"</formula>
    </cfRule>
    <cfRule type="cellIs" dxfId="970" priority="47" operator="equal">
      <formula>"Gaby"</formula>
    </cfRule>
    <cfRule type="cellIs" dxfId="969" priority="48" operator="equal">
      <formula>"Randall"</formula>
    </cfRule>
    <cfRule type="cellIs" dxfId="968" priority="49" operator="equal">
      <formula>"Johan"</formula>
    </cfRule>
    <cfRule type="cellIs" dxfId="967" priority="50" operator="equal">
      <formula>"Eva"</formula>
    </cfRule>
    <cfRule type="cellIs" dxfId="966" priority="51" operator="equal">
      <formula>"Ronald"</formula>
    </cfRule>
  </conditionalFormatting>
  <conditionalFormatting sqref="N1:N371">
    <cfRule type="cellIs" dxfId="965" priority="52" operator="equal">
      <formula>"Insignia, Nexus"</formula>
    </cfRule>
    <cfRule type="cellIs" dxfId="964" priority="53" operator="equal">
      <formula>"Altrua"</formula>
    </cfRule>
  </conditionalFormatting>
  <conditionalFormatting sqref="N2:N371">
    <cfRule type="cellIs" dxfId="963" priority="41" operator="equal">
      <formula>"Subcutaneous ICD"</formula>
    </cfRule>
  </conditionalFormatting>
  <conditionalFormatting sqref="O1:O371">
    <cfRule type="cellIs" dxfId="962" priority="31" operator="equal">
      <formula>"Mare"</formula>
    </cfRule>
    <cfRule type="cellIs" dxfId="961" priority="32" operator="equal">
      <formula>"Axel"</formula>
    </cfRule>
    <cfRule type="cellIs" dxfId="960" priority="33" operator="equal">
      <formula>"Christian"</formula>
    </cfRule>
    <cfRule type="cellIs" dxfId="959" priority="34" operator="equal">
      <formula>"Farid"</formula>
    </cfRule>
    <cfRule type="cellIs" dxfId="958" priority="35" stopIfTrue="1" operator="equal">
      <formula>"Alex"</formula>
    </cfRule>
    <cfRule type="cellIs" dxfId="957" priority="36" operator="equal">
      <formula>"Gaby"</formula>
    </cfRule>
    <cfRule type="cellIs" dxfId="956" priority="37" operator="equal">
      <formula>"Randall"</formula>
    </cfRule>
    <cfRule type="cellIs" dxfId="955" priority="38" operator="equal">
      <formula>"Johan"</formula>
    </cfRule>
    <cfRule type="cellIs" dxfId="954" priority="39" operator="equal">
      <formula>"Eva"</formula>
    </cfRule>
    <cfRule type="cellIs" dxfId="953" priority="40" operator="equal">
      <formula>"Ronald"</formula>
    </cfRule>
  </conditionalFormatting>
  <conditionalFormatting sqref="I1:I371">
    <cfRule type="cellIs" dxfId="952" priority="21" operator="equal">
      <formula>"Mare"</formula>
    </cfRule>
    <cfRule type="cellIs" dxfId="951" priority="22" operator="equal">
      <formula>"Axel"</formula>
    </cfRule>
    <cfRule type="cellIs" dxfId="950" priority="23" operator="equal">
      <formula>"Christian"</formula>
    </cfRule>
    <cfRule type="cellIs" dxfId="949" priority="24" operator="equal">
      <formula>"Farid"</formula>
    </cfRule>
    <cfRule type="cellIs" dxfId="948" priority="25" stopIfTrue="1" operator="equal">
      <formula>"Alex"</formula>
    </cfRule>
    <cfRule type="cellIs" dxfId="947" priority="26" operator="equal">
      <formula>"Gaby"</formula>
    </cfRule>
    <cfRule type="cellIs" dxfId="946" priority="27" operator="equal">
      <formula>"Randall"</formula>
    </cfRule>
    <cfRule type="cellIs" dxfId="945" priority="28" operator="equal">
      <formula>"Johan"</formula>
    </cfRule>
    <cfRule type="cellIs" dxfId="944" priority="29" operator="equal">
      <formula>"Eva"</formula>
    </cfRule>
    <cfRule type="cellIs" dxfId="943" priority="30" operator="equal">
      <formula>"Ronald"</formula>
    </cfRule>
  </conditionalFormatting>
  <conditionalFormatting sqref="M1:M371">
    <cfRule type="cellIs" dxfId="942" priority="11" operator="equal">
      <formula>"Mare"</formula>
    </cfRule>
    <cfRule type="cellIs" dxfId="941" priority="12" operator="equal">
      <formula>"Axel"</formula>
    </cfRule>
    <cfRule type="cellIs" dxfId="940" priority="13" operator="equal">
      <formula>"Christian"</formula>
    </cfRule>
    <cfRule type="cellIs" dxfId="939" priority="14" operator="equal">
      <formula>"Farid"</formula>
    </cfRule>
    <cfRule type="cellIs" dxfId="938" priority="15" stopIfTrue="1" operator="equal">
      <formula>"Alex"</formula>
    </cfRule>
    <cfRule type="cellIs" dxfId="937" priority="16" operator="equal">
      <formula>"Gaby"</formula>
    </cfRule>
    <cfRule type="cellIs" dxfId="936" priority="17" operator="equal">
      <formula>"Randall"</formula>
    </cfRule>
    <cfRule type="cellIs" dxfId="935" priority="18" operator="equal">
      <formula>"Johan"</formula>
    </cfRule>
    <cfRule type="cellIs" dxfId="934" priority="19" operator="equal">
      <formula>"Eva"</formula>
    </cfRule>
    <cfRule type="cellIs" dxfId="933" priority="20" operator="equal">
      <formula>"Ronald"</formula>
    </cfRule>
  </conditionalFormatting>
  <conditionalFormatting sqref="L1">
    <cfRule type="cellIs" dxfId="932" priority="1" operator="equal">
      <formula>"Mare"</formula>
    </cfRule>
    <cfRule type="cellIs" dxfId="931" priority="2" operator="equal">
      <formula>"Axel"</formula>
    </cfRule>
    <cfRule type="cellIs" dxfId="930" priority="3" operator="equal">
      <formula>"Christian"</formula>
    </cfRule>
    <cfRule type="cellIs" dxfId="929" priority="4" operator="equal">
      <formula>"Farid"</formula>
    </cfRule>
    <cfRule type="cellIs" dxfId="928" priority="5" stopIfTrue="1" operator="equal">
      <formula>"Alex"</formula>
    </cfRule>
    <cfRule type="cellIs" dxfId="927" priority="6" operator="equal">
      <formula>"Gaby"</formula>
    </cfRule>
    <cfRule type="cellIs" dxfId="926" priority="7" operator="equal">
      <formula>"Randall"</formula>
    </cfRule>
    <cfRule type="cellIs" dxfId="925" priority="8" operator="equal">
      <formula>"Johan"</formula>
    </cfRule>
    <cfRule type="cellIs" dxfId="924" priority="9" operator="equal">
      <formula>"Eva"</formula>
    </cfRule>
    <cfRule type="cellIs" dxfId="923" priority="10" operator="equal">
      <formula>"Ronald"</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96B1B-BE56-481F-A25B-7DD7E4F3934E}">
  <sheetPr codeName="Sheet5"/>
  <dimension ref="A1:O356"/>
  <sheetViews>
    <sheetView workbookViewId="0">
      <selection activeCell="L1" sqref="L1"/>
    </sheetView>
  </sheetViews>
  <sheetFormatPr defaultRowHeight="15" x14ac:dyDescent="0.25"/>
  <cols>
    <col min="12" max="12" width="9.42578125" bestFit="1" customWidth="1"/>
    <col min="13" max="13" width="24.28515625" bestFit="1" customWidth="1"/>
  </cols>
  <sheetData>
    <row r="1" spans="1:15" ht="15.75" thickBot="1" x14ac:dyDescent="0.3">
      <c r="A1" s="22" t="s">
        <v>2282</v>
      </c>
      <c r="B1" s="23" t="s">
        <v>2287</v>
      </c>
      <c r="C1" s="22" t="s">
        <v>2290</v>
      </c>
      <c r="D1" s="23" t="s">
        <v>2296</v>
      </c>
      <c r="E1" s="23" t="s">
        <v>0</v>
      </c>
      <c r="F1" s="24" t="s">
        <v>2299</v>
      </c>
      <c r="G1" s="25" t="s">
        <v>2302</v>
      </c>
      <c r="H1" s="26" t="s">
        <v>2306</v>
      </c>
      <c r="I1" s="27" t="s">
        <v>2311</v>
      </c>
      <c r="J1" t="s">
        <v>2364</v>
      </c>
      <c r="K1" cm="1">
        <f t="array" aca="1" ref="K1" ca="1">SUMPRODUCT(SUBTOTAL(3,OFFSET(J2,ROW(J2:J10000)-ROW(J2),0)),(J2:J10000="CRM")+0)</f>
        <v>355</v>
      </c>
      <c r="L1" s="1" t="s">
        <v>2439</v>
      </c>
      <c r="M1" s="29" t="s">
        <v>2366</v>
      </c>
      <c r="N1" s="27" t="s">
        <v>2307</v>
      </c>
      <c r="O1" s="28" t="s">
        <v>2309</v>
      </c>
    </row>
    <row r="2" spans="1:15" x14ac:dyDescent="0.25">
      <c r="A2" t="s">
        <v>2283</v>
      </c>
      <c r="B2" s="1" t="e">
        <v>#N/A</v>
      </c>
      <c r="C2" s="1" t="e">
        <v>#N/A</v>
      </c>
      <c r="D2" s="1" t="e">
        <v>#N/A</v>
      </c>
      <c r="E2" s="1" t="s">
        <v>2298</v>
      </c>
      <c r="F2" s="2" t="s">
        <v>2300</v>
      </c>
      <c r="G2" s="1" t="s">
        <v>2303</v>
      </c>
      <c r="H2" s="2">
        <v>162</v>
      </c>
      <c r="I2" s="3" t="s">
        <v>2312</v>
      </c>
      <c r="J2" t="s">
        <v>2365</v>
      </c>
      <c r="M2" s="3" t="s">
        <v>2300</v>
      </c>
      <c r="N2" s="3" t="s">
        <v>2256</v>
      </c>
      <c r="O2" t="s">
        <v>2310</v>
      </c>
    </row>
    <row r="3" spans="1:15" x14ac:dyDescent="0.25">
      <c r="A3" t="s">
        <v>2285</v>
      </c>
      <c r="B3" s="1" t="e">
        <v>#N/A</v>
      </c>
      <c r="C3" s="1" t="e">
        <v>#N/A</v>
      </c>
      <c r="D3" s="1" t="e">
        <v>#N/A</v>
      </c>
      <c r="E3" s="1" t="s">
        <v>2298</v>
      </c>
      <c r="F3" s="2" t="s">
        <v>2300</v>
      </c>
      <c r="G3" s="1" t="s">
        <v>2304</v>
      </c>
      <c r="H3" s="2">
        <v>47</v>
      </c>
      <c r="I3" s="3" t="s">
        <v>2405</v>
      </c>
      <c r="J3" t="s">
        <v>2365</v>
      </c>
      <c r="M3" s="3" t="s">
        <v>2300</v>
      </c>
      <c r="N3" s="3" t="s">
        <v>2255</v>
      </c>
      <c r="O3" t="s">
        <v>2310</v>
      </c>
    </row>
    <row r="4" spans="1:15" x14ac:dyDescent="0.25">
      <c r="A4" t="s">
        <v>2285</v>
      </c>
      <c r="B4" s="1" t="e">
        <v>#N/A</v>
      </c>
      <c r="C4" s="1" t="e">
        <v>#N/A</v>
      </c>
      <c r="D4" s="1" t="e">
        <v>#N/A</v>
      </c>
      <c r="E4" s="1" t="s">
        <v>2298</v>
      </c>
      <c r="F4" s="2" t="s">
        <v>2300</v>
      </c>
      <c r="G4" s="1" t="s">
        <v>2305</v>
      </c>
      <c r="H4" s="2">
        <v>43</v>
      </c>
      <c r="I4" s="3" t="s">
        <v>2320</v>
      </c>
      <c r="J4" t="s">
        <v>2365</v>
      </c>
      <c r="M4" s="3" t="s">
        <v>2300</v>
      </c>
      <c r="N4" s="3" t="s">
        <v>2258</v>
      </c>
      <c r="O4" t="s">
        <v>2310</v>
      </c>
    </row>
    <row r="5" spans="1:15" x14ac:dyDescent="0.25">
      <c r="A5" t="s">
        <v>2285</v>
      </c>
      <c r="B5" s="1" t="e">
        <v>#N/A</v>
      </c>
      <c r="C5" s="1" t="e">
        <v>#N/A</v>
      </c>
      <c r="D5" s="1" t="e">
        <v>#N/A</v>
      </c>
      <c r="E5" s="1" t="s">
        <v>2439</v>
      </c>
      <c r="F5" s="2" t="s">
        <v>2301</v>
      </c>
      <c r="G5" s="1" t="s">
        <v>2305</v>
      </c>
      <c r="H5" s="2">
        <v>41</v>
      </c>
      <c r="I5" s="3" t="s">
        <v>2322</v>
      </c>
      <c r="J5" t="s">
        <v>2365</v>
      </c>
      <c r="M5" s="3" t="s">
        <v>2300</v>
      </c>
      <c r="N5" s="3" t="s">
        <v>2257</v>
      </c>
      <c r="O5" t="s">
        <v>2310</v>
      </c>
    </row>
    <row r="6" spans="1:15" x14ac:dyDescent="0.25">
      <c r="A6" t="s">
        <v>2285</v>
      </c>
      <c r="B6" s="1" t="e">
        <v>#N/A</v>
      </c>
      <c r="C6" s="1" t="e">
        <v>#N/A</v>
      </c>
      <c r="D6" s="1" t="e">
        <v>#N/A</v>
      </c>
      <c r="E6" s="1" t="s">
        <v>2439</v>
      </c>
      <c r="F6" s="2" t="s">
        <v>2301</v>
      </c>
      <c r="G6" s="1" t="s">
        <v>2305</v>
      </c>
      <c r="H6" s="2">
        <v>40</v>
      </c>
      <c r="I6" s="3" t="s">
        <v>2324</v>
      </c>
      <c r="J6" t="s">
        <v>2365</v>
      </c>
      <c r="M6" s="3" t="s">
        <v>2300</v>
      </c>
      <c r="N6" s="3" t="s">
        <v>2258</v>
      </c>
      <c r="O6" t="s">
        <v>2310</v>
      </c>
    </row>
    <row r="7" spans="1:15" x14ac:dyDescent="0.25">
      <c r="A7" t="s">
        <v>2285</v>
      </c>
      <c r="B7" s="1" t="e">
        <v>#N/A</v>
      </c>
      <c r="C7" s="1" t="e">
        <v>#N/A</v>
      </c>
      <c r="D7" s="1" t="e">
        <v>#N/A</v>
      </c>
      <c r="E7" s="1" t="s">
        <v>2298</v>
      </c>
      <c r="F7" s="2" t="s">
        <v>2300</v>
      </c>
      <c r="G7" s="1" t="s">
        <v>2305</v>
      </c>
      <c r="H7" s="2">
        <v>37</v>
      </c>
      <c r="I7" s="3" t="s">
        <v>2325</v>
      </c>
      <c r="J7" t="s">
        <v>2365</v>
      </c>
      <c r="M7" s="3" t="s">
        <v>2300</v>
      </c>
      <c r="N7" s="3" t="s">
        <v>2257</v>
      </c>
      <c r="O7" t="s">
        <v>2310</v>
      </c>
    </row>
    <row r="8" spans="1:15" x14ac:dyDescent="0.25">
      <c r="A8" t="s">
        <v>2285</v>
      </c>
      <c r="B8" s="1" t="e">
        <v>#N/A</v>
      </c>
      <c r="C8" s="1" t="e">
        <v>#N/A</v>
      </c>
      <c r="D8" s="1" t="e">
        <v>#N/A</v>
      </c>
      <c r="E8" s="1" t="s">
        <v>2439</v>
      </c>
      <c r="F8" s="2" t="s">
        <v>2301</v>
      </c>
      <c r="G8" s="1" t="s">
        <v>2305</v>
      </c>
      <c r="H8" s="2">
        <v>35</v>
      </c>
      <c r="I8" s="3" t="s">
        <v>2327</v>
      </c>
      <c r="J8" t="s">
        <v>2365</v>
      </c>
      <c r="M8" s="3" t="s">
        <v>2300</v>
      </c>
      <c r="N8" s="3" t="s">
        <v>2258</v>
      </c>
      <c r="O8" t="s">
        <v>2310</v>
      </c>
    </row>
    <row r="9" spans="1:15" x14ac:dyDescent="0.25">
      <c r="A9" t="s">
        <v>2285</v>
      </c>
      <c r="B9" s="1" t="e">
        <v>#N/A</v>
      </c>
      <c r="C9" s="1" t="e">
        <v>#N/A</v>
      </c>
      <c r="D9" s="1" t="e">
        <v>#N/A</v>
      </c>
      <c r="E9" s="1" t="s">
        <v>2439</v>
      </c>
      <c r="F9" s="2" t="s">
        <v>2301</v>
      </c>
      <c r="G9" s="1" t="s">
        <v>2305</v>
      </c>
      <c r="H9" s="2">
        <v>35</v>
      </c>
      <c r="I9" s="3" t="s">
        <v>2327</v>
      </c>
      <c r="J9" t="s">
        <v>2365</v>
      </c>
      <c r="M9" s="3" t="s">
        <v>2300</v>
      </c>
      <c r="N9" s="3" t="s">
        <v>2258</v>
      </c>
      <c r="O9" t="s">
        <v>2310</v>
      </c>
    </row>
    <row r="10" spans="1:15" x14ac:dyDescent="0.25">
      <c r="A10" t="s">
        <v>2285</v>
      </c>
      <c r="B10" s="1" t="e">
        <v>#N/A</v>
      </c>
      <c r="C10" s="1" t="e">
        <v>#N/A</v>
      </c>
      <c r="D10" s="1" t="e">
        <v>#N/A</v>
      </c>
      <c r="E10" s="1" t="s">
        <v>2439</v>
      </c>
      <c r="F10" s="2" t="s">
        <v>2301</v>
      </c>
      <c r="G10" s="1" t="s">
        <v>2305</v>
      </c>
      <c r="H10" s="2">
        <v>34</v>
      </c>
      <c r="I10" s="3" t="s">
        <v>1</v>
      </c>
      <c r="J10" t="s">
        <v>2365</v>
      </c>
      <c r="M10" s="3" t="s">
        <v>2300</v>
      </c>
      <c r="N10" s="3" t="s">
        <v>2258</v>
      </c>
      <c r="O10" t="s">
        <v>2310</v>
      </c>
    </row>
    <row r="11" spans="1:15" x14ac:dyDescent="0.25">
      <c r="A11" t="s">
        <v>2285</v>
      </c>
      <c r="B11" s="1" t="e">
        <v>#N/A</v>
      </c>
      <c r="C11" s="1" t="e">
        <v>#N/A</v>
      </c>
      <c r="D11" s="1" t="e">
        <v>#N/A</v>
      </c>
      <c r="E11" s="1" t="s">
        <v>2439</v>
      </c>
      <c r="F11" s="2" t="s">
        <v>2301</v>
      </c>
      <c r="G11" s="1" t="s">
        <v>2305</v>
      </c>
      <c r="H11" s="2">
        <v>29</v>
      </c>
      <c r="I11" s="3" t="s">
        <v>2335</v>
      </c>
      <c r="J11" t="s">
        <v>2365</v>
      </c>
      <c r="M11" s="3" t="s">
        <v>2301</v>
      </c>
      <c r="N11" s="3" t="s">
        <v>2258</v>
      </c>
      <c r="O11" t="s">
        <v>2310</v>
      </c>
    </row>
    <row r="12" spans="1:15" x14ac:dyDescent="0.25">
      <c r="A12" t="s">
        <v>2285</v>
      </c>
      <c r="B12" s="1" t="e">
        <v>#N/A</v>
      </c>
      <c r="C12" s="1" t="e">
        <v>#N/A</v>
      </c>
      <c r="D12" s="1" t="e">
        <v>#N/A</v>
      </c>
      <c r="E12" s="1" t="s">
        <v>2439</v>
      </c>
      <c r="F12" s="2" t="s">
        <v>2301</v>
      </c>
      <c r="G12" s="1" t="s">
        <v>2305</v>
      </c>
      <c r="H12" s="2">
        <v>29</v>
      </c>
      <c r="I12" s="3" t="s">
        <v>2315</v>
      </c>
      <c r="J12" t="s">
        <v>2365</v>
      </c>
      <c r="M12" s="3" t="s">
        <v>2300</v>
      </c>
      <c r="N12" s="3" t="s">
        <v>2257</v>
      </c>
      <c r="O12" t="s">
        <v>2310</v>
      </c>
    </row>
    <row r="13" spans="1:15" x14ac:dyDescent="0.25">
      <c r="A13" t="s">
        <v>2285</v>
      </c>
      <c r="B13" s="1" t="e">
        <v>#N/A</v>
      </c>
      <c r="C13" s="1" t="e">
        <v>#N/A</v>
      </c>
      <c r="D13" s="1" t="e">
        <v>#N/A</v>
      </c>
      <c r="E13" s="1" t="s">
        <v>2298</v>
      </c>
      <c r="F13" s="2" t="s">
        <v>2300</v>
      </c>
      <c r="G13" s="1" t="s">
        <v>2304</v>
      </c>
      <c r="H13" s="2">
        <v>28</v>
      </c>
      <c r="I13" s="3" t="s">
        <v>2336</v>
      </c>
      <c r="J13" t="s">
        <v>2365</v>
      </c>
      <c r="M13" s="3" t="s">
        <v>2300</v>
      </c>
      <c r="N13" s="3" t="s">
        <v>2255</v>
      </c>
      <c r="O13" t="s">
        <v>2310</v>
      </c>
    </row>
    <row r="14" spans="1:15" x14ac:dyDescent="0.25">
      <c r="A14" t="s">
        <v>2285</v>
      </c>
      <c r="B14" s="1" t="e">
        <v>#N/A</v>
      </c>
      <c r="C14" s="1" t="e">
        <v>#N/A</v>
      </c>
      <c r="D14" s="1" t="e">
        <v>#N/A</v>
      </c>
      <c r="E14" s="1" t="s">
        <v>2439</v>
      </c>
      <c r="F14" s="2" t="s">
        <v>2301</v>
      </c>
      <c r="G14" s="1" t="s">
        <v>2305</v>
      </c>
      <c r="H14" s="2">
        <v>28</v>
      </c>
      <c r="I14" s="3" t="s">
        <v>2321</v>
      </c>
      <c r="J14" t="s">
        <v>2365</v>
      </c>
      <c r="M14" s="3" t="s">
        <v>2300</v>
      </c>
      <c r="N14" s="3" t="s">
        <v>2258</v>
      </c>
      <c r="O14" t="s">
        <v>2310</v>
      </c>
    </row>
    <row r="15" spans="1:15" x14ac:dyDescent="0.25">
      <c r="A15" t="s">
        <v>2285</v>
      </c>
      <c r="B15" s="1" t="e">
        <v>#N/A</v>
      </c>
      <c r="C15" s="1" t="e">
        <v>#N/A</v>
      </c>
      <c r="D15" s="1" t="e">
        <v>#N/A</v>
      </c>
      <c r="E15" s="1" t="s">
        <v>2298</v>
      </c>
      <c r="F15" s="2" t="s">
        <v>2300</v>
      </c>
      <c r="G15" s="1" t="s">
        <v>2303</v>
      </c>
      <c r="H15" s="2">
        <v>27</v>
      </c>
      <c r="I15" s="3" t="s">
        <v>1164</v>
      </c>
      <c r="J15" t="s">
        <v>2365</v>
      </c>
      <c r="M15" s="3" t="s">
        <v>2300</v>
      </c>
      <c r="N15" s="3" t="s">
        <v>2256</v>
      </c>
      <c r="O15" t="s">
        <v>2310</v>
      </c>
    </row>
    <row r="16" spans="1:15" x14ac:dyDescent="0.25">
      <c r="A16" t="s">
        <v>2283</v>
      </c>
      <c r="B16" s="1" t="s">
        <v>2288</v>
      </c>
      <c r="C16" s="1" t="s">
        <v>2291</v>
      </c>
      <c r="D16" s="1" t="e">
        <v>#N/A</v>
      </c>
      <c r="E16" s="1" t="s">
        <v>2298</v>
      </c>
      <c r="F16" s="2" t="s">
        <v>2300</v>
      </c>
      <c r="G16" s="1" t="s">
        <v>2304</v>
      </c>
      <c r="H16" s="2">
        <v>27</v>
      </c>
      <c r="I16" s="3" t="s">
        <v>2340</v>
      </c>
      <c r="J16" t="s">
        <v>2365</v>
      </c>
      <c r="M16" s="3" t="s">
        <v>2300</v>
      </c>
      <c r="N16" s="3" t="s">
        <v>2255</v>
      </c>
      <c r="O16" t="s">
        <v>2310</v>
      </c>
    </row>
    <row r="17" spans="1:15" x14ac:dyDescent="0.25">
      <c r="A17" t="s">
        <v>2285</v>
      </c>
      <c r="B17" s="1" t="e">
        <v>#N/A</v>
      </c>
      <c r="C17" s="1" t="e">
        <v>#N/A</v>
      </c>
      <c r="D17" s="1" t="e">
        <v>#N/A</v>
      </c>
      <c r="E17" s="1" t="s">
        <v>2298</v>
      </c>
      <c r="F17" s="2" t="s">
        <v>2300</v>
      </c>
      <c r="G17" s="1" t="s">
        <v>2303</v>
      </c>
      <c r="H17" s="2">
        <v>26</v>
      </c>
      <c r="I17" s="3" t="s">
        <v>2342</v>
      </c>
      <c r="J17" t="s">
        <v>2365</v>
      </c>
      <c r="M17" s="3" t="s">
        <v>2300</v>
      </c>
      <c r="N17" s="3" t="s">
        <v>2256</v>
      </c>
      <c r="O17" t="s">
        <v>2310</v>
      </c>
    </row>
    <row r="18" spans="1:15" x14ac:dyDescent="0.25">
      <c r="A18" t="s">
        <v>2285</v>
      </c>
      <c r="B18" s="1" t="e">
        <v>#N/A</v>
      </c>
      <c r="C18" s="1" t="e">
        <v>#N/A</v>
      </c>
      <c r="D18" s="1" t="e">
        <v>#N/A</v>
      </c>
      <c r="E18" s="1" t="s">
        <v>2298</v>
      </c>
      <c r="F18" s="2" t="s">
        <v>2300</v>
      </c>
      <c r="G18" s="1" t="s">
        <v>2303</v>
      </c>
      <c r="H18" s="2">
        <v>23</v>
      </c>
      <c r="I18" s="3" t="s">
        <v>2345</v>
      </c>
      <c r="J18" t="s">
        <v>2365</v>
      </c>
      <c r="M18" s="3" t="s">
        <v>2301</v>
      </c>
      <c r="N18" s="3" t="s">
        <v>2256</v>
      </c>
      <c r="O18" t="s">
        <v>2310</v>
      </c>
    </row>
    <row r="19" spans="1:15" x14ac:dyDescent="0.25">
      <c r="A19" t="s">
        <v>2286</v>
      </c>
      <c r="B19" s="1" t="e">
        <v>#N/A</v>
      </c>
      <c r="C19" s="1" t="e">
        <v>#N/A</v>
      </c>
      <c r="D19" s="1" t="e">
        <v>#N/A</v>
      </c>
      <c r="E19" s="1" t="s">
        <v>2298</v>
      </c>
      <c r="F19" s="2" t="s">
        <v>2300</v>
      </c>
      <c r="G19" s="1" t="s">
        <v>2304</v>
      </c>
      <c r="H19" s="2">
        <v>23</v>
      </c>
      <c r="I19" s="3" t="s">
        <v>2343</v>
      </c>
      <c r="J19" t="s">
        <v>2365</v>
      </c>
      <c r="M19" s="3" t="s">
        <v>2300</v>
      </c>
      <c r="N19" s="3" t="s">
        <v>2255</v>
      </c>
      <c r="O19" t="s">
        <v>2310</v>
      </c>
    </row>
    <row r="20" spans="1:15" x14ac:dyDescent="0.25">
      <c r="A20" t="s">
        <v>2286</v>
      </c>
      <c r="B20" s="1" t="e">
        <v>#N/A</v>
      </c>
      <c r="C20" s="1" t="e">
        <v>#N/A</v>
      </c>
      <c r="D20" s="1" t="e">
        <v>#N/A</v>
      </c>
      <c r="E20" s="1" t="s">
        <v>2298</v>
      </c>
      <c r="F20" s="2" t="s">
        <v>2300</v>
      </c>
      <c r="G20" s="1" t="s">
        <v>2304</v>
      </c>
      <c r="H20" s="2">
        <v>23</v>
      </c>
      <c r="I20" s="3" t="s">
        <v>2344</v>
      </c>
      <c r="J20" t="s">
        <v>2365</v>
      </c>
      <c r="M20" s="3" t="s">
        <v>2300</v>
      </c>
      <c r="N20" s="3" t="s">
        <v>2255</v>
      </c>
      <c r="O20" t="s">
        <v>2310</v>
      </c>
    </row>
    <row r="21" spans="1:15" x14ac:dyDescent="0.25">
      <c r="A21" t="s">
        <v>2285</v>
      </c>
      <c r="B21" s="1" t="e">
        <v>#N/A</v>
      </c>
      <c r="C21" s="1" t="e">
        <v>#N/A</v>
      </c>
      <c r="D21" s="1" t="e">
        <v>#N/A</v>
      </c>
      <c r="E21" s="1" t="s">
        <v>2298</v>
      </c>
      <c r="F21" s="2" t="s">
        <v>2300</v>
      </c>
      <c r="G21" s="1" t="s">
        <v>2303</v>
      </c>
      <c r="H21" s="2">
        <v>22</v>
      </c>
      <c r="I21" s="3" t="s">
        <v>2352</v>
      </c>
      <c r="J21" t="s">
        <v>2365</v>
      </c>
      <c r="M21" s="3" t="s">
        <v>2300</v>
      </c>
      <c r="N21" s="3" t="s">
        <v>2256</v>
      </c>
      <c r="O21" t="s">
        <v>2310</v>
      </c>
    </row>
    <row r="22" spans="1:15" x14ac:dyDescent="0.25">
      <c r="A22" t="s">
        <v>2285</v>
      </c>
      <c r="B22" s="1" t="e">
        <v>#N/A</v>
      </c>
      <c r="C22" s="1" t="e">
        <v>#N/A</v>
      </c>
      <c r="D22" s="1" t="e">
        <v>#N/A</v>
      </c>
      <c r="E22" s="1" t="s">
        <v>2298</v>
      </c>
      <c r="F22" s="2" t="s">
        <v>2300</v>
      </c>
      <c r="G22" s="1" t="s">
        <v>2304</v>
      </c>
      <c r="H22" s="2">
        <v>22</v>
      </c>
      <c r="I22" s="3" t="s">
        <v>60</v>
      </c>
      <c r="J22" t="s">
        <v>2365</v>
      </c>
      <c r="M22" s="3" t="s">
        <v>2300</v>
      </c>
      <c r="N22" s="3" t="s">
        <v>2255</v>
      </c>
      <c r="O22" t="s">
        <v>2310</v>
      </c>
    </row>
    <row r="23" spans="1:15" x14ac:dyDescent="0.25">
      <c r="A23" t="s">
        <v>2285</v>
      </c>
      <c r="B23" s="1" t="e">
        <v>#N/A</v>
      </c>
      <c r="C23" s="1" t="e">
        <v>#N/A</v>
      </c>
      <c r="D23" s="1" t="e">
        <v>#N/A</v>
      </c>
      <c r="E23" s="1" t="s">
        <v>2298</v>
      </c>
      <c r="F23" s="2" t="s">
        <v>2300</v>
      </c>
      <c r="G23" s="1" t="s">
        <v>2303</v>
      </c>
      <c r="H23" s="2">
        <v>22</v>
      </c>
      <c r="I23" s="3" t="s">
        <v>2350</v>
      </c>
      <c r="J23" t="s">
        <v>2365</v>
      </c>
      <c r="M23" s="3" t="s">
        <v>2300</v>
      </c>
      <c r="N23" s="3" t="s">
        <v>2256</v>
      </c>
      <c r="O23" t="s">
        <v>2310</v>
      </c>
    </row>
    <row r="24" spans="1:15" x14ac:dyDescent="0.25">
      <c r="A24" t="s">
        <v>2285</v>
      </c>
      <c r="B24" s="1" t="e">
        <v>#N/A</v>
      </c>
      <c r="C24" s="1" t="e">
        <v>#N/A</v>
      </c>
      <c r="D24" s="1" t="e">
        <v>#N/A</v>
      </c>
      <c r="E24" s="1" t="s">
        <v>2298</v>
      </c>
      <c r="F24" s="2" t="s">
        <v>2300</v>
      </c>
      <c r="G24" s="1" t="s">
        <v>2303</v>
      </c>
      <c r="H24" s="2">
        <v>22</v>
      </c>
      <c r="I24" s="3" t="s">
        <v>60</v>
      </c>
      <c r="J24" t="s">
        <v>2365</v>
      </c>
      <c r="M24" s="3" t="s">
        <v>2300</v>
      </c>
      <c r="N24" s="3" t="s">
        <v>2256</v>
      </c>
      <c r="O24" t="s">
        <v>2310</v>
      </c>
    </row>
    <row r="25" spans="1:15" x14ac:dyDescent="0.25">
      <c r="A25" t="s">
        <v>2285</v>
      </c>
      <c r="B25" s="1" t="e">
        <v>#N/A</v>
      </c>
      <c r="C25" s="1" t="e">
        <v>#N/A</v>
      </c>
      <c r="D25" s="1" t="e">
        <v>#N/A</v>
      </c>
      <c r="E25" s="1" t="s">
        <v>2298</v>
      </c>
      <c r="F25" s="2" t="s">
        <v>2300</v>
      </c>
      <c r="G25" s="1" t="s">
        <v>2303</v>
      </c>
      <c r="H25" s="2">
        <v>21</v>
      </c>
      <c r="I25" s="3" t="s">
        <v>2355</v>
      </c>
      <c r="J25" t="s">
        <v>2365</v>
      </c>
      <c r="M25" s="3" t="s">
        <v>2300</v>
      </c>
      <c r="N25" s="3" t="s">
        <v>2256</v>
      </c>
      <c r="O25" t="s">
        <v>2310</v>
      </c>
    </row>
    <row r="26" spans="1:15" x14ac:dyDescent="0.25">
      <c r="A26" t="s">
        <v>2285</v>
      </c>
      <c r="B26" s="1" t="e">
        <v>#N/A</v>
      </c>
      <c r="C26" s="1" t="e">
        <v>#N/A</v>
      </c>
      <c r="D26" s="1" t="e">
        <v>#N/A</v>
      </c>
      <c r="E26" s="1" t="s">
        <v>2298</v>
      </c>
      <c r="F26" s="2" t="s">
        <v>2300</v>
      </c>
      <c r="G26" s="1" t="s">
        <v>2303</v>
      </c>
      <c r="H26" s="2">
        <v>21</v>
      </c>
      <c r="I26" s="3" t="s">
        <v>2344</v>
      </c>
      <c r="J26" t="s">
        <v>2365</v>
      </c>
      <c r="M26" s="3" t="s">
        <v>2300</v>
      </c>
      <c r="N26" s="3" t="s">
        <v>2256</v>
      </c>
      <c r="O26" t="s">
        <v>2310</v>
      </c>
    </row>
    <row r="27" spans="1:15" x14ac:dyDescent="0.25">
      <c r="A27" t="s">
        <v>2285</v>
      </c>
      <c r="B27" s="1" t="e">
        <v>#N/A</v>
      </c>
      <c r="C27" s="1" t="e">
        <v>#N/A</v>
      </c>
      <c r="D27" s="1" t="e">
        <v>#N/A</v>
      </c>
      <c r="E27" s="1" t="s">
        <v>2298</v>
      </c>
      <c r="F27" s="2" t="s">
        <v>2300</v>
      </c>
      <c r="G27" s="1" t="s">
        <v>2304</v>
      </c>
      <c r="H27" s="2">
        <v>20</v>
      </c>
      <c r="I27" s="3" t="s">
        <v>19</v>
      </c>
      <c r="J27" t="s">
        <v>2365</v>
      </c>
      <c r="M27" s="3" t="s">
        <v>2300</v>
      </c>
      <c r="N27" s="3" t="s">
        <v>2255</v>
      </c>
      <c r="O27" t="s">
        <v>2310</v>
      </c>
    </row>
    <row r="28" spans="1:15" x14ac:dyDescent="0.25">
      <c r="A28" t="s">
        <v>2283</v>
      </c>
      <c r="B28" s="1" t="s">
        <v>2289</v>
      </c>
      <c r="C28" s="1" t="s">
        <v>2292</v>
      </c>
      <c r="D28" s="1" t="s">
        <v>2431</v>
      </c>
      <c r="E28" s="1" t="s">
        <v>2298</v>
      </c>
      <c r="F28" s="2" t="s">
        <v>2300</v>
      </c>
      <c r="G28" s="1" t="s">
        <v>2304</v>
      </c>
      <c r="H28" s="2">
        <v>20</v>
      </c>
      <c r="I28" s="3" t="s">
        <v>11</v>
      </c>
      <c r="J28" t="s">
        <v>2365</v>
      </c>
      <c r="M28" s="3" t="s">
        <v>2300</v>
      </c>
      <c r="N28" s="3" t="s">
        <v>2255</v>
      </c>
      <c r="O28" t="s">
        <v>2310</v>
      </c>
    </row>
    <row r="29" spans="1:15" x14ac:dyDescent="0.25">
      <c r="A29" t="s">
        <v>2285</v>
      </c>
      <c r="B29" s="1" t="e">
        <v>#N/A</v>
      </c>
      <c r="C29" s="1" t="s">
        <v>2294</v>
      </c>
      <c r="D29" s="1" t="s">
        <v>2406</v>
      </c>
      <c r="E29" s="1" t="s">
        <v>2298</v>
      </c>
      <c r="F29" s="2" t="s">
        <v>2300</v>
      </c>
      <c r="G29" s="1" t="s">
        <v>2304</v>
      </c>
      <c r="H29" s="2">
        <v>20</v>
      </c>
      <c r="I29" s="3" t="s">
        <v>2361</v>
      </c>
      <c r="J29" t="s">
        <v>2365</v>
      </c>
      <c r="M29" s="3" t="s">
        <v>2300</v>
      </c>
      <c r="N29" s="3" t="s">
        <v>2255</v>
      </c>
      <c r="O29" t="s">
        <v>2310</v>
      </c>
    </row>
    <row r="30" spans="1:15" x14ac:dyDescent="0.25">
      <c r="A30" t="s">
        <v>2285</v>
      </c>
      <c r="B30" s="1" t="e">
        <v>#N/A</v>
      </c>
      <c r="C30" s="1" t="e">
        <v>#N/A</v>
      </c>
      <c r="D30" s="1" t="e">
        <v>#N/A</v>
      </c>
      <c r="E30" s="1" t="s">
        <v>2298</v>
      </c>
      <c r="F30" s="2" t="s">
        <v>2300</v>
      </c>
      <c r="G30" s="1" t="s">
        <v>2304</v>
      </c>
      <c r="H30" s="2">
        <v>20</v>
      </c>
      <c r="I30" s="3" t="s">
        <v>2359</v>
      </c>
      <c r="J30" t="s">
        <v>2365</v>
      </c>
      <c r="M30" s="3" t="s">
        <v>2300</v>
      </c>
      <c r="N30" s="3" t="s">
        <v>2255</v>
      </c>
      <c r="O30" t="s">
        <v>2310</v>
      </c>
    </row>
    <row r="31" spans="1:15" x14ac:dyDescent="0.25">
      <c r="A31" t="s">
        <v>2283</v>
      </c>
      <c r="B31" s="1" t="s">
        <v>2289</v>
      </c>
      <c r="C31" s="1" t="s">
        <v>2292</v>
      </c>
      <c r="D31" s="1" t="s">
        <v>2431</v>
      </c>
      <c r="E31" s="1" t="s">
        <v>2298</v>
      </c>
      <c r="F31" s="2" t="s">
        <v>2300</v>
      </c>
      <c r="G31" s="1" t="s">
        <v>2304</v>
      </c>
      <c r="H31" s="2">
        <v>20</v>
      </c>
      <c r="I31" s="3" t="s">
        <v>126</v>
      </c>
      <c r="J31" t="s">
        <v>2365</v>
      </c>
      <c r="M31" s="3" t="s">
        <v>2300</v>
      </c>
      <c r="N31" s="3" t="s">
        <v>2255</v>
      </c>
      <c r="O31" t="s">
        <v>2310</v>
      </c>
    </row>
    <row r="32" spans="1:15" x14ac:dyDescent="0.25">
      <c r="A32" t="s">
        <v>2285</v>
      </c>
      <c r="B32" s="1" t="s">
        <v>2288</v>
      </c>
      <c r="C32" s="1" t="s">
        <v>2291</v>
      </c>
      <c r="D32" s="1" t="s">
        <v>2438</v>
      </c>
      <c r="E32" s="1" t="s">
        <v>2439</v>
      </c>
      <c r="F32" s="2" t="s">
        <v>2301</v>
      </c>
      <c r="G32" s="1" t="s">
        <v>2304</v>
      </c>
      <c r="H32" s="2">
        <v>20</v>
      </c>
      <c r="I32" s="3" t="s">
        <v>48</v>
      </c>
      <c r="J32" t="s">
        <v>2365</v>
      </c>
      <c r="M32" s="3" t="s">
        <v>2300</v>
      </c>
      <c r="N32" s="3" t="s">
        <v>2255</v>
      </c>
      <c r="O32" t="s">
        <v>2310</v>
      </c>
    </row>
    <row r="33" spans="1:15" x14ac:dyDescent="0.25">
      <c r="A33" t="s">
        <v>2285</v>
      </c>
      <c r="B33" s="1" t="e">
        <v>#N/A</v>
      </c>
      <c r="C33" s="1" t="e">
        <v>#N/A</v>
      </c>
      <c r="D33" s="1" t="e">
        <v>#N/A</v>
      </c>
      <c r="E33" s="1" t="s">
        <v>2298</v>
      </c>
      <c r="F33" s="2" t="s">
        <v>2300</v>
      </c>
      <c r="G33" s="1" t="s">
        <v>2304</v>
      </c>
      <c r="H33" s="2">
        <v>19</v>
      </c>
      <c r="I33" s="3" t="s">
        <v>19</v>
      </c>
      <c r="J33" t="s">
        <v>2365</v>
      </c>
      <c r="M33" s="3" t="s">
        <v>2300</v>
      </c>
      <c r="N33" s="3" t="s">
        <v>2255</v>
      </c>
      <c r="O33" t="s">
        <v>2310</v>
      </c>
    </row>
    <row r="34" spans="1:15" x14ac:dyDescent="0.25">
      <c r="A34" t="s">
        <v>2285</v>
      </c>
      <c r="B34" s="1" t="e">
        <v>#N/A</v>
      </c>
      <c r="C34" s="1" t="e">
        <v>#N/A</v>
      </c>
      <c r="D34" s="1" t="e">
        <v>#N/A</v>
      </c>
      <c r="E34" s="1" t="s">
        <v>2439</v>
      </c>
      <c r="F34" s="2" t="s">
        <v>2300</v>
      </c>
      <c r="G34" s="1" t="s">
        <v>2304</v>
      </c>
      <c r="H34" s="2">
        <v>19</v>
      </c>
      <c r="I34" s="3" t="s">
        <v>2317</v>
      </c>
      <c r="J34" t="s">
        <v>2365</v>
      </c>
      <c r="M34" s="3" t="s">
        <v>2301</v>
      </c>
      <c r="N34" s="3" t="s">
        <v>2255</v>
      </c>
      <c r="O34" t="s">
        <v>2310</v>
      </c>
    </row>
    <row r="35" spans="1:15" x14ac:dyDescent="0.25">
      <c r="A35" t="s">
        <v>2285</v>
      </c>
      <c r="B35" s="1" t="e">
        <v>#N/A</v>
      </c>
      <c r="C35" s="1" t="e">
        <v>#N/A</v>
      </c>
      <c r="D35" s="1" t="e">
        <v>#N/A</v>
      </c>
      <c r="E35" s="1" t="s">
        <v>2439</v>
      </c>
      <c r="F35" s="2" t="s">
        <v>2300</v>
      </c>
      <c r="G35" s="1" t="s">
        <v>2304</v>
      </c>
      <c r="H35" s="2">
        <v>19</v>
      </c>
      <c r="I35" s="3" t="s">
        <v>2317</v>
      </c>
      <c r="J35" t="s">
        <v>2365</v>
      </c>
      <c r="M35" s="3" t="s">
        <v>2301</v>
      </c>
      <c r="N35" s="3" t="s">
        <v>2255</v>
      </c>
      <c r="O35" t="s">
        <v>2310</v>
      </c>
    </row>
    <row r="36" spans="1:15" x14ac:dyDescent="0.25">
      <c r="A36" t="s">
        <v>2285</v>
      </c>
      <c r="B36" s="1" t="s">
        <v>2288</v>
      </c>
      <c r="C36" s="1" t="s">
        <v>2291</v>
      </c>
      <c r="D36" s="1" t="s">
        <v>2438</v>
      </c>
      <c r="E36" s="1" t="s">
        <v>2439</v>
      </c>
      <c r="F36" s="2" t="s">
        <v>2301</v>
      </c>
      <c r="G36" s="1" t="s">
        <v>2304</v>
      </c>
      <c r="H36" s="2">
        <v>19</v>
      </c>
      <c r="I36" s="3" t="s">
        <v>31</v>
      </c>
      <c r="J36" t="s">
        <v>2365</v>
      </c>
      <c r="M36" s="3" t="s">
        <v>2300</v>
      </c>
      <c r="N36" s="3" t="s">
        <v>2255</v>
      </c>
      <c r="O36" t="s">
        <v>2310</v>
      </c>
    </row>
    <row r="37" spans="1:15" x14ac:dyDescent="0.25">
      <c r="A37" t="s">
        <v>2285</v>
      </c>
      <c r="B37" s="1" t="s">
        <v>2288</v>
      </c>
      <c r="C37" s="1" t="s">
        <v>2291</v>
      </c>
      <c r="D37" s="1" t="s">
        <v>2438</v>
      </c>
      <c r="E37" s="1" t="s">
        <v>2439</v>
      </c>
      <c r="F37" s="2" t="s">
        <v>2301</v>
      </c>
      <c r="G37" s="1" t="s">
        <v>2303</v>
      </c>
      <c r="H37" s="2">
        <v>19</v>
      </c>
      <c r="I37" s="3" t="s">
        <v>2318</v>
      </c>
      <c r="J37" t="s">
        <v>2365</v>
      </c>
      <c r="M37" s="3" t="s">
        <v>2300</v>
      </c>
      <c r="N37" s="3" t="s">
        <v>2256</v>
      </c>
      <c r="O37" t="s">
        <v>2310</v>
      </c>
    </row>
    <row r="38" spans="1:15" x14ac:dyDescent="0.25">
      <c r="A38" t="s">
        <v>2285</v>
      </c>
      <c r="B38" s="1" t="e">
        <v>#N/A</v>
      </c>
      <c r="C38" s="1" t="e">
        <v>#N/A</v>
      </c>
      <c r="D38" s="1" t="e">
        <v>#N/A</v>
      </c>
      <c r="E38" s="1" t="s">
        <v>2439</v>
      </c>
      <c r="F38" s="2" t="s">
        <v>2300</v>
      </c>
      <c r="G38" s="1" t="s">
        <v>2304</v>
      </c>
      <c r="H38" s="2">
        <v>19</v>
      </c>
      <c r="I38" s="3" t="s">
        <v>2319</v>
      </c>
      <c r="J38" t="s">
        <v>2365</v>
      </c>
      <c r="M38" s="3" t="s">
        <v>2301</v>
      </c>
      <c r="N38" s="3" t="s">
        <v>2255</v>
      </c>
      <c r="O38" t="s">
        <v>2310</v>
      </c>
    </row>
    <row r="39" spans="1:15" x14ac:dyDescent="0.25">
      <c r="A39" t="s">
        <v>2283</v>
      </c>
      <c r="B39" s="1" t="s">
        <v>2288</v>
      </c>
      <c r="C39" s="1" t="s">
        <v>2293</v>
      </c>
      <c r="D39" s="1" t="s">
        <v>2407</v>
      </c>
      <c r="E39" s="1" t="s">
        <v>2298</v>
      </c>
      <c r="F39" s="2" t="s">
        <v>2300</v>
      </c>
      <c r="G39" s="1" t="s">
        <v>2304</v>
      </c>
      <c r="H39" s="2">
        <v>16</v>
      </c>
      <c r="I39" s="3" t="s">
        <v>2334</v>
      </c>
      <c r="J39" t="s">
        <v>2365</v>
      </c>
      <c r="M39" s="3" t="s">
        <v>2300</v>
      </c>
      <c r="N39" s="3" t="s">
        <v>2255</v>
      </c>
      <c r="O39" t="s">
        <v>2310</v>
      </c>
    </row>
    <row r="40" spans="1:15" x14ac:dyDescent="0.25">
      <c r="A40" t="s">
        <v>2285</v>
      </c>
      <c r="B40" s="1" t="e">
        <v>#N/A</v>
      </c>
      <c r="C40" s="1" t="e">
        <v>#N/A</v>
      </c>
      <c r="D40" s="1" t="e">
        <v>#N/A</v>
      </c>
      <c r="E40" s="1" t="s">
        <v>2298</v>
      </c>
      <c r="F40" s="2" t="s">
        <v>2300</v>
      </c>
      <c r="G40" s="1" t="s">
        <v>2304</v>
      </c>
      <c r="H40" s="2">
        <v>16</v>
      </c>
      <c r="I40" s="3" t="s">
        <v>2368</v>
      </c>
      <c r="J40" t="s">
        <v>2365</v>
      </c>
      <c r="M40" s="3" t="s">
        <v>2300</v>
      </c>
      <c r="N40" s="3" t="s">
        <v>2255</v>
      </c>
      <c r="O40" t="s">
        <v>2310</v>
      </c>
    </row>
    <row r="41" spans="1:15" x14ac:dyDescent="0.25">
      <c r="A41" t="s">
        <v>2285</v>
      </c>
      <c r="B41" s="1" t="e">
        <v>#N/A</v>
      </c>
      <c r="C41" s="1" t="e">
        <v>#N/A</v>
      </c>
      <c r="D41" s="1" t="e">
        <v>#N/A</v>
      </c>
      <c r="E41" s="1" t="s">
        <v>2298</v>
      </c>
      <c r="F41" s="2" t="s">
        <v>2300</v>
      </c>
      <c r="G41" s="1" t="s">
        <v>2303</v>
      </c>
      <c r="H41" s="2">
        <v>16</v>
      </c>
      <c r="I41" s="3" t="s">
        <v>2345</v>
      </c>
      <c r="J41" t="s">
        <v>2365</v>
      </c>
      <c r="M41" s="3" t="s">
        <v>2300</v>
      </c>
      <c r="N41" s="3" t="s">
        <v>2256</v>
      </c>
      <c r="O41" t="s">
        <v>2310</v>
      </c>
    </row>
    <row r="42" spans="1:15" x14ac:dyDescent="0.25">
      <c r="A42" t="s">
        <v>2285</v>
      </c>
      <c r="B42" s="1" t="e">
        <v>#N/A</v>
      </c>
      <c r="C42" s="1" t="e">
        <v>#N/A</v>
      </c>
      <c r="D42" s="1" t="e">
        <v>#N/A</v>
      </c>
      <c r="E42" s="1" t="s">
        <v>2298</v>
      </c>
      <c r="F42" s="2" t="s">
        <v>2300</v>
      </c>
      <c r="G42" s="1" t="s">
        <v>2303</v>
      </c>
      <c r="H42" s="2">
        <v>16</v>
      </c>
      <c r="I42" s="3" t="s">
        <v>23</v>
      </c>
      <c r="J42" t="s">
        <v>2365</v>
      </c>
      <c r="M42" s="3" t="s">
        <v>2300</v>
      </c>
      <c r="N42" s="3" t="s">
        <v>2256</v>
      </c>
      <c r="O42" t="s">
        <v>2310</v>
      </c>
    </row>
    <row r="43" spans="1:15" x14ac:dyDescent="0.25">
      <c r="A43" t="s">
        <v>2285</v>
      </c>
      <c r="B43" s="1" t="e">
        <v>#N/A</v>
      </c>
      <c r="C43" s="1" t="e">
        <v>#N/A</v>
      </c>
      <c r="D43" s="1" t="e">
        <v>#N/A</v>
      </c>
      <c r="E43" s="1" t="s">
        <v>2298</v>
      </c>
      <c r="F43" s="2" t="s">
        <v>2300</v>
      </c>
      <c r="G43" s="1" t="s">
        <v>2304</v>
      </c>
      <c r="H43" s="2">
        <v>16</v>
      </c>
      <c r="I43" s="3" t="s">
        <v>22</v>
      </c>
      <c r="J43" t="s">
        <v>2365</v>
      </c>
      <c r="M43" s="3" t="s">
        <v>2300</v>
      </c>
      <c r="N43" s="3" t="s">
        <v>2255</v>
      </c>
      <c r="O43" t="s">
        <v>2310</v>
      </c>
    </row>
    <row r="44" spans="1:15" x14ac:dyDescent="0.25">
      <c r="A44" t="s">
        <v>2283</v>
      </c>
      <c r="B44" s="1" t="s">
        <v>2289</v>
      </c>
      <c r="C44" s="1" t="s">
        <v>2292</v>
      </c>
      <c r="D44" s="1" t="s">
        <v>2431</v>
      </c>
      <c r="E44" s="1" t="s">
        <v>2298</v>
      </c>
      <c r="F44" s="2" t="s">
        <v>2300</v>
      </c>
      <c r="G44" s="1" t="s">
        <v>2304</v>
      </c>
      <c r="H44" s="2">
        <v>16</v>
      </c>
      <c r="I44" s="3" t="s">
        <v>11</v>
      </c>
      <c r="J44" t="s">
        <v>2365</v>
      </c>
      <c r="M44" s="3" t="s">
        <v>2300</v>
      </c>
      <c r="N44" s="3" t="s">
        <v>2255</v>
      </c>
      <c r="O44" t="s">
        <v>2310</v>
      </c>
    </row>
    <row r="45" spans="1:15" x14ac:dyDescent="0.25">
      <c r="A45" t="s">
        <v>2285</v>
      </c>
      <c r="B45" s="1" t="e">
        <v>#N/A</v>
      </c>
      <c r="C45" s="1" t="e">
        <v>#N/A</v>
      </c>
      <c r="D45" s="1" t="e">
        <v>#N/A</v>
      </c>
      <c r="E45" s="1" t="s">
        <v>2298</v>
      </c>
      <c r="F45" s="2" t="s">
        <v>2300</v>
      </c>
      <c r="G45" s="1" t="s">
        <v>2304</v>
      </c>
      <c r="H45" s="2">
        <v>16</v>
      </c>
      <c r="I45" s="3" t="s">
        <v>2420</v>
      </c>
      <c r="J45" t="s">
        <v>2365</v>
      </c>
      <c r="M45" s="3" t="s">
        <v>2300</v>
      </c>
      <c r="N45" s="3" t="s">
        <v>2255</v>
      </c>
      <c r="O45" t="s">
        <v>2310</v>
      </c>
    </row>
    <row r="46" spans="1:15" x14ac:dyDescent="0.25">
      <c r="A46" t="s">
        <v>2285</v>
      </c>
      <c r="B46" s="1" t="e">
        <v>#N/A</v>
      </c>
      <c r="C46" s="1" t="e">
        <v>#N/A</v>
      </c>
      <c r="D46" s="1" t="e">
        <v>#N/A</v>
      </c>
      <c r="E46" s="1" t="s">
        <v>2298</v>
      </c>
      <c r="F46" s="2" t="s">
        <v>2300</v>
      </c>
      <c r="G46" s="1" t="s">
        <v>2305</v>
      </c>
      <c r="H46" s="2">
        <v>16</v>
      </c>
      <c r="I46" s="3" t="s">
        <v>2369</v>
      </c>
      <c r="J46" t="s">
        <v>2365</v>
      </c>
      <c r="M46" s="3" t="s">
        <v>2300</v>
      </c>
      <c r="N46" s="3" t="s">
        <v>2258</v>
      </c>
      <c r="O46" t="s">
        <v>2310</v>
      </c>
    </row>
    <row r="47" spans="1:15" x14ac:dyDescent="0.25">
      <c r="A47" t="s">
        <v>2283</v>
      </c>
      <c r="B47" s="1" t="s">
        <v>2289</v>
      </c>
      <c r="C47" s="1" t="s">
        <v>2291</v>
      </c>
      <c r="D47" s="1" t="s">
        <v>2400</v>
      </c>
      <c r="E47" s="1" t="s">
        <v>2298</v>
      </c>
      <c r="F47" s="2" t="s">
        <v>2300</v>
      </c>
      <c r="G47" s="1" t="s">
        <v>2304</v>
      </c>
      <c r="H47" s="2">
        <v>16</v>
      </c>
      <c r="I47" s="3" t="s">
        <v>2314</v>
      </c>
      <c r="J47" t="s">
        <v>2365</v>
      </c>
      <c r="M47" s="3" t="s">
        <v>2300</v>
      </c>
      <c r="N47" s="3" t="s">
        <v>2255</v>
      </c>
      <c r="O47" t="s">
        <v>2310</v>
      </c>
    </row>
    <row r="48" spans="1:15" x14ac:dyDescent="0.25">
      <c r="A48" t="s">
        <v>2283</v>
      </c>
      <c r="B48" s="1" t="s">
        <v>2289</v>
      </c>
      <c r="C48" s="1" t="s">
        <v>2292</v>
      </c>
      <c r="D48" s="1" t="s">
        <v>2431</v>
      </c>
      <c r="E48" s="1" t="s">
        <v>2298</v>
      </c>
      <c r="F48" s="2" t="s">
        <v>2300</v>
      </c>
      <c r="G48" s="1" t="s">
        <v>2304</v>
      </c>
      <c r="H48" s="2">
        <v>16</v>
      </c>
      <c r="I48" s="3" t="s">
        <v>11</v>
      </c>
      <c r="J48" t="s">
        <v>2365</v>
      </c>
      <c r="M48" s="3" t="s">
        <v>2300</v>
      </c>
      <c r="N48" s="3" t="s">
        <v>2255</v>
      </c>
      <c r="O48" t="s">
        <v>2310</v>
      </c>
    </row>
    <row r="49" spans="1:15" x14ac:dyDescent="0.25">
      <c r="A49" t="s">
        <v>2285</v>
      </c>
      <c r="B49" s="1" t="e">
        <v>#N/A</v>
      </c>
      <c r="C49" s="1" t="e">
        <v>#N/A</v>
      </c>
      <c r="D49" s="1" t="e">
        <v>#N/A</v>
      </c>
      <c r="E49" s="1" t="s">
        <v>2298</v>
      </c>
      <c r="F49" s="2" t="s">
        <v>2300</v>
      </c>
      <c r="G49" s="1" t="s">
        <v>2304</v>
      </c>
      <c r="H49" s="2">
        <v>16</v>
      </c>
      <c r="I49" s="3" t="s">
        <v>19</v>
      </c>
      <c r="J49" t="s">
        <v>2365</v>
      </c>
      <c r="M49" s="3" t="s">
        <v>2300</v>
      </c>
      <c r="N49" s="3" t="s">
        <v>2255</v>
      </c>
      <c r="O49" t="s">
        <v>2310</v>
      </c>
    </row>
    <row r="50" spans="1:15" x14ac:dyDescent="0.25">
      <c r="A50" t="s">
        <v>2285</v>
      </c>
      <c r="B50" s="1" t="e">
        <v>#N/A</v>
      </c>
      <c r="C50" s="1" t="e">
        <v>#N/A</v>
      </c>
      <c r="D50" s="1" t="e">
        <v>#N/A</v>
      </c>
      <c r="E50" s="1" t="s">
        <v>2298</v>
      </c>
      <c r="F50" s="2" t="s">
        <v>2300</v>
      </c>
      <c r="G50" s="1" t="s">
        <v>2304</v>
      </c>
      <c r="H50" s="2">
        <v>16</v>
      </c>
      <c r="I50" s="3" t="s">
        <v>2370</v>
      </c>
      <c r="J50" t="s">
        <v>2365</v>
      </c>
      <c r="M50" s="3" t="s">
        <v>2300</v>
      </c>
      <c r="N50" s="3" t="s">
        <v>2255</v>
      </c>
      <c r="O50" t="s">
        <v>2310</v>
      </c>
    </row>
    <row r="51" spans="1:15" x14ac:dyDescent="0.25">
      <c r="A51" t="s">
        <v>2285</v>
      </c>
      <c r="B51" s="1" t="s">
        <v>2288</v>
      </c>
      <c r="C51" s="1" t="s">
        <v>2291</v>
      </c>
      <c r="D51" s="1" t="s">
        <v>2438</v>
      </c>
      <c r="E51" s="1" t="s">
        <v>2439</v>
      </c>
      <c r="F51" s="2" t="s">
        <v>2301</v>
      </c>
      <c r="G51" s="1" t="s">
        <v>2304</v>
      </c>
      <c r="H51" s="2">
        <v>16</v>
      </c>
      <c r="I51" s="3" t="s">
        <v>2348</v>
      </c>
      <c r="J51" t="s">
        <v>2365</v>
      </c>
      <c r="M51" s="3" t="s">
        <v>2300</v>
      </c>
      <c r="N51" s="3" t="s">
        <v>2255</v>
      </c>
      <c r="O51" t="s">
        <v>2310</v>
      </c>
    </row>
    <row r="52" spans="1:15" x14ac:dyDescent="0.25">
      <c r="A52" t="s">
        <v>2285</v>
      </c>
      <c r="B52" s="1" t="s">
        <v>2288</v>
      </c>
      <c r="C52" s="1" t="s">
        <v>2291</v>
      </c>
      <c r="D52" s="1" t="s">
        <v>2438</v>
      </c>
      <c r="E52" s="1" t="s">
        <v>2439</v>
      </c>
      <c r="F52" s="2" t="s">
        <v>2301</v>
      </c>
      <c r="G52" s="1" t="s">
        <v>2303</v>
      </c>
      <c r="H52" s="2">
        <v>16</v>
      </c>
      <c r="I52" s="3" t="s">
        <v>2341</v>
      </c>
      <c r="J52" t="s">
        <v>2365</v>
      </c>
      <c r="M52" s="3" t="s">
        <v>2300</v>
      </c>
      <c r="N52" s="3" t="s">
        <v>2256</v>
      </c>
      <c r="O52" t="s">
        <v>2310</v>
      </c>
    </row>
    <row r="53" spans="1:15" x14ac:dyDescent="0.25">
      <c r="A53" t="s">
        <v>2285</v>
      </c>
      <c r="B53" s="1" t="s">
        <v>2288</v>
      </c>
      <c r="C53" s="1" t="s">
        <v>2291</v>
      </c>
      <c r="D53" s="1" t="s">
        <v>2438</v>
      </c>
      <c r="E53" s="1" t="s">
        <v>2439</v>
      </c>
      <c r="F53" s="2" t="s">
        <v>2301</v>
      </c>
      <c r="G53" s="1" t="s">
        <v>2304</v>
      </c>
      <c r="H53" s="2">
        <v>16</v>
      </c>
      <c r="I53" s="3" t="s">
        <v>2341</v>
      </c>
      <c r="J53" t="s">
        <v>2365</v>
      </c>
      <c r="M53" s="3" t="s">
        <v>2300</v>
      </c>
      <c r="N53" s="3" t="s">
        <v>2255</v>
      </c>
      <c r="O53" t="s">
        <v>2310</v>
      </c>
    </row>
    <row r="54" spans="1:15" x14ac:dyDescent="0.25">
      <c r="A54" t="s">
        <v>2285</v>
      </c>
      <c r="B54" s="1" t="s">
        <v>2288</v>
      </c>
      <c r="C54" s="1" t="s">
        <v>2291</v>
      </c>
      <c r="D54" s="1" t="s">
        <v>2438</v>
      </c>
      <c r="E54" s="1" t="s">
        <v>2439</v>
      </c>
      <c r="F54" s="2" t="s">
        <v>2301</v>
      </c>
      <c r="G54" s="1" t="s">
        <v>2304</v>
      </c>
      <c r="H54" s="2">
        <v>16</v>
      </c>
      <c r="I54" s="3" t="s">
        <v>2373</v>
      </c>
      <c r="J54" t="s">
        <v>2365</v>
      </c>
      <c r="M54" s="3" t="s">
        <v>2300</v>
      </c>
      <c r="N54" s="3" t="s">
        <v>2255</v>
      </c>
      <c r="O54" t="s">
        <v>2310</v>
      </c>
    </row>
    <row r="55" spans="1:15" x14ac:dyDescent="0.25">
      <c r="A55" t="s">
        <v>2285</v>
      </c>
      <c r="B55" s="1" t="s">
        <v>2288</v>
      </c>
      <c r="C55" s="1" t="s">
        <v>2291</v>
      </c>
      <c r="D55" s="1" t="s">
        <v>2438</v>
      </c>
      <c r="E55" s="1" t="s">
        <v>2439</v>
      </c>
      <c r="F55" s="2" t="s">
        <v>2301</v>
      </c>
      <c r="G55" s="1" t="s">
        <v>2304</v>
      </c>
      <c r="H55" s="2">
        <v>16</v>
      </c>
      <c r="I55" s="3" t="s">
        <v>38</v>
      </c>
      <c r="J55" t="s">
        <v>2365</v>
      </c>
      <c r="M55" s="3" t="s">
        <v>2300</v>
      </c>
      <c r="N55" s="3" t="s">
        <v>2255</v>
      </c>
      <c r="O55" t="s">
        <v>2310</v>
      </c>
    </row>
    <row r="56" spans="1:15" x14ac:dyDescent="0.25">
      <c r="A56" t="s">
        <v>2285</v>
      </c>
      <c r="B56" s="1" t="s">
        <v>2288</v>
      </c>
      <c r="C56" s="1" t="s">
        <v>2291</v>
      </c>
      <c r="D56" s="1" t="s">
        <v>2438</v>
      </c>
      <c r="E56" s="1" t="s">
        <v>2439</v>
      </c>
      <c r="F56" s="2" t="s">
        <v>2301</v>
      </c>
      <c r="G56" s="1" t="s">
        <v>2304</v>
      </c>
      <c r="H56" s="2">
        <v>16</v>
      </c>
      <c r="I56" s="3" t="s">
        <v>18</v>
      </c>
      <c r="J56" t="s">
        <v>2365</v>
      </c>
      <c r="M56" s="3" t="s">
        <v>2300</v>
      </c>
      <c r="N56" s="3" t="s">
        <v>2255</v>
      </c>
      <c r="O56" t="s">
        <v>2310</v>
      </c>
    </row>
    <row r="57" spans="1:15" x14ac:dyDescent="0.25">
      <c r="A57" t="s">
        <v>2283</v>
      </c>
      <c r="B57" s="1" t="s">
        <v>2289</v>
      </c>
      <c r="C57" s="1" t="s">
        <v>2292</v>
      </c>
      <c r="D57" s="1" t="s">
        <v>2431</v>
      </c>
      <c r="E57" s="1" t="s">
        <v>2298</v>
      </c>
      <c r="F57" s="2" t="s">
        <v>2300</v>
      </c>
      <c r="G57" s="1" t="s">
        <v>2304</v>
      </c>
      <c r="H57" s="2">
        <v>15</v>
      </c>
      <c r="I57" s="3" t="s">
        <v>1</v>
      </c>
      <c r="J57" t="s">
        <v>2365</v>
      </c>
      <c r="M57" s="3" t="s">
        <v>2300</v>
      </c>
      <c r="N57" s="3" t="s">
        <v>2255</v>
      </c>
      <c r="O57" t="s">
        <v>2310</v>
      </c>
    </row>
    <row r="58" spans="1:15" x14ac:dyDescent="0.25">
      <c r="A58" t="s">
        <v>2285</v>
      </c>
      <c r="B58" s="1" t="e">
        <v>#N/A</v>
      </c>
      <c r="C58" s="1" t="e">
        <v>#N/A</v>
      </c>
      <c r="D58" s="1" t="e">
        <v>#N/A</v>
      </c>
      <c r="E58" s="1" t="s">
        <v>2298</v>
      </c>
      <c r="F58" s="2" t="s">
        <v>2300</v>
      </c>
      <c r="G58" s="1" t="s">
        <v>2304</v>
      </c>
      <c r="H58" s="2">
        <v>15</v>
      </c>
      <c r="I58" s="3" t="s">
        <v>21</v>
      </c>
      <c r="J58" t="s">
        <v>2365</v>
      </c>
      <c r="M58" s="3" t="s">
        <v>2300</v>
      </c>
      <c r="N58" s="3" t="s">
        <v>2255</v>
      </c>
      <c r="O58" t="s">
        <v>2310</v>
      </c>
    </row>
    <row r="59" spans="1:15" x14ac:dyDescent="0.25">
      <c r="A59" t="s">
        <v>2285</v>
      </c>
      <c r="B59" s="1" t="e">
        <v>#N/A</v>
      </c>
      <c r="C59" s="1" t="e">
        <v>#N/A</v>
      </c>
      <c r="D59" s="1" t="e">
        <v>#N/A</v>
      </c>
      <c r="E59" s="1" t="s">
        <v>2298</v>
      </c>
      <c r="F59" s="2" t="s">
        <v>2300</v>
      </c>
      <c r="G59" s="1" t="s">
        <v>2304</v>
      </c>
      <c r="H59" s="2">
        <v>15</v>
      </c>
      <c r="I59" s="3" t="s">
        <v>22</v>
      </c>
      <c r="J59" t="s">
        <v>2365</v>
      </c>
      <c r="M59" s="3" t="s">
        <v>2300</v>
      </c>
      <c r="N59" s="3" t="s">
        <v>2255</v>
      </c>
      <c r="O59" t="s">
        <v>2310</v>
      </c>
    </row>
    <row r="60" spans="1:15" x14ac:dyDescent="0.25">
      <c r="A60" t="s">
        <v>2285</v>
      </c>
      <c r="B60" s="1" t="e">
        <v>#N/A</v>
      </c>
      <c r="C60" s="1" t="e">
        <v>#N/A</v>
      </c>
      <c r="D60" s="1" t="e">
        <v>#N/A</v>
      </c>
      <c r="E60" s="1" t="s">
        <v>2298</v>
      </c>
      <c r="F60" s="2" t="s">
        <v>2300</v>
      </c>
      <c r="G60" s="1" t="s">
        <v>2304</v>
      </c>
      <c r="H60" s="2">
        <v>15</v>
      </c>
      <c r="I60" s="3" t="s">
        <v>2380</v>
      </c>
      <c r="J60" t="s">
        <v>2365</v>
      </c>
      <c r="M60" s="3" t="s">
        <v>2300</v>
      </c>
      <c r="N60" s="3" t="s">
        <v>2255</v>
      </c>
      <c r="O60" t="s">
        <v>2310</v>
      </c>
    </row>
    <row r="61" spans="1:15" x14ac:dyDescent="0.25">
      <c r="A61" t="s">
        <v>2285</v>
      </c>
      <c r="B61" s="1" t="e">
        <v>#N/A</v>
      </c>
      <c r="C61" s="1" t="e">
        <v>#N/A</v>
      </c>
      <c r="D61" s="1" t="e">
        <v>#N/A</v>
      </c>
      <c r="E61" s="1" t="s">
        <v>2439</v>
      </c>
      <c r="F61" s="2" t="s">
        <v>2300</v>
      </c>
      <c r="G61" s="1" t="s">
        <v>2304</v>
      </c>
      <c r="H61" s="2">
        <v>15</v>
      </c>
      <c r="I61" s="3" t="s">
        <v>2317</v>
      </c>
      <c r="J61" t="s">
        <v>2365</v>
      </c>
      <c r="M61" s="3" t="s">
        <v>2301</v>
      </c>
      <c r="N61" s="3" t="s">
        <v>2255</v>
      </c>
      <c r="O61" t="s">
        <v>2310</v>
      </c>
    </row>
    <row r="62" spans="1:15" x14ac:dyDescent="0.25">
      <c r="A62" t="s">
        <v>2285</v>
      </c>
      <c r="B62" s="1" t="s">
        <v>2288</v>
      </c>
      <c r="C62" s="1" t="s">
        <v>2291</v>
      </c>
      <c r="D62" s="1" t="s">
        <v>2438</v>
      </c>
      <c r="E62" s="1" t="s">
        <v>2439</v>
      </c>
      <c r="F62" s="2" t="s">
        <v>2301</v>
      </c>
      <c r="G62" s="1" t="s">
        <v>2304</v>
      </c>
      <c r="H62" s="2">
        <v>15</v>
      </c>
      <c r="I62" s="3" t="s">
        <v>2329</v>
      </c>
      <c r="J62" t="s">
        <v>2365</v>
      </c>
      <c r="M62" s="3" t="s">
        <v>2300</v>
      </c>
      <c r="N62" s="3" t="s">
        <v>2255</v>
      </c>
      <c r="O62" t="s">
        <v>2310</v>
      </c>
    </row>
    <row r="63" spans="1:15" x14ac:dyDescent="0.25">
      <c r="A63" t="s">
        <v>2285</v>
      </c>
      <c r="B63" s="1" t="s">
        <v>2288</v>
      </c>
      <c r="C63" s="1" t="s">
        <v>2291</v>
      </c>
      <c r="D63" s="1" t="s">
        <v>2438</v>
      </c>
      <c r="E63" s="1" t="s">
        <v>2439</v>
      </c>
      <c r="F63" s="2" t="s">
        <v>2301</v>
      </c>
      <c r="G63" s="1" t="s">
        <v>2304</v>
      </c>
      <c r="H63" s="2">
        <v>15</v>
      </c>
      <c r="I63" s="3" t="s">
        <v>2321</v>
      </c>
      <c r="J63" t="s">
        <v>2365</v>
      </c>
      <c r="M63" s="3" t="s">
        <v>2300</v>
      </c>
      <c r="N63" s="3" t="s">
        <v>2255</v>
      </c>
      <c r="O63" t="s">
        <v>2310</v>
      </c>
    </row>
    <row r="64" spans="1:15" x14ac:dyDescent="0.25">
      <c r="A64" t="s">
        <v>2285</v>
      </c>
      <c r="B64" s="1" t="s">
        <v>2288</v>
      </c>
      <c r="C64" s="1" t="s">
        <v>2291</v>
      </c>
      <c r="D64" s="1" t="s">
        <v>2438</v>
      </c>
      <c r="E64" s="1" t="s">
        <v>2439</v>
      </c>
      <c r="F64" s="2" t="s">
        <v>2301</v>
      </c>
      <c r="G64" s="1" t="s">
        <v>2304</v>
      </c>
      <c r="H64" s="2">
        <v>15</v>
      </c>
      <c r="I64" s="3" t="s">
        <v>2385</v>
      </c>
      <c r="J64" t="s">
        <v>2365</v>
      </c>
      <c r="M64" s="3" t="s">
        <v>2300</v>
      </c>
      <c r="N64" s="3" t="s">
        <v>2255</v>
      </c>
      <c r="O64" t="s">
        <v>2310</v>
      </c>
    </row>
    <row r="65" spans="1:15" x14ac:dyDescent="0.25">
      <c r="A65" t="s">
        <v>2285</v>
      </c>
      <c r="B65" s="1" t="s">
        <v>2288</v>
      </c>
      <c r="C65" s="1" t="s">
        <v>2291</v>
      </c>
      <c r="D65" s="1" t="s">
        <v>2438</v>
      </c>
      <c r="E65" s="1" t="s">
        <v>2439</v>
      </c>
      <c r="F65" s="2" t="s">
        <v>2301</v>
      </c>
      <c r="G65" s="1" t="s">
        <v>2304</v>
      </c>
      <c r="H65" s="2">
        <v>15</v>
      </c>
      <c r="I65" s="3" t="s">
        <v>2383</v>
      </c>
      <c r="J65" t="s">
        <v>2365</v>
      </c>
      <c r="M65" s="3" t="s">
        <v>2300</v>
      </c>
      <c r="N65" s="3" t="s">
        <v>2255</v>
      </c>
      <c r="O65" t="s">
        <v>2310</v>
      </c>
    </row>
    <row r="66" spans="1:15" x14ac:dyDescent="0.25">
      <c r="A66" t="s">
        <v>2285</v>
      </c>
      <c r="B66" s="1" t="s">
        <v>2288</v>
      </c>
      <c r="C66" s="1" t="s">
        <v>2291</v>
      </c>
      <c r="D66" s="1" t="s">
        <v>2438</v>
      </c>
      <c r="E66" s="1" t="s">
        <v>2439</v>
      </c>
      <c r="F66" s="2" t="s">
        <v>2301</v>
      </c>
      <c r="G66" s="1" t="s">
        <v>2304</v>
      </c>
      <c r="H66" s="2">
        <v>15</v>
      </c>
      <c r="I66" s="3" t="s">
        <v>2321</v>
      </c>
      <c r="J66" t="s">
        <v>2365</v>
      </c>
      <c r="M66" s="3" t="s">
        <v>2300</v>
      </c>
      <c r="N66" s="3" t="s">
        <v>2255</v>
      </c>
      <c r="O66" t="s">
        <v>2310</v>
      </c>
    </row>
    <row r="67" spans="1:15" x14ac:dyDescent="0.25">
      <c r="A67" t="s">
        <v>2285</v>
      </c>
      <c r="B67" s="1" t="e">
        <v>#N/A</v>
      </c>
      <c r="C67" s="1" t="e">
        <v>#N/A</v>
      </c>
      <c r="D67" s="1" t="e">
        <v>#N/A</v>
      </c>
      <c r="E67" s="1" t="s">
        <v>2439</v>
      </c>
      <c r="F67" s="2" t="s">
        <v>2300</v>
      </c>
      <c r="G67" s="1" t="s">
        <v>2304</v>
      </c>
      <c r="H67" s="2">
        <v>15</v>
      </c>
      <c r="I67" s="3" t="s">
        <v>2333</v>
      </c>
      <c r="J67" t="s">
        <v>2365</v>
      </c>
      <c r="M67" s="3" t="s">
        <v>2301</v>
      </c>
      <c r="N67" s="3" t="s">
        <v>2255</v>
      </c>
      <c r="O67" t="s">
        <v>2310</v>
      </c>
    </row>
    <row r="68" spans="1:15" x14ac:dyDescent="0.25">
      <c r="A68" t="s">
        <v>2285</v>
      </c>
      <c r="B68" s="1" t="s">
        <v>2288</v>
      </c>
      <c r="C68" s="1" t="s">
        <v>2291</v>
      </c>
      <c r="D68" s="1" t="s">
        <v>2438</v>
      </c>
      <c r="E68" s="1" t="s">
        <v>2439</v>
      </c>
      <c r="F68" s="2" t="s">
        <v>2301</v>
      </c>
      <c r="G68" s="1" t="s">
        <v>2304</v>
      </c>
      <c r="H68" s="2">
        <v>15</v>
      </c>
      <c r="I68" s="3" t="s">
        <v>2332</v>
      </c>
      <c r="J68" t="s">
        <v>2365</v>
      </c>
      <c r="M68" s="3" t="s">
        <v>2300</v>
      </c>
      <c r="N68" s="3" t="s">
        <v>2255</v>
      </c>
      <c r="O68" t="s">
        <v>2310</v>
      </c>
    </row>
    <row r="69" spans="1:15" x14ac:dyDescent="0.25">
      <c r="A69" t="s">
        <v>2285</v>
      </c>
      <c r="B69" s="1" t="s">
        <v>2288</v>
      </c>
      <c r="C69" s="1" t="s">
        <v>2291</v>
      </c>
      <c r="D69" s="1" t="s">
        <v>2438</v>
      </c>
      <c r="E69" s="1" t="s">
        <v>2439</v>
      </c>
      <c r="F69" s="2" t="s">
        <v>2301</v>
      </c>
      <c r="G69" s="1" t="s">
        <v>2304</v>
      </c>
      <c r="H69" s="2">
        <v>15</v>
      </c>
      <c r="I69" s="3" t="s">
        <v>2347</v>
      </c>
      <c r="J69" t="s">
        <v>2365</v>
      </c>
      <c r="M69" s="3" t="s">
        <v>2300</v>
      </c>
      <c r="N69" s="3" t="s">
        <v>2255</v>
      </c>
      <c r="O69" t="s">
        <v>2310</v>
      </c>
    </row>
    <row r="70" spans="1:15" x14ac:dyDescent="0.25">
      <c r="A70" t="s">
        <v>2285</v>
      </c>
      <c r="B70" s="1" t="e">
        <v>#N/A</v>
      </c>
      <c r="C70" s="1" t="e">
        <v>#N/A</v>
      </c>
      <c r="D70" s="1" t="e">
        <v>#N/A</v>
      </c>
      <c r="E70" s="1" t="s">
        <v>2439</v>
      </c>
      <c r="F70" s="2" t="s">
        <v>2301</v>
      </c>
      <c r="G70" s="1" t="s">
        <v>2305</v>
      </c>
      <c r="H70" s="2">
        <v>15</v>
      </c>
      <c r="I70" s="3" t="s">
        <v>1</v>
      </c>
      <c r="J70" t="s">
        <v>2365</v>
      </c>
      <c r="M70" s="3" t="s">
        <v>2300</v>
      </c>
      <c r="N70" s="3" t="s">
        <v>2257</v>
      </c>
      <c r="O70" t="s">
        <v>2310</v>
      </c>
    </row>
    <row r="71" spans="1:15" x14ac:dyDescent="0.25">
      <c r="A71" t="s">
        <v>2285</v>
      </c>
      <c r="B71" s="1" t="s">
        <v>2288</v>
      </c>
      <c r="C71" s="1" t="s">
        <v>2291</v>
      </c>
      <c r="D71" s="1" t="s">
        <v>2438</v>
      </c>
      <c r="E71" s="1" t="s">
        <v>2439</v>
      </c>
      <c r="F71" s="2" t="s">
        <v>2301</v>
      </c>
      <c r="G71" s="1" t="s">
        <v>2304</v>
      </c>
      <c r="H71" s="2">
        <v>15</v>
      </c>
      <c r="I71" s="3" t="s">
        <v>1</v>
      </c>
      <c r="J71" t="s">
        <v>2365</v>
      </c>
      <c r="M71" s="3" t="s">
        <v>2300</v>
      </c>
      <c r="N71" s="3" t="s">
        <v>2255</v>
      </c>
      <c r="O71" t="s">
        <v>2310</v>
      </c>
    </row>
    <row r="72" spans="1:15" x14ac:dyDescent="0.25">
      <c r="A72" t="s">
        <v>2285</v>
      </c>
      <c r="B72" s="1" t="e">
        <v>#N/A</v>
      </c>
      <c r="C72" s="1" t="e">
        <v>#N/A</v>
      </c>
      <c r="D72" s="1" t="e">
        <v>#N/A</v>
      </c>
      <c r="E72" s="1" t="s">
        <v>2439</v>
      </c>
      <c r="F72" s="2" t="s">
        <v>2300</v>
      </c>
      <c r="G72" s="1" t="s">
        <v>2304</v>
      </c>
      <c r="H72" s="2">
        <v>15</v>
      </c>
      <c r="I72" s="3" t="s">
        <v>2313</v>
      </c>
      <c r="J72" t="s">
        <v>2365</v>
      </c>
      <c r="M72" s="3" t="s">
        <v>2301</v>
      </c>
      <c r="N72" s="3" t="s">
        <v>2255</v>
      </c>
      <c r="O72" t="s">
        <v>2310</v>
      </c>
    </row>
    <row r="73" spans="1:15" x14ac:dyDescent="0.25">
      <c r="A73" t="s">
        <v>2285</v>
      </c>
      <c r="B73" s="1" t="s">
        <v>2289</v>
      </c>
      <c r="C73" s="1" t="s">
        <v>2291</v>
      </c>
      <c r="D73" s="1" t="s">
        <v>2438</v>
      </c>
      <c r="E73" s="1" t="s">
        <v>2439</v>
      </c>
      <c r="F73" s="2" t="s">
        <v>2301</v>
      </c>
      <c r="G73" s="1" t="s">
        <v>2304</v>
      </c>
      <c r="H73" s="2">
        <v>15</v>
      </c>
      <c r="I73" s="3" t="s">
        <v>2382</v>
      </c>
      <c r="J73" t="s">
        <v>2365</v>
      </c>
      <c r="M73" s="3" t="s">
        <v>2300</v>
      </c>
      <c r="N73" s="3" t="s">
        <v>2255</v>
      </c>
      <c r="O73" t="s">
        <v>2310</v>
      </c>
    </row>
    <row r="74" spans="1:15" x14ac:dyDescent="0.25">
      <c r="A74" t="s">
        <v>2285</v>
      </c>
      <c r="B74" s="1" t="e">
        <v>#N/A</v>
      </c>
      <c r="C74" s="1" t="e">
        <v>#N/A</v>
      </c>
      <c r="D74" s="1" t="e">
        <v>#N/A</v>
      </c>
      <c r="E74" s="1" t="s">
        <v>2439</v>
      </c>
      <c r="F74" s="2" t="s">
        <v>2300</v>
      </c>
      <c r="G74" s="1" t="s">
        <v>2304</v>
      </c>
      <c r="H74" s="2">
        <v>15</v>
      </c>
      <c r="I74" s="3" t="s">
        <v>2381</v>
      </c>
      <c r="J74" t="s">
        <v>2365</v>
      </c>
      <c r="M74" s="3" t="s">
        <v>2301</v>
      </c>
      <c r="N74" s="3" t="s">
        <v>2255</v>
      </c>
      <c r="O74" t="s">
        <v>2310</v>
      </c>
    </row>
    <row r="75" spans="1:15" x14ac:dyDescent="0.25">
      <c r="A75" t="s">
        <v>2285</v>
      </c>
      <c r="B75" s="1" t="s">
        <v>2288</v>
      </c>
      <c r="C75" s="1" t="s">
        <v>2291</v>
      </c>
      <c r="D75" s="1" t="s">
        <v>2438</v>
      </c>
      <c r="E75" s="1" t="s">
        <v>2439</v>
      </c>
      <c r="F75" s="2" t="s">
        <v>2301</v>
      </c>
      <c r="G75" s="1" t="s">
        <v>2304</v>
      </c>
      <c r="H75" s="2">
        <v>15</v>
      </c>
      <c r="I75" s="3" t="s">
        <v>2321</v>
      </c>
      <c r="J75" t="s">
        <v>2365</v>
      </c>
      <c r="M75" s="3" t="s">
        <v>2300</v>
      </c>
      <c r="N75" s="3" t="s">
        <v>2255</v>
      </c>
      <c r="O75" t="s">
        <v>2310</v>
      </c>
    </row>
    <row r="76" spans="1:15" x14ac:dyDescent="0.25">
      <c r="A76" t="s">
        <v>2285</v>
      </c>
      <c r="B76" s="1" t="s">
        <v>2288</v>
      </c>
      <c r="C76" s="1" t="s">
        <v>2291</v>
      </c>
      <c r="D76" s="1" t="s">
        <v>2438</v>
      </c>
      <c r="E76" s="1" t="s">
        <v>2439</v>
      </c>
      <c r="F76" s="2" t="s">
        <v>2301</v>
      </c>
      <c r="G76" s="1" t="s">
        <v>2303</v>
      </c>
      <c r="H76" s="2">
        <v>15</v>
      </c>
      <c r="I76" s="3" t="s">
        <v>2321</v>
      </c>
      <c r="J76" t="s">
        <v>2365</v>
      </c>
      <c r="M76" s="3" t="s">
        <v>2300</v>
      </c>
      <c r="N76" s="3" t="s">
        <v>2256</v>
      </c>
      <c r="O76" t="s">
        <v>2310</v>
      </c>
    </row>
    <row r="77" spans="1:15" x14ac:dyDescent="0.25">
      <c r="A77" t="s">
        <v>2283</v>
      </c>
      <c r="B77" s="1" t="s">
        <v>2288</v>
      </c>
      <c r="C77" s="1" t="s">
        <v>2293</v>
      </c>
      <c r="D77" s="1" t="s">
        <v>2426</v>
      </c>
      <c r="E77" s="1" t="s">
        <v>2298</v>
      </c>
      <c r="F77" s="2" t="s">
        <v>2300</v>
      </c>
      <c r="G77" s="1" t="s">
        <v>2304</v>
      </c>
      <c r="H77" s="2">
        <v>14</v>
      </c>
      <c r="I77" s="3" t="s">
        <v>2316</v>
      </c>
      <c r="J77" t="s">
        <v>2365</v>
      </c>
      <c r="M77" s="3" t="s">
        <v>2300</v>
      </c>
      <c r="N77" s="3" t="s">
        <v>2255</v>
      </c>
      <c r="O77" t="s">
        <v>2310</v>
      </c>
    </row>
    <row r="78" spans="1:15" x14ac:dyDescent="0.25">
      <c r="A78" t="s">
        <v>2285</v>
      </c>
      <c r="B78" s="1" t="s">
        <v>2288</v>
      </c>
      <c r="C78" s="1" t="s">
        <v>2291</v>
      </c>
      <c r="D78" s="1" t="s">
        <v>2438</v>
      </c>
      <c r="E78" s="1" t="s">
        <v>2439</v>
      </c>
      <c r="F78" s="2" t="s">
        <v>2301</v>
      </c>
      <c r="G78" s="1" t="s">
        <v>2304</v>
      </c>
      <c r="H78" s="2">
        <v>14</v>
      </c>
      <c r="I78" s="3" t="s">
        <v>2408</v>
      </c>
      <c r="J78" t="s">
        <v>2365</v>
      </c>
      <c r="M78" s="3" t="s">
        <v>2300</v>
      </c>
      <c r="N78" s="3" t="s">
        <v>2308</v>
      </c>
      <c r="O78" t="s">
        <v>2310</v>
      </c>
    </row>
    <row r="79" spans="1:15" x14ac:dyDescent="0.25">
      <c r="A79" t="s">
        <v>2285</v>
      </c>
      <c r="B79" s="1" t="e">
        <v>#N/A</v>
      </c>
      <c r="C79" s="1" t="e">
        <v>#N/A</v>
      </c>
      <c r="D79" s="1" t="e">
        <v>#N/A</v>
      </c>
      <c r="E79" s="1" t="s">
        <v>2298</v>
      </c>
      <c r="F79" s="2" t="s">
        <v>2300</v>
      </c>
      <c r="G79" s="1" t="s">
        <v>2304</v>
      </c>
      <c r="H79" s="2">
        <v>14</v>
      </c>
      <c r="I79" s="3" t="s">
        <v>21</v>
      </c>
      <c r="J79" t="s">
        <v>2365</v>
      </c>
      <c r="M79" s="3" t="s">
        <v>2300</v>
      </c>
      <c r="N79" s="3" t="s">
        <v>2255</v>
      </c>
      <c r="O79" t="s">
        <v>2310</v>
      </c>
    </row>
    <row r="80" spans="1:15" x14ac:dyDescent="0.25">
      <c r="A80" t="s">
        <v>2285</v>
      </c>
      <c r="B80" s="1" t="e">
        <v>#N/A</v>
      </c>
      <c r="C80" s="1" t="e">
        <v>#N/A</v>
      </c>
      <c r="D80" s="1" t="e">
        <v>#N/A</v>
      </c>
      <c r="E80" s="1" t="s">
        <v>2298</v>
      </c>
      <c r="F80" s="2" t="s">
        <v>2300</v>
      </c>
      <c r="G80" s="1" t="s">
        <v>2304</v>
      </c>
      <c r="H80" s="2">
        <v>14</v>
      </c>
      <c r="I80" s="3" t="s">
        <v>29</v>
      </c>
      <c r="J80" t="s">
        <v>2365</v>
      </c>
      <c r="M80" s="3" t="s">
        <v>2300</v>
      </c>
      <c r="N80" s="3" t="s">
        <v>2255</v>
      </c>
      <c r="O80" t="s">
        <v>2310</v>
      </c>
    </row>
    <row r="81" spans="1:15" x14ac:dyDescent="0.25">
      <c r="A81" t="s">
        <v>2283</v>
      </c>
      <c r="B81" s="1" t="s">
        <v>2288</v>
      </c>
      <c r="C81" s="1" t="s">
        <v>2293</v>
      </c>
      <c r="D81" s="1" t="s">
        <v>2426</v>
      </c>
      <c r="E81" s="1" t="s">
        <v>2298</v>
      </c>
      <c r="F81" s="2" t="s">
        <v>2300</v>
      </c>
      <c r="G81" s="1" t="s">
        <v>2304</v>
      </c>
      <c r="H81" s="2">
        <v>14</v>
      </c>
      <c r="I81" s="3" t="s">
        <v>2392</v>
      </c>
      <c r="J81" t="s">
        <v>2365</v>
      </c>
      <c r="M81" s="3" t="s">
        <v>2300</v>
      </c>
      <c r="N81" s="3" t="s">
        <v>2255</v>
      </c>
      <c r="O81" t="s">
        <v>2310</v>
      </c>
    </row>
    <row r="82" spans="1:15" x14ac:dyDescent="0.25">
      <c r="A82" t="s">
        <v>2285</v>
      </c>
      <c r="B82" s="1" t="s">
        <v>2288</v>
      </c>
      <c r="C82" s="1" t="s">
        <v>2291</v>
      </c>
      <c r="D82" s="1" t="s">
        <v>2438</v>
      </c>
      <c r="E82" s="1" t="s">
        <v>2439</v>
      </c>
      <c r="F82" s="2" t="s">
        <v>2301</v>
      </c>
      <c r="G82" s="1" t="s">
        <v>2304</v>
      </c>
      <c r="H82" s="2">
        <v>14</v>
      </c>
      <c r="I82" s="3" t="s">
        <v>1</v>
      </c>
      <c r="J82" t="s">
        <v>2365</v>
      </c>
      <c r="M82" s="3" t="s">
        <v>2300</v>
      </c>
      <c r="N82" s="3" t="s">
        <v>2255</v>
      </c>
      <c r="O82" t="s">
        <v>2310</v>
      </c>
    </row>
    <row r="83" spans="1:15" x14ac:dyDescent="0.25">
      <c r="A83" t="s">
        <v>2285</v>
      </c>
      <c r="B83" s="1" t="e">
        <v>#N/A</v>
      </c>
      <c r="C83" s="1" t="e">
        <v>#N/A</v>
      </c>
      <c r="D83" s="1" t="e">
        <v>#N/A</v>
      </c>
      <c r="E83" s="1" t="s">
        <v>2298</v>
      </c>
      <c r="F83" s="2" t="s">
        <v>2300</v>
      </c>
      <c r="G83" s="1" t="s">
        <v>2304</v>
      </c>
      <c r="H83" s="2">
        <v>14</v>
      </c>
      <c r="I83" s="3" t="s">
        <v>19</v>
      </c>
      <c r="J83" t="s">
        <v>2365</v>
      </c>
      <c r="M83" s="3" t="s">
        <v>2300</v>
      </c>
      <c r="N83" s="3" t="s">
        <v>2255</v>
      </c>
      <c r="O83" t="s">
        <v>2310</v>
      </c>
    </row>
    <row r="84" spans="1:15" x14ac:dyDescent="0.25">
      <c r="A84" t="s">
        <v>2285</v>
      </c>
      <c r="B84" s="1" t="e">
        <v>#N/A</v>
      </c>
      <c r="C84" s="1" t="e">
        <v>#N/A</v>
      </c>
      <c r="D84" s="1" t="e">
        <v>#N/A</v>
      </c>
      <c r="E84" s="1" t="s">
        <v>2439</v>
      </c>
      <c r="F84" s="2" t="s">
        <v>2300</v>
      </c>
      <c r="G84" s="1" t="s">
        <v>2304</v>
      </c>
      <c r="H84" s="2">
        <v>14</v>
      </c>
      <c r="I84" s="3" t="s">
        <v>6</v>
      </c>
      <c r="J84" t="s">
        <v>2365</v>
      </c>
      <c r="M84" s="3" t="s">
        <v>2301</v>
      </c>
      <c r="N84" s="3" t="s">
        <v>2255</v>
      </c>
      <c r="O84" t="s">
        <v>2310</v>
      </c>
    </row>
    <row r="85" spans="1:15" x14ac:dyDescent="0.25">
      <c r="A85" t="s">
        <v>2285</v>
      </c>
      <c r="B85" s="1" t="e">
        <v>#N/A</v>
      </c>
      <c r="C85" s="1" t="e">
        <v>#N/A</v>
      </c>
      <c r="D85" s="1" t="e">
        <v>#N/A</v>
      </c>
      <c r="E85" s="1" t="s">
        <v>2298</v>
      </c>
      <c r="F85" s="2" t="s">
        <v>2300</v>
      </c>
      <c r="G85" s="1" t="s">
        <v>2305</v>
      </c>
      <c r="H85" s="2">
        <v>14</v>
      </c>
      <c r="I85" s="3" t="s">
        <v>2389</v>
      </c>
      <c r="J85" t="s">
        <v>2365</v>
      </c>
      <c r="M85" s="3" t="s">
        <v>2300</v>
      </c>
      <c r="N85" s="3" t="s">
        <v>2258</v>
      </c>
      <c r="O85" t="s">
        <v>2310</v>
      </c>
    </row>
    <row r="86" spans="1:15" x14ac:dyDescent="0.25">
      <c r="A86" t="s">
        <v>2285</v>
      </c>
      <c r="B86" s="1" t="s">
        <v>2288</v>
      </c>
      <c r="C86" s="1" t="s">
        <v>2291</v>
      </c>
      <c r="D86" s="1" t="s">
        <v>2438</v>
      </c>
      <c r="E86" s="1" t="s">
        <v>2439</v>
      </c>
      <c r="F86" s="2" t="s">
        <v>2301</v>
      </c>
      <c r="G86" s="1" t="s">
        <v>2304</v>
      </c>
      <c r="H86" s="2">
        <v>14</v>
      </c>
      <c r="I86" s="3" t="s">
        <v>72</v>
      </c>
      <c r="J86" t="s">
        <v>2365</v>
      </c>
      <c r="M86" s="3" t="s">
        <v>2300</v>
      </c>
      <c r="N86" s="3" t="s">
        <v>2255</v>
      </c>
      <c r="O86" t="s">
        <v>2310</v>
      </c>
    </row>
    <row r="87" spans="1:15" x14ac:dyDescent="0.25">
      <c r="A87" t="s">
        <v>2285</v>
      </c>
      <c r="B87" s="1" t="e">
        <v>#N/A</v>
      </c>
      <c r="C87" s="1" t="e">
        <v>#N/A</v>
      </c>
      <c r="D87" s="1" t="e">
        <v>#N/A</v>
      </c>
      <c r="E87" s="1" t="s">
        <v>2439</v>
      </c>
      <c r="F87" s="2" t="s">
        <v>2300</v>
      </c>
      <c r="G87" s="1" t="s">
        <v>2304</v>
      </c>
      <c r="H87" s="2">
        <v>14</v>
      </c>
      <c r="I87" s="3" t="s">
        <v>2313</v>
      </c>
      <c r="J87" t="s">
        <v>2365</v>
      </c>
      <c r="M87" s="3" t="s">
        <v>2301</v>
      </c>
      <c r="N87" s="3" t="s">
        <v>2255</v>
      </c>
      <c r="O87" t="s">
        <v>2310</v>
      </c>
    </row>
    <row r="88" spans="1:15" x14ac:dyDescent="0.25">
      <c r="A88" t="s">
        <v>2285</v>
      </c>
      <c r="B88" s="1" t="e">
        <v>#N/A</v>
      </c>
      <c r="C88" s="1" t="e">
        <v>#N/A</v>
      </c>
      <c r="D88" s="1" t="e">
        <v>#N/A</v>
      </c>
      <c r="E88" s="1" t="s">
        <v>2298</v>
      </c>
      <c r="F88" s="2" t="s">
        <v>2300</v>
      </c>
      <c r="G88" s="1" t="s">
        <v>2304</v>
      </c>
      <c r="H88" s="2">
        <v>14</v>
      </c>
      <c r="I88" s="3" t="s">
        <v>2330</v>
      </c>
      <c r="J88" t="s">
        <v>2365</v>
      </c>
      <c r="M88" s="3" t="s">
        <v>2300</v>
      </c>
      <c r="N88" s="3" t="s">
        <v>2255</v>
      </c>
      <c r="O88" t="s">
        <v>2310</v>
      </c>
    </row>
    <row r="89" spans="1:15" x14ac:dyDescent="0.25">
      <c r="A89" t="s">
        <v>2283</v>
      </c>
      <c r="B89" s="1" t="s">
        <v>2288</v>
      </c>
      <c r="C89" s="1" t="s">
        <v>2293</v>
      </c>
      <c r="D89" s="1" t="s">
        <v>2426</v>
      </c>
      <c r="E89" s="1" t="s">
        <v>2298</v>
      </c>
      <c r="F89" s="2" t="s">
        <v>2300</v>
      </c>
      <c r="G89" s="1" t="s">
        <v>2304</v>
      </c>
      <c r="H89" s="2">
        <v>14</v>
      </c>
      <c r="I89" s="3" t="s">
        <v>2328</v>
      </c>
      <c r="J89" t="s">
        <v>2365</v>
      </c>
      <c r="M89" s="3" t="s">
        <v>2300</v>
      </c>
      <c r="N89" s="3" t="s">
        <v>2255</v>
      </c>
      <c r="O89" t="s">
        <v>2310</v>
      </c>
    </row>
    <row r="90" spans="1:15" x14ac:dyDescent="0.25">
      <c r="A90" t="s">
        <v>2285</v>
      </c>
      <c r="B90" s="1" t="s">
        <v>2288</v>
      </c>
      <c r="C90" s="1" t="s">
        <v>2291</v>
      </c>
      <c r="D90" s="1" t="s">
        <v>2438</v>
      </c>
      <c r="E90" s="1" t="s">
        <v>2439</v>
      </c>
      <c r="F90" s="2" t="s">
        <v>2301</v>
      </c>
      <c r="G90" s="1" t="s">
        <v>2304</v>
      </c>
      <c r="H90" s="2">
        <v>14</v>
      </c>
      <c r="I90" s="3" t="s">
        <v>48</v>
      </c>
      <c r="J90" t="s">
        <v>2365</v>
      </c>
      <c r="M90" s="3" t="s">
        <v>2300</v>
      </c>
      <c r="N90" s="3" t="s">
        <v>2255</v>
      </c>
      <c r="O90" t="s">
        <v>2310</v>
      </c>
    </row>
    <row r="91" spans="1:15" x14ac:dyDescent="0.25">
      <c r="A91" t="s">
        <v>2285</v>
      </c>
      <c r="B91" s="1" t="e">
        <v>#N/A</v>
      </c>
      <c r="C91" s="1" t="e">
        <v>#N/A</v>
      </c>
      <c r="D91" s="1" t="e">
        <v>#N/A</v>
      </c>
      <c r="E91" s="1" t="s">
        <v>2439</v>
      </c>
      <c r="F91" s="2" t="s">
        <v>2300</v>
      </c>
      <c r="G91" s="1" t="s">
        <v>2304</v>
      </c>
      <c r="H91" s="2">
        <v>14</v>
      </c>
      <c r="I91" s="3" t="s">
        <v>9</v>
      </c>
      <c r="J91" t="s">
        <v>2365</v>
      </c>
      <c r="M91" s="3" t="s">
        <v>2301</v>
      </c>
      <c r="N91" s="3" t="s">
        <v>2255</v>
      </c>
      <c r="O91" t="s">
        <v>2310</v>
      </c>
    </row>
    <row r="92" spans="1:15" x14ac:dyDescent="0.25">
      <c r="A92" t="s">
        <v>2285</v>
      </c>
      <c r="B92" s="1" t="e">
        <v>#N/A</v>
      </c>
      <c r="C92" s="1" t="e">
        <v>#N/A</v>
      </c>
      <c r="D92" s="1" t="e">
        <v>#N/A</v>
      </c>
      <c r="E92" s="1" t="s">
        <v>2439</v>
      </c>
      <c r="F92" s="2" t="s">
        <v>2300</v>
      </c>
      <c r="G92" s="1" t="s">
        <v>2304</v>
      </c>
      <c r="H92" s="2">
        <v>14</v>
      </c>
      <c r="I92" s="3" t="s">
        <v>2390</v>
      </c>
      <c r="J92" t="s">
        <v>2365</v>
      </c>
      <c r="M92" s="3" t="s">
        <v>2301</v>
      </c>
      <c r="N92" s="3" t="s">
        <v>2255</v>
      </c>
      <c r="O92" t="s">
        <v>2310</v>
      </c>
    </row>
    <row r="93" spans="1:15" x14ac:dyDescent="0.25">
      <c r="A93" t="s">
        <v>2285</v>
      </c>
      <c r="B93" s="1" t="e">
        <v>#N/A</v>
      </c>
      <c r="C93" s="1" t="e">
        <v>#N/A</v>
      </c>
      <c r="D93" s="1" t="e">
        <v>#N/A</v>
      </c>
      <c r="E93" s="1" t="s">
        <v>2298</v>
      </c>
      <c r="F93" s="2" t="s">
        <v>2300</v>
      </c>
      <c r="G93" s="1" t="s">
        <v>2304</v>
      </c>
      <c r="H93" s="2">
        <v>14</v>
      </c>
      <c r="I93" s="3" t="s">
        <v>2388</v>
      </c>
      <c r="J93" t="s">
        <v>2365</v>
      </c>
      <c r="M93" s="3" t="s">
        <v>2300</v>
      </c>
      <c r="N93" s="3" t="s">
        <v>2255</v>
      </c>
      <c r="O93" t="s">
        <v>2310</v>
      </c>
    </row>
    <row r="94" spans="1:15" x14ac:dyDescent="0.25">
      <c r="A94" t="s">
        <v>2285</v>
      </c>
      <c r="B94" s="1" t="e">
        <v>#N/A</v>
      </c>
      <c r="C94" s="1" t="e">
        <v>#N/A</v>
      </c>
      <c r="D94" s="1" t="e">
        <v>#N/A</v>
      </c>
      <c r="E94" s="1" t="s">
        <v>2439</v>
      </c>
      <c r="F94" s="2" t="s">
        <v>2300</v>
      </c>
      <c r="G94" s="1" t="s">
        <v>2304</v>
      </c>
      <c r="H94" s="2">
        <v>14</v>
      </c>
      <c r="I94" s="3" t="s">
        <v>2317</v>
      </c>
      <c r="J94" t="s">
        <v>2365</v>
      </c>
      <c r="M94" s="3" t="s">
        <v>2301</v>
      </c>
      <c r="N94" s="3" t="s">
        <v>2255</v>
      </c>
      <c r="O94" t="s">
        <v>2310</v>
      </c>
    </row>
    <row r="95" spans="1:15" x14ac:dyDescent="0.25">
      <c r="A95" t="s">
        <v>2285</v>
      </c>
      <c r="B95" s="1" t="e">
        <v>#N/A</v>
      </c>
      <c r="C95" s="1" t="e">
        <v>#N/A</v>
      </c>
      <c r="D95" s="1" t="e">
        <v>#N/A</v>
      </c>
      <c r="E95" s="1" t="s">
        <v>2298</v>
      </c>
      <c r="F95" s="2" t="s">
        <v>2300</v>
      </c>
      <c r="G95" s="1" t="s">
        <v>2304</v>
      </c>
      <c r="H95" s="2">
        <v>14</v>
      </c>
      <c r="I95" s="3" t="s">
        <v>22</v>
      </c>
      <c r="J95" t="s">
        <v>2365</v>
      </c>
      <c r="M95" s="3" t="s">
        <v>2300</v>
      </c>
      <c r="N95" s="3" t="s">
        <v>2255</v>
      </c>
      <c r="O95" t="s">
        <v>2310</v>
      </c>
    </row>
    <row r="96" spans="1:15" x14ac:dyDescent="0.25">
      <c r="A96" t="s">
        <v>2285</v>
      </c>
      <c r="B96" s="1" t="e">
        <v>#N/A</v>
      </c>
      <c r="C96" s="1" t="e">
        <v>#N/A</v>
      </c>
      <c r="D96" s="1" t="e">
        <v>#N/A</v>
      </c>
      <c r="E96" s="1" t="s">
        <v>2298</v>
      </c>
      <c r="F96" s="2" t="s">
        <v>2300</v>
      </c>
      <c r="G96" s="1" t="s">
        <v>2304</v>
      </c>
      <c r="H96" s="2">
        <v>14</v>
      </c>
      <c r="I96" s="3" t="s">
        <v>2387</v>
      </c>
      <c r="J96" t="s">
        <v>2365</v>
      </c>
      <c r="M96" s="3" t="s">
        <v>2301</v>
      </c>
      <c r="N96" s="3" t="s">
        <v>2255</v>
      </c>
      <c r="O96" t="s">
        <v>2310</v>
      </c>
    </row>
    <row r="97" spans="1:15" x14ac:dyDescent="0.25">
      <c r="A97" t="s">
        <v>2285</v>
      </c>
      <c r="B97" s="1" t="s">
        <v>2288</v>
      </c>
      <c r="C97" s="1" t="s">
        <v>2291</v>
      </c>
      <c r="D97" s="1" t="s">
        <v>2438</v>
      </c>
      <c r="E97" s="1" t="s">
        <v>2439</v>
      </c>
      <c r="F97" s="2" t="s">
        <v>2301</v>
      </c>
      <c r="G97" s="1" t="s">
        <v>2304</v>
      </c>
      <c r="H97" s="2">
        <v>14</v>
      </c>
      <c r="I97" s="3" t="s">
        <v>5</v>
      </c>
      <c r="J97" t="s">
        <v>2365</v>
      </c>
      <c r="M97" s="3" t="s">
        <v>2300</v>
      </c>
      <c r="N97" s="3" t="s">
        <v>2255</v>
      </c>
      <c r="O97" t="s">
        <v>2310</v>
      </c>
    </row>
    <row r="98" spans="1:15" x14ac:dyDescent="0.25">
      <c r="A98" t="s">
        <v>2285</v>
      </c>
      <c r="B98" s="1" t="e">
        <v>#N/A</v>
      </c>
      <c r="C98" s="1" t="e">
        <v>#N/A</v>
      </c>
      <c r="D98" s="1" t="e">
        <v>#N/A</v>
      </c>
      <c r="E98" s="1" t="s">
        <v>2439</v>
      </c>
      <c r="F98" s="2" t="s">
        <v>2300</v>
      </c>
      <c r="G98" s="1" t="s">
        <v>2304</v>
      </c>
      <c r="H98" s="2">
        <v>14</v>
      </c>
      <c r="I98" s="3" t="s">
        <v>2317</v>
      </c>
      <c r="J98" t="s">
        <v>2365</v>
      </c>
      <c r="M98" s="3" t="s">
        <v>2301</v>
      </c>
      <c r="N98" s="3" t="s">
        <v>2255</v>
      </c>
      <c r="O98" t="s">
        <v>2310</v>
      </c>
    </row>
    <row r="99" spans="1:15" x14ac:dyDescent="0.25">
      <c r="A99" t="s">
        <v>2285</v>
      </c>
      <c r="B99" s="1" t="e">
        <v>#N/A</v>
      </c>
      <c r="C99" s="1" t="e">
        <v>#N/A</v>
      </c>
      <c r="D99" s="1" t="e">
        <v>#N/A</v>
      </c>
      <c r="E99" s="1" t="s">
        <v>2439</v>
      </c>
      <c r="F99" s="2" t="s">
        <v>2300</v>
      </c>
      <c r="G99" s="1" t="s">
        <v>2305</v>
      </c>
      <c r="H99" s="2">
        <v>14</v>
      </c>
      <c r="I99" s="3" t="s">
        <v>2390</v>
      </c>
      <c r="J99" t="s">
        <v>2365</v>
      </c>
      <c r="M99" s="3" t="s">
        <v>2301</v>
      </c>
      <c r="N99" s="3" t="s">
        <v>2257</v>
      </c>
      <c r="O99" t="s">
        <v>2310</v>
      </c>
    </row>
    <row r="100" spans="1:15" x14ac:dyDescent="0.25">
      <c r="A100" t="s">
        <v>2285</v>
      </c>
      <c r="B100" s="1" t="s">
        <v>2288</v>
      </c>
      <c r="C100" s="1" t="s">
        <v>2291</v>
      </c>
      <c r="D100" s="1" t="s">
        <v>2438</v>
      </c>
      <c r="E100" s="1" t="s">
        <v>2439</v>
      </c>
      <c r="F100" s="2" t="s">
        <v>2301</v>
      </c>
      <c r="G100" s="1" t="s">
        <v>2304</v>
      </c>
      <c r="H100" s="2">
        <v>14</v>
      </c>
      <c r="I100" s="3" t="s">
        <v>2321</v>
      </c>
      <c r="J100" t="s">
        <v>2365</v>
      </c>
      <c r="M100" s="3" t="s">
        <v>2300</v>
      </c>
      <c r="N100" s="3" t="s">
        <v>2255</v>
      </c>
      <c r="O100" t="s">
        <v>2310</v>
      </c>
    </row>
    <row r="101" spans="1:15" x14ac:dyDescent="0.25">
      <c r="A101" t="s">
        <v>2285</v>
      </c>
      <c r="B101" s="1" t="e">
        <v>#N/A</v>
      </c>
      <c r="C101" s="1" t="e">
        <v>#N/A</v>
      </c>
      <c r="D101" s="1" t="e">
        <v>#N/A</v>
      </c>
      <c r="E101" s="1" t="s">
        <v>2298</v>
      </c>
      <c r="F101" s="2" t="s">
        <v>2300</v>
      </c>
      <c r="G101" s="1" t="s">
        <v>2304</v>
      </c>
      <c r="H101" s="2">
        <v>13</v>
      </c>
      <c r="I101" s="3" t="s">
        <v>2409</v>
      </c>
      <c r="J101" t="s">
        <v>2365</v>
      </c>
      <c r="M101" s="3" t="s">
        <v>2300</v>
      </c>
      <c r="N101" s="3" t="s">
        <v>2255</v>
      </c>
      <c r="O101" t="s">
        <v>2310</v>
      </c>
    </row>
    <row r="102" spans="1:15" x14ac:dyDescent="0.25">
      <c r="A102" t="s">
        <v>2285</v>
      </c>
      <c r="B102" s="1" t="e">
        <v>#N/A</v>
      </c>
      <c r="C102" s="1" t="e">
        <v>#N/A</v>
      </c>
      <c r="D102" s="1" t="e">
        <v>#N/A</v>
      </c>
      <c r="E102" s="1" t="s">
        <v>2298</v>
      </c>
      <c r="F102" s="2" t="s">
        <v>2300</v>
      </c>
      <c r="G102" s="1" t="s">
        <v>2304</v>
      </c>
      <c r="H102" s="2">
        <v>13</v>
      </c>
      <c r="I102" s="3" t="s">
        <v>22</v>
      </c>
      <c r="J102" t="s">
        <v>2365</v>
      </c>
      <c r="M102" s="3" t="s">
        <v>2300</v>
      </c>
      <c r="N102" s="3" t="s">
        <v>2255</v>
      </c>
      <c r="O102" t="s">
        <v>2310</v>
      </c>
    </row>
    <row r="103" spans="1:15" x14ac:dyDescent="0.25">
      <c r="A103" t="s">
        <v>2283</v>
      </c>
      <c r="B103" s="1" t="s">
        <v>2288</v>
      </c>
      <c r="C103" s="1" t="s">
        <v>2293</v>
      </c>
      <c r="D103" s="1" t="s">
        <v>2431</v>
      </c>
      <c r="E103" s="1" t="s">
        <v>2298</v>
      </c>
      <c r="F103" s="2" t="s">
        <v>2300</v>
      </c>
      <c r="G103" s="1" t="s">
        <v>2304</v>
      </c>
      <c r="H103" s="2">
        <v>13</v>
      </c>
      <c r="I103" s="3" t="s">
        <v>2316</v>
      </c>
      <c r="J103" t="s">
        <v>2365</v>
      </c>
      <c r="M103" s="3" t="s">
        <v>2300</v>
      </c>
      <c r="N103" s="3" t="s">
        <v>2255</v>
      </c>
      <c r="O103" t="s">
        <v>2310</v>
      </c>
    </row>
    <row r="104" spans="1:15" x14ac:dyDescent="0.25">
      <c r="A104" t="s">
        <v>2283</v>
      </c>
      <c r="B104" s="1" t="s">
        <v>2289</v>
      </c>
      <c r="C104" s="1" t="s">
        <v>2292</v>
      </c>
      <c r="D104" s="1" t="s">
        <v>2426</v>
      </c>
      <c r="E104" s="1" t="s">
        <v>2298</v>
      </c>
      <c r="F104" s="2" t="s">
        <v>2300</v>
      </c>
      <c r="G104" s="1" t="s">
        <v>2304</v>
      </c>
      <c r="H104" s="2">
        <v>13</v>
      </c>
      <c r="I104" s="3" t="s">
        <v>2371</v>
      </c>
      <c r="J104" t="s">
        <v>2365</v>
      </c>
      <c r="M104" s="3" t="s">
        <v>2300</v>
      </c>
      <c r="N104" s="3" t="s">
        <v>2255</v>
      </c>
      <c r="O104" t="s">
        <v>2310</v>
      </c>
    </row>
    <row r="105" spans="1:15" x14ac:dyDescent="0.25">
      <c r="A105" t="s">
        <v>2285</v>
      </c>
      <c r="B105" s="1" t="s">
        <v>2289</v>
      </c>
      <c r="C105" s="1" t="s">
        <v>2379</v>
      </c>
      <c r="D105" s="1" t="s">
        <v>2438</v>
      </c>
      <c r="E105" s="1" t="s">
        <v>2439</v>
      </c>
      <c r="F105" s="2" t="s">
        <v>2301</v>
      </c>
      <c r="G105" s="1" t="s">
        <v>2304</v>
      </c>
      <c r="H105" s="2">
        <v>13</v>
      </c>
      <c r="I105" s="3" t="s">
        <v>2397</v>
      </c>
      <c r="J105" t="s">
        <v>2365</v>
      </c>
      <c r="M105" s="3" t="s">
        <v>2300</v>
      </c>
      <c r="N105" s="3" t="s">
        <v>2255</v>
      </c>
      <c r="O105" t="s">
        <v>2310</v>
      </c>
    </row>
    <row r="106" spans="1:15" x14ac:dyDescent="0.25">
      <c r="A106" t="s">
        <v>2285</v>
      </c>
      <c r="B106" s="1" t="e">
        <v>#N/A</v>
      </c>
      <c r="C106" s="1" t="e">
        <v>#N/A</v>
      </c>
      <c r="D106" s="1" t="e">
        <v>#N/A</v>
      </c>
      <c r="E106" s="1" t="s">
        <v>2439</v>
      </c>
      <c r="F106" s="2" t="s">
        <v>2301</v>
      </c>
      <c r="G106" s="1" t="s">
        <v>2304</v>
      </c>
      <c r="H106" s="2">
        <v>13</v>
      </c>
      <c r="I106" s="3" t="s">
        <v>2395</v>
      </c>
      <c r="J106" t="s">
        <v>2365</v>
      </c>
      <c r="M106" s="3" t="s">
        <v>2300</v>
      </c>
      <c r="N106" s="3" t="s">
        <v>2255</v>
      </c>
      <c r="O106" t="s">
        <v>2310</v>
      </c>
    </row>
    <row r="107" spans="1:15" x14ac:dyDescent="0.25">
      <c r="A107" t="s">
        <v>2285</v>
      </c>
      <c r="B107" s="1" t="e">
        <v>#N/A</v>
      </c>
      <c r="C107" s="1" t="e">
        <v>#N/A</v>
      </c>
      <c r="D107" s="1" t="e">
        <v>#N/A</v>
      </c>
      <c r="E107" s="1" t="s">
        <v>2439</v>
      </c>
      <c r="F107" s="2" t="s">
        <v>2301</v>
      </c>
      <c r="G107" s="1" t="s">
        <v>2304</v>
      </c>
      <c r="H107" s="2">
        <v>13</v>
      </c>
      <c r="I107" s="3" t="s">
        <v>9</v>
      </c>
      <c r="J107" t="s">
        <v>2365</v>
      </c>
      <c r="M107" s="3" t="s">
        <v>2300</v>
      </c>
      <c r="N107" s="3" t="s">
        <v>2255</v>
      </c>
      <c r="O107" t="s">
        <v>2310</v>
      </c>
    </row>
    <row r="108" spans="1:15" x14ac:dyDescent="0.25">
      <c r="A108" t="s">
        <v>2285</v>
      </c>
      <c r="B108" s="1" t="e">
        <v>#N/A</v>
      </c>
      <c r="C108" s="1" t="e">
        <v>#N/A</v>
      </c>
      <c r="D108" s="1" t="e">
        <v>#N/A</v>
      </c>
      <c r="E108" s="1" t="s">
        <v>2439</v>
      </c>
      <c r="F108" s="2" t="s">
        <v>2301</v>
      </c>
      <c r="G108" s="1" t="s">
        <v>2304</v>
      </c>
      <c r="H108" s="2">
        <v>13</v>
      </c>
      <c r="I108" s="3" t="s">
        <v>11</v>
      </c>
      <c r="J108" t="s">
        <v>2365</v>
      </c>
      <c r="M108" s="3" t="s">
        <v>2300</v>
      </c>
      <c r="N108" s="3" t="s">
        <v>2255</v>
      </c>
      <c r="O108" t="s">
        <v>2310</v>
      </c>
    </row>
    <row r="109" spans="1:15" x14ac:dyDescent="0.25">
      <c r="A109" t="s">
        <v>2285</v>
      </c>
      <c r="B109" s="1" t="e">
        <v>#N/A</v>
      </c>
      <c r="C109" s="1" t="e">
        <v>#N/A</v>
      </c>
      <c r="D109" s="1" t="e">
        <v>#N/A</v>
      </c>
      <c r="E109" s="1" t="s">
        <v>2439</v>
      </c>
      <c r="F109" s="2" t="s">
        <v>2301</v>
      </c>
      <c r="G109" s="1" t="s">
        <v>2304</v>
      </c>
      <c r="H109" s="2">
        <v>13</v>
      </c>
      <c r="I109" s="3" t="s">
        <v>2321</v>
      </c>
      <c r="J109" t="s">
        <v>2365</v>
      </c>
      <c r="M109" s="3" t="s">
        <v>2300</v>
      </c>
      <c r="N109" s="3" t="s">
        <v>2255</v>
      </c>
      <c r="O109" t="s">
        <v>2310</v>
      </c>
    </row>
    <row r="110" spans="1:15" x14ac:dyDescent="0.25">
      <c r="A110" t="s">
        <v>2285</v>
      </c>
      <c r="B110" s="1" t="e">
        <v>#N/A</v>
      </c>
      <c r="C110" s="1" t="e">
        <v>#N/A</v>
      </c>
      <c r="D110" s="1" t="e">
        <v>#N/A</v>
      </c>
      <c r="E110" s="1" t="s">
        <v>2439</v>
      </c>
      <c r="F110" s="2" t="s">
        <v>2301</v>
      </c>
      <c r="G110" s="1" t="s">
        <v>2304</v>
      </c>
      <c r="H110" s="2">
        <v>13</v>
      </c>
      <c r="I110" s="3" t="s">
        <v>2321</v>
      </c>
      <c r="J110" t="s">
        <v>2365</v>
      </c>
      <c r="M110" s="3" t="s">
        <v>2300</v>
      </c>
      <c r="N110" s="3" t="s">
        <v>2255</v>
      </c>
      <c r="O110" t="s">
        <v>2310</v>
      </c>
    </row>
    <row r="111" spans="1:15" x14ac:dyDescent="0.25">
      <c r="A111" t="s">
        <v>2285</v>
      </c>
      <c r="B111" s="1" t="e">
        <v>#N/A</v>
      </c>
      <c r="C111" s="1" t="e">
        <v>#N/A</v>
      </c>
      <c r="D111" s="1" t="e">
        <v>#N/A</v>
      </c>
      <c r="E111" s="1" t="s">
        <v>2439</v>
      </c>
      <c r="F111" s="2" t="s">
        <v>2301</v>
      </c>
      <c r="G111" s="1" t="s">
        <v>2304</v>
      </c>
      <c r="H111" s="2">
        <v>13</v>
      </c>
      <c r="I111" s="3" t="s">
        <v>5</v>
      </c>
      <c r="J111" t="s">
        <v>2365</v>
      </c>
      <c r="M111" s="3" t="s">
        <v>2300</v>
      </c>
      <c r="N111" s="3" t="s">
        <v>2255</v>
      </c>
      <c r="O111" t="s">
        <v>2310</v>
      </c>
    </row>
    <row r="112" spans="1:15" x14ac:dyDescent="0.25">
      <c r="A112" t="s">
        <v>2285</v>
      </c>
      <c r="B112" s="1" t="e">
        <v>#N/A</v>
      </c>
      <c r="C112" s="1" t="e">
        <v>#N/A</v>
      </c>
      <c r="D112" s="1" t="e">
        <v>#N/A</v>
      </c>
      <c r="E112" s="1" t="s">
        <v>2439</v>
      </c>
      <c r="F112" s="2" t="s">
        <v>2301</v>
      </c>
      <c r="G112" s="1" t="s">
        <v>2304</v>
      </c>
      <c r="H112" s="2">
        <v>13</v>
      </c>
      <c r="I112" s="3" t="s">
        <v>2348</v>
      </c>
      <c r="J112" t="s">
        <v>2365</v>
      </c>
      <c r="M112" s="3" t="s">
        <v>2300</v>
      </c>
      <c r="N112" s="3" t="s">
        <v>2255</v>
      </c>
      <c r="O112" t="s">
        <v>2310</v>
      </c>
    </row>
    <row r="113" spans="1:15" x14ac:dyDescent="0.25">
      <c r="A113" t="s">
        <v>2285</v>
      </c>
      <c r="B113" s="1" t="e">
        <v>#N/A</v>
      </c>
      <c r="C113" s="1" t="e">
        <v>#N/A</v>
      </c>
      <c r="D113" s="1" t="e">
        <v>#N/A</v>
      </c>
      <c r="E113" s="1" t="s">
        <v>2439</v>
      </c>
      <c r="F113" s="2" t="s">
        <v>2301</v>
      </c>
      <c r="G113" s="1" t="s">
        <v>2303</v>
      </c>
      <c r="H113" s="2">
        <v>13</v>
      </c>
      <c r="I113" s="3" t="s">
        <v>2321</v>
      </c>
      <c r="J113" t="s">
        <v>2365</v>
      </c>
      <c r="M113" s="3" t="s">
        <v>2300</v>
      </c>
      <c r="N113" s="3" t="s">
        <v>2256</v>
      </c>
      <c r="O113" t="s">
        <v>2310</v>
      </c>
    </row>
    <row r="114" spans="1:15" x14ac:dyDescent="0.25">
      <c r="A114" t="s">
        <v>2285</v>
      </c>
      <c r="B114" s="1" t="e">
        <v>#N/A</v>
      </c>
      <c r="C114" s="1" t="e">
        <v>#N/A</v>
      </c>
      <c r="D114" s="1" t="e">
        <v>#N/A</v>
      </c>
      <c r="E114" s="1" t="s">
        <v>2298</v>
      </c>
      <c r="F114" s="2" t="s">
        <v>2300</v>
      </c>
      <c r="G114" s="1" t="s">
        <v>2304</v>
      </c>
      <c r="H114" s="2">
        <v>12</v>
      </c>
      <c r="I114" s="3" t="s">
        <v>107</v>
      </c>
      <c r="J114" t="s">
        <v>2365</v>
      </c>
      <c r="M114" s="3" t="s">
        <v>2300</v>
      </c>
      <c r="N114" s="3" t="s">
        <v>2255</v>
      </c>
      <c r="O114" t="s">
        <v>2310</v>
      </c>
    </row>
    <row r="115" spans="1:15" x14ac:dyDescent="0.25">
      <c r="A115" t="s">
        <v>2285</v>
      </c>
      <c r="B115" s="1" t="e">
        <v>#N/A</v>
      </c>
      <c r="C115" s="1" t="e">
        <v>#N/A</v>
      </c>
      <c r="D115" s="1" t="e">
        <v>#N/A</v>
      </c>
      <c r="E115" s="1" t="s">
        <v>2439</v>
      </c>
      <c r="F115" s="2" t="s">
        <v>2301</v>
      </c>
      <c r="G115" s="1" t="s">
        <v>2304</v>
      </c>
      <c r="H115" s="2">
        <v>12</v>
      </c>
      <c r="I115" s="3" t="s">
        <v>2318</v>
      </c>
      <c r="J115" t="s">
        <v>2365</v>
      </c>
      <c r="M115" s="3" t="s">
        <v>2300</v>
      </c>
      <c r="N115" s="3" t="s">
        <v>2255</v>
      </c>
      <c r="O115" t="s">
        <v>2310</v>
      </c>
    </row>
    <row r="116" spans="1:15" x14ac:dyDescent="0.25">
      <c r="A116" t="s">
        <v>2285</v>
      </c>
      <c r="B116" s="1" t="e">
        <v>#N/A</v>
      </c>
      <c r="C116" s="1" t="e">
        <v>#N/A</v>
      </c>
      <c r="D116" s="1" t="e">
        <v>#N/A</v>
      </c>
      <c r="E116" s="1" t="s">
        <v>2298</v>
      </c>
      <c r="F116" s="2" t="s">
        <v>2300</v>
      </c>
      <c r="G116" s="1" t="s">
        <v>2304</v>
      </c>
      <c r="H116" s="2">
        <v>12</v>
      </c>
      <c r="I116" s="3" t="s">
        <v>2401</v>
      </c>
      <c r="J116" t="s">
        <v>2365</v>
      </c>
      <c r="M116" s="3" t="s">
        <v>2300</v>
      </c>
      <c r="N116" s="3" t="s">
        <v>2255</v>
      </c>
      <c r="O116" t="s">
        <v>2310</v>
      </c>
    </row>
    <row r="117" spans="1:15" x14ac:dyDescent="0.25">
      <c r="A117" t="s">
        <v>2285</v>
      </c>
      <c r="B117" s="1" t="e">
        <v>#N/A</v>
      </c>
      <c r="C117" s="1" t="e">
        <v>#N/A</v>
      </c>
      <c r="D117" s="1" t="e">
        <v>#N/A</v>
      </c>
      <c r="E117" s="1" t="s">
        <v>2298</v>
      </c>
      <c r="F117" s="2" t="s">
        <v>2300</v>
      </c>
      <c r="G117" s="1" t="s">
        <v>2303</v>
      </c>
      <c r="H117" s="2">
        <v>12</v>
      </c>
      <c r="I117" s="3" t="s">
        <v>107</v>
      </c>
      <c r="J117" t="s">
        <v>2365</v>
      </c>
      <c r="M117" s="3" t="s">
        <v>2300</v>
      </c>
      <c r="N117" s="3" t="s">
        <v>2256</v>
      </c>
      <c r="O117" t="s">
        <v>2310</v>
      </c>
    </row>
    <row r="118" spans="1:15" x14ac:dyDescent="0.25">
      <c r="A118" t="s">
        <v>2285</v>
      </c>
      <c r="B118" s="1" t="e">
        <v>#N/A</v>
      </c>
      <c r="C118" s="1" t="e">
        <v>#N/A</v>
      </c>
      <c r="D118" s="1" t="e">
        <v>#N/A</v>
      </c>
      <c r="E118" s="1" t="s">
        <v>2298</v>
      </c>
      <c r="F118" s="2" t="s">
        <v>2300</v>
      </c>
      <c r="G118" s="1" t="s">
        <v>2304</v>
      </c>
      <c r="H118" s="2">
        <v>12</v>
      </c>
      <c r="I118" s="3" t="s">
        <v>2380</v>
      </c>
      <c r="J118" t="s">
        <v>2365</v>
      </c>
      <c r="M118" s="3" t="s">
        <v>2300</v>
      </c>
      <c r="N118" s="3" t="s">
        <v>2255</v>
      </c>
      <c r="O118" t="s">
        <v>2310</v>
      </c>
    </row>
    <row r="119" spans="1:15" x14ac:dyDescent="0.25">
      <c r="A119" t="s">
        <v>2285</v>
      </c>
      <c r="B119" s="1" t="e">
        <v>#N/A</v>
      </c>
      <c r="C119" s="1" t="e">
        <v>#N/A</v>
      </c>
      <c r="D119" s="1" t="e">
        <v>#N/A</v>
      </c>
      <c r="E119" s="1" t="s">
        <v>2298</v>
      </c>
      <c r="F119" s="2" t="s">
        <v>2300</v>
      </c>
      <c r="G119" s="1" t="s">
        <v>2304</v>
      </c>
      <c r="H119" s="2">
        <v>12</v>
      </c>
      <c r="I119" s="3" t="s">
        <v>107</v>
      </c>
      <c r="J119" t="s">
        <v>2365</v>
      </c>
      <c r="M119" s="3" t="s">
        <v>2300</v>
      </c>
      <c r="N119" s="3" t="s">
        <v>2255</v>
      </c>
      <c r="O119" t="s">
        <v>2310</v>
      </c>
    </row>
    <row r="120" spans="1:15" x14ac:dyDescent="0.25">
      <c r="A120" t="s">
        <v>2285</v>
      </c>
      <c r="B120" s="1" t="e">
        <v>#N/A</v>
      </c>
      <c r="C120" s="1" t="e">
        <v>#N/A</v>
      </c>
      <c r="D120" s="1" t="e">
        <v>#N/A</v>
      </c>
      <c r="E120" s="1" t="s">
        <v>2439</v>
      </c>
      <c r="F120" s="2" t="s">
        <v>2301</v>
      </c>
      <c r="G120" s="1" t="s">
        <v>2304</v>
      </c>
      <c r="H120" s="2">
        <v>12</v>
      </c>
      <c r="I120" s="3" t="s">
        <v>2403</v>
      </c>
      <c r="J120" t="s">
        <v>2365</v>
      </c>
      <c r="M120" s="3" t="s">
        <v>2300</v>
      </c>
      <c r="N120" s="3" t="s">
        <v>2255</v>
      </c>
      <c r="O120" t="s">
        <v>2310</v>
      </c>
    </row>
    <row r="121" spans="1:15" x14ac:dyDescent="0.25">
      <c r="A121" t="s">
        <v>2285</v>
      </c>
      <c r="B121" s="1" t="e">
        <v>#N/A</v>
      </c>
      <c r="C121" s="1" t="e">
        <v>#N/A</v>
      </c>
      <c r="D121" s="1" t="e">
        <v>#N/A</v>
      </c>
      <c r="E121" s="1" t="s">
        <v>2439</v>
      </c>
      <c r="F121" s="2" t="s">
        <v>2301</v>
      </c>
      <c r="G121" s="1" t="s">
        <v>2304</v>
      </c>
      <c r="H121" s="2">
        <v>12</v>
      </c>
      <c r="I121" s="3" t="s">
        <v>2317</v>
      </c>
      <c r="J121" t="s">
        <v>2365</v>
      </c>
      <c r="M121" s="3" t="s">
        <v>2300</v>
      </c>
      <c r="N121" s="3" t="s">
        <v>2255</v>
      </c>
      <c r="O121" t="s">
        <v>2310</v>
      </c>
    </row>
    <row r="122" spans="1:15" x14ac:dyDescent="0.25">
      <c r="A122" t="s">
        <v>2286</v>
      </c>
      <c r="B122" s="1" t="s">
        <v>2288</v>
      </c>
      <c r="C122" s="1" t="s">
        <v>2291</v>
      </c>
      <c r="D122" s="1" t="s">
        <v>2431</v>
      </c>
      <c r="E122" s="1" t="s">
        <v>2298</v>
      </c>
      <c r="F122" s="2" t="s">
        <v>2300</v>
      </c>
      <c r="G122" s="1" t="s">
        <v>2304</v>
      </c>
      <c r="H122" s="2">
        <v>12</v>
      </c>
      <c r="I122" s="3" t="s">
        <v>2317</v>
      </c>
      <c r="J122" t="s">
        <v>2365</v>
      </c>
      <c r="M122" s="3" t="s">
        <v>2300</v>
      </c>
      <c r="N122" s="3" t="s">
        <v>2255</v>
      </c>
      <c r="O122" t="s">
        <v>2310</v>
      </c>
    </row>
    <row r="123" spans="1:15" x14ac:dyDescent="0.25">
      <c r="A123" t="s">
        <v>2285</v>
      </c>
      <c r="B123" s="1" t="e">
        <v>#N/A</v>
      </c>
      <c r="C123" s="1" t="e">
        <v>#N/A</v>
      </c>
      <c r="D123" s="1" t="e">
        <v>#N/A</v>
      </c>
      <c r="E123" s="1" t="s">
        <v>2439</v>
      </c>
      <c r="F123" s="2" t="s">
        <v>2301</v>
      </c>
      <c r="G123" s="1" t="s">
        <v>2304</v>
      </c>
      <c r="H123" s="2">
        <v>12</v>
      </c>
      <c r="I123" s="3" t="s">
        <v>2332</v>
      </c>
      <c r="J123" t="s">
        <v>2365</v>
      </c>
      <c r="M123" s="3" t="s">
        <v>2300</v>
      </c>
      <c r="N123" s="3" t="s">
        <v>2255</v>
      </c>
      <c r="O123" t="s">
        <v>2310</v>
      </c>
    </row>
    <row r="124" spans="1:15" x14ac:dyDescent="0.25">
      <c r="A124" t="s">
        <v>2285</v>
      </c>
      <c r="B124" s="1" t="e">
        <v>#N/A</v>
      </c>
      <c r="C124" s="1" t="e">
        <v>#N/A</v>
      </c>
      <c r="D124" s="1" t="e">
        <v>#N/A</v>
      </c>
      <c r="E124" s="1" t="s">
        <v>2298</v>
      </c>
      <c r="F124" s="2" t="s">
        <v>2300</v>
      </c>
      <c r="G124" s="1" t="s">
        <v>2304</v>
      </c>
      <c r="H124" s="2">
        <v>12</v>
      </c>
      <c r="I124" s="3" t="s">
        <v>22</v>
      </c>
      <c r="J124" t="s">
        <v>2365</v>
      </c>
      <c r="M124" s="3" t="s">
        <v>2300</v>
      </c>
      <c r="N124" s="3" t="s">
        <v>2255</v>
      </c>
      <c r="O124" t="s">
        <v>2310</v>
      </c>
    </row>
    <row r="125" spans="1:15" x14ac:dyDescent="0.25">
      <c r="A125" t="s">
        <v>2285</v>
      </c>
      <c r="B125" s="1" t="e">
        <v>#N/A</v>
      </c>
      <c r="C125" s="1" t="e">
        <v>#N/A</v>
      </c>
      <c r="D125" s="1" t="e">
        <v>#N/A</v>
      </c>
      <c r="E125" s="1" t="s">
        <v>2439</v>
      </c>
      <c r="F125" s="2" t="s">
        <v>2301</v>
      </c>
      <c r="G125" s="1" t="s">
        <v>2304</v>
      </c>
      <c r="H125" s="2">
        <v>12</v>
      </c>
      <c r="I125" s="3" t="s">
        <v>18</v>
      </c>
      <c r="J125" t="s">
        <v>2365</v>
      </c>
      <c r="M125" s="3" t="s">
        <v>2300</v>
      </c>
      <c r="N125" s="3" t="s">
        <v>2255</v>
      </c>
      <c r="O125" t="s">
        <v>2310</v>
      </c>
    </row>
    <row r="126" spans="1:15" x14ac:dyDescent="0.25">
      <c r="A126" t="s">
        <v>2285</v>
      </c>
      <c r="B126" s="1" t="e">
        <v>#N/A</v>
      </c>
      <c r="C126" s="1" t="e">
        <v>#N/A</v>
      </c>
      <c r="D126" s="1" t="e">
        <v>#N/A</v>
      </c>
      <c r="E126" s="1" t="s">
        <v>2298</v>
      </c>
      <c r="F126" s="2" t="s">
        <v>2300</v>
      </c>
      <c r="G126" s="1" t="s">
        <v>2304</v>
      </c>
      <c r="H126" s="2">
        <v>12</v>
      </c>
      <c r="I126" s="3" t="s">
        <v>24</v>
      </c>
      <c r="J126" t="s">
        <v>2365</v>
      </c>
      <c r="M126" s="3" t="s">
        <v>2300</v>
      </c>
      <c r="N126" s="3" t="s">
        <v>2255</v>
      </c>
      <c r="O126" t="s">
        <v>2310</v>
      </c>
    </row>
    <row r="127" spans="1:15" x14ac:dyDescent="0.25">
      <c r="A127" t="s">
        <v>2285</v>
      </c>
      <c r="B127" s="1" t="e">
        <v>#N/A</v>
      </c>
      <c r="C127" s="1" t="e">
        <v>#N/A</v>
      </c>
      <c r="D127" s="1" t="e">
        <v>#N/A</v>
      </c>
      <c r="E127" s="1" t="s">
        <v>2439</v>
      </c>
      <c r="F127" s="2" t="s">
        <v>2301</v>
      </c>
      <c r="G127" s="1" t="s">
        <v>2304</v>
      </c>
      <c r="H127" s="2">
        <v>12</v>
      </c>
      <c r="I127" s="3" t="s">
        <v>5</v>
      </c>
      <c r="J127" t="s">
        <v>2365</v>
      </c>
      <c r="M127" s="3" t="s">
        <v>2300</v>
      </c>
      <c r="N127" s="3" t="s">
        <v>2255</v>
      </c>
      <c r="O127" t="s">
        <v>2310</v>
      </c>
    </row>
    <row r="128" spans="1:15" x14ac:dyDescent="0.25">
      <c r="A128" t="s">
        <v>2285</v>
      </c>
      <c r="B128" s="1" t="e">
        <v>#N/A</v>
      </c>
      <c r="C128" s="1" t="e">
        <v>#N/A</v>
      </c>
      <c r="D128" s="1" t="e">
        <v>#N/A</v>
      </c>
      <c r="E128" s="1" t="s">
        <v>2439</v>
      </c>
      <c r="F128" s="2" t="s">
        <v>2301</v>
      </c>
      <c r="G128" s="1" t="s">
        <v>2304</v>
      </c>
      <c r="H128" s="2">
        <v>12</v>
      </c>
      <c r="I128" s="3" t="s">
        <v>5</v>
      </c>
      <c r="J128" t="s">
        <v>2365</v>
      </c>
      <c r="M128" s="3" t="s">
        <v>2300</v>
      </c>
      <c r="N128" s="3" t="s">
        <v>2255</v>
      </c>
      <c r="O128" t="s">
        <v>2310</v>
      </c>
    </row>
    <row r="129" spans="1:15" x14ac:dyDescent="0.25">
      <c r="A129" t="s">
        <v>2285</v>
      </c>
      <c r="B129" s="1" t="e">
        <v>#N/A</v>
      </c>
      <c r="C129" s="1" t="e">
        <v>#N/A</v>
      </c>
      <c r="D129" s="1" t="e">
        <v>#N/A</v>
      </c>
      <c r="E129" s="1" t="s">
        <v>2439</v>
      </c>
      <c r="F129" s="2" t="s">
        <v>2301</v>
      </c>
      <c r="G129" s="1" t="s">
        <v>2304</v>
      </c>
      <c r="H129" s="2">
        <v>12</v>
      </c>
      <c r="I129" s="3" t="s">
        <v>7</v>
      </c>
      <c r="J129" t="s">
        <v>2365</v>
      </c>
      <c r="M129" s="3" t="s">
        <v>2300</v>
      </c>
      <c r="N129" s="3" t="s">
        <v>2255</v>
      </c>
      <c r="O129" t="s">
        <v>2310</v>
      </c>
    </row>
    <row r="130" spans="1:15" x14ac:dyDescent="0.25">
      <c r="A130" t="s">
        <v>2283</v>
      </c>
      <c r="B130" s="1" t="s">
        <v>2289</v>
      </c>
      <c r="C130" s="1" t="s">
        <v>2291</v>
      </c>
      <c r="D130" s="1" t="s">
        <v>2427</v>
      </c>
      <c r="E130" s="1" t="s">
        <v>2298</v>
      </c>
      <c r="F130" s="2" t="s">
        <v>2300</v>
      </c>
      <c r="G130" s="1" t="s">
        <v>2304</v>
      </c>
      <c r="H130" s="2">
        <v>12</v>
      </c>
      <c r="I130" s="3" t="s">
        <v>2405</v>
      </c>
      <c r="J130" t="s">
        <v>2365</v>
      </c>
      <c r="M130" s="3" t="s">
        <v>2300</v>
      </c>
      <c r="N130" s="3" t="s">
        <v>2255</v>
      </c>
      <c r="O130" t="s">
        <v>2310</v>
      </c>
    </row>
    <row r="131" spans="1:15" x14ac:dyDescent="0.25">
      <c r="A131" t="s">
        <v>2285</v>
      </c>
      <c r="B131" s="1" t="e">
        <v>#N/A</v>
      </c>
      <c r="C131" s="1" t="e">
        <v>#N/A</v>
      </c>
      <c r="D131" s="1" t="e">
        <v>#N/A</v>
      </c>
      <c r="E131" s="1" t="s">
        <v>2439</v>
      </c>
      <c r="F131" s="2" t="s">
        <v>2301</v>
      </c>
      <c r="G131" s="1" t="s">
        <v>2304</v>
      </c>
      <c r="H131" s="2">
        <v>12</v>
      </c>
      <c r="I131" s="3" t="s">
        <v>2317</v>
      </c>
      <c r="J131" t="s">
        <v>2365</v>
      </c>
      <c r="M131" s="3" t="s">
        <v>2300</v>
      </c>
      <c r="N131" s="3" t="s">
        <v>2255</v>
      </c>
      <c r="O131" t="s">
        <v>2310</v>
      </c>
    </row>
    <row r="132" spans="1:15" x14ac:dyDescent="0.25">
      <c r="A132" t="s">
        <v>2285</v>
      </c>
      <c r="B132" s="1" t="e">
        <v>#N/A</v>
      </c>
      <c r="C132" s="1" t="e">
        <v>#N/A</v>
      </c>
      <c r="D132" s="1" t="e">
        <v>#N/A</v>
      </c>
      <c r="E132" s="1" t="s">
        <v>2439</v>
      </c>
      <c r="F132" s="2" t="s">
        <v>2301</v>
      </c>
      <c r="G132" s="1" t="s">
        <v>2304</v>
      </c>
      <c r="H132" s="2">
        <v>12</v>
      </c>
      <c r="I132" s="3" t="s">
        <v>2404</v>
      </c>
      <c r="J132" t="s">
        <v>2365</v>
      </c>
      <c r="M132" s="3" t="s">
        <v>2300</v>
      </c>
      <c r="N132" s="3" t="s">
        <v>2255</v>
      </c>
      <c r="O132" t="s">
        <v>2310</v>
      </c>
    </row>
    <row r="133" spans="1:15" x14ac:dyDescent="0.25">
      <c r="A133" t="s">
        <v>2285</v>
      </c>
      <c r="B133" s="1" t="e">
        <v>#N/A</v>
      </c>
      <c r="C133" s="1" t="e">
        <v>#N/A</v>
      </c>
      <c r="D133" s="1" t="e">
        <v>#N/A</v>
      </c>
      <c r="E133" s="1" t="s">
        <v>2439</v>
      </c>
      <c r="F133" s="2" t="s">
        <v>2301</v>
      </c>
      <c r="G133" s="1" t="s">
        <v>2304</v>
      </c>
      <c r="H133" s="2">
        <v>12</v>
      </c>
      <c r="I133" s="3" t="s">
        <v>5</v>
      </c>
      <c r="J133" t="s">
        <v>2365</v>
      </c>
      <c r="M133" s="3" t="s">
        <v>2300</v>
      </c>
      <c r="N133" s="3" t="s">
        <v>2255</v>
      </c>
      <c r="O133" t="s">
        <v>2310</v>
      </c>
    </row>
    <row r="134" spans="1:15" x14ac:dyDescent="0.25">
      <c r="A134" t="s">
        <v>2285</v>
      </c>
      <c r="B134" s="1" t="e">
        <v>#N/A</v>
      </c>
      <c r="C134" s="1" t="e">
        <v>#N/A</v>
      </c>
      <c r="D134" s="1" t="e">
        <v>#N/A</v>
      </c>
      <c r="E134" s="1" t="s">
        <v>2439</v>
      </c>
      <c r="F134" s="2" t="s">
        <v>2301</v>
      </c>
      <c r="G134" s="1" t="s">
        <v>2303</v>
      </c>
      <c r="H134" s="2">
        <v>12</v>
      </c>
      <c r="I134" s="3" t="s">
        <v>2332</v>
      </c>
      <c r="J134" t="s">
        <v>2365</v>
      </c>
      <c r="M134" s="3" t="s">
        <v>2300</v>
      </c>
      <c r="N134" s="3" t="s">
        <v>2256</v>
      </c>
      <c r="O134" t="s">
        <v>2310</v>
      </c>
    </row>
    <row r="135" spans="1:15" x14ac:dyDescent="0.25">
      <c r="A135" t="s">
        <v>2285</v>
      </c>
      <c r="B135" s="1" t="e">
        <v>#N/A</v>
      </c>
      <c r="C135" s="1" t="e">
        <v>#N/A</v>
      </c>
      <c r="D135" s="1" t="e">
        <v>#N/A</v>
      </c>
      <c r="E135" s="1" t="s">
        <v>2439</v>
      </c>
      <c r="F135" s="2" t="s">
        <v>2301</v>
      </c>
      <c r="G135" s="1" t="s">
        <v>2304</v>
      </c>
      <c r="H135" s="2">
        <v>12</v>
      </c>
      <c r="I135" s="3" t="s">
        <v>2317</v>
      </c>
      <c r="J135" t="s">
        <v>2365</v>
      </c>
      <c r="M135" s="3" t="s">
        <v>2300</v>
      </c>
      <c r="N135" s="3" t="s">
        <v>2255</v>
      </c>
      <c r="O135" t="s">
        <v>2310</v>
      </c>
    </row>
    <row r="136" spans="1:15" x14ac:dyDescent="0.25">
      <c r="A136" t="s">
        <v>2285</v>
      </c>
      <c r="B136" s="1" t="e">
        <v>#N/A</v>
      </c>
      <c r="C136" s="1" t="e">
        <v>#N/A</v>
      </c>
      <c r="D136" s="1" t="e">
        <v>#N/A</v>
      </c>
      <c r="E136" s="1" t="s">
        <v>2439</v>
      </c>
      <c r="F136" s="2" t="s">
        <v>2301</v>
      </c>
      <c r="G136" s="1" t="s">
        <v>2304</v>
      </c>
      <c r="H136" s="2">
        <v>12</v>
      </c>
      <c r="I136" s="3" t="s">
        <v>2321</v>
      </c>
      <c r="J136" t="s">
        <v>2365</v>
      </c>
      <c r="M136" s="3" t="s">
        <v>2300</v>
      </c>
      <c r="N136" s="3" t="s">
        <v>2255</v>
      </c>
      <c r="O136" t="s">
        <v>2310</v>
      </c>
    </row>
    <row r="137" spans="1:15" x14ac:dyDescent="0.25">
      <c r="A137" t="s">
        <v>2285</v>
      </c>
      <c r="B137" s="1" t="e">
        <v>#N/A</v>
      </c>
      <c r="C137" s="1" t="e">
        <v>#N/A</v>
      </c>
      <c r="D137" s="1" t="e">
        <v>#N/A</v>
      </c>
      <c r="E137" s="1" t="s">
        <v>2439</v>
      </c>
      <c r="F137" s="2" t="s">
        <v>2301</v>
      </c>
      <c r="G137" s="1" t="s">
        <v>2304</v>
      </c>
      <c r="H137" s="2">
        <v>12</v>
      </c>
      <c r="I137" s="3" t="s">
        <v>8</v>
      </c>
      <c r="J137" t="s">
        <v>2365</v>
      </c>
      <c r="M137" s="3" t="s">
        <v>2300</v>
      </c>
      <c r="N137" s="3" t="s">
        <v>2255</v>
      </c>
      <c r="O137" t="s">
        <v>2310</v>
      </c>
    </row>
    <row r="138" spans="1:15" x14ac:dyDescent="0.25">
      <c r="A138" t="s">
        <v>2285</v>
      </c>
      <c r="B138" s="1" t="e">
        <v>#N/A</v>
      </c>
      <c r="C138" s="1" t="e">
        <v>#N/A</v>
      </c>
      <c r="D138" s="1" t="e">
        <v>#N/A</v>
      </c>
      <c r="E138" s="1" t="s">
        <v>2439</v>
      </c>
      <c r="F138" s="2" t="s">
        <v>2301</v>
      </c>
      <c r="G138" s="1" t="s">
        <v>2304</v>
      </c>
      <c r="H138" s="2">
        <v>12</v>
      </c>
      <c r="I138" s="3" t="s">
        <v>2321</v>
      </c>
      <c r="J138" t="s">
        <v>2365</v>
      </c>
      <c r="M138" s="3" t="s">
        <v>2300</v>
      </c>
      <c r="N138" s="3" t="s">
        <v>2255</v>
      </c>
      <c r="O138" t="s">
        <v>2310</v>
      </c>
    </row>
    <row r="139" spans="1:15" x14ac:dyDescent="0.25">
      <c r="A139" t="s">
        <v>2285</v>
      </c>
      <c r="B139" s="1" t="e">
        <v>#N/A</v>
      </c>
      <c r="C139" s="1" t="e">
        <v>#N/A</v>
      </c>
      <c r="D139" s="1" t="e">
        <v>#N/A</v>
      </c>
      <c r="E139" s="1" t="s">
        <v>2439</v>
      </c>
      <c r="F139" s="2" t="s">
        <v>2301</v>
      </c>
      <c r="G139" s="1" t="s">
        <v>2304</v>
      </c>
      <c r="H139" s="2">
        <v>11</v>
      </c>
      <c r="I139" s="3" t="s">
        <v>48</v>
      </c>
      <c r="J139" t="s">
        <v>2365</v>
      </c>
      <c r="M139" s="3" t="s">
        <v>2300</v>
      </c>
      <c r="N139" s="3" t="s">
        <v>2255</v>
      </c>
      <c r="O139" t="s">
        <v>2310</v>
      </c>
    </row>
    <row r="140" spans="1:15" x14ac:dyDescent="0.25">
      <c r="A140" t="s">
        <v>2285</v>
      </c>
      <c r="B140" s="1" t="e">
        <v>#N/A</v>
      </c>
      <c r="C140" s="1" t="e">
        <v>#N/A</v>
      </c>
      <c r="D140" s="1" t="e">
        <v>#N/A</v>
      </c>
      <c r="E140" s="1" t="s">
        <v>2439</v>
      </c>
      <c r="F140" s="2" t="s">
        <v>2301</v>
      </c>
      <c r="G140" s="1" t="s">
        <v>2304</v>
      </c>
      <c r="H140" s="2">
        <v>11</v>
      </c>
      <c r="I140" s="3" t="s">
        <v>2317</v>
      </c>
      <c r="J140" t="s">
        <v>2365</v>
      </c>
      <c r="M140" s="3" t="s">
        <v>2300</v>
      </c>
      <c r="N140" s="3" t="s">
        <v>2255</v>
      </c>
      <c r="O140" t="s">
        <v>2310</v>
      </c>
    </row>
    <row r="141" spans="1:15" x14ac:dyDescent="0.25">
      <c r="A141" t="s">
        <v>2285</v>
      </c>
      <c r="B141" s="1" t="e">
        <v>#N/A</v>
      </c>
      <c r="C141" s="1" t="e">
        <v>#N/A</v>
      </c>
      <c r="D141" s="1" t="e">
        <v>#N/A</v>
      </c>
      <c r="E141" s="1" t="s">
        <v>2439</v>
      </c>
      <c r="F141" s="2" t="s">
        <v>2301</v>
      </c>
      <c r="G141" s="1" t="s">
        <v>2304</v>
      </c>
      <c r="H141" s="2">
        <v>11</v>
      </c>
      <c r="I141" s="3" t="s">
        <v>2317</v>
      </c>
      <c r="J141" t="s">
        <v>2365</v>
      </c>
      <c r="M141" s="3" t="s">
        <v>2300</v>
      </c>
      <c r="N141" s="3" t="s">
        <v>2255</v>
      </c>
      <c r="O141" t="s">
        <v>2310</v>
      </c>
    </row>
    <row r="142" spans="1:15" x14ac:dyDescent="0.25">
      <c r="A142" t="s">
        <v>2285</v>
      </c>
      <c r="B142" s="1" t="e">
        <v>#N/A</v>
      </c>
      <c r="C142" s="1" t="e">
        <v>#N/A</v>
      </c>
      <c r="D142" s="1" t="e">
        <v>#N/A</v>
      </c>
      <c r="E142" s="1" t="s">
        <v>2439</v>
      </c>
      <c r="F142" s="2" t="s">
        <v>2301</v>
      </c>
      <c r="G142" s="1" t="s">
        <v>2304</v>
      </c>
      <c r="H142" s="2">
        <v>11</v>
      </c>
      <c r="I142" s="3" t="s">
        <v>2317</v>
      </c>
      <c r="J142" t="s">
        <v>2365</v>
      </c>
      <c r="M142" s="3" t="s">
        <v>2300</v>
      </c>
      <c r="N142" s="3" t="s">
        <v>2255</v>
      </c>
      <c r="O142" t="s">
        <v>2310</v>
      </c>
    </row>
    <row r="143" spans="1:15" x14ac:dyDescent="0.25">
      <c r="A143" t="s">
        <v>2285</v>
      </c>
      <c r="B143" s="1" t="e">
        <v>#N/A</v>
      </c>
      <c r="C143" s="1" t="e">
        <v>#N/A</v>
      </c>
      <c r="D143" s="1" t="e">
        <v>#N/A</v>
      </c>
      <c r="E143" s="1" t="s">
        <v>2439</v>
      </c>
      <c r="F143" s="2" t="s">
        <v>2301</v>
      </c>
      <c r="G143" s="1" t="s">
        <v>2304</v>
      </c>
      <c r="H143" s="2">
        <v>11</v>
      </c>
      <c r="I143" s="3" t="s">
        <v>2317</v>
      </c>
      <c r="J143" t="s">
        <v>2365</v>
      </c>
      <c r="M143" s="3" t="s">
        <v>2300</v>
      </c>
      <c r="N143" s="3" t="s">
        <v>2255</v>
      </c>
      <c r="O143" t="s">
        <v>2310</v>
      </c>
    </row>
    <row r="144" spans="1:15" x14ac:dyDescent="0.25">
      <c r="A144" t="s">
        <v>2283</v>
      </c>
      <c r="B144" s="1" t="s">
        <v>2289</v>
      </c>
      <c r="C144" s="1" t="s">
        <v>2292</v>
      </c>
      <c r="D144" s="1" t="s">
        <v>2426</v>
      </c>
      <c r="E144" s="1" t="s">
        <v>2298</v>
      </c>
      <c r="F144" s="2" t="s">
        <v>2300</v>
      </c>
      <c r="G144" s="1" t="s">
        <v>2303</v>
      </c>
      <c r="H144" s="2">
        <v>9</v>
      </c>
      <c r="I144" s="3" t="s">
        <v>6</v>
      </c>
      <c r="J144" t="s">
        <v>2365</v>
      </c>
      <c r="M144" s="3" t="s">
        <v>2300</v>
      </c>
      <c r="N144" s="3" t="s">
        <v>2256</v>
      </c>
      <c r="O144" t="s">
        <v>2310</v>
      </c>
    </row>
    <row r="145" spans="1:15" x14ac:dyDescent="0.25">
      <c r="A145" t="s">
        <v>2283</v>
      </c>
      <c r="B145" s="1" t="s">
        <v>2289</v>
      </c>
      <c r="C145" s="1" t="s">
        <v>2292</v>
      </c>
      <c r="D145" s="1" t="s">
        <v>2426</v>
      </c>
      <c r="E145" s="1" t="s">
        <v>2298</v>
      </c>
      <c r="F145" s="2" t="s">
        <v>2300</v>
      </c>
      <c r="G145" s="1" t="s">
        <v>2304</v>
      </c>
      <c r="H145" s="2">
        <v>9</v>
      </c>
      <c r="I145" s="3" t="s">
        <v>4</v>
      </c>
      <c r="J145" t="s">
        <v>2365</v>
      </c>
      <c r="M145" s="3" t="s">
        <v>2300</v>
      </c>
      <c r="N145" s="3" t="s">
        <v>2255</v>
      </c>
      <c r="O145" t="s">
        <v>2310</v>
      </c>
    </row>
    <row r="146" spans="1:15" x14ac:dyDescent="0.25">
      <c r="A146" t="s">
        <v>2285</v>
      </c>
      <c r="B146" s="1" t="e">
        <v>#N/A</v>
      </c>
      <c r="C146" s="1" t="e">
        <v>#N/A</v>
      </c>
      <c r="D146" s="1" t="e">
        <v>#N/A</v>
      </c>
      <c r="E146" s="1" t="s">
        <v>2298</v>
      </c>
      <c r="F146" s="2" t="s">
        <v>2300</v>
      </c>
      <c r="G146" s="1" t="s">
        <v>2304</v>
      </c>
      <c r="H146" s="2">
        <v>9</v>
      </c>
      <c r="I146" s="3" t="s">
        <v>2411</v>
      </c>
      <c r="J146" t="s">
        <v>2365</v>
      </c>
      <c r="M146" s="3" t="s">
        <v>2300</v>
      </c>
      <c r="N146" s="3" t="s">
        <v>2255</v>
      </c>
      <c r="O146" t="s">
        <v>2310</v>
      </c>
    </row>
    <row r="147" spans="1:15" x14ac:dyDescent="0.25">
      <c r="A147" t="s">
        <v>2285</v>
      </c>
      <c r="B147" s="1" t="e">
        <v>#N/A</v>
      </c>
      <c r="C147" s="1" t="e">
        <v>#N/A</v>
      </c>
      <c r="D147" s="1" t="e">
        <v>#N/A</v>
      </c>
      <c r="E147" s="1" t="s">
        <v>2298</v>
      </c>
      <c r="F147" s="2" t="s">
        <v>2300</v>
      </c>
      <c r="G147" s="1" t="s">
        <v>2304</v>
      </c>
      <c r="H147" s="2">
        <v>9</v>
      </c>
      <c r="I147" s="3" t="s">
        <v>2415</v>
      </c>
      <c r="J147" t="s">
        <v>2365</v>
      </c>
      <c r="M147" s="3" t="s">
        <v>2300</v>
      </c>
      <c r="N147" s="3" t="s">
        <v>2255</v>
      </c>
      <c r="O147" t="s">
        <v>2310</v>
      </c>
    </row>
    <row r="148" spans="1:15" x14ac:dyDescent="0.25">
      <c r="A148" t="s">
        <v>2285</v>
      </c>
      <c r="B148" s="1" t="e">
        <v>#N/A</v>
      </c>
      <c r="C148" s="1" t="e">
        <v>#N/A</v>
      </c>
      <c r="D148" s="1" t="e">
        <v>#N/A</v>
      </c>
      <c r="E148" s="1" t="s">
        <v>2298</v>
      </c>
      <c r="F148" s="2" t="s">
        <v>2300</v>
      </c>
      <c r="G148" s="1" t="s">
        <v>2304</v>
      </c>
      <c r="H148" s="2">
        <v>9</v>
      </c>
      <c r="I148" s="3" t="s">
        <v>19</v>
      </c>
      <c r="J148" t="s">
        <v>2365</v>
      </c>
      <c r="M148" s="3" t="s">
        <v>2300</v>
      </c>
      <c r="N148" s="3" t="s">
        <v>2255</v>
      </c>
      <c r="O148" t="s">
        <v>2310</v>
      </c>
    </row>
    <row r="149" spans="1:15" x14ac:dyDescent="0.25">
      <c r="A149" t="s">
        <v>2285</v>
      </c>
      <c r="B149" s="1" t="e">
        <v>#N/A</v>
      </c>
      <c r="C149" s="1" t="e">
        <v>#N/A</v>
      </c>
      <c r="D149" s="1" t="e">
        <v>#N/A</v>
      </c>
      <c r="E149" s="1" t="s">
        <v>2439</v>
      </c>
      <c r="F149" s="2" t="s">
        <v>2301</v>
      </c>
      <c r="G149" s="1" t="s">
        <v>2304</v>
      </c>
      <c r="H149" s="2">
        <v>9</v>
      </c>
      <c r="I149" s="3" t="s">
        <v>2315</v>
      </c>
      <c r="J149" t="s">
        <v>2365</v>
      </c>
      <c r="M149" s="3" t="s">
        <v>2300</v>
      </c>
      <c r="N149" s="3" t="s">
        <v>2255</v>
      </c>
      <c r="O149" t="s">
        <v>2310</v>
      </c>
    </row>
    <row r="150" spans="1:15" x14ac:dyDescent="0.25">
      <c r="A150" t="s">
        <v>2285</v>
      </c>
      <c r="B150" s="1" t="e">
        <v>#N/A</v>
      </c>
      <c r="C150" s="1" t="e">
        <v>#N/A</v>
      </c>
      <c r="D150" s="1" t="e">
        <v>#N/A</v>
      </c>
      <c r="E150" s="1" t="s">
        <v>2439</v>
      </c>
      <c r="F150" s="2" t="s">
        <v>2300</v>
      </c>
      <c r="G150" s="1" t="s">
        <v>2304</v>
      </c>
      <c r="H150" s="2">
        <v>9</v>
      </c>
      <c r="I150" s="3" t="s">
        <v>2</v>
      </c>
      <c r="J150" t="s">
        <v>2365</v>
      </c>
      <c r="M150" s="3" t="s">
        <v>2300</v>
      </c>
      <c r="N150" s="3" t="s">
        <v>2255</v>
      </c>
      <c r="O150" t="s">
        <v>2310</v>
      </c>
    </row>
    <row r="151" spans="1:15" x14ac:dyDescent="0.25">
      <c r="A151" t="s">
        <v>2285</v>
      </c>
      <c r="B151" s="1" t="e">
        <v>#N/A</v>
      </c>
      <c r="C151" s="1" t="e">
        <v>#N/A</v>
      </c>
      <c r="D151" s="1" t="e">
        <v>#N/A</v>
      </c>
      <c r="E151" s="1" t="s">
        <v>2298</v>
      </c>
      <c r="F151" s="2" t="s">
        <v>2300</v>
      </c>
      <c r="G151" s="1" t="s">
        <v>2304</v>
      </c>
      <c r="H151" s="2">
        <v>9</v>
      </c>
      <c r="I151" s="3" t="s">
        <v>2412</v>
      </c>
      <c r="J151" t="s">
        <v>2365</v>
      </c>
      <c r="M151" s="3" t="s">
        <v>2300</v>
      </c>
      <c r="N151" s="3" t="s">
        <v>2255</v>
      </c>
      <c r="O151" t="s">
        <v>2310</v>
      </c>
    </row>
    <row r="152" spans="1:15" x14ac:dyDescent="0.25">
      <c r="A152" t="s">
        <v>2285</v>
      </c>
      <c r="B152" s="1" t="e">
        <v>#N/A</v>
      </c>
      <c r="C152" s="1" t="e">
        <v>#N/A</v>
      </c>
      <c r="D152" s="1" t="e">
        <v>#N/A</v>
      </c>
      <c r="E152" s="1" t="s">
        <v>2439</v>
      </c>
      <c r="F152" s="2" t="s">
        <v>2301</v>
      </c>
      <c r="G152" s="1" t="s">
        <v>2304</v>
      </c>
      <c r="H152" s="2">
        <v>9</v>
      </c>
      <c r="I152" s="3" t="s">
        <v>9</v>
      </c>
      <c r="J152" t="s">
        <v>2365</v>
      </c>
      <c r="M152" s="3" t="s">
        <v>2300</v>
      </c>
      <c r="N152" s="3" t="s">
        <v>2255</v>
      </c>
      <c r="O152" t="s">
        <v>2310</v>
      </c>
    </row>
    <row r="153" spans="1:15" x14ac:dyDescent="0.25">
      <c r="A153" t="s">
        <v>2285</v>
      </c>
      <c r="B153" s="1" t="e">
        <v>#N/A</v>
      </c>
      <c r="C153" s="1" t="e">
        <v>#N/A</v>
      </c>
      <c r="D153" s="1" t="e">
        <v>#N/A</v>
      </c>
      <c r="E153" s="1" t="s">
        <v>2439</v>
      </c>
      <c r="F153" s="2" t="s">
        <v>2301</v>
      </c>
      <c r="G153" s="1" t="s">
        <v>2304</v>
      </c>
      <c r="H153" s="2">
        <v>9</v>
      </c>
      <c r="I153" s="3" t="s">
        <v>2315</v>
      </c>
      <c r="J153" t="s">
        <v>2365</v>
      </c>
      <c r="M153" s="3" t="s">
        <v>2300</v>
      </c>
      <c r="N153" s="3" t="s">
        <v>2255</v>
      </c>
      <c r="O153" t="s">
        <v>2310</v>
      </c>
    </row>
    <row r="154" spans="1:15" x14ac:dyDescent="0.25">
      <c r="A154" t="s">
        <v>2285</v>
      </c>
      <c r="B154" s="1" t="e">
        <v>#N/A</v>
      </c>
      <c r="C154" s="1" t="e">
        <v>#N/A</v>
      </c>
      <c r="D154" s="1" t="e">
        <v>#N/A</v>
      </c>
      <c r="E154" s="1" t="s">
        <v>2439</v>
      </c>
      <c r="F154" s="2" t="s">
        <v>2301</v>
      </c>
      <c r="G154" s="1" t="s">
        <v>2304</v>
      </c>
      <c r="H154" s="2">
        <v>9</v>
      </c>
      <c r="I154" s="3" t="s">
        <v>2334</v>
      </c>
      <c r="J154" t="s">
        <v>2365</v>
      </c>
      <c r="M154" s="3" t="s">
        <v>2300</v>
      </c>
      <c r="N154" s="3" t="s">
        <v>2255</v>
      </c>
      <c r="O154" t="s">
        <v>2310</v>
      </c>
    </row>
    <row r="155" spans="1:15" x14ac:dyDescent="0.25">
      <c r="A155" t="s">
        <v>2283</v>
      </c>
      <c r="B155" s="1" t="s">
        <v>2289</v>
      </c>
      <c r="C155" s="1" t="s">
        <v>2430</v>
      </c>
      <c r="D155" s="1" t="s">
        <v>2426</v>
      </c>
      <c r="E155" s="1" t="s">
        <v>2298</v>
      </c>
      <c r="F155" s="2" t="s">
        <v>2300</v>
      </c>
      <c r="G155" s="1" t="s">
        <v>2304</v>
      </c>
      <c r="H155" s="2">
        <v>9</v>
      </c>
      <c r="I155" s="3" t="s">
        <v>2410</v>
      </c>
      <c r="J155" t="s">
        <v>2365</v>
      </c>
      <c r="M155" s="3" t="s">
        <v>2300</v>
      </c>
      <c r="N155" s="3" t="s">
        <v>2255</v>
      </c>
      <c r="O155" t="s">
        <v>2310</v>
      </c>
    </row>
    <row r="156" spans="1:15" x14ac:dyDescent="0.25">
      <c r="A156" t="s">
        <v>2285</v>
      </c>
      <c r="B156" s="1" t="e">
        <v>#N/A</v>
      </c>
      <c r="C156" s="1" t="e">
        <v>#N/A</v>
      </c>
      <c r="D156" s="1" t="e">
        <v>#N/A</v>
      </c>
      <c r="E156" s="1" t="s">
        <v>2439</v>
      </c>
      <c r="F156" s="2" t="s">
        <v>2300</v>
      </c>
      <c r="G156" s="1" t="s">
        <v>2304</v>
      </c>
      <c r="H156" s="2">
        <v>9</v>
      </c>
      <c r="I156" s="3" t="s">
        <v>2327</v>
      </c>
      <c r="J156" t="s">
        <v>2365</v>
      </c>
      <c r="M156" s="3" t="s">
        <v>2300</v>
      </c>
      <c r="N156" s="3" t="s">
        <v>2255</v>
      </c>
      <c r="O156" t="s">
        <v>2310</v>
      </c>
    </row>
    <row r="157" spans="1:15" x14ac:dyDescent="0.25">
      <c r="A157" t="s">
        <v>2285</v>
      </c>
      <c r="B157" s="1" t="e">
        <v>#N/A</v>
      </c>
      <c r="C157" s="1" t="e">
        <v>#N/A</v>
      </c>
      <c r="D157" s="1" t="e">
        <v>#N/A</v>
      </c>
      <c r="E157" s="1" t="s">
        <v>2439</v>
      </c>
      <c r="F157" s="2" t="s">
        <v>2300</v>
      </c>
      <c r="G157" s="1" t="s">
        <v>2304</v>
      </c>
      <c r="H157" s="2">
        <v>9</v>
      </c>
      <c r="I157" s="3" t="s">
        <v>2333</v>
      </c>
      <c r="J157" t="s">
        <v>2365</v>
      </c>
      <c r="M157" s="3" t="s">
        <v>2300</v>
      </c>
      <c r="N157" s="3" t="s">
        <v>2255</v>
      </c>
      <c r="O157" t="s">
        <v>2310</v>
      </c>
    </row>
    <row r="158" spans="1:15" x14ac:dyDescent="0.25">
      <c r="A158" t="s">
        <v>2285</v>
      </c>
      <c r="B158" s="1" t="e">
        <v>#N/A</v>
      </c>
      <c r="C158" s="1" t="e">
        <v>#N/A</v>
      </c>
      <c r="D158" s="1" t="e">
        <v>#N/A</v>
      </c>
      <c r="E158" s="1" t="s">
        <v>2439</v>
      </c>
      <c r="F158" s="2" t="s">
        <v>2300</v>
      </c>
      <c r="G158" s="1" t="s">
        <v>2304</v>
      </c>
      <c r="H158" s="2">
        <v>9</v>
      </c>
      <c r="I158" s="3" t="s">
        <v>2317</v>
      </c>
      <c r="J158" t="s">
        <v>2365</v>
      </c>
      <c r="M158" s="3" t="s">
        <v>2300</v>
      </c>
      <c r="N158" s="3" t="s">
        <v>2255</v>
      </c>
      <c r="O158" t="s">
        <v>2310</v>
      </c>
    </row>
    <row r="159" spans="1:15" x14ac:dyDescent="0.25">
      <c r="A159" t="s">
        <v>2285</v>
      </c>
      <c r="B159" s="1" t="e">
        <v>#N/A</v>
      </c>
      <c r="C159" s="1" t="e">
        <v>#N/A</v>
      </c>
      <c r="D159" s="1" t="e">
        <v>#N/A</v>
      </c>
      <c r="E159" s="1" t="s">
        <v>2439</v>
      </c>
      <c r="F159" s="2" t="s">
        <v>2301</v>
      </c>
      <c r="G159" s="1" t="s">
        <v>2304</v>
      </c>
      <c r="H159" s="2">
        <v>9</v>
      </c>
      <c r="I159" s="3" t="s">
        <v>2314</v>
      </c>
      <c r="J159" t="s">
        <v>2365</v>
      </c>
      <c r="M159" s="3" t="s">
        <v>2300</v>
      </c>
      <c r="N159" s="3" t="s">
        <v>2255</v>
      </c>
      <c r="O159" t="s">
        <v>2310</v>
      </c>
    </row>
    <row r="160" spans="1:15" x14ac:dyDescent="0.25">
      <c r="A160" t="s">
        <v>2285</v>
      </c>
      <c r="B160" s="1" t="e">
        <v>#N/A</v>
      </c>
      <c r="C160" s="1" t="e">
        <v>#N/A</v>
      </c>
      <c r="D160" s="1" t="e">
        <v>#N/A</v>
      </c>
      <c r="E160" s="1" t="s">
        <v>2439</v>
      </c>
      <c r="F160" s="2" t="s">
        <v>2301</v>
      </c>
      <c r="G160" s="1" t="s">
        <v>2304</v>
      </c>
      <c r="H160" s="2">
        <v>9</v>
      </c>
      <c r="I160" s="3" t="s">
        <v>2316</v>
      </c>
      <c r="J160" t="s">
        <v>2365</v>
      </c>
      <c r="M160" s="3" t="s">
        <v>2300</v>
      </c>
      <c r="N160" s="3" t="s">
        <v>2255</v>
      </c>
      <c r="O160" t="s">
        <v>2310</v>
      </c>
    </row>
    <row r="161" spans="1:15" x14ac:dyDescent="0.25">
      <c r="A161" t="s">
        <v>2285</v>
      </c>
      <c r="B161" s="1" t="e">
        <v>#N/A</v>
      </c>
      <c r="C161" s="1" t="e">
        <v>#N/A</v>
      </c>
      <c r="D161" s="1" t="e">
        <v>#N/A</v>
      </c>
      <c r="E161" s="1" t="s">
        <v>2439</v>
      </c>
      <c r="F161" s="2" t="s">
        <v>2301</v>
      </c>
      <c r="G161" s="1" t="s">
        <v>2304</v>
      </c>
      <c r="H161" s="2">
        <v>9</v>
      </c>
      <c r="I161" s="3" t="s">
        <v>2333</v>
      </c>
      <c r="J161" t="s">
        <v>2365</v>
      </c>
      <c r="M161" s="3" t="s">
        <v>2300</v>
      </c>
      <c r="N161" s="3" t="s">
        <v>2255</v>
      </c>
      <c r="O161" t="s">
        <v>2310</v>
      </c>
    </row>
    <row r="162" spans="1:15" x14ac:dyDescent="0.25">
      <c r="A162" t="s">
        <v>2285</v>
      </c>
      <c r="B162" s="1" t="e">
        <v>#N/A</v>
      </c>
      <c r="C162" s="1" t="e">
        <v>#N/A</v>
      </c>
      <c r="D162" s="1" t="e">
        <v>#N/A</v>
      </c>
      <c r="E162" s="1" t="s">
        <v>2439</v>
      </c>
      <c r="F162" s="2" t="s">
        <v>2301</v>
      </c>
      <c r="G162" s="1" t="s">
        <v>2304</v>
      </c>
      <c r="H162" s="2">
        <v>9</v>
      </c>
      <c r="I162" s="3" t="s">
        <v>31</v>
      </c>
      <c r="J162" t="s">
        <v>2365</v>
      </c>
      <c r="M162" s="3" t="s">
        <v>2300</v>
      </c>
      <c r="N162" s="3" t="s">
        <v>2255</v>
      </c>
      <c r="O162" t="s">
        <v>2310</v>
      </c>
    </row>
    <row r="163" spans="1:15" x14ac:dyDescent="0.25">
      <c r="A163" t="s">
        <v>2285</v>
      </c>
      <c r="B163" s="1" t="e">
        <v>#N/A</v>
      </c>
      <c r="C163" s="1" t="e">
        <v>#N/A</v>
      </c>
      <c r="D163" s="1" t="e">
        <v>#N/A</v>
      </c>
      <c r="E163" s="1" t="s">
        <v>2439</v>
      </c>
      <c r="F163" s="2" t="s">
        <v>2300</v>
      </c>
      <c r="G163" s="1" t="s">
        <v>2304</v>
      </c>
      <c r="H163" s="2">
        <v>9</v>
      </c>
      <c r="I163" s="3" t="s">
        <v>2313</v>
      </c>
      <c r="J163" t="s">
        <v>2365</v>
      </c>
      <c r="M163" s="3" t="s">
        <v>2300</v>
      </c>
      <c r="N163" s="3" t="s">
        <v>2255</v>
      </c>
      <c r="O163" t="s">
        <v>2310</v>
      </c>
    </row>
    <row r="164" spans="1:15" x14ac:dyDescent="0.25">
      <c r="A164" t="s">
        <v>2285</v>
      </c>
      <c r="B164" s="1" t="e">
        <v>#N/A</v>
      </c>
      <c r="C164" s="1" t="e">
        <v>#N/A</v>
      </c>
      <c r="D164" s="1" t="e">
        <v>#N/A</v>
      </c>
      <c r="E164" s="1" t="s">
        <v>2439</v>
      </c>
      <c r="F164" s="2" t="s">
        <v>2301</v>
      </c>
      <c r="G164" s="1" t="s">
        <v>2304</v>
      </c>
      <c r="H164" s="2">
        <v>9</v>
      </c>
      <c r="I164" s="3" t="s">
        <v>2317</v>
      </c>
      <c r="J164" t="s">
        <v>2365</v>
      </c>
      <c r="M164" s="3" t="s">
        <v>2300</v>
      </c>
      <c r="N164" s="3" t="s">
        <v>2255</v>
      </c>
      <c r="O164" t="s">
        <v>2310</v>
      </c>
    </row>
    <row r="165" spans="1:15" x14ac:dyDescent="0.25">
      <c r="A165" t="s">
        <v>2285</v>
      </c>
      <c r="B165" s="1" t="e">
        <v>#N/A</v>
      </c>
      <c r="C165" s="1" t="e">
        <v>#N/A</v>
      </c>
      <c r="D165" s="1" t="e">
        <v>#N/A</v>
      </c>
      <c r="E165" s="1" t="s">
        <v>2439</v>
      </c>
      <c r="F165" s="2" t="s">
        <v>2301</v>
      </c>
      <c r="G165" s="1" t="s">
        <v>2304</v>
      </c>
      <c r="H165" s="2">
        <v>9</v>
      </c>
      <c r="I165" s="3" t="s">
        <v>2</v>
      </c>
      <c r="J165" t="s">
        <v>2365</v>
      </c>
      <c r="M165" s="3" t="s">
        <v>2300</v>
      </c>
      <c r="N165" s="3" t="s">
        <v>2255</v>
      </c>
      <c r="O165" t="s">
        <v>2310</v>
      </c>
    </row>
    <row r="166" spans="1:15" x14ac:dyDescent="0.25">
      <c r="A166" t="s">
        <v>2285</v>
      </c>
      <c r="B166" s="1" t="e">
        <v>#N/A</v>
      </c>
      <c r="C166" s="1" t="e">
        <v>#N/A</v>
      </c>
      <c r="D166" s="1" t="e">
        <v>#N/A</v>
      </c>
      <c r="E166" s="1" t="s">
        <v>2439</v>
      </c>
      <c r="F166" s="2" t="s">
        <v>2301</v>
      </c>
      <c r="G166" s="1" t="s">
        <v>2303</v>
      </c>
      <c r="H166" s="2">
        <v>9</v>
      </c>
      <c r="I166" s="3" t="s">
        <v>2321</v>
      </c>
      <c r="J166" t="s">
        <v>2365</v>
      </c>
      <c r="M166" s="3" t="s">
        <v>2300</v>
      </c>
      <c r="N166" s="3" t="s">
        <v>2256</v>
      </c>
      <c r="O166" t="s">
        <v>2310</v>
      </c>
    </row>
    <row r="167" spans="1:15" x14ac:dyDescent="0.25">
      <c r="A167" t="s">
        <v>2285</v>
      </c>
      <c r="B167" s="1" t="e">
        <v>#N/A</v>
      </c>
      <c r="C167" s="1" t="e">
        <v>#N/A</v>
      </c>
      <c r="D167" s="1" t="e">
        <v>#N/A</v>
      </c>
      <c r="E167" s="1" t="s">
        <v>2439</v>
      </c>
      <c r="F167" s="2" t="s">
        <v>2301</v>
      </c>
      <c r="G167" s="1" t="s">
        <v>2304</v>
      </c>
      <c r="H167" s="2">
        <v>9</v>
      </c>
      <c r="I167" s="3" t="s">
        <v>2321</v>
      </c>
      <c r="J167" t="s">
        <v>2365</v>
      </c>
      <c r="M167" s="3" t="s">
        <v>2300</v>
      </c>
      <c r="N167" s="3" t="s">
        <v>2255</v>
      </c>
      <c r="O167" t="s">
        <v>2310</v>
      </c>
    </row>
    <row r="168" spans="1:15" x14ac:dyDescent="0.25">
      <c r="A168" t="s">
        <v>2285</v>
      </c>
      <c r="B168" s="1" t="e">
        <v>#N/A</v>
      </c>
      <c r="C168" s="1" t="e">
        <v>#N/A</v>
      </c>
      <c r="D168" s="1" t="e">
        <v>#N/A</v>
      </c>
      <c r="E168" s="1" t="s">
        <v>2439</v>
      </c>
      <c r="F168" s="2" t="s">
        <v>2300</v>
      </c>
      <c r="G168" s="1" t="s">
        <v>2303</v>
      </c>
      <c r="H168" s="2">
        <v>9</v>
      </c>
      <c r="I168" s="3" t="s">
        <v>2327</v>
      </c>
      <c r="J168" t="s">
        <v>2365</v>
      </c>
      <c r="M168" s="3" t="s">
        <v>2300</v>
      </c>
      <c r="N168" s="3" t="s">
        <v>2256</v>
      </c>
      <c r="O168" t="s">
        <v>2310</v>
      </c>
    </row>
    <row r="169" spans="1:15" x14ac:dyDescent="0.25">
      <c r="A169" t="s">
        <v>2285</v>
      </c>
      <c r="B169" s="1" t="e">
        <v>#N/A</v>
      </c>
      <c r="C169" s="1" t="e">
        <v>#N/A</v>
      </c>
      <c r="D169" s="1" t="e">
        <v>#N/A</v>
      </c>
      <c r="E169" s="1" t="s">
        <v>2439</v>
      </c>
      <c r="F169" s="2" t="s">
        <v>2301</v>
      </c>
      <c r="G169" s="1" t="s">
        <v>2304</v>
      </c>
      <c r="H169" s="2">
        <v>9</v>
      </c>
      <c r="I169" s="3" t="s">
        <v>2321</v>
      </c>
      <c r="J169" t="s">
        <v>2365</v>
      </c>
      <c r="M169" s="3" t="s">
        <v>2300</v>
      </c>
      <c r="N169" s="3" t="s">
        <v>2255</v>
      </c>
      <c r="O169" t="s">
        <v>2310</v>
      </c>
    </row>
    <row r="170" spans="1:15" x14ac:dyDescent="0.25">
      <c r="A170" t="s">
        <v>2285</v>
      </c>
      <c r="B170" s="1" t="e">
        <v>#N/A</v>
      </c>
      <c r="C170" s="1" t="e">
        <v>#N/A</v>
      </c>
      <c r="D170" s="1" t="e">
        <v>#N/A</v>
      </c>
      <c r="E170" s="1" t="s">
        <v>2439</v>
      </c>
      <c r="F170" s="2" t="s">
        <v>2301</v>
      </c>
      <c r="G170" s="1" t="s">
        <v>2304</v>
      </c>
      <c r="H170" s="2">
        <v>9</v>
      </c>
      <c r="I170" s="3" t="s">
        <v>2313</v>
      </c>
      <c r="J170" t="s">
        <v>2365</v>
      </c>
      <c r="M170" s="3" t="s">
        <v>2300</v>
      </c>
      <c r="N170" s="3" t="s">
        <v>2255</v>
      </c>
      <c r="O170" t="s">
        <v>2310</v>
      </c>
    </row>
    <row r="171" spans="1:15" x14ac:dyDescent="0.25">
      <c r="A171" t="s">
        <v>2285</v>
      </c>
      <c r="B171" s="1" t="e">
        <v>#N/A</v>
      </c>
      <c r="C171" s="1" t="e">
        <v>#N/A</v>
      </c>
      <c r="D171" s="1" t="e">
        <v>#N/A</v>
      </c>
      <c r="E171" s="1" t="s">
        <v>2439</v>
      </c>
      <c r="F171" s="2" t="s">
        <v>2301</v>
      </c>
      <c r="G171" s="1" t="s">
        <v>2304</v>
      </c>
      <c r="H171" s="2">
        <v>9</v>
      </c>
      <c r="I171" s="3" t="s">
        <v>2313</v>
      </c>
      <c r="J171" t="s">
        <v>2365</v>
      </c>
      <c r="M171" s="3" t="s">
        <v>2300</v>
      </c>
      <c r="N171" s="3" t="s">
        <v>2255</v>
      </c>
      <c r="O171" t="s">
        <v>2310</v>
      </c>
    </row>
    <row r="172" spans="1:15" x14ac:dyDescent="0.25">
      <c r="A172" t="s">
        <v>2285</v>
      </c>
      <c r="B172" s="1" t="e">
        <v>#N/A</v>
      </c>
      <c r="C172" s="1" t="e">
        <v>#N/A</v>
      </c>
      <c r="D172" s="1" t="e">
        <v>#N/A</v>
      </c>
      <c r="E172" s="1" t="s">
        <v>2439</v>
      </c>
      <c r="F172" s="2" t="s">
        <v>2301</v>
      </c>
      <c r="G172" s="1" t="s">
        <v>2303</v>
      </c>
      <c r="H172" s="2">
        <v>9</v>
      </c>
      <c r="I172" s="3" t="s">
        <v>2315</v>
      </c>
      <c r="J172" t="s">
        <v>2365</v>
      </c>
      <c r="M172" s="3" t="s">
        <v>2300</v>
      </c>
      <c r="N172" s="3" t="s">
        <v>2256</v>
      </c>
      <c r="O172" t="s">
        <v>2310</v>
      </c>
    </row>
    <row r="173" spans="1:15" x14ac:dyDescent="0.25">
      <c r="A173" t="s">
        <v>2285</v>
      </c>
      <c r="B173" s="1" t="e">
        <v>#N/A</v>
      </c>
      <c r="C173" s="1" t="e">
        <v>#N/A</v>
      </c>
      <c r="D173" s="1" t="e">
        <v>#N/A</v>
      </c>
      <c r="E173" s="1" t="s">
        <v>2439</v>
      </c>
      <c r="F173" s="2" t="s">
        <v>2301</v>
      </c>
      <c r="G173" s="1" t="s">
        <v>2305</v>
      </c>
      <c r="H173" s="2">
        <v>9</v>
      </c>
      <c r="I173" s="3" t="s">
        <v>2314</v>
      </c>
      <c r="J173" t="s">
        <v>2365</v>
      </c>
      <c r="M173" s="3" t="s">
        <v>2300</v>
      </c>
      <c r="N173" s="3" t="s">
        <v>2258</v>
      </c>
      <c r="O173" t="s">
        <v>2310</v>
      </c>
    </row>
    <row r="174" spans="1:15" x14ac:dyDescent="0.25">
      <c r="A174" t="s">
        <v>2285</v>
      </c>
      <c r="B174" s="1" t="e">
        <v>#N/A</v>
      </c>
      <c r="C174" s="1" t="e">
        <v>#N/A</v>
      </c>
      <c r="D174" s="1" t="e">
        <v>#N/A</v>
      </c>
      <c r="E174" s="1" t="s">
        <v>2439</v>
      </c>
      <c r="F174" s="2" t="s">
        <v>2301</v>
      </c>
      <c r="G174" s="1" t="s">
        <v>2304</v>
      </c>
      <c r="H174" s="2">
        <v>9</v>
      </c>
      <c r="I174" s="3" t="s">
        <v>2333</v>
      </c>
      <c r="J174" t="s">
        <v>2365</v>
      </c>
      <c r="M174" s="3" t="s">
        <v>2300</v>
      </c>
      <c r="N174" s="3" t="s">
        <v>2255</v>
      </c>
      <c r="O174" t="s">
        <v>2310</v>
      </c>
    </row>
    <row r="175" spans="1:15" x14ac:dyDescent="0.25">
      <c r="A175" t="s">
        <v>2285</v>
      </c>
      <c r="B175" s="1" t="e">
        <v>#N/A</v>
      </c>
      <c r="C175" s="1" t="e">
        <v>#N/A</v>
      </c>
      <c r="D175" s="1" t="e">
        <v>#N/A</v>
      </c>
      <c r="E175" s="1" t="s">
        <v>2439</v>
      </c>
      <c r="F175" s="2" t="s">
        <v>2300</v>
      </c>
      <c r="G175" s="1" t="s">
        <v>2304</v>
      </c>
      <c r="H175" s="2">
        <v>9</v>
      </c>
      <c r="I175" s="3" t="s">
        <v>2357</v>
      </c>
      <c r="J175" t="s">
        <v>2365</v>
      </c>
      <c r="M175" s="3" t="s">
        <v>2300</v>
      </c>
      <c r="N175" s="3" t="s">
        <v>2255</v>
      </c>
      <c r="O175" t="s">
        <v>2310</v>
      </c>
    </row>
    <row r="176" spans="1:15" x14ac:dyDescent="0.25">
      <c r="A176" t="s">
        <v>2285</v>
      </c>
      <c r="B176" s="1" t="e">
        <v>#N/A</v>
      </c>
      <c r="C176" s="1" t="e">
        <v>#N/A</v>
      </c>
      <c r="D176" s="1" t="e">
        <v>#N/A</v>
      </c>
      <c r="E176" s="1" t="s">
        <v>2439</v>
      </c>
      <c r="F176" s="2" t="s">
        <v>2301</v>
      </c>
      <c r="G176" s="1" t="s">
        <v>2304</v>
      </c>
      <c r="H176" s="2">
        <v>9</v>
      </c>
      <c r="I176" s="3" t="s">
        <v>2317</v>
      </c>
      <c r="J176" t="s">
        <v>2365</v>
      </c>
      <c r="M176" s="3" t="s">
        <v>2300</v>
      </c>
      <c r="N176" s="3" t="s">
        <v>2255</v>
      </c>
      <c r="O176" t="s">
        <v>2310</v>
      </c>
    </row>
    <row r="177" spans="1:15" x14ac:dyDescent="0.25">
      <c r="A177" t="s">
        <v>2285</v>
      </c>
      <c r="B177" s="1" t="e">
        <v>#N/A</v>
      </c>
      <c r="C177" s="1" t="e">
        <v>#N/A</v>
      </c>
      <c r="D177" s="1" t="e">
        <v>#N/A</v>
      </c>
      <c r="E177" s="1" t="s">
        <v>2439</v>
      </c>
      <c r="F177" s="2" t="s">
        <v>2301</v>
      </c>
      <c r="G177" s="1" t="s">
        <v>2304</v>
      </c>
      <c r="H177" s="2">
        <v>9</v>
      </c>
      <c r="I177" s="3" t="s">
        <v>5</v>
      </c>
      <c r="J177" t="s">
        <v>2365</v>
      </c>
      <c r="M177" s="3" t="s">
        <v>2300</v>
      </c>
      <c r="N177" s="3" t="s">
        <v>2255</v>
      </c>
      <c r="O177" t="s">
        <v>2310</v>
      </c>
    </row>
    <row r="178" spans="1:15" x14ac:dyDescent="0.25">
      <c r="A178" t="s">
        <v>2285</v>
      </c>
      <c r="B178" s="1" t="e">
        <v>#N/A</v>
      </c>
      <c r="C178" s="1" t="e">
        <v>#N/A</v>
      </c>
      <c r="D178" s="1" t="e">
        <v>#N/A</v>
      </c>
      <c r="E178" s="1" t="s">
        <v>2439</v>
      </c>
      <c r="F178" s="2" t="s">
        <v>2300</v>
      </c>
      <c r="G178" s="1" t="s">
        <v>2304</v>
      </c>
      <c r="H178" s="2">
        <v>9</v>
      </c>
      <c r="I178" s="3" t="s">
        <v>2317</v>
      </c>
      <c r="J178" t="s">
        <v>2365</v>
      </c>
      <c r="M178" s="3" t="s">
        <v>2300</v>
      </c>
      <c r="N178" s="3" t="s">
        <v>2255</v>
      </c>
      <c r="O178" t="s">
        <v>2310</v>
      </c>
    </row>
    <row r="179" spans="1:15" x14ac:dyDescent="0.25">
      <c r="A179" t="s">
        <v>2285</v>
      </c>
      <c r="B179" s="1" t="e">
        <v>#N/A</v>
      </c>
      <c r="C179" s="1" t="e">
        <v>#N/A</v>
      </c>
      <c r="D179" s="1" t="e">
        <v>#N/A</v>
      </c>
      <c r="E179" s="1" t="s">
        <v>2439</v>
      </c>
      <c r="F179" s="2" t="s">
        <v>2301</v>
      </c>
      <c r="G179" s="1" t="s">
        <v>2304</v>
      </c>
      <c r="H179" s="2">
        <v>9</v>
      </c>
      <c r="I179" s="3" t="s">
        <v>2317</v>
      </c>
      <c r="J179" t="s">
        <v>2365</v>
      </c>
      <c r="M179" s="3" t="s">
        <v>2300</v>
      </c>
      <c r="N179" s="3" t="s">
        <v>2255</v>
      </c>
      <c r="O179" t="s">
        <v>2310</v>
      </c>
    </row>
    <row r="180" spans="1:15" x14ac:dyDescent="0.25">
      <c r="A180" t="s">
        <v>2285</v>
      </c>
      <c r="B180" s="1" t="e">
        <v>#N/A</v>
      </c>
      <c r="C180" s="1" t="e">
        <v>#N/A</v>
      </c>
      <c r="D180" s="1" t="e">
        <v>#N/A</v>
      </c>
      <c r="E180" s="1" t="s">
        <v>2439</v>
      </c>
      <c r="F180" s="2" t="s">
        <v>2301</v>
      </c>
      <c r="G180" s="1" t="s">
        <v>2304</v>
      </c>
      <c r="H180" s="2">
        <v>9</v>
      </c>
      <c r="I180" s="3" t="s">
        <v>2</v>
      </c>
      <c r="J180" t="s">
        <v>2365</v>
      </c>
      <c r="M180" s="3" t="s">
        <v>2300</v>
      </c>
      <c r="N180" s="3" t="s">
        <v>2255</v>
      </c>
      <c r="O180" t="s">
        <v>2310</v>
      </c>
    </row>
    <row r="181" spans="1:15" x14ac:dyDescent="0.25">
      <c r="A181" t="s">
        <v>2285</v>
      </c>
      <c r="B181" s="1" t="e">
        <v>#N/A</v>
      </c>
      <c r="C181" s="1" t="e">
        <v>#N/A</v>
      </c>
      <c r="D181" s="1" t="e">
        <v>#N/A</v>
      </c>
      <c r="E181" s="1" t="s">
        <v>2439</v>
      </c>
      <c r="F181" s="2" t="s">
        <v>2301</v>
      </c>
      <c r="G181" s="1" t="s">
        <v>2304</v>
      </c>
      <c r="H181" s="2">
        <v>9</v>
      </c>
      <c r="I181" s="3" t="s">
        <v>2317</v>
      </c>
      <c r="J181" t="s">
        <v>2365</v>
      </c>
      <c r="M181" s="3" t="s">
        <v>2300</v>
      </c>
      <c r="N181" s="3" t="s">
        <v>2255</v>
      </c>
      <c r="O181" t="s">
        <v>2310</v>
      </c>
    </row>
    <row r="182" spans="1:15" x14ac:dyDescent="0.25">
      <c r="A182" t="s">
        <v>2285</v>
      </c>
      <c r="B182" s="1" t="e">
        <v>#N/A</v>
      </c>
      <c r="C182" s="1" t="e">
        <v>#N/A</v>
      </c>
      <c r="D182" s="1" t="e">
        <v>#N/A</v>
      </c>
      <c r="E182" s="1" t="s">
        <v>2439</v>
      </c>
      <c r="F182" s="2" t="s">
        <v>2301</v>
      </c>
      <c r="G182" s="1" t="s">
        <v>2304</v>
      </c>
      <c r="H182" s="2">
        <v>9</v>
      </c>
      <c r="I182" s="3" t="s">
        <v>2317</v>
      </c>
      <c r="J182" t="s">
        <v>2365</v>
      </c>
      <c r="M182" s="3" t="s">
        <v>2300</v>
      </c>
      <c r="N182" s="3" t="s">
        <v>2255</v>
      </c>
      <c r="O182" t="s">
        <v>2310</v>
      </c>
    </row>
    <row r="183" spans="1:15" x14ac:dyDescent="0.25">
      <c r="A183" t="s">
        <v>2285</v>
      </c>
      <c r="B183" s="1" t="e">
        <v>#N/A</v>
      </c>
      <c r="C183" s="1" t="e">
        <v>#N/A</v>
      </c>
      <c r="D183" s="1" t="e">
        <v>#N/A</v>
      </c>
      <c r="E183" s="1" t="s">
        <v>2439</v>
      </c>
      <c r="F183" s="2" t="s">
        <v>2301</v>
      </c>
      <c r="G183" s="1" t="s">
        <v>2305</v>
      </c>
      <c r="H183" s="2">
        <v>9</v>
      </c>
      <c r="I183" s="3" t="s">
        <v>1</v>
      </c>
      <c r="J183" t="s">
        <v>2365</v>
      </c>
      <c r="M183" s="3" t="s">
        <v>2300</v>
      </c>
      <c r="N183" s="3" t="s">
        <v>2258</v>
      </c>
      <c r="O183" t="s">
        <v>2310</v>
      </c>
    </row>
    <row r="184" spans="1:15" x14ac:dyDescent="0.25">
      <c r="A184" t="s">
        <v>2285</v>
      </c>
      <c r="B184" s="1" t="e">
        <v>#N/A</v>
      </c>
      <c r="C184" s="1" t="e">
        <v>#N/A</v>
      </c>
      <c r="D184" s="1" t="e">
        <v>#N/A</v>
      </c>
      <c r="E184" s="1" t="s">
        <v>2298</v>
      </c>
      <c r="F184" s="2" t="s">
        <v>2300</v>
      </c>
      <c r="G184" s="1" t="s">
        <v>2303</v>
      </c>
      <c r="H184" s="2">
        <v>8</v>
      </c>
      <c r="I184" s="3" t="s">
        <v>2353</v>
      </c>
      <c r="J184" t="s">
        <v>2365</v>
      </c>
      <c r="M184" s="3" t="s">
        <v>2300</v>
      </c>
      <c r="N184" s="3" t="s">
        <v>2256</v>
      </c>
      <c r="O184" t="s">
        <v>2310</v>
      </c>
    </row>
    <row r="185" spans="1:15" x14ac:dyDescent="0.25">
      <c r="A185" t="s">
        <v>2285</v>
      </c>
      <c r="B185" s="1" t="e">
        <v>#N/A</v>
      </c>
      <c r="C185" s="1" t="e">
        <v>#N/A</v>
      </c>
      <c r="D185" s="1" t="e">
        <v>#N/A</v>
      </c>
      <c r="E185" s="1" t="s">
        <v>2439</v>
      </c>
      <c r="F185" s="2" t="s">
        <v>2301</v>
      </c>
      <c r="G185" s="1" t="s">
        <v>2304</v>
      </c>
      <c r="H185" s="2">
        <v>8</v>
      </c>
      <c r="I185" s="3" t="s">
        <v>2317</v>
      </c>
      <c r="J185" t="s">
        <v>2365</v>
      </c>
      <c r="M185" s="3" t="s">
        <v>2300</v>
      </c>
      <c r="N185" s="3" t="s">
        <v>2255</v>
      </c>
      <c r="O185" t="s">
        <v>2310</v>
      </c>
    </row>
    <row r="186" spans="1:15" x14ac:dyDescent="0.25">
      <c r="A186" t="s">
        <v>2285</v>
      </c>
      <c r="B186" s="1" t="e">
        <v>#N/A</v>
      </c>
      <c r="C186" s="1" t="e">
        <v>#N/A</v>
      </c>
      <c r="D186" s="1" t="e">
        <v>#N/A</v>
      </c>
      <c r="E186" s="1" t="s">
        <v>2439</v>
      </c>
      <c r="F186" s="2" t="s">
        <v>2300</v>
      </c>
      <c r="G186" s="1" t="s">
        <v>2304</v>
      </c>
      <c r="H186" s="2">
        <v>8</v>
      </c>
      <c r="I186" s="3" t="s">
        <v>2</v>
      </c>
      <c r="J186" t="s">
        <v>2365</v>
      </c>
      <c r="M186" s="3" t="s">
        <v>2301</v>
      </c>
      <c r="N186" s="3" t="s">
        <v>2255</v>
      </c>
      <c r="O186" t="s">
        <v>2310</v>
      </c>
    </row>
    <row r="187" spans="1:15" x14ac:dyDescent="0.25">
      <c r="A187" t="s">
        <v>2285</v>
      </c>
      <c r="B187" s="1" t="e">
        <v>#N/A</v>
      </c>
      <c r="C187" s="1" t="e">
        <v>#N/A</v>
      </c>
      <c r="D187" s="1" t="e">
        <v>#N/A</v>
      </c>
      <c r="E187" s="1" t="s">
        <v>2439</v>
      </c>
      <c r="F187" s="2" t="s">
        <v>2301</v>
      </c>
      <c r="G187" s="1" t="s">
        <v>2304</v>
      </c>
      <c r="H187" s="2">
        <v>8</v>
      </c>
      <c r="I187" s="3" t="s">
        <v>2358</v>
      </c>
      <c r="J187" t="s">
        <v>2365</v>
      </c>
      <c r="M187" s="3" t="s">
        <v>2300</v>
      </c>
      <c r="N187" s="3" t="s">
        <v>2255</v>
      </c>
      <c r="O187" t="s">
        <v>2310</v>
      </c>
    </row>
    <row r="188" spans="1:15" x14ac:dyDescent="0.25">
      <c r="A188" t="s">
        <v>2285</v>
      </c>
      <c r="B188" s="1" t="e">
        <v>#N/A</v>
      </c>
      <c r="C188" s="1" t="e">
        <v>#N/A</v>
      </c>
      <c r="D188" s="1" t="e">
        <v>#N/A</v>
      </c>
      <c r="E188" s="1" t="s">
        <v>2439</v>
      </c>
      <c r="F188" s="2" t="s">
        <v>2301</v>
      </c>
      <c r="G188" s="1" t="s">
        <v>2304</v>
      </c>
      <c r="H188" s="2">
        <v>8</v>
      </c>
      <c r="I188" s="3" t="s">
        <v>2416</v>
      </c>
      <c r="J188" t="s">
        <v>2365</v>
      </c>
      <c r="M188" s="3" t="s">
        <v>2300</v>
      </c>
      <c r="N188" s="3" t="s">
        <v>2255</v>
      </c>
      <c r="O188" t="s">
        <v>2310</v>
      </c>
    </row>
    <row r="189" spans="1:15" x14ac:dyDescent="0.25">
      <c r="A189" t="s">
        <v>2285</v>
      </c>
      <c r="B189" s="1" t="e">
        <v>#N/A</v>
      </c>
      <c r="C189" s="1" t="e">
        <v>#N/A</v>
      </c>
      <c r="D189" s="1" t="e">
        <v>#N/A</v>
      </c>
      <c r="E189" s="1" t="s">
        <v>2439</v>
      </c>
      <c r="F189" s="2" t="s">
        <v>2301</v>
      </c>
      <c r="G189" s="1" t="s">
        <v>2304</v>
      </c>
      <c r="H189" s="2">
        <v>8</v>
      </c>
      <c r="I189" s="3" t="s">
        <v>31</v>
      </c>
      <c r="J189" t="s">
        <v>2365</v>
      </c>
      <c r="M189" s="3" t="s">
        <v>2300</v>
      </c>
      <c r="N189" s="3" t="s">
        <v>2255</v>
      </c>
      <c r="O189" t="s">
        <v>2310</v>
      </c>
    </row>
    <row r="190" spans="1:15" x14ac:dyDescent="0.25">
      <c r="A190" t="s">
        <v>2285</v>
      </c>
      <c r="B190" s="1" t="e">
        <v>#N/A</v>
      </c>
      <c r="C190" s="1" t="e">
        <v>#N/A</v>
      </c>
      <c r="D190" s="1" t="e">
        <v>#N/A</v>
      </c>
      <c r="E190" s="1" t="s">
        <v>2439</v>
      </c>
      <c r="F190" s="2" t="s">
        <v>2301</v>
      </c>
      <c r="G190" s="1" t="s">
        <v>2304</v>
      </c>
      <c r="H190" s="2">
        <v>8</v>
      </c>
      <c r="I190" s="3" t="s">
        <v>12</v>
      </c>
      <c r="J190" t="s">
        <v>2365</v>
      </c>
      <c r="M190" s="3" t="s">
        <v>2300</v>
      </c>
      <c r="N190" s="3" t="s">
        <v>2255</v>
      </c>
      <c r="O190" t="s">
        <v>2310</v>
      </c>
    </row>
    <row r="191" spans="1:15" x14ac:dyDescent="0.25">
      <c r="A191" t="s">
        <v>2285</v>
      </c>
      <c r="B191" s="1" t="e">
        <v>#N/A</v>
      </c>
      <c r="C191" s="1" t="e">
        <v>#N/A</v>
      </c>
      <c r="D191" s="1" t="e">
        <v>#N/A</v>
      </c>
      <c r="E191" s="1" t="s">
        <v>2439</v>
      </c>
      <c r="F191" s="2" t="s">
        <v>2300</v>
      </c>
      <c r="G191" s="1" t="s">
        <v>2304</v>
      </c>
      <c r="H191" s="2">
        <v>8</v>
      </c>
      <c r="I191" s="3" t="s">
        <v>2317</v>
      </c>
      <c r="J191" t="s">
        <v>2365</v>
      </c>
      <c r="M191" s="3" t="s">
        <v>2300</v>
      </c>
      <c r="N191" s="3" t="s">
        <v>2255</v>
      </c>
      <c r="O191" t="s">
        <v>2310</v>
      </c>
    </row>
    <row r="192" spans="1:15" x14ac:dyDescent="0.25">
      <c r="A192" t="s">
        <v>2285</v>
      </c>
      <c r="B192" s="1" t="e">
        <v>#N/A</v>
      </c>
      <c r="C192" s="1" t="e">
        <v>#N/A</v>
      </c>
      <c r="D192" s="1" t="e">
        <v>#N/A</v>
      </c>
      <c r="E192" s="1" t="s">
        <v>2439</v>
      </c>
      <c r="F192" s="2" t="s">
        <v>2300</v>
      </c>
      <c r="G192" s="1" t="s">
        <v>2304</v>
      </c>
      <c r="H192" s="2">
        <v>8</v>
      </c>
      <c r="I192" s="3" t="s">
        <v>2317</v>
      </c>
      <c r="J192" t="s">
        <v>2365</v>
      </c>
      <c r="M192" s="3" t="s">
        <v>2300</v>
      </c>
      <c r="N192" s="3" t="s">
        <v>2255</v>
      </c>
      <c r="O192" t="s">
        <v>2310</v>
      </c>
    </row>
    <row r="193" spans="1:15" x14ac:dyDescent="0.25">
      <c r="A193" t="s">
        <v>2285</v>
      </c>
      <c r="B193" s="1" t="e">
        <v>#N/A</v>
      </c>
      <c r="C193" s="1" t="e">
        <v>#N/A</v>
      </c>
      <c r="D193" s="1" t="e">
        <v>#N/A</v>
      </c>
      <c r="E193" s="1" t="s">
        <v>2439</v>
      </c>
      <c r="F193" s="2" t="s">
        <v>2300</v>
      </c>
      <c r="G193" s="1" t="s">
        <v>2304</v>
      </c>
      <c r="H193" s="2">
        <v>8</v>
      </c>
      <c r="I193" s="3" t="s">
        <v>2417</v>
      </c>
      <c r="J193" t="s">
        <v>2365</v>
      </c>
      <c r="M193" s="3" t="s">
        <v>2300</v>
      </c>
      <c r="N193" s="3" t="s">
        <v>2255</v>
      </c>
      <c r="O193" t="s">
        <v>2310</v>
      </c>
    </row>
    <row r="194" spans="1:15" x14ac:dyDescent="0.25">
      <c r="A194" t="s">
        <v>2285</v>
      </c>
      <c r="B194" s="1" t="e">
        <v>#N/A</v>
      </c>
      <c r="C194" s="1" t="e">
        <v>#N/A</v>
      </c>
      <c r="D194" s="1" t="e">
        <v>#N/A</v>
      </c>
      <c r="E194" s="1" t="s">
        <v>2439</v>
      </c>
      <c r="F194" s="2" t="s">
        <v>2300</v>
      </c>
      <c r="G194" s="1" t="s">
        <v>2304</v>
      </c>
      <c r="H194" s="2">
        <v>8</v>
      </c>
      <c r="I194" s="3" t="s">
        <v>2317</v>
      </c>
      <c r="J194" t="s">
        <v>2365</v>
      </c>
      <c r="M194" s="3" t="s">
        <v>2300</v>
      </c>
      <c r="N194" s="3" t="s">
        <v>2255</v>
      </c>
      <c r="O194" t="s">
        <v>2310</v>
      </c>
    </row>
    <row r="195" spans="1:15" x14ac:dyDescent="0.25">
      <c r="A195" t="s">
        <v>2285</v>
      </c>
      <c r="B195" s="1" t="e">
        <v>#N/A</v>
      </c>
      <c r="C195" s="1" t="e">
        <v>#N/A</v>
      </c>
      <c r="D195" s="1" t="e">
        <v>#N/A</v>
      </c>
      <c r="E195" s="1" t="s">
        <v>2439</v>
      </c>
      <c r="F195" s="2" t="s">
        <v>2300</v>
      </c>
      <c r="G195" s="1" t="s">
        <v>2304</v>
      </c>
      <c r="H195" s="2">
        <v>8</v>
      </c>
      <c r="I195" s="3" t="s">
        <v>2316</v>
      </c>
      <c r="J195" t="s">
        <v>2365</v>
      </c>
      <c r="M195" s="3" t="s">
        <v>2300</v>
      </c>
      <c r="N195" s="3" t="s">
        <v>2255</v>
      </c>
      <c r="O195" t="s">
        <v>2310</v>
      </c>
    </row>
    <row r="196" spans="1:15" x14ac:dyDescent="0.25">
      <c r="A196" t="s">
        <v>2285</v>
      </c>
      <c r="B196" s="1" t="e">
        <v>#N/A</v>
      </c>
      <c r="C196" s="1" t="e">
        <v>#N/A</v>
      </c>
      <c r="D196" s="1" t="e">
        <v>#N/A</v>
      </c>
      <c r="E196" s="1" t="s">
        <v>2439</v>
      </c>
      <c r="F196" s="2" t="s">
        <v>2300</v>
      </c>
      <c r="G196" s="1" t="s">
        <v>2304</v>
      </c>
      <c r="H196" s="2">
        <v>8</v>
      </c>
      <c r="I196" s="3" t="s">
        <v>2317</v>
      </c>
      <c r="J196" t="s">
        <v>2365</v>
      </c>
      <c r="M196" s="3" t="s">
        <v>2301</v>
      </c>
      <c r="N196" s="3" t="s">
        <v>2255</v>
      </c>
      <c r="O196" t="s">
        <v>2310</v>
      </c>
    </row>
    <row r="197" spans="1:15" x14ac:dyDescent="0.25">
      <c r="A197" t="s">
        <v>2285</v>
      </c>
      <c r="B197" s="1" t="e">
        <v>#N/A</v>
      </c>
      <c r="C197" s="1" t="e">
        <v>#N/A</v>
      </c>
      <c r="D197" s="1" t="e">
        <v>#N/A</v>
      </c>
      <c r="E197" s="1" t="s">
        <v>2439</v>
      </c>
      <c r="F197" s="2" t="s">
        <v>2301</v>
      </c>
      <c r="G197" s="1" t="s">
        <v>2304</v>
      </c>
      <c r="H197" s="2">
        <v>8</v>
      </c>
      <c r="I197" s="3" t="s">
        <v>2333</v>
      </c>
      <c r="J197" t="s">
        <v>2365</v>
      </c>
      <c r="M197" s="3" t="s">
        <v>2300</v>
      </c>
      <c r="N197" s="3" t="s">
        <v>2255</v>
      </c>
      <c r="O197" t="s">
        <v>2310</v>
      </c>
    </row>
    <row r="198" spans="1:15" x14ac:dyDescent="0.25">
      <c r="A198" t="s">
        <v>2285</v>
      </c>
      <c r="B198" s="1" t="e">
        <v>#N/A</v>
      </c>
      <c r="C198" s="1" t="e">
        <v>#N/A</v>
      </c>
      <c r="D198" s="1" t="e">
        <v>#N/A</v>
      </c>
      <c r="E198" s="1" t="s">
        <v>2439</v>
      </c>
      <c r="F198" s="2" t="s">
        <v>2301</v>
      </c>
      <c r="G198" s="1" t="s">
        <v>2304</v>
      </c>
      <c r="H198" s="2">
        <v>8</v>
      </c>
      <c r="I198" s="3" t="s">
        <v>9</v>
      </c>
      <c r="J198" t="s">
        <v>2365</v>
      </c>
      <c r="M198" s="3" t="s">
        <v>2300</v>
      </c>
      <c r="N198" s="3" t="s">
        <v>2255</v>
      </c>
      <c r="O198" t="s">
        <v>2310</v>
      </c>
    </row>
    <row r="199" spans="1:15" x14ac:dyDescent="0.25">
      <c r="A199" t="s">
        <v>2285</v>
      </c>
      <c r="B199" s="1" t="s">
        <v>2289</v>
      </c>
      <c r="C199" s="1" t="s">
        <v>2430</v>
      </c>
      <c r="D199" s="1" t="s">
        <v>2438</v>
      </c>
      <c r="E199" s="1" t="s">
        <v>2439</v>
      </c>
      <c r="F199" s="2" t="s">
        <v>2301</v>
      </c>
      <c r="G199" s="1" t="s">
        <v>2304</v>
      </c>
      <c r="H199" s="2">
        <v>8</v>
      </c>
      <c r="I199" s="3" t="s">
        <v>2346</v>
      </c>
      <c r="J199" t="s">
        <v>2365</v>
      </c>
      <c r="M199" s="3" t="s">
        <v>2300</v>
      </c>
      <c r="N199" s="3" t="s">
        <v>2255</v>
      </c>
      <c r="O199" t="s">
        <v>2310</v>
      </c>
    </row>
    <row r="200" spans="1:15" x14ac:dyDescent="0.25">
      <c r="A200" t="s">
        <v>2285</v>
      </c>
      <c r="B200" s="1" t="e">
        <v>#N/A</v>
      </c>
      <c r="C200" s="1" t="e">
        <v>#N/A</v>
      </c>
      <c r="D200" s="1" t="e">
        <v>#N/A</v>
      </c>
      <c r="E200" s="1" t="s">
        <v>2439</v>
      </c>
      <c r="F200" s="2" t="s">
        <v>2300</v>
      </c>
      <c r="G200" s="1" t="s">
        <v>2304</v>
      </c>
      <c r="H200" s="2">
        <v>8</v>
      </c>
      <c r="I200" s="3" t="s">
        <v>2327</v>
      </c>
      <c r="J200" t="s">
        <v>2365</v>
      </c>
      <c r="M200" s="3" t="s">
        <v>2300</v>
      </c>
      <c r="N200" s="3" t="s">
        <v>2255</v>
      </c>
      <c r="O200" t="s">
        <v>2310</v>
      </c>
    </row>
    <row r="201" spans="1:15" x14ac:dyDescent="0.25">
      <c r="A201" t="s">
        <v>2285</v>
      </c>
      <c r="B201" s="1" t="s">
        <v>2289</v>
      </c>
      <c r="C201" s="1" t="s">
        <v>2430</v>
      </c>
      <c r="D201" s="1" t="s">
        <v>2438</v>
      </c>
      <c r="E201" s="1" t="s">
        <v>2439</v>
      </c>
      <c r="F201" s="2" t="s">
        <v>2301</v>
      </c>
      <c r="G201" s="1" t="s">
        <v>2304</v>
      </c>
      <c r="H201" s="2">
        <v>8</v>
      </c>
      <c r="I201" s="3" t="s">
        <v>12</v>
      </c>
      <c r="J201" t="s">
        <v>2365</v>
      </c>
      <c r="M201" s="3" t="s">
        <v>2300</v>
      </c>
      <c r="N201" s="3" t="s">
        <v>2255</v>
      </c>
      <c r="O201" t="s">
        <v>2310</v>
      </c>
    </row>
    <row r="202" spans="1:15" x14ac:dyDescent="0.25">
      <c r="A202" t="s">
        <v>2285</v>
      </c>
      <c r="B202" s="1" t="e">
        <v>#N/A</v>
      </c>
      <c r="C202" s="1" t="e">
        <v>#N/A</v>
      </c>
      <c r="D202" s="1" t="e">
        <v>#N/A</v>
      </c>
      <c r="E202" s="1" t="s">
        <v>2439</v>
      </c>
      <c r="F202" s="2" t="s">
        <v>2300</v>
      </c>
      <c r="G202" s="1" t="s">
        <v>2304</v>
      </c>
      <c r="H202" s="2">
        <v>8</v>
      </c>
      <c r="I202" s="3" t="s">
        <v>2317</v>
      </c>
      <c r="J202" t="s">
        <v>2365</v>
      </c>
      <c r="M202" s="3" t="s">
        <v>2301</v>
      </c>
      <c r="N202" s="3" t="s">
        <v>2255</v>
      </c>
      <c r="O202" t="s">
        <v>2310</v>
      </c>
    </row>
    <row r="203" spans="1:15" x14ac:dyDescent="0.25">
      <c r="A203" t="s">
        <v>2285</v>
      </c>
      <c r="B203" s="1" t="e">
        <v>#N/A</v>
      </c>
      <c r="C203" s="1" t="e">
        <v>#N/A</v>
      </c>
      <c r="D203" s="1" t="e">
        <v>#N/A</v>
      </c>
      <c r="E203" s="1" t="s">
        <v>2439</v>
      </c>
      <c r="F203" s="2" t="s">
        <v>2300</v>
      </c>
      <c r="G203" s="1" t="s">
        <v>2304</v>
      </c>
      <c r="H203" s="2">
        <v>8</v>
      </c>
      <c r="I203" s="3" t="s">
        <v>2357</v>
      </c>
      <c r="J203" t="s">
        <v>2365</v>
      </c>
      <c r="M203" s="3" t="s">
        <v>2300</v>
      </c>
      <c r="N203" s="3" t="s">
        <v>2308</v>
      </c>
      <c r="O203" t="s">
        <v>2310</v>
      </c>
    </row>
    <row r="204" spans="1:15" x14ac:dyDescent="0.25">
      <c r="A204" t="s">
        <v>2285</v>
      </c>
      <c r="B204" s="1" t="e">
        <v>#N/A</v>
      </c>
      <c r="C204" s="1" t="e">
        <v>#N/A</v>
      </c>
      <c r="D204" s="1" t="e">
        <v>#N/A</v>
      </c>
      <c r="E204" s="1" t="s">
        <v>2439</v>
      </c>
      <c r="F204" s="2" t="s">
        <v>2300</v>
      </c>
      <c r="G204" s="1" t="s">
        <v>2303</v>
      </c>
      <c r="H204" s="2">
        <v>8</v>
      </c>
      <c r="I204" s="3" t="s">
        <v>2419</v>
      </c>
      <c r="J204" t="s">
        <v>2365</v>
      </c>
      <c r="M204" s="3" t="s">
        <v>2300</v>
      </c>
      <c r="N204" s="3" t="s">
        <v>2256</v>
      </c>
      <c r="O204" t="s">
        <v>2310</v>
      </c>
    </row>
    <row r="205" spans="1:15" x14ac:dyDescent="0.25">
      <c r="A205" t="s">
        <v>2285</v>
      </c>
      <c r="B205" s="1" t="e">
        <v>#N/A</v>
      </c>
      <c r="C205" s="1" t="e">
        <v>#N/A</v>
      </c>
      <c r="D205" s="1" t="e">
        <v>#N/A</v>
      </c>
      <c r="E205" s="1" t="s">
        <v>2439</v>
      </c>
      <c r="F205" s="2" t="s">
        <v>2301</v>
      </c>
      <c r="G205" s="1" t="s">
        <v>2304</v>
      </c>
      <c r="H205" s="2">
        <v>8</v>
      </c>
      <c r="I205" s="3" t="s">
        <v>2321</v>
      </c>
      <c r="J205" t="s">
        <v>2365</v>
      </c>
      <c r="M205" s="3" t="s">
        <v>2300</v>
      </c>
      <c r="N205" s="3" t="s">
        <v>2255</v>
      </c>
      <c r="O205" t="s">
        <v>2310</v>
      </c>
    </row>
    <row r="206" spans="1:15" x14ac:dyDescent="0.25">
      <c r="A206" t="s">
        <v>2285</v>
      </c>
      <c r="B206" s="1" t="e">
        <v>#N/A</v>
      </c>
      <c r="C206" s="1" t="e">
        <v>#N/A</v>
      </c>
      <c r="D206" s="1" t="e">
        <v>#N/A</v>
      </c>
      <c r="E206" s="1" t="s">
        <v>2439</v>
      </c>
      <c r="F206" s="2" t="s">
        <v>2301</v>
      </c>
      <c r="G206" s="1" t="s">
        <v>2304</v>
      </c>
      <c r="H206" s="2">
        <v>8</v>
      </c>
      <c r="I206" s="3" t="s">
        <v>2321</v>
      </c>
      <c r="J206" t="s">
        <v>2365</v>
      </c>
      <c r="M206" s="3" t="s">
        <v>2300</v>
      </c>
      <c r="N206" s="3" t="s">
        <v>2255</v>
      </c>
      <c r="O206" t="s">
        <v>2310</v>
      </c>
    </row>
    <row r="207" spans="1:15" x14ac:dyDescent="0.25">
      <c r="A207" t="s">
        <v>2285</v>
      </c>
      <c r="B207" s="1" t="e">
        <v>#N/A</v>
      </c>
      <c r="C207" s="1" t="e">
        <v>#N/A</v>
      </c>
      <c r="D207" s="1" t="e">
        <v>#N/A</v>
      </c>
      <c r="E207" s="1" t="s">
        <v>2439</v>
      </c>
      <c r="F207" s="2" t="s">
        <v>2300</v>
      </c>
      <c r="G207" s="1" t="s">
        <v>2304</v>
      </c>
      <c r="H207" s="2">
        <v>8</v>
      </c>
      <c r="I207" s="3" t="s">
        <v>2316</v>
      </c>
      <c r="J207" t="s">
        <v>2365</v>
      </c>
      <c r="M207" s="3" t="s">
        <v>2300</v>
      </c>
      <c r="N207" s="3" t="s">
        <v>2255</v>
      </c>
      <c r="O207" t="s">
        <v>2310</v>
      </c>
    </row>
    <row r="208" spans="1:15" x14ac:dyDescent="0.25">
      <c r="A208" t="s">
        <v>2285</v>
      </c>
      <c r="B208" s="1" t="e">
        <v>#N/A</v>
      </c>
      <c r="C208" s="1" t="e">
        <v>#N/A</v>
      </c>
      <c r="D208" s="1" t="e">
        <v>#N/A</v>
      </c>
      <c r="E208" s="1" t="s">
        <v>2439</v>
      </c>
      <c r="F208" s="2" t="s">
        <v>2301</v>
      </c>
      <c r="G208" s="1" t="s">
        <v>2303</v>
      </c>
      <c r="H208" s="2">
        <v>8</v>
      </c>
      <c r="I208" s="3" t="s">
        <v>2402</v>
      </c>
      <c r="J208" t="s">
        <v>2365</v>
      </c>
      <c r="M208" s="3" t="s">
        <v>2300</v>
      </c>
      <c r="N208" s="3" t="s">
        <v>2256</v>
      </c>
      <c r="O208" t="s">
        <v>2310</v>
      </c>
    </row>
    <row r="209" spans="1:15" x14ac:dyDescent="0.25">
      <c r="A209" t="s">
        <v>2285</v>
      </c>
      <c r="B209" s="1" t="e">
        <v>#N/A</v>
      </c>
      <c r="C209" s="1" t="e">
        <v>#N/A</v>
      </c>
      <c r="D209" s="1" t="e">
        <v>#N/A</v>
      </c>
      <c r="E209" s="1" t="s">
        <v>2439</v>
      </c>
      <c r="F209" s="2" t="s">
        <v>2300</v>
      </c>
      <c r="G209" s="1" t="s">
        <v>2304</v>
      </c>
      <c r="H209" s="2">
        <v>8</v>
      </c>
      <c r="I209" s="3" t="s">
        <v>2418</v>
      </c>
      <c r="J209" t="s">
        <v>2365</v>
      </c>
      <c r="M209" s="3" t="s">
        <v>2300</v>
      </c>
      <c r="N209" s="3" t="s">
        <v>2255</v>
      </c>
      <c r="O209" t="s">
        <v>2310</v>
      </c>
    </row>
    <row r="210" spans="1:15" x14ac:dyDescent="0.25">
      <c r="A210" t="s">
        <v>2285</v>
      </c>
      <c r="B210" s="1" t="e">
        <v>#N/A</v>
      </c>
      <c r="C210" s="1" t="e">
        <v>#N/A</v>
      </c>
      <c r="D210" s="1" t="e">
        <v>#N/A</v>
      </c>
      <c r="E210" s="1" t="s">
        <v>2439</v>
      </c>
      <c r="F210" s="2" t="s">
        <v>2300</v>
      </c>
      <c r="G210" s="1" t="s">
        <v>2305</v>
      </c>
      <c r="H210" s="2">
        <v>8</v>
      </c>
      <c r="I210" s="3" t="s">
        <v>2357</v>
      </c>
      <c r="J210" t="s">
        <v>2365</v>
      </c>
      <c r="M210" s="3" t="s">
        <v>2300</v>
      </c>
      <c r="N210" s="3" t="s">
        <v>2257</v>
      </c>
      <c r="O210" t="s">
        <v>2310</v>
      </c>
    </row>
    <row r="211" spans="1:15" x14ac:dyDescent="0.25">
      <c r="A211" t="s">
        <v>2285</v>
      </c>
      <c r="B211" s="1" t="e">
        <v>#N/A</v>
      </c>
      <c r="C211" s="1" t="e">
        <v>#N/A</v>
      </c>
      <c r="D211" s="1" t="e">
        <v>#N/A</v>
      </c>
      <c r="E211" s="1" t="s">
        <v>2439</v>
      </c>
      <c r="F211" s="2" t="s">
        <v>2300</v>
      </c>
      <c r="G211" s="1" t="s">
        <v>2303</v>
      </c>
      <c r="H211" s="2">
        <v>8</v>
      </c>
      <c r="I211" s="3" t="s">
        <v>7</v>
      </c>
      <c r="J211" t="s">
        <v>2365</v>
      </c>
      <c r="M211" s="3" t="s">
        <v>2300</v>
      </c>
      <c r="N211" s="3" t="s">
        <v>2256</v>
      </c>
      <c r="O211" t="s">
        <v>2310</v>
      </c>
    </row>
    <row r="212" spans="1:15" x14ac:dyDescent="0.25">
      <c r="A212" t="s">
        <v>2285</v>
      </c>
      <c r="B212" s="1" t="e">
        <v>#N/A</v>
      </c>
      <c r="C212" s="1" t="e">
        <v>#N/A</v>
      </c>
      <c r="D212" s="1" t="e">
        <v>#N/A</v>
      </c>
      <c r="E212" s="1" t="s">
        <v>2439</v>
      </c>
      <c r="F212" s="2" t="s">
        <v>2301</v>
      </c>
      <c r="G212" s="1" t="s">
        <v>2304</v>
      </c>
      <c r="H212" s="2">
        <v>8</v>
      </c>
      <c r="I212" s="3" t="s">
        <v>2321</v>
      </c>
      <c r="J212" t="s">
        <v>2365</v>
      </c>
      <c r="M212" s="3" t="s">
        <v>2300</v>
      </c>
      <c r="N212" s="3" t="s">
        <v>2255</v>
      </c>
      <c r="O212" t="s">
        <v>2310</v>
      </c>
    </row>
    <row r="213" spans="1:15" x14ac:dyDescent="0.25">
      <c r="A213" t="s">
        <v>2285</v>
      </c>
      <c r="B213" s="1" t="e">
        <v>#N/A</v>
      </c>
      <c r="C213" s="1" t="e">
        <v>#N/A</v>
      </c>
      <c r="D213" s="1" t="e">
        <v>#N/A</v>
      </c>
      <c r="E213" s="1" t="s">
        <v>2439</v>
      </c>
      <c r="F213" s="2" t="s">
        <v>2300</v>
      </c>
      <c r="G213" s="1" t="s">
        <v>2305</v>
      </c>
      <c r="H213" s="2">
        <v>8</v>
      </c>
      <c r="I213" s="3" t="s">
        <v>2316</v>
      </c>
      <c r="J213" t="s">
        <v>2365</v>
      </c>
      <c r="M213" s="3" t="s">
        <v>2300</v>
      </c>
      <c r="N213" s="3" t="s">
        <v>2258</v>
      </c>
      <c r="O213" t="s">
        <v>2310</v>
      </c>
    </row>
    <row r="214" spans="1:15" x14ac:dyDescent="0.25">
      <c r="A214" t="s">
        <v>2285</v>
      </c>
      <c r="B214" s="1" t="e">
        <v>#N/A</v>
      </c>
      <c r="C214" s="1" t="e">
        <v>#N/A</v>
      </c>
      <c r="D214" s="1" t="e">
        <v>#N/A</v>
      </c>
      <c r="E214" s="1" t="s">
        <v>2439</v>
      </c>
      <c r="F214" s="2" t="s">
        <v>2300</v>
      </c>
      <c r="G214" s="1" t="s">
        <v>2304</v>
      </c>
      <c r="H214" s="2">
        <v>8</v>
      </c>
      <c r="I214" s="3" t="s">
        <v>2</v>
      </c>
      <c r="J214" t="s">
        <v>2365</v>
      </c>
      <c r="M214" s="3" t="s">
        <v>2300</v>
      </c>
      <c r="N214" s="3" t="s">
        <v>2255</v>
      </c>
      <c r="O214" t="s">
        <v>2310</v>
      </c>
    </row>
    <row r="215" spans="1:15" x14ac:dyDescent="0.25">
      <c r="A215" t="s">
        <v>2285</v>
      </c>
      <c r="B215" s="1" t="e">
        <v>#N/A</v>
      </c>
      <c r="C215" s="1" t="e">
        <v>#N/A</v>
      </c>
      <c r="D215" s="1" t="e">
        <v>#N/A</v>
      </c>
      <c r="E215" s="1" t="s">
        <v>2439</v>
      </c>
      <c r="F215" s="2" t="s">
        <v>2300</v>
      </c>
      <c r="G215" s="1" t="s">
        <v>2303</v>
      </c>
      <c r="H215" s="2">
        <v>8</v>
      </c>
      <c r="I215" s="3" t="s">
        <v>7</v>
      </c>
      <c r="J215" t="s">
        <v>2365</v>
      </c>
      <c r="M215" s="3" t="s">
        <v>2300</v>
      </c>
      <c r="N215" s="3" t="s">
        <v>2256</v>
      </c>
      <c r="O215" t="s">
        <v>2310</v>
      </c>
    </row>
    <row r="216" spans="1:15" x14ac:dyDescent="0.25">
      <c r="A216" t="s">
        <v>2285</v>
      </c>
      <c r="B216" s="1" t="e">
        <v>#N/A</v>
      </c>
      <c r="C216" s="1" t="e">
        <v>#N/A</v>
      </c>
      <c r="D216" s="1" t="e">
        <v>#N/A</v>
      </c>
      <c r="E216" s="1" t="s">
        <v>2439</v>
      </c>
      <c r="F216" s="2" t="s">
        <v>2301</v>
      </c>
      <c r="G216" s="1" t="s">
        <v>2305</v>
      </c>
      <c r="H216" s="2">
        <v>8</v>
      </c>
      <c r="I216" s="3" t="s">
        <v>31</v>
      </c>
      <c r="J216" t="s">
        <v>2365</v>
      </c>
      <c r="M216" s="3" t="s">
        <v>2300</v>
      </c>
      <c r="N216" s="3" t="s">
        <v>2258</v>
      </c>
      <c r="O216" t="s">
        <v>2310</v>
      </c>
    </row>
    <row r="217" spans="1:15" x14ac:dyDescent="0.25">
      <c r="A217" t="s">
        <v>2285</v>
      </c>
      <c r="B217" s="1" t="e">
        <v>#N/A</v>
      </c>
      <c r="C217" s="1" t="e">
        <v>#N/A</v>
      </c>
      <c r="D217" s="1" t="e">
        <v>#N/A</v>
      </c>
      <c r="E217" s="1" t="s">
        <v>2439</v>
      </c>
      <c r="F217" s="2" t="s">
        <v>2300</v>
      </c>
      <c r="G217" s="1" t="s">
        <v>2304</v>
      </c>
      <c r="H217" s="2">
        <v>8</v>
      </c>
      <c r="I217" s="3" t="s">
        <v>2317</v>
      </c>
      <c r="J217" t="s">
        <v>2365</v>
      </c>
      <c r="M217" s="3" t="s">
        <v>2300</v>
      </c>
      <c r="N217" s="3" t="s">
        <v>2255</v>
      </c>
      <c r="O217" t="s">
        <v>2310</v>
      </c>
    </row>
    <row r="218" spans="1:15" x14ac:dyDescent="0.25">
      <c r="A218" t="s">
        <v>2285</v>
      </c>
      <c r="B218" s="1" t="e">
        <v>#N/A</v>
      </c>
      <c r="C218" s="1" t="e">
        <v>#N/A</v>
      </c>
      <c r="D218" s="1" t="e">
        <v>#N/A</v>
      </c>
      <c r="E218" s="1" t="s">
        <v>2439</v>
      </c>
      <c r="F218" s="2" t="s">
        <v>2300</v>
      </c>
      <c r="G218" s="1" t="s">
        <v>2305</v>
      </c>
      <c r="H218" s="2">
        <v>8</v>
      </c>
      <c r="I218" s="3" t="s">
        <v>2327</v>
      </c>
      <c r="J218" t="s">
        <v>2365</v>
      </c>
      <c r="M218" s="3" t="s">
        <v>2300</v>
      </c>
      <c r="N218" s="3" t="s">
        <v>2258</v>
      </c>
      <c r="O218" t="s">
        <v>2310</v>
      </c>
    </row>
    <row r="219" spans="1:15" x14ac:dyDescent="0.25">
      <c r="A219" t="s">
        <v>2285</v>
      </c>
      <c r="B219" s="1" t="e">
        <v>#N/A</v>
      </c>
      <c r="C219" s="1" t="e">
        <v>#N/A</v>
      </c>
      <c r="D219" s="1" t="e">
        <v>#N/A</v>
      </c>
      <c r="E219" s="1" t="s">
        <v>2298</v>
      </c>
      <c r="F219" s="2" t="s">
        <v>2300</v>
      </c>
      <c r="G219" s="1" t="s">
        <v>2304</v>
      </c>
      <c r="H219" s="2">
        <v>7</v>
      </c>
      <c r="I219" s="3" t="s">
        <v>2421</v>
      </c>
      <c r="J219" t="s">
        <v>2365</v>
      </c>
      <c r="M219" s="3" t="s">
        <v>2300</v>
      </c>
      <c r="N219" s="3" t="s">
        <v>2255</v>
      </c>
      <c r="O219" t="s">
        <v>2310</v>
      </c>
    </row>
    <row r="220" spans="1:15" x14ac:dyDescent="0.25">
      <c r="A220" t="s">
        <v>2285</v>
      </c>
      <c r="B220" s="1" t="e">
        <v>#N/A</v>
      </c>
      <c r="C220" s="1" t="e">
        <v>#N/A</v>
      </c>
      <c r="D220" s="1" t="e">
        <v>#N/A</v>
      </c>
      <c r="E220" s="1" t="s">
        <v>2298</v>
      </c>
      <c r="F220" s="2" t="s">
        <v>2300</v>
      </c>
      <c r="G220" s="1" t="s">
        <v>2304</v>
      </c>
      <c r="H220" s="2">
        <v>7</v>
      </c>
      <c r="I220" s="3" t="s">
        <v>21</v>
      </c>
      <c r="J220" t="s">
        <v>2365</v>
      </c>
      <c r="M220" s="3" t="s">
        <v>2300</v>
      </c>
      <c r="N220" s="3" t="s">
        <v>2255</v>
      </c>
      <c r="O220" t="s">
        <v>2310</v>
      </c>
    </row>
    <row r="221" spans="1:15" x14ac:dyDescent="0.25">
      <c r="A221" t="s">
        <v>2285</v>
      </c>
      <c r="B221" s="1" t="e">
        <v>#N/A</v>
      </c>
      <c r="C221" s="1" t="e">
        <v>#N/A</v>
      </c>
      <c r="D221" s="1" t="e">
        <v>#N/A</v>
      </c>
      <c r="E221" s="1" t="s">
        <v>2439</v>
      </c>
      <c r="F221" s="2" t="s">
        <v>2301</v>
      </c>
      <c r="G221" s="1" t="s">
        <v>2304</v>
      </c>
      <c r="H221" s="2">
        <v>7</v>
      </c>
      <c r="I221" s="3" t="s">
        <v>2338</v>
      </c>
      <c r="J221" t="s">
        <v>2365</v>
      </c>
      <c r="M221" s="3" t="s">
        <v>2300</v>
      </c>
      <c r="N221" s="3" t="s">
        <v>2255</v>
      </c>
      <c r="O221" t="s">
        <v>2310</v>
      </c>
    </row>
    <row r="222" spans="1:15" x14ac:dyDescent="0.25">
      <c r="A222" t="s">
        <v>2285</v>
      </c>
      <c r="B222" s="1" t="e">
        <v>#N/A</v>
      </c>
      <c r="C222" s="1" t="e">
        <v>#N/A</v>
      </c>
      <c r="D222" s="1" t="e">
        <v>#N/A</v>
      </c>
      <c r="E222" s="1" t="s">
        <v>2439</v>
      </c>
      <c r="F222" s="2" t="s">
        <v>2301</v>
      </c>
      <c r="G222" s="1" t="s">
        <v>2305</v>
      </c>
      <c r="H222" s="2">
        <v>7</v>
      </c>
      <c r="I222" s="3" t="s">
        <v>2357</v>
      </c>
      <c r="J222" t="s">
        <v>2365</v>
      </c>
      <c r="M222" s="3" t="s">
        <v>2300</v>
      </c>
      <c r="N222" s="3" t="s">
        <v>2258</v>
      </c>
      <c r="O222" t="s">
        <v>2310</v>
      </c>
    </row>
    <row r="223" spans="1:15" x14ac:dyDescent="0.25">
      <c r="A223" t="s">
        <v>2285</v>
      </c>
      <c r="B223" s="1" t="e">
        <v>#N/A</v>
      </c>
      <c r="C223" s="1" t="e">
        <v>#N/A</v>
      </c>
      <c r="D223" s="1" t="e">
        <v>#N/A</v>
      </c>
      <c r="E223" s="1" t="s">
        <v>2439</v>
      </c>
      <c r="F223" s="2" t="s">
        <v>2301</v>
      </c>
      <c r="G223" s="1" t="s">
        <v>2303</v>
      </c>
      <c r="H223" s="2">
        <v>7</v>
      </c>
      <c r="I223" s="3" t="s">
        <v>2316</v>
      </c>
      <c r="J223" t="s">
        <v>2365</v>
      </c>
      <c r="M223" s="3" t="s">
        <v>2300</v>
      </c>
      <c r="N223" s="3" t="s">
        <v>2256</v>
      </c>
      <c r="O223" t="s">
        <v>2310</v>
      </c>
    </row>
    <row r="224" spans="1:15" x14ac:dyDescent="0.25">
      <c r="A224" t="s">
        <v>2285</v>
      </c>
      <c r="B224" s="1" t="e">
        <v>#N/A</v>
      </c>
      <c r="C224" s="1" t="e">
        <v>#N/A</v>
      </c>
      <c r="D224" s="1" t="e">
        <v>#N/A</v>
      </c>
      <c r="E224" s="1" t="s">
        <v>2439</v>
      </c>
      <c r="F224" s="2" t="s">
        <v>2301</v>
      </c>
      <c r="G224" s="1" t="s">
        <v>2303</v>
      </c>
      <c r="H224" s="2">
        <v>7</v>
      </c>
      <c r="I224" s="3" t="s">
        <v>2315</v>
      </c>
      <c r="J224" t="s">
        <v>2365</v>
      </c>
      <c r="M224" s="3" t="s">
        <v>2300</v>
      </c>
      <c r="N224" s="3" t="s">
        <v>2256</v>
      </c>
      <c r="O224" t="s">
        <v>2310</v>
      </c>
    </row>
    <row r="225" spans="1:15" x14ac:dyDescent="0.25">
      <c r="A225" t="s">
        <v>2285</v>
      </c>
      <c r="B225" s="1" t="e">
        <v>#N/A</v>
      </c>
      <c r="C225" s="1" t="e">
        <v>#N/A</v>
      </c>
      <c r="D225" s="1" t="e">
        <v>#N/A</v>
      </c>
      <c r="E225" s="1" t="s">
        <v>2439</v>
      </c>
      <c r="F225" s="2" t="s">
        <v>2301</v>
      </c>
      <c r="G225" s="1" t="s">
        <v>2303</v>
      </c>
      <c r="H225" s="2">
        <v>7</v>
      </c>
      <c r="I225" s="3" t="s">
        <v>2315</v>
      </c>
      <c r="J225" t="s">
        <v>2365</v>
      </c>
      <c r="M225" s="3" t="s">
        <v>2300</v>
      </c>
      <c r="N225" s="3" t="s">
        <v>2256</v>
      </c>
      <c r="O225" t="s">
        <v>2310</v>
      </c>
    </row>
    <row r="226" spans="1:15" x14ac:dyDescent="0.25">
      <c r="A226" t="s">
        <v>2285</v>
      </c>
      <c r="B226" s="1" t="e">
        <v>#N/A</v>
      </c>
      <c r="C226" s="1" t="e">
        <v>#N/A</v>
      </c>
      <c r="D226" s="1" t="e">
        <v>#N/A</v>
      </c>
      <c r="E226" s="1" t="s">
        <v>2439</v>
      </c>
      <c r="F226" s="2" t="s">
        <v>2301</v>
      </c>
      <c r="G226" s="1" t="s">
        <v>2303</v>
      </c>
      <c r="H226" s="2">
        <v>7</v>
      </c>
      <c r="I226" s="3" t="s">
        <v>2318</v>
      </c>
      <c r="J226" t="s">
        <v>2365</v>
      </c>
      <c r="M226" s="3" t="s">
        <v>2300</v>
      </c>
      <c r="N226" s="3" t="s">
        <v>2256</v>
      </c>
      <c r="O226" t="s">
        <v>2310</v>
      </c>
    </row>
    <row r="227" spans="1:15" x14ac:dyDescent="0.25">
      <c r="A227" t="s">
        <v>2285</v>
      </c>
      <c r="B227" s="1" t="e">
        <v>#N/A</v>
      </c>
      <c r="C227" s="1" t="e">
        <v>#N/A</v>
      </c>
      <c r="D227" s="1" t="e">
        <v>#N/A</v>
      </c>
      <c r="E227" s="1" t="s">
        <v>2439</v>
      </c>
      <c r="F227" s="2" t="s">
        <v>2301</v>
      </c>
      <c r="G227" s="1" t="s">
        <v>2303</v>
      </c>
      <c r="H227" s="2">
        <v>7</v>
      </c>
      <c r="I227" s="3" t="s">
        <v>1</v>
      </c>
      <c r="J227" t="s">
        <v>2365</v>
      </c>
      <c r="M227" s="3" t="s">
        <v>2300</v>
      </c>
      <c r="N227" s="3" t="s">
        <v>2256</v>
      </c>
      <c r="O227" t="s">
        <v>2310</v>
      </c>
    </row>
    <row r="228" spans="1:15" x14ac:dyDescent="0.25">
      <c r="A228" t="s">
        <v>2285</v>
      </c>
      <c r="B228" s="1" t="e">
        <v>#N/A</v>
      </c>
      <c r="C228" s="1" t="e">
        <v>#N/A</v>
      </c>
      <c r="D228" s="1" t="e">
        <v>#N/A</v>
      </c>
      <c r="E228" s="1" t="s">
        <v>2439</v>
      </c>
      <c r="F228" s="2" t="s">
        <v>2301</v>
      </c>
      <c r="G228" s="1" t="s">
        <v>2304</v>
      </c>
      <c r="H228" s="2">
        <v>7</v>
      </c>
      <c r="I228" s="3" t="s">
        <v>2317</v>
      </c>
      <c r="J228" t="s">
        <v>2365</v>
      </c>
      <c r="M228" s="3" t="s">
        <v>2300</v>
      </c>
      <c r="N228" s="3" t="s">
        <v>2255</v>
      </c>
      <c r="O228" t="s">
        <v>2310</v>
      </c>
    </row>
    <row r="229" spans="1:15" x14ac:dyDescent="0.25">
      <c r="A229" t="s">
        <v>2285</v>
      </c>
      <c r="B229" s="1" t="e">
        <v>#N/A</v>
      </c>
      <c r="C229" s="1" t="e">
        <v>#N/A</v>
      </c>
      <c r="D229" s="1" t="e">
        <v>#N/A</v>
      </c>
      <c r="E229" s="1" t="s">
        <v>2439</v>
      </c>
      <c r="F229" s="2" t="s">
        <v>2301</v>
      </c>
      <c r="G229" s="1" t="s">
        <v>2304</v>
      </c>
      <c r="H229" s="2">
        <v>7</v>
      </c>
      <c r="I229" s="3" t="s">
        <v>2315</v>
      </c>
      <c r="J229" t="s">
        <v>2365</v>
      </c>
      <c r="M229" s="3" t="s">
        <v>2300</v>
      </c>
      <c r="N229" s="3" t="s">
        <v>2255</v>
      </c>
      <c r="O229" t="s">
        <v>2310</v>
      </c>
    </row>
    <row r="230" spans="1:15" x14ac:dyDescent="0.25">
      <c r="A230" t="s">
        <v>2285</v>
      </c>
      <c r="B230" s="1" t="e">
        <v>#N/A</v>
      </c>
      <c r="C230" s="1" t="e">
        <v>#N/A</v>
      </c>
      <c r="D230" s="1" t="e">
        <v>#N/A</v>
      </c>
      <c r="E230" s="1" t="s">
        <v>2439</v>
      </c>
      <c r="F230" s="2" t="s">
        <v>2301</v>
      </c>
      <c r="G230" s="1" t="s">
        <v>2304</v>
      </c>
      <c r="H230" s="2">
        <v>7</v>
      </c>
      <c r="I230" s="3" t="s">
        <v>5</v>
      </c>
      <c r="J230" t="s">
        <v>2365</v>
      </c>
      <c r="M230" s="3" t="s">
        <v>2300</v>
      </c>
      <c r="N230" s="3" t="s">
        <v>2255</v>
      </c>
      <c r="O230" t="s">
        <v>2310</v>
      </c>
    </row>
    <row r="231" spans="1:15" x14ac:dyDescent="0.25">
      <c r="A231" t="s">
        <v>2285</v>
      </c>
      <c r="B231" s="1" t="e">
        <v>#N/A</v>
      </c>
      <c r="C231" s="1" t="e">
        <v>#N/A</v>
      </c>
      <c r="D231" s="1" t="e">
        <v>#N/A</v>
      </c>
      <c r="E231" s="1" t="s">
        <v>2439</v>
      </c>
      <c r="F231" s="2" t="s">
        <v>2301</v>
      </c>
      <c r="G231" s="1" t="s">
        <v>2304</v>
      </c>
      <c r="H231" s="2">
        <v>7</v>
      </c>
      <c r="I231" s="3" t="s">
        <v>2</v>
      </c>
      <c r="J231" t="s">
        <v>2365</v>
      </c>
      <c r="M231" s="3" t="s">
        <v>2300</v>
      </c>
      <c r="N231" s="3" t="s">
        <v>2255</v>
      </c>
      <c r="O231" t="s">
        <v>2310</v>
      </c>
    </row>
    <row r="232" spans="1:15" x14ac:dyDescent="0.25">
      <c r="A232" t="s">
        <v>2285</v>
      </c>
      <c r="B232" s="1" t="e">
        <v>#N/A</v>
      </c>
      <c r="C232" s="1" t="e">
        <v>#N/A</v>
      </c>
      <c r="D232" s="1" t="e">
        <v>#N/A</v>
      </c>
      <c r="E232" s="1" t="s">
        <v>2439</v>
      </c>
      <c r="F232" s="2" t="s">
        <v>2301</v>
      </c>
      <c r="G232" s="1" t="s">
        <v>2304</v>
      </c>
      <c r="H232" s="2">
        <v>7</v>
      </c>
      <c r="I232" s="3" t="s">
        <v>2316</v>
      </c>
      <c r="J232" t="s">
        <v>2365</v>
      </c>
      <c r="M232" s="3" t="s">
        <v>2300</v>
      </c>
      <c r="N232" s="3" t="s">
        <v>2255</v>
      </c>
      <c r="O232" t="s">
        <v>2310</v>
      </c>
    </row>
    <row r="233" spans="1:15" x14ac:dyDescent="0.25">
      <c r="A233" t="s">
        <v>2285</v>
      </c>
      <c r="B233" s="1" t="e">
        <v>#N/A</v>
      </c>
      <c r="C233" s="1" t="e">
        <v>#N/A</v>
      </c>
      <c r="D233" s="1" t="e">
        <v>#N/A</v>
      </c>
      <c r="E233" s="1" t="s">
        <v>2439</v>
      </c>
      <c r="F233" s="2" t="s">
        <v>2301</v>
      </c>
      <c r="G233" s="1" t="s">
        <v>2304</v>
      </c>
      <c r="H233" s="2">
        <v>7</v>
      </c>
      <c r="I233" s="3" t="s">
        <v>2316</v>
      </c>
      <c r="J233" t="s">
        <v>2365</v>
      </c>
      <c r="M233" s="3" t="s">
        <v>2300</v>
      </c>
      <c r="N233" s="3" t="s">
        <v>2255</v>
      </c>
      <c r="O233" t="s">
        <v>2310</v>
      </c>
    </row>
    <row r="234" spans="1:15" x14ac:dyDescent="0.25">
      <c r="A234" t="s">
        <v>2285</v>
      </c>
      <c r="B234" s="1" t="e">
        <v>#N/A</v>
      </c>
      <c r="C234" s="1" t="e">
        <v>#N/A</v>
      </c>
      <c r="D234" s="1" t="e">
        <v>#N/A</v>
      </c>
      <c r="E234" s="1" t="s">
        <v>2439</v>
      </c>
      <c r="F234" s="2" t="s">
        <v>2301</v>
      </c>
      <c r="G234" s="1" t="s">
        <v>2304</v>
      </c>
      <c r="H234" s="2">
        <v>7</v>
      </c>
      <c r="I234" s="3" t="s">
        <v>2318</v>
      </c>
      <c r="J234" t="s">
        <v>2365</v>
      </c>
      <c r="M234" s="3" t="s">
        <v>2300</v>
      </c>
      <c r="N234" s="3" t="s">
        <v>2255</v>
      </c>
      <c r="O234" t="s">
        <v>2310</v>
      </c>
    </row>
    <row r="235" spans="1:15" x14ac:dyDescent="0.25">
      <c r="A235" t="s">
        <v>2285</v>
      </c>
      <c r="B235" s="1" t="e">
        <v>#N/A</v>
      </c>
      <c r="C235" s="1" t="e">
        <v>#N/A</v>
      </c>
      <c r="D235" s="1" t="e">
        <v>#N/A</v>
      </c>
      <c r="E235" s="1" t="s">
        <v>2439</v>
      </c>
      <c r="F235" s="2" t="s">
        <v>2301</v>
      </c>
      <c r="G235" s="1" t="s">
        <v>2304</v>
      </c>
      <c r="H235" s="2">
        <v>7</v>
      </c>
      <c r="I235" s="3" t="s">
        <v>2317</v>
      </c>
      <c r="J235" t="s">
        <v>2365</v>
      </c>
      <c r="M235" s="3" t="s">
        <v>2300</v>
      </c>
      <c r="N235" s="3" t="s">
        <v>2255</v>
      </c>
      <c r="O235" t="s">
        <v>2310</v>
      </c>
    </row>
    <row r="236" spans="1:15" x14ac:dyDescent="0.25">
      <c r="A236" t="s">
        <v>2285</v>
      </c>
      <c r="B236" s="1" t="e">
        <v>#N/A</v>
      </c>
      <c r="C236" s="1" t="e">
        <v>#N/A</v>
      </c>
      <c r="D236" s="1" t="e">
        <v>#N/A</v>
      </c>
      <c r="E236" s="1" t="s">
        <v>2439</v>
      </c>
      <c r="F236" s="2" t="s">
        <v>2301</v>
      </c>
      <c r="G236" s="1" t="s">
        <v>2304</v>
      </c>
      <c r="H236" s="2">
        <v>7</v>
      </c>
      <c r="I236" s="3" t="s">
        <v>2315</v>
      </c>
      <c r="J236" t="s">
        <v>2365</v>
      </c>
      <c r="M236" s="3" t="s">
        <v>2300</v>
      </c>
      <c r="N236" s="3" t="s">
        <v>2255</v>
      </c>
      <c r="O236" t="s">
        <v>2310</v>
      </c>
    </row>
    <row r="237" spans="1:15" x14ac:dyDescent="0.25">
      <c r="A237" t="s">
        <v>2285</v>
      </c>
      <c r="B237" s="1" t="e">
        <v>#N/A</v>
      </c>
      <c r="C237" s="1" t="e">
        <v>#N/A</v>
      </c>
      <c r="D237" s="1" t="e">
        <v>#N/A</v>
      </c>
      <c r="E237" s="1" t="s">
        <v>2439</v>
      </c>
      <c r="F237" s="2" t="s">
        <v>2301</v>
      </c>
      <c r="G237" s="1" t="s">
        <v>2304</v>
      </c>
      <c r="H237" s="2">
        <v>7</v>
      </c>
      <c r="I237" s="3" t="s">
        <v>2318</v>
      </c>
      <c r="J237" t="s">
        <v>2365</v>
      </c>
      <c r="M237" s="3" t="s">
        <v>2300</v>
      </c>
      <c r="N237" s="3" t="s">
        <v>2255</v>
      </c>
      <c r="O237" t="s">
        <v>2310</v>
      </c>
    </row>
    <row r="238" spans="1:15" x14ac:dyDescent="0.25">
      <c r="A238" t="s">
        <v>2285</v>
      </c>
      <c r="B238" s="1" t="e">
        <v>#N/A</v>
      </c>
      <c r="C238" s="1" t="e">
        <v>#N/A</v>
      </c>
      <c r="D238" s="1" t="e">
        <v>#N/A</v>
      </c>
      <c r="E238" s="1" t="s">
        <v>2298</v>
      </c>
      <c r="F238" s="2" t="s">
        <v>2300</v>
      </c>
      <c r="G238" s="1" t="s">
        <v>2304</v>
      </c>
      <c r="H238" s="2">
        <v>7</v>
      </c>
      <c r="I238" s="3" t="s">
        <v>21</v>
      </c>
      <c r="J238" t="s">
        <v>2365</v>
      </c>
      <c r="M238" s="3" t="s">
        <v>2300</v>
      </c>
      <c r="N238" s="3" t="s">
        <v>2255</v>
      </c>
      <c r="O238" t="s">
        <v>2310</v>
      </c>
    </row>
    <row r="239" spans="1:15" x14ac:dyDescent="0.25">
      <c r="A239" t="s">
        <v>2285</v>
      </c>
      <c r="B239" s="1" t="e">
        <v>#N/A</v>
      </c>
      <c r="C239" s="1" t="e">
        <v>#N/A</v>
      </c>
      <c r="D239" s="1" t="e">
        <v>#N/A</v>
      </c>
      <c r="E239" s="1" t="s">
        <v>2439</v>
      </c>
      <c r="F239" s="2" t="s">
        <v>2301</v>
      </c>
      <c r="G239" s="1" t="s">
        <v>2304</v>
      </c>
      <c r="H239" s="2">
        <v>7</v>
      </c>
      <c r="I239" s="3" t="s">
        <v>2317</v>
      </c>
      <c r="J239" t="s">
        <v>2365</v>
      </c>
      <c r="M239" s="3" t="s">
        <v>2300</v>
      </c>
      <c r="N239" s="3" t="s">
        <v>2255</v>
      </c>
      <c r="O239" t="s">
        <v>2310</v>
      </c>
    </row>
    <row r="240" spans="1:15" x14ac:dyDescent="0.25">
      <c r="A240" t="s">
        <v>2285</v>
      </c>
      <c r="B240" s="1" t="e">
        <v>#N/A</v>
      </c>
      <c r="C240" s="1" t="e">
        <v>#N/A</v>
      </c>
      <c r="D240" s="1" t="e">
        <v>#N/A</v>
      </c>
      <c r="E240" s="1" t="s">
        <v>2439</v>
      </c>
      <c r="F240" s="2" t="s">
        <v>2301</v>
      </c>
      <c r="G240" s="1" t="s">
        <v>2304</v>
      </c>
      <c r="H240" s="2">
        <v>7</v>
      </c>
      <c r="I240" s="3" t="s">
        <v>9</v>
      </c>
      <c r="J240" t="s">
        <v>2365</v>
      </c>
      <c r="M240" s="3" t="s">
        <v>2300</v>
      </c>
      <c r="N240" s="3" t="s">
        <v>2255</v>
      </c>
      <c r="O240" t="s">
        <v>2310</v>
      </c>
    </row>
    <row r="241" spans="1:15" x14ac:dyDescent="0.25">
      <c r="A241" t="s">
        <v>2285</v>
      </c>
      <c r="B241" s="1" t="e">
        <v>#N/A</v>
      </c>
      <c r="C241" s="1" t="e">
        <v>#N/A</v>
      </c>
      <c r="D241" s="1" t="e">
        <v>#N/A</v>
      </c>
      <c r="E241" s="1" t="s">
        <v>2439</v>
      </c>
      <c r="F241" s="2" t="s">
        <v>2301</v>
      </c>
      <c r="G241" s="1" t="s">
        <v>2304</v>
      </c>
      <c r="H241" s="2">
        <v>7</v>
      </c>
      <c r="I241" s="3" t="s">
        <v>2317</v>
      </c>
      <c r="J241" t="s">
        <v>2365</v>
      </c>
      <c r="M241" s="3" t="s">
        <v>2300</v>
      </c>
      <c r="N241" s="3" t="s">
        <v>2255</v>
      </c>
      <c r="O241" t="s">
        <v>2310</v>
      </c>
    </row>
    <row r="242" spans="1:15" x14ac:dyDescent="0.25">
      <c r="A242" t="s">
        <v>2285</v>
      </c>
      <c r="B242" s="1" t="e">
        <v>#N/A</v>
      </c>
      <c r="C242" s="1" t="e">
        <v>#N/A</v>
      </c>
      <c r="D242" s="1" t="e">
        <v>#N/A</v>
      </c>
      <c r="E242" s="1" t="s">
        <v>2439</v>
      </c>
      <c r="F242" s="2" t="s">
        <v>2301</v>
      </c>
      <c r="G242" s="1" t="s">
        <v>2304</v>
      </c>
      <c r="H242" s="2">
        <v>7</v>
      </c>
      <c r="I242" s="3" t="s">
        <v>2317</v>
      </c>
      <c r="J242" t="s">
        <v>2365</v>
      </c>
      <c r="M242" s="3" t="s">
        <v>2300</v>
      </c>
      <c r="N242" s="3" t="s">
        <v>2255</v>
      </c>
      <c r="O242" t="s">
        <v>2310</v>
      </c>
    </row>
    <row r="243" spans="1:15" x14ac:dyDescent="0.25">
      <c r="A243" t="s">
        <v>2285</v>
      </c>
      <c r="B243" s="1" t="e">
        <v>#N/A</v>
      </c>
      <c r="C243" s="1" t="e">
        <v>#N/A</v>
      </c>
      <c r="D243" s="1" t="e">
        <v>#N/A</v>
      </c>
      <c r="E243" s="1" t="s">
        <v>2439</v>
      </c>
      <c r="F243" s="2" t="s">
        <v>2301</v>
      </c>
      <c r="G243" s="1" t="s">
        <v>2304</v>
      </c>
      <c r="H243" s="2">
        <v>7</v>
      </c>
      <c r="I243" s="3" t="s">
        <v>2317</v>
      </c>
      <c r="J243" t="s">
        <v>2365</v>
      </c>
      <c r="M243" s="3" t="s">
        <v>2300</v>
      </c>
      <c r="N243" s="3" t="s">
        <v>2255</v>
      </c>
      <c r="O243" t="s">
        <v>2310</v>
      </c>
    </row>
    <row r="244" spans="1:15" x14ac:dyDescent="0.25">
      <c r="A244" t="s">
        <v>2285</v>
      </c>
      <c r="B244" s="1" t="e">
        <v>#N/A</v>
      </c>
      <c r="C244" s="1" t="e">
        <v>#N/A</v>
      </c>
      <c r="D244" s="1" t="e">
        <v>#N/A</v>
      </c>
      <c r="E244" s="1" t="s">
        <v>2439</v>
      </c>
      <c r="F244" s="2" t="s">
        <v>2301</v>
      </c>
      <c r="G244" s="1" t="s">
        <v>2304</v>
      </c>
      <c r="H244" s="2">
        <v>7</v>
      </c>
      <c r="I244" s="3" t="s">
        <v>2357</v>
      </c>
      <c r="J244" t="s">
        <v>2365</v>
      </c>
      <c r="M244" s="3" t="s">
        <v>2300</v>
      </c>
      <c r="N244" s="3" t="s">
        <v>2255</v>
      </c>
      <c r="O244" t="s">
        <v>2310</v>
      </c>
    </row>
    <row r="245" spans="1:15" x14ac:dyDescent="0.25">
      <c r="A245" t="s">
        <v>2285</v>
      </c>
      <c r="B245" s="1" t="e">
        <v>#N/A</v>
      </c>
      <c r="C245" s="1" t="e">
        <v>#N/A</v>
      </c>
      <c r="D245" s="1" t="e">
        <v>#N/A</v>
      </c>
      <c r="E245" s="1" t="s">
        <v>2439</v>
      </c>
      <c r="F245" s="2" t="s">
        <v>2301</v>
      </c>
      <c r="G245" s="1" t="s">
        <v>2304</v>
      </c>
      <c r="H245" s="2">
        <v>7</v>
      </c>
      <c r="I245" s="3" t="s">
        <v>2313</v>
      </c>
      <c r="J245" t="s">
        <v>2365</v>
      </c>
      <c r="M245" s="3" t="s">
        <v>2300</v>
      </c>
      <c r="N245" s="3" t="s">
        <v>2255</v>
      </c>
      <c r="O245" t="s">
        <v>2310</v>
      </c>
    </row>
    <row r="246" spans="1:15" x14ac:dyDescent="0.25">
      <c r="A246" t="s">
        <v>2285</v>
      </c>
      <c r="B246" s="1" t="e">
        <v>#N/A</v>
      </c>
      <c r="C246" s="1" t="e">
        <v>#N/A</v>
      </c>
      <c r="D246" s="1" t="e">
        <v>#N/A</v>
      </c>
      <c r="E246" s="1" t="s">
        <v>2439</v>
      </c>
      <c r="F246" s="2" t="s">
        <v>2301</v>
      </c>
      <c r="G246" s="1" t="s">
        <v>2304</v>
      </c>
      <c r="H246" s="2">
        <v>7</v>
      </c>
      <c r="I246" s="3" t="s">
        <v>2317</v>
      </c>
      <c r="J246" t="s">
        <v>2365</v>
      </c>
      <c r="M246" s="3" t="s">
        <v>2300</v>
      </c>
      <c r="N246" s="3" t="s">
        <v>2255</v>
      </c>
      <c r="O246" t="s">
        <v>2310</v>
      </c>
    </row>
    <row r="247" spans="1:15" x14ac:dyDescent="0.25">
      <c r="A247" t="s">
        <v>2285</v>
      </c>
      <c r="B247" s="1" t="e">
        <v>#N/A</v>
      </c>
      <c r="C247" s="1" t="e">
        <v>#N/A</v>
      </c>
      <c r="D247" s="1" t="e">
        <v>#N/A</v>
      </c>
      <c r="E247" s="1" t="s">
        <v>2439</v>
      </c>
      <c r="F247" s="2" t="s">
        <v>2301</v>
      </c>
      <c r="G247" s="1" t="s">
        <v>2304</v>
      </c>
      <c r="H247" s="2">
        <v>7</v>
      </c>
      <c r="I247" s="3" t="s">
        <v>2338</v>
      </c>
      <c r="J247" t="s">
        <v>2365</v>
      </c>
      <c r="M247" s="3" t="s">
        <v>2300</v>
      </c>
      <c r="N247" s="3" t="s">
        <v>2255</v>
      </c>
      <c r="O247" t="s">
        <v>2310</v>
      </c>
    </row>
    <row r="248" spans="1:15" x14ac:dyDescent="0.25">
      <c r="A248" t="s">
        <v>2285</v>
      </c>
      <c r="B248" s="1" t="e">
        <v>#N/A</v>
      </c>
      <c r="C248" s="1" t="e">
        <v>#N/A</v>
      </c>
      <c r="D248" s="1" t="e">
        <v>#N/A</v>
      </c>
      <c r="E248" s="1" t="s">
        <v>2439</v>
      </c>
      <c r="F248" s="2" t="s">
        <v>2301</v>
      </c>
      <c r="G248" s="1" t="s">
        <v>2304</v>
      </c>
      <c r="H248" s="2">
        <v>7</v>
      </c>
      <c r="I248" s="3" t="s">
        <v>2357</v>
      </c>
      <c r="J248" t="s">
        <v>2365</v>
      </c>
      <c r="M248" s="3" t="s">
        <v>2300</v>
      </c>
      <c r="N248" s="3" t="s">
        <v>2255</v>
      </c>
      <c r="O248" t="s">
        <v>2310</v>
      </c>
    </row>
    <row r="249" spans="1:15" x14ac:dyDescent="0.25">
      <c r="A249" t="s">
        <v>2285</v>
      </c>
      <c r="B249" s="1" t="s">
        <v>2289</v>
      </c>
      <c r="C249" s="1" t="s">
        <v>2430</v>
      </c>
      <c r="D249" s="1" t="s">
        <v>2438</v>
      </c>
      <c r="E249" s="1" t="s">
        <v>2439</v>
      </c>
      <c r="F249" s="2" t="s">
        <v>2301</v>
      </c>
      <c r="G249" s="1" t="s">
        <v>2304</v>
      </c>
      <c r="H249" s="2">
        <v>7</v>
      </c>
      <c r="I249" s="3" t="s">
        <v>1</v>
      </c>
      <c r="J249" t="s">
        <v>2365</v>
      </c>
      <c r="M249" s="3" t="s">
        <v>2300</v>
      </c>
      <c r="N249" s="3" t="s">
        <v>2255</v>
      </c>
      <c r="O249" t="s">
        <v>2310</v>
      </c>
    </row>
    <row r="250" spans="1:15" x14ac:dyDescent="0.25">
      <c r="A250" t="s">
        <v>2285</v>
      </c>
      <c r="B250" s="1" t="e">
        <v>#N/A</v>
      </c>
      <c r="C250" s="1" t="e">
        <v>#N/A</v>
      </c>
      <c r="D250" s="1" t="e">
        <v>#N/A</v>
      </c>
      <c r="E250" s="1" t="s">
        <v>2439</v>
      </c>
      <c r="F250" s="2" t="s">
        <v>2301</v>
      </c>
      <c r="G250" s="1" t="s">
        <v>2304</v>
      </c>
      <c r="H250" s="2">
        <v>7</v>
      </c>
      <c r="I250" s="3" t="s">
        <v>2317</v>
      </c>
      <c r="J250" t="s">
        <v>2365</v>
      </c>
      <c r="M250" s="3" t="s">
        <v>2300</v>
      </c>
      <c r="N250" s="3" t="s">
        <v>2255</v>
      </c>
      <c r="O250" t="s">
        <v>2310</v>
      </c>
    </row>
    <row r="251" spans="1:15" x14ac:dyDescent="0.25">
      <c r="A251" t="s">
        <v>2285</v>
      </c>
      <c r="B251" s="1" t="s">
        <v>2289</v>
      </c>
      <c r="C251" s="1" t="s">
        <v>2430</v>
      </c>
      <c r="D251" s="1" t="s">
        <v>2438</v>
      </c>
      <c r="E251" s="1" t="s">
        <v>2439</v>
      </c>
      <c r="F251" s="2" t="s">
        <v>2301</v>
      </c>
      <c r="G251" s="1" t="s">
        <v>2304</v>
      </c>
      <c r="H251" s="2">
        <v>7</v>
      </c>
      <c r="I251" s="3" t="s">
        <v>1</v>
      </c>
      <c r="J251" t="s">
        <v>2365</v>
      </c>
      <c r="M251" s="3" t="s">
        <v>2300</v>
      </c>
      <c r="N251" s="3" t="s">
        <v>2255</v>
      </c>
      <c r="O251" t="s">
        <v>2310</v>
      </c>
    </row>
    <row r="252" spans="1:15" x14ac:dyDescent="0.25">
      <c r="A252" t="s">
        <v>2285</v>
      </c>
      <c r="B252" s="1" t="e">
        <v>#N/A</v>
      </c>
      <c r="C252" s="1" t="e">
        <v>#N/A</v>
      </c>
      <c r="D252" s="1" t="e">
        <v>#N/A</v>
      </c>
      <c r="E252" s="1" t="s">
        <v>2439</v>
      </c>
      <c r="F252" s="2" t="s">
        <v>2300</v>
      </c>
      <c r="G252" s="1" t="s">
        <v>2304</v>
      </c>
      <c r="H252" s="2">
        <v>6</v>
      </c>
      <c r="I252" s="3" t="s">
        <v>2317</v>
      </c>
      <c r="J252" t="s">
        <v>2365</v>
      </c>
      <c r="M252" s="3" t="s">
        <v>2300</v>
      </c>
      <c r="N252" s="3" t="s">
        <v>2255</v>
      </c>
      <c r="O252" t="s">
        <v>2310</v>
      </c>
    </row>
    <row r="253" spans="1:15" x14ac:dyDescent="0.25">
      <c r="A253" t="s">
        <v>2285</v>
      </c>
      <c r="B253" s="1" t="e">
        <v>#N/A</v>
      </c>
      <c r="C253" s="1" t="e">
        <v>#N/A</v>
      </c>
      <c r="D253" s="1" t="e">
        <v>#N/A</v>
      </c>
      <c r="E253" s="1" t="s">
        <v>2439</v>
      </c>
      <c r="F253" s="2" t="s">
        <v>2300</v>
      </c>
      <c r="G253" s="1" t="s">
        <v>2304</v>
      </c>
      <c r="H253" s="2">
        <v>6</v>
      </c>
      <c r="I253" s="3" t="s">
        <v>6</v>
      </c>
      <c r="J253" t="s">
        <v>2365</v>
      </c>
      <c r="M253" s="3" t="s">
        <v>2300</v>
      </c>
      <c r="N253" s="3" t="s">
        <v>2255</v>
      </c>
      <c r="O253" t="s">
        <v>2310</v>
      </c>
    </row>
    <row r="254" spans="1:15" x14ac:dyDescent="0.25">
      <c r="A254" t="s">
        <v>2285</v>
      </c>
      <c r="B254" s="1" t="e">
        <v>#N/A</v>
      </c>
      <c r="C254" s="1" t="e">
        <v>#N/A</v>
      </c>
      <c r="D254" s="1" t="e">
        <v>#N/A</v>
      </c>
      <c r="E254" s="1" t="s">
        <v>2439</v>
      </c>
      <c r="F254" s="2" t="s">
        <v>2300</v>
      </c>
      <c r="G254" s="1" t="s">
        <v>2304</v>
      </c>
      <c r="H254" s="2">
        <v>6</v>
      </c>
      <c r="I254" s="3" t="s">
        <v>12</v>
      </c>
      <c r="J254" t="s">
        <v>2365</v>
      </c>
      <c r="M254" s="3" t="s">
        <v>2300</v>
      </c>
      <c r="N254" s="3" t="s">
        <v>2255</v>
      </c>
      <c r="O254" t="s">
        <v>2310</v>
      </c>
    </row>
    <row r="255" spans="1:15" x14ac:dyDescent="0.25">
      <c r="A255" t="s">
        <v>2285</v>
      </c>
      <c r="B255" s="1" t="e">
        <v>#N/A</v>
      </c>
      <c r="C255" s="1" t="e">
        <v>#N/A</v>
      </c>
      <c r="D255" s="1" t="e">
        <v>#N/A</v>
      </c>
      <c r="E255" s="1" t="s">
        <v>2439</v>
      </c>
      <c r="F255" s="2" t="s">
        <v>2300</v>
      </c>
      <c r="G255" s="1" t="s">
        <v>2304</v>
      </c>
      <c r="H255" s="2">
        <v>6</v>
      </c>
      <c r="I255" s="3" t="s">
        <v>2317</v>
      </c>
      <c r="J255" t="s">
        <v>2365</v>
      </c>
      <c r="M255" s="3" t="s">
        <v>2300</v>
      </c>
      <c r="N255" s="3" t="s">
        <v>2255</v>
      </c>
      <c r="O255" t="s">
        <v>2310</v>
      </c>
    </row>
    <row r="256" spans="1:15" x14ac:dyDescent="0.25">
      <c r="A256" t="s">
        <v>2285</v>
      </c>
      <c r="B256" s="1" t="e">
        <v>#N/A</v>
      </c>
      <c r="C256" s="1" t="e">
        <v>#N/A</v>
      </c>
      <c r="D256" s="1" t="e">
        <v>#N/A</v>
      </c>
      <c r="E256" s="1" t="s">
        <v>2439</v>
      </c>
      <c r="F256" s="2" t="s">
        <v>2300</v>
      </c>
      <c r="G256" s="1" t="s">
        <v>2303</v>
      </c>
      <c r="H256" s="2">
        <v>6</v>
      </c>
      <c r="I256" s="3" t="s">
        <v>2329</v>
      </c>
      <c r="J256" t="s">
        <v>2365</v>
      </c>
      <c r="M256" s="3" t="s">
        <v>2300</v>
      </c>
      <c r="N256" s="3" t="s">
        <v>2256</v>
      </c>
      <c r="O256" t="s">
        <v>2310</v>
      </c>
    </row>
    <row r="257" spans="1:15" x14ac:dyDescent="0.25">
      <c r="A257" t="s">
        <v>2285</v>
      </c>
      <c r="B257" s="1" t="e">
        <v>#N/A</v>
      </c>
      <c r="C257" s="1" t="e">
        <v>#N/A</v>
      </c>
      <c r="D257" s="1" t="e">
        <v>#N/A</v>
      </c>
      <c r="E257" s="1" t="s">
        <v>2439</v>
      </c>
      <c r="F257" s="2" t="s">
        <v>2300</v>
      </c>
      <c r="G257" s="1" t="s">
        <v>2305</v>
      </c>
      <c r="H257" s="2">
        <v>6</v>
      </c>
      <c r="I257" s="3" t="s">
        <v>2315</v>
      </c>
      <c r="J257" t="s">
        <v>2365</v>
      </c>
      <c r="M257" s="3" t="s">
        <v>2300</v>
      </c>
      <c r="N257" s="3" t="s">
        <v>2258</v>
      </c>
      <c r="O257" t="s">
        <v>2310</v>
      </c>
    </row>
    <row r="258" spans="1:15" x14ac:dyDescent="0.25">
      <c r="A258" t="s">
        <v>2285</v>
      </c>
      <c r="B258" s="1" t="e">
        <v>#N/A</v>
      </c>
      <c r="C258" s="1" t="e">
        <v>#N/A</v>
      </c>
      <c r="D258" s="1" t="e">
        <v>#N/A</v>
      </c>
      <c r="E258" s="1" t="s">
        <v>2439</v>
      </c>
      <c r="F258" s="2" t="s">
        <v>2300</v>
      </c>
      <c r="G258" s="1" t="s">
        <v>2304</v>
      </c>
      <c r="H258" s="2">
        <v>6</v>
      </c>
      <c r="I258" s="3" t="s">
        <v>2329</v>
      </c>
      <c r="J258" t="s">
        <v>2365</v>
      </c>
      <c r="M258" s="3" t="s">
        <v>2300</v>
      </c>
      <c r="N258" s="3" t="s">
        <v>2255</v>
      </c>
      <c r="O258" t="s">
        <v>2310</v>
      </c>
    </row>
    <row r="259" spans="1:15" x14ac:dyDescent="0.25">
      <c r="A259" t="s">
        <v>2285</v>
      </c>
      <c r="B259" s="1" t="e">
        <v>#N/A</v>
      </c>
      <c r="C259" s="1" t="e">
        <v>#N/A</v>
      </c>
      <c r="D259" s="1" t="e">
        <v>#N/A</v>
      </c>
      <c r="E259" s="1" t="s">
        <v>2439</v>
      </c>
      <c r="F259" s="2" t="s">
        <v>2300</v>
      </c>
      <c r="G259" s="1" t="s">
        <v>2304</v>
      </c>
      <c r="H259" s="2">
        <v>6</v>
      </c>
      <c r="I259" s="3" t="s">
        <v>2316</v>
      </c>
      <c r="J259" t="s">
        <v>2365</v>
      </c>
      <c r="M259" s="3" t="s">
        <v>2300</v>
      </c>
      <c r="N259" s="3" t="s">
        <v>2255</v>
      </c>
      <c r="O259" t="s">
        <v>2310</v>
      </c>
    </row>
    <row r="260" spans="1:15" x14ac:dyDescent="0.25">
      <c r="A260" t="s">
        <v>2285</v>
      </c>
      <c r="B260" s="1" t="e">
        <v>#N/A</v>
      </c>
      <c r="C260" s="1" t="e">
        <v>#N/A</v>
      </c>
      <c r="D260" s="1" t="e">
        <v>#N/A</v>
      </c>
      <c r="E260" s="1" t="s">
        <v>2439</v>
      </c>
      <c r="F260" s="2" t="s">
        <v>2300</v>
      </c>
      <c r="G260" s="1" t="s">
        <v>2303</v>
      </c>
      <c r="H260" s="2">
        <v>6</v>
      </c>
      <c r="I260" s="3" t="s">
        <v>2315</v>
      </c>
      <c r="J260" t="s">
        <v>2365</v>
      </c>
      <c r="M260" s="3" t="s">
        <v>2300</v>
      </c>
      <c r="N260" s="3" t="s">
        <v>2256</v>
      </c>
      <c r="O260" t="s">
        <v>2310</v>
      </c>
    </row>
    <row r="261" spans="1:15" x14ac:dyDescent="0.25">
      <c r="A261" t="s">
        <v>2285</v>
      </c>
      <c r="B261" s="1" t="e">
        <v>#N/A</v>
      </c>
      <c r="C261" s="1" t="e">
        <v>#N/A</v>
      </c>
      <c r="D261" s="1" t="e">
        <v>#N/A</v>
      </c>
      <c r="E261" s="1" t="s">
        <v>2439</v>
      </c>
      <c r="F261" s="2" t="s">
        <v>2300</v>
      </c>
      <c r="G261" s="1" t="s">
        <v>2305</v>
      </c>
      <c r="H261" s="2">
        <v>6</v>
      </c>
      <c r="I261" s="3" t="s">
        <v>2316</v>
      </c>
      <c r="J261" t="s">
        <v>2365</v>
      </c>
      <c r="M261" s="3" t="s">
        <v>2300</v>
      </c>
      <c r="N261" s="3" t="s">
        <v>2257</v>
      </c>
      <c r="O261" t="s">
        <v>2310</v>
      </c>
    </row>
    <row r="262" spans="1:15" x14ac:dyDescent="0.25">
      <c r="A262" t="s">
        <v>2285</v>
      </c>
      <c r="B262" s="1" t="e">
        <v>#N/A</v>
      </c>
      <c r="C262" s="1" t="e">
        <v>#N/A</v>
      </c>
      <c r="D262" s="1" t="e">
        <v>#N/A</v>
      </c>
      <c r="E262" s="1" t="s">
        <v>2439</v>
      </c>
      <c r="F262" s="2" t="s">
        <v>2300</v>
      </c>
      <c r="G262" s="1" t="s">
        <v>2304</v>
      </c>
      <c r="H262" s="2">
        <v>6</v>
      </c>
      <c r="I262" s="3" t="s">
        <v>2317</v>
      </c>
      <c r="J262" t="s">
        <v>2365</v>
      </c>
      <c r="M262" s="3" t="s">
        <v>2300</v>
      </c>
      <c r="N262" s="3" t="s">
        <v>2255</v>
      </c>
      <c r="O262" t="s">
        <v>2310</v>
      </c>
    </row>
    <row r="263" spans="1:15" x14ac:dyDescent="0.25">
      <c r="A263" t="s">
        <v>2285</v>
      </c>
      <c r="B263" s="1" t="e">
        <v>#N/A</v>
      </c>
      <c r="C263" s="1" t="e">
        <v>#N/A</v>
      </c>
      <c r="D263" s="1" t="e">
        <v>#N/A</v>
      </c>
      <c r="E263" s="1" t="s">
        <v>2439</v>
      </c>
      <c r="F263" s="2" t="s">
        <v>2300</v>
      </c>
      <c r="G263" s="1" t="s">
        <v>2304</v>
      </c>
      <c r="H263" s="2">
        <v>6</v>
      </c>
      <c r="I263" s="3" t="s">
        <v>2333</v>
      </c>
      <c r="J263" t="s">
        <v>2365</v>
      </c>
      <c r="M263" s="3" t="s">
        <v>2300</v>
      </c>
      <c r="N263" s="3" t="s">
        <v>2255</v>
      </c>
      <c r="O263" t="s">
        <v>2310</v>
      </c>
    </row>
    <row r="264" spans="1:15" x14ac:dyDescent="0.25">
      <c r="A264" t="s">
        <v>2285</v>
      </c>
      <c r="B264" s="1" t="e">
        <v>#N/A</v>
      </c>
      <c r="C264" s="1" t="e">
        <v>#N/A</v>
      </c>
      <c r="D264" s="1" t="e">
        <v>#N/A</v>
      </c>
      <c r="E264" s="1" t="s">
        <v>2439</v>
      </c>
      <c r="F264" s="2" t="s">
        <v>2300</v>
      </c>
      <c r="G264" s="1" t="s">
        <v>2304</v>
      </c>
      <c r="H264" s="2">
        <v>6</v>
      </c>
      <c r="I264" s="3" t="s">
        <v>2315</v>
      </c>
      <c r="J264" t="s">
        <v>2365</v>
      </c>
      <c r="M264" s="3" t="s">
        <v>2300</v>
      </c>
      <c r="N264" s="3" t="s">
        <v>2255</v>
      </c>
      <c r="O264" t="s">
        <v>2310</v>
      </c>
    </row>
    <row r="265" spans="1:15" x14ac:dyDescent="0.25">
      <c r="A265" t="s">
        <v>2285</v>
      </c>
      <c r="B265" s="1" t="e">
        <v>#N/A</v>
      </c>
      <c r="C265" s="1" t="e">
        <v>#N/A</v>
      </c>
      <c r="D265" s="1" t="e">
        <v>#N/A</v>
      </c>
      <c r="E265" s="1" t="s">
        <v>2439</v>
      </c>
      <c r="F265" s="2" t="s">
        <v>2300</v>
      </c>
      <c r="G265" s="1" t="s">
        <v>2304</v>
      </c>
      <c r="H265" s="2">
        <v>6</v>
      </c>
      <c r="I265" s="3" t="s">
        <v>2317</v>
      </c>
      <c r="J265" t="s">
        <v>2365</v>
      </c>
      <c r="M265" s="3" t="s">
        <v>2300</v>
      </c>
      <c r="N265" s="3" t="s">
        <v>2255</v>
      </c>
      <c r="O265" t="s">
        <v>2310</v>
      </c>
    </row>
    <row r="266" spans="1:15" x14ac:dyDescent="0.25">
      <c r="A266" t="s">
        <v>2285</v>
      </c>
      <c r="B266" s="1" t="e">
        <v>#N/A</v>
      </c>
      <c r="C266" s="1" t="e">
        <v>#N/A</v>
      </c>
      <c r="D266" s="1" t="e">
        <v>#N/A</v>
      </c>
      <c r="E266" s="1" t="s">
        <v>2439</v>
      </c>
      <c r="F266" s="2" t="s">
        <v>2300</v>
      </c>
      <c r="G266" s="1" t="s">
        <v>2304</v>
      </c>
      <c r="H266" s="2">
        <v>6</v>
      </c>
      <c r="I266" s="3" t="s">
        <v>2333</v>
      </c>
      <c r="J266" t="s">
        <v>2365</v>
      </c>
      <c r="M266" s="3" t="s">
        <v>2300</v>
      </c>
      <c r="N266" s="3" t="s">
        <v>2255</v>
      </c>
      <c r="O266" t="s">
        <v>2310</v>
      </c>
    </row>
    <row r="267" spans="1:15" x14ac:dyDescent="0.25">
      <c r="A267" t="s">
        <v>2285</v>
      </c>
      <c r="B267" s="1" t="e">
        <v>#N/A</v>
      </c>
      <c r="C267" s="1" t="e">
        <v>#N/A</v>
      </c>
      <c r="D267" s="1" t="e">
        <v>#N/A</v>
      </c>
      <c r="E267" s="1" t="s">
        <v>2439</v>
      </c>
      <c r="F267" s="2" t="s">
        <v>2300</v>
      </c>
      <c r="G267" s="1" t="s">
        <v>2304</v>
      </c>
      <c r="H267" s="2">
        <v>6</v>
      </c>
      <c r="I267" s="3" t="s">
        <v>2317</v>
      </c>
      <c r="J267" t="s">
        <v>2365</v>
      </c>
      <c r="M267" s="3" t="s">
        <v>2300</v>
      </c>
      <c r="N267" s="3" t="s">
        <v>2255</v>
      </c>
      <c r="O267" t="s">
        <v>2310</v>
      </c>
    </row>
    <row r="268" spans="1:15" x14ac:dyDescent="0.25">
      <c r="A268" t="s">
        <v>2285</v>
      </c>
      <c r="B268" s="1" t="e">
        <v>#N/A</v>
      </c>
      <c r="C268" s="1" t="e">
        <v>#N/A</v>
      </c>
      <c r="D268" s="1" t="e">
        <v>#N/A</v>
      </c>
      <c r="E268" s="1" t="s">
        <v>2439</v>
      </c>
      <c r="F268" s="2" t="s">
        <v>2300</v>
      </c>
      <c r="G268" s="1" t="s">
        <v>2304</v>
      </c>
      <c r="H268" s="2">
        <v>6</v>
      </c>
      <c r="I268" s="3" t="s">
        <v>2317</v>
      </c>
      <c r="J268" t="s">
        <v>2365</v>
      </c>
      <c r="M268" s="3" t="s">
        <v>2300</v>
      </c>
      <c r="N268" s="3" t="s">
        <v>2255</v>
      </c>
      <c r="O268" t="s">
        <v>2310</v>
      </c>
    </row>
    <row r="269" spans="1:15" x14ac:dyDescent="0.25">
      <c r="A269" t="s">
        <v>2285</v>
      </c>
      <c r="B269" s="1" t="e">
        <v>#N/A</v>
      </c>
      <c r="C269" s="1" t="e">
        <v>#N/A</v>
      </c>
      <c r="D269" s="1" t="e">
        <v>#N/A</v>
      </c>
      <c r="E269" s="1" t="s">
        <v>2439</v>
      </c>
      <c r="F269" s="2" t="s">
        <v>2300</v>
      </c>
      <c r="G269" s="1" t="s">
        <v>2304</v>
      </c>
      <c r="H269" s="2">
        <v>5</v>
      </c>
      <c r="I269" s="3" t="s">
        <v>2424</v>
      </c>
      <c r="J269" t="s">
        <v>2365</v>
      </c>
      <c r="M269" s="3" t="s">
        <v>2300</v>
      </c>
      <c r="N269" s="3" t="s">
        <v>2255</v>
      </c>
      <c r="O269" t="s">
        <v>2310</v>
      </c>
    </row>
    <row r="270" spans="1:15" x14ac:dyDescent="0.25">
      <c r="A270" t="s">
        <v>2285</v>
      </c>
      <c r="B270" s="1" t="e">
        <v>#N/A</v>
      </c>
      <c r="C270" s="1" t="e">
        <v>#N/A</v>
      </c>
      <c r="D270" s="1" t="e">
        <v>#N/A</v>
      </c>
      <c r="E270" s="1" t="s">
        <v>2439</v>
      </c>
      <c r="F270" s="2" t="s">
        <v>2300</v>
      </c>
      <c r="G270" s="1" t="s">
        <v>2304</v>
      </c>
      <c r="H270" s="2">
        <v>5</v>
      </c>
      <c r="I270" s="3" t="s">
        <v>2317</v>
      </c>
      <c r="J270" t="s">
        <v>2365</v>
      </c>
      <c r="M270" s="3" t="s">
        <v>2300</v>
      </c>
      <c r="N270" s="3" t="s">
        <v>2255</v>
      </c>
      <c r="O270" t="s">
        <v>2310</v>
      </c>
    </row>
    <row r="271" spans="1:15" x14ac:dyDescent="0.25">
      <c r="A271" t="s">
        <v>2285</v>
      </c>
      <c r="B271" s="1" t="e">
        <v>#N/A</v>
      </c>
      <c r="C271" s="1" t="e">
        <v>#N/A</v>
      </c>
      <c r="D271" s="1" t="e">
        <v>#N/A</v>
      </c>
      <c r="E271" s="1" t="s">
        <v>2439</v>
      </c>
      <c r="F271" s="2" t="s">
        <v>2300</v>
      </c>
      <c r="G271" s="1" t="s">
        <v>2304</v>
      </c>
      <c r="H271" s="2">
        <v>5</v>
      </c>
      <c r="I271" s="3" t="s">
        <v>2440</v>
      </c>
      <c r="J271" t="s">
        <v>2365</v>
      </c>
      <c r="M271" s="3" t="s">
        <v>2301</v>
      </c>
      <c r="N271" s="3" t="s">
        <v>2255</v>
      </c>
      <c r="O271" t="s">
        <v>2310</v>
      </c>
    </row>
    <row r="272" spans="1:15" x14ac:dyDescent="0.25">
      <c r="A272" t="s">
        <v>2285</v>
      </c>
      <c r="B272" s="1" t="e">
        <v>#N/A</v>
      </c>
      <c r="C272" s="1" t="e">
        <v>#N/A</v>
      </c>
      <c r="D272" s="1" t="e">
        <v>#N/A</v>
      </c>
      <c r="E272" s="1" t="s">
        <v>2439</v>
      </c>
      <c r="F272" s="2" t="s">
        <v>2300</v>
      </c>
      <c r="G272" s="1" t="s">
        <v>2304</v>
      </c>
      <c r="H272" s="2">
        <v>5</v>
      </c>
      <c r="I272" s="3" t="s">
        <v>2317</v>
      </c>
      <c r="J272" t="s">
        <v>2365</v>
      </c>
      <c r="M272" s="3" t="s">
        <v>2300</v>
      </c>
      <c r="N272" s="3" t="s">
        <v>2255</v>
      </c>
      <c r="O272" t="s">
        <v>2310</v>
      </c>
    </row>
    <row r="273" spans="1:15" x14ac:dyDescent="0.25">
      <c r="A273" t="s">
        <v>2285</v>
      </c>
      <c r="B273" s="1" t="e">
        <v>#N/A</v>
      </c>
      <c r="C273" s="1" t="e">
        <v>#N/A</v>
      </c>
      <c r="D273" s="1" t="e">
        <v>#N/A</v>
      </c>
      <c r="E273" s="1" t="s">
        <v>2439</v>
      </c>
      <c r="F273" s="2" t="s">
        <v>2300</v>
      </c>
      <c r="G273" s="1" t="s">
        <v>2304</v>
      </c>
      <c r="H273" s="2">
        <v>5</v>
      </c>
      <c r="I273" s="3" t="s">
        <v>41</v>
      </c>
      <c r="J273" t="s">
        <v>2365</v>
      </c>
      <c r="M273" s="3" t="s">
        <v>2300</v>
      </c>
      <c r="N273" s="3" t="s">
        <v>2255</v>
      </c>
      <c r="O273" t="s">
        <v>2310</v>
      </c>
    </row>
    <row r="274" spans="1:15" x14ac:dyDescent="0.25">
      <c r="A274" t="s">
        <v>2285</v>
      </c>
      <c r="B274" s="1" t="e">
        <v>#N/A</v>
      </c>
      <c r="C274" s="1" t="e">
        <v>#N/A</v>
      </c>
      <c r="D274" s="1" t="e">
        <v>#N/A</v>
      </c>
      <c r="E274" s="1" t="s">
        <v>2439</v>
      </c>
      <c r="F274" s="2" t="s">
        <v>2300</v>
      </c>
      <c r="G274" s="1" t="s">
        <v>2304</v>
      </c>
      <c r="H274" s="2">
        <v>5</v>
      </c>
      <c r="I274" s="3" t="s">
        <v>2317</v>
      </c>
      <c r="J274" t="s">
        <v>2365</v>
      </c>
      <c r="M274" s="3" t="s">
        <v>2300</v>
      </c>
      <c r="N274" s="3" t="s">
        <v>2255</v>
      </c>
      <c r="O274" t="s">
        <v>2310</v>
      </c>
    </row>
    <row r="275" spans="1:15" x14ac:dyDescent="0.25">
      <c r="A275" t="s">
        <v>2285</v>
      </c>
      <c r="B275" s="1" t="e">
        <v>#N/A</v>
      </c>
      <c r="C275" s="1" t="e">
        <v>#N/A</v>
      </c>
      <c r="D275" s="1" t="e">
        <v>#N/A</v>
      </c>
      <c r="E275" s="1" t="s">
        <v>2439</v>
      </c>
      <c r="F275" s="2" t="s">
        <v>2300</v>
      </c>
      <c r="G275" s="1" t="s">
        <v>2304</v>
      </c>
      <c r="H275" s="2">
        <v>5</v>
      </c>
      <c r="I275" s="3" t="s">
        <v>2317</v>
      </c>
      <c r="J275" t="s">
        <v>2365</v>
      </c>
      <c r="M275" s="3" t="s">
        <v>2300</v>
      </c>
      <c r="N275" s="3" t="s">
        <v>2255</v>
      </c>
      <c r="O275" t="s">
        <v>2310</v>
      </c>
    </row>
    <row r="276" spans="1:15" x14ac:dyDescent="0.25">
      <c r="A276" t="s">
        <v>2285</v>
      </c>
      <c r="B276" s="1" t="e">
        <v>#N/A</v>
      </c>
      <c r="C276" s="1" t="e">
        <v>#N/A</v>
      </c>
      <c r="D276" s="1" t="e">
        <v>#N/A</v>
      </c>
      <c r="E276" s="1" t="s">
        <v>2298</v>
      </c>
      <c r="F276" s="2" t="s">
        <v>2300</v>
      </c>
      <c r="G276" s="1" t="s">
        <v>2304</v>
      </c>
      <c r="H276" s="2">
        <v>5</v>
      </c>
      <c r="I276" s="3" t="s">
        <v>19</v>
      </c>
      <c r="J276" t="s">
        <v>2365</v>
      </c>
      <c r="M276" s="3" t="s">
        <v>2300</v>
      </c>
      <c r="N276" s="3" t="s">
        <v>2255</v>
      </c>
      <c r="O276" t="s">
        <v>2310</v>
      </c>
    </row>
    <row r="277" spans="1:15" x14ac:dyDescent="0.25">
      <c r="A277" t="s">
        <v>2285</v>
      </c>
      <c r="B277" s="1" t="e">
        <v>#N/A</v>
      </c>
      <c r="C277" s="1" t="e">
        <v>#N/A</v>
      </c>
      <c r="D277" s="1" t="e">
        <v>#N/A</v>
      </c>
      <c r="E277" s="1" t="s">
        <v>2439</v>
      </c>
      <c r="F277" s="2" t="s">
        <v>2300</v>
      </c>
      <c r="G277" s="1" t="s">
        <v>2303</v>
      </c>
      <c r="H277" s="2">
        <v>5</v>
      </c>
      <c r="I277" s="3" t="s">
        <v>2321</v>
      </c>
      <c r="J277" t="s">
        <v>2365</v>
      </c>
      <c r="M277" s="3" t="s">
        <v>2300</v>
      </c>
      <c r="N277" s="3" t="s">
        <v>2256</v>
      </c>
      <c r="O277" t="s">
        <v>2310</v>
      </c>
    </row>
    <row r="278" spans="1:15" x14ac:dyDescent="0.25">
      <c r="A278" t="s">
        <v>2285</v>
      </c>
      <c r="B278" s="1" t="e">
        <v>#N/A</v>
      </c>
      <c r="C278" s="1" t="e">
        <v>#N/A</v>
      </c>
      <c r="D278" s="1" t="e">
        <v>#N/A</v>
      </c>
      <c r="E278" s="1" t="s">
        <v>2439</v>
      </c>
      <c r="F278" s="2" t="s">
        <v>2300</v>
      </c>
      <c r="G278" s="1" t="s">
        <v>2304</v>
      </c>
      <c r="H278" s="2">
        <v>5</v>
      </c>
      <c r="I278" s="3" t="s">
        <v>2317</v>
      </c>
      <c r="J278" t="s">
        <v>2365</v>
      </c>
      <c r="M278" s="3" t="s">
        <v>2300</v>
      </c>
      <c r="N278" s="3" t="s">
        <v>2255</v>
      </c>
      <c r="O278" t="s">
        <v>2310</v>
      </c>
    </row>
    <row r="279" spans="1:15" x14ac:dyDescent="0.25">
      <c r="A279" t="s">
        <v>2285</v>
      </c>
      <c r="B279" s="1" t="e">
        <v>#N/A</v>
      </c>
      <c r="C279" s="1" t="e">
        <v>#N/A</v>
      </c>
      <c r="D279" s="1" t="e">
        <v>#N/A</v>
      </c>
      <c r="E279" s="1" t="s">
        <v>2298</v>
      </c>
      <c r="F279" s="2" t="s">
        <v>2300</v>
      </c>
      <c r="G279" s="1" t="s">
        <v>2304</v>
      </c>
      <c r="H279" s="2">
        <v>2</v>
      </c>
      <c r="I279" s="3" t="s">
        <v>24</v>
      </c>
      <c r="J279" t="s">
        <v>2365</v>
      </c>
      <c r="M279" s="3" t="s">
        <v>2300</v>
      </c>
      <c r="N279" s="3" t="s">
        <v>2255</v>
      </c>
      <c r="O279" t="s">
        <v>2310</v>
      </c>
    </row>
    <row r="280" spans="1:15" x14ac:dyDescent="0.25">
      <c r="A280" t="s">
        <v>2285</v>
      </c>
      <c r="B280" s="1" t="e">
        <v>#N/A</v>
      </c>
      <c r="C280" s="1" t="e">
        <v>#N/A</v>
      </c>
      <c r="D280" s="1" t="e">
        <v>#N/A</v>
      </c>
      <c r="E280" s="1" t="s">
        <v>2298</v>
      </c>
      <c r="F280" s="2" t="s">
        <v>2300</v>
      </c>
      <c r="G280" s="1" t="s">
        <v>2304</v>
      </c>
      <c r="H280" s="2">
        <v>2</v>
      </c>
      <c r="I280" s="3" t="s">
        <v>122</v>
      </c>
      <c r="J280" t="s">
        <v>2365</v>
      </c>
      <c r="M280" s="3" t="s">
        <v>2300</v>
      </c>
      <c r="N280" s="3" t="s">
        <v>2255</v>
      </c>
      <c r="O280" t="s">
        <v>2310</v>
      </c>
    </row>
    <row r="281" spans="1:15" x14ac:dyDescent="0.25">
      <c r="A281" t="s">
        <v>2285</v>
      </c>
      <c r="B281" s="1" t="e">
        <v>#N/A</v>
      </c>
      <c r="C281" s="1" t="e">
        <v>#N/A</v>
      </c>
      <c r="D281" s="1" t="e">
        <v>#N/A</v>
      </c>
      <c r="E281" s="1" t="s">
        <v>2298</v>
      </c>
      <c r="F281" s="2" t="s">
        <v>2300</v>
      </c>
      <c r="G281" s="1" t="s">
        <v>2304</v>
      </c>
      <c r="H281" s="2">
        <v>2</v>
      </c>
      <c r="I281" s="3" t="s">
        <v>2433</v>
      </c>
      <c r="J281" t="s">
        <v>2365</v>
      </c>
      <c r="M281" s="3" t="s">
        <v>2300</v>
      </c>
      <c r="N281" s="3" t="s">
        <v>2255</v>
      </c>
      <c r="O281" t="s">
        <v>2310</v>
      </c>
    </row>
    <row r="282" spans="1:15" x14ac:dyDescent="0.25">
      <c r="A282" t="s">
        <v>2285</v>
      </c>
      <c r="B282" s="1" t="e">
        <v>#N/A</v>
      </c>
      <c r="C282" s="1" t="e">
        <v>#N/A</v>
      </c>
      <c r="D282" s="1" t="e">
        <v>#N/A</v>
      </c>
      <c r="E282" s="1" t="s">
        <v>2298</v>
      </c>
      <c r="F282" s="2" t="s">
        <v>2300</v>
      </c>
      <c r="G282" s="1" t="s">
        <v>2303</v>
      </c>
      <c r="H282" s="2">
        <v>2</v>
      </c>
      <c r="I282" s="3" t="s">
        <v>2434</v>
      </c>
      <c r="J282" t="s">
        <v>2365</v>
      </c>
      <c r="M282" s="3" t="s">
        <v>2300</v>
      </c>
      <c r="N282" s="3" t="s">
        <v>2256</v>
      </c>
      <c r="O282" t="s">
        <v>2310</v>
      </c>
    </row>
    <row r="283" spans="1:15" x14ac:dyDescent="0.25">
      <c r="A283" t="s">
        <v>2285</v>
      </c>
      <c r="B283" s="1" t="e">
        <v>#N/A</v>
      </c>
      <c r="C283" s="1" t="e">
        <v>#N/A</v>
      </c>
      <c r="D283" s="1" t="e">
        <v>#N/A</v>
      </c>
      <c r="E283" s="1" t="s">
        <v>2298</v>
      </c>
      <c r="F283" s="2" t="s">
        <v>2300</v>
      </c>
      <c r="G283" s="1" t="s">
        <v>2303</v>
      </c>
      <c r="H283" s="2">
        <v>2</v>
      </c>
      <c r="I283" s="3" t="s">
        <v>2435</v>
      </c>
      <c r="J283" t="s">
        <v>2365</v>
      </c>
      <c r="M283" s="3" t="s">
        <v>2300</v>
      </c>
      <c r="N283" s="3" t="s">
        <v>2256</v>
      </c>
      <c r="O283" t="s">
        <v>2310</v>
      </c>
    </row>
    <row r="284" spans="1:15" x14ac:dyDescent="0.25">
      <c r="A284" t="s">
        <v>2285</v>
      </c>
      <c r="B284" s="1" t="e">
        <v>#N/A</v>
      </c>
      <c r="C284" s="1" t="e">
        <v>#N/A</v>
      </c>
      <c r="D284" s="1" t="e">
        <v>#N/A</v>
      </c>
      <c r="E284" s="1" t="s">
        <v>2298</v>
      </c>
      <c r="F284" s="2" t="s">
        <v>2300</v>
      </c>
      <c r="G284" s="1" t="s">
        <v>2303</v>
      </c>
      <c r="H284" s="2">
        <v>2</v>
      </c>
      <c r="I284" s="3" t="s">
        <v>2421</v>
      </c>
      <c r="J284" t="s">
        <v>2365</v>
      </c>
      <c r="M284" s="3" t="s">
        <v>2300</v>
      </c>
      <c r="N284" s="3" t="s">
        <v>2256</v>
      </c>
      <c r="O284" t="s">
        <v>2310</v>
      </c>
    </row>
    <row r="285" spans="1:15" x14ac:dyDescent="0.25">
      <c r="A285" t="s">
        <v>2285</v>
      </c>
      <c r="B285" s="1" t="e">
        <v>#N/A</v>
      </c>
      <c r="C285" s="1" t="e">
        <v>#N/A</v>
      </c>
      <c r="D285" s="1" t="e">
        <v>#N/A</v>
      </c>
      <c r="E285" s="1" t="s">
        <v>2298</v>
      </c>
      <c r="F285" s="2" t="s">
        <v>2300</v>
      </c>
      <c r="G285" s="1" t="s">
        <v>2303</v>
      </c>
      <c r="H285" s="2">
        <v>2</v>
      </c>
      <c r="I285" s="3" t="s">
        <v>2440</v>
      </c>
      <c r="J285" t="s">
        <v>2365</v>
      </c>
      <c r="M285" s="3" t="s">
        <v>2300</v>
      </c>
      <c r="N285" s="3" t="s">
        <v>2256</v>
      </c>
      <c r="O285" t="s">
        <v>2310</v>
      </c>
    </row>
    <row r="286" spans="1:15" x14ac:dyDescent="0.25">
      <c r="A286" t="s">
        <v>2285</v>
      </c>
      <c r="B286" s="1" t="e">
        <v>#N/A</v>
      </c>
      <c r="C286" s="1" t="e">
        <v>#N/A</v>
      </c>
      <c r="D286" s="1" t="e">
        <v>#N/A</v>
      </c>
      <c r="E286" s="1" t="s">
        <v>2439</v>
      </c>
      <c r="F286" s="2" t="s">
        <v>2300</v>
      </c>
      <c r="G286" s="1" t="s">
        <v>2304</v>
      </c>
      <c r="H286" s="2">
        <v>2</v>
      </c>
      <c r="I286" s="3" t="s">
        <v>2321</v>
      </c>
      <c r="J286" t="s">
        <v>2365</v>
      </c>
      <c r="M286" s="3" t="s">
        <v>2300</v>
      </c>
      <c r="N286" s="3" t="s">
        <v>2255</v>
      </c>
      <c r="O286" t="s">
        <v>2310</v>
      </c>
    </row>
    <row r="287" spans="1:15" x14ac:dyDescent="0.25">
      <c r="A287" t="s">
        <v>2285</v>
      </c>
      <c r="B287" s="1" t="e">
        <v>#N/A</v>
      </c>
      <c r="C287" s="1" t="e">
        <v>#N/A</v>
      </c>
      <c r="D287" s="1" t="e">
        <v>#N/A</v>
      </c>
      <c r="E287" s="1" t="s">
        <v>2439</v>
      </c>
      <c r="F287" s="2" t="s">
        <v>2300</v>
      </c>
      <c r="G287" s="1" t="s">
        <v>2303</v>
      </c>
      <c r="H287" s="2">
        <v>2</v>
      </c>
      <c r="I287" s="3" t="s">
        <v>2436</v>
      </c>
      <c r="J287" t="s">
        <v>2365</v>
      </c>
      <c r="M287" s="3" t="s">
        <v>2300</v>
      </c>
      <c r="N287" s="3" t="s">
        <v>2256</v>
      </c>
      <c r="O287" t="s">
        <v>2310</v>
      </c>
    </row>
    <row r="288" spans="1:15" x14ac:dyDescent="0.25">
      <c r="A288" t="s">
        <v>2285</v>
      </c>
      <c r="B288" s="1" t="e">
        <v>#N/A</v>
      </c>
      <c r="C288" s="1" t="e">
        <v>#N/A</v>
      </c>
      <c r="D288" s="1" t="e">
        <v>#N/A</v>
      </c>
      <c r="E288" s="1" t="s">
        <v>2439</v>
      </c>
      <c r="F288" s="2" t="s">
        <v>2300</v>
      </c>
      <c r="G288" s="1" t="s">
        <v>2304</v>
      </c>
      <c r="H288" s="2">
        <v>2</v>
      </c>
      <c r="I288" s="3" t="s">
        <v>78</v>
      </c>
      <c r="J288" t="s">
        <v>2365</v>
      </c>
      <c r="M288" s="3" t="s">
        <v>2300</v>
      </c>
      <c r="N288" s="3" t="s">
        <v>2255</v>
      </c>
      <c r="O288" t="s">
        <v>2310</v>
      </c>
    </row>
    <row r="289" spans="1:15" x14ac:dyDescent="0.25">
      <c r="A289" t="s">
        <v>2285</v>
      </c>
      <c r="B289" s="1" t="e">
        <v>#N/A</v>
      </c>
      <c r="C289" s="1" t="e">
        <v>#N/A</v>
      </c>
      <c r="D289" s="1" t="e">
        <v>#N/A</v>
      </c>
      <c r="E289" s="1" t="s">
        <v>2439</v>
      </c>
      <c r="F289" s="2" t="s">
        <v>2300</v>
      </c>
      <c r="G289" s="1" t="s">
        <v>2304</v>
      </c>
      <c r="H289" s="2">
        <v>2</v>
      </c>
      <c r="I289" s="3" t="s">
        <v>2318</v>
      </c>
      <c r="J289" t="s">
        <v>2365</v>
      </c>
      <c r="M289" s="3" t="s">
        <v>2300</v>
      </c>
      <c r="N289" s="3" t="s">
        <v>2255</v>
      </c>
      <c r="O289" t="s">
        <v>2310</v>
      </c>
    </row>
    <row r="290" spans="1:15" x14ac:dyDescent="0.25">
      <c r="A290" t="s">
        <v>2285</v>
      </c>
      <c r="B290" s="1" t="e">
        <v>#N/A</v>
      </c>
      <c r="C290" s="1" t="e">
        <v>#N/A</v>
      </c>
      <c r="D290" s="1" t="e">
        <v>#N/A</v>
      </c>
      <c r="E290" s="1" t="s">
        <v>2439</v>
      </c>
      <c r="F290" s="2" t="s">
        <v>2300</v>
      </c>
      <c r="G290" s="1" t="s">
        <v>2304</v>
      </c>
      <c r="H290" s="2">
        <v>2</v>
      </c>
      <c r="I290" s="3" t="s">
        <v>2327</v>
      </c>
      <c r="J290" t="s">
        <v>2365</v>
      </c>
      <c r="M290" s="3" t="s">
        <v>2300</v>
      </c>
      <c r="N290" s="3" t="s">
        <v>2255</v>
      </c>
      <c r="O290" t="s">
        <v>2310</v>
      </c>
    </row>
    <row r="291" spans="1:15" x14ac:dyDescent="0.25">
      <c r="A291" t="s">
        <v>2285</v>
      </c>
      <c r="B291" s="1" t="e">
        <v>#N/A</v>
      </c>
      <c r="C291" s="1" t="e">
        <v>#N/A</v>
      </c>
      <c r="D291" s="1" t="e">
        <v>#N/A</v>
      </c>
      <c r="E291" s="1" t="s">
        <v>2439</v>
      </c>
      <c r="F291" s="2" t="s">
        <v>2300</v>
      </c>
      <c r="G291" s="1" t="s">
        <v>2304</v>
      </c>
      <c r="H291" s="2">
        <v>2</v>
      </c>
      <c r="I291" s="3" t="s">
        <v>2</v>
      </c>
      <c r="J291" t="s">
        <v>2365</v>
      </c>
      <c r="M291" s="3" t="s">
        <v>2300</v>
      </c>
      <c r="N291" s="3" t="s">
        <v>2255</v>
      </c>
      <c r="O291" t="s">
        <v>2310</v>
      </c>
    </row>
    <row r="292" spans="1:15" x14ac:dyDescent="0.25">
      <c r="A292" t="s">
        <v>2285</v>
      </c>
      <c r="B292" s="1" t="e">
        <v>#N/A</v>
      </c>
      <c r="C292" s="1" t="e">
        <v>#N/A</v>
      </c>
      <c r="D292" s="1" t="e">
        <v>#N/A</v>
      </c>
      <c r="E292" s="1" t="s">
        <v>2439</v>
      </c>
      <c r="F292" s="2" t="s">
        <v>2300</v>
      </c>
      <c r="G292" s="1" t="s">
        <v>2304</v>
      </c>
      <c r="H292" s="2">
        <v>2</v>
      </c>
      <c r="I292" s="3" t="s">
        <v>18</v>
      </c>
      <c r="J292" t="s">
        <v>2365</v>
      </c>
      <c r="M292" s="3" t="s">
        <v>2300</v>
      </c>
      <c r="N292" s="3" t="s">
        <v>2255</v>
      </c>
      <c r="O292" t="s">
        <v>2310</v>
      </c>
    </row>
    <row r="293" spans="1:15" x14ac:dyDescent="0.25">
      <c r="A293" t="s">
        <v>2285</v>
      </c>
      <c r="B293" s="1" t="e">
        <v>#N/A</v>
      </c>
      <c r="C293" s="1" t="e">
        <v>#N/A</v>
      </c>
      <c r="D293" s="1" t="e">
        <v>#N/A</v>
      </c>
      <c r="E293" s="1" t="s">
        <v>2439</v>
      </c>
      <c r="F293" s="2" t="s">
        <v>2300</v>
      </c>
      <c r="G293" s="1" t="s">
        <v>2304</v>
      </c>
      <c r="H293" s="2">
        <v>2</v>
      </c>
      <c r="I293" s="3" t="s">
        <v>2317</v>
      </c>
      <c r="J293" t="s">
        <v>2365</v>
      </c>
      <c r="M293" s="3" t="s">
        <v>2300</v>
      </c>
      <c r="N293" s="3" t="s">
        <v>2255</v>
      </c>
      <c r="O293" t="s">
        <v>2310</v>
      </c>
    </row>
    <row r="294" spans="1:15" x14ac:dyDescent="0.25">
      <c r="A294" t="s">
        <v>2285</v>
      </c>
      <c r="B294" s="1" t="e">
        <v>#N/A</v>
      </c>
      <c r="C294" s="1" t="e">
        <v>#N/A</v>
      </c>
      <c r="D294" s="1" t="e">
        <v>#N/A</v>
      </c>
      <c r="E294" s="1" t="s">
        <v>2439</v>
      </c>
      <c r="F294" s="2" t="s">
        <v>2300</v>
      </c>
      <c r="G294" s="1" t="s">
        <v>2304</v>
      </c>
      <c r="H294" s="2">
        <v>2</v>
      </c>
      <c r="I294" s="3" t="s">
        <v>2317</v>
      </c>
      <c r="J294" t="s">
        <v>2365</v>
      </c>
      <c r="M294" s="3" t="s">
        <v>2301</v>
      </c>
      <c r="N294" s="3" t="s">
        <v>2255</v>
      </c>
      <c r="O294" t="s">
        <v>2310</v>
      </c>
    </row>
    <row r="295" spans="1:15" x14ac:dyDescent="0.25">
      <c r="A295" t="s">
        <v>2285</v>
      </c>
      <c r="B295" s="1" t="e">
        <v>#N/A</v>
      </c>
      <c r="C295" s="1" t="e">
        <v>#N/A</v>
      </c>
      <c r="D295" s="1" t="e">
        <v>#N/A</v>
      </c>
      <c r="E295" s="1" t="s">
        <v>2439</v>
      </c>
      <c r="F295" s="2" t="s">
        <v>2300</v>
      </c>
      <c r="G295" s="1" t="s">
        <v>2304</v>
      </c>
      <c r="H295" s="2">
        <v>2</v>
      </c>
      <c r="I295" s="3" t="s">
        <v>2</v>
      </c>
      <c r="J295" t="s">
        <v>2365</v>
      </c>
      <c r="M295" s="3" t="s">
        <v>2300</v>
      </c>
      <c r="N295" s="3" t="s">
        <v>2255</v>
      </c>
      <c r="O295" t="s">
        <v>2310</v>
      </c>
    </row>
    <row r="296" spans="1:15" x14ac:dyDescent="0.25">
      <c r="A296" t="s">
        <v>2285</v>
      </c>
      <c r="B296" s="1" t="e">
        <v>#N/A</v>
      </c>
      <c r="C296" s="1" t="e">
        <v>#N/A</v>
      </c>
      <c r="D296" s="1" t="e">
        <v>#N/A</v>
      </c>
      <c r="E296" s="1" t="s">
        <v>2439</v>
      </c>
      <c r="F296" s="2" t="s">
        <v>2300</v>
      </c>
      <c r="G296" s="1" t="s">
        <v>2304</v>
      </c>
      <c r="H296" s="2">
        <v>2</v>
      </c>
      <c r="I296" s="3" t="s">
        <v>2416</v>
      </c>
      <c r="J296" t="s">
        <v>2365</v>
      </c>
      <c r="M296" s="3" t="s">
        <v>2300</v>
      </c>
      <c r="N296" s="3" t="s">
        <v>2255</v>
      </c>
      <c r="O296" t="s">
        <v>2310</v>
      </c>
    </row>
    <row r="297" spans="1:15" x14ac:dyDescent="0.25">
      <c r="A297" t="s">
        <v>2285</v>
      </c>
      <c r="B297" s="1" t="e">
        <v>#N/A</v>
      </c>
      <c r="C297" s="1" t="e">
        <v>#N/A</v>
      </c>
      <c r="D297" s="1" t="e">
        <v>#N/A</v>
      </c>
      <c r="E297" s="1" t="s">
        <v>2439</v>
      </c>
      <c r="F297" s="2" t="s">
        <v>2300</v>
      </c>
      <c r="G297" s="1" t="s">
        <v>2303</v>
      </c>
      <c r="H297" s="2">
        <v>2</v>
      </c>
      <c r="I297" s="3" t="s">
        <v>2316</v>
      </c>
      <c r="J297" t="s">
        <v>2365</v>
      </c>
      <c r="M297" s="3" t="s">
        <v>2300</v>
      </c>
      <c r="N297" s="3" t="s">
        <v>2256</v>
      </c>
      <c r="O297" t="s">
        <v>2310</v>
      </c>
    </row>
    <row r="298" spans="1:15" x14ac:dyDescent="0.25">
      <c r="A298" t="s">
        <v>2285</v>
      </c>
      <c r="B298" s="1" t="e">
        <v>#N/A</v>
      </c>
      <c r="C298" s="1" t="e">
        <v>#N/A</v>
      </c>
      <c r="D298" s="1" t="e">
        <v>#N/A</v>
      </c>
      <c r="E298" s="1" t="s">
        <v>2439</v>
      </c>
      <c r="F298" s="2" t="s">
        <v>2300</v>
      </c>
      <c r="G298" s="1" t="s">
        <v>2304</v>
      </c>
      <c r="H298" s="2">
        <v>2</v>
      </c>
      <c r="I298" s="3" t="s">
        <v>9</v>
      </c>
      <c r="J298" t="s">
        <v>2365</v>
      </c>
      <c r="M298" s="3" t="s">
        <v>2300</v>
      </c>
      <c r="N298" s="3" t="s">
        <v>2255</v>
      </c>
      <c r="O298" t="s">
        <v>2310</v>
      </c>
    </row>
    <row r="299" spans="1:15" x14ac:dyDescent="0.25">
      <c r="A299" t="s">
        <v>2285</v>
      </c>
      <c r="B299" s="1" t="e">
        <v>#N/A</v>
      </c>
      <c r="C299" s="1" t="e">
        <v>#N/A</v>
      </c>
      <c r="D299" s="1" t="e">
        <v>#N/A</v>
      </c>
      <c r="E299" s="1" t="s">
        <v>2439</v>
      </c>
      <c r="F299" s="2" t="s">
        <v>2300</v>
      </c>
      <c r="G299" s="1" t="s">
        <v>2304</v>
      </c>
      <c r="H299" s="2">
        <v>2</v>
      </c>
      <c r="I299" s="3" t="s">
        <v>2</v>
      </c>
      <c r="J299" t="s">
        <v>2365</v>
      </c>
      <c r="M299" s="3" t="s">
        <v>2300</v>
      </c>
      <c r="N299" s="3" t="s">
        <v>2255</v>
      </c>
      <c r="O299" t="s">
        <v>2310</v>
      </c>
    </row>
    <row r="300" spans="1:15" x14ac:dyDescent="0.25">
      <c r="A300" t="s">
        <v>2285</v>
      </c>
      <c r="B300" s="1" t="e">
        <v>#N/A</v>
      </c>
      <c r="C300" s="1" t="e">
        <v>#N/A</v>
      </c>
      <c r="D300" s="1" t="e">
        <v>#N/A</v>
      </c>
      <c r="E300" s="1" t="s">
        <v>2439</v>
      </c>
      <c r="F300" s="2" t="s">
        <v>2300</v>
      </c>
      <c r="G300" s="1" t="s">
        <v>2304</v>
      </c>
      <c r="H300" s="2">
        <v>2</v>
      </c>
      <c r="I300" s="3" t="s">
        <v>2315</v>
      </c>
      <c r="J300" t="s">
        <v>2365</v>
      </c>
      <c r="M300" s="3" t="s">
        <v>2300</v>
      </c>
      <c r="N300" s="3" t="s">
        <v>2255</v>
      </c>
      <c r="O300" t="s">
        <v>2310</v>
      </c>
    </row>
    <row r="301" spans="1:15" x14ac:dyDescent="0.25">
      <c r="A301" t="s">
        <v>2285</v>
      </c>
      <c r="B301" s="1" t="e">
        <v>#N/A</v>
      </c>
      <c r="C301" s="1" t="e">
        <v>#N/A</v>
      </c>
      <c r="D301" s="1" t="e">
        <v>#N/A</v>
      </c>
      <c r="E301" s="1" t="s">
        <v>2439</v>
      </c>
      <c r="F301" s="2" t="s">
        <v>2300</v>
      </c>
      <c r="G301" s="1" t="s">
        <v>2304</v>
      </c>
      <c r="H301" s="2">
        <v>2</v>
      </c>
      <c r="I301" s="3" t="s">
        <v>2375</v>
      </c>
      <c r="J301" t="s">
        <v>2365</v>
      </c>
      <c r="M301" s="3" t="s">
        <v>2300</v>
      </c>
      <c r="N301" s="3" t="s">
        <v>2255</v>
      </c>
      <c r="O301" t="s">
        <v>2310</v>
      </c>
    </row>
    <row r="302" spans="1:15" x14ac:dyDescent="0.25">
      <c r="A302" t="s">
        <v>2285</v>
      </c>
      <c r="B302" s="1" t="e">
        <v>#N/A</v>
      </c>
      <c r="C302" s="1" t="e">
        <v>#N/A</v>
      </c>
      <c r="D302" s="1" t="e">
        <v>#N/A</v>
      </c>
      <c r="E302" s="1" t="s">
        <v>2439</v>
      </c>
      <c r="F302" s="2" t="s">
        <v>2300</v>
      </c>
      <c r="G302" s="1" t="s">
        <v>2304</v>
      </c>
      <c r="H302" s="2">
        <v>2</v>
      </c>
      <c r="I302" s="3" t="s">
        <v>2349</v>
      </c>
      <c r="J302" t="s">
        <v>2365</v>
      </c>
      <c r="M302" s="3" t="s">
        <v>2300</v>
      </c>
      <c r="N302" s="3" t="s">
        <v>2255</v>
      </c>
      <c r="O302" t="s">
        <v>2310</v>
      </c>
    </row>
    <row r="303" spans="1:15" x14ac:dyDescent="0.25">
      <c r="A303" t="s">
        <v>2285</v>
      </c>
      <c r="B303" s="1" t="e">
        <v>#N/A</v>
      </c>
      <c r="C303" s="1" t="e">
        <v>#N/A</v>
      </c>
      <c r="D303" s="1" t="e">
        <v>#N/A</v>
      </c>
      <c r="E303" s="1" t="s">
        <v>2439</v>
      </c>
      <c r="F303" s="2" t="s">
        <v>2300</v>
      </c>
      <c r="G303" s="1" t="s">
        <v>2304</v>
      </c>
      <c r="H303" s="2">
        <v>2</v>
      </c>
      <c r="I303" s="3" t="s">
        <v>5</v>
      </c>
      <c r="J303" t="s">
        <v>2365</v>
      </c>
      <c r="M303" s="3" t="s">
        <v>2300</v>
      </c>
      <c r="N303" s="3" t="s">
        <v>2255</v>
      </c>
      <c r="O303" t="s">
        <v>2310</v>
      </c>
    </row>
    <row r="304" spans="1:15" x14ac:dyDescent="0.25">
      <c r="A304" t="s">
        <v>2285</v>
      </c>
      <c r="B304" s="1" t="e">
        <v>#N/A</v>
      </c>
      <c r="C304" s="1" t="e">
        <v>#N/A</v>
      </c>
      <c r="D304" s="1" t="e">
        <v>#N/A</v>
      </c>
      <c r="E304" s="1" t="s">
        <v>2439</v>
      </c>
      <c r="F304" s="2" t="s">
        <v>2300</v>
      </c>
      <c r="G304" s="1" t="s">
        <v>2304</v>
      </c>
      <c r="H304" s="2">
        <v>2</v>
      </c>
      <c r="I304" s="3" t="s">
        <v>1</v>
      </c>
      <c r="J304" t="s">
        <v>2365</v>
      </c>
      <c r="M304" s="3" t="s">
        <v>2300</v>
      </c>
      <c r="N304" s="3" t="s">
        <v>2255</v>
      </c>
      <c r="O304" t="s">
        <v>2310</v>
      </c>
    </row>
    <row r="305" spans="1:15" x14ac:dyDescent="0.25">
      <c r="A305" t="s">
        <v>2285</v>
      </c>
      <c r="B305" s="1" t="e">
        <v>#N/A</v>
      </c>
      <c r="C305" s="1" t="e">
        <v>#N/A</v>
      </c>
      <c r="D305" s="1" t="e">
        <v>#N/A</v>
      </c>
      <c r="E305" s="1" t="s">
        <v>2439</v>
      </c>
      <c r="F305" s="2" t="s">
        <v>2300</v>
      </c>
      <c r="G305" s="1" t="s">
        <v>2304</v>
      </c>
      <c r="H305" s="2">
        <v>2</v>
      </c>
      <c r="I305" s="3" t="s">
        <v>2317</v>
      </c>
      <c r="J305" t="s">
        <v>2365</v>
      </c>
      <c r="M305" s="3" t="s">
        <v>2300</v>
      </c>
      <c r="N305" s="3" t="s">
        <v>2255</v>
      </c>
      <c r="O305" t="s">
        <v>2310</v>
      </c>
    </row>
    <row r="306" spans="1:15" x14ac:dyDescent="0.25">
      <c r="A306" t="s">
        <v>2285</v>
      </c>
      <c r="B306" s="1" t="e">
        <v>#N/A</v>
      </c>
      <c r="C306" s="1" t="e">
        <v>#N/A</v>
      </c>
      <c r="D306" s="1" t="e">
        <v>#N/A</v>
      </c>
      <c r="E306" s="1" t="s">
        <v>2439</v>
      </c>
      <c r="F306" s="2" t="s">
        <v>2300</v>
      </c>
      <c r="G306" s="1" t="s">
        <v>2304</v>
      </c>
      <c r="H306" s="2">
        <v>2</v>
      </c>
      <c r="I306" s="3" t="s">
        <v>2</v>
      </c>
      <c r="J306" t="s">
        <v>2365</v>
      </c>
      <c r="M306" s="3" t="s">
        <v>2301</v>
      </c>
      <c r="N306" s="3" t="s">
        <v>2255</v>
      </c>
      <c r="O306" t="s">
        <v>2310</v>
      </c>
    </row>
    <row r="307" spans="1:15" x14ac:dyDescent="0.25">
      <c r="A307" t="s">
        <v>2285</v>
      </c>
      <c r="B307" s="1" t="e">
        <v>#N/A</v>
      </c>
      <c r="C307" s="1" t="e">
        <v>#N/A</v>
      </c>
      <c r="D307" s="1" t="e">
        <v>#N/A</v>
      </c>
      <c r="E307" s="1" t="s">
        <v>2439</v>
      </c>
      <c r="F307" s="2" t="s">
        <v>2300</v>
      </c>
      <c r="G307" s="1" t="s">
        <v>2304</v>
      </c>
      <c r="H307" s="2">
        <v>2</v>
      </c>
      <c r="I307" s="3" t="s">
        <v>5</v>
      </c>
      <c r="J307" t="s">
        <v>2365</v>
      </c>
      <c r="M307" s="3" t="s">
        <v>2300</v>
      </c>
      <c r="N307" s="3" t="s">
        <v>2255</v>
      </c>
      <c r="O307" t="s">
        <v>2310</v>
      </c>
    </row>
    <row r="308" spans="1:15" x14ac:dyDescent="0.25">
      <c r="A308" t="s">
        <v>2285</v>
      </c>
      <c r="B308" s="1" t="e">
        <v>#N/A</v>
      </c>
      <c r="C308" s="1" t="e">
        <v>#N/A</v>
      </c>
      <c r="D308" s="1" t="e">
        <v>#N/A</v>
      </c>
      <c r="E308" s="1" t="s">
        <v>2439</v>
      </c>
      <c r="F308" s="2" t="s">
        <v>2300</v>
      </c>
      <c r="G308" s="1" t="s">
        <v>2304</v>
      </c>
      <c r="H308" s="2">
        <v>2</v>
      </c>
      <c r="I308" s="3" t="s">
        <v>2317</v>
      </c>
      <c r="J308" t="s">
        <v>2365</v>
      </c>
      <c r="M308" s="3" t="s">
        <v>2300</v>
      </c>
      <c r="N308" s="3" t="s">
        <v>2255</v>
      </c>
      <c r="O308" t="s">
        <v>2310</v>
      </c>
    </row>
    <row r="309" spans="1:15" x14ac:dyDescent="0.25">
      <c r="A309" t="s">
        <v>2285</v>
      </c>
      <c r="B309" s="1" t="e">
        <v>#N/A</v>
      </c>
      <c r="C309" s="1" t="e">
        <v>#N/A</v>
      </c>
      <c r="D309" s="1" t="e">
        <v>#N/A</v>
      </c>
      <c r="E309" s="1" t="s">
        <v>2439</v>
      </c>
      <c r="F309" s="2" t="s">
        <v>2300</v>
      </c>
      <c r="G309" s="1" t="s">
        <v>2304</v>
      </c>
      <c r="H309" s="2">
        <v>2</v>
      </c>
      <c r="I309" s="3" t="s">
        <v>2317</v>
      </c>
      <c r="J309" t="s">
        <v>2365</v>
      </c>
      <c r="M309" s="3" t="s">
        <v>2300</v>
      </c>
      <c r="N309" s="3" t="s">
        <v>2255</v>
      </c>
      <c r="O309" t="s">
        <v>2310</v>
      </c>
    </row>
    <row r="310" spans="1:15" x14ac:dyDescent="0.25">
      <c r="A310" t="s">
        <v>2285</v>
      </c>
      <c r="B310" s="1" t="e">
        <v>#N/A</v>
      </c>
      <c r="C310" s="1" t="e">
        <v>#N/A</v>
      </c>
      <c r="D310" s="1" t="e">
        <v>#N/A</v>
      </c>
      <c r="E310" s="1" t="s">
        <v>2439</v>
      </c>
      <c r="F310" s="2" t="s">
        <v>2300</v>
      </c>
      <c r="G310" s="1" t="s">
        <v>2304</v>
      </c>
      <c r="H310" s="2">
        <v>2</v>
      </c>
      <c r="I310" s="3" t="s">
        <v>38</v>
      </c>
      <c r="J310" t="s">
        <v>2365</v>
      </c>
      <c r="M310" s="3" t="s">
        <v>2300</v>
      </c>
      <c r="N310" s="3" t="s">
        <v>2255</v>
      </c>
      <c r="O310" t="s">
        <v>2310</v>
      </c>
    </row>
    <row r="311" spans="1:15" x14ac:dyDescent="0.25">
      <c r="A311" t="s">
        <v>2285</v>
      </c>
      <c r="B311" s="1" t="e">
        <v>#N/A</v>
      </c>
      <c r="C311" s="1" t="e">
        <v>#N/A</v>
      </c>
      <c r="D311" s="1" t="e">
        <v>#N/A</v>
      </c>
      <c r="E311" s="1" t="s">
        <v>2439</v>
      </c>
      <c r="F311" s="2" t="s">
        <v>2300</v>
      </c>
      <c r="G311" s="1" t="s">
        <v>2303</v>
      </c>
      <c r="H311" s="2">
        <v>2</v>
      </c>
      <c r="I311" s="3" t="s">
        <v>2315</v>
      </c>
      <c r="J311" t="s">
        <v>2365</v>
      </c>
      <c r="M311" s="3" t="s">
        <v>2300</v>
      </c>
      <c r="N311" s="3" t="s">
        <v>2256</v>
      </c>
      <c r="O311" t="s">
        <v>2310</v>
      </c>
    </row>
    <row r="312" spans="1:15" x14ac:dyDescent="0.25">
      <c r="A312" t="s">
        <v>2285</v>
      </c>
      <c r="B312" s="1" t="e">
        <v>#N/A</v>
      </c>
      <c r="C312" s="1" t="e">
        <v>#N/A</v>
      </c>
      <c r="D312" s="1" t="e">
        <v>#N/A</v>
      </c>
      <c r="E312" s="1" t="s">
        <v>2439</v>
      </c>
      <c r="F312" s="2" t="s">
        <v>2300</v>
      </c>
      <c r="G312" s="1" t="s">
        <v>2305</v>
      </c>
      <c r="H312" s="2">
        <v>2</v>
      </c>
      <c r="I312" s="3" t="s">
        <v>2437</v>
      </c>
      <c r="J312" t="s">
        <v>2365</v>
      </c>
      <c r="M312" s="3" t="s">
        <v>2300</v>
      </c>
      <c r="N312" s="3" t="s">
        <v>2258</v>
      </c>
      <c r="O312" t="s">
        <v>2310</v>
      </c>
    </row>
    <row r="313" spans="1:15" x14ac:dyDescent="0.25">
      <c r="A313" t="s">
        <v>2285</v>
      </c>
      <c r="B313" s="1" t="e">
        <v>#N/A</v>
      </c>
      <c r="C313" s="1" t="e">
        <v>#N/A</v>
      </c>
      <c r="D313" s="1" t="e">
        <v>#N/A</v>
      </c>
      <c r="E313" s="1" t="s">
        <v>2439</v>
      </c>
      <c r="F313" s="2" t="s">
        <v>2300</v>
      </c>
      <c r="G313" s="1" t="s">
        <v>2303</v>
      </c>
      <c r="H313" s="2">
        <v>2</v>
      </c>
      <c r="I313" s="3" t="s">
        <v>2327</v>
      </c>
      <c r="J313" t="s">
        <v>2365</v>
      </c>
      <c r="M313" s="3" t="s">
        <v>2300</v>
      </c>
      <c r="N313" s="3" t="s">
        <v>2256</v>
      </c>
      <c r="O313" t="s">
        <v>2310</v>
      </c>
    </row>
    <row r="314" spans="1:15" x14ac:dyDescent="0.25">
      <c r="A314" t="s">
        <v>2285</v>
      </c>
      <c r="B314" s="1" t="e">
        <v>#N/A</v>
      </c>
      <c r="C314" s="1" t="e">
        <v>#N/A</v>
      </c>
      <c r="D314" s="1" t="e">
        <v>#N/A</v>
      </c>
      <c r="E314" s="1" t="s">
        <v>2439</v>
      </c>
      <c r="F314" s="2" t="s">
        <v>2300</v>
      </c>
      <c r="G314" s="1" t="s">
        <v>2303</v>
      </c>
      <c r="H314" s="2">
        <v>2</v>
      </c>
      <c r="I314" s="3" t="s">
        <v>32</v>
      </c>
      <c r="J314" t="s">
        <v>2365</v>
      </c>
      <c r="M314" s="3" t="s">
        <v>2300</v>
      </c>
      <c r="N314" s="3" t="s">
        <v>2256</v>
      </c>
      <c r="O314" t="s">
        <v>2310</v>
      </c>
    </row>
    <row r="315" spans="1:15" x14ac:dyDescent="0.25">
      <c r="A315" t="s">
        <v>2285</v>
      </c>
      <c r="B315" s="1" t="e">
        <v>#N/A</v>
      </c>
      <c r="C315" s="1" t="e">
        <v>#N/A</v>
      </c>
      <c r="D315" s="1" t="e">
        <v>#N/A</v>
      </c>
      <c r="E315" s="1" t="s">
        <v>2439</v>
      </c>
      <c r="F315" s="2" t="s">
        <v>2300</v>
      </c>
      <c r="G315" s="1" t="s">
        <v>2304</v>
      </c>
      <c r="H315" s="2">
        <v>2</v>
      </c>
      <c r="I315" s="3" t="s">
        <v>2356</v>
      </c>
      <c r="J315" t="s">
        <v>2365</v>
      </c>
      <c r="M315" s="3" t="s">
        <v>2300</v>
      </c>
      <c r="N315" s="3" t="s">
        <v>2255</v>
      </c>
      <c r="O315" t="s">
        <v>2310</v>
      </c>
    </row>
    <row r="316" spans="1:15" x14ac:dyDescent="0.25">
      <c r="A316" t="s">
        <v>2285</v>
      </c>
      <c r="B316" s="1" t="e">
        <v>#N/A</v>
      </c>
      <c r="C316" s="1" t="e">
        <v>#N/A</v>
      </c>
      <c r="D316" s="1" t="e">
        <v>#N/A</v>
      </c>
      <c r="E316" s="1" t="s">
        <v>2439</v>
      </c>
      <c r="F316" s="2" t="s">
        <v>2300</v>
      </c>
      <c r="G316" s="1" t="s">
        <v>2303</v>
      </c>
      <c r="H316" s="2">
        <v>2</v>
      </c>
      <c r="I316" s="3" t="s">
        <v>1</v>
      </c>
      <c r="J316" t="s">
        <v>2365</v>
      </c>
      <c r="M316" s="3" t="s">
        <v>2300</v>
      </c>
      <c r="N316" s="3" t="s">
        <v>2256</v>
      </c>
      <c r="O316" t="s">
        <v>2310</v>
      </c>
    </row>
    <row r="317" spans="1:15" x14ac:dyDescent="0.25">
      <c r="A317" t="s">
        <v>2285</v>
      </c>
      <c r="B317" s="1" t="e">
        <v>#N/A</v>
      </c>
      <c r="C317" s="1" t="e">
        <v>#N/A</v>
      </c>
      <c r="D317" s="1" t="e">
        <v>#N/A</v>
      </c>
      <c r="E317" s="1" t="s">
        <v>2439</v>
      </c>
      <c r="F317" s="2" t="s">
        <v>2300</v>
      </c>
      <c r="G317" s="1" t="s">
        <v>2304</v>
      </c>
      <c r="H317" s="2">
        <v>2</v>
      </c>
      <c r="I317" s="3" t="s">
        <v>1</v>
      </c>
      <c r="J317" t="s">
        <v>2365</v>
      </c>
      <c r="M317" s="3" t="s">
        <v>2300</v>
      </c>
      <c r="N317" s="3" t="s">
        <v>2255</v>
      </c>
      <c r="O317" t="s">
        <v>2310</v>
      </c>
    </row>
    <row r="318" spans="1:15" x14ac:dyDescent="0.25">
      <c r="A318" t="s">
        <v>2285</v>
      </c>
      <c r="B318" s="1" t="e">
        <v>#N/A</v>
      </c>
      <c r="C318" s="1" t="e">
        <v>#N/A</v>
      </c>
      <c r="D318" s="1" t="e">
        <v>#N/A</v>
      </c>
      <c r="E318" s="1" t="s">
        <v>2439</v>
      </c>
      <c r="F318" s="2" t="s">
        <v>2300</v>
      </c>
      <c r="G318" s="1" t="s">
        <v>2303</v>
      </c>
      <c r="H318" s="2">
        <v>2</v>
      </c>
      <c r="I318" s="3" t="s">
        <v>2321</v>
      </c>
      <c r="J318" t="s">
        <v>2365</v>
      </c>
      <c r="M318" s="3" t="s">
        <v>2300</v>
      </c>
      <c r="N318" s="3" t="s">
        <v>2256</v>
      </c>
      <c r="O318" t="s">
        <v>2310</v>
      </c>
    </row>
    <row r="319" spans="1:15" x14ac:dyDescent="0.25">
      <c r="A319" t="s">
        <v>2285</v>
      </c>
      <c r="B319" s="1" t="e">
        <v>#N/A</v>
      </c>
      <c r="C319" s="1" t="e">
        <v>#N/A</v>
      </c>
      <c r="D319" s="1" t="e">
        <v>#N/A</v>
      </c>
      <c r="E319" s="1" t="s">
        <v>2439</v>
      </c>
      <c r="F319" s="2" t="s">
        <v>2300</v>
      </c>
      <c r="G319" s="1" t="s">
        <v>2305</v>
      </c>
      <c r="H319" s="2">
        <v>2</v>
      </c>
      <c r="I319" s="3" t="s">
        <v>1</v>
      </c>
      <c r="J319" t="s">
        <v>2365</v>
      </c>
      <c r="M319" s="3" t="s">
        <v>2300</v>
      </c>
      <c r="N319" s="3" t="s">
        <v>2258</v>
      </c>
      <c r="O319" t="s">
        <v>2310</v>
      </c>
    </row>
    <row r="320" spans="1:15" x14ac:dyDescent="0.25">
      <c r="A320" t="s">
        <v>2285</v>
      </c>
      <c r="B320" s="1" t="e">
        <v>#N/A</v>
      </c>
      <c r="C320" s="1" t="e">
        <v>#N/A</v>
      </c>
      <c r="D320" s="1" t="e">
        <v>#N/A</v>
      </c>
      <c r="E320" s="1" t="s">
        <v>2439</v>
      </c>
      <c r="F320" s="2" t="s">
        <v>2300</v>
      </c>
      <c r="G320" s="1" t="s">
        <v>2303</v>
      </c>
      <c r="H320" s="2">
        <v>2</v>
      </c>
      <c r="I320" s="3" t="s">
        <v>2318</v>
      </c>
      <c r="J320" t="s">
        <v>2365</v>
      </c>
      <c r="M320" s="3" t="s">
        <v>2300</v>
      </c>
      <c r="N320" s="3" t="s">
        <v>2256</v>
      </c>
      <c r="O320" t="s">
        <v>2310</v>
      </c>
    </row>
    <row r="321" spans="1:15" x14ac:dyDescent="0.25">
      <c r="A321" t="s">
        <v>2285</v>
      </c>
      <c r="B321" s="1" t="e">
        <v>#N/A</v>
      </c>
      <c r="C321" s="1" t="e">
        <v>#N/A</v>
      </c>
      <c r="D321" s="1" t="e">
        <v>#N/A</v>
      </c>
      <c r="E321" s="1" t="s">
        <v>2439</v>
      </c>
      <c r="F321" s="2" t="s">
        <v>2300</v>
      </c>
      <c r="G321" s="1" t="s">
        <v>2304</v>
      </c>
      <c r="H321" s="2">
        <v>2</v>
      </c>
      <c r="I321" s="3" t="s">
        <v>12</v>
      </c>
      <c r="J321" t="s">
        <v>2365</v>
      </c>
      <c r="M321" s="3" t="s">
        <v>2300</v>
      </c>
      <c r="N321" s="3" t="s">
        <v>2255</v>
      </c>
      <c r="O321" t="s">
        <v>2310</v>
      </c>
    </row>
    <row r="322" spans="1:15" x14ac:dyDescent="0.25">
      <c r="A322" t="s">
        <v>2285</v>
      </c>
      <c r="B322" s="1" t="e">
        <v>#N/A</v>
      </c>
      <c r="C322" s="1" t="e">
        <v>#N/A</v>
      </c>
      <c r="D322" s="1" t="e">
        <v>#N/A</v>
      </c>
      <c r="E322" s="1" t="s">
        <v>2439</v>
      </c>
      <c r="F322" s="2" t="s">
        <v>2300</v>
      </c>
      <c r="G322" s="1" t="s">
        <v>2304</v>
      </c>
      <c r="H322" s="2">
        <v>2</v>
      </c>
      <c r="I322" s="3" t="s">
        <v>1</v>
      </c>
      <c r="J322" t="s">
        <v>2365</v>
      </c>
      <c r="M322" s="3" t="s">
        <v>2300</v>
      </c>
      <c r="N322" s="3" t="s">
        <v>2255</v>
      </c>
      <c r="O322" t="s">
        <v>2310</v>
      </c>
    </row>
    <row r="323" spans="1:15" x14ac:dyDescent="0.25">
      <c r="A323" t="s">
        <v>2285</v>
      </c>
      <c r="B323" s="1" t="e">
        <v>#N/A</v>
      </c>
      <c r="C323" s="1" t="e">
        <v>#N/A</v>
      </c>
      <c r="D323" s="1" t="e">
        <v>#N/A</v>
      </c>
      <c r="E323" s="1" t="s">
        <v>2439</v>
      </c>
      <c r="F323" s="2" t="s">
        <v>2300</v>
      </c>
      <c r="G323" s="1" t="s">
        <v>2304</v>
      </c>
      <c r="H323" s="2">
        <v>2</v>
      </c>
      <c r="I323" s="3" t="s">
        <v>2317</v>
      </c>
      <c r="J323" t="s">
        <v>2365</v>
      </c>
      <c r="M323" s="3" t="s">
        <v>2300</v>
      </c>
      <c r="N323" s="3" t="s">
        <v>2255</v>
      </c>
      <c r="O323" t="s">
        <v>2310</v>
      </c>
    </row>
    <row r="324" spans="1:15" x14ac:dyDescent="0.25">
      <c r="A324" t="s">
        <v>2285</v>
      </c>
      <c r="B324" s="1" t="e">
        <v>#N/A</v>
      </c>
      <c r="C324" s="1" t="e">
        <v>#N/A</v>
      </c>
      <c r="D324" s="1" t="e">
        <v>#N/A</v>
      </c>
      <c r="E324" s="1" t="s">
        <v>2298</v>
      </c>
      <c r="F324" s="2" t="s">
        <v>2300</v>
      </c>
      <c r="G324" s="1" t="s">
        <v>2304</v>
      </c>
      <c r="H324" s="2">
        <v>1</v>
      </c>
      <c r="I324" s="3" t="s">
        <v>22</v>
      </c>
      <c r="J324" t="s">
        <v>2365</v>
      </c>
      <c r="M324" s="3" t="s">
        <v>2300</v>
      </c>
      <c r="N324" s="3" t="s">
        <v>2255</v>
      </c>
      <c r="O324" t="s">
        <v>2310</v>
      </c>
    </row>
    <row r="325" spans="1:15" x14ac:dyDescent="0.25">
      <c r="A325" t="s">
        <v>2285</v>
      </c>
      <c r="B325" s="1" t="e">
        <v>#N/A</v>
      </c>
      <c r="C325" s="1" t="e">
        <v>#N/A</v>
      </c>
      <c r="D325" s="1" t="e">
        <v>#N/A</v>
      </c>
      <c r="E325" s="1" t="s">
        <v>2298</v>
      </c>
      <c r="F325" s="2" t="s">
        <v>2300</v>
      </c>
      <c r="G325" s="1" t="s">
        <v>2304</v>
      </c>
      <c r="H325" s="2">
        <v>1</v>
      </c>
      <c r="I325" s="3" t="s">
        <v>2441</v>
      </c>
      <c r="J325" t="s">
        <v>2365</v>
      </c>
      <c r="M325" s="3" t="s">
        <v>2300</v>
      </c>
      <c r="N325" s="3" t="s">
        <v>2255</v>
      </c>
      <c r="O325" t="s">
        <v>2310</v>
      </c>
    </row>
    <row r="326" spans="1:15" x14ac:dyDescent="0.25">
      <c r="A326" t="s">
        <v>2285</v>
      </c>
      <c r="B326" s="1" t="e">
        <v>#N/A</v>
      </c>
      <c r="C326" s="1" t="e">
        <v>#N/A</v>
      </c>
      <c r="D326" s="1" t="e">
        <v>#N/A</v>
      </c>
      <c r="E326" s="1" t="s">
        <v>2298</v>
      </c>
      <c r="F326" s="2" t="s">
        <v>2300</v>
      </c>
      <c r="G326" s="1" t="s">
        <v>2304</v>
      </c>
      <c r="H326" s="2">
        <v>1</v>
      </c>
      <c r="I326" s="3" t="s">
        <v>2442</v>
      </c>
      <c r="J326" t="s">
        <v>2365</v>
      </c>
      <c r="M326" s="3" t="s">
        <v>2300</v>
      </c>
      <c r="N326" s="3" t="s">
        <v>2255</v>
      </c>
      <c r="O326" t="s">
        <v>2310</v>
      </c>
    </row>
    <row r="327" spans="1:15" x14ac:dyDescent="0.25">
      <c r="A327" t="s">
        <v>2285</v>
      </c>
      <c r="B327" s="1" t="e">
        <v>#N/A</v>
      </c>
      <c r="C327" s="1" t="e">
        <v>#N/A</v>
      </c>
      <c r="D327" s="1" t="e">
        <v>#N/A</v>
      </c>
      <c r="E327" s="1" t="s">
        <v>2298</v>
      </c>
      <c r="F327" s="2" t="s">
        <v>2300</v>
      </c>
      <c r="G327" s="1" t="s">
        <v>2304</v>
      </c>
      <c r="H327" s="2">
        <v>1</v>
      </c>
      <c r="I327" s="3" t="s">
        <v>19</v>
      </c>
      <c r="J327" t="s">
        <v>2365</v>
      </c>
      <c r="M327" s="3" t="s">
        <v>2300</v>
      </c>
      <c r="N327" s="3" t="s">
        <v>2255</v>
      </c>
      <c r="O327" t="s">
        <v>2310</v>
      </c>
    </row>
    <row r="328" spans="1:15" x14ac:dyDescent="0.25">
      <c r="A328" t="s">
        <v>2285</v>
      </c>
      <c r="B328" s="1" t="e">
        <v>#N/A</v>
      </c>
      <c r="C328" s="1" t="e">
        <v>#N/A</v>
      </c>
      <c r="D328" s="1" t="e">
        <v>#N/A</v>
      </c>
      <c r="E328" s="1" t="s">
        <v>2298</v>
      </c>
      <c r="F328" s="2" t="s">
        <v>2300</v>
      </c>
      <c r="G328" s="1" t="s">
        <v>2304</v>
      </c>
      <c r="H328" s="2">
        <v>1</v>
      </c>
      <c r="I328" s="3" t="s">
        <v>2443</v>
      </c>
      <c r="J328" t="s">
        <v>2365</v>
      </c>
      <c r="M328" s="3" t="s">
        <v>2300</v>
      </c>
      <c r="N328" s="3" t="s">
        <v>2255</v>
      </c>
      <c r="O328" t="s">
        <v>2310</v>
      </c>
    </row>
    <row r="329" spans="1:15" x14ac:dyDescent="0.25">
      <c r="A329" t="s">
        <v>2285</v>
      </c>
      <c r="B329" s="1" t="e">
        <v>#N/A</v>
      </c>
      <c r="C329" s="1" t="e">
        <v>#N/A</v>
      </c>
      <c r="D329" s="1" t="e">
        <v>#N/A</v>
      </c>
      <c r="E329" s="1" t="s">
        <v>2439</v>
      </c>
      <c r="F329" s="2" t="s">
        <v>2300</v>
      </c>
      <c r="G329" s="1" t="s">
        <v>2304</v>
      </c>
      <c r="H329" s="2">
        <v>1</v>
      </c>
      <c r="I329" s="3" t="s">
        <v>38</v>
      </c>
      <c r="J329" t="s">
        <v>2365</v>
      </c>
      <c r="M329" s="3" t="s">
        <v>2300</v>
      </c>
      <c r="N329" s="3" t="s">
        <v>2255</v>
      </c>
      <c r="O329" t="s">
        <v>2310</v>
      </c>
    </row>
    <row r="330" spans="1:15" x14ac:dyDescent="0.25">
      <c r="A330" t="s">
        <v>2285</v>
      </c>
      <c r="B330" s="1" t="e">
        <v>#N/A</v>
      </c>
      <c r="C330" s="1" t="e">
        <v>#N/A</v>
      </c>
      <c r="D330" s="1" t="e">
        <v>#N/A</v>
      </c>
      <c r="E330" s="1" t="s">
        <v>2439</v>
      </c>
      <c r="F330" s="2" t="s">
        <v>2300</v>
      </c>
      <c r="G330" s="1" t="s">
        <v>2304</v>
      </c>
      <c r="H330" s="2">
        <v>1</v>
      </c>
      <c r="I330" s="3" t="s">
        <v>5</v>
      </c>
      <c r="J330" t="s">
        <v>2365</v>
      </c>
      <c r="M330" s="3" t="s">
        <v>2300</v>
      </c>
      <c r="N330" s="3" t="s">
        <v>2255</v>
      </c>
      <c r="O330" t="s">
        <v>2310</v>
      </c>
    </row>
    <row r="331" spans="1:15" x14ac:dyDescent="0.25">
      <c r="A331" t="s">
        <v>2285</v>
      </c>
      <c r="B331" s="1" t="e">
        <v>#N/A</v>
      </c>
      <c r="C331" s="1" t="e">
        <v>#N/A</v>
      </c>
      <c r="D331" s="1" t="e">
        <v>#N/A</v>
      </c>
      <c r="E331" s="1" t="s">
        <v>2439</v>
      </c>
      <c r="F331" s="2" t="s">
        <v>2300</v>
      </c>
      <c r="G331" s="1" t="s">
        <v>2304</v>
      </c>
      <c r="H331" s="2">
        <v>1</v>
      </c>
      <c r="I331" s="3" t="s">
        <v>2317</v>
      </c>
      <c r="J331" t="s">
        <v>2365</v>
      </c>
      <c r="M331" s="3" t="s">
        <v>2300</v>
      </c>
      <c r="N331" s="3" t="s">
        <v>2255</v>
      </c>
      <c r="O331" t="s">
        <v>2310</v>
      </c>
    </row>
    <row r="332" spans="1:15" x14ac:dyDescent="0.25">
      <c r="A332" t="s">
        <v>2285</v>
      </c>
      <c r="B332" s="1" t="e">
        <v>#N/A</v>
      </c>
      <c r="C332" s="1" t="e">
        <v>#N/A</v>
      </c>
      <c r="D332" s="1" t="e">
        <v>#N/A</v>
      </c>
      <c r="E332" s="1" t="s">
        <v>2439</v>
      </c>
      <c r="F332" s="2" t="s">
        <v>2300</v>
      </c>
      <c r="G332" s="1" t="s">
        <v>2304</v>
      </c>
      <c r="H332" s="2">
        <v>1</v>
      </c>
      <c r="I332" s="3" t="s">
        <v>2</v>
      </c>
      <c r="J332" t="s">
        <v>2365</v>
      </c>
      <c r="M332" s="3" t="s">
        <v>2301</v>
      </c>
      <c r="N332" s="3" t="s">
        <v>2255</v>
      </c>
      <c r="O332" t="s">
        <v>2310</v>
      </c>
    </row>
    <row r="333" spans="1:15" x14ac:dyDescent="0.25">
      <c r="A333" t="s">
        <v>2285</v>
      </c>
      <c r="B333" s="1" t="e">
        <v>#N/A</v>
      </c>
      <c r="C333" s="1" t="e">
        <v>#N/A</v>
      </c>
      <c r="D333" s="1" t="e">
        <v>#N/A</v>
      </c>
      <c r="E333" s="1" t="s">
        <v>2439</v>
      </c>
      <c r="F333" s="2" t="s">
        <v>2300</v>
      </c>
      <c r="G333" s="1" t="s">
        <v>2304</v>
      </c>
      <c r="H333" s="2">
        <v>1</v>
      </c>
      <c r="I333" s="3" t="s">
        <v>2319</v>
      </c>
      <c r="J333" t="s">
        <v>2365</v>
      </c>
      <c r="M333" s="3" t="s">
        <v>2300</v>
      </c>
      <c r="N333" s="3" t="s">
        <v>2255</v>
      </c>
      <c r="O333" t="s">
        <v>2310</v>
      </c>
    </row>
    <row r="334" spans="1:15" x14ac:dyDescent="0.25">
      <c r="A334" t="s">
        <v>2285</v>
      </c>
      <c r="B334" s="1" t="e">
        <v>#N/A</v>
      </c>
      <c r="C334" s="1" t="e">
        <v>#N/A</v>
      </c>
      <c r="D334" s="1" t="e">
        <v>#N/A</v>
      </c>
      <c r="E334" s="1" t="s">
        <v>2439</v>
      </c>
      <c r="F334" s="2" t="s">
        <v>2300</v>
      </c>
      <c r="G334" s="1" t="s">
        <v>2304</v>
      </c>
      <c r="H334" s="2">
        <v>1</v>
      </c>
      <c r="I334" s="3" t="s">
        <v>2</v>
      </c>
      <c r="J334" t="s">
        <v>2365</v>
      </c>
      <c r="M334" s="3" t="s">
        <v>2300</v>
      </c>
      <c r="N334" s="3" t="s">
        <v>2255</v>
      </c>
      <c r="O334" t="s">
        <v>2310</v>
      </c>
    </row>
    <row r="335" spans="1:15" x14ac:dyDescent="0.25">
      <c r="A335" t="s">
        <v>2285</v>
      </c>
      <c r="B335" s="1" t="e">
        <v>#N/A</v>
      </c>
      <c r="C335" s="1" t="e">
        <v>#N/A</v>
      </c>
      <c r="D335" s="1" t="e">
        <v>#N/A</v>
      </c>
      <c r="E335" s="1" t="s">
        <v>2439</v>
      </c>
      <c r="F335" s="2" t="s">
        <v>2300</v>
      </c>
      <c r="G335" s="1" t="s">
        <v>2304</v>
      </c>
      <c r="H335" s="2">
        <v>1</v>
      </c>
      <c r="I335" s="3" t="s">
        <v>2317</v>
      </c>
      <c r="J335" t="s">
        <v>2365</v>
      </c>
      <c r="M335" s="3" t="s">
        <v>2301</v>
      </c>
      <c r="N335" s="3" t="s">
        <v>2255</v>
      </c>
      <c r="O335" t="s">
        <v>2310</v>
      </c>
    </row>
    <row r="336" spans="1:15" x14ac:dyDescent="0.25">
      <c r="A336" t="s">
        <v>2285</v>
      </c>
      <c r="B336" s="1" t="e">
        <v>#N/A</v>
      </c>
      <c r="C336" s="1" t="e">
        <v>#N/A</v>
      </c>
      <c r="D336" s="1" t="e">
        <v>#N/A</v>
      </c>
      <c r="E336" s="1" t="s">
        <v>2439</v>
      </c>
      <c r="F336" s="2" t="s">
        <v>2300</v>
      </c>
      <c r="G336" s="1" t="s">
        <v>2304</v>
      </c>
      <c r="H336" s="2">
        <v>1</v>
      </c>
      <c r="I336" s="3" t="s">
        <v>2</v>
      </c>
      <c r="J336" t="s">
        <v>2365</v>
      </c>
      <c r="M336" s="3" t="s">
        <v>2300</v>
      </c>
      <c r="N336" s="3" t="s">
        <v>2255</v>
      </c>
      <c r="O336" t="s">
        <v>2310</v>
      </c>
    </row>
    <row r="337" spans="1:15" x14ac:dyDescent="0.25">
      <c r="A337" t="s">
        <v>2285</v>
      </c>
      <c r="B337" s="1" t="e">
        <v>#N/A</v>
      </c>
      <c r="C337" s="1" t="e">
        <v>#N/A</v>
      </c>
      <c r="D337" s="1" t="e">
        <v>#N/A</v>
      </c>
      <c r="E337" s="1" t="s">
        <v>2439</v>
      </c>
      <c r="F337" s="2" t="s">
        <v>2300</v>
      </c>
      <c r="G337" s="1" t="s">
        <v>2304</v>
      </c>
      <c r="H337" s="2">
        <v>1</v>
      </c>
      <c r="I337" s="3" t="s">
        <v>2317</v>
      </c>
      <c r="J337" t="s">
        <v>2365</v>
      </c>
      <c r="M337" s="3" t="s">
        <v>2300</v>
      </c>
      <c r="N337" s="3" t="s">
        <v>2255</v>
      </c>
      <c r="O337" t="s">
        <v>2310</v>
      </c>
    </row>
    <row r="338" spans="1:15" x14ac:dyDescent="0.25">
      <c r="A338" t="s">
        <v>2285</v>
      </c>
      <c r="B338" s="1" t="e">
        <v>#N/A</v>
      </c>
      <c r="C338" s="1" t="e">
        <v>#N/A</v>
      </c>
      <c r="D338" s="1" t="e">
        <v>#N/A</v>
      </c>
      <c r="E338" s="1" t="s">
        <v>2439</v>
      </c>
      <c r="F338" s="2" t="s">
        <v>2300</v>
      </c>
      <c r="G338" s="1" t="s">
        <v>2304</v>
      </c>
      <c r="H338" s="2">
        <v>1</v>
      </c>
      <c r="I338" s="3" t="s">
        <v>5</v>
      </c>
      <c r="J338" t="s">
        <v>2365</v>
      </c>
      <c r="M338" s="3" t="s">
        <v>2300</v>
      </c>
      <c r="N338" s="3" t="s">
        <v>2255</v>
      </c>
      <c r="O338" t="s">
        <v>2310</v>
      </c>
    </row>
    <row r="339" spans="1:15" x14ac:dyDescent="0.25">
      <c r="A339" t="s">
        <v>2285</v>
      </c>
      <c r="B339" s="1" t="e">
        <v>#N/A</v>
      </c>
      <c r="C339" s="1" t="e">
        <v>#N/A</v>
      </c>
      <c r="D339" s="1" t="e">
        <v>#N/A</v>
      </c>
      <c r="E339" s="1" t="s">
        <v>2439</v>
      </c>
      <c r="F339" s="2" t="s">
        <v>2300</v>
      </c>
      <c r="G339" s="1" t="s">
        <v>2304</v>
      </c>
      <c r="H339" s="2">
        <v>1</v>
      </c>
      <c r="I339" s="3" t="s">
        <v>2333</v>
      </c>
      <c r="J339" t="s">
        <v>2365</v>
      </c>
      <c r="M339" s="3" t="s">
        <v>2300</v>
      </c>
      <c r="N339" s="3" t="s">
        <v>2255</v>
      </c>
      <c r="O339" t="s">
        <v>2310</v>
      </c>
    </row>
    <row r="340" spans="1:15" x14ac:dyDescent="0.25">
      <c r="A340" t="s">
        <v>2285</v>
      </c>
      <c r="B340" s="1" t="e">
        <v>#N/A</v>
      </c>
      <c r="C340" s="1" t="e">
        <v>#N/A</v>
      </c>
      <c r="D340" s="1" t="e">
        <v>#N/A</v>
      </c>
      <c r="E340" s="1" t="s">
        <v>2439</v>
      </c>
      <c r="F340" s="2" t="s">
        <v>2300</v>
      </c>
      <c r="G340" s="1" t="s">
        <v>2304</v>
      </c>
      <c r="H340" s="2">
        <v>1</v>
      </c>
      <c r="I340" s="3" t="s">
        <v>12</v>
      </c>
      <c r="J340" t="s">
        <v>2365</v>
      </c>
      <c r="M340" s="3" t="s">
        <v>2300</v>
      </c>
      <c r="N340" s="3" t="s">
        <v>2255</v>
      </c>
      <c r="O340" t="s">
        <v>2310</v>
      </c>
    </row>
    <row r="341" spans="1:15" x14ac:dyDescent="0.25">
      <c r="A341" t="s">
        <v>2285</v>
      </c>
      <c r="B341" s="1" t="e">
        <v>#N/A</v>
      </c>
      <c r="C341" s="1" t="e">
        <v>#N/A</v>
      </c>
      <c r="D341" s="1" t="e">
        <v>#N/A</v>
      </c>
      <c r="E341" s="1" t="s">
        <v>2439</v>
      </c>
      <c r="F341" s="2" t="s">
        <v>2300</v>
      </c>
      <c r="G341" s="1" t="s">
        <v>2304</v>
      </c>
      <c r="H341" s="2">
        <v>1</v>
      </c>
      <c r="I341" s="3" t="s">
        <v>2</v>
      </c>
      <c r="J341" t="s">
        <v>2365</v>
      </c>
      <c r="M341" s="3" t="s">
        <v>2300</v>
      </c>
      <c r="N341" s="3" t="s">
        <v>2255</v>
      </c>
      <c r="O341" t="s">
        <v>2310</v>
      </c>
    </row>
    <row r="342" spans="1:15" x14ac:dyDescent="0.25">
      <c r="A342" t="s">
        <v>2285</v>
      </c>
      <c r="B342" s="1" t="e">
        <v>#N/A</v>
      </c>
      <c r="C342" s="1" t="e">
        <v>#N/A</v>
      </c>
      <c r="D342" s="1" t="e">
        <v>#N/A</v>
      </c>
      <c r="E342" s="1" t="s">
        <v>2439</v>
      </c>
      <c r="F342" s="2" t="s">
        <v>2300</v>
      </c>
      <c r="G342" s="1" t="s">
        <v>2304</v>
      </c>
      <c r="H342" s="2">
        <v>1</v>
      </c>
      <c r="I342" s="3" t="s">
        <v>2348</v>
      </c>
      <c r="J342" t="s">
        <v>2365</v>
      </c>
      <c r="M342" s="3" t="s">
        <v>2300</v>
      </c>
      <c r="N342" s="3" t="s">
        <v>2255</v>
      </c>
      <c r="O342" t="s">
        <v>2310</v>
      </c>
    </row>
    <row r="343" spans="1:15" x14ac:dyDescent="0.25">
      <c r="A343" t="s">
        <v>2285</v>
      </c>
      <c r="B343" s="1" t="e">
        <v>#N/A</v>
      </c>
      <c r="C343" s="1" t="e">
        <v>#N/A</v>
      </c>
      <c r="D343" s="1" t="e">
        <v>#N/A</v>
      </c>
      <c r="E343" s="1" t="s">
        <v>2439</v>
      </c>
      <c r="F343" s="2" t="s">
        <v>2300</v>
      </c>
      <c r="G343" s="1" t="s">
        <v>2304</v>
      </c>
      <c r="H343" s="2">
        <v>1</v>
      </c>
      <c r="I343" s="3" t="s">
        <v>2444</v>
      </c>
      <c r="J343" t="s">
        <v>2365</v>
      </c>
      <c r="M343" s="3" t="s">
        <v>2300</v>
      </c>
      <c r="N343" s="3" t="s">
        <v>2255</v>
      </c>
      <c r="O343" t="s">
        <v>2310</v>
      </c>
    </row>
    <row r="344" spans="1:15" x14ac:dyDescent="0.25">
      <c r="A344" t="s">
        <v>2285</v>
      </c>
      <c r="B344" s="1" t="e">
        <v>#N/A</v>
      </c>
      <c r="C344" s="1" t="e">
        <v>#N/A</v>
      </c>
      <c r="D344" s="1" t="e">
        <v>#N/A</v>
      </c>
      <c r="E344" s="1" t="s">
        <v>2439</v>
      </c>
      <c r="F344" s="2" t="s">
        <v>2300</v>
      </c>
      <c r="G344" s="1" t="s">
        <v>2303</v>
      </c>
      <c r="H344" s="2">
        <v>1</v>
      </c>
      <c r="I344" s="3" t="s">
        <v>6</v>
      </c>
      <c r="J344" t="s">
        <v>2365</v>
      </c>
      <c r="M344" s="3" t="s">
        <v>2300</v>
      </c>
      <c r="N344" s="3" t="s">
        <v>2256</v>
      </c>
      <c r="O344" t="s">
        <v>2310</v>
      </c>
    </row>
    <row r="345" spans="1:15" x14ac:dyDescent="0.25">
      <c r="A345" t="s">
        <v>2285</v>
      </c>
      <c r="B345" s="1" t="e">
        <v>#N/A</v>
      </c>
      <c r="C345" s="1" t="e">
        <v>#N/A</v>
      </c>
      <c r="D345" s="1" t="e">
        <v>#N/A</v>
      </c>
      <c r="E345" s="1" t="s">
        <v>2439</v>
      </c>
      <c r="F345" s="2" t="s">
        <v>2300</v>
      </c>
      <c r="G345" s="1" t="s">
        <v>2303</v>
      </c>
      <c r="H345" s="2">
        <v>1</v>
      </c>
      <c r="I345" s="3" t="s">
        <v>38</v>
      </c>
      <c r="J345" t="s">
        <v>2365</v>
      </c>
      <c r="M345" s="3" t="s">
        <v>2300</v>
      </c>
      <c r="N345" s="3" t="s">
        <v>2256</v>
      </c>
      <c r="O345" t="s">
        <v>2310</v>
      </c>
    </row>
    <row r="346" spans="1:15" x14ac:dyDescent="0.25">
      <c r="A346" t="s">
        <v>2285</v>
      </c>
      <c r="B346" s="1" t="e">
        <v>#N/A</v>
      </c>
      <c r="C346" s="1" t="e">
        <v>#N/A</v>
      </c>
      <c r="D346" s="1" t="e">
        <v>#N/A</v>
      </c>
      <c r="E346" s="1" t="s">
        <v>2439</v>
      </c>
      <c r="F346" s="2" t="s">
        <v>2300</v>
      </c>
      <c r="G346" s="1" t="s">
        <v>2303</v>
      </c>
      <c r="H346" s="2">
        <v>1</v>
      </c>
      <c r="I346" s="3" t="s">
        <v>2424</v>
      </c>
      <c r="J346" t="s">
        <v>2365</v>
      </c>
      <c r="M346" s="3" t="s">
        <v>2300</v>
      </c>
      <c r="N346" s="3" t="s">
        <v>2256</v>
      </c>
      <c r="O346" t="s">
        <v>2310</v>
      </c>
    </row>
    <row r="347" spans="1:15" x14ac:dyDescent="0.25">
      <c r="A347" t="s">
        <v>2285</v>
      </c>
      <c r="B347" s="1" t="e">
        <v>#N/A</v>
      </c>
      <c r="C347" s="1" t="e">
        <v>#N/A</v>
      </c>
      <c r="D347" s="1" t="e">
        <v>#N/A</v>
      </c>
      <c r="E347" s="1" t="s">
        <v>2439</v>
      </c>
      <c r="F347" s="2" t="s">
        <v>2300</v>
      </c>
      <c r="G347" s="1" t="s">
        <v>2304</v>
      </c>
      <c r="H347" s="2">
        <v>1</v>
      </c>
      <c r="I347" s="3" t="s">
        <v>12</v>
      </c>
      <c r="J347" t="s">
        <v>2365</v>
      </c>
      <c r="M347" s="3" t="s">
        <v>2300</v>
      </c>
      <c r="N347" s="3" t="s">
        <v>2255</v>
      </c>
      <c r="O347" t="s">
        <v>2310</v>
      </c>
    </row>
    <row r="348" spans="1:15" x14ac:dyDescent="0.25">
      <c r="A348" t="s">
        <v>2285</v>
      </c>
      <c r="B348" s="1" t="e">
        <v>#N/A</v>
      </c>
      <c r="C348" s="1" t="e">
        <v>#N/A</v>
      </c>
      <c r="D348" s="1" t="e">
        <v>#N/A</v>
      </c>
      <c r="E348" s="1" t="s">
        <v>2439</v>
      </c>
      <c r="F348" s="2" t="s">
        <v>2300</v>
      </c>
      <c r="G348" s="1" t="s">
        <v>2304</v>
      </c>
      <c r="H348" s="2">
        <v>1</v>
      </c>
      <c r="I348" s="3" t="s">
        <v>2358</v>
      </c>
      <c r="J348" t="s">
        <v>2365</v>
      </c>
      <c r="M348" s="3" t="s">
        <v>2300</v>
      </c>
      <c r="N348" s="3" t="s">
        <v>2255</v>
      </c>
      <c r="O348" t="s">
        <v>2310</v>
      </c>
    </row>
    <row r="349" spans="1:15" x14ac:dyDescent="0.25">
      <c r="A349" t="s">
        <v>2285</v>
      </c>
      <c r="B349" s="1" t="e">
        <v>#N/A</v>
      </c>
      <c r="C349" s="1" t="e">
        <v>#N/A</v>
      </c>
      <c r="D349" s="1" t="e">
        <v>#N/A</v>
      </c>
      <c r="E349" s="1" t="s">
        <v>2439</v>
      </c>
      <c r="F349" s="2" t="s">
        <v>2300</v>
      </c>
      <c r="G349" s="1" t="s">
        <v>2304</v>
      </c>
      <c r="H349" s="2">
        <v>1</v>
      </c>
      <c r="I349" s="3" t="s">
        <v>2348</v>
      </c>
      <c r="J349" t="s">
        <v>2365</v>
      </c>
      <c r="M349" s="3" t="s">
        <v>2300</v>
      </c>
      <c r="N349" s="3" t="s">
        <v>2255</v>
      </c>
      <c r="O349" t="s">
        <v>2310</v>
      </c>
    </row>
    <row r="350" spans="1:15" x14ac:dyDescent="0.25">
      <c r="A350" t="s">
        <v>2285</v>
      </c>
      <c r="B350" s="1" t="e">
        <v>#N/A</v>
      </c>
      <c r="C350" s="1" t="e">
        <v>#N/A</v>
      </c>
      <c r="D350" s="1" t="e">
        <v>#N/A</v>
      </c>
      <c r="E350" s="1" t="s">
        <v>2439</v>
      </c>
      <c r="F350" s="2" t="s">
        <v>2300</v>
      </c>
      <c r="G350" s="1" t="s">
        <v>2303</v>
      </c>
      <c r="H350" s="2">
        <v>1</v>
      </c>
      <c r="I350" s="3" t="s">
        <v>2348</v>
      </c>
      <c r="J350" t="s">
        <v>2365</v>
      </c>
      <c r="M350" s="3" t="s">
        <v>2300</v>
      </c>
      <c r="N350" s="3" t="s">
        <v>2256</v>
      </c>
      <c r="O350" t="s">
        <v>2310</v>
      </c>
    </row>
    <row r="351" spans="1:15" x14ac:dyDescent="0.25">
      <c r="A351" t="s">
        <v>2285</v>
      </c>
      <c r="B351" s="1" t="e">
        <v>#N/A</v>
      </c>
      <c r="C351" s="1" t="e">
        <v>#N/A</v>
      </c>
      <c r="D351" s="1" t="e">
        <v>#N/A</v>
      </c>
      <c r="E351" s="1" t="s">
        <v>2298</v>
      </c>
      <c r="F351" s="2" t="s">
        <v>2300</v>
      </c>
      <c r="G351" s="1" t="s">
        <v>2303</v>
      </c>
      <c r="H351" s="2">
        <v>0</v>
      </c>
      <c r="I351" s="3" t="s">
        <v>2442</v>
      </c>
      <c r="J351" t="s">
        <v>2365</v>
      </c>
      <c r="M351" s="3" t="s">
        <v>2300</v>
      </c>
      <c r="N351" s="3" t="s">
        <v>2256</v>
      </c>
      <c r="O351" t="s">
        <v>2310</v>
      </c>
    </row>
    <row r="352" spans="1:15" x14ac:dyDescent="0.25">
      <c r="A352" t="s">
        <v>2285</v>
      </c>
      <c r="B352" s="1" t="e">
        <v>#N/A</v>
      </c>
      <c r="C352" s="1" t="e">
        <v>#N/A</v>
      </c>
      <c r="D352" s="1" t="e">
        <v>#N/A</v>
      </c>
      <c r="E352" s="1" t="s">
        <v>2298</v>
      </c>
      <c r="F352" s="2" t="s">
        <v>2300</v>
      </c>
      <c r="G352" s="1" t="s">
        <v>2304</v>
      </c>
      <c r="H352" s="2">
        <v>0</v>
      </c>
      <c r="I352" s="3" t="s">
        <v>2445</v>
      </c>
      <c r="J352" t="s">
        <v>2365</v>
      </c>
      <c r="M352" s="3" t="s">
        <v>2300</v>
      </c>
      <c r="N352" s="3" t="s">
        <v>2255</v>
      </c>
      <c r="O352" t="s">
        <v>2310</v>
      </c>
    </row>
    <row r="353" spans="1:15" x14ac:dyDescent="0.25">
      <c r="A353" t="s">
        <v>2285</v>
      </c>
      <c r="B353" s="1" t="e">
        <v>#N/A</v>
      </c>
      <c r="C353" s="1" t="e">
        <v>#N/A</v>
      </c>
      <c r="D353" s="1" t="e">
        <v>#N/A</v>
      </c>
      <c r="E353" s="1" t="s">
        <v>2439</v>
      </c>
      <c r="F353" s="2" t="s">
        <v>2300</v>
      </c>
      <c r="G353" s="1" t="s">
        <v>2303</v>
      </c>
      <c r="H353" s="2">
        <v>0</v>
      </c>
      <c r="I353" s="3" t="s">
        <v>1</v>
      </c>
      <c r="J353" t="s">
        <v>2365</v>
      </c>
      <c r="M353" s="3" t="s">
        <v>2300</v>
      </c>
      <c r="N353" s="3" t="s">
        <v>2256</v>
      </c>
      <c r="O353" t="s">
        <v>2310</v>
      </c>
    </row>
    <row r="354" spans="1:15" x14ac:dyDescent="0.25">
      <c r="A354" t="s">
        <v>2285</v>
      </c>
      <c r="B354" s="1" t="e">
        <v>#N/A</v>
      </c>
      <c r="C354" s="1" t="e">
        <v>#N/A</v>
      </c>
      <c r="D354" s="1" t="e">
        <v>#N/A</v>
      </c>
      <c r="E354" s="1" t="s">
        <v>2439</v>
      </c>
      <c r="F354" s="2" t="s">
        <v>2300</v>
      </c>
      <c r="G354" s="1" t="s">
        <v>2304</v>
      </c>
      <c r="H354" s="2">
        <v>0</v>
      </c>
      <c r="I354" s="3" t="s">
        <v>2333</v>
      </c>
      <c r="J354" t="s">
        <v>2365</v>
      </c>
      <c r="M354" s="3" t="s">
        <v>2300</v>
      </c>
      <c r="N354" s="3" t="s">
        <v>2255</v>
      </c>
      <c r="O354" t="s">
        <v>2310</v>
      </c>
    </row>
    <row r="355" spans="1:15" x14ac:dyDescent="0.25">
      <c r="A355" t="s">
        <v>2285</v>
      </c>
      <c r="B355" s="1" t="e">
        <v>#N/A</v>
      </c>
      <c r="C355" s="1" t="e">
        <v>#N/A</v>
      </c>
      <c r="D355" s="1" t="e">
        <v>#N/A</v>
      </c>
      <c r="E355" s="1" t="s">
        <v>2439</v>
      </c>
      <c r="F355" s="2" t="s">
        <v>2300</v>
      </c>
      <c r="G355" s="1" t="s">
        <v>2304</v>
      </c>
      <c r="H355" s="2">
        <v>0</v>
      </c>
      <c r="I355" s="3" t="s">
        <v>2317</v>
      </c>
      <c r="J355" t="s">
        <v>2365</v>
      </c>
      <c r="M355" s="3" t="s">
        <v>2300</v>
      </c>
      <c r="N355" s="3" t="s">
        <v>2255</v>
      </c>
      <c r="O355" t="s">
        <v>2310</v>
      </c>
    </row>
    <row r="356" spans="1:15" x14ac:dyDescent="0.25">
      <c r="A356" t="s">
        <v>2285</v>
      </c>
      <c r="B356" s="1" t="e">
        <v>#N/A</v>
      </c>
      <c r="C356" s="1" t="e">
        <v>#N/A</v>
      </c>
      <c r="D356" s="1" t="e">
        <v>#N/A</v>
      </c>
      <c r="E356" s="1" t="s">
        <v>2439</v>
      </c>
      <c r="F356" s="2" t="s">
        <v>2300</v>
      </c>
      <c r="G356" s="1" t="s">
        <v>2304</v>
      </c>
      <c r="H356" s="2">
        <v>0</v>
      </c>
      <c r="I356" s="3" t="s">
        <v>1</v>
      </c>
      <c r="J356" t="s">
        <v>2365</v>
      </c>
      <c r="M356" s="3" t="s">
        <v>2300</v>
      </c>
      <c r="N356" s="3" t="s">
        <v>2255</v>
      </c>
      <c r="O356" t="s">
        <v>2310</v>
      </c>
    </row>
  </sheetData>
  <autoFilter ref="A1:O356" xr:uid="{D1596B1B-BE56-481F-A25B-7DD7E4F3934E}"/>
  <conditionalFormatting sqref="A1:A356">
    <cfRule type="cellIs" dxfId="760" priority="145" operator="equal">
      <formula>"Mare"</formula>
    </cfRule>
    <cfRule type="cellIs" dxfId="759" priority="146" operator="equal">
      <formula>"Axel"</formula>
    </cfRule>
    <cfRule type="cellIs" dxfId="758" priority="147" operator="equal">
      <formula>"Christian"</formula>
    </cfRule>
    <cfRule type="cellIs" dxfId="757" priority="148" operator="equal">
      <formula>"Farid"</formula>
    </cfRule>
    <cfRule type="cellIs" dxfId="756" priority="149" stopIfTrue="1" operator="equal">
      <formula>"Alex"</formula>
    </cfRule>
    <cfRule type="cellIs" dxfId="755" priority="150" operator="equal">
      <formula>"Gaby"</formula>
    </cfRule>
    <cfRule type="cellIs" dxfId="754" priority="151" operator="equal">
      <formula>"Randall"</formula>
    </cfRule>
    <cfRule type="cellIs" dxfId="753" priority="152" operator="equal">
      <formula>"Johan"</formula>
    </cfRule>
    <cfRule type="cellIs" dxfId="752" priority="153" operator="equal">
      <formula>"Eva"</formula>
    </cfRule>
    <cfRule type="cellIs" dxfId="751" priority="154" operator="equal">
      <formula>"Ronald"</formula>
    </cfRule>
  </conditionalFormatting>
  <conditionalFormatting sqref="B1:B356">
    <cfRule type="cellIs" dxfId="750" priority="133" operator="equal">
      <formula>"Mare"</formula>
    </cfRule>
    <cfRule type="cellIs" dxfId="749" priority="134" operator="equal">
      <formula>"Axel"</formula>
    </cfRule>
    <cfRule type="cellIs" dxfId="748" priority="135" operator="equal">
      <formula>"Christian"</formula>
    </cfRule>
    <cfRule type="cellIs" dxfId="747" priority="136" operator="equal">
      <formula>"Farid"</formula>
    </cfRule>
    <cfRule type="cellIs" dxfId="746" priority="137" stopIfTrue="1" operator="equal">
      <formula>"Alex"</formula>
    </cfRule>
    <cfRule type="cellIs" dxfId="745" priority="138" operator="equal">
      <formula>"Gaby"</formula>
    </cfRule>
    <cfRule type="cellIs" dxfId="744" priority="139" operator="equal">
      <formula>"Randall"</formula>
    </cfRule>
    <cfRule type="cellIs" dxfId="743" priority="140" operator="equal">
      <formula>"Johan"</formula>
    </cfRule>
    <cfRule type="cellIs" dxfId="742" priority="141" operator="equal">
      <formula>"Eva"</formula>
    </cfRule>
    <cfRule type="cellIs" dxfId="741" priority="142" operator="equal">
      <formula>"Ronald"</formula>
    </cfRule>
  </conditionalFormatting>
  <conditionalFormatting sqref="B1:B356">
    <cfRule type="cellIs" dxfId="740" priority="143" operator="equal">
      <formula>"Maria"</formula>
    </cfRule>
    <cfRule type="cellIs" dxfId="739" priority="144" operator="equal">
      <formula>"Jason"</formula>
    </cfRule>
  </conditionalFormatting>
  <conditionalFormatting sqref="B2:B356">
    <cfRule type="cellIs" dxfId="738" priority="130" operator="equal">
      <formula>"Jose"</formula>
    </cfRule>
  </conditionalFormatting>
  <conditionalFormatting sqref="B2:B356">
    <cfRule type="cellIs" dxfId="737" priority="131" operator="equal">
      <formula>"David"</formula>
    </cfRule>
    <cfRule type="cellIs" dxfId="736" priority="132" stopIfTrue="1" operator="equal">
      <formula>"Jenny"</formula>
    </cfRule>
  </conditionalFormatting>
  <conditionalFormatting sqref="B70">
    <cfRule type="containsText" dxfId="735" priority="127" operator="containsText" text="Pending Info">
      <formula>NOT(ISERROR(SEARCH("Pending Info",B70)))</formula>
    </cfRule>
  </conditionalFormatting>
  <conditionalFormatting sqref="B70">
    <cfRule type="cellIs" dxfId="734" priority="126" stopIfTrue="1" operator="equal">
      <formula>"Approved"</formula>
    </cfRule>
    <cfRule type="cellIs" dxfId="733" priority="128" operator="equal">
      <formula>"Done"</formula>
    </cfRule>
    <cfRule type="cellIs" dxfId="732" priority="129" operator="equal">
      <formula>"Pending Review"</formula>
    </cfRule>
  </conditionalFormatting>
  <conditionalFormatting sqref="C1:C356">
    <cfRule type="cellIs" dxfId="731" priority="113" operator="equal">
      <formula>"Mare"</formula>
    </cfRule>
    <cfRule type="cellIs" dxfId="730" priority="114" operator="equal">
      <formula>"Axel"</formula>
    </cfRule>
    <cfRule type="cellIs" dxfId="729" priority="115" operator="equal">
      <formula>"Christian"</formula>
    </cfRule>
    <cfRule type="cellIs" dxfId="728" priority="116" operator="equal">
      <formula>"Farid"</formula>
    </cfRule>
    <cfRule type="cellIs" dxfId="727" priority="118" stopIfTrue="1" operator="equal">
      <formula>"Alex"</formula>
    </cfRule>
    <cfRule type="cellIs" dxfId="726" priority="119" operator="equal">
      <formula>"Gaby"</formula>
    </cfRule>
    <cfRule type="cellIs" dxfId="725" priority="120" operator="equal">
      <formula>"Randall"</formula>
    </cfRule>
    <cfRule type="cellIs" dxfId="724" priority="121" operator="equal">
      <formula>"Johan"</formula>
    </cfRule>
    <cfRule type="cellIs" dxfId="723" priority="122" operator="equal">
      <formula>"Eva"</formula>
    </cfRule>
    <cfRule type="cellIs" dxfId="722" priority="123" operator="equal">
      <formula>"Ronald"</formula>
    </cfRule>
  </conditionalFormatting>
  <conditionalFormatting sqref="C1:C356">
    <cfRule type="cellIs" dxfId="721" priority="117" stopIfTrue="1" operator="equal">
      <formula>"Approved"</formula>
    </cfRule>
    <cfRule type="cellIs" dxfId="720" priority="124" operator="equal">
      <formula>"Done"</formula>
    </cfRule>
    <cfRule type="cellIs" dxfId="719" priority="125" operator="equal">
      <formula>"Pending Review"</formula>
    </cfRule>
  </conditionalFormatting>
  <conditionalFormatting sqref="C2:C356">
    <cfRule type="containsText" dxfId="718" priority="112" operator="containsText" text="Pending Info">
      <formula>NOT(ISERROR(SEARCH("Pending Info",C2)))</formula>
    </cfRule>
  </conditionalFormatting>
  <conditionalFormatting sqref="D1:D356">
    <cfRule type="cellIs" dxfId="717" priority="102" operator="equal">
      <formula>"Mare"</formula>
    </cfRule>
    <cfRule type="cellIs" dxfId="716" priority="103" operator="equal">
      <formula>"Axel"</formula>
    </cfRule>
    <cfRule type="cellIs" dxfId="715" priority="104" operator="equal">
      <formula>"Christian"</formula>
    </cfRule>
    <cfRule type="cellIs" dxfId="714" priority="105" operator="equal">
      <formula>"Farid"</formula>
    </cfRule>
    <cfRule type="cellIs" dxfId="713" priority="106" stopIfTrue="1" operator="equal">
      <formula>"Alex"</formula>
    </cfRule>
    <cfRule type="cellIs" dxfId="712" priority="107" operator="equal">
      <formula>"Gaby"</formula>
    </cfRule>
    <cfRule type="cellIs" dxfId="711" priority="108" operator="equal">
      <formula>"Randall"</formula>
    </cfRule>
    <cfRule type="cellIs" dxfId="710" priority="109" operator="equal">
      <formula>"Johan"</formula>
    </cfRule>
    <cfRule type="cellIs" dxfId="709" priority="110" operator="equal">
      <formula>"Eva"</formula>
    </cfRule>
    <cfRule type="cellIs" dxfId="708" priority="111" operator="equal">
      <formula>"Ronald"</formula>
    </cfRule>
  </conditionalFormatting>
  <conditionalFormatting sqref="E1:E356">
    <cfRule type="cellIs" dxfId="707" priority="92" operator="equal">
      <formula>"Mare"</formula>
    </cfRule>
    <cfRule type="cellIs" dxfId="706" priority="93" operator="equal">
      <formula>"Axel"</formula>
    </cfRule>
    <cfRule type="cellIs" dxfId="705" priority="94" operator="equal">
      <formula>"Christian"</formula>
    </cfRule>
    <cfRule type="cellIs" dxfId="704" priority="95" operator="equal">
      <formula>"Farid"</formula>
    </cfRule>
    <cfRule type="cellIs" dxfId="703" priority="96" stopIfTrue="1" operator="equal">
      <formula>"Alex"</formula>
    </cfRule>
    <cfRule type="cellIs" dxfId="702" priority="97" operator="equal">
      <formula>"Gaby"</formula>
    </cfRule>
    <cfRule type="cellIs" dxfId="701" priority="98" operator="equal">
      <formula>"Randall"</formula>
    </cfRule>
    <cfRule type="cellIs" dxfId="700" priority="99" operator="equal">
      <formula>"Johan"</formula>
    </cfRule>
    <cfRule type="cellIs" dxfId="699" priority="100" operator="equal">
      <formula>"Eva"</formula>
    </cfRule>
    <cfRule type="cellIs" dxfId="698" priority="101" operator="equal">
      <formula>"Ronald"</formula>
    </cfRule>
  </conditionalFormatting>
  <conditionalFormatting sqref="F1:F356">
    <cfRule type="cellIs" dxfId="697" priority="91" operator="equal">
      <formula>"YES"</formula>
    </cfRule>
  </conditionalFormatting>
  <conditionalFormatting sqref="F1:F356">
    <cfRule type="cellIs" dxfId="696" priority="90" operator="equal">
      <formula>"YES"</formula>
    </cfRule>
  </conditionalFormatting>
  <conditionalFormatting sqref="F1:F356">
    <cfRule type="cellIs" dxfId="695" priority="80" operator="equal">
      <formula>"Mare"</formula>
    </cfRule>
    <cfRule type="cellIs" dxfId="694" priority="81" operator="equal">
      <formula>"Axel"</formula>
    </cfRule>
    <cfRule type="cellIs" dxfId="693" priority="82" operator="equal">
      <formula>"Christian"</formula>
    </cfRule>
    <cfRule type="cellIs" dxfId="692" priority="83" operator="equal">
      <formula>"Farid"</formula>
    </cfRule>
    <cfRule type="cellIs" dxfId="691" priority="84" stopIfTrue="1" operator="equal">
      <formula>"Alex"</formula>
    </cfRule>
    <cfRule type="cellIs" dxfId="690" priority="85" operator="equal">
      <formula>"Gaby"</formula>
    </cfRule>
    <cfRule type="cellIs" dxfId="689" priority="86" operator="equal">
      <formula>"Randall"</formula>
    </cfRule>
    <cfRule type="cellIs" dxfId="688" priority="87" operator="equal">
      <formula>"Johan"</formula>
    </cfRule>
    <cfRule type="cellIs" dxfId="687" priority="88" operator="equal">
      <formula>"Eva"</formula>
    </cfRule>
    <cfRule type="cellIs" dxfId="686" priority="89" operator="equal">
      <formula>"Ronald"</formula>
    </cfRule>
  </conditionalFormatting>
  <conditionalFormatting sqref="G1:G356">
    <cfRule type="cellIs" dxfId="685" priority="66" operator="equal">
      <formula>"Mare"</formula>
    </cfRule>
    <cfRule type="cellIs" dxfId="684" priority="67" operator="equal">
      <formula>"Axel"</formula>
    </cfRule>
    <cfRule type="cellIs" dxfId="683" priority="68" operator="equal">
      <formula>"Christian"</formula>
    </cfRule>
    <cfRule type="cellIs" dxfId="682" priority="70" operator="equal">
      <formula>"Farid"</formula>
    </cfRule>
    <cfRule type="cellIs" dxfId="681" priority="71" stopIfTrue="1" operator="equal">
      <formula>"Alex"</formula>
    </cfRule>
    <cfRule type="cellIs" dxfId="680" priority="72" operator="equal">
      <formula>"Gaby"</formula>
    </cfRule>
    <cfRule type="cellIs" dxfId="679" priority="73" operator="equal">
      <formula>"Randall"</formula>
    </cfRule>
    <cfRule type="cellIs" dxfId="678" priority="74" operator="equal">
      <formula>"Johan"</formula>
    </cfRule>
    <cfRule type="cellIs" dxfId="677" priority="75" operator="equal">
      <formula>"Eva"</formula>
    </cfRule>
    <cfRule type="cellIs" dxfId="676" priority="76" operator="equal">
      <formula>"Ronald"</formula>
    </cfRule>
  </conditionalFormatting>
  <conditionalFormatting sqref="G1:G356">
    <cfRule type="cellIs" dxfId="675" priority="69" stopIfTrue="1" operator="equal">
      <formula>"Accessory"</formula>
    </cfRule>
    <cfRule type="cellIs" dxfId="674" priority="77" operator="equal">
      <formula>"Tachy"</formula>
    </cfRule>
    <cfRule type="cellIs" dxfId="673" priority="78" operator="equal">
      <formula>"LEADS"</formula>
    </cfRule>
    <cfRule type="cellIs" dxfId="672" priority="79" stopIfTrue="1" operator="equal">
      <formula>"Brady"</formula>
    </cfRule>
  </conditionalFormatting>
  <conditionalFormatting sqref="H1:H356">
    <cfRule type="cellIs" dxfId="671" priority="56" operator="equal">
      <formula>"Mare"</formula>
    </cfRule>
    <cfRule type="cellIs" dxfId="670" priority="57" operator="equal">
      <formula>"Axel"</formula>
    </cfRule>
    <cfRule type="cellIs" dxfId="669" priority="58" operator="equal">
      <formula>"Christian"</formula>
    </cfRule>
    <cfRule type="cellIs" dxfId="668" priority="59" operator="equal">
      <formula>"Farid"</formula>
    </cfRule>
    <cfRule type="cellIs" dxfId="667" priority="60" stopIfTrue="1" operator="equal">
      <formula>"Alex"</formula>
    </cfRule>
    <cfRule type="cellIs" dxfId="666" priority="61" operator="equal">
      <formula>"Gaby"</formula>
    </cfRule>
    <cfRule type="cellIs" dxfId="665" priority="62" operator="equal">
      <formula>"Randall"</formula>
    </cfRule>
    <cfRule type="cellIs" dxfId="664" priority="63" operator="equal">
      <formula>"Johan"</formula>
    </cfRule>
    <cfRule type="cellIs" dxfId="663" priority="64" operator="equal">
      <formula>"Eva"</formula>
    </cfRule>
    <cfRule type="cellIs" dxfId="662" priority="65" operator="equal">
      <formula>"Ronald"</formula>
    </cfRule>
  </conditionalFormatting>
  <conditionalFormatting sqref="H2:H356">
    <cfRule type="cellIs" dxfId="661" priority="54" stopIfTrue="1" operator="between">
      <formula>20</formula>
      <formula>29</formula>
    </cfRule>
    <cfRule type="cellIs" dxfId="660" priority="55" stopIfTrue="1" operator="greaterThan">
      <formula>29</formula>
    </cfRule>
  </conditionalFormatting>
  <conditionalFormatting sqref="N1:N356">
    <cfRule type="cellIs" dxfId="659" priority="42" operator="equal">
      <formula>"Mare"</formula>
    </cfRule>
    <cfRule type="cellIs" dxfId="658" priority="43" operator="equal">
      <formula>"Axel"</formula>
    </cfRule>
    <cfRule type="cellIs" dxfId="657" priority="44" operator="equal">
      <formula>"Christian"</formula>
    </cfRule>
    <cfRule type="cellIs" dxfId="656" priority="45" operator="equal">
      <formula>"Farid"</formula>
    </cfRule>
    <cfRule type="cellIs" dxfId="655" priority="46" stopIfTrue="1" operator="equal">
      <formula>"Alex"</formula>
    </cfRule>
    <cfRule type="cellIs" dxfId="654" priority="47" operator="equal">
      <formula>"Gaby"</formula>
    </cfRule>
    <cfRule type="cellIs" dxfId="653" priority="48" operator="equal">
      <formula>"Randall"</formula>
    </cfRule>
    <cfRule type="cellIs" dxfId="652" priority="49" operator="equal">
      <formula>"Johan"</formula>
    </cfRule>
    <cfRule type="cellIs" dxfId="651" priority="50" operator="equal">
      <formula>"Eva"</formula>
    </cfRule>
    <cfRule type="cellIs" dxfId="650" priority="51" operator="equal">
      <formula>"Ronald"</formula>
    </cfRule>
  </conditionalFormatting>
  <conditionalFormatting sqref="N1:N356">
    <cfRule type="cellIs" dxfId="649" priority="52" operator="equal">
      <formula>"Insignia, Nexus"</formula>
    </cfRule>
    <cfRule type="cellIs" dxfId="648" priority="53" operator="equal">
      <formula>"Altrua"</formula>
    </cfRule>
  </conditionalFormatting>
  <conditionalFormatting sqref="N2:N356">
    <cfRule type="cellIs" dxfId="647" priority="41" operator="equal">
      <formula>"Subcutaneous ICD"</formula>
    </cfRule>
  </conditionalFormatting>
  <conditionalFormatting sqref="O1:O356">
    <cfRule type="cellIs" dxfId="646" priority="31" operator="equal">
      <formula>"Mare"</formula>
    </cfRule>
    <cfRule type="cellIs" dxfId="645" priority="32" operator="equal">
      <formula>"Axel"</formula>
    </cfRule>
    <cfRule type="cellIs" dxfId="644" priority="33" operator="equal">
      <formula>"Christian"</formula>
    </cfRule>
    <cfRule type="cellIs" dxfId="643" priority="34" operator="equal">
      <formula>"Farid"</formula>
    </cfRule>
    <cfRule type="cellIs" dxfId="642" priority="35" stopIfTrue="1" operator="equal">
      <formula>"Alex"</formula>
    </cfRule>
    <cfRule type="cellIs" dxfId="641" priority="36" operator="equal">
      <formula>"Gaby"</formula>
    </cfRule>
    <cfRule type="cellIs" dxfId="640" priority="37" operator="equal">
      <formula>"Randall"</formula>
    </cfRule>
    <cfRule type="cellIs" dxfId="639" priority="38" operator="equal">
      <formula>"Johan"</formula>
    </cfRule>
    <cfRule type="cellIs" dxfId="638" priority="39" operator="equal">
      <formula>"Eva"</formula>
    </cfRule>
    <cfRule type="cellIs" dxfId="637" priority="40" operator="equal">
      <formula>"Ronald"</formula>
    </cfRule>
  </conditionalFormatting>
  <conditionalFormatting sqref="I1:I356">
    <cfRule type="cellIs" dxfId="636" priority="21" operator="equal">
      <formula>"Mare"</formula>
    </cfRule>
    <cfRule type="cellIs" dxfId="635" priority="22" operator="equal">
      <formula>"Axel"</formula>
    </cfRule>
    <cfRule type="cellIs" dxfId="634" priority="23" operator="equal">
      <formula>"Christian"</formula>
    </cfRule>
    <cfRule type="cellIs" dxfId="633" priority="24" operator="equal">
      <formula>"Farid"</formula>
    </cfRule>
    <cfRule type="cellIs" dxfId="632" priority="25" stopIfTrue="1" operator="equal">
      <formula>"Alex"</formula>
    </cfRule>
    <cfRule type="cellIs" dxfId="631" priority="26" operator="equal">
      <formula>"Gaby"</formula>
    </cfRule>
    <cfRule type="cellIs" dxfId="630" priority="27" operator="equal">
      <formula>"Randall"</formula>
    </cfRule>
    <cfRule type="cellIs" dxfId="629" priority="28" operator="equal">
      <formula>"Johan"</formula>
    </cfRule>
    <cfRule type="cellIs" dxfId="628" priority="29" operator="equal">
      <formula>"Eva"</formula>
    </cfRule>
    <cfRule type="cellIs" dxfId="627" priority="30" operator="equal">
      <formula>"Ronald"</formula>
    </cfRule>
  </conditionalFormatting>
  <conditionalFormatting sqref="M1:M356">
    <cfRule type="cellIs" dxfId="626" priority="11" operator="equal">
      <formula>"Mare"</formula>
    </cfRule>
    <cfRule type="cellIs" dxfId="625" priority="12" operator="equal">
      <formula>"Axel"</formula>
    </cfRule>
    <cfRule type="cellIs" dxfId="624" priority="13" operator="equal">
      <formula>"Christian"</formula>
    </cfRule>
    <cfRule type="cellIs" dxfId="623" priority="14" operator="equal">
      <formula>"Farid"</formula>
    </cfRule>
    <cfRule type="cellIs" dxfId="622" priority="15" stopIfTrue="1" operator="equal">
      <formula>"Alex"</formula>
    </cfRule>
    <cfRule type="cellIs" dxfId="621" priority="16" operator="equal">
      <formula>"Gaby"</formula>
    </cfRule>
    <cfRule type="cellIs" dxfId="620" priority="17" operator="equal">
      <formula>"Randall"</formula>
    </cfRule>
    <cfRule type="cellIs" dxfId="619" priority="18" operator="equal">
      <formula>"Johan"</formula>
    </cfRule>
    <cfRule type="cellIs" dxfId="618" priority="19" operator="equal">
      <formula>"Eva"</formula>
    </cfRule>
    <cfRule type="cellIs" dxfId="617" priority="20" operator="equal">
      <formula>"Ronald"</formula>
    </cfRule>
  </conditionalFormatting>
  <conditionalFormatting sqref="L1">
    <cfRule type="cellIs" dxfId="616" priority="1" operator="equal">
      <formula>"Mare"</formula>
    </cfRule>
    <cfRule type="cellIs" dxfId="615" priority="2" operator="equal">
      <formula>"Axel"</formula>
    </cfRule>
    <cfRule type="cellIs" dxfId="614" priority="3" operator="equal">
      <formula>"Christian"</formula>
    </cfRule>
    <cfRule type="cellIs" dxfId="613" priority="4" operator="equal">
      <formula>"Farid"</formula>
    </cfRule>
    <cfRule type="cellIs" dxfId="612" priority="5" stopIfTrue="1" operator="equal">
      <formula>"Alex"</formula>
    </cfRule>
    <cfRule type="cellIs" dxfId="611" priority="6" operator="equal">
      <formula>"Gaby"</formula>
    </cfRule>
    <cfRule type="cellIs" dxfId="610" priority="7" operator="equal">
      <formula>"Randall"</formula>
    </cfRule>
    <cfRule type="cellIs" dxfId="609" priority="8" operator="equal">
      <formula>"Johan"</formula>
    </cfRule>
    <cfRule type="cellIs" dxfId="608" priority="9" operator="equal">
      <formula>"Eva"</formula>
    </cfRule>
    <cfRule type="cellIs" dxfId="607" priority="10" operator="equal">
      <formula>"Ronald"</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CE4E7-D02E-4271-8F3E-FCA1C107AA27}">
  <sheetPr codeName="Sheet6"/>
  <dimension ref="A1:O391"/>
  <sheetViews>
    <sheetView workbookViewId="0">
      <selection activeCell="L1" sqref="L1"/>
    </sheetView>
  </sheetViews>
  <sheetFormatPr defaultRowHeight="15" x14ac:dyDescent="0.25"/>
  <sheetData>
    <row r="1" spans="1:15" ht="15.75" thickBot="1" x14ac:dyDescent="0.3">
      <c r="A1" s="22" t="s">
        <v>2282</v>
      </c>
      <c r="B1" s="23" t="s">
        <v>2287</v>
      </c>
      <c r="C1" s="22" t="s">
        <v>2290</v>
      </c>
      <c r="D1" s="23" t="s">
        <v>2296</v>
      </c>
      <c r="E1" s="23" t="s">
        <v>0</v>
      </c>
      <c r="F1" s="24" t="s">
        <v>2299</v>
      </c>
      <c r="G1" s="25" t="s">
        <v>2302</v>
      </c>
      <c r="H1" s="26" t="s">
        <v>2306</v>
      </c>
      <c r="I1" s="27" t="s">
        <v>2311</v>
      </c>
      <c r="J1" t="s">
        <v>2364</v>
      </c>
      <c r="K1" cm="1">
        <f t="array" aca="1" ref="K1" ca="1">SUMPRODUCT(SUBTOTAL(3,OFFSET(J2,ROW(J2:J10000)-ROW(J2),0)),(J2:J10000="CRM")+0)</f>
        <v>390</v>
      </c>
      <c r="L1" s="1" t="s">
        <v>2448</v>
      </c>
      <c r="M1" s="29" t="s">
        <v>2366</v>
      </c>
      <c r="N1" s="27" t="s">
        <v>2307</v>
      </c>
      <c r="O1" s="28" t="s">
        <v>2309</v>
      </c>
    </row>
    <row r="2" spans="1:15" x14ac:dyDescent="0.25">
      <c r="A2" t="s">
        <v>2284</v>
      </c>
      <c r="B2" s="1" t="e">
        <v>#N/A</v>
      </c>
      <c r="C2" s="1" t="e">
        <v>#N/A</v>
      </c>
      <c r="D2" s="1" t="e">
        <v>#N/A</v>
      </c>
      <c r="E2" s="1" t="s">
        <v>2298</v>
      </c>
      <c r="F2" s="2" t="s">
        <v>2300</v>
      </c>
      <c r="G2" s="1" t="s">
        <v>2303</v>
      </c>
      <c r="H2" s="2">
        <v>163</v>
      </c>
      <c r="I2" s="3" t="s">
        <v>2312</v>
      </c>
      <c r="J2" t="s">
        <v>2365</v>
      </c>
      <c r="M2" s="3" t="s">
        <v>2300</v>
      </c>
      <c r="N2" s="3" t="s">
        <v>2256</v>
      </c>
      <c r="O2" t="s">
        <v>2310</v>
      </c>
    </row>
    <row r="3" spans="1:15" x14ac:dyDescent="0.25">
      <c r="A3" t="s">
        <v>2283</v>
      </c>
      <c r="B3" s="1" t="e">
        <v>#N/A</v>
      </c>
      <c r="C3" s="1" t="e">
        <v>#N/A</v>
      </c>
      <c r="D3" s="1" t="e">
        <v>#N/A</v>
      </c>
      <c r="E3" s="1" t="s">
        <v>2298</v>
      </c>
      <c r="F3" s="2" t="s">
        <v>2300</v>
      </c>
      <c r="G3" s="1" t="s">
        <v>2304</v>
      </c>
      <c r="H3" s="2">
        <v>100</v>
      </c>
      <c r="I3" s="3" t="s">
        <v>2317</v>
      </c>
      <c r="J3" t="s">
        <v>2365</v>
      </c>
      <c r="M3" s="3" t="s">
        <v>2300</v>
      </c>
      <c r="N3" s="3" t="s">
        <v>2255</v>
      </c>
      <c r="O3" t="s">
        <v>2310</v>
      </c>
    </row>
    <row r="4" spans="1:15" x14ac:dyDescent="0.25">
      <c r="A4" t="s">
        <v>2283</v>
      </c>
      <c r="B4" s="1" t="e">
        <v>#N/A</v>
      </c>
      <c r="C4" s="1" t="e">
        <v>#N/A</v>
      </c>
      <c r="D4" s="1" t="e">
        <v>#N/A</v>
      </c>
      <c r="E4" s="1" t="s">
        <v>2298</v>
      </c>
      <c r="F4" s="2" t="s">
        <v>2300</v>
      </c>
      <c r="G4" s="1" t="s">
        <v>2304</v>
      </c>
      <c r="H4" s="2">
        <v>91</v>
      </c>
      <c r="I4" s="3" t="s">
        <v>2333</v>
      </c>
      <c r="J4" t="s">
        <v>2365</v>
      </c>
      <c r="M4" s="3" t="s">
        <v>2300</v>
      </c>
      <c r="N4" s="3" t="s">
        <v>2255</v>
      </c>
      <c r="O4" t="s">
        <v>2310</v>
      </c>
    </row>
    <row r="5" spans="1:15" x14ac:dyDescent="0.25">
      <c r="A5" t="s">
        <v>2284</v>
      </c>
      <c r="B5" s="1" t="e">
        <v>#N/A</v>
      </c>
      <c r="C5" s="1" t="e">
        <v>#N/A</v>
      </c>
      <c r="D5" s="1" t="e">
        <v>#N/A</v>
      </c>
      <c r="E5" s="1" t="s">
        <v>2298</v>
      </c>
      <c r="F5" s="2" t="s">
        <v>2300</v>
      </c>
      <c r="G5" s="1" t="s">
        <v>2304</v>
      </c>
      <c r="H5" s="2">
        <v>85</v>
      </c>
      <c r="I5" s="3" t="s">
        <v>2317</v>
      </c>
      <c r="J5" t="s">
        <v>2365</v>
      </c>
      <c r="M5" s="3" t="s">
        <v>2300</v>
      </c>
      <c r="N5" s="3" t="s">
        <v>2255</v>
      </c>
      <c r="O5" t="s">
        <v>2310</v>
      </c>
    </row>
    <row r="6" spans="1:15" x14ac:dyDescent="0.25">
      <c r="A6" t="s">
        <v>2283</v>
      </c>
      <c r="B6" s="1" t="e">
        <v>#N/A</v>
      </c>
      <c r="C6" s="1" t="e">
        <v>#N/A</v>
      </c>
      <c r="D6" s="1" t="e">
        <v>#N/A</v>
      </c>
      <c r="E6" s="1" t="s">
        <v>2298</v>
      </c>
      <c r="F6" s="2" t="s">
        <v>2300</v>
      </c>
      <c r="G6" s="1" t="s">
        <v>2304</v>
      </c>
      <c r="H6" s="2">
        <v>79</v>
      </c>
      <c r="I6" s="3" t="s">
        <v>2449</v>
      </c>
      <c r="J6" t="s">
        <v>2365</v>
      </c>
      <c r="M6" s="3" t="s">
        <v>2300</v>
      </c>
      <c r="N6" s="3" t="s">
        <v>2255</v>
      </c>
      <c r="O6" t="s">
        <v>2310</v>
      </c>
    </row>
    <row r="7" spans="1:15" x14ac:dyDescent="0.25">
      <c r="A7" t="s">
        <v>2285</v>
      </c>
      <c r="B7" s="1" t="e">
        <v>#N/A</v>
      </c>
      <c r="C7" s="1" t="e">
        <v>#N/A</v>
      </c>
      <c r="D7" s="1" t="e">
        <v>#N/A</v>
      </c>
      <c r="E7" s="1" t="s">
        <v>2298</v>
      </c>
      <c r="F7" s="2" t="s">
        <v>2300</v>
      </c>
      <c r="G7" s="1" t="s">
        <v>2304</v>
      </c>
      <c r="H7" s="2">
        <v>48</v>
      </c>
      <c r="I7" s="3" t="s">
        <v>2405</v>
      </c>
      <c r="J7" t="s">
        <v>2365</v>
      </c>
      <c r="M7" s="3" t="s">
        <v>2300</v>
      </c>
      <c r="N7" s="3" t="s">
        <v>2255</v>
      </c>
      <c r="O7" t="s">
        <v>2310</v>
      </c>
    </row>
    <row r="8" spans="1:15" x14ac:dyDescent="0.25">
      <c r="A8" t="s">
        <v>2285</v>
      </c>
      <c r="B8" s="1" t="e">
        <v>#N/A</v>
      </c>
      <c r="C8" s="1" t="e">
        <v>#N/A</v>
      </c>
      <c r="D8" s="1" t="e">
        <v>#N/A</v>
      </c>
      <c r="E8" s="1" t="s">
        <v>2298</v>
      </c>
      <c r="F8" s="2" t="s">
        <v>2300</v>
      </c>
      <c r="G8" s="1" t="s">
        <v>2305</v>
      </c>
      <c r="H8" s="2">
        <v>44</v>
      </c>
      <c r="I8" s="3" t="s">
        <v>2320</v>
      </c>
      <c r="J8" t="s">
        <v>2365</v>
      </c>
      <c r="M8" s="3" t="s">
        <v>2300</v>
      </c>
      <c r="N8" s="3" t="s">
        <v>2258</v>
      </c>
      <c r="O8" t="s">
        <v>2310</v>
      </c>
    </row>
    <row r="9" spans="1:15" x14ac:dyDescent="0.25">
      <c r="A9" t="s">
        <v>2285</v>
      </c>
      <c r="B9" s="1" t="e">
        <v>#N/A</v>
      </c>
      <c r="C9" s="1" t="e">
        <v>#N/A</v>
      </c>
      <c r="D9" s="1" t="e">
        <v>#N/A</v>
      </c>
      <c r="E9" s="1" t="s">
        <v>2448</v>
      </c>
      <c r="F9" s="2" t="s">
        <v>2301</v>
      </c>
      <c r="G9" s="1" t="s">
        <v>2305</v>
      </c>
      <c r="H9" s="2">
        <v>42</v>
      </c>
      <c r="I9" s="3" t="s">
        <v>2322</v>
      </c>
      <c r="J9" t="s">
        <v>2365</v>
      </c>
      <c r="M9" s="3" t="s">
        <v>2300</v>
      </c>
      <c r="N9" s="3" t="s">
        <v>2257</v>
      </c>
      <c r="O9" t="s">
        <v>2310</v>
      </c>
    </row>
    <row r="10" spans="1:15" x14ac:dyDescent="0.25">
      <c r="A10" t="s">
        <v>2285</v>
      </c>
      <c r="B10" s="1" t="e">
        <v>#N/A</v>
      </c>
      <c r="C10" s="1" t="e">
        <v>#N/A</v>
      </c>
      <c r="D10" s="1" t="e">
        <v>#N/A</v>
      </c>
      <c r="E10" s="1" t="s">
        <v>2448</v>
      </c>
      <c r="F10" s="2" t="s">
        <v>2301</v>
      </c>
      <c r="G10" s="1" t="s">
        <v>2305</v>
      </c>
      <c r="H10" s="2">
        <v>41</v>
      </c>
      <c r="I10" s="3" t="s">
        <v>2324</v>
      </c>
      <c r="J10" t="s">
        <v>2365</v>
      </c>
      <c r="M10" s="3" t="s">
        <v>2300</v>
      </c>
      <c r="N10" s="3" t="s">
        <v>2258</v>
      </c>
      <c r="O10" t="s">
        <v>2310</v>
      </c>
    </row>
    <row r="11" spans="1:15" x14ac:dyDescent="0.25">
      <c r="A11" t="s">
        <v>2285</v>
      </c>
      <c r="B11" s="1" t="e">
        <v>#N/A</v>
      </c>
      <c r="C11" s="1" t="e">
        <v>#N/A</v>
      </c>
      <c r="D11" s="1" t="e">
        <v>#N/A</v>
      </c>
      <c r="E11" s="1" t="s">
        <v>2298</v>
      </c>
      <c r="F11" s="2" t="s">
        <v>2300</v>
      </c>
      <c r="G11" s="1" t="s">
        <v>2305</v>
      </c>
      <c r="H11" s="2">
        <v>38</v>
      </c>
      <c r="I11" s="3" t="s">
        <v>2325</v>
      </c>
      <c r="J11" t="s">
        <v>2365</v>
      </c>
      <c r="M11" s="3" t="s">
        <v>2300</v>
      </c>
      <c r="N11" s="3" t="s">
        <v>2257</v>
      </c>
      <c r="O11" t="s">
        <v>2310</v>
      </c>
    </row>
    <row r="12" spans="1:15" x14ac:dyDescent="0.25">
      <c r="A12" t="s">
        <v>2285</v>
      </c>
      <c r="B12" s="1" t="e">
        <v>#N/A</v>
      </c>
      <c r="C12" s="1" t="e">
        <v>#N/A</v>
      </c>
      <c r="D12" s="1" t="e">
        <v>#N/A</v>
      </c>
      <c r="E12" s="1" t="s">
        <v>2448</v>
      </c>
      <c r="F12" s="2" t="s">
        <v>2301</v>
      </c>
      <c r="G12" s="1" t="s">
        <v>2305</v>
      </c>
      <c r="H12" s="2">
        <v>36</v>
      </c>
      <c r="I12" s="3" t="s">
        <v>2327</v>
      </c>
      <c r="J12" t="s">
        <v>2365</v>
      </c>
      <c r="M12" s="3" t="s">
        <v>2300</v>
      </c>
      <c r="N12" s="3" t="s">
        <v>2258</v>
      </c>
      <c r="O12" t="s">
        <v>2310</v>
      </c>
    </row>
    <row r="13" spans="1:15" x14ac:dyDescent="0.25">
      <c r="A13" t="s">
        <v>2285</v>
      </c>
      <c r="B13" s="1" t="e">
        <v>#N/A</v>
      </c>
      <c r="C13" s="1" t="e">
        <v>#N/A</v>
      </c>
      <c r="D13" s="1" t="e">
        <v>#N/A</v>
      </c>
      <c r="E13" s="1" t="s">
        <v>2448</v>
      </c>
      <c r="F13" s="2" t="s">
        <v>2301</v>
      </c>
      <c r="G13" s="1" t="s">
        <v>2305</v>
      </c>
      <c r="H13" s="2">
        <v>36</v>
      </c>
      <c r="I13" s="3" t="s">
        <v>2327</v>
      </c>
      <c r="J13" t="s">
        <v>2365</v>
      </c>
      <c r="M13" s="3" t="s">
        <v>2300</v>
      </c>
      <c r="N13" s="3" t="s">
        <v>2258</v>
      </c>
      <c r="O13" t="s">
        <v>2310</v>
      </c>
    </row>
    <row r="14" spans="1:15" x14ac:dyDescent="0.25">
      <c r="A14" t="s">
        <v>2285</v>
      </c>
      <c r="B14" s="1" t="e">
        <v>#N/A</v>
      </c>
      <c r="C14" s="1" t="e">
        <v>#N/A</v>
      </c>
      <c r="D14" s="1" t="e">
        <v>#N/A</v>
      </c>
      <c r="E14" s="1" t="s">
        <v>2448</v>
      </c>
      <c r="F14" s="2" t="s">
        <v>2301</v>
      </c>
      <c r="G14" s="1" t="s">
        <v>2305</v>
      </c>
      <c r="H14" s="2">
        <v>35</v>
      </c>
      <c r="I14" s="3" t="s">
        <v>1</v>
      </c>
      <c r="J14" t="s">
        <v>2365</v>
      </c>
      <c r="M14" s="3" t="s">
        <v>2300</v>
      </c>
      <c r="N14" s="3" t="s">
        <v>2258</v>
      </c>
      <c r="O14" t="s">
        <v>2310</v>
      </c>
    </row>
    <row r="15" spans="1:15" x14ac:dyDescent="0.25">
      <c r="A15" t="s">
        <v>2285</v>
      </c>
      <c r="B15" s="1" t="e">
        <v>#N/A</v>
      </c>
      <c r="C15" s="1" t="e">
        <v>#N/A</v>
      </c>
      <c r="D15" s="1" t="e">
        <v>#N/A</v>
      </c>
      <c r="E15" s="1" t="s">
        <v>2448</v>
      </c>
      <c r="F15" s="2" t="s">
        <v>2301</v>
      </c>
      <c r="G15" s="1" t="s">
        <v>2305</v>
      </c>
      <c r="H15" s="2">
        <v>30</v>
      </c>
      <c r="I15" s="3" t="s">
        <v>2315</v>
      </c>
      <c r="J15" t="s">
        <v>2365</v>
      </c>
      <c r="M15" s="3" t="s">
        <v>2300</v>
      </c>
      <c r="N15" s="3" t="s">
        <v>2257</v>
      </c>
      <c r="O15" t="s">
        <v>2310</v>
      </c>
    </row>
    <row r="16" spans="1:15" x14ac:dyDescent="0.25">
      <c r="A16" t="s">
        <v>2285</v>
      </c>
      <c r="B16" s="1" t="e">
        <v>#N/A</v>
      </c>
      <c r="C16" s="1" t="e">
        <v>#N/A</v>
      </c>
      <c r="D16" s="1" t="e">
        <v>#N/A</v>
      </c>
      <c r="E16" s="1" t="s">
        <v>2448</v>
      </c>
      <c r="F16" s="2" t="s">
        <v>2301</v>
      </c>
      <c r="G16" s="1" t="s">
        <v>2305</v>
      </c>
      <c r="H16" s="2">
        <v>30</v>
      </c>
      <c r="I16" s="3" t="s">
        <v>2335</v>
      </c>
      <c r="J16" t="s">
        <v>2365</v>
      </c>
      <c r="M16" s="3" t="s">
        <v>2301</v>
      </c>
      <c r="N16" s="3" t="s">
        <v>2258</v>
      </c>
      <c r="O16" t="s">
        <v>2310</v>
      </c>
    </row>
    <row r="17" spans="1:15" x14ac:dyDescent="0.25">
      <c r="A17" t="s">
        <v>2285</v>
      </c>
      <c r="B17" s="1" t="e">
        <v>#N/A</v>
      </c>
      <c r="C17" s="1" t="e">
        <v>#N/A</v>
      </c>
      <c r="D17" s="1" t="e">
        <v>#N/A</v>
      </c>
      <c r="E17" s="1" t="s">
        <v>2298</v>
      </c>
      <c r="F17" s="2" t="s">
        <v>2300</v>
      </c>
      <c r="G17" s="1" t="s">
        <v>2304</v>
      </c>
      <c r="H17" s="2">
        <v>29</v>
      </c>
      <c r="I17" s="3" t="s">
        <v>2336</v>
      </c>
      <c r="J17" t="s">
        <v>2365</v>
      </c>
      <c r="M17" s="3" t="s">
        <v>2300</v>
      </c>
      <c r="N17" s="3" t="s">
        <v>2255</v>
      </c>
      <c r="O17" t="s">
        <v>2310</v>
      </c>
    </row>
    <row r="18" spans="1:15" x14ac:dyDescent="0.25">
      <c r="A18" t="s">
        <v>2285</v>
      </c>
      <c r="B18" s="1" t="e">
        <v>#N/A</v>
      </c>
      <c r="C18" s="1" t="e">
        <v>#N/A</v>
      </c>
      <c r="D18" s="1" t="e">
        <v>#N/A</v>
      </c>
      <c r="E18" s="1" t="s">
        <v>2448</v>
      </c>
      <c r="F18" s="2" t="s">
        <v>2301</v>
      </c>
      <c r="G18" s="1" t="s">
        <v>2305</v>
      </c>
      <c r="H18" s="2">
        <v>29</v>
      </c>
      <c r="I18" s="3" t="s">
        <v>2321</v>
      </c>
      <c r="J18" t="s">
        <v>2365</v>
      </c>
      <c r="M18" s="3" t="s">
        <v>2300</v>
      </c>
      <c r="N18" s="3" t="s">
        <v>2258</v>
      </c>
      <c r="O18" t="s">
        <v>2310</v>
      </c>
    </row>
    <row r="19" spans="1:15" x14ac:dyDescent="0.25">
      <c r="A19" t="s">
        <v>2283</v>
      </c>
      <c r="B19" s="1" t="s">
        <v>2288</v>
      </c>
      <c r="C19" s="1" t="s">
        <v>2291</v>
      </c>
      <c r="D19" s="1" t="e">
        <v>#N/A</v>
      </c>
      <c r="E19" s="1" t="s">
        <v>2298</v>
      </c>
      <c r="F19" s="2" t="s">
        <v>2300</v>
      </c>
      <c r="G19" s="1" t="s">
        <v>2304</v>
      </c>
      <c r="H19" s="2">
        <v>28</v>
      </c>
      <c r="I19" s="3" t="s">
        <v>2340</v>
      </c>
      <c r="J19" t="s">
        <v>2365</v>
      </c>
      <c r="M19" s="3" t="s">
        <v>2300</v>
      </c>
      <c r="N19" s="3" t="s">
        <v>2255</v>
      </c>
      <c r="O19" t="s">
        <v>2310</v>
      </c>
    </row>
    <row r="20" spans="1:15" x14ac:dyDescent="0.25">
      <c r="A20" t="s">
        <v>2284</v>
      </c>
      <c r="B20" s="1" t="e">
        <v>#N/A</v>
      </c>
      <c r="C20" s="1" t="e">
        <v>#N/A</v>
      </c>
      <c r="D20" s="1" t="e">
        <v>#N/A</v>
      </c>
      <c r="E20" s="1" t="s">
        <v>2298</v>
      </c>
      <c r="F20" s="2" t="s">
        <v>2300</v>
      </c>
      <c r="G20" s="1" t="s">
        <v>2303</v>
      </c>
      <c r="H20" s="2">
        <v>28</v>
      </c>
      <c r="I20" s="3" t="s">
        <v>2450</v>
      </c>
      <c r="J20" t="s">
        <v>2365</v>
      </c>
      <c r="M20" s="3" t="s">
        <v>2300</v>
      </c>
      <c r="N20" s="3" t="s">
        <v>2256</v>
      </c>
      <c r="O20" t="s">
        <v>2310</v>
      </c>
    </row>
    <row r="21" spans="1:15" x14ac:dyDescent="0.25">
      <c r="A21" t="s">
        <v>2284</v>
      </c>
      <c r="B21" s="1" t="e">
        <v>#N/A</v>
      </c>
      <c r="C21" s="1" t="e">
        <v>#N/A</v>
      </c>
      <c r="D21" s="1" t="e">
        <v>#N/A</v>
      </c>
      <c r="E21" s="1" t="s">
        <v>2298</v>
      </c>
      <c r="F21" s="2" t="s">
        <v>2300</v>
      </c>
      <c r="G21" s="1" t="s">
        <v>2303</v>
      </c>
      <c r="H21" s="2">
        <v>27</v>
      </c>
      <c r="I21" s="3" t="s">
        <v>2342</v>
      </c>
      <c r="J21" t="s">
        <v>2365</v>
      </c>
      <c r="M21" s="3" t="s">
        <v>2300</v>
      </c>
      <c r="N21" s="3" t="s">
        <v>2256</v>
      </c>
      <c r="O21" t="s">
        <v>2310</v>
      </c>
    </row>
    <row r="22" spans="1:15" x14ac:dyDescent="0.25">
      <c r="A22" t="s">
        <v>2286</v>
      </c>
      <c r="B22" s="1" t="e">
        <v>#N/A</v>
      </c>
      <c r="C22" s="1" t="e">
        <v>#N/A</v>
      </c>
      <c r="D22" s="1" t="e">
        <v>#N/A</v>
      </c>
      <c r="E22" s="1" t="s">
        <v>2298</v>
      </c>
      <c r="F22" s="2" t="s">
        <v>2300</v>
      </c>
      <c r="G22" s="1" t="s">
        <v>2304</v>
      </c>
      <c r="H22" s="2">
        <v>24</v>
      </c>
      <c r="I22" s="3" t="s">
        <v>2344</v>
      </c>
      <c r="J22" t="s">
        <v>2365</v>
      </c>
      <c r="M22" s="3" t="s">
        <v>2300</v>
      </c>
      <c r="N22" s="3" t="s">
        <v>2255</v>
      </c>
      <c r="O22" t="s">
        <v>2310</v>
      </c>
    </row>
    <row r="23" spans="1:15" x14ac:dyDescent="0.25">
      <c r="A23" t="s">
        <v>2286</v>
      </c>
      <c r="B23" s="1" t="e">
        <v>#N/A</v>
      </c>
      <c r="C23" s="1" t="e">
        <v>#N/A</v>
      </c>
      <c r="D23" s="1" t="e">
        <v>#N/A</v>
      </c>
      <c r="E23" s="1" t="s">
        <v>2298</v>
      </c>
      <c r="F23" s="2" t="s">
        <v>2300</v>
      </c>
      <c r="G23" s="1" t="s">
        <v>2304</v>
      </c>
      <c r="H23" s="2">
        <v>24</v>
      </c>
      <c r="I23" s="3" t="s">
        <v>2343</v>
      </c>
      <c r="J23" t="s">
        <v>2365</v>
      </c>
      <c r="M23" s="3" t="s">
        <v>2300</v>
      </c>
      <c r="N23" s="3" t="s">
        <v>2255</v>
      </c>
      <c r="O23" t="s">
        <v>2310</v>
      </c>
    </row>
    <row r="24" spans="1:15" x14ac:dyDescent="0.25">
      <c r="A24" t="s">
        <v>2284</v>
      </c>
      <c r="B24" s="1" t="e">
        <v>#N/A</v>
      </c>
      <c r="C24" s="1" t="e">
        <v>#N/A</v>
      </c>
      <c r="D24" s="1" t="e">
        <v>#N/A</v>
      </c>
      <c r="E24" s="1" t="s">
        <v>2298</v>
      </c>
      <c r="F24" s="2" t="s">
        <v>2300</v>
      </c>
      <c r="G24" s="1" t="s">
        <v>2303</v>
      </c>
      <c r="H24" s="2">
        <v>24</v>
      </c>
      <c r="I24" s="3" t="s">
        <v>2345</v>
      </c>
      <c r="J24" t="s">
        <v>2365</v>
      </c>
      <c r="M24" s="3" t="s">
        <v>2301</v>
      </c>
      <c r="N24" s="3" t="s">
        <v>2256</v>
      </c>
      <c r="O24" t="s">
        <v>2310</v>
      </c>
    </row>
    <row r="25" spans="1:15" x14ac:dyDescent="0.25">
      <c r="A25" t="s">
        <v>2285</v>
      </c>
      <c r="B25" s="1" t="e">
        <v>#N/A</v>
      </c>
      <c r="C25" s="1" t="e">
        <v>#N/A</v>
      </c>
      <c r="D25" s="1" t="e">
        <v>#N/A</v>
      </c>
      <c r="E25" s="1" t="s">
        <v>2298</v>
      </c>
      <c r="F25" s="2" t="s">
        <v>2300</v>
      </c>
      <c r="G25" s="1" t="s">
        <v>2303</v>
      </c>
      <c r="H25" s="2">
        <v>23</v>
      </c>
      <c r="I25" s="3" t="s">
        <v>2350</v>
      </c>
      <c r="J25" t="s">
        <v>2365</v>
      </c>
      <c r="M25" s="3" t="s">
        <v>2300</v>
      </c>
      <c r="N25" s="3" t="s">
        <v>2256</v>
      </c>
      <c r="O25" t="s">
        <v>2310</v>
      </c>
    </row>
    <row r="26" spans="1:15" x14ac:dyDescent="0.25">
      <c r="A26" t="s">
        <v>2285</v>
      </c>
      <c r="B26" s="1" t="e">
        <v>#N/A</v>
      </c>
      <c r="C26" s="1" t="e">
        <v>#N/A</v>
      </c>
      <c r="D26" s="1" t="e">
        <v>#N/A</v>
      </c>
      <c r="E26" s="1" t="s">
        <v>2298</v>
      </c>
      <c r="F26" s="2" t="s">
        <v>2300</v>
      </c>
      <c r="G26" s="1" t="s">
        <v>2303</v>
      </c>
      <c r="H26" s="2">
        <v>23</v>
      </c>
      <c r="I26" s="3" t="s">
        <v>60</v>
      </c>
      <c r="J26" t="s">
        <v>2365</v>
      </c>
      <c r="M26" s="3" t="s">
        <v>2300</v>
      </c>
      <c r="N26" s="3" t="s">
        <v>2256</v>
      </c>
      <c r="O26" t="s">
        <v>2310</v>
      </c>
    </row>
    <row r="27" spans="1:15" x14ac:dyDescent="0.25">
      <c r="A27" t="s">
        <v>2284</v>
      </c>
      <c r="B27" s="1" t="e">
        <v>#N/A</v>
      </c>
      <c r="C27" s="1" t="e">
        <v>#N/A</v>
      </c>
      <c r="D27" s="1" t="e">
        <v>#N/A</v>
      </c>
      <c r="E27" s="1" t="s">
        <v>2298</v>
      </c>
      <c r="F27" s="2" t="s">
        <v>2300</v>
      </c>
      <c r="G27" s="1" t="s">
        <v>2303</v>
      </c>
      <c r="H27" s="2">
        <v>23</v>
      </c>
      <c r="I27" s="3" t="s">
        <v>2352</v>
      </c>
      <c r="J27" t="s">
        <v>2365</v>
      </c>
      <c r="M27" s="3" t="s">
        <v>2300</v>
      </c>
      <c r="N27" s="3" t="s">
        <v>2256</v>
      </c>
      <c r="O27" t="s">
        <v>2310</v>
      </c>
    </row>
    <row r="28" spans="1:15" x14ac:dyDescent="0.25">
      <c r="A28" t="s">
        <v>2285</v>
      </c>
      <c r="B28" s="1" t="e">
        <v>#N/A</v>
      </c>
      <c r="C28" s="1" t="e">
        <v>#N/A</v>
      </c>
      <c r="D28" s="1" t="e">
        <v>#N/A</v>
      </c>
      <c r="E28" s="1" t="s">
        <v>2298</v>
      </c>
      <c r="F28" s="2" t="s">
        <v>2300</v>
      </c>
      <c r="G28" s="1" t="s">
        <v>2304</v>
      </c>
      <c r="H28" s="2">
        <v>23</v>
      </c>
      <c r="I28" s="3" t="s">
        <v>60</v>
      </c>
      <c r="J28" t="s">
        <v>2365</v>
      </c>
      <c r="M28" s="3" t="s">
        <v>2300</v>
      </c>
      <c r="N28" s="3" t="s">
        <v>2255</v>
      </c>
      <c r="O28" t="s">
        <v>2310</v>
      </c>
    </row>
    <row r="29" spans="1:15" x14ac:dyDescent="0.25">
      <c r="A29" t="s">
        <v>2285</v>
      </c>
      <c r="B29" s="1" t="e">
        <v>#N/A</v>
      </c>
      <c r="C29" s="1" t="e">
        <v>#N/A</v>
      </c>
      <c r="D29" s="1" t="e">
        <v>#N/A</v>
      </c>
      <c r="E29" s="1" t="s">
        <v>2298</v>
      </c>
      <c r="F29" s="2" t="s">
        <v>2300</v>
      </c>
      <c r="G29" s="1" t="s">
        <v>2303</v>
      </c>
      <c r="H29" s="2">
        <v>22</v>
      </c>
      <c r="I29" s="3" t="s">
        <v>2344</v>
      </c>
      <c r="J29" t="s">
        <v>2365</v>
      </c>
      <c r="M29" s="3" t="s">
        <v>2300</v>
      </c>
      <c r="N29" s="3" t="s">
        <v>2256</v>
      </c>
      <c r="O29" t="s">
        <v>2310</v>
      </c>
    </row>
    <row r="30" spans="1:15" x14ac:dyDescent="0.25">
      <c r="A30" t="s">
        <v>2285</v>
      </c>
      <c r="B30" s="1" t="e">
        <v>#N/A</v>
      </c>
      <c r="C30" s="1" t="e">
        <v>#N/A</v>
      </c>
      <c r="D30" s="1" t="e">
        <v>#N/A</v>
      </c>
      <c r="E30" s="1" t="s">
        <v>2298</v>
      </c>
      <c r="F30" s="2" t="s">
        <v>2300</v>
      </c>
      <c r="G30" s="1" t="s">
        <v>2303</v>
      </c>
      <c r="H30" s="2">
        <v>22</v>
      </c>
      <c r="I30" s="3" t="s">
        <v>2355</v>
      </c>
      <c r="J30" t="s">
        <v>2365</v>
      </c>
      <c r="M30" s="3" t="s">
        <v>2300</v>
      </c>
      <c r="N30" s="3" t="s">
        <v>2256</v>
      </c>
      <c r="O30" t="s">
        <v>2310</v>
      </c>
    </row>
    <row r="31" spans="1:15" x14ac:dyDescent="0.25">
      <c r="A31" t="s">
        <v>2284</v>
      </c>
      <c r="B31" s="1" t="s">
        <v>2288</v>
      </c>
      <c r="C31" s="1" t="s">
        <v>2291</v>
      </c>
      <c r="D31" s="1" t="s">
        <v>2438</v>
      </c>
      <c r="E31" s="1" t="s">
        <v>2298</v>
      </c>
      <c r="F31" s="2" t="s">
        <v>2300</v>
      </c>
      <c r="G31" s="1" t="s">
        <v>2304</v>
      </c>
      <c r="H31" s="2">
        <v>21</v>
      </c>
      <c r="I31" s="3" t="s">
        <v>48</v>
      </c>
      <c r="J31" t="s">
        <v>2365</v>
      </c>
      <c r="M31" s="3" t="s">
        <v>2300</v>
      </c>
      <c r="N31" s="3" t="s">
        <v>2255</v>
      </c>
      <c r="O31" t="s">
        <v>2310</v>
      </c>
    </row>
    <row r="32" spans="1:15" x14ac:dyDescent="0.25">
      <c r="A32" t="s">
        <v>2284</v>
      </c>
      <c r="B32" s="1" t="e">
        <v>#N/A</v>
      </c>
      <c r="C32" s="1" t="e">
        <v>#N/A</v>
      </c>
      <c r="D32" s="1" t="e">
        <v>#N/A</v>
      </c>
      <c r="E32" s="1" t="s">
        <v>2298</v>
      </c>
      <c r="F32" s="2" t="s">
        <v>2300</v>
      </c>
      <c r="G32" s="1" t="s">
        <v>2304</v>
      </c>
      <c r="H32" s="2">
        <v>21</v>
      </c>
      <c r="I32" s="3" t="s">
        <v>19</v>
      </c>
      <c r="J32" t="s">
        <v>2365</v>
      </c>
      <c r="M32" s="3" t="s">
        <v>2300</v>
      </c>
      <c r="N32" s="3" t="s">
        <v>2255</v>
      </c>
      <c r="O32" t="s">
        <v>2310</v>
      </c>
    </row>
    <row r="33" spans="1:15" x14ac:dyDescent="0.25">
      <c r="A33" t="s">
        <v>2284</v>
      </c>
      <c r="B33" s="1" t="s">
        <v>2289</v>
      </c>
      <c r="C33" s="1" t="s">
        <v>2291</v>
      </c>
      <c r="D33" s="1" t="s">
        <v>2431</v>
      </c>
      <c r="E33" s="1" t="s">
        <v>2298</v>
      </c>
      <c r="F33" s="2" t="s">
        <v>2300</v>
      </c>
      <c r="G33" s="1" t="s">
        <v>2304</v>
      </c>
      <c r="H33" s="2">
        <v>21</v>
      </c>
      <c r="I33" s="3" t="s">
        <v>126</v>
      </c>
      <c r="J33" t="s">
        <v>2365</v>
      </c>
      <c r="M33" s="3" t="s">
        <v>2300</v>
      </c>
      <c r="N33" s="3" t="s">
        <v>2255</v>
      </c>
      <c r="O33" t="s">
        <v>2310</v>
      </c>
    </row>
    <row r="34" spans="1:15" x14ac:dyDescent="0.25">
      <c r="A34" t="s">
        <v>2284</v>
      </c>
      <c r="B34" s="1" t="e">
        <v>#N/A</v>
      </c>
      <c r="C34" s="1" t="s">
        <v>2294</v>
      </c>
      <c r="D34" s="1" t="s">
        <v>2406</v>
      </c>
      <c r="E34" s="1" t="s">
        <v>2298</v>
      </c>
      <c r="F34" s="2" t="s">
        <v>2300</v>
      </c>
      <c r="G34" s="1" t="s">
        <v>2304</v>
      </c>
      <c r="H34" s="2">
        <v>21</v>
      </c>
      <c r="I34" s="3" t="s">
        <v>2361</v>
      </c>
      <c r="J34" t="s">
        <v>2365</v>
      </c>
      <c r="M34" s="3" t="s">
        <v>2300</v>
      </c>
      <c r="N34" s="3" t="s">
        <v>2255</v>
      </c>
      <c r="O34" t="s">
        <v>2310</v>
      </c>
    </row>
    <row r="35" spans="1:15" x14ac:dyDescent="0.25">
      <c r="A35" t="s">
        <v>2284</v>
      </c>
      <c r="B35" s="1" t="s">
        <v>2289</v>
      </c>
      <c r="C35" s="1" t="s">
        <v>2291</v>
      </c>
      <c r="D35" s="1" t="s">
        <v>2431</v>
      </c>
      <c r="E35" s="1" t="s">
        <v>2298</v>
      </c>
      <c r="F35" s="2" t="s">
        <v>2300</v>
      </c>
      <c r="G35" s="1" t="s">
        <v>2304</v>
      </c>
      <c r="H35" s="2">
        <v>21</v>
      </c>
      <c r="I35" s="3" t="s">
        <v>11</v>
      </c>
      <c r="J35" t="s">
        <v>2365</v>
      </c>
      <c r="M35" s="3" t="s">
        <v>2300</v>
      </c>
      <c r="N35" s="3" t="s">
        <v>2255</v>
      </c>
      <c r="O35" t="s">
        <v>2310</v>
      </c>
    </row>
    <row r="36" spans="1:15" x14ac:dyDescent="0.25">
      <c r="A36" t="s">
        <v>2285</v>
      </c>
      <c r="B36" s="1" t="e">
        <v>#N/A</v>
      </c>
      <c r="C36" s="1" t="e">
        <v>#N/A</v>
      </c>
      <c r="D36" s="1" t="e">
        <v>#N/A</v>
      </c>
      <c r="E36" s="1" t="s">
        <v>2298</v>
      </c>
      <c r="F36" s="2" t="s">
        <v>2300</v>
      </c>
      <c r="G36" s="1" t="s">
        <v>2304</v>
      </c>
      <c r="H36" s="2">
        <v>21</v>
      </c>
      <c r="I36" s="3" t="s">
        <v>2359</v>
      </c>
      <c r="J36" t="s">
        <v>2365</v>
      </c>
      <c r="M36" s="3" t="s">
        <v>2300</v>
      </c>
      <c r="N36" s="3" t="s">
        <v>2255</v>
      </c>
      <c r="O36" t="s">
        <v>2310</v>
      </c>
    </row>
    <row r="37" spans="1:15" x14ac:dyDescent="0.25">
      <c r="A37" t="s">
        <v>2285</v>
      </c>
      <c r="B37" s="1" t="s">
        <v>2289</v>
      </c>
      <c r="C37" s="1" t="s">
        <v>2291</v>
      </c>
      <c r="D37" s="1" t="s">
        <v>2447</v>
      </c>
      <c r="E37" s="1" t="s">
        <v>2448</v>
      </c>
      <c r="F37" s="2" t="s">
        <v>2301</v>
      </c>
      <c r="G37" s="1" t="s">
        <v>2304</v>
      </c>
      <c r="H37" s="2">
        <v>20</v>
      </c>
      <c r="I37" s="3" t="s">
        <v>2317</v>
      </c>
      <c r="J37" t="s">
        <v>2365</v>
      </c>
      <c r="M37" s="3" t="s">
        <v>2301</v>
      </c>
      <c r="N37" s="3" t="s">
        <v>2255</v>
      </c>
      <c r="O37" t="s">
        <v>2310</v>
      </c>
    </row>
    <row r="38" spans="1:15" x14ac:dyDescent="0.25">
      <c r="A38" t="s">
        <v>2284</v>
      </c>
      <c r="B38" s="1" t="s">
        <v>2288</v>
      </c>
      <c r="C38" s="1" t="s">
        <v>2291</v>
      </c>
      <c r="D38" s="1" t="s">
        <v>2438</v>
      </c>
      <c r="E38" s="1" t="s">
        <v>2298</v>
      </c>
      <c r="F38" s="2" t="s">
        <v>2300</v>
      </c>
      <c r="G38" s="1" t="s">
        <v>2303</v>
      </c>
      <c r="H38" s="2">
        <v>20</v>
      </c>
      <c r="I38" s="3" t="s">
        <v>2318</v>
      </c>
      <c r="J38" t="s">
        <v>2365</v>
      </c>
      <c r="M38" s="3" t="s">
        <v>2300</v>
      </c>
      <c r="N38" s="3" t="s">
        <v>2256</v>
      </c>
      <c r="O38" t="s">
        <v>2310</v>
      </c>
    </row>
    <row r="39" spans="1:15" x14ac:dyDescent="0.25">
      <c r="A39" t="s">
        <v>2285</v>
      </c>
      <c r="B39" s="1" t="e">
        <v>#N/A</v>
      </c>
      <c r="C39" s="1" t="e">
        <v>#N/A</v>
      </c>
      <c r="D39" s="1" t="e">
        <v>#N/A</v>
      </c>
      <c r="E39" s="1" t="s">
        <v>2298</v>
      </c>
      <c r="F39" s="2" t="s">
        <v>2300</v>
      </c>
      <c r="G39" s="1" t="s">
        <v>2304</v>
      </c>
      <c r="H39" s="2">
        <v>20</v>
      </c>
      <c r="I39" s="3" t="s">
        <v>19</v>
      </c>
      <c r="J39" t="s">
        <v>2365</v>
      </c>
      <c r="M39" s="3" t="s">
        <v>2300</v>
      </c>
      <c r="N39" s="3" t="s">
        <v>2255</v>
      </c>
      <c r="O39" t="s">
        <v>2310</v>
      </c>
    </row>
    <row r="40" spans="1:15" x14ac:dyDescent="0.25">
      <c r="A40" t="s">
        <v>2285</v>
      </c>
      <c r="B40" s="1" t="s">
        <v>2289</v>
      </c>
      <c r="C40" s="1" t="s">
        <v>2291</v>
      </c>
      <c r="D40" s="1" t="s">
        <v>2447</v>
      </c>
      <c r="E40" s="1" t="s">
        <v>2448</v>
      </c>
      <c r="F40" s="2" t="s">
        <v>2301</v>
      </c>
      <c r="G40" s="1" t="s">
        <v>2304</v>
      </c>
      <c r="H40" s="2">
        <v>20</v>
      </c>
      <c r="I40" s="3" t="s">
        <v>2317</v>
      </c>
      <c r="J40" t="s">
        <v>2365</v>
      </c>
      <c r="M40" s="3" t="s">
        <v>2301</v>
      </c>
      <c r="N40" s="3" t="s">
        <v>2255</v>
      </c>
      <c r="O40" t="s">
        <v>2310</v>
      </c>
    </row>
    <row r="41" spans="1:15" x14ac:dyDescent="0.25">
      <c r="A41" t="s">
        <v>2284</v>
      </c>
      <c r="B41" s="1" t="s">
        <v>2288</v>
      </c>
      <c r="C41" s="1" t="s">
        <v>2291</v>
      </c>
      <c r="D41" s="1" t="s">
        <v>2438</v>
      </c>
      <c r="E41" s="1" t="s">
        <v>2298</v>
      </c>
      <c r="F41" s="2" t="s">
        <v>2300</v>
      </c>
      <c r="G41" s="1" t="s">
        <v>2304</v>
      </c>
      <c r="H41" s="2">
        <v>20</v>
      </c>
      <c r="I41" s="3" t="s">
        <v>31</v>
      </c>
      <c r="J41" t="s">
        <v>2365</v>
      </c>
      <c r="M41" s="3" t="s">
        <v>2300</v>
      </c>
      <c r="N41" s="3" t="s">
        <v>2255</v>
      </c>
      <c r="O41" t="s">
        <v>2310</v>
      </c>
    </row>
    <row r="42" spans="1:15" x14ac:dyDescent="0.25">
      <c r="A42" t="s">
        <v>2285</v>
      </c>
      <c r="B42" s="1" t="s">
        <v>2289</v>
      </c>
      <c r="C42" s="1" t="s">
        <v>2291</v>
      </c>
      <c r="D42" s="1" t="s">
        <v>2447</v>
      </c>
      <c r="E42" s="1" t="s">
        <v>2448</v>
      </c>
      <c r="F42" s="2" t="s">
        <v>2301</v>
      </c>
      <c r="G42" s="1" t="s">
        <v>2304</v>
      </c>
      <c r="H42" s="2">
        <v>20</v>
      </c>
      <c r="I42" s="3" t="s">
        <v>2319</v>
      </c>
      <c r="J42" t="s">
        <v>2365</v>
      </c>
      <c r="M42" s="3" t="s">
        <v>2301</v>
      </c>
      <c r="N42" s="3" t="s">
        <v>2255</v>
      </c>
      <c r="O42" t="s">
        <v>2310</v>
      </c>
    </row>
    <row r="43" spans="1:15" x14ac:dyDescent="0.25">
      <c r="A43" t="s">
        <v>2284</v>
      </c>
      <c r="B43" s="1" t="s">
        <v>2288</v>
      </c>
      <c r="C43" s="1" t="s">
        <v>2291</v>
      </c>
      <c r="D43" s="1" t="s">
        <v>2438</v>
      </c>
      <c r="E43" s="1" t="s">
        <v>2298</v>
      </c>
      <c r="F43" s="2" t="s">
        <v>2300</v>
      </c>
      <c r="G43" s="1" t="s">
        <v>2304</v>
      </c>
      <c r="H43" s="2">
        <v>17</v>
      </c>
      <c r="I43" s="3" t="s">
        <v>2348</v>
      </c>
      <c r="J43" t="s">
        <v>2365</v>
      </c>
      <c r="M43" s="3" t="s">
        <v>2300</v>
      </c>
      <c r="N43" s="3" t="s">
        <v>2255</v>
      </c>
      <c r="O43" t="s">
        <v>2310</v>
      </c>
    </row>
    <row r="44" spans="1:15" x14ac:dyDescent="0.25">
      <c r="A44" t="s">
        <v>2283</v>
      </c>
      <c r="B44" s="1" t="s">
        <v>2288</v>
      </c>
      <c r="C44" s="1" t="s">
        <v>2293</v>
      </c>
      <c r="D44" s="1" t="s">
        <v>2407</v>
      </c>
      <c r="E44" s="1" t="s">
        <v>2298</v>
      </c>
      <c r="F44" s="2" t="s">
        <v>2300</v>
      </c>
      <c r="G44" s="1" t="s">
        <v>2304</v>
      </c>
      <c r="H44" s="2">
        <v>17</v>
      </c>
      <c r="I44" s="3" t="s">
        <v>2334</v>
      </c>
      <c r="J44" t="s">
        <v>2365</v>
      </c>
      <c r="M44" s="3" t="s">
        <v>2300</v>
      </c>
      <c r="N44" s="3" t="s">
        <v>2255</v>
      </c>
      <c r="O44" t="s">
        <v>2310</v>
      </c>
    </row>
    <row r="45" spans="1:15" x14ac:dyDescent="0.25">
      <c r="A45" t="s">
        <v>2285</v>
      </c>
      <c r="B45" s="1" t="e">
        <v>#N/A</v>
      </c>
      <c r="C45" s="1" t="e">
        <v>#N/A</v>
      </c>
      <c r="D45" s="1" t="e">
        <v>#N/A</v>
      </c>
      <c r="E45" s="1" t="s">
        <v>2298</v>
      </c>
      <c r="F45" s="2" t="s">
        <v>2300</v>
      </c>
      <c r="G45" s="1" t="s">
        <v>2304</v>
      </c>
      <c r="H45" s="2">
        <v>17</v>
      </c>
      <c r="I45" s="3" t="s">
        <v>2368</v>
      </c>
      <c r="J45" t="s">
        <v>2365</v>
      </c>
      <c r="M45" s="3" t="s">
        <v>2300</v>
      </c>
      <c r="N45" s="3" t="s">
        <v>2255</v>
      </c>
      <c r="O45" t="s">
        <v>2310</v>
      </c>
    </row>
    <row r="46" spans="1:15" x14ac:dyDescent="0.25">
      <c r="A46" t="s">
        <v>2284</v>
      </c>
      <c r="B46" s="1" t="s">
        <v>2288</v>
      </c>
      <c r="C46" s="1" t="s">
        <v>2291</v>
      </c>
      <c r="D46" s="1" t="s">
        <v>2438</v>
      </c>
      <c r="E46" s="1" t="s">
        <v>2298</v>
      </c>
      <c r="F46" s="2" t="s">
        <v>2300</v>
      </c>
      <c r="G46" s="1" t="s">
        <v>2304</v>
      </c>
      <c r="H46" s="2">
        <v>17</v>
      </c>
      <c r="I46" s="3" t="s">
        <v>2373</v>
      </c>
      <c r="J46" t="s">
        <v>2365</v>
      </c>
      <c r="M46" s="3" t="s">
        <v>2300</v>
      </c>
      <c r="N46" s="3" t="s">
        <v>2255</v>
      </c>
      <c r="O46" t="s">
        <v>2310</v>
      </c>
    </row>
    <row r="47" spans="1:15" x14ac:dyDescent="0.25">
      <c r="A47" t="s">
        <v>2285</v>
      </c>
      <c r="B47" s="1" t="e">
        <v>#N/A</v>
      </c>
      <c r="C47" s="1" t="e">
        <v>#N/A</v>
      </c>
      <c r="D47" s="1" t="e">
        <v>#N/A</v>
      </c>
      <c r="E47" s="1" t="s">
        <v>2298</v>
      </c>
      <c r="F47" s="2" t="s">
        <v>2300</v>
      </c>
      <c r="G47" s="1" t="s">
        <v>2304</v>
      </c>
      <c r="H47" s="2">
        <v>17</v>
      </c>
      <c r="I47" s="3" t="s">
        <v>2420</v>
      </c>
      <c r="J47" t="s">
        <v>2365</v>
      </c>
      <c r="M47" s="3" t="s">
        <v>2300</v>
      </c>
      <c r="N47" s="3" t="s">
        <v>2255</v>
      </c>
      <c r="O47" t="s">
        <v>2310</v>
      </c>
    </row>
    <row r="48" spans="1:15" x14ac:dyDescent="0.25">
      <c r="A48" t="s">
        <v>2284</v>
      </c>
      <c r="B48" s="1" t="s">
        <v>2288</v>
      </c>
      <c r="C48" s="1" t="s">
        <v>2291</v>
      </c>
      <c r="D48" s="1" t="s">
        <v>2438</v>
      </c>
      <c r="E48" s="1" t="s">
        <v>2298</v>
      </c>
      <c r="F48" s="2" t="s">
        <v>2300</v>
      </c>
      <c r="G48" s="1" t="s">
        <v>2304</v>
      </c>
      <c r="H48" s="2">
        <v>17</v>
      </c>
      <c r="I48" s="3" t="s">
        <v>38</v>
      </c>
      <c r="J48" t="s">
        <v>2365</v>
      </c>
      <c r="M48" s="3" t="s">
        <v>2300</v>
      </c>
      <c r="N48" s="3" t="s">
        <v>2255</v>
      </c>
      <c r="O48" t="s">
        <v>2310</v>
      </c>
    </row>
    <row r="49" spans="1:15" x14ac:dyDescent="0.25">
      <c r="A49" t="s">
        <v>2284</v>
      </c>
      <c r="B49" s="1" t="s">
        <v>2288</v>
      </c>
      <c r="C49" s="1" t="s">
        <v>2291</v>
      </c>
      <c r="D49" s="1" t="s">
        <v>2438</v>
      </c>
      <c r="E49" s="1" t="s">
        <v>2298</v>
      </c>
      <c r="F49" s="2" t="s">
        <v>2300</v>
      </c>
      <c r="G49" s="1" t="s">
        <v>2304</v>
      </c>
      <c r="H49" s="2">
        <v>17</v>
      </c>
      <c r="I49" s="3" t="s">
        <v>2341</v>
      </c>
      <c r="J49" t="s">
        <v>2365</v>
      </c>
      <c r="M49" s="3" t="s">
        <v>2300</v>
      </c>
      <c r="N49" s="3" t="s">
        <v>2255</v>
      </c>
      <c r="O49" t="s">
        <v>2310</v>
      </c>
    </row>
    <row r="50" spans="1:15" x14ac:dyDescent="0.25">
      <c r="A50" t="s">
        <v>2285</v>
      </c>
      <c r="B50" s="1" t="e">
        <v>#N/A</v>
      </c>
      <c r="C50" s="1" t="e">
        <v>#N/A</v>
      </c>
      <c r="D50" s="1" t="e">
        <v>#N/A</v>
      </c>
      <c r="E50" s="1" t="s">
        <v>2298</v>
      </c>
      <c r="F50" s="2" t="s">
        <v>2300</v>
      </c>
      <c r="G50" s="1" t="s">
        <v>2304</v>
      </c>
      <c r="H50" s="2">
        <v>17</v>
      </c>
      <c r="I50" s="3" t="s">
        <v>22</v>
      </c>
      <c r="J50" t="s">
        <v>2365</v>
      </c>
      <c r="M50" s="3" t="s">
        <v>2300</v>
      </c>
      <c r="N50" s="3" t="s">
        <v>2255</v>
      </c>
      <c r="O50" t="s">
        <v>2310</v>
      </c>
    </row>
    <row r="51" spans="1:15" x14ac:dyDescent="0.25">
      <c r="A51" t="s">
        <v>2285</v>
      </c>
      <c r="B51" s="1" t="e">
        <v>#N/A</v>
      </c>
      <c r="C51" s="1" t="e">
        <v>#N/A</v>
      </c>
      <c r="D51" s="1" t="e">
        <v>#N/A</v>
      </c>
      <c r="E51" s="1" t="s">
        <v>2298</v>
      </c>
      <c r="F51" s="2" t="s">
        <v>2300</v>
      </c>
      <c r="G51" s="1" t="s">
        <v>2305</v>
      </c>
      <c r="H51" s="2">
        <v>17</v>
      </c>
      <c r="I51" s="3" t="s">
        <v>2369</v>
      </c>
      <c r="J51" t="s">
        <v>2365</v>
      </c>
      <c r="M51" s="3" t="s">
        <v>2300</v>
      </c>
      <c r="N51" s="3" t="s">
        <v>2258</v>
      </c>
      <c r="O51" t="s">
        <v>2310</v>
      </c>
    </row>
    <row r="52" spans="1:15" x14ac:dyDescent="0.25">
      <c r="A52" t="s">
        <v>2283</v>
      </c>
      <c r="B52" s="1" t="s">
        <v>2289</v>
      </c>
      <c r="C52" s="1" t="s">
        <v>2291</v>
      </c>
      <c r="D52" s="1" t="s">
        <v>2400</v>
      </c>
      <c r="E52" s="1" t="s">
        <v>2298</v>
      </c>
      <c r="F52" s="2" t="s">
        <v>2300</v>
      </c>
      <c r="G52" s="1" t="s">
        <v>2304</v>
      </c>
      <c r="H52" s="2">
        <v>17</v>
      </c>
      <c r="I52" s="3" t="s">
        <v>2314</v>
      </c>
      <c r="J52" t="s">
        <v>2365</v>
      </c>
      <c r="M52" s="3" t="s">
        <v>2300</v>
      </c>
      <c r="N52" s="3" t="s">
        <v>2255</v>
      </c>
      <c r="O52" t="s">
        <v>2310</v>
      </c>
    </row>
    <row r="53" spans="1:15" x14ac:dyDescent="0.25">
      <c r="A53" t="s">
        <v>2284</v>
      </c>
      <c r="B53" s="1" t="s">
        <v>2289</v>
      </c>
      <c r="C53" s="1" t="s">
        <v>2291</v>
      </c>
      <c r="D53" s="1" t="s">
        <v>2431</v>
      </c>
      <c r="E53" s="1" t="s">
        <v>2298</v>
      </c>
      <c r="F53" s="2" t="s">
        <v>2300</v>
      </c>
      <c r="G53" s="1" t="s">
        <v>2304</v>
      </c>
      <c r="H53" s="2">
        <v>17</v>
      </c>
      <c r="I53" s="3" t="s">
        <v>11</v>
      </c>
      <c r="J53" t="s">
        <v>2365</v>
      </c>
      <c r="M53" s="3" t="s">
        <v>2300</v>
      </c>
      <c r="N53" s="3" t="s">
        <v>2255</v>
      </c>
      <c r="O53" t="s">
        <v>2310</v>
      </c>
    </row>
    <row r="54" spans="1:15" x14ac:dyDescent="0.25">
      <c r="A54" t="s">
        <v>2284</v>
      </c>
      <c r="B54" s="1" t="s">
        <v>2288</v>
      </c>
      <c r="C54" s="1" t="s">
        <v>2291</v>
      </c>
      <c r="D54" s="1" t="s">
        <v>2438</v>
      </c>
      <c r="E54" s="1" t="s">
        <v>2298</v>
      </c>
      <c r="F54" s="2" t="s">
        <v>2300</v>
      </c>
      <c r="G54" s="1" t="s">
        <v>2304</v>
      </c>
      <c r="H54" s="2">
        <v>17</v>
      </c>
      <c r="I54" s="3" t="s">
        <v>18</v>
      </c>
      <c r="J54" t="s">
        <v>2365</v>
      </c>
      <c r="M54" s="3" t="s">
        <v>2300</v>
      </c>
      <c r="N54" s="3" t="s">
        <v>2255</v>
      </c>
      <c r="O54" t="s">
        <v>2310</v>
      </c>
    </row>
    <row r="55" spans="1:15" x14ac:dyDescent="0.25">
      <c r="A55" t="s">
        <v>2285</v>
      </c>
      <c r="B55" s="1" t="e">
        <v>#N/A</v>
      </c>
      <c r="C55" s="1" t="e">
        <v>#N/A</v>
      </c>
      <c r="D55" s="1" t="e">
        <v>#N/A</v>
      </c>
      <c r="E55" s="1" t="s">
        <v>2298</v>
      </c>
      <c r="F55" s="2" t="s">
        <v>2300</v>
      </c>
      <c r="G55" s="1" t="s">
        <v>2303</v>
      </c>
      <c r="H55" s="2">
        <v>17</v>
      </c>
      <c r="I55" s="3" t="s">
        <v>2345</v>
      </c>
      <c r="J55" t="s">
        <v>2365</v>
      </c>
      <c r="M55" s="3" t="s">
        <v>2300</v>
      </c>
      <c r="N55" s="3" t="s">
        <v>2256</v>
      </c>
      <c r="O55" t="s">
        <v>2310</v>
      </c>
    </row>
    <row r="56" spans="1:15" x14ac:dyDescent="0.25">
      <c r="A56" t="s">
        <v>2285</v>
      </c>
      <c r="B56" s="1" t="e">
        <v>#N/A</v>
      </c>
      <c r="C56" s="1" t="e">
        <v>#N/A</v>
      </c>
      <c r="D56" s="1" t="e">
        <v>#N/A</v>
      </c>
      <c r="E56" s="1" t="s">
        <v>2298</v>
      </c>
      <c r="F56" s="2" t="s">
        <v>2300</v>
      </c>
      <c r="G56" s="1" t="s">
        <v>2303</v>
      </c>
      <c r="H56" s="2">
        <v>17</v>
      </c>
      <c r="I56" s="3" t="s">
        <v>23</v>
      </c>
      <c r="J56" t="s">
        <v>2365</v>
      </c>
      <c r="M56" s="3" t="s">
        <v>2300</v>
      </c>
      <c r="N56" s="3" t="s">
        <v>2256</v>
      </c>
      <c r="O56" t="s">
        <v>2310</v>
      </c>
    </row>
    <row r="57" spans="1:15" x14ac:dyDescent="0.25">
      <c r="A57" t="s">
        <v>2284</v>
      </c>
      <c r="B57" s="1" t="s">
        <v>2289</v>
      </c>
      <c r="C57" s="1" t="s">
        <v>2291</v>
      </c>
      <c r="D57" s="1" t="s">
        <v>2431</v>
      </c>
      <c r="E57" s="1" t="s">
        <v>2298</v>
      </c>
      <c r="F57" s="2" t="s">
        <v>2300</v>
      </c>
      <c r="G57" s="1" t="s">
        <v>2304</v>
      </c>
      <c r="H57" s="2">
        <v>17</v>
      </c>
      <c r="I57" s="3" t="s">
        <v>11</v>
      </c>
      <c r="J57" t="s">
        <v>2365</v>
      </c>
      <c r="M57" s="3" t="s">
        <v>2300</v>
      </c>
      <c r="N57" s="3" t="s">
        <v>2255</v>
      </c>
      <c r="O57" t="s">
        <v>2310</v>
      </c>
    </row>
    <row r="58" spans="1:15" x14ac:dyDescent="0.25">
      <c r="A58" t="s">
        <v>2285</v>
      </c>
      <c r="B58" s="1" t="e">
        <v>#N/A</v>
      </c>
      <c r="C58" s="1" t="e">
        <v>#N/A</v>
      </c>
      <c r="D58" s="1" t="e">
        <v>#N/A</v>
      </c>
      <c r="E58" s="1" t="s">
        <v>2298</v>
      </c>
      <c r="F58" s="2" t="s">
        <v>2300</v>
      </c>
      <c r="G58" s="1" t="s">
        <v>2304</v>
      </c>
      <c r="H58" s="2">
        <v>17</v>
      </c>
      <c r="I58" s="3" t="s">
        <v>19</v>
      </c>
      <c r="J58" t="s">
        <v>2365</v>
      </c>
      <c r="M58" s="3" t="s">
        <v>2300</v>
      </c>
      <c r="N58" s="3" t="s">
        <v>2255</v>
      </c>
      <c r="O58" t="s">
        <v>2310</v>
      </c>
    </row>
    <row r="59" spans="1:15" x14ac:dyDescent="0.25">
      <c r="A59" t="s">
        <v>2285</v>
      </c>
      <c r="B59" s="1" t="e">
        <v>#N/A</v>
      </c>
      <c r="C59" s="1" t="e">
        <v>#N/A</v>
      </c>
      <c r="D59" s="1" t="e">
        <v>#N/A</v>
      </c>
      <c r="E59" s="1" t="s">
        <v>2298</v>
      </c>
      <c r="F59" s="2" t="s">
        <v>2300</v>
      </c>
      <c r="G59" s="1" t="s">
        <v>2304</v>
      </c>
      <c r="H59" s="2">
        <v>17</v>
      </c>
      <c r="I59" s="3" t="s">
        <v>2370</v>
      </c>
      <c r="J59" t="s">
        <v>2365</v>
      </c>
      <c r="M59" s="3" t="s">
        <v>2300</v>
      </c>
      <c r="N59" s="3" t="s">
        <v>2255</v>
      </c>
      <c r="O59" t="s">
        <v>2310</v>
      </c>
    </row>
    <row r="60" spans="1:15" x14ac:dyDescent="0.25">
      <c r="A60" t="s">
        <v>2284</v>
      </c>
      <c r="B60" s="1" t="s">
        <v>2288</v>
      </c>
      <c r="C60" s="1" t="s">
        <v>2291</v>
      </c>
      <c r="D60" s="1" t="s">
        <v>2438</v>
      </c>
      <c r="E60" s="1" t="s">
        <v>2298</v>
      </c>
      <c r="F60" s="2" t="s">
        <v>2300</v>
      </c>
      <c r="G60" s="1" t="s">
        <v>2303</v>
      </c>
      <c r="H60" s="2">
        <v>17</v>
      </c>
      <c r="I60" s="3" t="s">
        <v>2341</v>
      </c>
      <c r="J60" t="s">
        <v>2365</v>
      </c>
      <c r="M60" s="3" t="s">
        <v>2300</v>
      </c>
      <c r="N60" s="3" t="s">
        <v>2256</v>
      </c>
      <c r="O60" t="s">
        <v>2310</v>
      </c>
    </row>
    <row r="61" spans="1:15" x14ac:dyDescent="0.25">
      <c r="A61" t="s">
        <v>2285</v>
      </c>
      <c r="B61" s="1" t="e">
        <v>#N/A</v>
      </c>
      <c r="C61" s="1" t="e">
        <v>#N/A</v>
      </c>
      <c r="D61" s="1" t="e">
        <v>#N/A</v>
      </c>
      <c r="E61" s="1" t="s">
        <v>2298</v>
      </c>
      <c r="F61" s="2" t="s">
        <v>2300</v>
      </c>
      <c r="G61" s="1" t="s">
        <v>2304</v>
      </c>
      <c r="H61" s="2">
        <v>16</v>
      </c>
      <c r="I61" s="3" t="s">
        <v>21</v>
      </c>
      <c r="J61" t="s">
        <v>2365</v>
      </c>
      <c r="M61" s="3" t="s">
        <v>2300</v>
      </c>
      <c r="N61" s="3" t="s">
        <v>2255</v>
      </c>
      <c r="O61" t="s">
        <v>2310</v>
      </c>
    </row>
    <row r="62" spans="1:15" x14ac:dyDescent="0.25">
      <c r="A62" t="s">
        <v>2285</v>
      </c>
      <c r="B62" s="1" t="e">
        <v>#N/A</v>
      </c>
      <c r="C62" s="1" t="e">
        <v>#N/A</v>
      </c>
      <c r="D62" s="1" t="e">
        <v>#N/A</v>
      </c>
      <c r="E62" s="1" t="s">
        <v>2298</v>
      </c>
      <c r="F62" s="2" t="s">
        <v>2300</v>
      </c>
      <c r="G62" s="1" t="s">
        <v>2304</v>
      </c>
      <c r="H62" s="2">
        <v>16</v>
      </c>
      <c r="I62" s="3" t="s">
        <v>2380</v>
      </c>
      <c r="J62" t="s">
        <v>2365</v>
      </c>
      <c r="M62" s="3" t="s">
        <v>2300</v>
      </c>
      <c r="N62" s="3" t="s">
        <v>2255</v>
      </c>
      <c r="O62" t="s">
        <v>2310</v>
      </c>
    </row>
    <row r="63" spans="1:15" x14ac:dyDescent="0.25">
      <c r="A63" t="s">
        <v>2284</v>
      </c>
      <c r="B63" s="1" t="s">
        <v>2288</v>
      </c>
      <c r="C63" s="1" t="s">
        <v>2291</v>
      </c>
      <c r="D63" s="1" t="s">
        <v>2438</v>
      </c>
      <c r="E63" s="1" t="s">
        <v>2298</v>
      </c>
      <c r="F63" s="2" t="s">
        <v>2300</v>
      </c>
      <c r="G63" s="1" t="s">
        <v>2304</v>
      </c>
      <c r="H63" s="2">
        <v>16</v>
      </c>
      <c r="I63" s="3" t="s">
        <v>2347</v>
      </c>
      <c r="J63" t="s">
        <v>2365</v>
      </c>
      <c r="M63" s="3" t="s">
        <v>2300</v>
      </c>
      <c r="N63" s="3" t="s">
        <v>2255</v>
      </c>
      <c r="O63" t="s">
        <v>2310</v>
      </c>
    </row>
    <row r="64" spans="1:15" x14ac:dyDescent="0.25">
      <c r="A64" t="s">
        <v>2284</v>
      </c>
      <c r="B64" s="1" t="s">
        <v>2288</v>
      </c>
      <c r="C64" s="1" t="s">
        <v>2291</v>
      </c>
      <c r="D64" s="1" t="s">
        <v>2438</v>
      </c>
      <c r="E64" s="1" t="s">
        <v>2298</v>
      </c>
      <c r="F64" s="2" t="s">
        <v>2300</v>
      </c>
      <c r="G64" s="1" t="s">
        <v>2304</v>
      </c>
      <c r="H64" s="2">
        <v>16</v>
      </c>
      <c r="I64" s="3" t="s">
        <v>1</v>
      </c>
      <c r="J64" t="s">
        <v>2365</v>
      </c>
      <c r="M64" s="3" t="s">
        <v>2300</v>
      </c>
      <c r="N64" s="3" t="s">
        <v>2255</v>
      </c>
      <c r="O64" t="s">
        <v>2310</v>
      </c>
    </row>
    <row r="65" spans="1:15" x14ac:dyDescent="0.25">
      <c r="A65" t="s">
        <v>2284</v>
      </c>
      <c r="B65" s="1" t="s">
        <v>2288</v>
      </c>
      <c r="C65" s="1" t="s">
        <v>2291</v>
      </c>
      <c r="D65" s="1" t="s">
        <v>2438</v>
      </c>
      <c r="E65" s="1" t="s">
        <v>2298</v>
      </c>
      <c r="F65" s="2" t="s">
        <v>2300</v>
      </c>
      <c r="G65" s="1" t="s">
        <v>2303</v>
      </c>
      <c r="H65" s="2">
        <v>16</v>
      </c>
      <c r="I65" s="3" t="s">
        <v>2321</v>
      </c>
      <c r="J65" t="s">
        <v>2365</v>
      </c>
      <c r="M65" s="3" t="s">
        <v>2300</v>
      </c>
      <c r="N65" s="3" t="s">
        <v>2256</v>
      </c>
      <c r="O65" t="s">
        <v>2310</v>
      </c>
    </row>
    <row r="66" spans="1:15" x14ac:dyDescent="0.25">
      <c r="A66" t="s">
        <v>2284</v>
      </c>
      <c r="B66" s="1" t="s">
        <v>2288</v>
      </c>
      <c r="C66" s="1" t="s">
        <v>2291</v>
      </c>
      <c r="D66" s="1" t="s">
        <v>2438</v>
      </c>
      <c r="E66" s="1" t="s">
        <v>2298</v>
      </c>
      <c r="F66" s="2" t="s">
        <v>2300</v>
      </c>
      <c r="G66" s="1" t="s">
        <v>2304</v>
      </c>
      <c r="H66" s="2">
        <v>16</v>
      </c>
      <c r="I66" s="3" t="s">
        <v>2321</v>
      </c>
      <c r="J66" t="s">
        <v>2365</v>
      </c>
      <c r="M66" s="3" t="s">
        <v>2300</v>
      </c>
      <c r="N66" s="3" t="s">
        <v>2255</v>
      </c>
      <c r="O66" t="s">
        <v>2310</v>
      </c>
    </row>
    <row r="67" spans="1:15" x14ac:dyDescent="0.25">
      <c r="A67" t="s">
        <v>2283</v>
      </c>
      <c r="B67" s="1" t="s">
        <v>2289</v>
      </c>
      <c r="C67" s="1" t="s">
        <v>2291</v>
      </c>
      <c r="D67" s="1" t="s">
        <v>2438</v>
      </c>
      <c r="E67" s="1" t="s">
        <v>2298</v>
      </c>
      <c r="F67" s="2" t="s">
        <v>2300</v>
      </c>
      <c r="G67" s="1" t="s">
        <v>2304</v>
      </c>
      <c r="H67" s="2">
        <v>16</v>
      </c>
      <c r="I67" s="3" t="s">
        <v>2382</v>
      </c>
      <c r="J67" t="s">
        <v>2365</v>
      </c>
      <c r="M67" s="3" t="s">
        <v>2300</v>
      </c>
      <c r="N67" s="3" t="s">
        <v>2255</v>
      </c>
      <c r="O67" t="s">
        <v>2310</v>
      </c>
    </row>
    <row r="68" spans="1:15" x14ac:dyDescent="0.25">
      <c r="A68" t="s">
        <v>2284</v>
      </c>
      <c r="B68" s="1" t="s">
        <v>2288</v>
      </c>
      <c r="C68" s="1" t="s">
        <v>2291</v>
      </c>
      <c r="D68" s="1" t="s">
        <v>2438</v>
      </c>
      <c r="E68" s="1" t="s">
        <v>2298</v>
      </c>
      <c r="F68" s="2" t="s">
        <v>2300</v>
      </c>
      <c r="G68" s="1" t="s">
        <v>2304</v>
      </c>
      <c r="H68" s="2">
        <v>16</v>
      </c>
      <c r="I68" s="3" t="s">
        <v>2321</v>
      </c>
      <c r="J68" t="s">
        <v>2365</v>
      </c>
      <c r="M68" s="3" t="s">
        <v>2300</v>
      </c>
      <c r="N68" s="3" t="s">
        <v>2255</v>
      </c>
      <c r="O68" t="s">
        <v>2310</v>
      </c>
    </row>
    <row r="69" spans="1:15" x14ac:dyDescent="0.25">
      <c r="A69" t="s">
        <v>2284</v>
      </c>
      <c r="B69" s="1" t="s">
        <v>2288</v>
      </c>
      <c r="C69" s="1" t="s">
        <v>2291</v>
      </c>
      <c r="D69" s="1" t="s">
        <v>2438</v>
      </c>
      <c r="E69" s="1" t="s">
        <v>2298</v>
      </c>
      <c r="F69" s="2" t="s">
        <v>2300</v>
      </c>
      <c r="G69" s="1" t="s">
        <v>2304</v>
      </c>
      <c r="H69" s="2">
        <v>16</v>
      </c>
      <c r="I69" s="3" t="s">
        <v>2383</v>
      </c>
      <c r="J69" t="s">
        <v>2365</v>
      </c>
      <c r="M69" s="3" t="s">
        <v>2300</v>
      </c>
      <c r="N69" s="3" t="s">
        <v>2255</v>
      </c>
      <c r="O69" t="s">
        <v>2310</v>
      </c>
    </row>
    <row r="70" spans="1:15" x14ac:dyDescent="0.25">
      <c r="A70" t="s">
        <v>2285</v>
      </c>
      <c r="B70" s="1" t="e">
        <v>#N/A</v>
      </c>
      <c r="C70" s="1" t="e">
        <v>#N/A</v>
      </c>
      <c r="D70" s="1" t="e">
        <v>#N/A</v>
      </c>
      <c r="E70" s="1" t="s">
        <v>2298</v>
      </c>
      <c r="F70" s="2" t="s">
        <v>2300</v>
      </c>
      <c r="G70" s="1" t="s">
        <v>2304</v>
      </c>
      <c r="H70" s="2">
        <v>16</v>
      </c>
      <c r="I70" s="3" t="s">
        <v>22</v>
      </c>
      <c r="J70" t="s">
        <v>2365</v>
      </c>
      <c r="M70" s="3" t="s">
        <v>2300</v>
      </c>
      <c r="N70" s="3" t="s">
        <v>2255</v>
      </c>
      <c r="O70" t="s">
        <v>2310</v>
      </c>
    </row>
    <row r="71" spans="1:15" x14ac:dyDescent="0.25">
      <c r="A71" t="s">
        <v>2284</v>
      </c>
      <c r="B71" s="1" t="s">
        <v>2288</v>
      </c>
      <c r="C71" s="1" t="s">
        <v>2291</v>
      </c>
      <c r="D71" s="1" t="s">
        <v>2438</v>
      </c>
      <c r="E71" s="1" t="s">
        <v>2298</v>
      </c>
      <c r="F71" s="2" t="s">
        <v>2300</v>
      </c>
      <c r="G71" s="1" t="s">
        <v>2304</v>
      </c>
      <c r="H71" s="2">
        <v>16</v>
      </c>
      <c r="I71" s="3" t="s">
        <v>2329</v>
      </c>
      <c r="J71" t="s">
        <v>2365</v>
      </c>
      <c r="M71" s="3" t="s">
        <v>2300</v>
      </c>
      <c r="N71" s="3" t="s">
        <v>2255</v>
      </c>
      <c r="O71" t="s">
        <v>2310</v>
      </c>
    </row>
    <row r="72" spans="1:15" x14ac:dyDescent="0.25">
      <c r="A72" t="s">
        <v>2284</v>
      </c>
      <c r="B72" s="1" t="s">
        <v>2288</v>
      </c>
      <c r="C72" s="1" t="s">
        <v>2291</v>
      </c>
      <c r="D72" s="1" t="s">
        <v>2438</v>
      </c>
      <c r="E72" s="1" t="s">
        <v>2298</v>
      </c>
      <c r="F72" s="2" t="s">
        <v>2300</v>
      </c>
      <c r="G72" s="1" t="s">
        <v>2304</v>
      </c>
      <c r="H72" s="2">
        <v>16</v>
      </c>
      <c r="I72" s="3" t="s">
        <v>2332</v>
      </c>
      <c r="J72" t="s">
        <v>2365</v>
      </c>
      <c r="M72" s="3" t="s">
        <v>2300</v>
      </c>
      <c r="N72" s="3" t="s">
        <v>2255</v>
      </c>
      <c r="O72" t="s">
        <v>2310</v>
      </c>
    </row>
    <row r="73" spans="1:15" x14ac:dyDescent="0.25">
      <c r="A73" t="s">
        <v>2284</v>
      </c>
      <c r="B73" s="1" t="s">
        <v>2288</v>
      </c>
      <c r="C73" s="1" t="s">
        <v>2291</v>
      </c>
      <c r="D73" s="1" t="s">
        <v>2438</v>
      </c>
      <c r="E73" s="1" t="s">
        <v>2298</v>
      </c>
      <c r="F73" s="2" t="s">
        <v>2300</v>
      </c>
      <c r="G73" s="1" t="s">
        <v>2304</v>
      </c>
      <c r="H73" s="2">
        <v>16</v>
      </c>
      <c r="I73" s="3" t="s">
        <v>2385</v>
      </c>
      <c r="J73" t="s">
        <v>2365</v>
      </c>
      <c r="M73" s="3" t="s">
        <v>2300</v>
      </c>
      <c r="N73" s="3" t="s">
        <v>2255</v>
      </c>
      <c r="O73" t="s">
        <v>2310</v>
      </c>
    </row>
    <row r="74" spans="1:15" x14ac:dyDescent="0.25">
      <c r="A74" t="s">
        <v>2284</v>
      </c>
      <c r="B74" s="1" t="s">
        <v>2289</v>
      </c>
      <c r="C74" s="1" t="s">
        <v>2291</v>
      </c>
      <c r="D74" s="1" t="s">
        <v>2431</v>
      </c>
      <c r="E74" s="1" t="s">
        <v>2298</v>
      </c>
      <c r="F74" s="2" t="s">
        <v>2300</v>
      </c>
      <c r="G74" s="1" t="s">
        <v>2304</v>
      </c>
      <c r="H74" s="2">
        <v>16</v>
      </c>
      <c r="I74" s="3" t="s">
        <v>1</v>
      </c>
      <c r="J74" t="s">
        <v>2365</v>
      </c>
      <c r="M74" s="3" t="s">
        <v>2300</v>
      </c>
      <c r="N74" s="3" t="s">
        <v>2255</v>
      </c>
      <c r="O74" t="s">
        <v>2310</v>
      </c>
    </row>
    <row r="75" spans="1:15" x14ac:dyDescent="0.25">
      <c r="A75" t="s">
        <v>2285</v>
      </c>
      <c r="B75" s="1" t="s">
        <v>2288</v>
      </c>
      <c r="C75" s="1" t="s">
        <v>2291</v>
      </c>
      <c r="D75" s="1" t="s">
        <v>2438</v>
      </c>
      <c r="E75" s="1" t="s">
        <v>2448</v>
      </c>
      <c r="F75" s="2" t="s">
        <v>2301</v>
      </c>
      <c r="G75" s="1" t="s">
        <v>2304</v>
      </c>
      <c r="H75" s="2">
        <v>16</v>
      </c>
      <c r="I75" s="3" t="s">
        <v>2321</v>
      </c>
      <c r="J75" t="s">
        <v>2365</v>
      </c>
      <c r="M75" s="3" t="s">
        <v>2300</v>
      </c>
      <c r="N75" s="3" t="s">
        <v>2255</v>
      </c>
      <c r="O75" t="s">
        <v>2310</v>
      </c>
    </row>
    <row r="76" spans="1:15" x14ac:dyDescent="0.25">
      <c r="A76" t="s">
        <v>2285</v>
      </c>
      <c r="B76" s="1" t="e">
        <v>#N/A</v>
      </c>
      <c r="C76" s="1" t="e">
        <v>#N/A</v>
      </c>
      <c r="D76" s="1" t="e">
        <v>#N/A</v>
      </c>
      <c r="E76" s="1" t="s">
        <v>2448</v>
      </c>
      <c r="F76" s="2" t="s">
        <v>2300</v>
      </c>
      <c r="G76" s="1" t="s">
        <v>2304</v>
      </c>
      <c r="H76" s="2">
        <v>16</v>
      </c>
      <c r="I76" s="3" t="s">
        <v>2317</v>
      </c>
      <c r="J76" t="s">
        <v>2365</v>
      </c>
      <c r="M76" s="3" t="s">
        <v>2301</v>
      </c>
      <c r="N76" s="3" t="s">
        <v>2255</v>
      </c>
      <c r="O76" t="s">
        <v>2310</v>
      </c>
    </row>
    <row r="77" spans="1:15" x14ac:dyDescent="0.25">
      <c r="A77" t="s">
        <v>2285</v>
      </c>
      <c r="B77" s="1" t="e">
        <v>#N/A</v>
      </c>
      <c r="C77" s="1" t="e">
        <v>#N/A</v>
      </c>
      <c r="D77" s="1" t="e">
        <v>#N/A</v>
      </c>
      <c r="E77" s="1" t="s">
        <v>2448</v>
      </c>
      <c r="F77" s="2" t="s">
        <v>2300</v>
      </c>
      <c r="G77" s="1" t="s">
        <v>2304</v>
      </c>
      <c r="H77" s="2">
        <v>16</v>
      </c>
      <c r="I77" s="3" t="s">
        <v>2381</v>
      </c>
      <c r="J77" t="s">
        <v>2365</v>
      </c>
      <c r="M77" s="3" t="s">
        <v>2301</v>
      </c>
      <c r="N77" s="3" t="s">
        <v>2255</v>
      </c>
      <c r="O77" t="s">
        <v>2310</v>
      </c>
    </row>
    <row r="78" spans="1:15" x14ac:dyDescent="0.25">
      <c r="A78" t="s">
        <v>2285</v>
      </c>
      <c r="B78" s="1" t="e">
        <v>#N/A</v>
      </c>
      <c r="C78" s="1" t="e">
        <v>#N/A</v>
      </c>
      <c r="D78" s="1" t="e">
        <v>#N/A</v>
      </c>
      <c r="E78" s="1" t="s">
        <v>2448</v>
      </c>
      <c r="F78" s="2" t="s">
        <v>2300</v>
      </c>
      <c r="G78" s="1" t="s">
        <v>2304</v>
      </c>
      <c r="H78" s="2">
        <v>16</v>
      </c>
      <c r="I78" s="3" t="s">
        <v>2333</v>
      </c>
      <c r="J78" t="s">
        <v>2365</v>
      </c>
      <c r="M78" s="3" t="s">
        <v>2301</v>
      </c>
      <c r="N78" s="3" t="s">
        <v>2255</v>
      </c>
      <c r="O78" t="s">
        <v>2310</v>
      </c>
    </row>
    <row r="79" spans="1:15" x14ac:dyDescent="0.25">
      <c r="A79" t="s">
        <v>2285</v>
      </c>
      <c r="B79" s="1" t="e">
        <v>#N/A</v>
      </c>
      <c r="C79" s="1" t="e">
        <v>#N/A</v>
      </c>
      <c r="D79" s="1" t="e">
        <v>#N/A</v>
      </c>
      <c r="E79" s="1" t="s">
        <v>2448</v>
      </c>
      <c r="F79" s="2" t="s">
        <v>2300</v>
      </c>
      <c r="G79" s="1" t="s">
        <v>2304</v>
      </c>
      <c r="H79" s="2">
        <v>16</v>
      </c>
      <c r="I79" s="3" t="s">
        <v>2313</v>
      </c>
      <c r="J79" t="s">
        <v>2365</v>
      </c>
      <c r="M79" s="3" t="s">
        <v>2301</v>
      </c>
      <c r="N79" s="3" t="s">
        <v>2255</v>
      </c>
      <c r="O79" t="s">
        <v>2310</v>
      </c>
    </row>
    <row r="80" spans="1:15" x14ac:dyDescent="0.25">
      <c r="A80" t="s">
        <v>2285</v>
      </c>
      <c r="B80" s="1" t="e">
        <v>#N/A</v>
      </c>
      <c r="C80" s="1" t="e">
        <v>#N/A</v>
      </c>
      <c r="D80" s="1" t="e">
        <v>#N/A</v>
      </c>
      <c r="E80" s="1" t="s">
        <v>2448</v>
      </c>
      <c r="F80" s="2" t="s">
        <v>2301</v>
      </c>
      <c r="G80" s="1" t="s">
        <v>2305</v>
      </c>
      <c r="H80" s="2">
        <v>16</v>
      </c>
      <c r="I80" s="3" t="s">
        <v>1</v>
      </c>
      <c r="J80" t="s">
        <v>2365</v>
      </c>
      <c r="M80" s="3" t="s">
        <v>2300</v>
      </c>
      <c r="N80" s="3" t="s">
        <v>2257</v>
      </c>
      <c r="O80" t="s">
        <v>2310</v>
      </c>
    </row>
    <row r="81" spans="1:15" x14ac:dyDescent="0.25">
      <c r="A81" t="s">
        <v>2285</v>
      </c>
      <c r="B81" s="1" t="e">
        <v>#N/A</v>
      </c>
      <c r="C81" s="1" t="e">
        <v>#N/A</v>
      </c>
      <c r="D81" s="1" t="e">
        <v>#N/A</v>
      </c>
      <c r="E81" s="1" t="s">
        <v>2298</v>
      </c>
      <c r="F81" s="2" t="s">
        <v>2300</v>
      </c>
      <c r="G81" s="1" t="s">
        <v>2304</v>
      </c>
      <c r="H81" s="2">
        <v>15</v>
      </c>
      <c r="I81" s="3" t="s">
        <v>22</v>
      </c>
      <c r="J81" t="s">
        <v>2365</v>
      </c>
      <c r="M81" s="3" t="s">
        <v>2300</v>
      </c>
      <c r="N81" s="3" t="s">
        <v>2255</v>
      </c>
      <c r="O81" t="s">
        <v>2310</v>
      </c>
    </row>
    <row r="82" spans="1:15" x14ac:dyDescent="0.25">
      <c r="A82" t="s">
        <v>2283</v>
      </c>
      <c r="B82" s="1" t="s">
        <v>2288</v>
      </c>
      <c r="C82" s="1" t="s">
        <v>2293</v>
      </c>
      <c r="D82" s="1" t="s">
        <v>2426</v>
      </c>
      <c r="E82" s="1" t="s">
        <v>2298</v>
      </c>
      <c r="F82" s="2" t="s">
        <v>2300</v>
      </c>
      <c r="G82" s="1" t="s">
        <v>2304</v>
      </c>
      <c r="H82" s="2">
        <v>15</v>
      </c>
      <c r="I82" s="3" t="s">
        <v>2316</v>
      </c>
      <c r="J82" t="s">
        <v>2365</v>
      </c>
      <c r="M82" s="3" t="s">
        <v>2300</v>
      </c>
      <c r="N82" s="3" t="s">
        <v>2255</v>
      </c>
      <c r="O82" t="s">
        <v>2310</v>
      </c>
    </row>
    <row r="83" spans="1:15" x14ac:dyDescent="0.25">
      <c r="A83" t="s">
        <v>2285</v>
      </c>
      <c r="B83" s="1" t="e">
        <v>#N/A</v>
      </c>
      <c r="C83" s="1" t="e">
        <v>#N/A</v>
      </c>
      <c r="D83" s="1" t="e">
        <v>#N/A</v>
      </c>
      <c r="E83" s="1" t="s">
        <v>2298</v>
      </c>
      <c r="F83" s="2" t="s">
        <v>2300</v>
      </c>
      <c r="G83" s="1" t="s">
        <v>2304</v>
      </c>
      <c r="H83" s="2">
        <v>15</v>
      </c>
      <c r="I83" s="3" t="s">
        <v>2388</v>
      </c>
      <c r="J83" t="s">
        <v>2365</v>
      </c>
      <c r="M83" s="3" t="s">
        <v>2300</v>
      </c>
      <c r="N83" s="3" t="s">
        <v>2255</v>
      </c>
      <c r="O83" t="s">
        <v>2310</v>
      </c>
    </row>
    <row r="84" spans="1:15" x14ac:dyDescent="0.25">
      <c r="A84" t="s">
        <v>2285</v>
      </c>
      <c r="B84" s="1" t="e">
        <v>#N/A</v>
      </c>
      <c r="C84" s="1" t="e">
        <v>#N/A</v>
      </c>
      <c r="D84" s="1" t="e">
        <v>#N/A</v>
      </c>
      <c r="E84" s="1" t="s">
        <v>2448</v>
      </c>
      <c r="F84" s="2" t="s">
        <v>2300</v>
      </c>
      <c r="G84" s="1" t="s">
        <v>2304</v>
      </c>
      <c r="H84" s="2">
        <v>15</v>
      </c>
      <c r="I84" s="3" t="s">
        <v>9</v>
      </c>
      <c r="J84" t="s">
        <v>2365</v>
      </c>
      <c r="M84" s="3" t="s">
        <v>2301</v>
      </c>
      <c r="N84" s="3" t="s">
        <v>2255</v>
      </c>
      <c r="O84" t="s">
        <v>2310</v>
      </c>
    </row>
    <row r="85" spans="1:15" x14ac:dyDescent="0.25">
      <c r="A85" t="s">
        <v>2285</v>
      </c>
      <c r="B85" s="1" t="e">
        <v>#N/A</v>
      </c>
      <c r="C85" s="1" t="e">
        <v>#N/A</v>
      </c>
      <c r="D85" s="1" t="e">
        <v>#N/A</v>
      </c>
      <c r="E85" s="1" t="s">
        <v>2298</v>
      </c>
      <c r="F85" s="2" t="s">
        <v>2300</v>
      </c>
      <c r="G85" s="1" t="s">
        <v>2304</v>
      </c>
      <c r="H85" s="2">
        <v>15</v>
      </c>
      <c r="I85" s="3" t="s">
        <v>2387</v>
      </c>
      <c r="J85" t="s">
        <v>2365</v>
      </c>
      <c r="M85" s="3" t="s">
        <v>2301</v>
      </c>
      <c r="N85" s="3" t="s">
        <v>2255</v>
      </c>
      <c r="O85" t="s">
        <v>2310</v>
      </c>
    </row>
    <row r="86" spans="1:15" x14ac:dyDescent="0.25">
      <c r="A86" t="s">
        <v>2285</v>
      </c>
      <c r="B86" s="1" t="e">
        <v>#N/A</v>
      </c>
      <c r="C86" s="1" t="e">
        <v>#N/A</v>
      </c>
      <c r="D86" s="1" t="e">
        <v>#N/A</v>
      </c>
      <c r="E86" s="1" t="s">
        <v>2448</v>
      </c>
      <c r="F86" s="2" t="s">
        <v>2300</v>
      </c>
      <c r="G86" s="1" t="s">
        <v>2304</v>
      </c>
      <c r="H86" s="2">
        <v>15</v>
      </c>
      <c r="I86" s="3" t="s">
        <v>2313</v>
      </c>
      <c r="J86" t="s">
        <v>2365</v>
      </c>
      <c r="M86" s="3" t="s">
        <v>2301</v>
      </c>
      <c r="N86" s="3" t="s">
        <v>2255</v>
      </c>
      <c r="O86" t="s">
        <v>2310</v>
      </c>
    </row>
    <row r="87" spans="1:15" x14ac:dyDescent="0.25">
      <c r="A87" t="s">
        <v>2285</v>
      </c>
      <c r="B87" s="1" t="e">
        <v>#N/A</v>
      </c>
      <c r="C87" s="1" t="e">
        <v>#N/A</v>
      </c>
      <c r="D87" s="1" t="e">
        <v>#N/A</v>
      </c>
      <c r="E87" s="1" t="s">
        <v>2298</v>
      </c>
      <c r="F87" s="2" t="s">
        <v>2300</v>
      </c>
      <c r="G87" s="1" t="s">
        <v>2304</v>
      </c>
      <c r="H87" s="2">
        <v>15</v>
      </c>
      <c r="I87" s="3" t="s">
        <v>29</v>
      </c>
      <c r="J87" t="s">
        <v>2365</v>
      </c>
      <c r="M87" s="3" t="s">
        <v>2300</v>
      </c>
      <c r="N87" s="3" t="s">
        <v>2255</v>
      </c>
      <c r="O87" t="s">
        <v>2310</v>
      </c>
    </row>
    <row r="88" spans="1:15" x14ac:dyDescent="0.25">
      <c r="A88" t="s">
        <v>2283</v>
      </c>
      <c r="B88" s="1" t="s">
        <v>2288</v>
      </c>
      <c r="C88" s="1" t="s">
        <v>2293</v>
      </c>
      <c r="D88" s="1" t="s">
        <v>2426</v>
      </c>
      <c r="E88" s="1" t="s">
        <v>2298</v>
      </c>
      <c r="F88" s="2" t="s">
        <v>2300</v>
      </c>
      <c r="G88" s="1" t="s">
        <v>2304</v>
      </c>
      <c r="H88" s="2">
        <v>15</v>
      </c>
      <c r="I88" s="3" t="s">
        <v>2392</v>
      </c>
      <c r="J88" t="s">
        <v>2365</v>
      </c>
      <c r="M88" s="3" t="s">
        <v>2300</v>
      </c>
      <c r="N88" s="3" t="s">
        <v>2255</v>
      </c>
      <c r="O88" t="s">
        <v>2310</v>
      </c>
    </row>
    <row r="89" spans="1:15" x14ac:dyDescent="0.25">
      <c r="A89" t="s">
        <v>2285</v>
      </c>
      <c r="B89" s="1" t="e">
        <v>#N/A</v>
      </c>
      <c r="C89" s="1" t="e">
        <v>#N/A</v>
      </c>
      <c r="D89" s="1" t="e">
        <v>#N/A</v>
      </c>
      <c r="E89" s="1" t="s">
        <v>2448</v>
      </c>
      <c r="F89" s="2" t="s">
        <v>2300</v>
      </c>
      <c r="G89" s="1" t="s">
        <v>2304</v>
      </c>
      <c r="H89" s="2">
        <v>15</v>
      </c>
      <c r="I89" s="3" t="s">
        <v>2390</v>
      </c>
      <c r="J89" t="s">
        <v>2365</v>
      </c>
      <c r="M89" s="3" t="s">
        <v>2301</v>
      </c>
      <c r="N89" s="3" t="s">
        <v>2255</v>
      </c>
      <c r="O89" t="s">
        <v>2310</v>
      </c>
    </row>
    <row r="90" spans="1:15" x14ac:dyDescent="0.25">
      <c r="A90" t="s">
        <v>2285</v>
      </c>
      <c r="B90" s="1" t="e">
        <v>#N/A</v>
      </c>
      <c r="C90" s="1" t="e">
        <v>#N/A</v>
      </c>
      <c r="D90" s="1" t="e">
        <v>#N/A</v>
      </c>
      <c r="E90" s="1" t="s">
        <v>2448</v>
      </c>
      <c r="F90" s="2" t="s">
        <v>2300</v>
      </c>
      <c r="G90" s="1" t="s">
        <v>2304</v>
      </c>
      <c r="H90" s="2">
        <v>15</v>
      </c>
      <c r="I90" s="3" t="s">
        <v>6</v>
      </c>
      <c r="J90" t="s">
        <v>2365</v>
      </c>
      <c r="M90" s="3" t="s">
        <v>2301</v>
      </c>
      <c r="N90" s="3" t="s">
        <v>2255</v>
      </c>
      <c r="O90" t="s">
        <v>2310</v>
      </c>
    </row>
    <row r="91" spans="1:15" x14ac:dyDescent="0.25">
      <c r="A91" t="s">
        <v>2285</v>
      </c>
      <c r="B91" s="1" t="e">
        <v>#N/A</v>
      </c>
      <c r="C91" s="1" t="e">
        <v>#N/A</v>
      </c>
      <c r="D91" s="1" t="e">
        <v>#N/A</v>
      </c>
      <c r="E91" s="1" t="s">
        <v>2298</v>
      </c>
      <c r="F91" s="2" t="s">
        <v>2300</v>
      </c>
      <c r="G91" s="1" t="s">
        <v>2304</v>
      </c>
      <c r="H91" s="2">
        <v>15</v>
      </c>
      <c r="I91" s="3" t="s">
        <v>21</v>
      </c>
      <c r="J91" t="s">
        <v>2365</v>
      </c>
      <c r="M91" s="3" t="s">
        <v>2300</v>
      </c>
      <c r="N91" s="3" t="s">
        <v>2255</v>
      </c>
      <c r="O91" t="s">
        <v>2310</v>
      </c>
    </row>
    <row r="92" spans="1:15" x14ac:dyDescent="0.25">
      <c r="A92" t="s">
        <v>2284</v>
      </c>
      <c r="B92" s="1" t="s">
        <v>2288</v>
      </c>
      <c r="C92" s="1" t="s">
        <v>2291</v>
      </c>
      <c r="D92" s="1" t="s">
        <v>2438</v>
      </c>
      <c r="E92" s="1" t="s">
        <v>2298</v>
      </c>
      <c r="F92" s="2" t="s">
        <v>2300</v>
      </c>
      <c r="G92" s="1" t="s">
        <v>2304</v>
      </c>
      <c r="H92" s="2">
        <v>15</v>
      </c>
      <c r="I92" s="3" t="s">
        <v>1</v>
      </c>
      <c r="J92" t="s">
        <v>2365</v>
      </c>
      <c r="M92" s="3" t="s">
        <v>2300</v>
      </c>
      <c r="N92" s="3" t="s">
        <v>2255</v>
      </c>
      <c r="O92" t="s">
        <v>2310</v>
      </c>
    </row>
    <row r="93" spans="1:15" x14ac:dyDescent="0.25">
      <c r="A93" t="s">
        <v>2285</v>
      </c>
      <c r="B93" s="1" t="e">
        <v>#N/A</v>
      </c>
      <c r="C93" s="1" t="e">
        <v>#N/A</v>
      </c>
      <c r="D93" s="1" t="e">
        <v>#N/A</v>
      </c>
      <c r="E93" s="1" t="s">
        <v>2448</v>
      </c>
      <c r="F93" s="2" t="s">
        <v>2300</v>
      </c>
      <c r="G93" s="1" t="s">
        <v>2304</v>
      </c>
      <c r="H93" s="2">
        <v>15</v>
      </c>
      <c r="I93" s="3" t="s">
        <v>2317</v>
      </c>
      <c r="J93" t="s">
        <v>2365</v>
      </c>
      <c r="M93" s="3" t="s">
        <v>2301</v>
      </c>
      <c r="N93" s="3" t="s">
        <v>2255</v>
      </c>
      <c r="O93" t="s">
        <v>2310</v>
      </c>
    </row>
    <row r="94" spans="1:15" x14ac:dyDescent="0.25">
      <c r="A94" t="s">
        <v>2284</v>
      </c>
      <c r="B94" s="1" t="s">
        <v>2288</v>
      </c>
      <c r="C94" s="1" t="s">
        <v>2291</v>
      </c>
      <c r="D94" s="1" t="s">
        <v>2438</v>
      </c>
      <c r="E94" s="1" t="s">
        <v>2298</v>
      </c>
      <c r="F94" s="2" t="s">
        <v>2300</v>
      </c>
      <c r="G94" s="1" t="s">
        <v>2304</v>
      </c>
      <c r="H94" s="2">
        <v>15</v>
      </c>
      <c r="I94" s="3" t="s">
        <v>2408</v>
      </c>
      <c r="J94" t="s">
        <v>2365</v>
      </c>
      <c r="M94" s="3" t="s">
        <v>2300</v>
      </c>
      <c r="N94" s="3" t="s">
        <v>2308</v>
      </c>
      <c r="O94" t="s">
        <v>2310</v>
      </c>
    </row>
    <row r="95" spans="1:15" x14ac:dyDescent="0.25">
      <c r="A95" t="s">
        <v>2284</v>
      </c>
      <c r="B95" s="1" t="s">
        <v>2288</v>
      </c>
      <c r="C95" s="1" t="s">
        <v>2291</v>
      </c>
      <c r="D95" s="1" t="s">
        <v>2438</v>
      </c>
      <c r="E95" s="1" t="s">
        <v>2298</v>
      </c>
      <c r="F95" s="2" t="s">
        <v>2300</v>
      </c>
      <c r="G95" s="1" t="s">
        <v>2304</v>
      </c>
      <c r="H95" s="2">
        <v>15</v>
      </c>
      <c r="I95" s="3" t="s">
        <v>5</v>
      </c>
      <c r="J95" t="s">
        <v>2365</v>
      </c>
      <c r="M95" s="3" t="s">
        <v>2300</v>
      </c>
      <c r="N95" s="3" t="s">
        <v>2255</v>
      </c>
      <c r="O95" t="s">
        <v>2310</v>
      </c>
    </row>
    <row r="96" spans="1:15" x14ac:dyDescent="0.25">
      <c r="A96" t="s">
        <v>2284</v>
      </c>
      <c r="B96" s="1" t="s">
        <v>2288</v>
      </c>
      <c r="C96" s="1" t="s">
        <v>2291</v>
      </c>
      <c r="D96" s="1" t="s">
        <v>2438</v>
      </c>
      <c r="E96" s="1" t="s">
        <v>2298</v>
      </c>
      <c r="F96" s="2" t="s">
        <v>2300</v>
      </c>
      <c r="G96" s="1" t="s">
        <v>2304</v>
      </c>
      <c r="H96" s="2">
        <v>15</v>
      </c>
      <c r="I96" s="3" t="s">
        <v>72</v>
      </c>
      <c r="J96" t="s">
        <v>2365</v>
      </c>
      <c r="M96" s="3" t="s">
        <v>2300</v>
      </c>
      <c r="N96" s="3" t="s">
        <v>2255</v>
      </c>
      <c r="O96" t="s">
        <v>2310</v>
      </c>
    </row>
    <row r="97" spans="1:15" x14ac:dyDescent="0.25">
      <c r="A97" t="s">
        <v>2284</v>
      </c>
      <c r="B97" s="1" t="s">
        <v>2288</v>
      </c>
      <c r="C97" s="1" t="s">
        <v>2291</v>
      </c>
      <c r="D97" s="1" t="s">
        <v>2438</v>
      </c>
      <c r="E97" s="1" t="s">
        <v>2298</v>
      </c>
      <c r="F97" s="2" t="s">
        <v>2300</v>
      </c>
      <c r="G97" s="1" t="s">
        <v>2304</v>
      </c>
      <c r="H97" s="2">
        <v>15</v>
      </c>
      <c r="I97" s="3" t="s">
        <v>48</v>
      </c>
      <c r="J97" t="s">
        <v>2365</v>
      </c>
      <c r="M97" s="3" t="s">
        <v>2300</v>
      </c>
      <c r="N97" s="3" t="s">
        <v>2255</v>
      </c>
      <c r="O97" t="s">
        <v>2310</v>
      </c>
    </row>
    <row r="98" spans="1:15" x14ac:dyDescent="0.25">
      <c r="A98" t="s">
        <v>2283</v>
      </c>
      <c r="B98" s="1" t="s">
        <v>2288</v>
      </c>
      <c r="C98" s="1" t="s">
        <v>2293</v>
      </c>
      <c r="D98" s="1" t="s">
        <v>2426</v>
      </c>
      <c r="E98" s="1" t="s">
        <v>2298</v>
      </c>
      <c r="F98" s="2" t="s">
        <v>2300</v>
      </c>
      <c r="G98" s="1" t="s">
        <v>2304</v>
      </c>
      <c r="H98" s="2">
        <v>15</v>
      </c>
      <c r="I98" s="3" t="s">
        <v>2328</v>
      </c>
      <c r="J98" t="s">
        <v>2365</v>
      </c>
      <c r="M98" s="3" t="s">
        <v>2300</v>
      </c>
      <c r="N98" s="3" t="s">
        <v>2255</v>
      </c>
      <c r="O98" t="s">
        <v>2310</v>
      </c>
    </row>
    <row r="99" spans="1:15" x14ac:dyDescent="0.25">
      <c r="A99" t="s">
        <v>2284</v>
      </c>
      <c r="B99" s="1" t="s">
        <v>2288</v>
      </c>
      <c r="C99" s="1" t="s">
        <v>2291</v>
      </c>
      <c r="D99" s="1" t="s">
        <v>2438</v>
      </c>
      <c r="E99" s="1" t="s">
        <v>2298</v>
      </c>
      <c r="F99" s="2" t="s">
        <v>2300</v>
      </c>
      <c r="G99" s="1" t="s">
        <v>2304</v>
      </c>
      <c r="H99" s="2">
        <v>15</v>
      </c>
      <c r="I99" s="3" t="s">
        <v>2321</v>
      </c>
      <c r="J99" t="s">
        <v>2365</v>
      </c>
      <c r="M99" s="3" t="s">
        <v>2300</v>
      </c>
      <c r="N99" s="3" t="s">
        <v>2255</v>
      </c>
      <c r="O99" t="s">
        <v>2310</v>
      </c>
    </row>
    <row r="100" spans="1:15" x14ac:dyDescent="0.25">
      <c r="A100" t="s">
        <v>2285</v>
      </c>
      <c r="B100" s="1" t="e">
        <v>#N/A</v>
      </c>
      <c r="C100" s="1" t="e">
        <v>#N/A</v>
      </c>
      <c r="D100" s="1" t="e">
        <v>#N/A</v>
      </c>
      <c r="E100" s="1" t="s">
        <v>2298</v>
      </c>
      <c r="F100" s="2" t="s">
        <v>2300</v>
      </c>
      <c r="G100" s="1" t="s">
        <v>2304</v>
      </c>
      <c r="H100" s="2">
        <v>15</v>
      </c>
      <c r="I100" s="3" t="s">
        <v>2330</v>
      </c>
      <c r="J100" t="s">
        <v>2365</v>
      </c>
      <c r="M100" s="3" t="s">
        <v>2300</v>
      </c>
      <c r="N100" s="3" t="s">
        <v>2255</v>
      </c>
      <c r="O100" t="s">
        <v>2310</v>
      </c>
    </row>
    <row r="101" spans="1:15" x14ac:dyDescent="0.25">
      <c r="A101" t="s">
        <v>2285</v>
      </c>
      <c r="B101" s="1" t="e">
        <v>#N/A</v>
      </c>
      <c r="C101" s="1" t="e">
        <v>#N/A</v>
      </c>
      <c r="D101" s="1" t="e">
        <v>#N/A</v>
      </c>
      <c r="E101" s="1" t="s">
        <v>2298</v>
      </c>
      <c r="F101" s="2" t="s">
        <v>2300</v>
      </c>
      <c r="G101" s="1" t="s">
        <v>2304</v>
      </c>
      <c r="H101" s="2">
        <v>15</v>
      </c>
      <c r="I101" s="3" t="s">
        <v>19</v>
      </c>
      <c r="J101" t="s">
        <v>2365</v>
      </c>
      <c r="M101" s="3" t="s">
        <v>2300</v>
      </c>
      <c r="N101" s="3" t="s">
        <v>2255</v>
      </c>
      <c r="O101" t="s">
        <v>2310</v>
      </c>
    </row>
    <row r="102" spans="1:15" x14ac:dyDescent="0.25">
      <c r="A102" t="s">
        <v>2285</v>
      </c>
      <c r="B102" s="1" t="e">
        <v>#N/A</v>
      </c>
      <c r="C102" s="1" t="e">
        <v>#N/A</v>
      </c>
      <c r="D102" s="1" t="e">
        <v>#N/A</v>
      </c>
      <c r="E102" s="1" t="s">
        <v>2448</v>
      </c>
      <c r="F102" s="2" t="s">
        <v>2300</v>
      </c>
      <c r="G102" s="1" t="s">
        <v>2304</v>
      </c>
      <c r="H102" s="2">
        <v>15</v>
      </c>
      <c r="I102" s="3" t="s">
        <v>2317</v>
      </c>
      <c r="J102" t="s">
        <v>2365</v>
      </c>
      <c r="M102" s="3" t="s">
        <v>2301</v>
      </c>
      <c r="N102" s="3" t="s">
        <v>2255</v>
      </c>
      <c r="O102" t="s">
        <v>2310</v>
      </c>
    </row>
    <row r="103" spans="1:15" x14ac:dyDescent="0.25">
      <c r="A103" t="s">
        <v>2285</v>
      </c>
      <c r="B103" s="1" t="e">
        <v>#N/A</v>
      </c>
      <c r="C103" s="1" t="e">
        <v>#N/A</v>
      </c>
      <c r="D103" s="1" t="e">
        <v>#N/A</v>
      </c>
      <c r="E103" s="1" t="s">
        <v>2298</v>
      </c>
      <c r="F103" s="2" t="s">
        <v>2300</v>
      </c>
      <c r="G103" s="1" t="s">
        <v>2305</v>
      </c>
      <c r="H103" s="2">
        <v>15</v>
      </c>
      <c r="I103" s="3" t="s">
        <v>2389</v>
      </c>
      <c r="J103" t="s">
        <v>2365</v>
      </c>
      <c r="M103" s="3" t="s">
        <v>2300</v>
      </c>
      <c r="N103" s="3" t="s">
        <v>2258</v>
      </c>
      <c r="O103" t="s">
        <v>2310</v>
      </c>
    </row>
    <row r="104" spans="1:15" x14ac:dyDescent="0.25">
      <c r="A104" t="s">
        <v>2285</v>
      </c>
      <c r="B104" s="1" t="e">
        <v>#N/A</v>
      </c>
      <c r="C104" s="1" t="e">
        <v>#N/A</v>
      </c>
      <c r="D104" s="1" t="e">
        <v>#N/A</v>
      </c>
      <c r="E104" s="1" t="s">
        <v>2448</v>
      </c>
      <c r="F104" s="2" t="s">
        <v>2300</v>
      </c>
      <c r="G104" s="1" t="s">
        <v>2305</v>
      </c>
      <c r="H104" s="2">
        <v>15</v>
      </c>
      <c r="I104" s="3" t="s">
        <v>2390</v>
      </c>
      <c r="J104" t="s">
        <v>2365</v>
      </c>
      <c r="M104" s="3" t="s">
        <v>2301</v>
      </c>
      <c r="N104" s="3" t="s">
        <v>2257</v>
      </c>
      <c r="O104" t="s">
        <v>2310</v>
      </c>
    </row>
    <row r="105" spans="1:15" x14ac:dyDescent="0.25">
      <c r="A105" t="s">
        <v>2285</v>
      </c>
      <c r="B105" s="1" t="e">
        <v>#N/A</v>
      </c>
      <c r="C105" s="1" t="e">
        <v>#N/A</v>
      </c>
      <c r="D105" s="1" t="e">
        <v>#N/A</v>
      </c>
      <c r="E105" s="1" t="s">
        <v>2298</v>
      </c>
      <c r="F105" s="2" t="s">
        <v>2300</v>
      </c>
      <c r="G105" s="1" t="s">
        <v>2304</v>
      </c>
      <c r="H105" s="2">
        <v>14</v>
      </c>
      <c r="I105" s="3" t="s">
        <v>22</v>
      </c>
      <c r="J105" t="s">
        <v>2365</v>
      </c>
      <c r="M105" s="3" t="s">
        <v>2300</v>
      </c>
      <c r="N105" s="3" t="s">
        <v>2255</v>
      </c>
      <c r="O105" t="s">
        <v>2310</v>
      </c>
    </row>
    <row r="106" spans="1:15" x14ac:dyDescent="0.25">
      <c r="A106" t="s">
        <v>2283</v>
      </c>
      <c r="B106" s="1" t="s">
        <v>2288</v>
      </c>
      <c r="C106" s="1" t="s">
        <v>2293</v>
      </c>
      <c r="D106" s="1" t="s">
        <v>2431</v>
      </c>
      <c r="E106" s="1" t="s">
        <v>2298</v>
      </c>
      <c r="F106" s="2" t="s">
        <v>2300</v>
      </c>
      <c r="G106" s="1" t="s">
        <v>2304</v>
      </c>
      <c r="H106" s="2">
        <v>14</v>
      </c>
      <c r="I106" s="3" t="s">
        <v>2316</v>
      </c>
      <c r="J106" t="s">
        <v>2365</v>
      </c>
      <c r="M106" s="3" t="s">
        <v>2300</v>
      </c>
      <c r="N106" s="3" t="s">
        <v>2255</v>
      </c>
      <c r="O106" t="s">
        <v>2310</v>
      </c>
    </row>
    <row r="107" spans="1:15" x14ac:dyDescent="0.25">
      <c r="A107" t="s">
        <v>2283</v>
      </c>
      <c r="B107" s="1" t="s">
        <v>2289</v>
      </c>
      <c r="C107" s="1" t="s">
        <v>2291</v>
      </c>
      <c r="D107" s="1" t="s">
        <v>2438</v>
      </c>
      <c r="E107" s="1" t="s">
        <v>2298</v>
      </c>
      <c r="F107" s="2" t="s">
        <v>2300</v>
      </c>
      <c r="G107" s="1" t="s">
        <v>2304</v>
      </c>
      <c r="H107" s="2">
        <v>14</v>
      </c>
      <c r="I107" s="3" t="s">
        <v>2397</v>
      </c>
      <c r="J107" t="s">
        <v>2365</v>
      </c>
      <c r="M107" s="3" t="s">
        <v>2300</v>
      </c>
      <c r="N107" s="3" t="s">
        <v>2255</v>
      </c>
      <c r="O107" t="s">
        <v>2310</v>
      </c>
    </row>
    <row r="108" spans="1:15" x14ac:dyDescent="0.25">
      <c r="A108" t="s">
        <v>2283</v>
      </c>
      <c r="B108" s="1" t="s">
        <v>2289</v>
      </c>
      <c r="C108" s="1" t="s">
        <v>2291</v>
      </c>
      <c r="D108" s="1" t="s">
        <v>2426</v>
      </c>
      <c r="E108" s="1" t="s">
        <v>2298</v>
      </c>
      <c r="F108" s="2" t="s">
        <v>2300</v>
      </c>
      <c r="G108" s="1" t="s">
        <v>2304</v>
      </c>
      <c r="H108" s="2">
        <v>14</v>
      </c>
      <c r="I108" s="3" t="s">
        <v>2371</v>
      </c>
      <c r="J108" t="s">
        <v>2365</v>
      </c>
      <c r="M108" s="3" t="s">
        <v>2300</v>
      </c>
      <c r="N108" s="3" t="s">
        <v>2255</v>
      </c>
      <c r="O108" t="s">
        <v>2310</v>
      </c>
    </row>
    <row r="109" spans="1:15" x14ac:dyDescent="0.25">
      <c r="A109" t="s">
        <v>2285</v>
      </c>
      <c r="B109" s="1" t="e">
        <v>#N/A</v>
      </c>
      <c r="C109" s="1" t="e">
        <v>#N/A</v>
      </c>
      <c r="D109" s="1" t="e">
        <v>#N/A</v>
      </c>
      <c r="E109" s="1" t="s">
        <v>2448</v>
      </c>
      <c r="F109" s="2" t="s">
        <v>2301</v>
      </c>
      <c r="G109" s="1" t="s">
        <v>2304</v>
      </c>
      <c r="H109" s="2">
        <v>14</v>
      </c>
      <c r="I109" s="3" t="s">
        <v>5</v>
      </c>
      <c r="J109" t="s">
        <v>2365</v>
      </c>
      <c r="M109" s="3" t="s">
        <v>2300</v>
      </c>
      <c r="N109" s="3" t="s">
        <v>2255</v>
      </c>
      <c r="O109" t="s">
        <v>2310</v>
      </c>
    </row>
    <row r="110" spans="1:15" x14ac:dyDescent="0.25">
      <c r="A110" t="s">
        <v>2285</v>
      </c>
      <c r="B110" s="1" t="s">
        <v>2289</v>
      </c>
      <c r="C110" s="1" t="s">
        <v>2291</v>
      </c>
      <c r="D110" s="1" t="s">
        <v>2447</v>
      </c>
      <c r="E110" s="1" t="s">
        <v>2448</v>
      </c>
      <c r="F110" s="2" t="s">
        <v>2301</v>
      </c>
      <c r="G110" s="1" t="s">
        <v>2304</v>
      </c>
      <c r="H110" s="2">
        <v>14</v>
      </c>
      <c r="I110" s="3" t="s">
        <v>2395</v>
      </c>
      <c r="J110" t="s">
        <v>2365</v>
      </c>
      <c r="M110" s="3" t="s">
        <v>2300</v>
      </c>
      <c r="N110" s="3" t="s">
        <v>2255</v>
      </c>
      <c r="O110" t="s">
        <v>2310</v>
      </c>
    </row>
    <row r="111" spans="1:15" x14ac:dyDescent="0.25">
      <c r="A111" t="s">
        <v>2285</v>
      </c>
      <c r="B111" s="1" t="e">
        <v>#N/A</v>
      </c>
      <c r="C111" s="1" t="e">
        <v>#N/A</v>
      </c>
      <c r="D111" s="1" t="e">
        <v>#N/A</v>
      </c>
      <c r="E111" s="1" t="s">
        <v>2448</v>
      </c>
      <c r="F111" s="2" t="s">
        <v>2301</v>
      </c>
      <c r="G111" s="1" t="s">
        <v>2304</v>
      </c>
      <c r="H111" s="2">
        <v>14</v>
      </c>
      <c r="I111" s="3" t="s">
        <v>9</v>
      </c>
      <c r="J111" t="s">
        <v>2365</v>
      </c>
      <c r="M111" s="3" t="s">
        <v>2300</v>
      </c>
      <c r="N111" s="3" t="s">
        <v>2255</v>
      </c>
      <c r="O111" t="s">
        <v>2310</v>
      </c>
    </row>
    <row r="112" spans="1:15" x14ac:dyDescent="0.25">
      <c r="A112" t="s">
        <v>2285</v>
      </c>
      <c r="B112" s="1" t="e">
        <v>#N/A</v>
      </c>
      <c r="C112" s="1" t="e">
        <v>#N/A</v>
      </c>
      <c r="D112" s="1" t="e">
        <v>#N/A</v>
      </c>
      <c r="E112" s="1" t="s">
        <v>2298</v>
      </c>
      <c r="F112" s="2" t="s">
        <v>2300</v>
      </c>
      <c r="G112" s="1" t="s">
        <v>2304</v>
      </c>
      <c r="H112" s="2">
        <v>14</v>
      </c>
      <c r="I112" s="3" t="s">
        <v>2409</v>
      </c>
      <c r="J112" t="s">
        <v>2365</v>
      </c>
      <c r="M112" s="3" t="s">
        <v>2300</v>
      </c>
      <c r="N112" s="3" t="s">
        <v>2255</v>
      </c>
      <c r="O112" t="s">
        <v>2310</v>
      </c>
    </row>
    <row r="113" spans="1:15" x14ac:dyDescent="0.25">
      <c r="A113" t="s">
        <v>2285</v>
      </c>
      <c r="B113" s="1" t="s">
        <v>2289</v>
      </c>
      <c r="C113" s="1" t="s">
        <v>2379</v>
      </c>
      <c r="D113" s="1" t="s">
        <v>2447</v>
      </c>
      <c r="E113" s="1" t="s">
        <v>2448</v>
      </c>
      <c r="F113" s="2" t="s">
        <v>2301</v>
      </c>
      <c r="G113" s="1" t="s">
        <v>2304</v>
      </c>
      <c r="H113" s="2">
        <v>14</v>
      </c>
      <c r="I113" s="3" t="s">
        <v>11</v>
      </c>
      <c r="J113" t="s">
        <v>2365</v>
      </c>
      <c r="M113" s="3" t="s">
        <v>2300</v>
      </c>
      <c r="N113" s="3" t="s">
        <v>2255</v>
      </c>
      <c r="O113" t="s">
        <v>2310</v>
      </c>
    </row>
    <row r="114" spans="1:15" x14ac:dyDescent="0.25">
      <c r="A114" t="s">
        <v>2285</v>
      </c>
      <c r="B114" s="1" t="e">
        <v>#N/A</v>
      </c>
      <c r="C114" s="1" t="e">
        <v>#N/A</v>
      </c>
      <c r="D114" s="1" t="e">
        <v>#N/A</v>
      </c>
      <c r="E114" s="1" t="s">
        <v>2448</v>
      </c>
      <c r="F114" s="2" t="s">
        <v>2301</v>
      </c>
      <c r="G114" s="1" t="s">
        <v>2304</v>
      </c>
      <c r="H114" s="2">
        <v>14</v>
      </c>
      <c r="I114" s="3" t="s">
        <v>2348</v>
      </c>
      <c r="J114" t="s">
        <v>2365</v>
      </c>
      <c r="M114" s="3" t="s">
        <v>2300</v>
      </c>
      <c r="N114" s="3" t="s">
        <v>2255</v>
      </c>
      <c r="O114" t="s">
        <v>2310</v>
      </c>
    </row>
    <row r="115" spans="1:15" x14ac:dyDescent="0.25">
      <c r="A115" t="s">
        <v>2285</v>
      </c>
      <c r="B115" s="1" t="e">
        <v>#N/A</v>
      </c>
      <c r="C115" s="1" t="e">
        <v>#N/A</v>
      </c>
      <c r="D115" s="1" t="e">
        <v>#N/A</v>
      </c>
      <c r="E115" s="1" t="s">
        <v>2448</v>
      </c>
      <c r="F115" s="2" t="s">
        <v>2301</v>
      </c>
      <c r="G115" s="1" t="s">
        <v>2304</v>
      </c>
      <c r="H115" s="2">
        <v>14</v>
      </c>
      <c r="I115" s="3" t="s">
        <v>2321</v>
      </c>
      <c r="J115" t="s">
        <v>2365</v>
      </c>
      <c r="M115" s="3" t="s">
        <v>2300</v>
      </c>
      <c r="N115" s="3" t="s">
        <v>2255</v>
      </c>
      <c r="O115" t="s">
        <v>2310</v>
      </c>
    </row>
    <row r="116" spans="1:15" x14ac:dyDescent="0.25">
      <c r="A116" t="s">
        <v>2285</v>
      </c>
      <c r="B116" s="1" t="e">
        <v>#N/A</v>
      </c>
      <c r="C116" s="1" t="e">
        <v>#N/A</v>
      </c>
      <c r="D116" s="1" t="e">
        <v>#N/A</v>
      </c>
      <c r="E116" s="1" t="s">
        <v>2448</v>
      </c>
      <c r="F116" s="2" t="s">
        <v>2301</v>
      </c>
      <c r="G116" s="1" t="s">
        <v>2304</v>
      </c>
      <c r="H116" s="2">
        <v>14</v>
      </c>
      <c r="I116" s="3" t="s">
        <v>2321</v>
      </c>
      <c r="J116" t="s">
        <v>2365</v>
      </c>
      <c r="M116" s="3" t="s">
        <v>2300</v>
      </c>
      <c r="N116" s="3" t="s">
        <v>2255</v>
      </c>
      <c r="O116" t="s">
        <v>2310</v>
      </c>
    </row>
    <row r="117" spans="1:15" x14ac:dyDescent="0.25">
      <c r="A117" t="s">
        <v>2285</v>
      </c>
      <c r="B117" s="1" t="e">
        <v>#N/A</v>
      </c>
      <c r="C117" s="1" t="e">
        <v>#N/A</v>
      </c>
      <c r="D117" s="1" t="e">
        <v>#N/A</v>
      </c>
      <c r="E117" s="1" t="s">
        <v>2448</v>
      </c>
      <c r="F117" s="2" t="s">
        <v>2301</v>
      </c>
      <c r="G117" s="1" t="s">
        <v>2303</v>
      </c>
      <c r="H117" s="2">
        <v>14</v>
      </c>
      <c r="I117" s="3" t="s">
        <v>2321</v>
      </c>
      <c r="J117" t="s">
        <v>2365</v>
      </c>
      <c r="M117" s="3" t="s">
        <v>2300</v>
      </c>
      <c r="N117" s="3" t="s">
        <v>2256</v>
      </c>
      <c r="O117" t="s">
        <v>2310</v>
      </c>
    </row>
    <row r="118" spans="1:15" x14ac:dyDescent="0.25">
      <c r="A118" t="s">
        <v>2286</v>
      </c>
      <c r="B118" s="1" t="s">
        <v>2288</v>
      </c>
      <c r="C118" s="1" t="s">
        <v>2291</v>
      </c>
      <c r="D118" s="1" t="s">
        <v>2431</v>
      </c>
      <c r="E118" s="1" t="s">
        <v>2298</v>
      </c>
      <c r="F118" s="2" t="s">
        <v>2300</v>
      </c>
      <c r="G118" s="1" t="s">
        <v>2304</v>
      </c>
      <c r="H118" s="2">
        <v>13</v>
      </c>
      <c r="I118" s="3" t="s">
        <v>2317</v>
      </c>
      <c r="J118" t="s">
        <v>2365</v>
      </c>
      <c r="M118" s="3" t="s">
        <v>2300</v>
      </c>
      <c r="N118" s="3" t="s">
        <v>2255</v>
      </c>
      <c r="O118" t="s">
        <v>2310</v>
      </c>
    </row>
    <row r="119" spans="1:15" x14ac:dyDescent="0.25">
      <c r="A119" t="s">
        <v>2283</v>
      </c>
      <c r="B119" s="1" t="s">
        <v>2289</v>
      </c>
      <c r="C119" s="1" t="s">
        <v>2291</v>
      </c>
      <c r="D119" s="1" t="s">
        <v>2427</v>
      </c>
      <c r="E119" s="1" t="s">
        <v>2298</v>
      </c>
      <c r="F119" s="2" t="s">
        <v>2300</v>
      </c>
      <c r="G119" s="1" t="s">
        <v>2304</v>
      </c>
      <c r="H119" s="2">
        <v>13</v>
      </c>
      <c r="I119" s="3" t="s">
        <v>2405</v>
      </c>
      <c r="J119" t="s">
        <v>2365</v>
      </c>
      <c r="M119" s="3" t="s">
        <v>2300</v>
      </c>
      <c r="N119" s="3" t="s">
        <v>2255</v>
      </c>
      <c r="O119" t="s">
        <v>2310</v>
      </c>
    </row>
    <row r="120" spans="1:15" x14ac:dyDescent="0.25">
      <c r="A120" t="s">
        <v>2285</v>
      </c>
      <c r="B120" s="1" t="e">
        <v>#N/A</v>
      </c>
      <c r="C120" s="1" t="e">
        <v>#N/A</v>
      </c>
      <c r="D120" s="1" t="e">
        <v>#N/A</v>
      </c>
      <c r="E120" s="1" t="s">
        <v>2448</v>
      </c>
      <c r="F120" s="2" t="s">
        <v>2301</v>
      </c>
      <c r="G120" s="1" t="s">
        <v>2303</v>
      </c>
      <c r="H120" s="2">
        <v>13</v>
      </c>
      <c r="I120" s="3" t="s">
        <v>2332</v>
      </c>
      <c r="J120" t="s">
        <v>2365</v>
      </c>
      <c r="M120" s="3" t="s">
        <v>2300</v>
      </c>
      <c r="N120" s="3" t="s">
        <v>2256</v>
      </c>
      <c r="O120" t="s">
        <v>2310</v>
      </c>
    </row>
    <row r="121" spans="1:15" x14ac:dyDescent="0.25">
      <c r="A121" t="s">
        <v>2285</v>
      </c>
      <c r="B121" s="1" t="e">
        <v>#N/A</v>
      </c>
      <c r="C121" s="1" t="e">
        <v>#N/A</v>
      </c>
      <c r="D121" s="1" t="e">
        <v>#N/A</v>
      </c>
      <c r="E121" s="1" t="s">
        <v>2298</v>
      </c>
      <c r="F121" s="2" t="s">
        <v>2300</v>
      </c>
      <c r="G121" s="1" t="s">
        <v>2304</v>
      </c>
      <c r="H121" s="2">
        <v>13</v>
      </c>
      <c r="I121" s="3" t="s">
        <v>107</v>
      </c>
      <c r="J121" t="s">
        <v>2365</v>
      </c>
      <c r="M121" s="3" t="s">
        <v>2300</v>
      </c>
      <c r="N121" s="3" t="s">
        <v>2255</v>
      </c>
      <c r="O121" t="s">
        <v>2310</v>
      </c>
    </row>
    <row r="122" spans="1:15" x14ac:dyDescent="0.25">
      <c r="A122" t="s">
        <v>2285</v>
      </c>
      <c r="B122" s="1" t="e">
        <v>#N/A</v>
      </c>
      <c r="C122" s="1" t="e">
        <v>#N/A</v>
      </c>
      <c r="D122" s="1" t="e">
        <v>#N/A</v>
      </c>
      <c r="E122" s="1" t="s">
        <v>2448</v>
      </c>
      <c r="F122" s="2" t="s">
        <v>2301</v>
      </c>
      <c r="G122" s="1" t="s">
        <v>2304</v>
      </c>
      <c r="H122" s="2">
        <v>13</v>
      </c>
      <c r="I122" s="3" t="s">
        <v>2404</v>
      </c>
      <c r="J122" t="s">
        <v>2365</v>
      </c>
      <c r="M122" s="3" t="s">
        <v>2300</v>
      </c>
      <c r="N122" s="3" t="s">
        <v>2255</v>
      </c>
      <c r="O122" t="s">
        <v>2310</v>
      </c>
    </row>
    <row r="123" spans="1:15" x14ac:dyDescent="0.25">
      <c r="A123" t="s">
        <v>2285</v>
      </c>
      <c r="B123" s="1" t="e">
        <v>#N/A</v>
      </c>
      <c r="C123" s="1" t="e">
        <v>#N/A</v>
      </c>
      <c r="D123" s="1" t="e">
        <v>#N/A</v>
      </c>
      <c r="E123" s="1" t="s">
        <v>2448</v>
      </c>
      <c r="F123" s="2" t="s">
        <v>2301</v>
      </c>
      <c r="G123" s="1" t="s">
        <v>2304</v>
      </c>
      <c r="H123" s="2">
        <v>13</v>
      </c>
      <c r="I123" s="3" t="s">
        <v>2317</v>
      </c>
      <c r="J123" t="s">
        <v>2365</v>
      </c>
      <c r="M123" s="3" t="s">
        <v>2300</v>
      </c>
      <c r="N123" s="3" t="s">
        <v>2255</v>
      </c>
      <c r="O123" t="s">
        <v>2310</v>
      </c>
    </row>
    <row r="124" spans="1:15" x14ac:dyDescent="0.25">
      <c r="A124" t="s">
        <v>2285</v>
      </c>
      <c r="B124" s="1" t="e">
        <v>#N/A</v>
      </c>
      <c r="C124" s="1" t="e">
        <v>#N/A</v>
      </c>
      <c r="D124" s="1" t="e">
        <v>#N/A</v>
      </c>
      <c r="E124" s="1" t="s">
        <v>2448</v>
      </c>
      <c r="F124" s="2" t="s">
        <v>2301</v>
      </c>
      <c r="G124" s="1" t="s">
        <v>2304</v>
      </c>
      <c r="H124" s="2">
        <v>13</v>
      </c>
      <c r="I124" s="3" t="s">
        <v>5</v>
      </c>
      <c r="J124" t="s">
        <v>2365</v>
      </c>
      <c r="M124" s="3" t="s">
        <v>2300</v>
      </c>
      <c r="N124" s="3" t="s">
        <v>2255</v>
      </c>
      <c r="O124" t="s">
        <v>2310</v>
      </c>
    </row>
    <row r="125" spans="1:15" x14ac:dyDescent="0.25">
      <c r="A125" t="s">
        <v>2285</v>
      </c>
      <c r="B125" s="1" t="e">
        <v>#N/A</v>
      </c>
      <c r="C125" s="1" t="e">
        <v>#N/A</v>
      </c>
      <c r="D125" s="1" t="e">
        <v>#N/A</v>
      </c>
      <c r="E125" s="1" t="s">
        <v>2448</v>
      </c>
      <c r="F125" s="2" t="s">
        <v>2301</v>
      </c>
      <c r="G125" s="1" t="s">
        <v>2304</v>
      </c>
      <c r="H125" s="2">
        <v>13</v>
      </c>
      <c r="I125" s="3" t="s">
        <v>7</v>
      </c>
      <c r="J125" t="s">
        <v>2365</v>
      </c>
      <c r="M125" s="3" t="s">
        <v>2300</v>
      </c>
      <c r="N125" s="3" t="s">
        <v>2255</v>
      </c>
      <c r="O125" t="s">
        <v>2310</v>
      </c>
    </row>
    <row r="126" spans="1:15" x14ac:dyDescent="0.25">
      <c r="A126" t="s">
        <v>2285</v>
      </c>
      <c r="B126" s="1" t="e">
        <v>#N/A</v>
      </c>
      <c r="C126" s="1" t="e">
        <v>#N/A</v>
      </c>
      <c r="D126" s="1" t="e">
        <v>#N/A</v>
      </c>
      <c r="E126" s="1" t="s">
        <v>2448</v>
      </c>
      <c r="F126" s="2" t="s">
        <v>2301</v>
      </c>
      <c r="G126" s="1" t="s">
        <v>2304</v>
      </c>
      <c r="H126" s="2">
        <v>13</v>
      </c>
      <c r="I126" s="3" t="s">
        <v>2321</v>
      </c>
      <c r="J126" t="s">
        <v>2365</v>
      </c>
      <c r="M126" s="3" t="s">
        <v>2300</v>
      </c>
      <c r="N126" s="3" t="s">
        <v>2255</v>
      </c>
      <c r="O126" t="s">
        <v>2310</v>
      </c>
    </row>
    <row r="127" spans="1:15" x14ac:dyDescent="0.25">
      <c r="A127" t="s">
        <v>2285</v>
      </c>
      <c r="B127" s="1" t="e">
        <v>#N/A</v>
      </c>
      <c r="C127" s="1" t="e">
        <v>#N/A</v>
      </c>
      <c r="D127" s="1" t="e">
        <v>#N/A</v>
      </c>
      <c r="E127" s="1" t="s">
        <v>2298</v>
      </c>
      <c r="F127" s="2" t="s">
        <v>2300</v>
      </c>
      <c r="G127" s="1" t="s">
        <v>2303</v>
      </c>
      <c r="H127" s="2">
        <v>13</v>
      </c>
      <c r="I127" s="3" t="s">
        <v>107</v>
      </c>
      <c r="J127" t="s">
        <v>2365</v>
      </c>
      <c r="M127" s="3" t="s">
        <v>2300</v>
      </c>
      <c r="N127" s="3" t="s">
        <v>2256</v>
      </c>
      <c r="O127" t="s">
        <v>2310</v>
      </c>
    </row>
    <row r="128" spans="1:15" x14ac:dyDescent="0.25">
      <c r="A128" t="s">
        <v>2285</v>
      </c>
      <c r="B128" s="1" t="e">
        <v>#N/A</v>
      </c>
      <c r="C128" s="1" t="e">
        <v>#N/A</v>
      </c>
      <c r="D128" s="1" t="e">
        <v>#N/A</v>
      </c>
      <c r="E128" s="1" t="s">
        <v>2298</v>
      </c>
      <c r="F128" s="2" t="s">
        <v>2300</v>
      </c>
      <c r="G128" s="1" t="s">
        <v>2304</v>
      </c>
      <c r="H128" s="2">
        <v>13</v>
      </c>
      <c r="I128" s="3" t="s">
        <v>22</v>
      </c>
      <c r="J128" t="s">
        <v>2365</v>
      </c>
      <c r="M128" s="3" t="s">
        <v>2300</v>
      </c>
      <c r="N128" s="3" t="s">
        <v>2255</v>
      </c>
      <c r="O128" t="s">
        <v>2310</v>
      </c>
    </row>
    <row r="129" spans="1:15" x14ac:dyDescent="0.25">
      <c r="A129" t="s">
        <v>2285</v>
      </c>
      <c r="B129" s="1" t="e">
        <v>#N/A</v>
      </c>
      <c r="C129" s="1" t="e">
        <v>#N/A</v>
      </c>
      <c r="D129" s="1" t="e">
        <v>#N/A</v>
      </c>
      <c r="E129" s="1" t="s">
        <v>2298</v>
      </c>
      <c r="F129" s="2" t="s">
        <v>2300</v>
      </c>
      <c r="G129" s="1" t="s">
        <v>2304</v>
      </c>
      <c r="H129" s="2">
        <v>13</v>
      </c>
      <c r="I129" s="3" t="s">
        <v>2380</v>
      </c>
      <c r="J129" t="s">
        <v>2365</v>
      </c>
      <c r="M129" s="3" t="s">
        <v>2300</v>
      </c>
      <c r="N129" s="3" t="s">
        <v>2255</v>
      </c>
      <c r="O129" t="s">
        <v>2310</v>
      </c>
    </row>
    <row r="130" spans="1:15" x14ac:dyDescent="0.25">
      <c r="A130" t="s">
        <v>2285</v>
      </c>
      <c r="B130" s="1" t="e">
        <v>#N/A</v>
      </c>
      <c r="C130" s="1" t="e">
        <v>#N/A</v>
      </c>
      <c r="D130" s="1" t="e">
        <v>#N/A</v>
      </c>
      <c r="E130" s="1" t="s">
        <v>2298</v>
      </c>
      <c r="F130" s="2" t="s">
        <v>2300</v>
      </c>
      <c r="G130" s="1" t="s">
        <v>2304</v>
      </c>
      <c r="H130" s="2">
        <v>13</v>
      </c>
      <c r="I130" s="3" t="s">
        <v>24</v>
      </c>
      <c r="J130" t="s">
        <v>2365</v>
      </c>
      <c r="M130" s="3" t="s">
        <v>2300</v>
      </c>
      <c r="N130" s="3" t="s">
        <v>2255</v>
      </c>
      <c r="O130" t="s">
        <v>2310</v>
      </c>
    </row>
    <row r="131" spans="1:15" x14ac:dyDescent="0.25">
      <c r="A131" t="s">
        <v>2285</v>
      </c>
      <c r="B131" s="1" t="e">
        <v>#N/A</v>
      </c>
      <c r="C131" s="1" t="e">
        <v>#N/A</v>
      </c>
      <c r="D131" s="1" t="e">
        <v>#N/A</v>
      </c>
      <c r="E131" s="1" t="s">
        <v>2298</v>
      </c>
      <c r="F131" s="2" t="s">
        <v>2300</v>
      </c>
      <c r="G131" s="1" t="s">
        <v>2304</v>
      </c>
      <c r="H131" s="2">
        <v>13</v>
      </c>
      <c r="I131" s="3" t="s">
        <v>107</v>
      </c>
      <c r="J131" t="s">
        <v>2365</v>
      </c>
      <c r="M131" s="3" t="s">
        <v>2300</v>
      </c>
      <c r="N131" s="3" t="s">
        <v>2255</v>
      </c>
      <c r="O131" t="s">
        <v>2310</v>
      </c>
    </row>
    <row r="132" spans="1:15" x14ac:dyDescent="0.25">
      <c r="A132" t="s">
        <v>2285</v>
      </c>
      <c r="B132" s="1" t="e">
        <v>#N/A</v>
      </c>
      <c r="C132" s="1" t="e">
        <v>#N/A</v>
      </c>
      <c r="D132" s="1" t="e">
        <v>#N/A</v>
      </c>
      <c r="E132" s="1" t="s">
        <v>2448</v>
      </c>
      <c r="F132" s="2" t="s">
        <v>2301</v>
      </c>
      <c r="G132" s="1" t="s">
        <v>2304</v>
      </c>
      <c r="H132" s="2">
        <v>13</v>
      </c>
      <c r="I132" s="3" t="s">
        <v>2403</v>
      </c>
      <c r="J132" t="s">
        <v>2365</v>
      </c>
      <c r="M132" s="3" t="s">
        <v>2300</v>
      </c>
      <c r="N132" s="3" t="s">
        <v>2255</v>
      </c>
      <c r="O132" t="s">
        <v>2310</v>
      </c>
    </row>
    <row r="133" spans="1:15" x14ac:dyDescent="0.25">
      <c r="A133" t="s">
        <v>2285</v>
      </c>
      <c r="B133" s="1" t="e">
        <v>#N/A</v>
      </c>
      <c r="C133" s="1" t="e">
        <v>#N/A</v>
      </c>
      <c r="D133" s="1" t="e">
        <v>#N/A</v>
      </c>
      <c r="E133" s="1" t="s">
        <v>2448</v>
      </c>
      <c r="F133" s="2" t="s">
        <v>2301</v>
      </c>
      <c r="G133" s="1" t="s">
        <v>2304</v>
      </c>
      <c r="H133" s="2">
        <v>13</v>
      </c>
      <c r="I133" s="3" t="s">
        <v>2317</v>
      </c>
      <c r="J133" t="s">
        <v>2365</v>
      </c>
      <c r="M133" s="3" t="s">
        <v>2300</v>
      </c>
      <c r="N133" s="3" t="s">
        <v>2255</v>
      </c>
      <c r="O133" t="s">
        <v>2310</v>
      </c>
    </row>
    <row r="134" spans="1:15" x14ac:dyDescent="0.25">
      <c r="A134" t="s">
        <v>2285</v>
      </c>
      <c r="B134" s="1" t="e">
        <v>#N/A</v>
      </c>
      <c r="C134" s="1" t="e">
        <v>#N/A</v>
      </c>
      <c r="D134" s="1" t="e">
        <v>#N/A</v>
      </c>
      <c r="E134" s="1" t="s">
        <v>2448</v>
      </c>
      <c r="F134" s="2" t="s">
        <v>2301</v>
      </c>
      <c r="G134" s="1" t="s">
        <v>2304</v>
      </c>
      <c r="H134" s="2">
        <v>13</v>
      </c>
      <c r="I134" s="3" t="s">
        <v>8</v>
      </c>
      <c r="J134" t="s">
        <v>2365</v>
      </c>
      <c r="M134" s="3" t="s">
        <v>2300</v>
      </c>
      <c r="N134" s="3" t="s">
        <v>2255</v>
      </c>
      <c r="O134" t="s">
        <v>2310</v>
      </c>
    </row>
    <row r="135" spans="1:15" x14ac:dyDescent="0.25">
      <c r="A135" t="s">
        <v>2285</v>
      </c>
      <c r="B135" s="1" t="e">
        <v>#N/A</v>
      </c>
      <c r="C135" s="1" t="e">
        <v>#N/A</v>
      </c>
      <c r="D135" s="1" t="e">
        <v>#N/A</v>
      </c>
      <c r="E135" s="1" t="s">
        <v>2448</v>
      </c>
      <c r="F135" s="2" t="s">
        <v>2301</v>
      </c>
      <c r="G135" s="1" t="s">
        <v>2304</v>
      </c>
      <c r="H135" s="2">
        <v>13</v>
      </c>
      <c r="I135" s="3" t="s">
        <v>5</v>
      </c>
      <c r="J135" t="s">
        <v>2365</v>
      </c>
      <c r="M135" s="3" t="s">
        <v>2300</v>
      </c>
      <c r="N135" s="3" t="s">
        <v>2255</v>
      </c>
      <c r="O135" t="s">
        <v>2310</v>
      </c>
    </row>
    <row r="136" spans="1:15" x14ac:dyDescent="0.25">
      <c r="A136" t="s">
        <v>2285</v>
      </c>
      <c r="B136" s="1" t="e">
        <v>#N/A</v>
      </c>
      <c r="C136" s="1" t="e">
        <v>#N/A</v>
      </c>
      <c r="D136" s="1" t="e">
        <v>#N/A</v>
      </c>
      <c r="E136" s="1" t="s">
        <v>2298</v>
      </c>
      <c r="F136" s="2" t="s">
        <v>2300</v>
      </c>
      <c r="G136" s="1" t="s">
        <v>2304</v>
      </c>
      <c r="H136" s="2">
        <v>13</v>
      </c>
      <c r="I136" s="3" t="s">
        <v>2401</v>
      </c>
      <c r="J136" t="s">
        <v>2365</v>
      </c>
      <c r="M136" s="3" t="s">
        <v>2300</v>
      </c>
      <c r="N136" s="3" t="s">
        <v>2255</v>
      </c>
      <c r="O136" t="s">
        <v>2310</v>
      </c>
    </row>
    <row r="137" spans="1:15" x14ac:dyDescent="0.25">
      <c r="A137" t="s">
        <v>2285</v>
      </c>
      <c r="B137" s="1" t="e">
        <v>#N/A</v>
      </c>
      <c r="C137" s="1" t="e">
        <v>#N/A</v>
      </c>
      <c r="D137" s="1" t="e">
        <v>#N/A</v>
      </c>
      <c r="E137" s="1" t="s">
        <v>2448</v>
      </c>
      <c r="F137" s="2" t="s">
        <v>2301</v>
      </c>
      <c r="G137" s="1" t="s">
        <v>2304</v>
      </c>
      <c r="H137" s="2">
        <v>13</v>
      </c>
      <c r="I137" s="3" t="s">
        <v>5</v>
      </c>
      <c r="J137" t="s">
        <v>2365</v>
      </c>
      <c r="M137" s="3" t="s">
        <v>2300</v>
      </c>
      <c r="N137" s="3" t="s">
        <v>2255</v>
      </c>
      <c r="O137" t="s">
        <v>2310</v>
      </c>
    </row>
    <row r="138" spans="1:15" x14ac:dyDescent="0.25">
      <c r="A138" t="s">
        <v>2285</v>
      </c>
      <c r="B138" s="1" t="e">
        <v>#N/A</v>
      </c>
      <c r="C138" s="1" t="e">
        <v>#N/A</v>
      </c>
      <c r="D138" s="1" t="e">
        <v>#N/A</v>
      </c>
      <c r="E138" s="1" t="s">
        <v>2448</v>
      </c>
      <c r="F138" s="2" t="s">
        <v>2301</v>
      </c>
      <c r="G138" s="1" t="s">
        <v>2304</v>
      </c>
      <c r="H138" s="2">
        <v>13</v>
      </c>
      <c r="I138" s="3" t="s">
        <v>2318</v>
      </c>
      <c r="J138" t="s">
        <v>2365</v>
      </c>
      <c r="M138" s="3" t="s">
        <v>2300</v>
      </c>
      <c r="N138" s="3" t="s">
        <v>2255</v>
      </c>
      <c r="O138" t="s">
        <v>2310</v>
      </c>
    </row>
    <row r="139" spans="1:15" x14ac:dyDescent="0.25">
      <c r="A139" t="s">
        <v>2285</v>
      </c>
      <c r="B139" s="1" t="e">
        <v>#N/A</v>
      </c>
      <c r="C139" s="1" t="e">
        <v>#N/A</v>
      </c>
      <c r="D139" s="1" t="e">
        <v>#N/A</v>
      </c>
      <c r="E139" s="1" t="s">
        <v>2448</v>
      </c>
      <c r="F139" s="2" t="s">
        <v>2301</v>
      </c>
      <c r="G139" s="1" t="s">
        <v>2304</v>
      </c>
      <c r="H139" s="2">
        <v>13</v>
      </c>
      <c r="I139" s="3" t="s">
        <v>2317</v>
      </c>
      <c r="J139" t="s">
        <v>2365</v>
      </c>
      <c r="M139" s="3" t="s">
        <v>2300</v>
      </c>
      <c r="N139" s="3" t="s">
        <v>2255</v>
      </c>
      <c r="O139" t="s">
        <v>2310</v>
      </c>
    </row>
    <row r="140" spans="1:15" x14ac:dyDescent="0.25">
      <c r="A140" t="s">
        <v>2285</v>
      </c>
      <c r="B140" s="1" t="e">
        <v>#N/A</v>
      </c>
      <c r="C140" s="1" t="e">
        <v>#N/A</v>
      </c>
      <c r="D140" s="1" t="e">
        <v>#N/A</v>
      </c>
      <c r="E140" s="1" t="s">
        <v>2448</v>
      </c>
      <c r="F140" s="2" t="s">
        <v>2301</v>
      </c>
      <c r="G140" s="1" t="s">
        <v>2304</v>
      </c>
      <c r="H140" s="2">
        <v>13</v>
      </c>
      <c r="I140" s="3" t="s">
        <v>18</v>
      </c>
      <c r="J140" t="s">
        <v>2365</v>
      </c>
      <c r="M140" s="3" t="s">
        <v>2300</v>
      </c>
      <c r="N140" s="3" t="s">
        <v>2255</v>
      </c>
      <c r="O140" t="s">
        <v>2310</v>
      </c>
    </row>
    <row r="141" spans="1:15" x14ac:dyDescent="0.25">
      <c r="A141" t="s">
        <v>2285</v>
      </c>
      <c r="B141" s="1" t="e">
        <v>#N/A</v>
      </c>
      <c r="C141" s="1" t="e">
        <v>#N/A</v>
      </c>
      <c r="D141" s="1" t="e">
        <v>#N/A</v>
      </c>
      <c r="E141" s="1" t="s">
        <v>2448</v>
      </c>
      <c r="F141" s="2" t="s">
        <v>2301</v>
      </c>
      <c r="G141" s="1" t="s">
        <v>2304</v>
      </c>
      <c r="H141" s="2">
        <v>13</v>
      </c>
      <c r="I141" s="3" t="s">
        <v>2332</v>
      </c>
      <c r="J141" t="s">
        <v>2365</v>
      </c>
      <c r="M141" s="3" t="s">
        <v>2300</v>
      </c>
      <c r="N141" s="3" t="s">
        <v>2255</v>
      </c>
      <c r="O141" t="s">
        <v>2310</v>
      </c>
    </row>
    <row r="142" spans="1:15" x14ac:dyDescent="0.25">
      <c r="A142" t="s">
        <v>2285</v>
      </c>
      <c r="B142" s="1" t="e">
        <v>#N/A</v>
      </c>
      <c r="C142" s="1" t="e">
        <v>#N/A</v>
      </c>
      <c r="D142" s="1" t="e">
        <v>#N/A</v>
      </c>
      <c r="E142" s="1" t="s">
        <v>2448</v>
      </c>
      <c r="F142" s="2" t="s">
        <v>2301</v>
      </c>
      <c r="G142" s="1" t="s">
        <v>2304</v>
      </c>
      <c r="H142" s="2">
        <v>13</v>
      </c>
      <c r="I142" s="3" t="s">
        <v>2321</v>
      </c>
      <c r="J142" t="s">
        <v>2365</v>
      </c>
      <c r="M142" s="3" t="s">
        <v>2300</v>
      </c>
      <c r="N142" s="3" t="s">
        <v>2255</v>
      </c>
      <c r="O142" t="s">
        <v>2310</v>
      </c>
    </row>
    <row r="143" spans="1:15" x14ac:dyDescent="0.25">
      <c r="A143" t="s">
        <v>2285</v>
      </c>
      <c r="B143" s="1" t="e">
        <v>#N/A</v>
      </c>
      <c r="C143" s="1" t="e">
        <v>#N/A</v>
      </c>
      <c r="D143" s="1" t="e">
        <v>#N/A</v>
      </c>
      <c r="E143" s="1" t="s">
        <v>2448</v>
      </c>
      <c r="F143" s="2" t="s">
        <v>2301</v>
      </c>
      <c r="G143" s="1" t="s">
        <v>2304</v>
      </c>
      <c r="H143" s="2">
        <v>12</v>
      </c>
      <c r="I143" s="3" t="s">
        <v>2317</v>
      </c>
      <c r="J143" t="s">
        <v>2365</v>
      </c>
      <c r="M143" s="3" t="s">
        <v>2300</v>
      </c>
      <c r="N143" s="3" t="s">
        <v>2255</v>
      </c>
      <c r="O143" t="s">
        <v>2310</v>
      </c>
    </row>
    <row r="144" spans="1:15" x14ac:dyDescent="0.25">
      <c r="A144" t="s">
        <v>2285</v>
      </c>
      <c r="B144" s="1" t="e">
        <v>#N/A</v>
      </c>
      <c r="C144" s="1" t="e">
        <v>#N/A</v>
      </c>
      <c r="D144" s="1" t="e">
        <v>#N/A</v>
      </c>
      <c r="E144" s="1" t="s">
        <v>2448</v>
      </c>
      <c r="F144" s="2" t="s">
        <v>2301</v>
      </c>
      <c r="G144" s="1" t="s">
        <v>2304</v>
      </c>
      <c r="H144" s="2">
        <v>12</v>
      </c>
      <c r="I144" s="3" t="s">
        <v>2317</v>
      </c>
      <c r="J144" t="s">
        <v>2365</v>
      </c>
      <c r="M144" s="3" t="s">
        <v>2300</v>
      </c>
      <c r="N144" s="3" t="s">
        <v>2255</v>
      </c>
      <c r="O144" t="s">
        <v>2310</v>
      </c>
    </row>
    <row r="145" spans="1:15" x14ac:dyDescent="0.25">
      <c r="A145" t="s">
        <v>2285</v>
      </c>
      <c r="B145" s="1" t="e">
        <v>#N/A</v>
      </c>
      <c r="C145" s="1" t="e">
        <v>#N/A</v>
      </c>
      <c r="D145" s="1" t="e">
        <v>#N/A</v>
      </c>
      <c r="E145" s="1" t="s">
        <v>2448</v>
      </c>
      <c r="F145" s="2" t="s">
        <v>2301</v>
      </c>
      <c r="G145" s="1" t="s">
        <v>2304</v>
      </c>
      <c r="H145" s="2">
        <v>12</v>
      </c>
      <c r="I145" s="3" t="s">
        <v>2317</v>
      </c>
      <c r="J145" t="s">
        <v>2365</v>
      </c>
      <c r="M145" s="3" t="s">
        <v>2300</v>
      </c>
      <c r="N145" s="3" t="s">
        <v>2255</v>
      </c>
      <c r="O145" t="s">
        <v>2310</v>
      </c>
    </row>
    <row r="146" spans="1:15" x14ac:dyDescent="0.25">
      <c r="A146" t="s">
        <v>2285</v>
      </c>
      <c r="B146" s="1" t="e">
        <v>#N/A</v>
      </c>
      <c r="C146" s="1" t="e">
        <v>#N/A</v>
      </c>
      <c r="D146" s="1" t="e">
        <v>#N/A</v>
      </c>
      <c r="E146" s="1" t="s">
        <v>2448</v>
      </c>
      <c r="F146" s="2" t="s">
        <v>2301</v>
      </c>
      <c r="G146" s="1" t="s">
        <v>2304</v>
      </c>
      <c r="H146" s="2">
        <v>12</v>
      </c>
      <c r="I146" s="3" t="s">
        <v>2317</v>
      </c>
      <c r="J146" t="s">
        <v>2365</v>
      </c>
      <c r="M146" s="3" t="s">
        <v>2300</v>
      </c>
      <c r="N146" s="3" t="s">
        <v>2255</v>
      </c>
      <c r="O146" t="s">
        <v>2310</v>
      </c>
    </row>
    <row r="147" spans="1:15" x14ac:dyDescent="0.25">
      <c r="A147" t="s">
        <v>2285</v>
      </c>
      <c r="B147" s="1" t="e">
        <v>#N/A</v>
      </c>
      <c r="C147" s="1" t="e">
        <v>#N/A</v>
      </c>
      <c r="D147" s="1" t="e">
        <v>#N/A</v>
      </c>
      <c r="E147" s="1" t="s">
        <v>2448</v>
      </c>
      <c r="F147" s="2" t="s">
        <v>2301</v>
      </c>
      <c r="G147" s="1" t="s">
        <v>2304</v>
      </c>
      <c r="H147" s="2">
        <v>12</v>
      </c>
      <c r="I147" s="3" t="s">
        <v>48</v>
      </c>
      <c r="J147" t="s">
        <v>2365</v>
      </c>
      <c r="M147" s="3" t="s">
        <v>2300</v>
      </c>
      <c r="N147" s="3" t="s">
        <v>2255</v>
      </c>
      <c r="O147" t="s">
        <v>2310</v>
      </c>
    </row>
    <row r="148" spans="1:15" x14ac:dyDescent="0.25">
      <c r="A148" t="s">
        <v>2283</v>
      </c>
      <c r="B148" s="1" t="s">
        <v>2289</v>
      </c>
      <c r="C148" s="1" t="s">
        <v>2291</v>
      </c>
      <c r="D148" s="1" t="s">
        <v>2426</v>
      </c>
      <c r="E148" s="1" t="s">
        <v>2298</v>
      </c>
      <c r="F148" s="2" t="s">
        <v>2300</v>
      </c>
      <c r="G148" s="1" t="s">
        <v>2304</v>
      </c>
      <c r="H148" s="2">
        <v>10</v>
      </c>
      <c r="I148" s="3" t="s">
        <v>2410</v>
      </c>
      <c r="J148" t="s">
        <v>2365</v>
      </c>
      <c r="M148" s="3" t="s">
        <v>2300</v>
      </c>
      <c r="N148" s="3" t="s">
        <v>2255</v>
      </c>
      <c r="O148" t="s">
        <v>2310</v>
      </c>
    </row>
    <row r="149" spans="1:15" x14ac:dyDescent="0.25">
      <c r="A149" t="s">
        <v>2285</v>
      </c>
      <c r="B149" s="1" t="s">
        <v>2288</v>
      </c>
      <c r="C149" s="1" t="s">
        <v>2291</v>
      </c>
      <c r="D149" s="1" t="s">
        <v>2447</v>
      </c>
      <c r="E149" s="1" t="s">
        <v>2448</v>
      </c>
      <c r="F149" s="2" t="s">
        <v>2301</v>
      </c>
      <c r="G149" s="1" t="s">
        <v>2304</v>
      </c>
      <c r="H149" s="2">
        <v>10</v>
      </c>
      <c r="I149" s="3" t="s">
        <v>2317</v>
      </c>
      <c r="J149" t="s">
        <v>2365</v>
      </c>
      <c r="M149" s="3" t="s">
        <v>2300</v>
      </c>
      <c r="N149" s="3" t="s">
        <v>2255</v>
      </c>
      <c r="O149" t="s">
        <v>2310</v>
      </c>
    </row>
    <row r="150" spans="1:15" x14ac:dyDescent="0.25">
      <c r="A150" t="s">
        <v>2285</v>
      </c>
      <c r="B150" s="1" t="e">
        <v>#N/A</v>
      </c>
      <c r="C150" s="1" t="e">
        <v>#N/A</v>
      </c>
      <c r="D150" s="1" t="e">
        <v>#N/A</v>
      </c>
      <c r="E150" s="1" t="s">
        <v>2448</v>
      </c>
      <c r="F150" s="2" t="s">
        <v>2301</v>
      </c>
      <c r="G150" s="1" t="s">
        <v>2304</v>
      </c>
      <c r="H150" s="2">
        <v>10</v>
      </c>
      <c r="I150" s="3" t="s">
        <v>2315</v>
      </c>
      <c r="J150" t="s">
        <v>2365</v>
      </c>
      <c r="M150" s="3" t="s">
        <v>2300</v>
      </c>
      <c r="N150" s="3" t="s">
        <v>2255</v>
      </c>
      <c r="O150" t="s">
        <v>2310</v>
      </c>
    </row>
    <row r="151" spans="1:15" x14ac:dyDescent="0.25">
      <c r="A151" t="s">
        <v>2285</v>
      </c>
      <c r="B151" s="1" t="e">
        <v>#N/A</v>
      </c>
      <c r="C151" s="1" t="e">
        <v>#N/A</v>
      </c>
      <c r="D151" s="1" t="e">
        <v>#N/A</v>
      </c>
      <c r="E151" s="1" t="s">
        <v>2448</v>
      </c>
      <c r="F151" s="2" t="s">
        <v>2301</v>
      </c>
      <c r="G151" s="1" t="s">
        <v>2304</v>
      </c>
      <c r="H151" s="2">
        <v>10</v>
      </c>
      <c r="I151" s="3" t="s">
        <v>9</v>
      </c>
      <c r="J151" t="s">
        <v>2365</v>
      </c>
      <c r="M151" s="3" t="s">
        <v>2300</v>
      </c>
      <c r="N151" s="3" t="s">
        <v>2255</v>
      </c>
      <c r="O151" t="s">
        <v>2310</v>
      </c>
    </row>
    <row r="152" spans="1:15" x14ac:dyDescent="0.25">
      <c r="A152" t="s">
        <v>2285</v>
      </c>
      <c r="B152" s="1" t="e">
        <v>#N/A</v>
      </c>
      <c r="C152" s="1" t="e">
        <v>#N/A</v>
      </c>
      <c r="D152" s="1" t="e">
        <v>#N/A</v>
      </c>
      <c r="E152" s="1" t="s">
        <v>2298</v>
      </c>
      <c r="F152" s="2" t="s">
        <v>2300</v>
      </c>
      <c r="G152" s="1" t="s">
        <v>2304</v>
      </c>
      <c r="H152" s="2">
        <v>10</v>
      </c>
      <c r="I152" s="3" t="s">
        <v>2415</v>
      </c>
      <c r="J152" t="s">
        <v>2365</v>
      </c>
      <c r="M152" s="3" t="s">
        <v>2300</v>
      </c>
      <c r="N152" s="3" t="s">
        <v>2255</v>
      </c>
      <c r="O152" t="s">
        <v>2310</v>
      </c>
    </row>
    <row r="153" spans="1:15" x14ac:dyDescent="0.25">
      <c r="A153" t="s">
        <v>2285</v>
      </c>
      <c r="B153" s="1" t="e">
        <v>#N/A</v>
      </c>
      <c r="C153" s="1" t="e">
        <v>#N/A</v>
      </c>
      <c r="D153" s="1" t="e">
        <v>#N/A</v>
      </c>
      <c r="E153" s="1" t="s">
        <v>2298</v>
      </c>
      <c r="F153" s="2" t="s">
        <v>2300</v>
      </c>
      <c r="G153" s="1" t="s">
        <v>2304</v>
      </c>
      <c r="H153" s="2">
        <v>10</v>
      </c>
      <c r="I153" s="3" t="s">
        <v>19</v>
      </c>
      <c r="J153" t="s">
        <v>2365</v>
      </c>
      <c r="M153" s="3" t="s">
        <v>2300</v>
      </c>
      <c r="N153" s="3" t="s">
        <v>2255</v>
      </c>
      <c r="O153" t="s">
        <v>2310</v>
      </c>
    </row>
    <row r="154" spans="1:15" x14ac:dyDescent="0.25">
      <c r="A154" t="s">
        <v>2285</v>
      </c>
      <c r="B154" s="1" t="e">
        <v>#N/A</v>
      </c>
      <c r="C154" s="1" t="e">
        <v>#N/A</v>
      </c>
      <c r="D154" s="1" t="e">
        <v>#N/A</v>
      </c>
      <c r="E154" s="1" t="s">
        <v>2448</v>
      </c>
      <c r="F154" s="2" t="s">
        <v>2301</v>
      </c>
      <c r="G154" s="1" t="s">
        <v>2304</v>
      </c>
      <c r="H154" s="2">
        <v>10</v>
      </c>
      <c r="I154" s="3" t="s">
        <v>2315</v>
      </c>
      <c r="J154" t="s">
        <v>2365</v>
      </c>
      <c r="M154" s="3" t="s">
        <v>2300</v>
      </c>
      <c r="N154" s="3" t="s">
        <v>2255</v>
      </c>
      <c r="O154" t="s">
        <v>2310</v>
      </c>
    </row>
    <row r="155" spans="1:15" x14ac:dyDescent="0.25">
      <c r="A155" t="s">
        <v>2285</v>
      </c>
      <c r="B155" s="1" t="e">
        <v>#N/A</v>
      </c>
      <c r="C155" s="1" t="e">
        <v>#N/A</v>
      </c>
      <c r="D155" s="1" t="e">
        <v>#N/A</v>
      </c>
      <c r="E155" s="1" t="s">
        <v>2298</v>
      </c>
      <c r="F155" s="2" t="s">
        <v>2300</v>
      </c>
      <c r="G155" s="1" t="s">
        <v>2304</v>
      </c>
      <c r="H155" s="2">
        <v>10</v>
      </c>
      <c r="I155" s="3" t="s">
        <v>2411</v>
      </c>
      <c r="J155" t="s">
        <v>2365</v>
      </c>
      <c r="M155" s="3" t="s">
        <v>2300</v>
      </c>
      <c r="N155" s="3" t="s">
        <v>2255</v>
      </c>
      <c r="O155" t="s">
        <v>2310</v>
      </c>
    </row>
    <row r="156" spans="1:15" x14ac:dyDescent="0.25">
      <c r="A156" t="s">
        <v>2285</v>
      </c>
      <c r="B156" s="1" t="e">
        <v>#N/A</v>
      </c>
      <c r="C156" s="1" t="e">
        <v>#N/A</v>
      </c>
      <c r="D156" s="1" t="e">
        <v>#N/A</v>
      </c>
      <c r="E156" s="1" t="s">
        <v>2448</v>
      </c>
      <c r="F156" s="2" t="s">
        <v>2301</v>
      </c>
      <c r="G156" s="1" t="s">
        <v>2304</v>
      </c>
      <c r="H156" s="2">
        <v>10</v>
      </c>
      <c r="I156" s="3" t="s">
        <v>2314</v>
      </c>
      <c r="J156" t="s">
        <v>2365</v>
      </c>
      <c r="M156" s="3" t="s">
        <v>2300</v>
      </c>
      <c r="N156" s="3" t="s">
        <v>2255</v>
      </c>
      <c r="O156" t="s">
        <v>2310</v>
      </c>
    </row>
    <row r="157" spans="1:15" x14ac:dyDescent="0.25">
      <c r="A157" t="s">
        <v>2285</v>
      </c>
      <c r="B157" s="1" t="s">
        <v>2288</v>
      </c>
      <c r="C157" s="1" t="s">
        <v>2291</v>
      </c>
      <c r="D157" s="1" t="s">
        <v>2447</v>
      </c>
      <c r="E157" s="1" t="s">
        <v>2448</v>
      </c>
      <c r="F157" s="2" t="s">
        <v>2301</v>
      </c>
      <c r="G157" s="1" t="s">
        <v>2304</v>
      </c>
      <c r="H157" s="2">
        <v>10</v>
      </c>
      <c r="I157" s="3" t="s">
        <v>2317</v>
      </c>
      <c r="J157" t="s">
        <v>2365</v>
      </c>
      <c r="M157" s="3" t="s">
        <v>2300</v>
      </c>
      <c r="N157" s="3" t="s">
        <v>2255</v>
      </c>
      <c r="O157" t="s">
        <v>2310</v>
      </c>
    </row>
    <row r="158" spans="1:15" x14ac:dyDescent="0.25">
      <c r="A158" t="s">
        <v>2285</v>
      </c>
      <c r="B158" s="1" t="s">
        <v>2288</v>
      </c>
      <c r="C158" s="1" t="s">
        <v>2291</v>
      </c>
      <c r="D158" s="1" t="s">
        <v>2447</v>
      </c>
      <c r="E158" s="1" t="s">
        <v>2448</v>
      </c>
      <c r="F158" s="2" t="s">
        <v>2301</v>
      </c>
      <c r="G158" s="1" t="s">
        <v>2304</v>
      </c>
      <c r="H158" s="2">
        <v>10</v>
      </c>
      <c r="I158" s="3" t="s">
        <v>2327</v>
      </c>
      <c r="J158" t="s">
        <v>2365</v>
      </c>
      <c r="M158" s="3" t="s">
        <v>2300</v>
      </c>
      <c r="N158" s="3" t="s">
        <v>2255</v>
      </c>
      <c r="O158" t="s">
        <v>2310</v>
      </c>
    </row>
    <row r="159" spans="1:15" x14ac:dyDescent="0.25">
      <c r="A159" t="s">
        <v>2285</v>
      </c>
      <c r="B159" s="1" t="e">
        <v>#N/A</v>
      </c>
      <c r="C159" s="1" t="e">
        <v>#N/A</v>
      </c>
      <c r="D159" s="1" t="e">
        <v>#N/A</v>
      </c>
      <c r="E159" s="1" t="s">
        <v>2448</v>
      </c>
      <c r="F159" s="2" t="s">
        <v>2301</v>
      </c>
      <c r="G159" s="1" t="s">
        <v>2304</v>
      </c>
      <c r="H159" s="2">
        <v>10</v>
      </c>
      <c r="I159" s="3" t="s">
        <v>2316</v>
      </c>
      <c r="J159" t="s">
        <v>2365</v>
      </c>
      <c r="M159" s="3" t="s">
        <v>2300</v>
      </c>
      <c r="N159" s="3" t="s">
        <v>2255</v>
      </c>
      <c r="O159" t="s">
        <v>2310</v>
      </c>
    </row>
    <row r="160" spans="1:15" x14ac:dyDescent="0.25">
      <c r="A160" t="s">
        <v>2285</v>
      </c>
      <c r="B160" s="1" t="e">
        <v>#N/A</v>
      </c>
      <c r="C160" s="1" t="e">
        <v>#N/A</v>
      </c>
      <c r="D160" s="1" t="e">
        <v>#N/A</v>
      </c>
      <c r="E160" s="1" t="s">
        <v>2298</v>
      </c>
      <c r="F160" s="2" t="s">
        <v>2300</v>
      </c>
      <c r="G160" s="1" t="s">
        <v>2304</v>
      </c>
      <c r="H160" s="2">
        <v>10</v>
      </c>
      <c r="I160" s="3" t="s">
        <v>2412</v>
      </c>
      <c r="J160" t="s">
        <v>2365</v>
      </c>
      <c r="M160" s="3" t="s">
        <v>2300</v>
      </c>
      <c r="N160" s="3" t="s">
        <v>2255</v>
      </c>
      <c r="O160" t="s">
        <v>2310</v>
      </c>
    </row>
    <row r="161" spans="1:15" x14ac:dyDescent="0.25">
      <c r="A161" t="s">
        <v>2283</v>
      </c>
      <c r="B161" s="1" t="s">
        <v>2289</v>
      </c>
      <c r="C161" s="1" t="s">
        <v>2446</v>
      </c>
      <c r="D161" s="1" t="s">
        <v>2426</v>
      </c>
      <c r="E161" s="1" t="s">
        <v>2298</v>
      </c>
      <c r="F161" s="2" t="s">
        <v>2300</v>
      </c>
      <c r="G161" s="1" t="s">
        <v>2303</v>
      </c>
      <c r="H161" s="2">
        <v>10</v>
      </c>
      <c r="I161" s="3" t="s">
        <v>6</v>
      </c>
      <c r="J161" t="s">
        <v>2365</v>
      </c>
      <c r="M161" s="3" t="s">
        <v>2300</v>
      </c>
      <c r="N161" s="3" t="s">
        <v>2256</v>
      </c>
      <c r="O161" t="s">
        <v>2310</v>
      </c>
    </row>
    <row r="162" spans="1:15" x14ac:dyDescent="0.25">
      <c r="A162" t="s">
        <v>2285</v>
      </c>
      <c r="B162" s="1" t="e">
        <v>#N/A</v>
      </c>
      <c r="C162" s="1" t="e">
        <v>#N/A</v>
      </c>
      <c r="D162" s="1" t="e">
        <v>#N/A</v>
      </c>
      <c r="E162" s="1" t="s">
        <v>2448</v>
      </c>
      <c r="F162" s="2" t="s">
        <v>2301</v>
      </c>
      <c r="G162" s="1" t="s">
        <v>2304</v>
      </c>
      <c r="H162" s="2">
        <v>10</v>
      </c>
      <c r="I162" s="3" t="s">
        <v>2317</v>
      </c>
      <c r="J162" t="s">
        <v>2365</v>
      </c>
      <c r="M162" s="3" t="s">
        <v>2300</v>
      </c>
      <c r="N162" s="3" t="s">
        <v>2255</v>
      </c>
      <c r="O162" t="s">
        <v>2310</v>
      </c>
    </row>
    <row r="163" spans="1:15" x14ac:dyDescent="0.25">
      <c r="A163" t="s">
        <v>2285</v>
      </c>
      <c r="B163" s="1" t="e">
        <v>#N/A</v>
      </c>
      <c r="C163" s="1" t="e">
        <v>#N/A</v>
      </c>
      <c r="D163" s="1" t="e">
        <v>#N/A</v>
      </c>
      <c r="E163" s="1" t="s">
        <v>2448</v>
      </c>
      <c r="F163" s="2" t="s">
        <v>2301</v>
      </c>
      <c r="G163" s="1" t="s">
        <v>2304</v>
      </c>
      <c r="H163" s="2">
        <v>10</v>
      </c>
      <c r="I163" s="3" t="s">
        <v>2334</v>
      </c>
      <c r="J163" t="s">
        <v>2365</v>
      </c>
      <c r="M163" s="3" t="s">
        <v>2300</v>
      </c>
      <c r="N163" s="3" t="s">
        <v>2255</v>
      </c>
      <c r="O163" t="s">
        <v>2310</v>
      </c>
    </row>
    <row r="164" spans="1:15" x14ac:dyDescent="0.25">
      <c r="A164" t="s">
        <v>2285</v>
      </c>
      <c r="B164" s="1" t="e">
        <v>#N/A</v>
      </c>
      <c r="C164" s="1" t="e">
        <v>#N/A</v>
      </c>
      <c r="D164" s="1" t="e">
        <v>#N/A</v>
      </c>
      <c r="E164" s="1" t="s">
        <v>2448</v>
      </c>
      <c r="F164" s="2" t="s">
        <v>2301</v>
      </c>
      <c r="G164" s="1" t="s">
        <v>2304</v>
      </c>
      <c r="H164" s="2">
        <v>10</v>
      </c>
      <c r="I164" s="3" t="s">
        <v>31</v>
      </c>
      <c r="J164" t="s">
        <v>2365</v>
      </c>
      <c r="M164" s="3" t="s">
        <v>2300</v>
      </c>
      <c r="N164" s="3" t="s">
        <v>2255</v>
      </c>
      <c r="O164" t="s">
        <v>2310</v>
      </c>
    </row>
    <row r="165" spans="1:15" x14ac:dyDescent="0.25">
      <c r="A165" t="s">
        <v>2285</v>
      </c>
      <c r="B165" s="1" t="e">
        <v>#N/A</v>
      </c>
      <c r="C165" s="1" t="e">
        <v>#N/A</v>
      </c>
      <c r="D165" s="1" t="e">
        <v>#N/A</v>
      </c>
      <c r="E165" s="1" t="s">
        <v>2448</v>
      </c>
      <c r="F165" s="2" t="s">
        <v>2301</v>
      </c>
      <c r="G165" s="1" t="s">
        <v>2304</v>
      </c>
      <c r="H165" s="2">
        <v>10</v>
      </c>
      <c r="I165" s="3" t="s">
        <v>2317</v>
      </c>
      <c r="J165" t="s">
        <v>2365</v>
      </c>
      <c r="M165" s="3" t="s">
        <v>2300</v>
      </c>
      <c r="N165" s="3" t="s">
        <v>2255</v>
      </c>
      <c r="O165" t="s">
        <v>2310</v>
      </c>
    </row>
    <row r="166" spans="1:15" x14ac:dyDescent="0.25">
      <c r="A166" t="s">
        <v>2285</v>
      </c>
      <c r="B166" s="1" t="s">
        <v>2288</v>
      </c>
      <c r="C166" s="1" t="s">
        <v>2291</v>
      </c>
      <c r="D166" s="1" t="s">
        <v>2447</v>
      </c>
      <c r="E166" s="1" t="s">
        <v>2448</v>
      </c>
      <c r="F166" s="2" t="s">
        <v>2301</v>
      </c>
      <c r="G166" s="1" t="s">
        <v>2304</v>
      </c>
      <c r="H166" s="2">
        <v>10</v>
      </c>
      <c r="I166" s="3" t="s">
        <v>2333</v>
      </c>
      <c r="J166" t="s">
        <v>2365</v>
      </c>
      <c r="M166" s="3" t="s">
        <v>2300</v>
      </c>
      <c r="N166" s="3" t="s">
        <v>2255</v>
      </c>
      <c r="O166" t="s">
        <v>2310</v>
      </c>
    </row>
    <row r="167" spans="1:15" x14ac:dyDescent="0.25">
      <c r="A167" t="s">
        <v>2285</v>
      </c>
      <c r="B167" s="1" t="s">
        <v>2288</v>
      </c>
      <c r="C167" s="1" t="s">
        <v>2291</v>
      </c>
      <c r="D167" s="1" t="s">
        <v>2447</v>
      </c>
      <c r="E167" s="1" t="s">
        <v>2448</v>
      </c>
      <c r="F167" s="2" t="s">
        <v>2301</v>
      </c>
      <c r="G167" s="1" t="s">
        <v>2304</v>
      </c>
      <c r="H167" s="2">
        <v>10</v>
      </c>
      <c r="I167" s="3" t="s">
        <v>2</v>
      </c>
      <c r="J167" t="s">
        <v>2365</v>
      </c>
      <c r="M167" s="3" t="s">
        <v>2300</v>
      </c>
      <c r="N167" s="3" t="s">
        <v>2255</v>
      </c>
      <c r="O167" t="s">
        <v>2310</v>
      </c>
    </row>
    <row r="168" spans="1:15" x14ac:dyDescent="0.25">
      <c r="A168" t="s">
        <v>2283</v>
      </c>
      <c r="B168" s="1" t="s">
        <v>2289</v>
      </c>
      <c r="C168" s="1" t="s">
        <v>2291</v>
      </c>
      <c r="D168" s="1" t="s">
        <v>2426</v>
      </c>
      <c r="E168" s="1" t="s">
        <v>2298</v>
      </c>
      <c r="F168" s="2" t="s">
        <v>2300</v>
      </c>
      <c r="G168" s="1" t="s">
        <v>2304</v>
      </c>
      <c r="H168" s="2">
        <v>10</v>
      </c>
      <c r="I168" s="3" t="s">
        <v>4</v>
      </c>
      <c r="J168" t="s">
        <v>2365</v>
      </c>
      <c r="M168" s="3" t="s">
        <v>2300</v>
      </c>
      <c r="N168" s="3" t="s">
        <v>2255</v>
      </c>
      <c r="O168" t="s">
        <v>2310</v>
      </c>
    </row>
    <row r="169" spans="1:15" x14ac:dyDescent="0.25">
      <c r="A169" t="s">
        <v>2285</v>
      </c>
      <c r="B169" s="1" t="s">
        <v>2288</v>
      </c>
      <c r="C169" s="1" t="s">
        <v>2291</v>
      </c>
      <c r="D169" s="1" t="s">
        <v>2447</v>
      </c>
      <c r="E169" s="1" t="s">
        <v>2448</v>
      </c>
      <c r="F169" s="2" t="s">
        <v>2301</v>
      </c>
      <c r="G169" s="1" t="s">
        <v>2304</v>
      </c>
      <c r="H169" s="2">
        <v>10</v>
      </c>
      <c r="I169" s="3" t="s">
        <v>2357</v>
      </c>
      <c r="J169" t="s">
        <v>2365</v>
      </c>
      <c r="M169" s="3" t="s">
        <v>2300</v>
      </c>
      <c r="N169" s="3" t="s">
        <v>2255</v>
      </c>
      <c r="O169" t="s">
        <v>2310</v>
      </c>
    </row>
    <row r="170" spans="1:15" x14ac:dyDescent="0.25">
      <c r="A170" t="s">
        <v>2285</v>
      </c>
      <c r="B170" s="1" t="e">
        <v>#N/A</v>
      </c>
      <c r="C170" s="1" t="e">
        <v>#N/A</v>
      </c>
      <c r="D170" s="1" t="e">
        <v>#N/A</v>
      </c>
      <c r="E170" s="1" t="s">
        <v>2448</v>
      </c>
      <c r="F170" s="2" t="s">
        <v>2301</v>
      </c>
      <c r="G170" s="1" t="s">
        <v>2304</v>
      </c>
      <c r="H170" s="2">
        <v>10</v>
      </c>
      <c r="I170" s="3" t="s">
        <v>2317</v>
      </c>
      <c r="J170" t="s">
        <v>2365</v>
      </c>
      <c r="M170" s="3" t="s">
        <v>2300</v>
      </c>
      <c r="N170" s="3" t="s">
        <v>2255</v>
      </c>
      <c r="O170" t="s">
        <v>2310</v>
      </c>
    </row>
    <row r="171" spans="1:15" x14ac:dyDescent="0.25">
      <c r="A171" t="s">
        <v>2285</v>
      </c>
      <c r="B171" s="1" t="s">
        <v>2288</v>
      </c>
      <c r="C171" s="1" t="s">
        <v>2291</v>
      </c>
      <c r="D171" s="1" t="s">
        <v>2447</v>
      </c>
      <c r="E171" s="1" t="s">
        <v>2448</v>
      </c>
      <c r="F171" s="2" t="s">
        <v>2301</v>
      </c>
      <c r="G171" s="1" t="s">
        <v>2304</v>
      </c>
      <c r="H171" s="2">
        <v>10</v>
      </c>
      <c r="I171" s="3" t="s">
        <v>2313</v>
      </c>
      <c r="J171" t="s">
        <v>2365</v>
      </c>
      <c r="M171" s="3" t="s">
        <v>2300</v>
      </c>
      <c r="N171" s="3" t="s">
        <v>2255</v>
      </c>
      <c r="O171" t="s">
        <v>2310</v>
      </c>
    </row>
    <row r="172" spans="1:15" x14ac:dyDescent="0.25">
      <c r="A172" t="s">
        <v>2285</v>
      </c>
      <c r="B172" s="1" t="e">
        <v>#N/A</v>
      </c>
      <c r="C172" s="1" t="e">
        <v>#N/A</v>
      </c>
      <c r="D172" s="1" t="e">
        <v>#N/A</v>
      </c>
      <c r="E172" s="1" t="s">
        <v>2448</v>
      </c>
      <c r="F172" s="2" t="s">
        <v>2301</v>
      </c>
      <c r="G172" s="1" t="s">
        <v>2304</v>
      </c>
      <c r="H172" s="2">
        <v>10</v>
      </c>
      <c r="I172" s="3" t="s">
        <v>2</v>
      </c>
      <c r="J172" t="s">
        <v>2365</v>
      </c>
      <c r="M172" s="3" t="s">
        <v>2300</v>
      </c>
      <c r="N172" s="3" t="s">
        <v>2255</v>
      </c>
      <c r="O172" t="s">
        <v>2310</v>
      </c>
    </row>
    <row r="173" spans="1:15" x14ac:dyDescent="0.25">
      <c r="A173" t="s">
        <v>2285</v>
      </c>
      <c r="B173" s="1" t="e">
        <v>#N/A</v>
      </c>
      <c r="C173" s="1" t="e">
        <v>#N/A</v>
      </c>
      <c r="D173" s="1" t="e">
        <v>#N/A</v>
      </c>
      <c r="E173" s="1" t="s">
        <v>2448</v>
      </c>
      <c r="F173" s="2" t="s">
        <v>2301</v>
      </c>
      <c r="G173" s="1" t="s">
        <v>2304</v>
      </c>
      <c r="H173" s="2">
        <v>10</v>
      </c>
      <c r="I173" s="3" t="s">
        <v>2333</v>
      </c>
      <c r="J173" t="s">
        <v>2365</v>
      </c>
      <c r="M173" s="3" t="s">
        <v>2300</v>
      </c>
      <c r="N173" s="3" t="s">
        <v>2255</v>
      </c>
      <c r="O173" t="s">
        <v>2310</v>
      </c>
    </row>
    <row r="174" spans="1:15" x14ac:dyDescent="0.25">
      <c r="A174" t="s">
        <v>2285</v>
      </c>
      <c r="B174" s="1" t="e">
        <v>#N/A</v>
      </c>
      <c r="C174" s="1" t="e">
        <v>#N/A</v>
      </c>
      <c r="D174" s="1" t="e">
        <v>#N/A</v>
      </c>
      <c r="E174" s="1" t="s">
        <v>2448</v>
      </c>
      <c r="F174" s="2" t="s">
        <v>2301</v>
      </c>
      <c r="G174" s="1" t="s">
        <v>2304</v>
      </c>
      <c r="H174" s="2">
        <v>10</v>
      </c>
      <c r="I174" s="3" t="s">
        <v>5</v>
      </c>
      <c r="J174" t="s">
        <v>2365</v>
      </c>
      <c r="M174" s="3" t="s">
        <v>2300</v>
      </c>
      <c r="N174" s="3" t="s">
        <v>2255</v>
      </c>
      <c r="O174" t="s">
        <v>2310</v>
      </c>
    </row>
    <row r="175" spans="1:15" x14ac:dyDescent="0.25">
      <c r="A175" t="s">
        <v>2285</v>
      </c>
      <c r="B175" s="1" t="e">
        <v>#N/A</v>
      </c>
      <c r="C175" s="1" t="e">
        <v>#N/A</v>
      </c>
      <c r="D175" s="1" t="e">
        <v>#N/A</v>
      </c>
      <c r="E175" s="1" t="s">
        <v>2448</v>
      </c>
      <c r="F175" s="2" t="s">
        <v>2301</v>
      </c>
      <c r="G175" s="1" t="s">
        <v>2304</v>
      </c>
      <c r="H175" s="2">
        <v>10</v>
      </c>
      <c r="I175" s="3" t="s">
        <v>2313</v>
      </c>
      <c r="J175" t="s">
        <v>2365</v>
      </c>
      <c r="M175" s="3" t="s">
        <v>2300</v>
      </c>
      <c r="N175" s="3" t="s">
        <v>2255</v>
      </c>
      <c r="O175" t="s">
        <v>2310</v>
      </c>
    </row>
    <row r="176" spans="1:15" x14ac:dyDescent="0.25">
      <c r="A176" t="s">
        <v>2285</v>
      </c>
      <c r="B176" s="1" t="e">
        <v>#N/A</v>
      </c>
      <c r="C176" s="1" t="e">
        <v>#N/A</v>
      </c>
      <c r="D176" s="1" t="e">
        <v>#N/A</v>
      </c>
      <c r="E176" s="1" t="s">
        <v>2448</v>
      </c>
      <c r="F176" s="2" t="s">
        <v>2301</v>
      </c>
      <c r="G176" s="1" t="s">
        <v>2304</v>
      </c>
      <c r="H176" s="2">
        <v>10</v>
      </c>
      <c r="I176" s="3" t="s">
        <v>2317</v>
      </c>
      <c r="J176" t="s">
        <v>2365</v>
      </c>
      <c r="M176" s="3" t="s">
        <v>2300</v>
      </c>
      <c r="N176" s="3" t="s">
        <v>2255</v>
      </c>
      <c r="O176" t="s">
        <v>2310</v>
      </c>
    </row>
    <row r="177" spans="1:15" x14ac:dyDescent="0.25">
      <c r="A177" t="s">
        <v>2285</v>
      </c>
      <c r="B177" s="1" t="e">
        <v>#N/A</v>
      </c>
      <c r="C177" s="1" t="e">
        <v>#N/A</v>
      </c>
      <c r="D177" s="1" t="e">
        <v>#N/A</v>
      </c>
      <c r="E177" s="1" t="s">
        <v>2448</v>
      </c>
      <c r="F177" s="2" t="s">
        <v>2301</v>
      </c>
      <c r="G177" s="1" t="s">
        <v>2304</v>
      </c>
      <c r="H177" s="2">
        <v>10</v>
      </c>
      <c r="I177" s="3" t="s">
        <v>2317</v>
      </c>
      <c r="J177" t="s">
        <v>2365</v>
      </c>
      <c r="M177" s="3" t="s">
        <v>2300</v>
      </c>
      <c r="N177" s="3" t="s">
        <v>2255</v>
      </c>
      <c r="O177" t="s">
        <v>2310</v>
      </c>
    </row>
    <row r="178" spans="1:15" x14ac:dyDescent="0.25">
      <c r="A178" t="s">
        <v>2285</v>
      </c>
      <c r="B178" s="1" t="e">
        <v>#N/A</v>
      </c>
      <c r="C178" s="1" t="e">
        <v>#N/A</v>
      </c>
      <c r="D178" s="1" t="e">
        <v>#N/A</v>
      </c>
      <c r="E178" s="1" t="s">
        <v>2448</v>
      </c>
      <c r="F178" s="2" t="s">
        <v>2301</v>
      </c>
      <c r="G178" s="1" t="s">
        <v>2304</v>
      </c>
      <c r="H178" s="2">
        <v>10</v>
      </c>
      <c r="I178" s="3" t="s">
        <v>2</v>
      </c>
      <c r="J178" t="s">
        <v>2365</v>
      </c>
      <c r="M178" s="3" t="s">
        <v>2300</v>
      </c>
      <c r="N178" s="3" t="s">
        <v>2255</v>
      </c>
      <c r="O178" t="s">
        <v>2310</v>
      </c>
    </row>
    <row r="179" spans="1:15" x14ac:dyDescent="0.25">
      <c r="A179" t="s">
        <v>2285</v>
      </c>
      <c r="B179" s="1" t="e">
        <v>#N/A</v>
      </c>
      <c r="C179" s="1" t="e">
        <v>#N/A</v>
      </c>
      <c r="D179" s="1" t="e">
        <v>#N/A</v>
      </c>
      <c r="E179" s="1" t="s">
        <v>2448</v>
      </c>
      <c r="F179" s="2" t="s">
        <v>2301</v>
      </c>
      <c r="G179" s="1" t="s">
        <v>2304</v>
      </c>
      <c r="H179" s="2">
        <v>10</v>
      </c>
      <c r="I179" s="3" t="s">
        <v>2333</v>
      </c>
      <c r="J179" t="s">
        <v>2365</v>
      </c>
      <c r="M179" s="3" t="s">
        <v>2300</v>
      </c>
      <c r="N179" s="3" t="s">
        <v>2255</v>
      </c>
      <c r="O179" t="s">
        <v>2310</v>
      </c>
    </row>
    <row r="180" spans="1:15" x14ac:dyDescent="0.25">
      <c r="A180" t="s">
        <v>2285</v>
      </c>
      <c r="B180" s="1" t="e">
        <v>#N/A</v>
      </c>
      <c r="C180" s="1" t="e">
        <v>#N/A</v>
      </c>
      <c r="D180" s="1" t="e">
        <v>#N/A</v>
      </c>
      <c r="E180" s="1" t="s">
        <v>2448</v>
      </c>
      <c r="F180" s="2" t="s">
        <v>2301</v>
      </c>
      <c r="G180" s="1" t="s">
        <v>2304</v>
      </c>
      <c r="H180" s="2">
        <v>10</v>
      </c>
      <c r="I180" s="3" t="s">
        <v>2321</v>
      </c>
      <c r="J180" t="s">
        <v>2365</v>
      </c>
      <c r="M180" s="3" t="s">
        <v>2300</v>
      </c>
      <c r="N180" s="3" t="s">
        <v>2255</v>
      </c>
      <c r="O180" t="s">
        <v>2310</v>
      </c>
    </row>
    <row r="181" spans="1:15" x14ac:dyDescent="0.25">
      <c r="A181" t="s">
        <v>2285</v>
      </c>
      <c r="B181" s="1" t="e">
        <v>#N/A</v>
      </c>
      <c r="C181" s="1" t="e">
        <v>#N/A</v>
      </c>
      <c r="D181" s="1" t="e">
        <v>#N/A</v>
      </c>
      <c r="E181" s="1" t="s">
        <v>2448</v>
      </c>
      <c r="F181" s="2" t="s">
        <v>2301</v>
      </c>
      <c r="G181" s="1" t="s">
        <v>2305</v>
      </c>
      <c r="H181" s="2">
        <v>10</v>
      </c>
      <c r="I181" s="3" t="s">
        <v>2314</v>
      </c>
      <c r="J181" t="s">
        <v>2365</v>
      </c>
      <c r="M181" s="3" t="s">
        <v>2300</v>
      </c>
      <c r="N181" s="3" t="s">
        <v>2258</v>
      </c>
      <c r="O181" t="s">
        <v>2310</v>
      </c>
    </row>
    <row r="182" spans="1:15" x14ac:dyDescent="0.25">
      <c r="A182" t="s">
        <v>2285</v>
      </c>
      <c r="B182" s="1" t="e">
        <v>#N/A</v>
      </c>
      <c r="C182" s="1" t="e">
        <v>#N/A</v>
      </c>
      <c r="D182" s="1" t="e">
        <v>#N/A</v>
      </c>
      <c r="E182" s="1" t="s">
        <v>2448</v>
      </c>
      <c r="F182" s="2" t="s">
        <v>2301</v>
      </c>
      <c r="G182" s="1" t="s">
        <v>2303</v>
      </c>
      <c r="H182" s="2">
        <v>10</v>
      </c>
      <c r="I182" s="3" t="s">
        <v>2321</v>
      </c>
      <c r="J182" t="s">
        <v>2365</v>
      </c>
      <c r="M182" s="3" t="s">
        <v>2300</v>
      </c>
      <c r="N182" s="3" t="s">
        <v>2256</v>
      </c>
      <c r="O182" t="s">
        <v>2310</v>
      </c>
    </row>
    <row r="183" spans="1:15" x14ac:dyDescent="0.25">
      <c r="A183" t="s">
        <v>2285</v>
      </c>
      <c r="B183" s="1" t="e">
        <v>#N/A</v>
      </c>
      <c r="C183" s="1" t="e">
        <v>#N/A</v>
      </c>
      <c r="D183" s="1" t="e">
        <v>#N/A</v>
      </c>
      <c r="E183" s="1" t="s">
        <v>2448</v>
      </c>
      <c r="F183" s="2" t="s">
        <v>2301</v>
      </c>
      <c r="G183" s="1" t="s">
        <v>2305</v>
      </c>
      <c r="H183" s="2">
        <v>10</v>
      </c>
      <c r="I183" s="3" t="s">
        <v>1</v>
      </c>
      <c r="J183" t="s">
        <v>2365</v>
      </c>
      <c r="M183" s="3" t="s">
        <v>2300</v>
      </c>
      <c r="N183" s="3" t="s">
        <v>2258</v>
      </c>
      <c r="O183" t="s">
        <v>2310</v>
      </c>
    </row>
    <row r="184" spans="1:15" x14ac:dyDescent="0.25">
      <c r="A184" t="s">
        <v>2285</v>
      </c>
      <c r="B184" s="1" t="e">
        <v>#N/A</v>
      </c>
      <c r="C184" s="1" t="e">
        <v>#N/A</v>
      </c>
      <c r="D184" s="1" t="e">
        <v>#N/A</v>
      </c>
      <c r="E184" s="1" t="s">
        <v>2448</v>
      </c>
      <c r="F184" s="2" t="s">
        <v>2301</v>
      </c>
      <c r="G184" s="1" t="s">
        <v>2303</v>
      </c>
      <c r="H184" s="2">
        <v>10</v>
      </c>
      <c r="I184" s="3" t="s">
        <v>2315</v>
      </c>
      <c r="J184" t="s">
        <v>2365</v>
      </c>
      <c r="M184" s="3" t="s">
        <v>2300</v>
      </c>
      <c r="N184" s="3" t="s">
        <v>2256</v>
      </c>
      <c r="O184" t="s">
        <v>2310</v>
      </c>
    </row>
    <row r="185" spans="1:15" x14ac:dyDescent="0.25">
      <c r="A185" t="s">
        <v>2285</v>
      </c>
      <c r="B185" s="1" t="e">
        <v>#N/A</v>
      </c>
      <c r="C185" s="1" t="e">
        <v>#N/A</v>
      </c>
      <c r="D185" s="1" t="e">
        <v>#N/A</v>
      </c>
      <c r="E185" s="1" t="s">
        <v>2448</v>
      </c>
      <c r="F185" s="2" t="s">
        <v>2301</v>
      </c>
      <c r="G185" s="1" t="s">
        <v>2304</v>
      </c>
      <c r="H185" s="2">
        <v>10</v>
      </c>
      <c r="I185" s="3" t="s">
        <v>2313</v>
      </c>
      <c r="J185" t="s">
        <v>2365</v>
      </c>
      <c r="M185" s="3" t="s">
        <v>2300</v>
      </c>
      <c r="N185" s="3" t="s">
        <v>2255</v>
      </c>
      <c r="O185" t="s">
        <v>2310</v>
      </c>
    </row>
    <row r="186" spans="1:15" x14ac:dyDescent="0.25">
      <c r="A186" t="s">
        <v>2285</v>
      </c>
      <c r="B186" s="1" t="e">
        <v>#N/A</v>
      </c>
      <c r="C186" s="1" t="e">
        <v>#N/A</v>
      </c>
      <c r="D186" s="1" t="e">
        <v>#N/A</v>
      </c>
      <c r="E186" s="1" t="s">
        <v>2448</v>
      </c>
      <c r="F186" s="2" t="s">
        <v>2301</v>
      </c>
      <c r="G186" s="1" t="s">
        <v>2304</v>
      </c>
      <c r="H186" s="2">
        <v>10</v>
      </c>
      <c r="I186" s="3" t="s">
        <v>2321</v>
      </c>
      <c r="J186" t="s">
        <v>2365</v>
      </c>
      <c r="M186" s="3" t="s">
        <v>2300</v>
      </c>
      <c r="N186" s="3" t="s">
        <v>2255</v>
      </c>
      <c r="O186" t="s">
        <v>2310</v>
      </c>
    </row>
    <row r="187" spans="1:15" x14ac:dyDescent="0.25">
      <c r="A187" t="s">
        <v>2285</v>
      </c>
      <c r="B187" s="1" t="s">
        <v>2288</v>
      </c>
      <c r="C187" s="1" t="s">
        <v>2291</v>
      </c>
      <c r="D187" s="1" t="s">
        <v>2447</v>
      </c>
      <c r="E187" s="1" t="s">
        <v>2448</v>
      </c>
      <c r="F187" s="2" t="s">
        <v>2301</v>
      </c>
      <c r="G187" s="1" t="s">
        <v>2303</v>
      </c>
      <c r="H187" s="2">
        <v>10</v>
      </c>
      <c r="I187" s="3" t="s">
        <v>2327</v>
      </c>
      <c r="J187" t="s">
        <v>2365</v>
      </c>
      <c r="M187" s="3" t="s">
        <v>2300</v>
      </c>
      <c r="N187" s="3" t="s">
        <v>2256</v>
      </c>
      <c r="O187" t="s">
        <v>2310</v>
      </c>
    </row>
    <row r="188" spans="1:15" x14ac:dyDescent="0.25">
      <c r="A188" t="s">
        <v>2283</v>
      </c>
      <c r="B188" s="1" t="s">
        <v>2289</v>
      </c>
      <c r="C188" s="1" t="s">
        <v>2291</v>
      </c>
      <c r="D188" s="1" t="s">
        <v>2438</v>
      </c>
      <c r="E188" s="1" t="s">
        <v>2298</v>
      </c>
      <c r="F188" s="2" t="s">
        <v>2300</v>
      </c>
      <c r="G188" s="1" t="s">
        <v>2304</v>
      </c>
      <c r="H188" s="2">
        <v>9</v>
      </c>
      <c r="I188" s="3" t="s">
        <v>12</v>
      </c>
      <c r="J188" t="s">
        <v>2365</v>
      </c>
      <c r="M188" s="3" t="s">
        <v>2300</v>
      </c>
      <c r="N188" s="3" t="s">
        <v>2255</v>
      </c>
      <c r="O188" t="s">
        <v>2310</v>
      </c>
    </row>
    <row r="189" spans="1:15" x14ac:dyDescent="0.25">
      <c r="A189" t="s">
        <v>2285</v>
      </c>
      <c r="B189" s="1" t="e">
        <v>#N/A</v>
      </c>
      <c r="C189" s="1" t="e">
        <v>#N/A</v>
      </c>
      <c r="D189" s="1" t="e">
        <v>#N/A</v>
      </c>
      <c r="E189" s="1" t="s">
        <v>2298</v>
      </c>
      <c r="F189" s="2" t="s">
        <v>2300</v>
      </c>
      <c r="G189" s="1" t="s">
        <v>2303</v>
      </c>
      <c r="H189" s="2">
        <v>9</v>
      </c>
      <c r="I189" s="3" t="s">
        <v>2353</v>
      </c>
      <c r="J189" t="s">
        <v>2365</v>
      </c>
      <c r="M189" s="3" t="s">
        <v>2300</v>
      </c>
      <c r="N189" s="3" t="s">
        <v>2256</v>
      </c>
      <c r="O189" t="s">
        <v>2310</v>
      </c>
    </row>
    <row r="190" spans="1:15" x14ac:dyDescent="0.25">
      <c r="A190" t="s">
        <v>2283</v>
      </c>
      <c r="B190" s="1" t="s">
        <v>2289</v>
      </c>
      <c r="C190" s="1" t="s">
        <v>2291</v>
      </c>
      <c r="D190" s="1" t="s">
        <v>2438</v>
      </c>
      <c r="E190" s="1" t="s">
        <v>2298</v>
      </c>
      <c r="F190" s="2" t="s">
        <v>2300</v>
      </c>
      <c r="G190" s="1" t="s">
        <v>2304</v>
      </c>
      <c r="H190" s="2">
        <v>9</v>
      </c>
      <c r="I190" s="3" t="s">
        <v>2346</v>
      </c>
      <c r="J190" t="s">
        <v>2365</v>
      </c>
      <c r="M190" s="3" t="s">
        <v>2300</v>
      </c>
      <c r="N190" s="3" t="s">
        <v>2255</v>
      </c>
      <c r="O190" t="s">
        <v>2310</v>
      </c>
    </row>
    <row r="191" spans="1:15" x14ac:dyDescent="0.25">
      <c r="A191" t="s">
        <v>2285</v>
      </c>
      <c r="B191" s="1" t="e">
        <v>#N/A</v>
      </c>
      <c r="C191" s="1" t="e">
        <v>#N/A</v>
      </c>
      <c r="D191" s="1" t="e">
        <v>#N/A</v>
      </c>
      <c r="E191" s="1" t="s">
        <v>2448</v>
      </c>
      <c r="F191" s="2" t="s">
        <v>2300</v>
      </c>
      <c r="G191" s="1" t="s">
        <v>2304</v>
      </c>
      <c r="H191" s="2">
        <v>9</v>
      </c>
      <c r="I191" s="3" t="s">
        <v>2317</v>
      </c>
      <c r="J191" t="s">
        <v>2365</v>
      </c>
      <c r="M191" s="3" t="s">
        <v>2301</v>
      </c>
      <c r="N191" s="3" t="s">
        <v>2255</v>
      </c>
      <c r="O191" t="s">
        <v>2310</v>
      </c>
    </row>
    <row r="192" spans="1:15" x14ac:dyDescent="0.25">
      <c r="A192" t="s">
        <v>2285</v>
      </c>
      <c r="B192" s="1" t="s">
        <v>2288</v>
      </c>
      <c r="C192" s="1" t="s">
        <v>2291</v>
      </c>
      <c r="D192" s="1" t="s">
        <v>2447</v>
      </c>
      <c r="E192" s="1" t="s">
        <v>2448</v>
      </c>
      <c r="F192" s="2" t="s">
        <v>2301</v>
      </c>
      <c r="G192" s="1" t="s">
        <v>2303</v>
      </c>
      <c r="H192" s="2">
        <v>9</v>
      </c>
      <c r="I192" s="3" t="s">
        <v>7</v>
      </c>
      <c r="J192" t="s">
        <v>2365</v>
      </c>
      <c r="M192" s="3" t="s">
        <v>2300</v>
      </c>
      <c r="N192" s="3" t="s">
        <v>2256</v>
      </c>
      <c r="O192" t="s">
        <v>2310</v>
      </c>
    </row>
    <row r="193" spans="1:15" x14ac:dyDescent="0.25">
      <c r="A193" t="s">
        <v>2285</v>
      </c>
      <c r="B193" s="1" t="e">
        <v>#N/A</v>
      </c>
      <c r="C193" s="1" t="e">
        <v>#N/A</v>
      </c>
      <c r="D193" s="1" t="e">
        <v>#N/A</v>
      </c>
      <c r="E193" s="1" t="s">
        <v>2448</v>
      </c>
      <c r="F193" s="2" t="s">
        <v>2301</v>
      </c>
      <c r="G193" s="1" t="s">
        <v>2304</v>
      </c>
      <c r="H193" s="2">
        <v>9</v>
      </c>
      <c r="I193" s="3" t="s">
        <v>2321</v>
      </c>
      <c r="J193" t="s">
        <v>2365</v>
      </c>
      <c r="M193" s="3" t="s">
        <v>2300</v>
      </c>
      <c r="N193" s="3" t="s">
        <v>2255</v>
      </c>
      <c r="O193" t="s">
        <v>2310</v>
      </c>
    </row>
    <row r="194" spans="1:15" x14ac:dyDescent="0.25">
      <c r="A194" t="s">
        <v>2285</v>
      </c>
      <c r="B194" s="1" t="s">
        <v>2288</v>
      </c>
      <c r="C194" s="1" t="s">
        <v>2291</v>
      </c>
      <c r="D194" s="1" t="s">
        <v>2447</v>
      </c>
      <c r="E194" s="1" t="s">
        <v>2448</v>
      </c>
      <c r="F194" s="2" t="s">
        <v>2301</v>
      </c>
      <c r="G194" s="1" t="s">
        <v>2304</v>
      </c>
      <c r="H194" s="2">
        <v>9</v>
      </c>
      <c r="I194" s="3" t="s">
        <v>2418</v>
      </c>
      <c r="J194" t="s">
        <v>2365</v>
      </c>
      <c r="M194" s="3" t="s">
        <v>2300</v>
      </c>
      <c r="N194" s="3" t="s">
        <v>2255</v>
      </c>
      <c r="O194" t="s">
        <v>2310</v>
      </c>
    </row>
    <row r="195" spans="1:15" x14ac:dyDescent="0.25">
      <c r="A195" t="s">
        <v>2285</v>
      </c>
      <c r="B195" s="1" t="s">
        <v>2288</v>
      </c>
      <c r="C195" s="1" t="s">
        <v>2291</v>
      </c>
      <c r="D195" s="1" t="s">
        <v>2447</v>
      </c>
      <c r="E195" s="1" t="s">
        <v>2448</v>
      </c>
      <c r="F195" s="2" t="s">
        <v>2301</v>
      </c>
      <c r="G195" s="1" t="s">
        <v>2304</v>
      </c>
      <c r="H195" s="2">
        <v>9</v>
      </c>
      <c r="I195" s="3" t="s">
        <v>2316</v>
      </c>
      <c r="J195" t="s">
        <v>2365</v>
      </c>
      <c r="M195" s="3" t="s">
        <v>2300</v>
      </c>
      <c r="N195" s="3" t="s">
        <v>2255</v>
      </c>
      <c r="O195" t="s">
        <v>2310</v>
      </c>
    </row>
    <row r="196" spans="1:15" x14ac:dyDescent="0.25">
      <c r="A196" t="s">
        <v>2285</v>
      </c>
      <c r="B196" s="1" t="e">
        <v>#N/A</v>
      </c>
      <c r="C196" s="1" t="e">
        <v>#N/A</v>
      </c>
      <c r="D196" s="1" t="e">
        <v>#N/A</v>
      </c>
      <c r="E196" s="1" t="s">
        <v>2448</v>
      </c>
      <c r="F196" s="2" t="s">
        <v>2301</v>
      </c>
      <c r="G196" s="1" t="s">
        <v>2303</v>
      </c>
      <c r="H196" s="2">
        <v>9</v>
      </c>
      <c r="I196" s="3" t="s">
        <v>2402</v>
      </c>
      <c r="J196" t="s">
        <v>2365</v>
      </c>
      <c r="M196" s="3" t="s">
        <v>2300</v>
      </c>
      <c r="N196" s="3" t="s">
        <v>2256</v>
      </c>
      <c r="O196" t="s">
        <v>2310</v>
      </c>
    </row>
    <row r="197" spans="1:15" x14ac:dyDescent="0.25">
      <c r="A197" t="s">
        <v>2285</v>
      </c>
      <c r="B197" s="1" t="e">
        <v>#N/A</v>
      </c>
      <c r="C197" s="1" t="e">
        <v>#N/A</v>
      </c>
      <c r="D197" s="1" t="e">
        <v>#N/A</v>
      </c>
      <c r="E197" s="1" t="s">
        <v>2448</v>
      </c>
      <c r="F197" s="2" t="s">
        <v>2301</v>
      </c>
      <c r="G197" s="1" t="s">
        <v>2304</v>
      </c>
      <c r="H197" s="2">
        <v>9</v>
      </c>
      <c r="I197" s="3" t="s">
        <v>2321</v>
      </c>
      <c r="J197" t="s">
        <v>2365</v>
      </c>
      <c r="M197" s="3" t="s">
        <v>2300</v>
      </c>
      <c r="N197" s="3" t="s">
        <v>2255</v>
      </c>
      <c r="O197" t="s">
        <v>2310</v>
      </c>
    </row>
    <row r="198" spans="1:15" x14ac:dyDescent="0.25">
      <c r="A198" t="s">
        <v>2285</v>
      </c>
      <c r="B198" s="1" t="s">
        <v>2288</v>
      </c>
      <c r="C198" s="1" t="s">
        <v>2291</v>
      </c>
      <c r="D198" s="1" t="s">
        <v>2447</v>
      </c>
      <c r="E198" s="1" t="s">
        <v>2448</v>
      </c>
      <c r="F198" s="2" t="s">
        <v>2301</v>
      </c>
      <c r="G198" s="1" t="s">
        <v>2304</v>
      </c>
      <c r="H198" s="2">
        <v>9</v>
      </c>
      <c r="I198" s="3" t="s">
        <v>2317</v>
      </c>
      <c r="J198" t="s">
        <v>2365</v>
      </c>
      <c r="M198" s="3" t="s">
        <v>2300</v>
      </c>
      <c r="N198" s="3" t="s">
        <v>2255</v>
      </c>
      <c r="O198" t="s">
        <v>2310</v>
      </c>
    </row>
    <row r="199" spans="1:15" x14ac:dyDescent="0.25">
      <c r="A199" t="s">
        <v>2285</v>
      </c>
      <c r="B199" s="1" t="s">
        <v>2288</v>
      </c>
      <c r="C199" s="1" t="s">
        <v>2291</v>
      </c>
      <c r="D199" s="1" t="s">
        <v>2447</v>
      </c>
      <c r="E199" s="1" t="s">
        <v>2448</v>
      </c>
      <c r="F199" s="2" t="s">
        <v>2301</v>
      </c>
      <c r="G199" s="1" t="s">
        <v>2304</v>
      </c>
      <c r="H199" s="2">
        <v>9</v>
      </c>
      <c r="I199" s="3" t="s">
        <v>2357</v>
      </c>
      <c r="J199" t="s">
        <v>2365</v>
      </c>
      <c r="M199" s="3" t="s">
        <v>2300</v>
      </c>
      <c r="N199" s="3" t="s">
        <v>2308</v>
      </c>
      <c r="O199" t="s">
        <v>2310</v>
      </c>
    </row>
    <row r="200" spans="1:15" x14ac:dyDescent="0.25">
      <c r="A200" t="s">
        <v>2285</v>
      </c>
      <c r="B200" s="1" t="e">
        <v>#N/A</v>
      </c>
      <c r="C200" s="1" t="e">
        <v>#N/A</v>
      </c>
      <c r="D200" s="1" t="e">
        <v>#N/A</v>
      </c>
      <c r="E200" s="1" t="s">
        <v>2448</v>
      </c>
      <c r="F200" s="2" t="s">
        <v>2301</v>
      </c>
      <c r="G200" s="1" t="s">
        <v>2305</v>
      </c>
      <c r="H200" s="2">
        <v>9</v>
      </c>
      <c r="I200" s="3" t="s">
        <v>31</v>
      </c>
      <c r="J200" t="s">
        <v>2365</v>
      </c>
      <c r="M200" s="3" t="s">
        <v>2300</v>
      </c>
      <c r="N200" s="3" t="s">
        <v>2258</v>
      </c>
      <c r="O200" t="s">
        <v>2310</v>
      </c>
    </row>
    <row r="201" spans="1:15" x14ac:dyDescent="0.25">
      <c r="A201" t="s">
        <v>2285</v>
      </c>
      <c r="B201" s="1" t="e">
        <v>#N/A</v>
      </c>
      <c r="C201" s="1" t="e">
        <v>#N/A</v>
      </c>
      <c r="D201" s="1" t="e">
        <v>#N/A</v>
      </c>
      <c r="E201" s="1" t="s">
        <v>2448</v>
      </c>
      <c r="F201" s="2" t="s">
        <v>2301</v>
      </c>
      <c r="G201" s="1" t="s">
        <v>2304</v>
      </c>
      <c r="H201" s="2">
        <v>9</v>
      </c>
      <c r="I201" s="3" t="s">
        <v>2317</v>
      </c>
      <c r="J201" t="s">
        <v>2365</v>
      </c>
      <c r="M201" s="3" t="s">
        <v>2300</v>
      </c>
      <c r="N201" s="3" t="s">
        <v>2255</v>
      </c>
      <c r="O201" t="s">
        <v>2310</v>
      </c>
    </row>
    <row r="202" spans="1:15" x14ac:dyDescent="0.25">
      <c r="A202" t="s">
        <v>2285</v>
      </c>
      <c r="B202" s="1" t="e">
        <v>#N/A</v>
      </c>
      <c r="C202" s="1" t="e">
        <v>#N/A</v>
      </c>
      <c r="D202" s="1" t="e">
        <v>#N/A</v>
      </c>
      <c r="E202" s="1" t="s">
        <v>2448</v>
      </c>
      <c r="F202" s="2" t="s">
        <v>2300</v>
      </c>
      <c r="G202" s="1" t="s">
        <v>2304</v>
      </c>
      <c r="H202" s="2">
        <v>9</v>
      </c>
      <c r="I202" s="3" t="s">
        <v>2</v>
      </c>
      <c r="J202" t="s">
        <v>2365</v>
      </c>
      <c r="M202" s="3" t="s">
        <v>2301</v>
      </c>
      <c r="N202" s="3" t="s">
        <v>2255</v>
      </c>
      <c r="O202" t="s">
        <v>2310</v>
      </c>
    </row>
    <row r="203" spans="1:15" x14ac:dyDescent="0.25">
      <c r="A203" t="s">
        <v>2285</v>
      </c>
      <c r="B203" s="1" t="s">
        <v>2288</v>
      </c>
      <c r="C203" s="1" t="s">
        <v>2291</v>
      </c>
      <c r="D203" s="1" t="s">
        <v>2447</v>
      </c>
      <c r="E203" s="1" t="s">
        <v>2448</v>
      </c>
      <c r="F203" s="2" t="s">
        <v>2301</v>
      </c>
      <c r="G203" s="1" t="s">
        <v>2304</v>
      </c>
      <c r="H203" s="2">
        <v>9</v>
      </c>
      <c r="I203" s="3" t="s">
        <v>2</v>
      </c>
      <c r="J203" t="s">
        <v>2365</v>
      </c>
      <c r="M203" s="3" t="s">
        <v>2300</v>
      </c>
      <c r="N203" s="3" t="s">
        <v>2255</v>
      </c>
      <c r="O203" t="s">
        <v>2310</v>
      </c>
    </row>
    <row r="204" spans="1:15" x14ac:dyDescent="0.25">
      <c r="A204" t="s">
        <v>2285</v>
      </c>
      <c r="B204" s="1" t="e">
        <v>#N/A</v>
      </c>
      <c r="C204" s="1" t="e">
        <v>#N/A</v>
      </c>
      <c r="D204" s="1" t="e">
        <v>#N/A</v>
      </c>
      <c r="E204" s="1" t="s">
        <v>2448</v>
      </c>
      <c r="F204" s="2" t="s">
        <v>2301</v>
      </c>
      <c r="G204" s="1" t="s">
        <v>2304</v>
      </c>
      <c r="H204" s="2">
        <v>9</v>
      </c>
      <c r="I204" s="3" t="s">
        <v>2321</v>
      </c>
      <c r="J204" t="s">
        <v>2365</v>
      </c>
      <c r="M204" s="3" t="s">
        <v>2300</v>
      </c>
      <c r="N204" s="3" t="s">
        <v>2255</v>
      </c>
      <c r="O204" t="s">
        <v>2310</v>
      </c>
    </row>
    <row r="205" spans="1:15" x14ac:dyDescent="0.25">
      <c r="A205" t="s">
        <v>2285</v>
      </c>
      <c r="B205" s="1" t="s">
        <v>2288</v>
      </c>
      <c r="C205" s="1" t="s">
        <v>2291</v>
      </c>
      <c r="D205" s="1" t="s">
        <v>2447</v>
      </c>
      <c r="E205" s="1" t="s">
        <v>2448</v>
      </c>
      <c r="F205" s="2" t="s">
        <v>2301</v>
      </c>
      <c r="G205" s="1" t="s">
        <v>2305</v>
      </c>
      <c r="H205" s="2">
        <v>9</v>
      </c>
      <c r="I205" s="3" t="s">
        <v>2327</v>
      </c>
      <c r="J205" t="s">
        <v>2365</v>
      </c>
      <c r="M205" s="3" t="s">
        <v>2300</v>
      </c>
      <c r="N205" s="3" t="s">
        <v>2258</v>
      </c>
      <c r="O205" t="s">
        <v>2310</v>
      </c>
    </row>
    <row r="206" spans="1:15" x14ac:dyDescent="0.25">
      <c r="A206" t="s">
        <v>2285</v>
      </c>
      <c r="B206" s="1" t="s">
        <v>2288</v>
      </c>
      <c r="C206" s="1" t="s">
        <v>2291</v>
      </c>
      <c r="D206" s="1" t="s">
        <v>2447</v>
      </c>
      <c r="E206" s="1" t="s">
        <v>2448</v>
      </c>
      <c r="F206" s="2" t="s">
        <v>2301</v>
      </c>
      <c r="G206" s="1" t="s">
        <v>2303</v>
      </c>
      <c r="H206" s="2">
        <v>9</v>
      </c>
      <c r="I206" s="3" t="s">
        <v>7</v>
      </c>
      <c r="J206" t="s">
        <v>2365</v>
      </c>
      <c r="M206" s="3" t="s">
        <v>2300</v>
      </c>
      <c r="N206" s="3" t="s">
        <v>2256</v>
      </c>
      <c r="O206" t="s">
        <v>2310</v>
      </c>
    </row>
    <row r="207" spans="1:15" x14ac:dyDescent="0.25">
      <c r="A207" t="s">
        <v>2285</v>
      </c>
      <c r="B207" s="1" t="s">
        <v>2288</v>
      </c>
      <c r="C207" s="1" t="s">
        <v>2291</v>
      </c>
      <c r="D207" s="1" t="s">
        <v>2447</v>
      </c>
      <c r="E207" s="1" t="s">
        <v>2448</v>
      </c>
      <c r="F207" s="2" t="s">
        <v>2301</v>
      </c>
      <c r="G207" s="1" t="s">
        <v>2304</v>
      </c>
      <c r="H207" s="2">
        <v>9</v>
      </c>
      <c r="I207" s="3" t="s">
        <v>2317</v>
      </c>
      <c r="J207" t="s">
        <v>2365</v>
      </c>
      <c r="M207" s="3" t="s">
        <v>2300</v>
      </c>
      <c r="N207" s="3" t="s">
        <v>2255</v>
      </c>
      <c r="O207" t="s">
        <v>2310</v>
      </c>
    </row>
    <row r="208" spans="1:15" x14ac:dyDescent="0.25">
      <c r="A208" t="s">
        <v>2285</v>
      </c>
      <c r="B208" s="1" t="s">
        <v>2288</v>
      </c>
      <c r="C208" s="1" t="s">
        <v>2291</v>
      </c>
      <c r="D208" s="1" t="s">
        <v>2447</v>
      </c>
      <c r="E208" s="1" t="s">
        <v>2448</v>
      </c>
      <c r="F208" s="2" t="s">
        <v>2301</v>
      </c>
      <c r="G208" s="1" t="s">
        <v>2305</v>
      </c>
      <c r="H208" s="2">
        <v>9</v>
      </c>
      <c r="I208" s="3" t="s">
        <v>2357</v>
      </c>
      <c r="J208" t="s">
        <v>2365</v>
      </c>
      <c r="M208" s="3" t="s">
        <v>2300</v>
      </c>
      <c r="N208" s="3" t="s">
        <v>2257</v>
      </c>
      <c r="O208" t="s">
        <v>2310</v>
      </c>
    </row>
    <row r="209" spans="1:15" x14ac:dyDescent="0.25">
      <c r="A209" t="s">
        <v>2285</v>
      </c>
      <c r="B209" s="1" t="s">
        <v>2288</v>
      </c>
      <c r="C209" s="1" t="s">
        <v>2291</v>
      </c>
      <c r="D209" s="1" t="s">
        <v>2447</v>
      </c>
      <c r="E209" s="1" t="s">
        <v>2448</v>
      </c>
      <c r="F209" s="2" t="s">
        <v>2301</v>
      </c>
      <c r="G209" s="1" t="s">
        <v>2304</v>
      </c>
      <c r="H209" s="2">
        <v>9</v>
      </c>
      <c r="I209" s="3" t="s">
        <v>2327</v>
      </c>
      <c r="J209" t="s">
        <v>2365</v>
      </c>
      <c r="M209" s="3" t="s">
        <v>2300</v>
      </c>
      <c r="N209" s="3" t="s">
        <v>2255</v>
      </c>
      <c r="O209" t="s">
        <v>2310</v>
      </c>
    </row>
    <row r="210" spans="1:15" x14ac:dyDescent="0.25">
      <c r="A210" t="s">
        <v>2285</v>
      </c>
      <c r="B210" s="1" t="e">
        <v>#N/A</v>
      </c>
      <c r="C210" s="1" t="e">
        <v>#N/A</v>
      </c>
      <c r="D210" s="1" t="e">
        <v>#N/A</v>
      </c>
      <c r="E210" s="1" t="s">
        <v>2448</v>
      </c>
      <c r="F210" s="2" t="s">
        <v>2301</v>
      </c>
      <c r="G210" s="1" t="s">
        <v>2304</v>
      </c>
      <c r="H210" s="2">
        <v>9</v>
      </c>
      <c r="I210" s="3" t="s">
        <v>2333</v>
      </c>
      <c r="J210" t="s">
        <v>2365</v>
      </c>
      <c r="M210" s="3" t="s">
        <v>2300</v>
      </c>
      <c r="N210" s="3" t="s">
        <v>2255</v>
      </c>
      <c r="O210" t="s">
        <v>2310</v>
      </c>
    </row>
    <row r="211" spans="1:15" x14ac:dyDescent="0.25">
      <c r="A211" t="s">
        <v>2285</v>
      </c>
      <c r="B211" s="1" t="s">
        <v>2288</v>
      </c>
      <c r="C211" s="1" t="s">
        <v>2291</v>
      </c>
      <c r="D211" s="1" t="s">
        <v>2447</v>
      </c>
      <c r="E211" s="1" t="s">
        <v>2448</v>
      </c>
      <c r="F211" s="2" t="s">
        <v>2301</v>
      </c>
      <c r="G211" s="1" t="s">
        <v>2304</v>
      </c>
      <c r="H211" s="2">
        <v>9</v>
      </c>
      <c r="I211" s="3" t="s">
        <v>2317</v>
      </c>
      <c r="J211" t="s">
        <v>2365</v>
      </c>
      <c r="M211" s="3" t="s">
        <v>2300</v>
      </c>
      <c r="N211" s="3" t="s">
        <v>2255</v>
      </c>
      <c r="O211" t="s">
        <v>2310</v>
      </c>
    </row>
    <row r="212" spans="1:15" x14ac:dyDescent="0.25">
      <c r="A212" t="s">
        <v>2285</v>
      </c>
      <c r="B212" s="1" t="s">
        <v>2288</v>
      </c>
      <c r="C212" s="1" t="s">
        <v>2291</v>
      </c>
      <c r="D212" s="1" t="s">
        <v>2447</v>
      </c>
      <c r="E212" s="1" t="s">
        <v>2448</v>
      </c>
      <c r="F212" s="2" t="s">
        <v>2301</v>
      </c>
      <c r="G212" s="1" t="s">
        <v>2304</v>
      </c>
      <c r="H212" s="2">
        <v>9</v>
      </c>
      <c r="I212" s="3" t="s">
        <v>2317</v>
      </c>
      <c r="J212" t="s">
        <v>2365</v>
      </c>
      <c r="M212" s="3" t="s">
        <v>2300</v>
      </c>
      <c r="N212" s="3" t="s">
        <v>2255</v>
      </c>
      <c r="O212" t="s">
        <v>2310</v>
      </c>
    </row>
    <row r="213" spans="1:15" x14ac:dyDescent="0.25">
      <c r="A213" t="s">
        <v>2285</v>
      </c>
      <c r="B213" s="1" t="s">
        <v>2288</v>
      </c>
      <c r="C213" s="1" t="s">
        <v>2291</v>
      </c>
      <c r="D213" s="1" t="s">
        <v>2447</v>
      </c>
      <c r="E213" s="1" t="s">
        <v>2448</v>
      </c>
      <c r="F213" s="2" t="s">
        <v>2301</v>
      </c>
      <c r="G213" s="1" t="s">
        <v>2304</v>
      </c>
      <c r="H213" s="2">
        <v>9</v>
      </c>
      <c r="I213" s="3" t="s">
        <v>2316</v>
      </c>
      <c r="J213" t="s">
        <v>2365</v>
      </c>
      <c r="M213" s="3" t="s">
        <v>2300</v>
      </c>
      <c r="N213" s="3" t="s">
        <v>2255</v>
      </c>
      <c r="O213" t="s">
        <v>2310</v>
      </c>
    </row>
    <row r="214" spans="1:15" x14ac:dyDescent="0.25">
      <c r="A214" t="s">
        <v>2285</v>
      </c>
      <c r="B214" s="1" t="s">
        <v>2289</v>
      </c>
      <c r="C214" s="1" t="s">
        <v>2430</v>
      </c>
      <c r="D214" s="1" t="s">
        <v>2447</v>
      </c>
      <c r="E214" s="1" t="s">
        <v>2448</v>
      </c>
      <c r="F214" s="2" t="s">
        <v>2301</v>
      </c>
      <c r="G214" s="1" t="s">
        <v>2304</v>
      </c>
      <c r="H214" s="2">
        <v>9</v>
      </c>
      <c r="I214" s="3" t="s">
        <v>12</v>
      </c>
      <c r="J214" t="s">
        <v>2365</v>
      </c>
      <c r="M214" s="3" t="s">
        <v>2300</v>
      </c>
      <c r="N214" s="3" t="s">
        <v>2255</v>
      </c>
      <c r="O214" t="s">
        <v>2310</v>
      </c>
    </row>
    <row r="215" spans="1:15" x14ac:dyDescent="0.25">
      <c r="A215" t="s">
        <v>2285</v>
      </c>
      <c r="B215" s="1" t="s">
        <v>2288</v>
      </c>
      <c r="C215" s="1" t="s">
        <v>2291</v>
      </c>
      <c r="D215" s="1" t="s">
        <v>2447</v>
      </c>
      <c r="E215" s="1" t="s">
        <v>2448</v>
      </c>
      <c r="F215" s="2" t="s">
        <v>2301</v>
      </c>
      <c r="G215" s="1" t="s">
        <v>2305</v>
      </c>
      <c r="H215" s="2">
        <v>9</v>
      </c>
      <c r="I215" s="3" t="s">
        <v>2316</v>
      </c>
      <c r="J215" t="s">
        <v>2365</v>
      </c>
      <c r="M215" s="3" t="s">
        <v>2300</v>
      </c>
      <c r="N215" s="3" t="s">
        <v>2258</v>
      </c>
      <c r="O215" t="s">
        <v>2310</v>
      </c>
    </row>
    <row r="216" spans="1:15" x14ac:dyDescent="0.25">
      <c r="A216" t="s">
        <v>2285</v>
      </c>
      <c r="B216" s="1" t="s">
        <v>2288</v>
      </c>
      <c r="C216" s="1" t="s">
        <v>2291</v>
      </c>
      <c r="D216" s="1" t="s">
        <v>2447</v>
      </c>
      <c r="E216" s="1" t="s">
        <v>2448</v>
      </c>
      <c r="F216" s="2" t="s">
        <v>2301</v>
      </c>
      <c r="G216" s="1" t="s">
        <v>2304</v>
      </c>
      <c r="H216" s="2">
        <v>9</v>
      </c>
      <c r="I216" s="3" t="s">
        <v>2417</v>
      </c>
      <c r="J216" t="s">
        <v>2365</v>
      </c>
      <c r="M216" s="3" t="s">
        <v>2300</v>
      </c>
      <c r="N216" s="3" t="s">
        <v>2255</v>
      </c>
      <c r="O216" t="s">
        <v>2310</v>
      </c>
    </row>
    <row r="217" spans="1:15" x14ac:dyDescent="0.25">
      <c r="A217" t="s">
        <v>2285</v>
      </c>
      <c r="B217" s="1" t="e">
        <v>#N/A</v>
      </c>
      <c r="C217" s="1" t="e">
        <v>#N/A</v>
      </c>
      <c r="D217" s="1" t="e">
        <v>#N/A</v>
      </c>
      <c r="E217" s="1" t="s">
        <v>2448</v>
      </c>
      <c r="F217" s="2" t="s">
        <v>2301</v>
      </c>
      <c r="G217" s="1" t="s">
        <v>2304</v>
      </c>
      <c r="H217" s="2">
        <v>9</v>
      </c>
      <c r="I217" s="3" t="s">
        <v>2416</v>
      </c>
      <c r="J217" t="s">
        <v>2365</v>
      </c>
      <c r="M217" s="3" t="s">
        <v>2300</v>
      </c>
      <c r="N217" s="3" t="s">
        <v>2255</v>
      </c>
      <c r="O217" t="s">
        <v>2310</v>
      </c>
    </row>
    <row r="218" spans="1:15" x14ac:dyDescent="0.25">
      <c r="A218" t="s">
        <v>2285</v>
      </c>
      <c r="B218" s="1" t="e">
        <v>#N/A</v>
      </c>
      <c r="C218" s="1" t="e">
        <v>#N/A</v>
      </c>
      <c r="D218" s="1" t="e">
        <v>#N/A</v>
      </c>
      <c r="E218" s="1" t="s">
        <v>2448</v>
      </c>
      <c r="F218" s="2" t="s">
        <v>2301</v>
      </c>
      <c r="G218" s="1" t="s">
        <v>2304</v>
      </c>
      <c r="H218" s="2">
        <v>9</v>
      </c>
      <c r="I218" s="3" t="s">
        <v>31</v>
      </c>
      <c r="J218" t="s">
        <v>2365</v>
      </c>
      <c r="M218" s="3" t="s">
        <v>2300</v>
      </c>
      <c r="N218" s="3" t="s">
        <v>2255</v>
      </c>
      <c r="O218" t="s">
        <v>2310</v>
      </c>
    </row>
    <row r="219" spans="1:15" x14ac:dyDescent="0.25">
      <c r="A219" t="s">
        <v>2285</v>
      </c>
      <c r="B219" s="1" t="s">
        <v>2288</v>
      </c>
      <c r="C219" s="1" t="s">
        <v>2291</v>
      </c>
      <c r="D219" s="1" t="s">
        <v>2447</v>
      </c>
      <c r="E219" s="1" t="s">
        <v>2448</v>
      </c>
      <c r="F219" s="2" t="s">
        <v>2301</v>
      </c>
      <c r="G219" s="1" t="s">
        <v>2303</v>
      </c>
      <c r="H219" s="2">
        <v>9</v>
      </c>
      <c r="I219" s="3" t="s">
        <v>2419</v>
      </c>
      <c r="J219" t="s">
        <v>2365</v>
      </c>
      <c r="M219" s="3" t="s">
        <v>2300</v>
      </c>
      <c r="N219" s="3" t="s">
        <v>2256</v>
      </c>
      <c r="O219" t="s">
        <v>2310</v>
      </c>
    </row>
    <row r="220" spans="1:15" x14ac:dyDescent="0.25">
      <c r="A220" t="s">
        <v>2285</v>
      </c>
      <c r="B220" s="1" t="s">
        <v>2289</v>
      </c>
      <c r="C220" s="1" t="s">
        <v>2430</v>
      </c>
      <c r="D220" s="1" t="s">
        <v>2447</v>
      </c>
      <c r="E220" s="1" t="s">
        <v>2448</v>
      </c>
      <c r="F220" s="2" t="s">
        <v>2301</v>
      </c>
      <c r="G220" s="1" t="s">
        <v>2304</v>
      </c>
      <c r="H220" s="2">
        <v>9</v>
      </c>
      <c r="I220" s="3" t="s">
        <v>2358</v>
      </c>
      <c r="J220" t="s">
        <v>2365</v>
      </c>
      <c r="M220" s="3" t="s">
        <v>2300</v>
      </c>
      <c r="N220" s="3" t="s">
        <v>2255</v>
      </c>
      <c r="O220" t="s">
        <v>2310</v>
      </c>
    </row>
    <row r="221" spans="1:15" x14ac:dyDescent="0.25">
      <c r="A221" t="s">
        <v>2285</v>
      </c>
      <c r="B221" s="1" t="e">
        <v>#N/A</v>
      </c>
      <c r="C221" s="1" t="e">
        <v>#N/A</v>
      </c>
      <c r="D221" s="1" t="e">
        <v>#N/A</v>
      </c>
      <c r="E221" s="1" t="s">
        <v>2448</v>
      </c>
      <c r="F221" s="2" t="s">
        <v>2301</v>
      </c>
      <c r="G221" s="1" t="s">
        <v>2304</v>
      </c>
      <c r="H221" s="2">
        <v>9</v>
      </c>
      <c r="I221" s="3" t="s">
        <v>9</v>
      </c>
      <c r="J221" t="s">
        <v>2365</v>
      </c>
      <c r="M221" s="3" t="s">
        <v>2300</v>
      </c>
      <c r="N221" s="3" t="s">
        <v>2255</v>
      </c>
      <c r="O221" t="s">
        <v>2310</v>
      </c>
    </row>
    <row r="222" spans="1:15" x14ac:dyDescent="0.25">
      <c r="A222" t="s">
        <v>2285</v>
      </c>
      <c r="B222" s="1" t="e">
        <v>#N/A</v>
      </c>
      <c r="C222" s="1" t="e">
        <v>#N/A</v>
      </c>
      <c r="D222" s="1" t="e">
        <v>#N/A</v>
      </c>
      <c r="E222" s="1" t="s">
        <v>2448</v>
      </c>
      <c r="F222" s="2" t="s">
        <v>2300</v>
      </c>
      <c r="G222" s="1" t="s">
        <v>2304</v>
      </c>
      <c r="H222" s="2">
        <v>9</v>
      </c>
      <c r="I222" s="3" t="s">
        <v>2317</v>
      </c>
      <c r="J222" t="s">
        <v>2365</v>
      </c>
      <c r="M222" s="3" t="s">
        <v>2301</v>
      </c>
      <c r="N222" s="3" t="s">
        <v>2255</v>
      </c>
      <c r="O222" t="s">
        <v>2310</v>
      </c>
    </row>
    <row r="223" spans="1:15" x14ac:dyDescent="0.25">
      <c r="A223" t="s">
        <v>2285</v>
      </c>
      <c r="B223" s="1" t="e">
        <v>#N/A</v>
      </c>
      <c r="C223" s="1" t="e">
        <v>#N/A</v>
      </c>
      <c r="D223" s="1" t="e">
        <v>#N/A</v>
      </c>
      <c r="E223" s="1" t="s">
        <v>2298</v>
      </c>
      <c r="F223" s="2" t="s">
        <v>2300</v>
      </c>
      <c r="G223" s="1" t="s">
        <v>2304</v>
      </c>
      <c r="H223" s="2">
        <v>8</v>
      </c>
      <c r="I223" s="3" t="s">
        <v>2421</v>
      </c>
      <c r="J223" t="s">
        <v>2365</v>
      </c>
      <c r="M223" s="3" t="s">
        <v>2300</v>
      </c>
      <c r="N223" s="3" t="s">
        <v>2255</v>
      </c>
      <c r="O223" t="s">
        <v>2310</v>
      </c>
    </row>
    <row r="224" spans="1:15" x14ac:dyDescent="0.25">
      <c r="A224" t="s">
        <v>2285</v>
      </c>
      <c r="B224" s="1" t="e">
        <v>#N/A</v>
      </c>
      <c r="C224" s="1" t="e">
        <v>#N/A</v>
      </c>
      <c r="D224" s="1" t="e">
        <v>#N/A</v>
      </c>
      <c r="E224" s="1" t="s">
        <v>2298</v>
      </c>
      <c r="F224" s="2" t="s">
        <v>2300</v>
      </c>
      <c r="G224" s="1" t="s">
        <v>2304</v>
      </c>
      <c r="H224" s="2">
        <v>8</v>
      </c>
      <c r="I224" s="3" t="s">
        <v>21</v>
      </c>
      <c r="J224" t="s">
        <v>2365</v>
      </c>
      <c r="M224" s="3" t="s">
        <v>2300</v>
      </c>
      <c r="N224" s="3" t="s">
        <v>2255</v>
      </c>
      <c r="O224" t="s">
        <v>2310</v>
      </c>
    </row>
    <row r="225" spans="1:15" x14ac:dyDescent="0.25">
      <c r="A225" t="s">
        <v>2283</v>
      </c>
      <c r="B225" s="1" t="s">
        <v>2289</v>
      </c>
      <c r="C225" s="1" t="s">
        <v>2291</v>
      </c>
      <c r="D225" s="1" t="s">
        <v>2438</v>
      </c>
      <c r="E225" s="1" t="s">
        <v>2298</v>
      </c>
      <c r="F225" s="2" t="s">
        <v>2300</v>
      </c>
      <c r="G225" s="1" t="s">
        <v>2304</v>
      </c>
      <c r="H225" s="2">
        <v>8</v>
      </c>
      <c r="I225" s="3" t="s">
        <v>1</v>
      </c>
      <c r="J225" t="s">
        <v>2365</v>
      </c>
      <c r="M225" s="3" t="s">
        <v>2300</v>
      </c>
      <c r="N225" s="3" t="s">
        <v>2255</v>
      </c>
      <c r="O225" t="s">
        <v>2310</v>
      </c>
    </row>
    <row r="226" spans="1:15" x14ac:dyDescent="0.25">
      <c r="A226" t="s">
        <v>2283</v>
      </c>
      <c r="B226" s="1" t="s">
        <v>2289</v>
      </c>
      <c r="C226" s="1" t="s">
        <v>2291</v>
      </c>
      <c r="D226" s="1" t="s">
        <v>2438</v>
      </c>
      <c r="E226" s="1" t="s">
        <v>2298</v>
      </c>
      <c r="F226" s="2" t="s">
        <v>2300</v>
      </c>
      <c r="G226" s="1" t="s">
        <v>2304</v>
      </c>
      <c r="H226" s="2">
        <v>8</v>
      </c>
      <c r="I226" s="3" t="s">
        <v>1</v>
      </c>
      <c r="J226" t="s">
        <v>2365</v>
      </c>
      <c r="M226" s="3" t="s">
        <v>2300</v>
      </c>
      <c r="N226" s="3" t="s">
        <v>2255</v>
      </c>
      <c r="O226" t="s">
        <v>2310</v>
      </c>
    </row>
    <row r="227" spans="1:15" x14ac:dyDescent="0.25">
      <c r="A227" t="s">
        <v>2285</v>
      </c>
      <c r="B227" s="1" t="e">
        <v>#N/A</v>
      </c>
      <c r="C227" s="1" t="e">
        <v>#N/A</v>
      </c>
      <c r="D227" s="1" t="e">
        <v>#N/A</v>
      </c>
      <c r="E227" s="1" t="s">
        <v>2298</v>
      </c>
      <c r="F227" s="2" t="s">
        <v>2300</v>
      </c>
      <c r="G227" s="1" t="s">
        <v>2304</v>
      </c>
      <c r="H227" s="2">
        <v>8</v>
      </c>
      <c r="I227" s="3" t="s">
        <v>21</v>
      </c>
      <c r="J227" t="s">
        <v>2365</v>
      </c>
      <c r="M227" s="3" t="s">
        <v>2300</v>
      </c>
      <c r="N227" s="3" t="s">
        <v>2255</v>
      </c>
      <c r="O227" t="s">
        <v>2310</v>
      </c>
    </row>
    <row r="228" spans="1:15" x14ac:dyDescent="0.25">
      <c r="A228" t="s">
        <v>2285</v>
      </c>
      <c r="B228" s="1" t="e">
        <v>#N/A</v>
      </c>
      <c r="C228" s="1" t="e">
        <v>#N/A</v>
      </c>
      <c r="D228" s="1" t="e">
        <v>#N/A</v>
      </c>
      <c r="E228" s="1" t="s">
        <v>2448</v>
      </c>
      <c r="F228" s="2" t="s">
        <v>2301</v>
      </c>
      <c r="G228" s="1" t="s">
        <v>2304</v>
      </c>
      <c r="H228" s="2">
        <v>8</v>
      </c>
      <c r="I228" s="3" t="s">
        <v>2317</v>
      </c>
      <c r="J228" t="s">
        <v>2365</v>
      </c>
      <c r="M228" s="3" t="s">
        <v>2300</v>
      </c>
      <c r="N228" s="3" t="s">
        <v>2255</v>
      </c>
      <c r="O228" t="s">
        <v>2310</v>
      </c>
    </row>
    <row r="229" spans="1:15" x14ac:dyDescent="0.25">
      <c r="A229" t="s">
        <v>2285</v>
      </c>
      <c r="B229" s="1" t="e">
        <v>#N/A</v>
      </c>
      <c r="C229" s="1" t="e">
        <v>#N/A</v>
      </c>
      <c r="D229" s="1" t="e">
        <v>#N/A</v>
      </c>
      <c r="E229" s="1" t="s">
        <v>2448</v>
      </c>
      <c r="F229" s="2" t="s">
        <v>2301</v>
      </c>
      <c r="G229" s="1" t="s">
        <v>2304</v>
      </c>
      <c r="H229" s="2">
        <v>8</v>
      </c>
      <c r="I229" s="3" t="s">
        <v>2338</v>
      </c>
      <c r="J229" t="s">
        <v>2365</v>
      </c>
      <c r="M229" s="3" t="s">
        <v>2300</v>
      </c>
      <c r="N229" s="3" t="s">
        <v>2255</v>
      </c>
      <c r="O229" t="s">
        <v>2310</v>
      </c>
    </row>
    <row r="230" spans="1:15" x14ac:dyDescent="0.25">
      <c r="A230" t="s">
        <v>2285</v>
      </c>
      <c r="B230" s="1" t="e">
        <v>#N/A</v>
      </c>
      <c r="C230" s="1" t="e">
        <v>#N/A</v>
      </c>
      <c r="D230" s="1" t="e">
        <v>#N/A</v>
      </c>
      <c r="E230" s="1" t="s">
        <v>2448</v>
      </c>
      <c r="F230" s="2" t="s">
        <v>2301</v>
      </c>
      <c r="G230" s="1" t="s">
        <v>2304</v>
      </c>
      <c r="H230" s="2">
        <v>8</v>
      </c>
      <c r="I230" s="3" t="s">
        <v>2317</v>
      </c>
      <c r="J230" t="s">
        <v>2365</v>
      </c>
      <c r="M230" s="3" t="s">
        <v>2300</v>
      </c>
      <c r="N230" s="3" t="s">
        <v>2255</v>
      </c>
      <c r="O230" t="s">
        <v>2310</v>
      </c>
    </row>
    <row r="231" spans="1:15" x14ac:dyDescent="0.25">
      <c r="A231" t="s">
        <v>2285</v>
      </c>
      <c r="B231" s="1" t="e">
        <v>#N/A</v>
      </c>
      <c r="C231" s="1" t="e">
        <v>#N/A</v>
      </c>
      <c r="D231" s="1" t="e">
        <v>#N/A</v>
      </c>
      <c r="E231" s="1" t="s">
        <v>2448</v>
      </c>
      <c r="F231" s="2" t="s">
        <v>2301</v>
      </c>
      <c r="G231" s="1" t="s">
        <v>2303</v>
      </c>
      <c r="H231" s="2">
        <v>8</v>
      </c>
      <c r="I231" s="3" t="s">
        <v>2315</v>
      </c>
      <c r="J231" t="s">
        <v>2365</v>
      </c>
      <c r="M231" s="3" t="s">
        <v>2300</v>
      </c>
      <c r="N231" s="3" t="s">
        <v>2256</v>
      </c>
      <c r="O231" t="s">
        <v>2310</v>
      </c>
    </row>
    <row r="232" spans="1:15" x14ac:dyDescent="0.25">
      <c r="A232" t="s">
        <v>2285</v>
      </c>
      <c r="B232" s="1" t="e">
        <v>#N/A</v>
      </c>
      <c r="C232" s="1" t="e">
        <v>#N/A</v>
      </c>
      <c r="D232" s="1" t="e">
        <v>#N/A</v>
      </c>
      <c r="E232" s="1" t="s">
        <v>2448</v>
      </c>
      <c r="F232" s="2" t="s">
        <v>2301</v>
      </c>
      <c r="G232" s="1" t="s">
        <v>2303</v>
      </c>
      <c r="H232" s="2">
        <v>8</v>
      </c>
      <c r="I232" s="3" t="s">
        <v>2316</v>
      </c>
      <c r="J232" t="s">
        <v>2365</v>
      </c>
      <c r="M232" s="3" t="s">
        <v>2300</v>
      </c>
      <c r="N232" s="3" t="s">
        <v>2256</v>
      </c>
      <c r="O232" t="s">
        <v>2310</v>
      </c>
    </row>
    <row r="233" spans="1:15" x14ac:dyDescent="0.25">
      <c r="A233" t="s">
        <v>2285</v>
      </c>
      <c r="B233" s="1" t="e">
        <v>#N/A</v>
      </c>
      <c r="C233" s="1" t="e">
        <v>#N/A</v>
      </c>
      <c r="D233" s="1" t="e">
        <v>#N/A</v>
      </c>
      <c r="E233" s="1" t="s">
        <v>2448</v>
      </c>
      <c r="F233" s="2" t="s">
        <v>2301</v>
      </c>
      <c r="G233" s="1" t="s">
        <v>2305</v>
      </c>
      <c r="H233" s="2">
        <v>8</v>
      </c>
      <c r="I233" s="3" t="s">
        <v>2357</v>
      </c>
      <c r="J233" t="s">
        <v>2365</v>
      </c>
      <c r="M233" s="3" t="s">
        <v>2300</v>
      </c>
      <c r="N233" s="3" t="s">
        <v>2258</v>
      </c>
      <c r="O233" t="s">
        <v>2310</v>
      </c>
    </row>
    <row r="234" spans="1:15" x14ac:dyDescent="0.25">
      <c r="A234" t="s">
        <v>2285</v>
      </c>
      <c r="B234" s="1" t="e">
        <v>#N/A</v>
      </c>
      <c r="C234" s="1" t="e">
        <v>#N/A</v>
      </c>
      <c r="D234" s="1" t="e">
        <v>#N/A</v>
      </c>
      <c r="E234" s="1" t="s">
        <v>2448</v>
      </c>
      <c r="F234" s="2" t="s">
        <v>2301</v>
      </c>
      <c r="G234" s="1" t="s">
        <v>2303</v>
      </c>
      <c r="H234" s="2">
        <v>8</v>
      </c>
      <c r="I234" s="3" t="s">
        <v>2318</v>
      </c>
      <c r="J234" t="s">
        <v>2365</v>
      </c>
      <c r="M234" s="3" t="s">
        <v>2300</v>
      </c>
      <c r="N234" s="3" t="s">
        <v>2256</v>
      </c>
      <c r="O234" t="s">
        <v>2310</v>
      </c>
    </row>
    <row r="235" spans="1:15" x14ac:dyDescent="0.25">
      <c r="A235" t="s">
        <v>2285</v>
      </c>
      <c r="B235" s="1" t="e">
        <v>#N/A</v>
      </c>
      <c r="C235" s="1" t="e">
        <v>#N/A</v>
      </c>
      <c r="D235" s="1" t="e">
        <v>#N/A</v>
      </c>
      <c r="E235" s="1" t="s">
        <v>2448</v>
      </c>
      <c r="F235" s="2" t="s">
        <v>2301</v>
      </c>
      <c r="G235" s="1" t="s">
        <v>2303</v>
      </c>
      <c r="H235" s="2">
        <v>8</v>
      </c>
      <c r="I235" s="3" t="s">
        <v>2315</v>
      </c>
      <c r="J235" t="s">
        <v>2365</v>
      </c>
      <c r="M235" s="3" t="s">
        <v>2300</v>
      </c>
      <c r="N235" s="3" t="s">
        <v>2256</v>
      </c>
      <c r="O235" t="s">
        <v>2310</v>
      </c>
    </row>
    <row r="236" spans="1:15" x14ac:dyDescent="0.25">
      <c r="A236" t="s">
        <v>2285</v>
      </c>
      <c r="B236" s="1" t="e">
        <v>#N/A</v>
      </c>
      <c r="C236" s="1" t="e">
        <v>#N/A</v>
      </c>
      <c r="D236" s="1" t="e">
        <v>#N/A</v>
      </c>
      <c r="E236" s="1" t="s">
        <v>2448</v>
      </c>
      <c r="F236" s="2" t="s">
        <v>2301</v>
      </c>
      <c r="G236" s="1" t="s">
        <v>2304</v>
      </c>
      <c r="H236" s="2">
        <v>8</v>
      </c>
      <c r="I236" s="3" t="s">
        <v>2</v>
      </c>
      <c r="J236" t="s">
        <v>2365</v>
      </c>
      <c r="M236" s="3" t="s">
        <v>2300</v>
      </c>
      <c r="N236" s="3" t="s">
        <v>2255</v>
      </c>
      <c r="O236" t="s">
        <v>2310</v>
      </c>
    </row>
    <row r="237" spans="1:15" x14ac:dyDescent="0.25">
      <c r="A237" t="s">
        <v>2285</v>
      </c>
      <c r="B237" s="1" t="e">
        <v>#N/A</v>
      </c>
      <c r="C237" s="1" t="e">
        <v>#N/A</v>
      </c>
      <c r="D237" s="1" t="e">
        <v>#N/A</v>
      </c>
      <c r="E237" s="1" t="s">
        <v>2448</v>
      </c>
      <c r="F237" s="2" t="s">
        <v>2301</v>
      </c>
      <c r="G237" s="1" t="s">
        <v>2304</v>
      </c>
      <c r="H237" s="2">
        <v>8</v>
      </c>
      <c r="I237" s="3" t="s">
        <v>2316</v>
      </c>
      <c r="J237" t="s">
        <v>2365</v>
      </c>
      <c r="M237" s="3" t="s">
        <v>2300</v>
      </c>
      <c r="N237" s="3" t="s">
        <v>2255</v>
      </c>
      <c r="O237" t="s">
        <v>2310</v>
      </c>
    </row>
    <row r="238" spans="1:15" x14ac:dyDescent="0.25">
      <c r="A238" t="s">
        <v>2285</v>
      </c>
      <c r="B238" s="1" t="e">
        <v>#N/A</v>
      </c>
      <c r="C238" s="1" t="e">
        <v>#N/A</v>
      </c>
      <c r="D238" s="1" t="e">
        <v>#N/A</v>
      </c>
      <c r="E238" s="1" t="s">
        <v>2448</v>
      </c>
      <c r="F238" s="2" t="s">
        <v>2301</v>
      </c>
      <c r="G238" s="1" t="s">
        <v>2304</v>
      </c>
      <c r="H238" s="2">
        <v>8</v>
      </c>
      <c r="I238" s="3" t="s">
        <v>2338</v>
      </c>
      <c r="J238" t="s">
        <v>2365</v>
      </c>
      <c r="M238" s="3" t="s">
        <v>2300</v>
      </c>
      <c r="N238" s="3" t="s">
        <v>2255</v>
      </c>
      <c r="O238" t="s">
        <v>2310</v>
      </c>
    </row>
    <row r="239" spans="1:15" x14ac:dyDescent="0.25">
      <c r="A239" t="s">
        <v>2285</v>
      </c>
      <c r="B239" s="1" t="e">
        <v>#N/A</v>
      </c>
      <c r="C239" s="1" t="e">
        <v>#N/A</v>
      </c>
      <c r="D239" s="1" t="e">
        <v>#N/A</v>
      </c>
      <c r="E239" s="1" t="s">
        <v>2448</v>
      </c>
      <c r="F239" s="2" t="s">
        <v>2301</v>
      </c>
      <c r="G239" s="1" t="s">
        <v>2304</v>
      </c>
      <c r="H239" s="2">
        <v>8</v>
      </c>
      <c r="I239" s="3" t="s">
        <v>2317</v>
      </c>
      <c r="J239" t="s">
        <v>2365</v>
      </c>
      <c r="M239" s="3" t="s">
        <v>2300</v>
      </c>
      <c r="N239" s="3" t="s">
        <v>2255</v>
      </c>
      <c r="O239" t="s">
        <v>2310</v>
      </c>
    </row>
    <row r="240" spans="1:15" x14ac:dyDescent="0.25">
      <c r="A240" t="s">
        <v>2285</v>
      </c>
      <c r="B240" s="1" t="s">
        <v>2289</v>
      </c>
      <c r="C240" s="1" t="s">
        <v>2430</v>
      </c>
      <c r="D240" s="1" t="s">
        <v>2447</v>
      </c>
      <c r="E240" s="1" t="s">
        <v>2448</v>
      </c>
      <c r="F240" s="2" t="s">
        <v>2301</v>
      </c>
      <c r="G240" s="1" t="s">
        <v>2303</v>
      </c>
      <c r="H240" s="2">
        <v>8</v>
      </c>
      <c r="I240" s="3" t="s">
        <v>1</v>
      </c>
      <c r="J240" t="s">
        <v>2365</v>
      </c>
      <c r="M240" s="3" t="s">
        <v>2300</v>
      </c>
      <c r="N240" s="3" t="s">
        <v>2256</v>
      </c>
      <c r="O240" t="s">
        <v>2310</v>
      </c>
    </row>
    <row r="241" spans="1:15" x14ac:dyDescent="0.25">
      <c r="A241" t="s">
        <v>2285</v>
      </c>
      <c r="B241" s="1" t="e">
        <v>#N/A</v>
      </c>
      <c r="C241" s="1" t="e">
        <v>#N/A</v>
      </c>
      <c r="D241" s="1" t="e">
        <v>#N/A</v>
      </c>
      <c r="E241" s="1" t="s">
        <v>2448</v>
      </c>
      <c r="F241" s="2" t="s">
        <v>2301</v>
      </c>
      <c r="G241" s="1" t="s">
        <v>2304</v>
      </c>
      <c r="H241" s="2">
        <v>8</v>
      </c>
      <c r="I241" s="3" t="s">
        <v>2315</v>
      </c>
      <c r="J241" t="s">
        <v>2365</v>
      </c>
      <c r="M241" s="3" t="s">
        <v>2300</v>
      </c>
      <c r="N241" s="3" t="s">
        <v>2255</v>
      </c>
      <c r="O241" t="s">
        <v>2310</v>
      </c>
    </row>
    <row r="242" spans="1:15" x14ac:dyDescent="0.25">
      <c r="A242" t="s">
        <v>2285</v>
      </c>
      <c r="B242" s="1" t="e">
        <v>#N/A</v>
      </c>
      <c r="C242" s="1" t="e">
        <v>#N/A</v>
      </c>
      <c r="D242" s="1" t="e">
        <v>#N/A</v>
      </c>
      <c r="E242" s="1" t="s">
        <v>2448</v>
      </c>
      <c r="F242" s="2" t="s">
        <v>2301</v>
      </c>
      <c r="G242" s="1" t="s">
        <v>2304</v>
      </c>
      <c r="H242" s="2">
        <v>8</v>
      </c>
      <c r="I242" s="3" t="s">
        <v>2316</v>
      </c>
      <c r="J242" t="s">
        <v>2365</v>
      </c>
      <c r="M242" s="3" t="s">
        <v>2300</v>
      </c>
      <c r="N242" s="3" t="s">
        <v>2255</v>
      </c>
      <c r="O242" t="s">
        <v>2310</v>
      </c>
    </row>
    <row r="243" spans="1:15" x14ac:dyDescent="0.25">
      <c r="A243" t="s">
        <v>2285</v>
      </c>
      <c r="B243" s="1" t="e">
        <v>#N/A</v>
      </c>
      <c r="C243" s="1" t="e">
        <v>#N/A</v>
      </c>
      <c r="D243" s="1" t="e">
        <v>#N/A</v>
      </c>
      <c r="E243" s="1" t="s">
        <v>2448</v>
      </c>
      <c r="F243" s="2" t="s">
        <v>2301</v>
      </c>
      <c r="G243" s="1" t="s">
        <v>2304</v>
      </c>
      <c r="H243" s="2">
        <v>8</v>
      </c>
      <c r="I243" s="3" t="s">
        <v>5</v>
      </c>
      <c r="J243" t="s">
        <v>2365</v>
      </c>
      <c r="M243" s="3" t="s">
        <v>2300</v>
      </c>
      <c r="N243" s="3" t="s">
        <v>2255</v>
      </c>
      <c r="O243" t="s">
        <v>2310</v>
      </c>
    </row>
    <row r="244" spans="1:15" x14ac:dyDescent="0.25">
      <c r="A244" t="s">
        <v>2285</v>
      </c>
      <c r="B244" s="1" t="e">
        <v>#N/A</v>
      </c>
      <c r="C244" s="1" t="e">
        <v>#N/A</v>
      </c>
      <c r="D244" s="1" t="e">
        <v>#N/A</v>
      </c>
      <c r="E244" s="1" t="s">
        <v>2448</v>
      </c>
      <c r="F244" s="2" t="s">
        <v>2301</v>
      </c>
      <c r="G244" s="1" t="s">
        <v>2304</v>
      </c>
      <c r="H244" s="2">
        <v>8</v>
      </c>
      <c r="I244" s="3" t="s">
        <v>2315</v>
      </c>
      <c r="J244" t="s">
        <v>2365</v>
      </c>
      <c r="M244" s="3" t="s">
        <v>2300</v>
      </c>
      <c r="N244" s="3" t="s">
        <v>2255</v>
      </c>
      <c r="O244" t="s">
        <v>2310</v>
      </c>
    </row>
    <row r="245" spans="1:15" x14ac:dyDescent="0.25">
      <c r="A245" t="s">
        <v>2285</v>
      </c>
      <c r="B245" s="1" t="e">
        <v>#N/A</v>
      </c>
      <c r="C245" s="1" t="e">
        <v>#N/A</v>
      </c>
      <c r="D245" s="1" t="e">
        <v>#N/A</v>
      </c>
      <c r="E245" s="1" t="s">
        <v>2448</v>
      </c>
      <c r="F245" s="2" t="s">
        <v>2301</v>
      </c>
      <c r="G245" s="1" t="s">
        <v>2304</v>
      </c>
      <c r="H245" s="2">
        <v>8</v>
      </c>
      <c r="I245" s="3" t="s">
        <v>2317</v>
      </c>
      <c r="J245" t="s">
        <v>2365</v>
      </c>
      <c r="M245" s="3" t="s">
        <v>2300</v>
      </c>
      <c r="N245" s="3" t="s">
        <v>2255</v>
      </c>
      <c r="O245" t="s">
        <v>2310</v>
      </c>
    </row>
    <row r="246" spans="1:15" x14ac:dyDescent="0.25">
      <c r="A246" t="s">
        <v>2285</v>
      </c>
      <c r="B246" s="1" t="e">
        <v>#N/A</v>
      </c>
      <c r="C246" s="1" t="e">
        <v>#N/A</v>
      </c>
      <c r="D246" s="1" t="e">
        <v>#N/A</v>
      </c>
      <c r="E246" s="1" t="s">
        <v>2448</v>
      </c>
      <c r="F246" s="2" t="s">
        <v>2301</v>
      </c>
      <c r="G246" s="1" t="s">
        <v>2304</v>
      </c>
      <c r="H246" s="2">
        <v>8</v>
      </c>
      <c r="I246" s="3" t="s">
        <v>2317</v>
      </c>
      <c r="J246" t="s">
        <v>2365</v>
      </c>
      <c r="M246" s="3" t="s">
        <v>2300</v>
      </c>
      <c r="N246" s="3" t="s">
        <v>2255</v>
      </c>
      <c r="O246" t="s">
        <v>2310</v>
      </c>
    </row>
    <row r="247" spans="1:15" x14ac:dyDescent="0.25">
      <c r="A247" t="s">
        <v>2285</v>
      </c>
      <c r="B247" s="1" t="e">
        <v>#N/A</v>
      </c>
      <c r="C247" s="1" t="e">
        <v>#N/A</v>
      </c>
      <c r="D247" s="1" t="e">
        <v>#N/A</v>
      </c>
      <c r="E247" s="1" t="s">
        <v>2448</v>
      </c>
      <c r="F247" s="2" t="s">
        <v>2301</v>
      </c>
      <c r="G247" s="1" t="s">
        <v>2304</v>
      </c>
      <c r="H247" s="2">
        <v>8</v>
      </c>
      <c r="I247" s="3" t="s">
        <v>2318</v>
      </c>
      <c r="J247" t="s">
        <v>2365</v>
      </c>
      <c r="M247" s="3" t="s">
        <v>2300</v>
      </c>
      <c r="N247" s="3" t="s">
        <v>2255</v>
      </c>
      <c r="O247" t="s">
        <v>2310</v>
      </c>
    </row>
    <row r="248" spans="1:15" x14ac:dyDescent="0.25">
      <c r="A248" t="s">
        <v>2285</v>
      </c>
      <c r="B248" s="1" t="e">
        <v>#N/A</v>
      </c>
      <c r="C248" s="1" t="e">
        <v>#N/A</v>
      </c>
      <c r="D248" s="1" t="e">
        <v>#N/A</v>
      </c>
      <c r="E248" s="1" t="s">
        <v>2448</v>
      </c>
      <c r="F248" s="2" t="s">
        <v>2301</v>
      </c>
      <c r="G248" s="1" t="s">
        <v>2304</v>
      </c>
      <c r="H248" s="2">
        <v>8</v>
      </c>
      <c r="I248" s="3" t="s">
        <v>2317</v>
      </c>
      <c r="J248" t="s">
        <v>2365</v>
      </c>
      <c r="M248" s="3" t="s">
        <v>2300</v>
      </c>
      <c r="N248" s="3" t="s">
        <v>2255</v>
      </c>
      <c r="O248" t="s">
        <v>2310</v>
      </c>
    </row>
    <row r="249" spans="1:15" x14ac:dyDescent="0.25">
      <c r="A249" t="s">
        <v>2285</v>
      </c>
      <c r="B249" s="1" t="e">
        <v>#N/A</v>
      </c>
      <c r="C249" s="1" t="e">
        <v>#N/A</v>
      </c>
      <c r="D249" s="1" t="e">
        <v>#N/A</v>
      </c>
      <c r="E249" s="1" t="s">
        <v>2448</v>
      </c>
      <c r="F249" s="2" t="s">
        <v>2301</v>
      </c>
      <c r="G249" s="1" t="s">
        <v>2304</v>
      </c>
      <c r="H249" s="2">
        <v>8</v>
      </c>
      <c r="I249" s="3" t="s">
        <v>9</v>
      </c>
      <c r="J249" t="s">
        <v>2365</v>
      </c>
      <c r="M249" s="3" t="s">
        <v>2300</v>
      </c>
      <c r="N249" s="3" t="s">
        <v>2255</v>
      </c>
      <c r="O249" t="s">
        <v>2310</v>
      </c>
    </row>
    <row r="250" spans="1:15" x14ac:dyDescent="0.25">
      <c r="A250" t="s">
        <v>2285</v>
      </c>
      <c r="B250" s="1" t="e">
        <v>#N/A</v>
      </c>
      <c r="C250" s="1" t="e">
        <v>#N/A</v>
      </c>
      <c r="D250" s="1" t="e">
        <v>#N/A</v>
      </c>
      <c r="E250" s="1" t="s">
        <v>2448</v>
      </c>
      <c r="F250" s="2" t="s">
        <v>2301</v>
      </c>
      <c r="G250" s="1" t="s">
        <v>2304</v>
      </c>
      <c r="H250" s="2">
        <v>8</v>
      </c>
      <c r="I250" s="3" t="s">
        <v>2313</v>
      </c>
      <c r="J250" t="s">
        <v>2365</v>
      </c>
      <c r="M250" s="3" t="s">
        <v>2300</v>
      </c>
      <c r="N250" s="3" t="s">
        <v>2255</v>
      </c>
      <c r="O250" t="s">
        <v>2310</v>
      </c>
    </row>
    <row r="251" spans="1:15" x14ac:dyDescent="0.25">
      <c r="A251" t="s">
        <v>2285</v>
      </c>
      <c r="B251" s="1" t="e">
        <v>#N/A</v>
      </c>
      <c r="C251" s="1" t="e">
        <v>#N/A</v>
      </c>
      <c r="D251" s="1" t="e">
        <v>#N/A</v>
      </c>
      <c r="E251" s="1" t="s">
        <v>2448</v>
      </c>
      <c r="F251" s="2" t="s">
        <v>2301</v>
      </c>
      <c r="G251" s="1" t="s">
        <v>2304</v>
      </c>
      <c r="H251" s="2">
        <v>8</v>
      </c>
      <c r="I251" s="3" t="s">
        <v>2357</v>
      </c>
      <c r="J251" t="s">
        <v>2365</v>
      </c>
      <c r="M251" s="3" t="s">
        <v>2300</v>
      </c>
      <c r="N251" s="3" t="s">
        <v>2255</v>
      </c>
      <c r="O251" t="s">
        <v>2310</v>
      </c>
    </row>
    <row r="252" spans="1:15" x14ac:dyDescent="0.25">
      <c r="A252" t="s">
        <v>2285</v>
      </c>
      <c r="B252" s="1" t="e">
        <v>#N/A</v>
      </c>
      <c r="C252" s="1" t="e">
        <v>#N/A</v>
      </c>
      <c r="D252" s="1" t="e">
        <v>#N/A</v>
      </c>
      <c r="E252" s="1" t="s">
        <v>2448</v>
      </c>
      <c r="F252" s="2" t="s">
        <v>2301</v>
      </c>
      <c r="G252" s="1" t="s">
        <v>2304</v>
      </c>
      <c r="H252" s="2">
        <v>8</v>
      </c>
      <c r="I252" s="3" t="s">
        <v>2357</v>
      </c>
      <c r="J252" t="s">
        <v>2365</v>
      </c>
      <c r="M252" s="3" t="s">
        <v>2300</v>
      </c>
      <c r="N252" s="3" t="s">
        <v>2255</v>
      </c>
      <c r="O252" t="s">
        <v>2310</v>
      </c>
    </row>
    <row r="253" spans="1:15" x14ac:dyDescent="0.25">
      <c r="A253" t="s">
        <v>2285</v>
      </c>
      <c r="B253" s="1" t="e">
        <v>#N/A</v>
      </c>
      <c r="C253" s="1" t="e">
        <v>#N/A</v>
      </c>
      <c r="D253" s="1" t="e">
        <v>#N/A</v>
      </c>
      <c r="E253" s="1" t="s">
        <v>2448</v>
      </c>
      <c r="F253" s="2" t="s">
        <v>2301</v>
      </c>
      <c r="G253" s="1" t="s">
        <v>2304</v>
      </c>
      <c r="H253" s="2">
        <v>8</v>
      </c>
      <c r="I253" s="3" t="s">
        <v>2317</v>
      </c>
      <c r="J253" t="s">
        <v>2365</v>
      </c>
      <c r="M253" s="3" t="s">
        <v>2300</v>
      </c>
      <c r="N253" s="3" t="s">
        <v>2255</v>
      </c>
      <c r="O253" t="s">
        <v>2310</v>
      </c>
    </row>
    <row r="254" spans="1:15" x14ac:dyDescent="0.25">
      <c r="A254" t="s">
        <v>2285</v>
      </c>
      <c r="B254" s="1" t="e">
        <v>#N/A</v>
      </c>
      <c r="C254" s="1" t="e">
        <v>#N/A</v>
      </c>
      <c r="D254" s="1" t="e">
        <v>#N/A</v>
      </c>
      <c r="E254" s="1" t="s">
        <v>2448</v>
      </c>
      <c r="F254" s="2" t="s">
        <v>2301</v>
      </c>
      <c r="G254" s="1" t="s">
        <v>2304</v>
      </c>
      <c r="H254" s="2">
        <v>8</v>
      </c>
      <c r="I254" s="3" t="s">
        <v>2317</v>
      </c>
      <c r="J254" t="s">
        <v>2365</v>
      </c>
      <c r="M254" s="3" t="s">
        <v>2300</v>
      </c>
      <c r="N254" s="3" t="s">
        <v>2255</v>
      </c>
      <c r="O254" t="s">
        <v>2310</v>
      </c>
    </row>
    <row r="255" spans="1:15" x14ac:dyDescent="0.25">
      <c r="A255" t="s">
        <v>2285</v>
      </c>
      <c r="B255" s="1" t="e">
        <v>#N/A</v>
      </c>
      <c r="C255" s="1" t="e">
        <v>#N/A</v>
      </c>
      <c r="D255" s="1" t="e">
        <v>#N/A</v>
      </c>
      <c r="E255" s="1" t="s">
        <v>2448</v>
      </c>
      <c r="F255" s="2" t="s">
        <v>2301</v>
      </c>
      <c r="G255" s="1" t="s">
        <v>2304</v>
      </c>
      <c r="H255" s="2">
        <v>8</v>
      </c>
      <c r="I255" s="3" t="s">
        <v>2318</v>
      </c>
      <c r="J255" t="s">
        <v>2365</v>
      </c>
      <c r="M255" s="3" t="s">
        <v>2300</v>
      </c>
      <c r="N255" s="3" t="s">
        <v>2255</v>
      </c>
      <c r="O255" t="s">
        <v>2310</v>
      </c>
    </row>
    <row r="256" spans="1:15" x14ac:dyDescent="0.25">
      <c r="A256" t="s">
        <v>2285</v>
      </c>
      <c r="B256" s="1" t="e">
        <v>#N/A</v>
      </c>
      <c r="C256" s="1" t="e">
        <v>#N/A</v>
      </c>
      <c r="D256" s="1" t="e">
        <v>#N/A</v>
      </c>
      <c r="E256" s="1" t="s">
        <v>2448</v>
      </c>
      <c r="F256" s="2" t="s">
        <v>2301</v>
      </c>
      <c r="G256" s="1" t="s">
        <v>2304</v>
      </c>
      <c r="H256" s="2">
        <v>7</v>
      </c>
      <c r="I256" s="3" t="s">
        <v>2317</v>
      </c>
      <c r="J256" t="s">
        <v>2365</v>
      </c>
      <c r="M256" s="3" t="s">
        <v>2300</v>
      </c>
      <c r="N256" s="3" t="s">
        <v>2255</v>
      </c>
      <c r="O256" t="s">
        <v>2310</v>
      </c>
    </row>
    <row r="257" spans="1:15" x14ac:dyDescent="0.25">
      <c r="A257" t="s">
        <v>2285</v>
      </c>
      <c r="B257" s="1" t="e">
        <v>#N/A</v>
      </c>
      <c r="C257" s="1" t="e">
        <v>#N/A</v>
      </c>
      <c r="D257" s="1" t="e">
        <v>#N/A</v>
      </c>
      <c r="E257" s="1" t="s">
        <v>2448</v>
      </c>
      <c r="F257" s="2" t="s">
        <v>2301</v>
      </c>
      <c r="G257" s="1" t="s">
        <v>2304</v>
      </c>
      <c r="H257" s="2">
        <v>7</v>
      </c>
      <c r="I257" s="3" t="s">
        <v>2317</v>
      </c>
      <c r="J257" t="s">
        <v>2365</v>
      </c>
      <c r="M257" s="3" t="s">
        <v>2300</v>
      </c>
      <c r="N257" s="3" t="s">
        <v>2255</v>
      </c>
      <c r="O257" t="s">
        <v>2310</v>
      </c>
    </row>
    <row r="258" spans="1:15" x14ac:dyDescent="0.25">
      <c r="A258" t="s">
        <v>2285</v>
      </c>
      <c r="B258" s="1" t="e">
        <v>#N/A</v>
      </c>
      <c r="C258" s="1" t="e">
        <v>#N/A</v>
      </c>
      <c r="D258" s="1" t="e">
        <v>#N/A</v>
      </c>
      <c r="E258" s="1" t="s">
        <v>2448</v>
      </c>
      <c r="F258" s="2" t="s">
        <v>2301</v>
      </c>
      <c r="G258" s="1" t="s">
        <v>2304</v>
      </c>
      <c r="H258" s="2">
        <v>7</v>
      </c>
      <c r="I258" s="3" t="s">
        <v>2333</v>
      </c>
      <c r="J258" t="s">
        <v>2365</v>
      </c>
      <c r="M258" s="3" t="s">
        <v>2300</v>
      </c>
      <c r="N258" s="3" t="s">
        <v>2255</v>
      </c>
      <c r="O258" t="s">
        <v>2310</v>
      </c>
    </row>
    <row r="259" spans="1:15" x14ac:dyDescent="0.25">
      <c r="A259" t="s">
        <v>2285</v>
      </c>
      <c r="B259" s="1" t="e">
        <v>#N/A</v>
      </c>
      <c r="C259" s="1" t="e">
        <v>#N/A</v>
      </c>
      <c r="D259" s="1" t="e">
        <v>#N/A</v>
      </c>
      <c r="E259" s="1" t="s">
        <v>2448</v>
      </c>
      <c r="F259" s="2" t="s">
        <v>2301</v>
      </c>
      <c r="G259" s="1" t="s">
        <v>2304</v>
      </c>
      <c r="H259" s="2">
        <v>7</v>
      </c>
      <c r="I259" s="3" t="s">
        <v>2329</v>
      </c>
      <c r="J259" t="s">
        <v>2365</v>
      </c>
      <c r="M259" s="3" t="s">
        <v>2300</v>
      </c>
      <c r="N259" s="3" t="s">
        <v>2255</v>
      </c>
      <c r="O259" t="s">
        <v>2310</v>
      </c>
    </row>
    <row r="260" spans="1:15" x14ac:dyDescent="0.25">
      <c r="A260" t="s">
        <v>2285</v>
      </c>
      <c r="B260" s="1" t="e">
        <v>#N/A</v>
      </c>
      <c r="C260" s="1" t="e">
        <v>#N/A</v>
      </c>
      <c r="D260" s="1" t="e">
        <v>#N/A</v>
      </c>
      <c r="E260" s="1" t="s">
        <v>2448</v>
      </c>
      <c r="F260" s="2" t="s">
        <v>2301</v>
      </c>
      <c r="G260" s="1" t="s">
        <v>2304</v>
      </c>
      <c r="H260" s="2">
        <v>7</v>
      </c>
      <c r="I260" s="3" t="s">
        <v>2317</v>
      </c>
      <c r="J260" t="s">
        <v>2365</v>
      </c>
      <c r="M260" s="3" t="s">
        <v>2300</v>
      </c>
      <c r="N260" s="3" t="s">
        <v>2255</v>
      </c>
      <c r="O260" t="s">
        <v>2310</v>
      </c>
    </row>
    <row r="261" spans="1:15" x14ac:dyDescent="0.25">
      <c r="A261" t="s">
        <v>2285</v>
      </c>
      <c r="B261" s="1" t="e">
        <v>#N/A</v>
      </c>
      <c r="C261" s="1" t="e">
        <v>#N/A</v>
      </c>
      <c r="D261" s="1" t="e">
        <v>#N/A</v>
      </c>
      <c r="E261" s="1" t="s">
        <v>2448</v>
      </c>
      <c r="F261" s="2" t="s">
        <v>2301</v>
      </c>
      <c r="G261" s="1" t="s">
        <v>2304</v>
      </c>
      <c r="H261" s="2">
        <v>7</v>
      </c>
      <c r="I261" s="3" t="s">
        <v>2316</v>
      </c>
      <c r="J261" t="s">
        <v>2365</v>
      </c>
      <c r="M261" s="3" t="s">
        <v>2300</v>
      </c>
      <c r="N261" s="3" t="s">
        <v>2255</v>
      </c>
      <c r="O261" t="s">
        <v>2310</v>
      </c>
    </row>
    <row r="262" spans="1:15" x14ac:dyDescent="0.25">
      <c r="A262" t="s">
        <v>2285</v>
      </c>
      <c r="B262" s="1" t="e">
        <v>#N/A</v>
      </c>
      <c r="C262" s="1" t="e">
        <v>#N/A</v>
      </c>
      <c r="D262" s="1" t="e">
        <v>#N/A</v>
      </c>
      <c r="E262" s="1" t="s">
        <v>2448</v>
      </c>
      <c r="F262" s="2" t="s">
        <v>2301</v>
      </c>
      <c r="G262" s="1" t="s">
        <v>2304</v>
      </c>
      <c r="H262" s="2">
        <v>7</v>
      </c>
      <c r="I262" s="3" t="s">
        <v>2315</v>
      </c>
      <c r="J262" t="s">
        <v>2365</v>
      </c>
      <c r="M262" s="3" t="s">
        <v>2300</v>
      </c>
      <c r="N262" s="3" t="s">
        <v>2255</v>
      </c>
      <c r="O262" t="s">
        <v>2310</v>
      </c>
    </row>
    <row r="263" spans="1:15" x14ac:dyDescent="0.25">
      <c r="A263" t="s">
        <v>2285</v>
      </c>
      <c r="B263" s="1" t="e">
        <v>#N/A</v>
      </c>
      <c r="C263" s="1" t="e">
        <v>#N/A</v>
      </c>
      <c r="D263" s="1" t="e">
        <v>#N/A</v>
      </c>
      <c r="E263" s="1" t="s">
        <v>2448</v>
      </c>
      <c r="F263" s="2" t="s">
        <v>2301</v>
      </c>
      <c r="G263" s="1" t="s">
        <v>2304</v>
      </c>
      <c r="H263" s="2">
        <v>7</v>
      </c>
      <c r="I263" s="3" t="s">
        <v>6</v>
      </c>
      <c r="J263" t="s">
        <v>2365</v>
      </c>
      <c r="M263" s="3" t="s">
        <v>2300</v>
      </c>
      <c r="N263" s="3" t="s">
        <v>2255</v>
      </c>
      <c r="O263" t="s">
        <v>2310</v>
      </c>
    </row>
    <row r="264" spans="1:15" x14ac:dyDescent="0.25">
      <c r="A264" t="s">
        <v>2285</v>
      </c>
      <c r="B264" s="1" t="e">
        <v>#N/A</v>
      </c>
      <c r="C264" s="1" t="e">
        <v>#N/A</v>
      </c>
      <c r="D264" s="1" t="e">
        <v>#N/A</v>
      </c>
      <c r="E264" s="1" t="s">
        <v>2448</v>
      </c>
      <c r="F264" s="2" t="s">
        <v>2301</v>
      </c>
      <c r="G264" s="1" t="s">
        <v>2304</v>
      </c>
      <c r="H264" s="2">
        <v>7</v>
      </c>
      <c r="I264" s="3" t="s">
        <v>2317</v>
      </c>
      <c r="J264" t="s">
        <v>2365</v>
      </c>
      <c r="M264" s="3" t="s">
        <v>2300</v>
      </c>
      <c r="N264" s="3" t="s">
        <v>2255</v>
      </c>
      <c r="O264" t="s">
        <v>2310</v>
      </c>
    </row>
    <row r="265" spans="1:15" x14ac:dyDescent="0.25">
      <c r="A265" t="s">
        <v>2285</v>
      </c>
      <c r="B265" s="1" t="e">
        <v>#N/A</v>
      </c>
      <c r="C265" s="1" t="e">
        <v>#N/A</v>
      </c>
      <c r="D265" s="1" t="e">
        <v>#N/A</v>
      </c>
      <c r="E265" s="1" t="s">
        <v>2448</v>
      </c>
      <c r="F265" s="2" t="s">
        <v>2301</v>
      </c>
      <c r="G265" s="1" t="s">
        <v>2304</v>
      </c>
      <c r="H265" s="2">
        <v>7</v>
      </c>
      <c r="I265" s="3" t="s">
        <v>2333</v>
      </c>
      <c r="J265" t="s">
        <v>2365</v>
      </c>
      <c r="M265" s="3" t="s">
        <v>2300</v>
      </c>
      <c r="N265" s="3" t="s">
        <v>2255</v>
      </c>
      <c r="O265" t="s">
        <v>2310</v>
      </c>
    </row>
    <row r="266" spans="1:15" x14ac:dyDescent="0.25">
      <c r="A266" t="s">
        <v>2285</v>
      </c>
      <c r="B266" s="1" t="s">
        <v>2289</v>
      </c>
      <c r="C266" s="1" t="s">
        <v>2430</v>
      </c>
      <c r="D266" s="1" t="s">
        <v>2447</v>
      </c>
      <c r="E266" s="1" t="s">
        <v>2448</v>
      </c>
      <c r="F266" s="2" t="s">
        <v>2301</v>
      </c>
      <c r="G266" s="1" t="s">
        <v>2304</v>
      </c>
      <c r="H266" s="2">
        <v>7</v>
      </c>
      <c r="I266" s="3" t="s">
        <v>12</v>
      </c>
      <c r="J266" t="s">
        <v>2365</v>
      </c>
      <c r="M266" s="3" t="s">
        <v>2300</v>
      </c>
      <c r="N266" s="3" t="s">
        <v>2255</v>
      </c>
      <c r="O266" t="s">
        <v>2310</v>
      </c>
    </row>
    <row r="267" spans="1:15" x14ac:dyDescent="0.25">
      <c r="A267" t="s">
        <v>2285</v>
      </c>
      <c r="B267" s="1" t="e">
        <v>#N/A</v>
      </c>
      <c r="C267" s="1" t="e">
        <v>#N/A</v>
      </c>
      <c r="D267" s="1" t="e">
        <v>#N/A</v>
      </c>
      <c r="E267" s="1" t="s">
        <v>2448</v>
      </c>
      <c r="F267" s="2" t="s">
        <v>2301</v>
      </c>
      <c r="G267" s="1" t="s">
        <v>2304</v>
      </c>
      <c r="H267" s="2">
        <v>7</v>
      </c>
      <c r="I267" s="3" t="s">
        <v>2317</v>
      </c>
      <c r="J267" t="s">
        <v>2365</v>
      </c>
      <c r="M267" s="3" t="s">
        <v>2300</v>
      </c>
      <c r="N267" s="3" t="s">
        <v>2255</v>
      </c>
      <c r="O267" t="s">
        <v>2310</v>
      </c>
    </row>
    <row r="268" spans="1:15" x14ac:dyDescent="0.25">
      <c r="A268" t="s">
        <v>2285</v>
      </c>
      <c r="B268" s="1" t="e">
        <v>#N/A</v>
      </c>
      <c r="C268" s="1" t="e">
        <v>#N/A</v>
      </c>
      <c r="D268" s="1" t="e">
        <v>#N/A</v>
      </c>
      <c r="E268" s="1" t="s">
        <v>2448</v>
      </c>
      <c r="F268" s="2" t="s">
        <v>2301</v>
      </c>
      <c r="G268" s="1" t="s">
        <v>2304</v>
      </c>
      <c r="H268" s="2">
        <v>7</v>
      </c>
      <c r="I268" s="3" t="s">
        <v>2317</v>
      </c>
      <c r="J268" t="s">
        <v>2365</v>
      </c>
      <c r="M268" s="3" t="s">
        <v>2300</v>
      </c>
      <c r="N268" s="3" t="s">
        <v>2255</v>
      </c>
      <c r="O268" t="s">
        <v>2310</v>
      </c>
    </row>
    <row r="269" spans="1:15" x14ac:dyDescent="0.25">
      <c r="A269" t="s">
        <v>2285</v>
      </c>
      <c r="B269" s="1" t="e">
        <v>#N/A</v>
      </c>
      <c r="C269" s="1" t="e">
        <v>#N/A</v>
      </c>
      <c r="D269" s="1" t="e">
        <v>#N/A</v>
      </c>
      <c r="E269" s="1" t="s">
        <v>2448</v>
      </c>
      <c r="F269" s="2" t="s">
        <v>2301</v>
      </c>
      <c r="G269" s="1" t="s">
        <v>2303</v>
      </c>
      <c r="H269" s="2">
        <v>7</v>
      </c>
      <c r="I269" s="3" t="s">
        <v>2315</v>
      </c>
      <c r="J269" t="s">
        <v>2365</v>
      </c>
      <c r="M269" s="3" t="s">
        <v>2300</v>
      </c>
      <c r="N269" s="3" t="s">
        <v>2256</v>
      </c>
      <c r="O269" t="s">
        <v>2310</v>
      </c>
    </row>
    <row r="270" spans="1:15" x14ac:dyDescent="0.25">
      <c r="A270" t="s">
        <v>2285</v>
      </c>
      <c r="B270" s="1" t="e">
        <v>#N/A</v>
      </c>
      <c r="C270" s="1" t="e">
        <v>#N/A</v>
      </c>
      <c r="D270" s="1" t="e">
        <v>#N/A</v>
      </c>
      <c r="E270" s="1" t="s">
        <v>2448</v>
      </c>
      <c r="F270" s="2" t="s">
        <v>2301</v>
      </c>
      <c r="G270" s="1" t="s">
        <v>2303</v>
      </c>
      <c r="H270" s="2">
        <v>7</v>
      </c>
      <c r="I270" s="3" t="s">
        <v>2329</v>
      </c>
      <c r="J270" t="s">
        <v>2365</v>
      </c>
      <c r="M270" s="3" t="s">
        <v>2300</v>
      </c>
      <c r="N270" s="3" t="s">
        <v>2256</v>
      </c>
      <c r="O270" t="s">
        <v>2310</v>
      </c>
    </row>
    <row r="271" spans="1:15" x14ac:dyDescent="0.25">
      <c r="A271" t="s">
        <v>2285</v>
      </c>
      <c r="B271" s="1" t="e">
        <v>#N/A</v>
      </c>
      <c r="C271" s="1" t="e">
        <v>#N/A</v>
      </c>
      <c r="D271" s="1" t="e">
        <v>#N/A</v>
      </c>
      <c r="E271" s="1" t="s">
        <v>2448</v>
      </c>
      <c r="F271" s="2" t="s">
        <v>2301</v>
      </c>
      <c r="G271" s="1" t="s">
        <v>2305</v>
      </c>
      <c r="H271" s="2">
        <v>7</v>
      </c>
      <c r="I271" s="3" t="s">
        <v>2316</v>
      </c>
      <c r="J271" t="s">
        <v>2365</v>
      </c>
      <c r="M271" s="3" t="s">
        <v>2300</v>
      </c>
      <c r="N271" s="3" t="s">
        <v>2257</v>
      </c>
      <c r="O271" t="s">
        <v>2310</v>
      </c>
    </row>
    <row r="272" spans="1:15" x14ac:dyDescent="0.25">
      <c r="A272" t="s">
        <v>2285</v>
      </c>
      <c r="B272" s="1" t="e">
        <v>#N/A</v>
      </c>
      <c r="C272" s="1" t="e">
        <v>#N/A</v>
      </c>
      <c r="D272" s="1" t="e">
        <v>#N/A</v>
      </c>
      <c r="E272" s="1" t="s">
        <v>2448</v>
      </c>
      <c r="F272" s="2" t="s">
        <v>2301</v>
      </c>
      <c r="G272" s="1" t="s">
        <v>2305</v>
      </c>
      <c r="H272" s="2">
        <v>7</v>
      </c>
      <c r="I272" s="3" t="s">
        <v>2315</v>
      </c>
      <c r="J272" t="s">
        <v>2365</v>
      </c>
      <c r="M272" s="3" t="s">
        <v>2300</v>
      </c>
      <c r="N272" s="3" t="s">
        <v>2258</v>
      </c>
      <c r="O272" t="s">
        <v>2310</v>
      </c>
    </row>
    <row r="273" spans="1:15" x14ac:dyDescent="0.25">
      <c r="A273" t="s">
        <v>2285</v>
      </c>
      <c r="B273" s="1" t="e">
        <v>#N/A</v>
      </c>
      <c r="C273" s="1" t="e">
        <v>#N/A</v>
      </c>
      <c r="D273" s="1" t="e">
        <v>#N/A</v>
      </c>
      <c r="E273" s="1" t="s">
        <v>2298</v>
      </c>
      <c r="F273" s="2" t="s">
        <v>2300</v>
      </c>
      <c r="G273" s="1" t="s">
        <v>2304</v>
      </c>
      <c r="H273" s="2">
        <v>6</v>
      </c>
      <c r="I273" s="3" t="s">
        <v>19</v>
      </c>
      <c r="J273" t="s">
        <v>2365</v>
      </c>
      <c r="M273" s="3" t="s">
        <v>2300</v>
      </c>
      <c r="N273" s="3" t="s">
        <v>2255</v>
      </c>
      <c r="O273" t="s">
        <v>2310</v>
      </c>
    </row>
    <row r="274" spans="1:15" x14ac:dyDescent="0.25">
      <c r="A274" t="s">
        <v>2285</v>
      </c>
      <c r="B274" s="1" t="e">
        <v>#N/A</v>
      </c>
      <c r="C274" s="1" t="e">
        <v>#N/A</v>
      </c>
      <c r="D274" s="1" t="e">
        <v>#N/A</v>
      </c>
      <c r="E274" s="1" t="s">
        <v>2448</v>
      </c>
      <c r="F274" s="2" t="s">
        <v>2300</v>
      </c>
      <c r="G274" s="1" t="s">
        <v>2304</v>
      </c>
      <c r="H274" s="2">
        <v>6</v>
      </c>
      <c r="I274" s="3" t="s">
        <v>2424</v>
      </c>
      <c r="J274" t="s">
        <v>2365</v>
      </c>
      <c r="M274" s="3" t="s">
        <v>2300</v>
      </c>
      <c r="N274" s="3" t="s">
        <v>2255</v>
      </c>
      <c r="O274" t="s">
        <v>2310</v>
      </c>
    </row>
    <row r="275" spans="1:15" x14ac:dyDescent="0.25">
      <c r="A275" t="s">
        <v>2285</v>
      </c>
      <c r="B275" s="1" t="e">
        <v>#N/A</v>
      </c>
      <c r="C275" s="1" t="e">
        <v>#N/A</v>
      </c>
      <c r="D275" s="1" t="e">
        <v>#N/A</v>
      </c>
      <c r="E275" s="1" t="s">
        <v>2448</v>
      </c>
      <c r="F275" s="2" t="s">
        <v>2300</v>
      </c>
      <c r="G275" s="1" t="s">
        <v>2304</v>
      </c>
      <c r="H275" s="2">
        <v>6</v>
      </c>
      <c r="I275" s="3" t="s">
        <v>2317</v>
      </c>
      <c r="J275" t="s">
        <v>2365</v>
      </c>
      <c r="M275" s="3" t="s">
        <v>2300</v>
      </c>
      <c r="N275" s="3" t="s">
        <v>2255</v>
      </c>
      <c r="O275" t="s">
        <v>2310</v>
      </c>
    </row>
    <row r="276" spans="1:15" x14ac:dyDescent="0.25">
      <c r="A276" t="s">
        <v>2285</v>
      </c>
      <c r="B276" s="1" t="e">
        <v>#N/A</v>
      </c>
      <c r="C276" s="1" t="e">
        <v>#N/A</v>
      </c>
      <c r="D276" s="1" t="e">
        <v>#N/A</v>
      </c>
      <c r="E276" s="1" t="s">
        <v>2448</v>
      </c>
      <c r="F276" s="2" t="s">
        <v>2300</v>
      </c>
      <c r="G276" s="1" t="s">
        <v>2304</v>
      </c>
      <c r="H276" s="2">
        <v>6</v>
      </c>
      <c r="I276" s="3" t="s">
        <v>2317</v>
      </c>
      <c r="J276" t="s">
        <v>2365</v>
      </c>
      <c r="M276" s="3" t="s">
        <v>2300</v>
      </c>
      <c r="N276" s="3" t="s">
        <v>2255</v>
      </c>
      <c r="O276" t="s">
        <v>2310</v>
      </c>
    </row>
    <row r="277" spans="1:15" x14ac:dyDescent="0.25">
      <c r="A277" t="s">
        <v>2285</v>
      </c>
      <c r="B277" s="1" t="e">
        <v>#N/A</v>
      </c>
      <c r="C277" s="1" t="e">
        <v>#N/A</v>
      </c>
      <c r="D277" s="1" t="e">
        <v>#N/A</v>
      </c>
      <c r="E277" s="1" t="s">
        <v>2448</v>
      </c>
      <c r="F277" s="2" t="s">
        <v>2300</v>
      </c>
      <c r="G277" s="1" t="s">
        <v>2303</v>
      </c>
      <c r="H277" s="2">
        <v>6</v>
      </c>
      <c r="I277" s="3" t="s">
        <v>2321</v>
      </c>
      <c r="J277" t="s">
        <v>2365</v>
      </c>
      <c r="M277" s="3" t="s">
        <v>2300</v>
      </c>
      <c r="N277" s="3" t="s">
        <v>2256</v>
      </c>
      <c r="O277" t="s">
        <v>2310</v>
      </c>
    </row>
    <row r="278" spans="1:15" x14ac:dyDescent="0.25">
      <c r="A278" t="s">
        <v>2285</v>
      </c>
      <c r="B278" s="1" t="e">
        <v>#N/A</v>
      </c>
      <c r="C278" s="1" t="e">
        <v>#N/A</v>
      </c>
      <c r="D278" s="1" t="e">
        <v>#N/A</v>
      </c>
      <c r="E278" s="1" t="s">
        <v>2298</v>
      </c>
      <c r="F278" s="2" t="s">
        <v>2300</v>
      </c>
      <c r="G278" s="1" t="s">
        <v>2304</v>
      </c>
      <c r="H278" s="2">
        <v>6</v>
      </c>
      <c r="I278" s="3" t="s">
        <v>2451</v>
      </c>
      <c r="J278" t="s">
        <v>2365</v>
      </c>
      <c r="M278" s="3" t="s">
        <v>2301</v>
      </c>
      <c r="N278" s="3" t="s">
        <v>2255</v>
      </c>
      <c r="O278" t="s">
        <v>2310</v>
      </c>
    </row>
    <row r="279" spans="1:15" x14ac:dyDescent="0.25">
      <c r="A279" t="s">
        <v>2285</v>
      </c>
      <c r="B279" s="1" t="e">
        <v>#N/A</v>
      </c>
      <c r="C279" s="1" t="e">
        <v>#N/A</v>
      </c>
      <c r="D279" s="1" t="e">
        <v>#N/A</v>
      </c>
      <c r="E279" s="1" t="s">
        <v>2448</v>
      </c>
      <c r="F279" s="2" t="s">
        <v>2300</v>
      </c>
      <c r="G279" s="1" t="s">
        <v>2304</v>
      </c>
      <c r="H279" s="2">
        <v>6</v>
      </c>
      <c r="I279" s="3" t="s">
        <v>41</v>
      </c>
      <c r="J279" t="s">
        <v>2365</v>
      </c>
      <c r="M279" s="3" t="s">
        <v>2300</v>
      </c>
      <c r="N279" s="3" t="s">
        <v>2255</v>
      </c>
      <c r="O279" t="s">
        <v>2310</v>
      </c>
    </row>
    <row r="280" spans="1:15" x14ac:dyDescent="0.25">
      <c r="A280" t="s">
        <v>2285</v>
      </c>
      <c r="B280" s="1" t="e">
        <v>#N/A</v>
      </c>
      <c r="C280" s="1" t="e">
        <v>#N/A</v>
      </c>
      <c r="D280" s="1" t="e">
        <v>#N/A</v>
      </c>
      <c r="E280" s="1" t="s">
        <v>2448</v>
      </c>
      <c r="F280" s="2" t="s">
        <v>2300</v>
      </c>
      <c r="G280" s="1" t="s">
        <v>2304</v>
      </c>
      <c r="H280" s="2">
        <v>6</v>
      </c>
      <c r="I280" s="3" t="s">
        <v>2317</v>
      </c>
      <c r="J280" t="s">
        <v>2365</v>
      </c>
      <c r="M280" s="3" t="s">
        <v>2300</v>
      </c>
      <c r="N280" s="3" t="s">
        <v>2255</v>
      </c>
      <c r="O280" t="s">
        <v>2310</v>
      </c>
    </row>
    <row r="281" spans="1:15" x14ac:dyDescent="0.25">
      <c r="A281" t="s">
        <v>2285</v>
      </c>
      <c r="B281" s="1" t="e">
        <v>#N/A</v>
      </c>
      <c r="C281" s="1" t="e">
        <v>#N/A</v>
      </c>
      <c r="D281" s="1" t="e">
        <v>#N/A</v>
      </c>
      <c r="E281" s="1" t="s">
        <v>2448</v>
      </c>
      <c r="F281" s="2" t="s">
        <v>2300</v>
      </c>
      <c r="G281" s="1" t="s">
        <v>2304</v>
      </c>
      <c r="H281" s="2">
        <v>6</v>
      </c>
      <c r="I281" s="3" t="s">
        <v>2317</v>
      </c>
      <c r="J281" t="s">
        <v>2365</v>
      </c>
      <c r="M281" s="3" t="s">
        <v>2300</v>
      </c>
      <c r="N281" s="3" t="s">
        <v>2255</v>
      </c>
      <c r="O281" t="s">
        <v>2310</v>
      </c>
    </row>
    <row r="282" spans="1:15" x14ac:dyDescent="0.25">
      <c r="A282" t="s">
        <v>2285</v>
      </c>
      <c r="B282" s="1" t="e">
        <v>#N/A</v>
      </c>
      <c r="C282" s="1" t="e">
        <v>#N/A</v>
      </c>
      <c r="D282" s="1" t="e">
        <v>#N/A</v>
      </c>
      <c r="E282" s="1" t="s">
        <v>2448</v>
      </c>
      <c r="F282" s="2" t="s">
        <v>2300</v>
      </c>
      <c r="G282" s="1" t="s">
        <v>2304</v>
      </c>
      <c r="H282" s="2">
        <v>6</v>
      </c>
      <c r="I282" s="3" t="s">
        <v>2317</v>
      </c>
      <c r="J282" t="s">
        <v>2365</v>
      </c>
      <c r="M282" s="3" t="s">
        <v>2300</v>
      </c>
      <c r="N282" s="3" t="s">
        <v>2255</v>
      </c>
      <c r="O282" t="s">
        <v>2310</v>
      </c>
    </row>
    <row r="283" spans="1:15" x14ac:dyDescent="0.25">
      <c r="A283" t="s">
        <v>2285</v>
      </c>
      <c r="B283" s="1" t="e">
        <v>#N/A</v>
      </c>
      <c r="C283" s="1" t="e">
        <v>#N/A</v>
      </c>
      <c r="D283" s="1" t="e">
        <v>#N/A</v>
      </c>
      <c r="E283" s="1" t="s">
        <v>2298</v>
      </c>
      <c r="F283" s="2" t="s">
        <v>2300</v>
      </c>
      <c r="G283" s="1" t="s">
        <v>2304</v>
      </c>
      <c r="H283" s="2">
        <v>3</v>
      </c>
      <c r="I283" s="3" t="s">
        <v>122</v>
      </c>
      <c r="J283" t="s">
        <v>2365</v>
      </c>
      <c r="M283" s="3" t="s">
        <v>2300</v>
      </c>
      <c r="N283" s="3" t="s">
        <v>2255</v>
      </c>
      <c r="O283" t="s">
        <v>2310</v>
      </c>
    </row>
    <row r="284" spans="1:15" x14ac:dyDescent="0.25">
      <c r="A284" t="s">
        <v>2285</v>
      </c>
      <c r="B284" s="1" t="e">
        <v>#N/A</v>
      </c>
      <c r="C284" s="1" t="e">
        <v>#N/A</v>
      </c>
      <c r="D284" s="1" t="e">
        <v>#N/A</v>
      </c>
      <c r="E284" s="1" t="s">
        <v>2298</v>
      </c>
      <c r="F284" s="2" t="s">
        <v>2300</v>
      </c>
      <c r="G284" s="1" t="s">
        <v>2303</v>
      </c>
      <c r="H284" s="2">
        <v>3</v>
      </c>
      <c r="I284" s="3" t="s">
        <v>2434</v>
      </c>
      <c r="J284" t="s">
        <v>2365</v>
      </c>
      <c r="M284" s="3" t="s">
        <v>2300</v>
      </c>
      <c r="N284" s="3" t="s">
        <v>2256</v>
      </c>
      <c r="O284" t="s">
        <v>2310</v>
      </c>
    </row>
    <row r="285" spans="1:15" x14ac:dyDescent="0.25">
      <c r="A285" t="s">
        <v>2285</v>
      </c>
      <c r="B285" s="1" t="e">
        <v>#N/A</v>
      </c>
      <c r="C285" s="1" t="e">
        <v>#N/A</v>
      </c>
      <c r="D285" s="1" t="e">
        <v>#N/A</v>
      </c>
      <c r="E285" s="1" t="s">
        <v>2298</v>
      </c>
      <c r="F285" s="2" t="s">
        <v>2300</v>
      </c>
      <c r="G285" s="1" t="s">
        <v>2304</v>
      </c>
      <c r="H285" s="2">
        <v>3</v>
      </c>
      <c r="I285" s="3" t="s">
        <v>2433</v>
      </c>
      <c r="J285" t="s">
        <v>2365</v>
      </c>
      <c r="M285" s="3" t="s">
        <v>2300</v>
      </c>
      <c r="N285" s="3" t="s">
        <v>2255</v>
      </c>
      <c r="O285" t="s">
        <v>2310</v>
      </c>
    </row>
    <row r="286" spans="1:15" x14ac:dyDescent="0.25">
      <c r="A286" t="s">
        <v>2285</v>
      </c>
      <c r="B286" s="1" t="e">
        <v>#N/A</v>
      </c>
      <c r="C286" s="1" t="e">
        <v>#N/A</v>
      </c>
      <c r="D286" s="1" t="e">
        <v>#N/A</v>
      </c>
      <c r="E286" s="1" t="s">
        <v>2298</v>
      </c>
      <c r="F286" s="2" t="s">
        <v>2300</v>
      </c>
      <c r="G286" s="1" t="s">
        <v>2304</v>
      </c>
      <c r="H286" s="2">
        <v>3</v>
      </c>
      <c r="I286" s="3" t="s">
        <v>24</v>
      </c>
      <c r="J286" t="s">
        <v>2365</v>
      </c>
      <c r="M286" s="3" t="s">
        <v>2300</v>
      </c>
      <c r="N286" s="3" t="s">
        <v>2255</v>
      </c>
      <c r="O286" t="s">
        <v>2310</v>
      </c>
    </row>
    <row r="287" spans="1:15" x14ac:dyDescent="0.25">
      <c r="A287" t="s">
        <v>2285</v>
      </c>
      <c r="B287" s="1" t="e">
        <v>#N/A</v>
      </c>
      <c r="C287" s="1" t="e">
        <v>#N/A</v>
      </c>
      <c r="D287" s="1" t="e">
        <v>#N/A</v>
      </c>
      <c r="E287" s="1" t="s">
        <v>2298</v>
      </c>
      <c r="F287" s="2" t="s">
        <v>2300</v>
      </c>
      <c r="G287" s="1" t="s">
        <v>2303</v>
      </c>
      <c r="H287" s="2">
        <v>3</v>
      </c>
      <c r="I287" s="3" t="s">
        <v>2435</v>
      </c>
      <c r="J287" t="s">
        <v>2365</v>
      </c>
      <c r="M287" s="3" t="s">
        <v>2300</v>
      </c>
      <c r="N287" s="3" t="s">
        <v>2256</v>
      </c>
      <c r="O287" t="s">
        <v>2310</v>
      </c>
    </row>
    <row r="288" spans="1:15" x14ac:dyDescent="0.25">
      <c r="A288" t="s">
        <v>2285</v>
      </c>
      <c r="B288" s="1" t="e">
        <v>#N/A</v>
      </c>
      <c r="C288" s="1" t="e">
        <v>#N/A</v>
      </c>
      <c r="D288" s="1" t="e">
        <v>#N/A</v>
      </c>
      <c r="E288" s="1" t="s">
        <v>2298</v>
      </c>
      <c r="F288" s="2" t="s">
        <v>2300</v>
      </c>
      <c r="G288" s="1" t="s">
        <v>2303</v>
      </c>
      <c r="H288" s="2">
        <v>3</v>
      </c>
      <c r="I288" s="3" t="s">
        <v>2421</v>
      </c>
      <c r="J288" t="s">
        <v>2365</v>
      </c>
      <c r="M288" s="3" t="s">
        <v>2300</v>
      </c>
      <c r="N288" s="3" t="s">
        <v>2256</v>
      </c>
      <c r="O288" t="s">
        <v>2310</v>
      </c>
    </row>
    <row r="289" spans="1:15" x14ac:dyDescent="0.25">
      <c r="A289" t="s">
        <v>2285</v>
      </c>
      <c r="B289" s="1" t="e">
        <v>#N/A</v>
      </c>
      <c r="C289" s="1" t="e">
        <v>#N/A</v>
      </c>
      <c r="D289" s="1" t="e">
        <v>#N/A</v>
      </c>
      <c r="E289" s="1" t="s">
        <v>2448</v>
      </c>
      <c r="F289" s="2" t="s">
        <v>2300</v>
      </c>
      <c r="G289" s="1" t="s">
        <v>2303</v>
      </c>
      <c r="H289" s="2">
        <v>3</v>
      </c>
      <c r="I289" s="3" t="s">
        <v>2436</v>
      </c>
      <c r="J289" t="s">
        <v>2365</v>
      </c>
      <c r="M289" s="3" t="s">
        <v>2300</v>
      </c>
      <c r="N289" s="3" t="s">
        <v>2256</v>
      </c>
      <c r="O289" t="s">
        <v>2310</v>
      </c>
    </row>
    <row r="290" spans="1:15" x14ac:dyDescent="0.25">
      <c r="A290" t="s">
        <v>2285</v>
      </c>
      <c r="B290" s="1" t="e">
        <v>#N/A</v>
      </c>
      <c r="C290" s="1" t="e">
        <v>#N/A</v>
      </c>
      <c r="D290" s="1" t="e">
        <v>#N/A</v>
      </c>
      <c r="E290" s="1" t="s">
        <v>2448</v>
      </c>
      <c r="F290" s="2" t="s">
        <v>2300</v>
      </c>
      <c r="G290" s="1" t="s">
        <v>2304</v>
      </c>
      <c r="H290" s="2">
        <v>3</v>
      </c>
      <c r="I290" s="3" t="s">
        <v>2321</v>
      </c>
      <c r="J290" t="s">
        <v>2365</v>
      </c>
      <c r="M290" s="3" t="s">
        <v>2300</v>
      </c>
      <c r="N290" s="3" t="s">
        <v>2255</v>
      </c>
      <c r="O290" t="s">
        <v>2310</v>
      </c>
    </row>
    <row r="291" spans="1:15" x14ac:dyDescent="0.25">
      <c r="A291" t="s">
        <v>2285</v>
      </c>
      <c r="B291" s="1" t="e">
        <v>#N/A</v>
      </c>
      <c r="C291" s="1" t="e">
        <v>#N/A</v>
      </c>
      <c r="D291" s="1" t="e">
        <v>#N/A</v>
      </c>
      <c r="E291" s="1" t="s">
        <v>2448</v>
      </c>
      <c r="F291" s="2" t="s">
        <v>2300</v>
      </c>
      <c r="G291" s="1" t="s">
        <v>2304</v>
      </c>
      <c r="H291" s="2">
        <v>3</v>
      </c>
      <c r="I291" s="3" t="s">
        <v>2318</v>
      </c>
      <c r="J291" t="s">
        <v>2365</v>
      </c>
      <c r="M291" s="3" t="s">
        <v>2300</v>
      </c>
      <c r="N291" s="3" t="s">
        <v>2255</v>
      </c>
      <c r="O291" t="s">
        <v>2310</v>
      </c>
    </row>
    <row r="292" spans="1:15" x14ac:dyDescent="0.25">
      <c r="A292" t="s">
        <v>2285</v>
      </c>
      <c r="B292" s="1" t="e">
        <v>#N/A</v>
      </c>
      <c r="C292" s="1" t="e">
        <v>#N/A</v>
      </c>
      <c r="D292" s="1" t="e">
        <v>#N/A</v>
      </c>
      <c r="E292" s="1" t="s">
        <v>2448</v>
      </c>
      <c r="F292" s="2" t="s">
        <v>2300</v>
      </c>
      <c r="G292" s="1" t="s">
        <v>2304</v>
      </c>
      <c r="H292" s="2">
        <v>3</v>
      </c>
      <c r="I292" s="3" t="s">
        <v>2327</v>
      </c>
      <c r="J292" t="s">
        <v>2365</v>
      </c>
      <c r="M292" s="3" t="s">
        <v>2300</v>
      </c>
      <c r="N292" s="3" t="s">
        <v>2255</v>
      </c>
      <c r="O292" t="s">
        <v>2310</v>
      </c>
    </row>
    <row r="293" spans="1:15" x14ac:dyDescent="0.25">
      <c r="A293" t="s">
        <v>2285</v>
      </c>
      <c r="B293" s="1" t="e">
        <v>#N/A</v>
      </c>
      <c r="C293" s="1" t="e">
        <v>#N/A</v>
      </c>
      <c r="D293" s="1" t="e">
        <v>#N/A</v>
      </c>
      <c r="E293" s="1" t="s">
        <v>2448</v>
      </c>
      <c r="F293" s="2" t="s">
        <v>2300</v>
      </c>
      <c r="G293" s="1" t="s">
        <v>2304</v>
      </c>
      <c r="H293" s="2">
        <v>3</v>
      </c>
      <c r="I293" s="3" t="s">
        <v>78</v>
      </c>
      <c r="J293" t="s">
        <v>2365</v>
      </c>
      <c r="M293" s="3" t="s">
        <v>2300</v>
      </c>
      <c r="N293" s="3" t="s">
        <v>2255</v>
      </c>
      <c r="O293" t="s">
        <v>2310</v>
      </c>
    </row>
    <row r="294" spans="1:15" x14ac:dyDescent="0.25">
      <c r="A294" t="s">
        <v>2285</v>
      </c>
      <c r="B294" s="1" t="e">
        <v>#N/A</v>
      </c>
      <c r="C294" s="1" t="e">
        <v>#N/A</v>
      </c>
      <c r="D294" s="1" t="e">
        <v>#N/A</v>
      </c>
      <c r="E294" s="1" t="s">
        <v>2448</v>
      </c>
      <c r="F294" s="2" t="s">
        <v>2300</v>
      </c>
      <c r="G294" s="1" t="s">
        <v>2304</v>
      </c>
      <c r="H294" s="2">
        <v>3</v>
      </c>
      <c r="I294" s="3" t="s">
        <v>2349</v>
      </c>
      <c r="J294" t="s">
        <v>2365</v>
      </c>
      <c r="M294" s="3" t="s">
        <v>2300</v>
      </c>
      <c r="N294" s="3" t="s">
        <v>2255</v>
      </c>
      <c r="O294" t="s">
        <v>2310</v>
      </c>
    </row>
    <row r="295" spans="1:15" x14ac:dyDescent="0.25">
      <c r="A295" t="s">
        <v>2285</v>
      </c>
      <c r="B295" s="1" t="e">
        <v>#N/A</v>
      </c>
      <c r="C295" s="1" t="e">
        <v>#N/A</v>
      </c>
      <c r="D295" s="1" t="e">
        <v>#N/A</v>
      </c>
      <c r="E295" s="1" t="s">
        <v>2448</v>
      </c>
      <c r="F295" s="2" t="s">
        <v>2300</v>
      </c>
      <c r="G295" s="1" t="s">
        <v>2304</v>
      </c>
      <c r="H295" s="2">
        <v>3</v>
      </c>
      <c r="I295" s="3" t="s">
        <v>2</v>
      </c>
      <c r="J295" t="s">
        <v>2365</v>
      </c>
      <c r="M295" s="3" t="s">
        <v>2300</v>
      </c>
      <c r="N295" s="3" t="s">
        <v>2255</v>
      </c>
      <c r="O295" t="s">
        <v>2310</v>
      </c>
    </row>
    <row r="296" spans="1:15" x14ac:dyDescent="0.25">
      <c r="A296" t="s">
        <v>2285</v>
      </c>
      <c r="B296" s="1" t="e">
        <v>#N/A</v>
      </c>
      <c r="C296" s="1" t="e">
        <v>#N/A</v>
      </c>
      <c r="D296" s="1" t="e">
        <v>#N/A</v>
      </c>
      <c r="E296" s="1" t="s">
        <v>2448</v>
      </c>
      <c r="F296" s="2" t="s">
        <v>2300</v>
      </c>
      <c r="G296" s="1" t="s">
        <v>2304</v>
      </c>
      <c r="H296" s="2">
        <v>3</v>
      </c>
      <c r="I296" s="3" t="s">
        <v>2416</v>
      </c>
      <c r="J296" t="s">
        <v>2365</v>
      </c>
      <c r="M296" s="3" t="s">
        <v>2300</v>
      </c>
      <c r="N296" s="3" t="s">
        <v>2255</v>
      </c>
      <c r="O296" t="s">
        <v>2310</v>
      </c>
    </row>
    <row r="297" spans="1:15" x14ac:dyDescent="0.25">
      <c r="A297" t="s">
        <v>2285</v>
      </c>
      <c r="B297" s="1" t="e">
        <v>#N/A</v>
      </c>
      <c r="C297" s="1" t="e">
        <v>#N/A</v>
      </c>
      <c r="D297" s="1" t="e">
        <v>#N/A</v>
      </c>
      <c r="E297" s="1" t="s">
        <v>2448</v>
      </c>
      <c r="F297" s="2" t="s">
        <v>2300</v>
      </c>
      <c r="G297" s="1" t="s">
        <v>2304</v>
      </c>
      <c r="H297" s="2">
        <v>3</v>
      </c>
      <c r="I297" s="3" t="s">
        <v>2317</v>
      </c>
      <c r="J297" t="s">
        <v>2365</v>
      </c>
      <c r="M297" s="3" t="s">
        <v>2301</v>
      </c>
      <c r="N297" s="3" t="s">
        <v>2255</v>
      </c>
      <c r="O297" t="s">
        <v>2310</v>
      </c>
    </row>
    <row r="298" spans="1:15" x14ac:dyDescent="0.25">
      <c r="A298" t="s">
        <v>2285</v>
      </c>
      <c r="B298" s="1" t="e">
        <v>#N/A</v>
      </c>
      <c r="C298" s="1" t="e">
        <v>#N/A</v>
      </c>
      <c r="D298" s="1" t="e">
        <v>#N/A</v>
      </c>
      <c r="E298" s="1" t="s">
        <v>2448</v>
      </c>
      <c r="F298" s="2" t="s">
        <v>2300</v>
      </c>
      <c r="G298" s="1" t="s">
        <v>2304</v>
      </c>
      <c r="H298" s="2">
        <v>3</v>
      </c>
      <c r="I298" s="3" t="s">
        <v>2</v>
      </c>
      <c r="J298" t="s">
        <v>2365</v>
      </c>
      <c r="M298" s="3" t="s">
        <v>2300</v>
      </c>
      <c r="N298" s="3" t="s">
        <v>2255</v>
      </c>
      <c r="O298" t="s">
        <v>2310</v>
      </c>
    </row>
    <row r="299" spans="1:15" x14ac:dyDescent="0.25">
      <c r="A299" t="s">
        <v>2285</v>
      </c>
      <c r="B299" s="1" t="e">
        <v>#N/A</v>
      </c>
      <c r="C299" s="1" t="e">
        <v>#N/A</v>
      </c>
      <c r="D299" s="1" t="e">
        <v>#N/A</v>
      </c>
      <c r="E299" s="1" t="s">
        <v>2448</v>
      </c>
      <c r="F299" s="2" t="s">
        <v>2300</v>
      </c>
      <c r="G299" s="1" t="s">
        <v>2303</v>
      </c>
      <c r="H299" s="2">
        <v>3</v>
      </c>
      <c r="I299" s="3" t="s">
        <v>2316</v>
      </c>
      <c r="J299" t="s">
        <v>2365</v>
      </c>
      <c r="M299" s="3" t="s">
        <v>2300</v>
      </c>
      <c r="N299" s="3" t="s">
        <v>2256</v>
      </c>
      <c r="O299" t="s">
        <v>2310</v>
      </c>
    </row>
    <row r="300" spans="1:15" x14ac:dyDescent="0.25">
      <c r="A300" t="s">
        <v>2285</v>
      </c>
      <c r="B300" s="1" t="e">
        <v>#N/A</v>
      </c>
      <c r="C300" s="1" t="e">
        <v>#N/A</v>
      </c>
      <c r="D300" s="1" t="e">
        <v>#N/A</v>
      </c>
      <c r="E300" s="1" t="s">
        <v>2448</v>
      </c>
      <c r="F300" s="2" t="s">
        <v>2300</v>
      </c>
      <c r="G300" s="1" t="s">
        <v>2304</v>
      </c>
      <c r="H300" s="2">
        <v>3</v>
      </c>
      <c r="I300" s="3" t="s">
        <v>18</v>
      </c>
      <c r="J300" t="s">
        <v>2365</v>
      </c>
      <c r="M300" s="3" t="s">
        <v>2300</v>
      </c>
      <c r="N300" s="3" t="s">
        <v>2255</v>
      </c>
      <c r="O300" t="s">
        <v>2310</v>
      </c>
    </row>
    <row r="301" spans="1:15" x14ac:dyDescent="0.25">
      <c r="A301" t="s">
        <v>2285</v>
      </c>
      <c r="B301" s="1" t="e">
        <v>#N/A</v>
      </c>
      <c r="C301" s="1" t="e">
        <v>#N/A</v>
      </c>
      <c r="D301" s="1" t="e">
        <v>#N/A</v>
      </c>
      <c r="E301" s="1" t="s">
        <v>2448</v>
      </c>
      <c r="F301" s="2" t="s">
        <v>2300</v>
      </c>
      <c r="G301" s="1" t="s">
        <v>2304</v>
      </c>
      <c r="H301" s="2">
        <v>3</v>
      </c>
      <c r="I301" s="3" t="s">
        <v>1</v>
      </c>
      <c r="J301" t="s">
        <v>2365</v>
      </c>
      <c r="M301" s="3" t="s">
        <v>2300</v>
      </c>
      <c r="N301" s="3" t="s">
        <v>2255</v>
      </c>
      <c r="O301" t="s">
        <v>2310</v>
      </c>
    </row>
    <row r="302" spans="1:15" x14ac:dyDescent="0.25">
      <c r="A302" t="s">
        <v>2285</v>
      </c>
      <c r="B302" s="1" t="e">
        <v>#N/A</v>
      </c>
      <c r="C302" s="1" t="e">
        <v>#N/A</v>
      </c>
      <c r="D302" s="1" t="e">
        <v>#N/A</v>
      </c>
      <c r="E302" s="1" t="s">
        <v>2448</v>
      </c>
      <c r="F302" s="2" t="s">
        <v>2300</v>
      </c>
      <c r="G302" s="1" t="s">
        <v>2304</v>
      </c>
      <c r="H302" s="2">
        <v>3</v>
      </c>
      <c r="I302" s="3" t="s">
        <v>2317</v>
      </c>
      <c r="J302" t="s">
        <v>2365</v>
      </c>
      <c r="M302" s="3" t="s">
        <v>2300</v>
      </c>
      <c r="N302" s="3" t="s">
        <v>2255</v>
      </c>
      <c r="O302" t="s">
        <v>2310</v>
      </c>
    </row>
    <row r="303" spans="1:15" x14ac:dyDescent="0.25">
      <c r="A303" t="s">
        <v>2285</v>
      </c>
      <c r="B303" s="1" t="e">
        <v>#N/A</v>
      </c>
      <c r="C303" s="1" t="e">
        <v>#N/A</v>
      </c>
      <c r="D303" s="1" t="e">
        <v>#N/A</v>
      </c>
      <c r="E303" s="1" t="s">
        <v>2448</v>
      </c>
      <c r="F303" s="2" t="s">
        <v>2300</v>
      </c>
      <c r="G303" s="1" t="s">
        <v>2304</v>
      </c>
      <c r="H303" s="2">
        <v>3</v>
      </c>
      <c r="I303" s="3" t="s">
        <v>2315</v>
      </c>
      <c r="J303" t="s">
        <v>2365</v>
      </c>
      <c r="M303" s="3" t="s">
        <v>2300</v>
      </c>
      <c r="N303" s="3" t="s">
        <v>2255</v>
      </c>
      <c r="O303" t="s">
        <v>2310</v>
      </c>
    </row>
    <row r="304" spans="1:15" x14ac:dyDescent="0.25">
      <c r="A304" t="s">
        <v>2285</v>
      </c>
      <c r="B304" s="1" t="e">
        <v>#N/A</v>
      </c>
      <c r="C304" s="1" t="e">
        <v>#N/A</v>
      </c>
      <c r="D304" s="1" t="e">
        <v>#N/A</v>
      </c>
      <c r="E304" s="1" t="s">
        <v>2448</v>
      </c>
      <c r="F304" s="2" t="s">
        <v>2300</v>
      </c>
      <c r="G304" s="1" t="s">
        <v>2304</v>
      </c>
      <c r="H304" s="2">
        <v>3</v>
      </c>
      <c r="I304" s="3" t="s">
        <v>5</v>
      </c>
      <c r="J304" t="s">
        <v>2365</v>
      </c>
      <c r="M304" s="3" t="s">
        <v>2300</v>
      </c>
      <c r="N304" s="3" t="s">
        <v>2255</v>
      </c>
      <c r="O304" t="s">
        <v>2310</v>
      </c>
    </row>
    <row r="305" spans="1:15" x14ac:dyDescent="0.25">
      <c r="A305" t="s">
        <v>2285</v>
      </c>
      <c r="B305" s="1" t="e">
        <v>#N/A</v>
      </c>
      <c r="C305" s="1" t="e">
        <v>#N/A</v>
      </c>
      <c r="D305" s="1" t="e">
        <v>#N/A</v>
      </c>
      <c r="E305" s="1" t="s">
        <v>2448</v>
      </c>
      <c r="F305" s="2" t="s">
        <v>2300</v>
      </c>
      <c r="G305" s="1" t="s">
        <v>2304</v>
      </c>
      <c r="H305" s="2">
        <v>3</v>
      </c>
      <c r="I305" s="3" t="s">
        <v>2375</v>
      </c>
      <c r="J305" t="s">
        <v>2365</v>
      </c>
      <c r="M305" s="3" t="s">
        <v>2300</v>
      </c>
      <c r="N305" s="3" t="s">
        <v>2255</v>
      </c>
      <c r="O305" t="s">
        <v>2310</v>
      </c>
    </row>
    <row r="306" spans="1:15" x14ac:dyDescent="0.25">
      <c r="A306" t="s">
        <v>2285</v>
      </c>
      <c r="B306" s="1" t="e">
        <v>#N/A</v>
      </c>
      <c r="C306" s="1" t="e">
        <v>#N/A</v>
      </c>
      <c r="D306" s="1" t="e">
        <v>#N/A</v>
      </c>
      <c r="E306" s="1" t="s">
        <v>2448</v>
      </c>
      <c r="F306" s="2" t="s">
        <v>2300</v>
      </c>
      <c r="G306" s="1" t="s">
        <v>2304</v>
      </c>
      <c r="H306" s="2">
        <v>3</v>
      </c>
      <c r="I306" s="3" t="s">
        <v>9</v>
      </c>
      <c r="J306" t="s">
        <v>2365</v>
      </c>
      <c r="M306" s="3" t="s">
        <v>2300</v>
      </c>
      <c r="N306" s="3" t="s">
        <v>2255</v>
      </c>
      <c r="O306" t="s">
        <v>2310</v>
      </c>
    </row>
    <row r="307" spans="1:15" x14ac:dyDescent="0.25">
      <c r="A307" t="s">
        <v>2285</v>
      </c>
      <c r="B307" s="1" t="e">
        <v>#N/A</v>
      </c>
      <c r="C307" s="1" t="e">
        <v>#N/A</v>
      </c>
      <c r="D307" s="1" t="e">
        <v>#N/A</v>
      </c>
      <c r="E307" s="1" t="s">
        <v>2448</v>
      </c>
      <c r="F307" s="2" t="s">
        <v>2300</v>
      </c>
      <c r="G307" s="1" t="s">
        <v>2303</v>
      </c>
      <c r="H307" s="2">
        <v>3</v>
      </c>
      <c r="I307" s="3" t="s">
        <v>72</v>
      </c>
      <c r="J307" t="s">
        <v>2365</v>
      </c>
      <c r="M307" s="3" t="s">
        <v>2300</v>
      </c>
      <c r="N307" s="3" t="s">
        <v>2256</v>
      </c>
      <c r="O307" t="s">
        <v>2310</v>
      </c>
    </row>
    <row r="308" spans="1:15" x14ac:dyDescent="0.25">
      <c r="A308" t="s">
        <v>2285</v>
      </c>
      <c r="B308" s="1" t="e">
        <v>#N/A</v>
      </c>
      <c r="C308" s="1" t="e">
        <v>#N/A</v>
      </c>
      <c r="D308" s="1" t="e">
        <v>#N/A</v>
      </c>
      <c r="E308" s="1" t="s">
        <v>2448</v>
      </c>
      <c r="F308" s="2" t="s">
        <v>2300</v>
      </c>
      <c r="G308" s="1" t="s">
        <v>2304</v>
      </c>
      <c r="H308" s="2">
        <v>3</v>
      </c>
      <c r="I308" s="3" t="s">
        <v>2317</v>
      </c>
      <c r="J308" t="s">
        <v>2365</v>
      </c>
      <c r="M308" s="3" t="s">
        <v>2300</v>
      </c>
      <c r="N308" s="3" t="s">
        <v>2255</v>
      </c>
      <c r="O308" t="s">
        <v>2310</v>
      </c>
    </row>
    <row r="309" spans="1:15" x14ac:dyDescent="0.25">
      <c r="A309" t="s">
        <v>2285</v>
      </c>
      <c r="B309" s="1" t="e">
        <v>#N/A</v>
      </c>
      <c r="C309" s="1" t="e">
        <v>#N/A</v>
      </c>
      <c r="D309" s="1" t="e">
        <v>#N/A</v>
      </c>
      <c r="E309" s="1" t="s">
        <v>2448</v>
      </c>
      <c r="F309" s="2" t="s">
        <v>2300</v>
      </c>
      <c r="G309" s="1" t="s">
        <v>2304</v>
      </c>
      <c r="H309" s="2">
        <v>3</v>
      </c>
      <c r="I309" s="3" t="s">
        <v>1</v>
      </c>
      <c r="J309" t="s">
        <v>2365</v>
      </c>
      <c r="M309" s="3" t="s">
        <v>2300</v>
      </c>
      <c r="N309" s="3" t="s">
        <v>2255</v>
      </c>
      <c r="O309" t="s">
        <v>2310</v>
      </c>
    </row>
    <row r="310" spans="1:15" x14ac:dyDescent="0.25">
      <c r="A310" t="s">
        <v>2285</v>
      </c>
      <c r="B310" s="1" t="e">
        <v>#N/A</v>
      </c>
      <c r="C310" s="1" t="e">
        <v>#N/A</v>
      </c>
      <c r="D310" s="1" t="e">
        <v>#N/A</v>
      </c>
      <c r="E310" s="1" t="s">
        <v>2448</v>
      </c>
      <c r="F310" s="2" t="s">
        <v>2300</v>
      </c>
      <c r="G310" s="1" t="s">
        <v>2304</v>
      </c>
      <c r="H310" s="2">
        <v>3</v>
      </c>
      <c r="I310" s="3" t="s">
        <v>2</v>
      </c>
      <c r="J310" t="s">
        <v>2365</v>
      </c>
      <c r="M310" s="3" t="s">
        <v>2301</v>
      </c>
      <c r="N310" s="3" t="s">
        <v>2255</v>
      </c>
      <c r="O310" t="s">
        <v>2310</v>
      </c>
    </row>
    <row r="311" spans="1:15" x14ac:dyDescent="0.25">
      <c r="A311" t="s">
        <v>2285</v>
      </c>
      <c r="B311" s="1" t="e">
        <v>#N/A</v>
      </c>
      <c r="C311" s="1" t="e">
        <v>#N/A</v>
      </c>
      <c r="D311" s="1" t="e">
        <v>#N/A</v>
      </c>
      <c r="E311" s="1" t="s">
        <v>2448</v>
      </c>
      <c r="F311" s="2" t="s">
        <v>2300</v>
      </c>
      <c r="G311" s="1" t="s">
        <v>2304</v>
      </c>
      <c r="H311" s="2">
        <v>3</v>
      </c>
      <c r="I311" s="3" t="s">
        <v>5</v>
      </c>
      <c r="J311" t="s">
        <v>2365</v>
      </c>
      <c r="M311" s="3" t="s">
        <v>2300</v>
      </c>
      <c r="N311" s="3" t="s">
        <v>2255</v>
      </c>
      <c r="O311" t="s">
        <v>2310</v>
      </c>
    </row>
    <row r="312" spans="1:15" x14ac:dyDescent="0.25">
      <c r="A312" t="s">
        <v>2285</v>
      </c>
      <c r="B312" s="1" t="e">
        <v>#N/A</v>
      </c>
      <c r="C312" s="1" t="e">
        <v>#N/A</v>
      </c>
      <c r="D312" s="1" t="e">
        <v>#N/A</v>
      </c>
      <c r="E312" s="1" t="s">
        <v>2448</v>
      </c>
      <c r="F312" s="2" t="s">
        <v>2300</v>
      </c>
      <c r="G312" s="1" t="s">
        <v>2304</v>
      </c>
      <c r="H312" s="2">
        <v>3</v>
      </c>
      <c r="I312" s="3" t="s">
        <v>2317</v>
      </c>
      <c r="J312" t="s">
        <v>2365</v>
      </c>
      <c r="M312" s="3" t="s">
        <v>2300</v>
      </c>
      <c r="N312" s="3" t="s">
        <v>2255</v>
      </c>
      <c r="O312" t="s">
        <v>2310</v>
      </c>
    </row>
    <row r="313" spans="1:15" x14ac:dyDescent="0.25">
      <c r="A313" t="s">
        <v>2285</v>
      </c>
      <c r="B313" s="1" t="e">
        <v>#N/A</v>
      </c>
      <c r="C313" s="1" t="e">
        <v>#N/A</v>
      </c>
      <c r="D313" s="1" t="e">
        <v>#N/A</v>
      </c>
      <c r="E313" s="1" t="s">
        <v>2448</v>
      </c>
      <c r="F313" s="2" t="s">
        <v>2300</v>
      </c>
      <c r="G313" s="1" t="s">
        <v>2304</v>
      </c>
      <c r="H313" s="2">
        <v>3</v>
      </c>
      <c r="I313" s="3" t="s">
        <v>2317</v>
      </c>
      <c r="J313" t="s">
        <v>2365</v>
      </c>
      <c r="M313" s="3" t="s">
        <v>2300</v>
      </c>
      <c r="N313" s="3" t="s">
        <v>2255</v>
      </c>
      <c r="O313" t="s">
        <v>2310</v>
      </c>
    </row>
    <row r="314" spans="1:15" x14ac:dyDescent="0.25">
      <c r="A314" t="s">
        <v>2285</v>
      </c>
      <c r="B314" s="1" t="e">
        <v>#N/A</v>
      </c>
      <c r="C314" s="1" t="e">
        <v>#N/A</v>
      </c>
      <c r="D314" s="1" t="e">
        <v>#N/A</v>
      </c>
      <c r="E314" s="1" t="s">
        <v>2448</v>
      </c>
      <c r="F314" s="2" t="s">
        <v>2300</v>
      </c>
      <c r="G314" s="1" t="s">
        <v>2304</v>
      </c>
      <c r="H314" s="2">
        <v>3</v>
      </c>
      <c r="I314" s="3" t="s">
        <v>38</v>
      </c>
      <c r="J314" t="s">
        <v>2365</v>
      </c>
      <c r="M314" s="3" t="s">
        <v>2300</v>
      </c>
      <c r="N314" s="3" t="s">
        <v>2255</v>
      </c>
      <c r="O314" t="s">
        <v>2310</v>
      </c>
    </row>
    <row r="315" spans="1:15" x14ac:dyDescent="0.25">
      <c r="A315" t="s">
        <v>2285</v>
      </c>
      <c r="B315" s="1" t="e">
        <v>#N/A</v>
      </c>
      <c r="C315" s="1" t="e">
        <v>#N/A</v>
      </c>
      <c r="D315" s="1" t="e">
        <v>#N/A</v>
      </c>
      <c r="E315" s="1" t="s">
        <v>2448</v>
      </c>
      <c r="F315" s="2" t="s">
        <v>2300</v>
      </c>
      <c r="G315" s="1" t="s">
        <v>2304</v>
      </c>
      <c r="H315" s="2">
        <v>3</v>
      </c>
      <c r="I315" s="3" t="s">
        <v>2</v>
      </c>
      <c r="J315" t="s">
        <v>2365</v>
      </c>
      <c r="M315" s="3" t="s">
        <v>2300</v>
      </c>
      <c r="N315" s="3" t="s">
        <v>2255</v>
      </c>
      <c r="O315" t="s">
        <v>2310</v>
      </c>
    </row>
    <row r="316" spans="1:15" x14ac:dyDescent="0.25">
      <c r="A316" t="s">
        <v>2285</v>
      </c>
      <c r="B316" s="1" t="e">
        <v>#N/A</v>
      </c>
      <c r="C316" s="1" t="e">
        <v>#N/A</v>
      </c>
      <c r="D316" s="1" t="e">
        <v>#N/A</v>
      </c>
      <c r="E316" s="1" t="s">
        <v>2448</v>
      </c>
      <c r="F316" s="2" t="s">
        <v>2300</v>
      </c>
      <c r="G316" s="1" t="s">
        <v>2304</v>
      </c>
      <c r="H316" s="2">
        <v>3</v>
      </c>
      <c r="I316" s="3" t="s">
        <v>12</v>
      </c>
      <c r="J316" t="s">
        <v>2365</v>
      </c>
      <c r="M316" s="3" t="s">
        <v>2300</v>
      </c>
      <c r="N316" s="3" t="s">
        <v>2255</v>
      </c>
      <c r="O316" t="s">
        <v>2310</v>
      </c>
    </row>
    <row r="317" spans="1:15" x14ac:dyDescent="0.25">
      <c r="A317" t="s">
        <v>2285</v>
      </c>
      <c r="B317" s="1" t="e">
        <v>#N/A</v>
      </c>
      <c r="C317" s="1" t="e">
        <v>#N/A</v>
      </c>
      <c r="D317" s="1" t="e">
        <v>#N/A</v>
      </c>
      <c r="E317" s="1" t="s">
        <v>2448</v>
      </c>
      <c r="F317" s="2" t="s">
        <v>2300</v>
      </c>
      <c r="G317" s="1" t="s">
        <v>2304</v>
      </c>
      <c r="H317" s="2">
        <v>3</v>
      </c>
      <c r="I317" s="3" t="s">
        <v>2317</v>
      </c>
      <c r="J317" t="s">
        <v>2365</v>
      </c>
      <c r="M317" s="3" t="s">
        <v>2300</v>
      </c>
      <c r="N317" s="3" t="s">
        <v>2255</v>
      </c>
      <c r="O317" t="s">
        <v>2310</v>
      </c>
    </row>
    <row r="318" spans="1:15" x14ac:dyDescent="0.25">
      <c r="A318" t="s">
        <v>2285</v>
      </c>
      <c r="B318" s="1" t="e">
        <v>#N/A</v>
      </c>
      <c r="C318" s="1" t="e">
        <v>#N/A</v>
      </c>
      <c r="D318" s="1" t="e">
        <v>#N/A</v>
      </c>
      <c r="E318" s="1" t="s">
        <v>2448</v>
      </c>
      <c r="F318" s="2" t="s">
        <v>2300</v>
      </c>
      <c r="G318" s="1" t="s">
        <v>2303</v>
      </c>
      <c r="H318" s="2">
        <v>3</v>
      </c>
      <c r="I318" s="3" t="s">
        <v>2327</v>
      </c>
      <c r="J318" t="s">
        <v>2365</v>
      </c>
      <c r="M318" s="3" t="s">
        <v>2300</v>
      </c>
      <c r="N318" s="3" t="s">
        <v>2256</v>
      </c>
      <c r="O318" t="s">
        <v>2310</v>
      </c>
    </row>
    <row r="319" spans="1:15" x14ac:dyDescent="0.25">
      <c r="A319" t="s">
        <v>2285</v>
      </c>
      <c r="B319" s="1" t="e">
        <v>#N/A</v>
      </c>
      <c r="C319" s="1" t="e">
        <v>#N/A</v>
      </c>
      <c r="D319" s="1" t="e">
        <v>#N/A</v>
      </c>
      <c r="E319" s="1" t="s">
        <v>2448</v>
      </c>
      <c r="F319" s="2" t="s">
        <v>2300</v>
      </c>
      <c r="G319" s="1" t="s">
        <v>2305</v>
      </c>
      <c r="H319" s="2">
        <v>3</v>
      </c>
      <c r="I319" s="3" t="s">
        <v>1</v>
      </c>
      <c r="J319" t="s">
        <v>2365</v>
      </c>
      <c r="M319" s="3" t="s">
        <v>2300</v>
      </c>
      <c r="N319" s="3" t="s">
        <v>2258</v>
      </c>
      <c r="O319" t="s">
        <v>2310</v>
      </c>
    </row>
    <row r="320" spans="1:15" x14ac:dyDescent="0.25">
      <c r="A320" t="s">
        <v>2285</v>
      </c>
      <c r="B320" s="1" t="e">
        <v>#N/A</v>
      </c>
      <c r="C320" s="1" t="e">
        <v>#N/A</v>
      </c>
      <c r="D320" s="1" t="e">
        <v>#N/A</v>
      </c>
      <c r="E320" s="1" t="s">
        <v>2448</v>
      </c>
      <c r="F320" s="2" t="s">
        <v>2300</v>
      </c>
      <c r="G320" s="1" t="s">
        <v>2303</v>
      </c>
      <c r="H320" s="2">
        <v>3</v>
      </c>
      <c r="I320" s="3" t="s">
        <v>2315</v>
      </c>
      <c r="J320" t="s">
        <v>2365</v>
      </c>
      <c r="M320" s="3" t="s">
        <v>2300</v>
      </c>
      <c r="N320" s="3" t="s">
        <v>2256</v>
      </c>
      <c r="O320" t="s">
        <v>2310</v>
      </c>
    </row>
    <row r="321" spans="1:15" x14ac:dyDescent="0.25">
      <c r="A321" t="s">
        <v>2285</v>
      </c>
      <c r="B321" s="1" t="e">
        <v>#N/A</v>
      </c>
      <c r="C321" s="1" t="e">
        <v>#N/A</v>
      </c>
      <c r="D321" s="1" t="e">
        <v>#N/A</v>
      </c>
      <c r="E321" s="1" t="s">
        <v>2448</v>
      </c>
      <c r="F321" s="2" t="s">
        <v>2300</v>
      </c>
      <c r="G321" s="1" t="s">
        <v>2303</v>
      </c>
      <c r="H321" s="2">
        <v>3</v>
      </c>
      <c r="I321" s="3" t="s">
        <v>32</v>
      </c>
      <c r="J321" t="s">
        <v>2365</v>
      </c>
      <c r="M321" s="3" t="s">
        <v>2300</v>
      </c>
      <c r="N321" s="3" t="s">
        <v>2256</v>
      </c>
      <c r="O321" t="s">
        <v>2310</v>
      </c>
    </row>
    <row r="322" spans="1:15" x14ac:dyDescent="0.25">
      <c r="A322" t="s">
        <v>2285</v>
      </c>
      <c r="B322" s="1" t="e">
        <v>#N/A</v>
      </c>
      <c r="C322" s="1" t="e">
        <v>#N/A</v>
      </c>
      <c r="D322" s="1" t="e">
        <v>#N/A</v>
      </c>
      <c r="E322" s="1" t="s">
        <v>2448</v>
      </c>
      <c r="F322" s="2" t="s">
        <v>2300</v>
      </c>
      <c r="G322" s="1" t="s">
        <v>2303</v>
      </c>
      <c r="H322" s="2">
        <v>3</v>
      </c>
      <c r="I322" s="3" t="s">
        <v>2321</v>
      </c>
      <c r="J322" t="s">
        <v>2365</v>
      </c>
      <c r="M322" s="3" t="s">
        <v>2300</v>
      </c>
      <c r="N322" s="3" t="s">
        <v>2256</v>
      </c>
      <c r="O322" t="s">
        <v>2310</v>
      </c>
    </row>
    <row r="323" spans="1:15" x14ac:dyDescent="0.25">
      <c r="A323" t="s">
        <v>2285</v>
      </c>
      <c r="B323" s="1" t="e">
        <v>#N/A</v>
      </c>
      <c r="C323" s="1" t="e">
        <v>#N/A</v>
      </c>
      <c r="D323" s="1" t="e">
        <v>#N/A</v>
      </c>
      <c r="E323" s="1" t="s">
        <v>2448</v>
      </c>
      <c r="F323" s="2" t="s">
        <v>2300</v>
      </c>
      <c r="G323" s="1" t="s">
        <v>2305</v>
      </c>
      <c r="H323" s="2">
        <v>3</v>
      </c>
      <c r="I323" s="3" t="s">
        <v>2437</v>
      </c>
      <c r="J323" t="s">
        <v>2365</v>
      </c>
      <c r="M323" s="3" t="s">
        <v>2300</v>
      </c>
      <c r="N323" s="3" t="s">
        <v>2258</v>
      </c>
      <c r="O323" t="s">
        <v>2310</v>
      </c>
    </row>
    <row r="324" spans="1:15" x14ac:dyDescent="0.25">
      <c r="A324" t="s">
        <v>2285</v>
      </c>
      <c r="B324" s="1" t="e">
        <v>#N/A</v>
      </c>
      <c r="C324" s="1" t="e">
        <v>#N/A</v>
      </c>
      <c r="D324" s="1" t="e">
        <v>#N/A</v>
      </c>
      <c r="E324" s="1" t="s">
        <v>2448</v>
      </c>
      <c r="F324" s="2" t="s">
        <v>2300</v>
      </c>
      <c r="G324" s="1" t="s">
        <v>2303</v>
      </c>
      <c r="H324" s="2">
        <v>3</v>
      </c>
      <c r="I324" s="3" t="s">
        <v>1</v>
      </c>
      <c r="J324" t="s">
        <v>2365</v>
      </c>
      <c r="M324" s="3" t="s">
        <v>2300</v>
      </c>
      <c r="N324" s="3" t="s">
        <v>2256</v>
      </c>
      <c r="O324" t="s">
        <v>2310</v>
      </c>
    </row>
    <row r="325" spans="1:15" x14ac:dyDescent="0.25">
      <c r="A325" t="s">
        <v>2285</v>
      </c>
      <c r="B325" s="1" t="e">
        <v>#N/A</v>
      </c>
      <c r="C325" s="1" t="e">
        <v>#N/A</v>
      </c>
      <c r="D325" s="1" t="e">
        <v>#N/A</v>
      </c>
      <c r="E325" s="1" t="s">
        <v>2448</v>
      </c>
      <c r="F325" s="2" t="s">
        <v>2300</v>
      </c>
      <c r="G325" s="1" t="s">
        <v>2304</v>
      </c>
      <c r="H325" s="2">
        <v>3</v>
      </c>
      <c r="I325" s="3" t="s">
        <v>2356</v>
      </c>
      <c r="J325" t="s">
        <v>2365</v>
      </c>
      <c r="M325" s="3" t="s">
        <v>2300</v>
      </c>
      <c r="N325" s="3" t="s">
        <v>2255</v>
      </c>
      <c r="O325" t="s">
        <v>2310</v>
      </c>
    </row>
    <row r="326" spans="1:15" x14ac:dyDescent="0.25">
      <c r="A326" t="s">
        <v>2285</v>
      </c>
      <c r="B326" s="1" t="e">
        <v>#N/A</v>
      </c>
      <c r="C326" s="1" t="e">
        <v>#N/A</v>
      </c>
      <c r="D326" s="1" t="e">
        <v>#N/A</v>
      </c>
      <c r="E326" s="1" t="s">
        <v>2448</v>
      </c>
      <c r="F326" s="2" t="s">
        <v>2300</v>
      </c>
      <c r="G326" s="1" t="s">
        <v>2303</v>
      </c>
      <c r="H326" s="2">
        <v>3</v>
      </c>
      <c r="I326" s="3" t="s">
        <v>2318</v>
      </c>
      <c r="J326" t="s">
        <v>2365</v>
      </c>
      <c r="M326" s="3" t="s">
        <v>2300</v>
      </c>
      <c r="N326" s="3" t="s">
        <v>2256</v>
      </c>
      <c r="O326" t="s">
        <v>2310</v>
      </c>
    </row>
    <row r="327" spans="1:15" x14ac:dyDescent="0.25">
      <c r="A327" t="s">
        <v>2285</v>
      </c>
      <c r="B327" s="1" t="e">
        <v>#N/A</v>
      </c>
      <c r="C327" s="1" t="e">
        <v>#N/A</v>
      </c>
      <c r="D327" s="1" t="e">
        <v>#N/A</v>
      </c>
      <c r="E327" s="1" t="s">
        <v>2448</v>
      </c>
      <c r="F327" s="2" t="s">
        <v>2300</v>
      </c>
      <c r="G327" s="1" t="s">
        <v>2304</v>
      </c>
      <c r="H327" s="2">
        <v>3</v>
      </c>
      <c r="I327" s="3" t="s">
        <v>1</v>
      </c>
      <c r="J327" t="s">
        <v>2365</v>
      </c>
      <c r="M327" s="3" t="s">
        <v>2300</v>
      </c>
      <c r="N327" s="3" t="s">
        <v>2255</v>
      </c>
      <c r="O327" t="s">
        <v>2310</v>
      </c>
    </row>
    <row r="328" spans="1:15" x14ac:dyDescent="0.25">
      <c r="A328" t="s">
        <v>2285</v>
      </c>
      <c r="B328" s="1" t="e">
        <v>#N/A</v>
      </c>
      <c r="C328" s="1" t="e">
        <v>#N/A</v>
      </c>
      <c r="D328" s="1" t="e">
        <v>#N/A</v>
      </c>
      <c r="E328" s="1" t="s">
        <v>2298</v>
      </c>
      <c r="F328" s="2" t="s">
        <v>2300</v>
      </c>
      <c r="G328" s="1" t="s">
        <v>2304</v>
      </c>
      <c r="H328" s="2">
        <v>2</v>
      </c>
      <c r="I328" s="3" t="s">
        <v>2442</v>
      </c>
      <c r="J328" t="s">
        <v>2365</v>
      </c>
      <c r="M328" s="3" t="s">
        <v>2300</v>
      </c>
      <c r="N328" s="3" t="s">
        <v>2255</v>
      </c>
      <c r="O328" t="s">
        <v>2310</v>
      </c>
    </row>
    <row r="329" spans="1:15" x14ac:dyDescent="0.25">
      <c r="A329" t="s">
        <v>2285</v>
      </c>
      <c r="B329" s="1" t="e">
        <v>#N/A</v>
      </c>
      <c r="C329" s="1" t="e">
        <v>#N/A</v>
      </c>
      <c r="D329" s="1" t="e">
        <v>#N/A</v>
      </c>
      <c r="E329" s="1" t="s">
        <v>2298</v>
      </c>
      <c r="F329" s="2" t="s">
        <v>2300</v>
      </c>
      <c r="G329" s="1" t="s">
        <v>2304</v>
      </c>
      <c r="H329" s="2">
        <v>2</v>
      </c>
      <c r="I329" s="3" t="s">
        <v>19</v>
      </c>
      <c r="J329" t="s">
        <v>2365</v>
      </c>
      <c r="M329" s="3" t="s">
        <v>2300</v>
      </c>
      <c r="N329" s="3" t="s">
        <v>2255</v>
      </c>
      <c r="O329" t="s">
        <v>2310</v>
      </c>
    </row>
    <row r="330" spans="1:15" x14ac:dyDescent="0.25">
      <c r="A330" t="s">
        <v>2285</v>
      </c>
      <c r="B330" s="1" t="e">
        <v>#N/A</v>
      </c>
      <c r="C330" s="1" t="e">
        <v>#N/A</v>
      </c>
      <c r="D330" s="1" t="e">
        <v>#N/A</v>
      </c>
      <c r="E330" s="1" t="s">
        <v>2298</v>
      </c>
      <c r="F330" s="2" t="s">
        <v>2300</v>
      </c>
      <c r="G330" s="1" t="s">
        <v>2304</v>
      </c>
      <c r="H330" s="2">
        <v>2</v>
      </c>
      <c r="I330" s="3" t="s">
        <v>22</v>
      </c>
      <c r="J330" t="s">
        <v>2365</v>
      </c>
      <c r="M330" s="3" t="s">
        <v>2300</v>
      </c>
      <c r="N330" s="3" t="s">
        <v>2255</v>
      </c>
      <c r="O330" t="s">
        <v>2310</v>
      </c>
    </row>
    <row r="331" spans="1:15" x14ac:dyDescent="0.25">
      <c r="A331" t="s">
        <v>2285</v>
      </c>
      <c r="B331" s="1" t="e">
        <v>#N/A</v>
      </c>
      <c r="C331" s="1" t="e">
        <v>#N/A</v>
      </c>
      <c r="D331" s="1" t="e">
        <v>#N/A</v>
      </c>
      <c r="E331" s="1" t="s">
        <v>2298</v>
      </c>
      <c r="F331" s="2" t="s">
        <v>2300</v>
      </c>
      <c r="G331" s="1" t="s">
        <v>2304</v>
      </c>
      <c r="H331" s="2">
        <v>2</v>
      </c>
      <c r="I331" s="3" t="s">
        <v>2441</v>
      </c>
      <c r="J331" t="s">
        <v>2365</v>
      </c>
      <c r="M331" s="3" t="s">
        <v>2300</v>
      </c>
      <c r="N331" s="3" t="s">
        <v>2255</v>
      </c>
      <c r="O331" t="s">
        <v>2310</v>
      </c>
    </row>
    <row r="332" spans="1:15" x14ac:dyDescent="0.25">
      <c r="A332" t="s">
        <v>2285</v>
      </c>
      <c r="B332" s="1" t="e">
        <v>#N/A</v>
      </c>
      <c r="C332" s="1" t="e">
        <v>#N/A</v>
      </c>
      <c r="D332" s="1" t="e">
        <v>#N/A</v>
      </c>
      <c r="E332" s="1" t="s">
        <v>2298</v>
      </c>
      <c r="F332" s="2" t="s">
        <v>2300</v>
      </c>
      <c r="G332" s="1" t="s">
        <v>2304</v>
      </c>
      <c r="H332" s="2">
        <v>2</v>
      </c>
      <c r="I332" s="3" t="s">
        <v>2443</v>
      </c>
      <c r="J332" t="s">
        <v>2365</v>
      </c>
      <c r="M332" s="3" t="s">
        <v>2300</v>
      </c>
      <c r="N332" s="3" t="s">
        <v>2255</v>
      </c>
      <c r="O332" t="s">
        <v>2310</v>
      </c>
    </row>
    <row r="333" spans="1:15" x14ac:dyDescent="0.25">
      <c r="A333" t="s">
        <v>2285</v>
      </c>
      <c r="B333" s="1" t="e">
        <v>#N/A</v>
      </c>
      <c r="C333" s="1" t="e">
        <v>#N/A</v>
      </c>
      <c r="D333" s="1" t="e">
        <v>#N/A</v>
      </c>
      <c r="E333" s="1" t="s">
        <v>2448</v>
      </c>
      <c r="F333" s="2" t="s">
        <v>2300</v>
      </c>
      <c r="G333" s="1" t="s">
        <v>2304</v>
      </c>
      <c r="H333" s="2">
        <v>2</v>
      </c>
      <c r="I333" s="3" t="s">
        <v>5</v>
      </c>
      <c r="J333" t="s">
        <v>2365</v>
      </c>
      <c r="M333" s="3" t="s">
        <v>2300</v>
      </c>
      <c r="N333" s="3" t="s">
        <v>2255</v>
      </c>
      <c r="O333" t="s">
        <v>2310</v>
      </c>
    </row>
    <row r="334" spans="1:15" x14ac:dyDescent="0.25">
      <c r="A334" t="s">
        <v>2285</v>
      </c>
      <c r="B334" s="1" t="e">
        <v>#N/A</v>
      </c>
      <c r="C334" s="1" t="e">
        <v>#N/A</v>
      </c>
      <c r="D334" s="1" t="e">
        <v>#N/A</v>
      </c>
      <c r="E334" s="1" t="s">
        <v>2448</v>
      </c>
      <c r="F334" s="2" t="s">
        <v>2300</v>
      </c>
      <c r="G334" s="1" t="s">
        <v>2304</v>
      </c>
      <c r="H334" s="2">
        <v>2</v>
      </c>
      <c r="I334" s="3" t="s">
        <v>38</v>
      </c>
      <c r="J334" t="s">
        <v>2365</v>
      </c>
      <c r="M334" s="3" t="s">
        <v>2300</v>
      </c>
      <c r="N334" s="3" t="s">
        <v>2255</v>
      </c>
      <c r="O334" t="s">
        <v>2310</v>
      </c>
    </row>
    <row r="335" spans="1:15" x14ac:dyDescent="0.25">
      <c r="A335" t="s">
        <v>2285</v>
      </c>
      <c r="B335" s="1" t="e">
        <v>#N/A</v>
      </c>
      <c r="C335" s="1" t="e">
        <v>#N/A</v>
      </c>
      <c r="D335" s="1" t="e">
        <v>#N/A</v>
      </c>
      <c r="E335" s="1" t="s">
        <v>2448</v>
      </c>
      <c r="F335" s="2" t="s">
        <v>2300</v>
      </c>
      <c r="G335" s="1" t="s">
        <v>2303</v>
      </c>
      <c r="H335" s="2">
        <v>2</v>
      </c>
      <c r="I335" s="3" t="s">
        <v>2424</v>
      </c>
      <c r="J335" t="s">
        <v>2365</v>
      </c>
      <c r="M335" s="3" t="s">
        <v>2300</v>
      </c>
      <c r="N335" s="3" t="s">
        <v>2256</v>
      </c>
      <c r="O335" t="s">
        <v>2310</v>
      </c>
    </row>
    <row r="336" spans="1:15" x14ac:dyDescent="0.25">
      <c r="A336" t="s">
        <v>2285</v>
      </c>
      <c r="B336" s="1" t="e">
        <v>#N/A</v>
      </c>
      <c r="C336" s="1" t="e">
        <v>#N/A</v>
      </c>
      <c r="D336" s="1" t="e">
        <v>#N/A</v>
      </c>
      <c r="E336" s="1" t="s">
        <v>2448</v>
      </c>
      <c r="F336" s="2" t="s">
        <v>2300</v>
      </c>
      <c r="G336" s="1" t="s">
        <v>2304</v>
      </c>
      <c r="H336" s="2">
        <v>2</v>
      </c>
      <c r="I336" s="3" t="s">
        <v>12</v>
      </c>
      <c r="J336" t="s">
        <v>2365</v>
      </c>
      <c r="M336" s="3" t="s">
        <v>2300</v>
      </c>
      <c r="N336" s="3" t="s">
        <v>2255</v>
      </c>
      <c r="O336" t="s">
        <v>2310</v>
      </c>
    </row>
    <row r="337" spans="1:15" x14ac:dyDescent="0.25">
      <c r="A337" t="s">
        <v>2285</v>
      </c>
      <c r="B337" s="1" t="e">
        <v>#N/A</v>
      </c>
      <c r="C337" s="1" t="e">
        <v>#N/A</v>
      </c>
      <c r="D337" s="1" t="e">
        <v>#N/A</v>
      </c>
      <c r="E337" s="1" t="s">
        <v>2448</v>
      </c>
      <c r="F337" s="2" t="s">
        <v>2300</v>
      </c>
      <c r="G337" s="1" t="s">
        <v>2303</v>
      </c>
      <c r="H337" s="2">
        <v>2</v>
      </c>
      <c r="I337" s="3" t="s">
        <v>2348</v>
      </c>
      <c r="J337" t="s">
        <v>2365</v>
      </c>
      <c r="M337" s="3" t="s">
        <v>2300</v>
      </c>
      <c r="N337" s="3" t="s">
        <v>2256</v>
      </c>
      <c r="O337" t="s">
        <v>2310</v>
      </c>
    </row>
    <row r="338" spans="1:15" x14ac:dyDescent="0.25">
      <c r="A338" t="s">
        <v>2285</v>
      </c>
      <c r="B338" s="1" t="e">
        <v>#N/A</v>
      </c>
      <c r="C338" s="1" t="e">
        <v>#N/A</v>
      </c>
      <c r="D338" s="1" t="e">
        <v>#N/A</v>
      </c>
      <c r="E338" s="1" t="s">
        <v>2448</v>
      </c>
      <c r="F338" s="2" t="s">
        <v>2300</v>
      </c>
      <c r="G338" s="1" t="s">
        <v>2303</v>
      </c>
      <c r="H338" s="2">
        <v>2</v>
      </c>
      <c r="I338" s="3" t="s">
        <v>38</v>
      </c>
      <c r="J338" t="s">
        <v>2365</v>
      </c>
      <c r="M338" s="3" t="s">
        <v>2300</v>
      </c>
      <c r="N338" s="3" t="s">
        <v>2256</v>
      </c>
      <c r="O338" t="s">
        <v>2310</v>
      </c>
    </row>
    <row r="339" spans="1:15" x14ac:dyDescent="0.25">
      <c r="A339" t="s">
        <v>2285</v>
      </c>
      <c r="B339" s="1" t="e">
        <v>#N/A</v>
      </c>
      <c r="C339" s="1" t="e">
        <v>#N/A</v>
      </c>
      <c r="D339" s="1" t="e">
        <v>#N/A</v>
      </c>
      <c r="E339" s="1" t="s">
        <v>2448</v>
      </c>
      <c r="F339" s="2" t="s">
        <v>2300</v>
      </c>
      <c r="G339" s="1" t="s">
        <v>2304</v>
      </c>
      <c r="H339" s="2">
        <v>2</v>
      </c>
      <c r="I339" s="3" t="s">
        <v>2317</v>
      </c>
      <c r="J339" t="s">
        <v>2365</v>
      </c>
      <c r="M339" s="3" t="s">
        <v>2300</v>
      </c>
      <c r="N339" s="3" t="s">
        <v>2255</v>
      </c>
      <c r="O339" t="s">
        <v>2310</v>
      </c>
    </row>
    <row r="340" spans="1:15" x14ac:dyDescent="0.25">
      <c r="A340" t="s">
        <v>2285</v>
      </c>
      <c r="B340" s="1" t="e">
        <v>#N/A</v>
      </c>
      <c r="C340" s="1" t="e">
        <v>#N/A</v>
      </c>
      <c r="D340" s="1" t="e">
        <v>#N/A</v>
      </c>
      <c r="E340" s="1" t="s">
        <v>2448</v>
      </c>
      <c r="F340" s="2" t="s">
        <v>2300</v>
      </c>
      <c r="G340" s="1" t="s">
        <v>2304</v>
      </c>
      <c r="H340" s="2">
        <v>2</v>
      </c>
      <c r="I340" s="3" t="s">
        <v>2333</v>
      </c>
      <c r="J340" t="s">
        <v>2365</v>
      </c>
      <c r="M340" s="3" t="s">
        <v>2300</v>
      </c>
      <c r="N340" s="3" t="s">
        <v>2255</v>
      </c>
      <c r="O340" t="s">
        <v>2310</v>
      </c>
    </row>
    <row r="341" spans="1:15" x14ac:dyDescent="0.25">
      <c r="A341" t="s">
        <v>2285</v>
      </c>
      <c r="B341" s="1" t="e">
        <v>#N/A</v>
      </c>
      <c r="C341" s="1" t="e">
        <v>#N/A</v>
      </c>
      <c r="D341" s="1" t="e">
        <v>#N/A</v>
      </c>
      <c r="E341" s="1" t="s">
        <v>2448</v>
      </c>
      <c r="F341" s="2" t="s">
        <v>2300</v>
      </c>
      <c r="G341" s="1" t="s">
        <v>2304</v>
      </c>
      <c r="H341" s="2">
        <v>2</v>
      </c>
      <c r="I341" s="3" t="s">
        <v>2358</v>
      </c>
      <c r="J341" t="s">
        <v>2365</v>
      </c>
      <c r="M341" s="3" t="s">
        <v>2300</v>
      </c>
      <c r="N341" s="3" t="s">
        <v>2255</v>
      </c>
      <c r="O341" t="s">
        <v>2310</v>
      </c>
    </row>
    <row r="342" spans="1:15" x14ac:dyDescent="0.25">
      <c r="A342" t="s">
        <v>2285</v>
      </c>
      <c r="B342" s="1" t="e">
        <v>#N/A</v>
      </c>
      <c r="C342" s="1" t="e">
        <v>#N/A</v>
      </c>
      <c r="D342" s="1" t="e">
        <v>#N/A</v>
      </c>
      <c r="E342" s="1" t="s">
        <v>2448</v>
      </c>
      <c r="F342" s="2" t="s">
        <v>2300</v>
      </c>
      <c r="G342" s="1" t="s">
        <v>2304</v>
      </c>
      <c r="H342" s="2">
        <v>2</v>
      </c>
      <c r="I342" s="3" t="s">
        <v>2319</v>
      </c>
      <c r="J342" t="s">
        <v>2365</v>
      </c>
      <c r="M342" s="3" t="s">
        <v>2300</v>
      </c>
      <c r="N342" s="3" t="s">
        <v>2255</v>
      </c>
      <c r="O342" t="s">
        <v>2310</v>
      </c>
    </row>
    <row r="343" spans="1:15" x14ac:dyDescent="0.25">
      <c r="A343" t="s">
        <v>2285</v>
      </c>
      <c r="B343" s="1" t="e">
        <v>#N/A</v>
      </c>
      <c r="C343" s="1" t="e">
        <v>#N/A</v>
      </c>
      <c r="D343" s="1" t="e">
        <v>#N/A</v>
      </c>
      <c r="E343" s="1" t="s">
        <v>2448</v>
      </c>
      <c r="F343" s="2" t="s">
        <v>2300</v>
      </c>
      <c r="G343" s="1" t="s">
        <v>2304</v>
      </c>
      <c r="H343" s="2">
        <v>2</v>
      </c>
      <c r="I343" s="3" t="s">
        <v>2348</v>
      </c>
      <c r="J343" t="s">
        <v>2365</v>
      </c>
      <c r="M343" s="3" t="s">
        <v>2300</v>
      </c>
      <c r="N343" s="3" t="s">
        <v>2255</v>
      </c>
      <c r="O343" t="s">
        <v>2310</v>
      </c>
    </row>
    <row r="344" spans="1:15" x14ac:dyDescent="0.25">
      <c r="A344" t="s">
        <v>2285</v>
      </c>
      <c r="B344" s="1" t="e">
        <v>#N/A</v>
      </c>
      <c r="C344" s="1" t="e">
        <v>#N/A</v>
      </c>
      <c r="D344" s="1" t="e">
        <v>#N/A</v>
      </c>
      <c r="E344" s="1" t="s">
        <v>2448</v>
      </c>
      <c r="F344" s="2" t="s">
        <v>2300</v>
      </c>
      <c r="G344" s="1" t="s">
        <v>2303</v>
      </c>
      <c r="H344" s="2">
        <v>2</v>
      </c>
      <c r="I344" s="3" t="s">
        <v>6</v>
      </c>
      <c r="J344" t="s">
        <v>2365</v>
      </c>
      <c r="M344" s="3" t="s">
        <v>2300</v>
      </c>
      <c r="N344" s="3" t="s">
        <v>2256</v>
      </c>
      <c r="O344" t="s">
        <v>2310</v>
      </c>
    </row>
    <row r="345" spans="1:15" x14ac:dyDescent="0.25">
      <c r="A345" t="s">
        <v>2285</v>
      </c>
      <c r="B345" s="1" t="e">
        <v>#N/A</v>
      </c>
      <c r="C345" s="1" t="e">
        <v>#N/A</v>
      </c>
      <c r="D345" s="1" t="e">
        <v>#N/A</v>
      </c>
      <c r="E345" s="1" t="s">
        <v>2448</v>
      </c>
      <c r="F345" s="2" t="s">
        <v>2300</v>
      </c>
      <c r="G345" s="1" t="s">
        <v>2304</v>
      </c>
      <c r="H345" s="2">
        <v>2</v>
      </c>
      <c r="I345" s="3" t="s">
        <v>2348</v>
      </c>
      <c r="J345" t="s">
        <v>2365</v>
      </c>
      <c r="M345" s="3" t="s">
        <v>2300</v>
      </c>
      <c r="N345" s="3" t="s">
        <v>2255</v>
      </c>
      <c r="O345" t="s">
        <v>2310</v>
      </c>
    </row>
    <row r="346" spans="1:15" x14ac:dyDescent="0.25">
      <c r="A346" t="s">
        <v>2285</v>
      </c>
      <c r="B346" s="1" t="e">
        <v>#N/A</v>
      </c>
      <c r="C346" s="1" t="e">
        <v>#N/A</v>
      </c>
      <c r="D346" s="1" t="e">
        <v>#N/A</v>
      </c>
      <c r="E346" s="1" t="s">
        <v>2448</v>
      </c>
      <c r="F346" s="2" t="s">
        <v>2300</v>
      </c>
      <c r="G346" s="1" t="s">
        <v>2304</v>
      </c>
      <c r="H346" s="2">
        <v>2</v>
      </c>
      <c r="I346" s="3" t="s">
        <v>2317</v>
      </c>
      <c r="J346" t="s">
        <v>2365</v>
      </c>
      <c r="M346" s="3" t="s">
        <v>2301</v>
      </c>
      <c r="N346" s="3" t="s">
        <v>2255</v>
      </c>
      <c r="O346" t="s">
        <v>2310</v>
      </c>
    </row>
    <row r="347" spans="1:15" x14ac:dyDescent="0.25">
      <c r="A347" t="s">
        <v>2285</v>
      </c>
      <c r="B347" s="1" t="e">
        <v>#N/A</v>
      </c>
      <c r="C347" s="1" t="e">
        <v>#N/A</v>
      </c>
      <c r="D347" s="1" t="e">
        <v>#N/A</v>
      </c>
      <c r="E347" s="1" t="s">
        <v>2448</v>
      </c>
      <c r="F347" s="2" t="s">
        <v>2300</v>
      </c>
      <c r="G347" s="1" t="s">
        <v>2304</v>
      </c>
      <c r="H347" s="2">
        <v>2</v>
      </c>
      <c r="I347" s="3" t="s">
        <v>2</v>
      </c>
      <c r="J347" t="s">
        <v>2365</v>
      </c>
      <c r="M347" s="3" t="s">
        <v>2300</v>
      </c>
      <c r="N347" s="3" t="s">
        <v>2255</v>
      </c>
      <c r="O347" t="s">
        <v>2310</v>
      </c>
    </row>
    <row r="348" spans="1:15" x14ac:dyDescent="0.25">
      <c r="A348" t="s">
        <v>2285</v>
      </c>
      <c r="B348" s="1" t="e">
        <v>#N/A</v>
      </c>
      <c r="C348" s="1" t="e">
        <v>#N/A</v>
      </c>
      <c r="D348" s="1" t="e">
        <v>#N/A</v>
      </c>
      <c r="E348" s="1" t="s">
        <v>2448</v>
      </c>
      <c r="F348" s="2" t="s">
        <v>2300</v>
      </c>
      <c r="G348" s="1" t="s">
        <v>2304</v>
      </c>
      <c r="H348" s="2">
        <v>2</v>
      </c>
      <c r="I348" s="3" t="s">
        <v>2317</v>
      </c>
      <c r="J348" t="s">
        <v>2365</v>
      </c>
      <c r="M348" s="3" t="s">
        <v>2300</v>
      </c>
      <c r="N348" s="3" t="s">
        <v>2255</v>
      </c>
      <c r="O348" t="s">
        <v>2310</v>
      </c>
    </row>
    <row r="349" spans="1:15" x14ac:dyDescent="0.25">
      <c r="A349" t="s">
        <v>2285</v>
      </c>
      <c r="B349" s="1" t="e">
        <v>#N/A</v>
      </c>
      <c r="C349" s="1" t="e">
        <v>#N/A</v>
      </c>
      <c r="D349" s="1" t="e">
        <v>#N/A</v>
      </c>
      <c r="E349" s="1" t="s">
        <v>2448</v>
      </c>
      <c r="F349" s="2" t="s">
        <v>2300</v>
      </c>
      <c r="G349" s="1" t="s">
        <v>2304</v>
      </c>
      <c r="H349" s="2">
        <v>2</v>
      </c>
      <c r="I349" s="3" t="s">
        <v>2444</v>
      </c>
      <c r="J349" t="s">
        <v>2365</v>
      </c>
      <c r="M349" s="3" t="s">
        <v>2300</v>
      </c>
      <c r="N349" s="3" t="s">
        <v>2255</v>
      </c>
      <c r="O349" t="s">
        <v>2310</v>
      </c>
    </row>
    <row r="350" spans="1:15" x14ac:dyDescent="0.25">
      <c r="A350" t="s">
        <v>2285</v>
      </c>
      <c r="B350" s="1" t="e">
        <v>#N/A</v>
      </c>
      <c r="C350" s="1" t="e">
        <v>#N/A</v>
      </c>
      <c r="D350" s="1" t="e">
        <v>#N/A</v>
      </c>
      <c r="E350" s="1" t="s">
        <v>2448</v>
      </c>
      <c r="F350" s="2" t="s">
        <v>2300</v>
      </c>
      <c r="G350" s="1" t="s">
        <v>2304</v>
      </c>
      <c r="H350" s="2">
        <v>2</v>
      </c>
      <c r="I350" s="3" t="s">
        <v>2</v>
      </c>
      <c r="J350" t="s">
        <v>2365</v>
      </c>
      <c r="M350" s="3" t="s">
        <v>2300</v>
      </c>
      <c r="N350" s="3" t="s">
        <v>2255</v>
      </c>
      <c r="O350" t="s">
        <v>2310</v>
      </c>
    </row>
    <row r="351" spans="1:15" x14ac:dyDescent="0.25">
      <c r="A351" t="s">
        <v>2285</v>
      </c>
      <c r="B351" s="1" t="e">
        <v>#N/A</v>
      </c>
      <c r="C351" s="1" t="e">
        <v>#N/A</v>
      </c>
      <c r="D351" s="1" t="e">
        <v>#N/A</v>
      </c>
      <c r="E351" s="1" t="s">
        <v>2448</v>
      </c>
      <c r="F351" s="2" t="s">
        <v>2300</v>
      </c>
      <c r="G351" s="1" t="s">
        <v>2304</v>
      </c>
      <c r="H351" s="2">
        <v>2</v>
      </c>
      <c r="I351" s="3" t="s">
        <v>2</v>
      </c>
      <c r="J351" t="s">
        <v>2365</v>
      </c>
      <c r="M351" s="3" t="s">
        <v>2300</v>
      </c>
      <c r="N351" s="3" t="s">
        <v>2255</v>
      </c>
      <c r="O351" t="s">
        <v>2310</v>
      </c>
    </row>
    <row r="352" spans="1:15" x14ac:dyDescent="0.25">
      <c r="A352" t="s">
        <v>2285</v>
      </c>
      <c r="B352" s="1" t="e">
        <v>#N/A</v>
      </c>
      <c r="C352" s="1" t="e">
        <v>#N/A</v>
      </c>
      <c r="D352" s="1" t="e">
        <v>#N/A</v>
      </c>
      <c r="E352" s="1" t="s">
        <v>2448</v>
      </c>
      <c r="F352" s="2" t="s">
        <v>2300</v>
      </c>
      <c r="G352" s="1" t="s">
        <v>2304</v>
      </c>
      <c r="H352" s="2">
        <v>2</v>
      </c>
      <c r="I352" s="3" t="s">
        <v>2</v>
      </c>
      <c r="J352" t="s">
        <v>2365</v>
      </c>
      <c r="M352" s="3" t="s">
        <v>2301</v>
      </c>
      <c r="N352" s="3" t="s">
        <v>2255</v>
      </c>
      <c r="O352" t="s">
        <v>2310</v>
      </c>
    </row>
    <row r="353" spans="1:15" x14ac:dyDescent="0.25">
      <c r="A353" t="s">
        <v>2285</v>
      </c>
      <c r="B353" s="1" t="e">
        <v>#N/A</v>
      </c>
      <c r="C353" s="1" t="e">
        <v>#N/A</v>
      </c>
      <c r="D353" s="1" t="e">
        <v>#N/A</v>
      </c>
      <c r="E353" s="1" t="s">
        <v>2448</v>
      </c>
      <c r="F353" s="2" t="s">
        <v>2300</v>
      </c>
      <c r="G353" s="1" t="s">
        <v>2304</v>
      </c>
      <c r="H353" s="2">
        <v>2</v>
      </c>
      <c r="I353" s="3" t="s">
        <v>12</v>
      </c>
      <c r="J353" t="s">
        <v>2365</v>
      </c>
      <c r="M353" s="3" t="s">
        <v>2300</v>
      </c>
      <c r="N353" s="3" t="s">
        <v>2255</v>
      </c>
      <c r="O353" t="s">
        <v>2310</v>
      </c>
    </row>
    <row r="354" spans="1:15" x14ac:dyDescent="0.25">
      <c r="A354" t="s">
        <v>2285</v>
      </c>
      <c r="B354" s="1" t="e">
        <v>#N/A</v>
      </c>
      <c r="C354" s="1" t="e">
        <v>#N/A</v>
      </c>
      <c r="D354" s="1" t="e">
        <v>#N/A</v>
      </c>
      <c r="E354" s="1" t="s">
        <v>2448</v>
      </c>
      <c r="F354" s="2" t="s">
        <v>2300</v>
      </c>
      <c r="G354" s="1" t="s">
        <v>2304</v>
      </c>
      <c r="H354" s="2">
        <v>2</v>
      </c>
      <c r="I354" s="3" t="s">
        <v>5</v>
      </c>
      <c r="J354" t="s">
        <v>2365</v>
      </c>
      <c r="M354" s="3" t="s">
        <v>2300</v>
      </c>
      <c r="N354" s="3" t="s">
        <v>2255</v>
      </c>
      <c r="O354" t="s">
        <v>2310</v>
      </c>
    </row>
    <row r="355" spans="1:15" x14ac:dyDescent="0.25">
      <c r="A355" t="s">
        <v>2285</v>
      </c>
      <c r="B355" s="1" t="e">
        <v>#N/A</v>
      </c>
      <c r="C355" s="1" t="e">
        <v>#N/A</v>
      </c>
      <c r="D355" s="1" t="e">
        <v>#N/A</v>
      </c>
      <c r="E355" s="1" t="s">
        <v>2298</v>
      </c>
      <c r="F355" s="2" t="s">
        <v>2300</v>
      </c>
      <c r="G355" s="1" t="s">
        <v>2304</v>
      </c>
      <c r="H355" s="2">
        <v>1</v>
      </c>
      <c r="I355" s="3" t="s">
        <v>2445</v>
      </c>
      <c r="J355" t="s">
        <v>2365</v>
      </c>
      <c r="M355" s="3" t="s">
        <v>2300</v>
      </c>
      <c r="N355" s="3" t="s">
        <v>2255</v>
      </c>
      <c r="O355" t="s">
        <v>2310</v>
      </c>
    </row>
    <row r="356" spans="1:15" x14ac:dyDescent="0.25">
      <c r="A356" t="s">
        <v>2285</v>
      </c>
      <c r="B356" s="1" t="e">
        <v>#N/A</v>
      </c>
      <c r="C356" s="1" t="e">
        <v>#N/A</v>
      </c>
      <c r="D356" s="1" t="e">
        <v>#N/A</v>
      </c>
      <c r="E356" s="1" t="s">
        <v>2298</v>
      </c>
      <c r="F356" s="2" t="s">
        <v>2300</v>
      </c>
      <c r="G356" s="1" t="s">
        <v>2304</v>
      </c>
      <c r="H356" s="2">
        <v>1</v>
      </c>
      <c r="I356" s="3" t="s">
        <v>19</v>
      </c>
      <c r="J356" t="s">
        <v>2365</v>
      </c>
      <c r="M356" s="3" t="s">
        <v>2300</v>
      </c>
      <c r="N356" s="3" t="s">
        <v>2255</v>
      </c>
      <c r="O356" t="s">
        <v>2310</v>
      </c>
    </row>
    <row r="357" spans="1:15" x14ac:dyDescent="0.25">
      <c r="A357" t="s">
        <v>2285</v>
      </c>
      <c r="B357" s="1" t="e">
        <v>#N/A</v>
      </c>
      <c r="C357" s="1" t="e">
        <v>#N/A</v>
      </c>
      <c r="D357" s="1" t="e">
        <v>#N/A</v>
      </c>
      <c r="E357" s="1" t="s">
        <v>2298</v>
      </c>
      <c r="F357" s="2" t="s">
        <v>2300</v>
      </c>
      <c r="G357" s="1" t="s">
        <v>2303</v>
      </c>
      <c r="H357" s="2">
        <v>1</v>
      </c>
      <c r="I357" s="3" t="s">
        <v>2442</v>
      </c>
      <c r="J357" t="s">
        <v>2365</v>
      </c>
      <c r="M357" s="3" t="s">
        <v>2300</v>
      </c>
      <c r="N357" s="3" t="s">
        <v>2256</v>
      </c>
      <c r="O357" t="s">
        <v>2310</v>
      </c>
    </row>
    <row r="358" spans="1:15" x14ac:dyDescent="0.25">
      <c r="A358" t="s">
        <v>2285</v>
      </c>
      <c r="B358" s="1" t="e">
        <v>#N/A</v>
      </c>
      <c r="C358" s="1" t="e">
        <v>#N/A</v>
      </c>
      <c r="D358" s="1" t="e">
        <v>#N/A</v>
      </c>
      <c r="E358" s="1" t="s">
        <v>2298</v>
      </c>
      <c r="F358" s="2" t="s">
        <v>2300</v>
      </c>
      <c r="G358" s="1" t="s">
        <v>2304</v>
      </c>
      <c r="H358" s="2">
        <v>1</v>
      </c>
      <c r="I358" s="3" t="s">
        <v>2351</v>
      </c>
      <c r="J358" t="s">
        <v>2365</v>
      </c>
      <c r="M358" s="3" t="s">
        <v>2300</v>
      </c>
      <c r="N358" s="3" t="s">
        <v>2255</v>
      </c>
      <c r="O358" t="s">
        <v>2310</v>
      </c>
    </row>
    <row r="359" spans="1:15" x14ac:dyDescent="0.25">
      <c r="A359" t="s">
        <v>2285</v>
      </c>
      <c r="B359" s="1" t="e">
        <v>#N/A</v>
      </c>
      <c r="C359" s="1" t="e">
        <v>#N/A</v>
      </c>
      <c r="D359" s="1" t="e">
        <v>#N/A</v>
      </c>
      <c r="E359" s="1" t="s">
        <v>2448</v>
      </c>
      <c r="F359" s="2" t="s">
        <v>2300</v>
      </c>
      <c r="G359" s="1" t="s">
        <v>2303</v>
      </c>
      <c r="H359" s="2">
        <v>1</v>
      </c>
      <c r="I359" s="3" t="s">
        <v>1</v>
      </c>
      <c r="J359" t="s">
        <v>2365</v>
      </c>
      <c r="M359" s="3" t="s">
        <v>2300</v>
      </c>
      <c r="N359" s="3" t="s">
        <v>2256</v>
      </c>
      <c r="O359" t="s">
        <v>2310</v>
      </c>
    </row>
    <row r="360" spans="1:15" x14ac:dyDescent="0.25">
      <c r="A360" t="s">
        <v>2285</v>
      </c>
      <c r="B360" s="1" t="e">
        <v>#N/A</v>
      </c>
      <c r="C360" s="1" t="e">
        <v>#N/A</v>
      </c>
      <c r="D360" s="1" t="e">
        <v>#N/A</v>
      </c>
      <c r="E360" s="1" t="s">
        <v>2448</v>
      </c>
      <c r="F360" s="2" t="s">
        <v>2300</v>
      </c>
      <c r="G360" s="1" t="s">
        <v>2303</v>
      </c>
      <c r="H360" s="2">
        <v>1</v>
      </c>
      <c r="I360" s="3" t="s">
        <v>2318</v>
      </c>
      <c r="J360" t="s">
        <v>2365</v>
      </c>
      <c r="M360" s="3" t="s">
        <v>2300</v>
      </c>
      <c r="N360" s="3" t="s">
        <v>2256</v>
      </c>
      <c r="O360" t="s">
        <v>2310</v>
      </c>
    </row>
    <row r="361" spans="1:15" x14ac:dyDescent="0.25">
      <c r="A361" t="s">
        <v>2285</v>
      </c>
      <c r="B361" s="1" t="e">
        <v>#N/A</v>
      </c>
      <c r="C361" s="1" t="e">
        <v>#N/A</v>
      </c>
      <c r="D361" s="1" t="e">
        <v>#N/A</v>
      </c>
      <c r="E361" s="1" t="s">
        <v>2448</v>
      </c>
      <c r="F361" s="2" t="s">
        <v>2300</v>
      </c>
      <c r="G361" s="1" t="s">
        <v>2304</v>
      </c>
      <c r="H361" s="2">
        <v>1</v>
      </c>
      <c r="I361" s="3" t="s">
        <v>2327</v>
      </c>
      <c r="J361" t="s">
        <v>2365</v>
      </c>
      <c r="M361" s="3" t="s">
        <v>2300</v>
      </c>
      <c r="N361" s="3" t="s">
        <v>2255</v>
      </c>
      <c r="O361" t="s">
        <v>2310</v>
      </c>
    </row>
    <row r="362" spans="1:15" x14ac:dyDescent="0.25">
      <c r="A362" t="s">
        <v>2285</v>
      </c>
      <c r="B362" s="1" t="e">
        <v>#N/A</v>
      </c>
      <c r="C362" s="1" t="e">
        <v>#N/A</v>
      </c>
      <c r="D362" s="1" t="e">
        <v>#N/A</v>
      </c>
      <c r="E362" s="1" t="s">
        <v>2448</v>
      </c>
      <c r="F362" s="2" t="s">
        <v>2300</v>
      </c>
      <c r="G362" s="1" t="s">
        <v>2305</v>
      </c>
      <c r="H362" s="2">
        <v>1</v>
      </c>
      <c r="I362" s="3" t="s">
        <v>16</v>
      </c>
      <c r="J362" t="s">
        <v>2365</v>
      </c>
      <c r="M362" s="3" t="s">
        <v>2300</v>
      </c>
      <c r="N362" s="3" t="s">
        <v>2257</v>
      </c>
      <c r="O362" t="s">
        <v>2310</v>
      </c>
    </row>
    <row r="363" spans="1:15" x14ac:dyDescent="0.25">
      <c r="A363" t="s">
        <v>2285</v>
      </c>
      <c r="B363" s="1" t="e">
        <v>#N/A</v>
      </c>
      <c r="C363" s="1" t="e">
        <v>#N/A</v>
      </c>
      <c r="D363" s="1" t="e">
        <v>#N/A</v>
      </c>
      <c r="E363" s="1" t="s">
        <v>2448</v>
      </c>
      <c r="F363" s="2" t="s">
        <v>2300</v>
      </c>
      <c r="G363" s="1" t="s">
        <v>2303</v>
      </c>
      <c r="H363" s="2">
        <v>1</v>
      </c>
      <c r="I363" s="3" t="s">
        <v>2405</v>
      </c>
      <c r="J363" t="s">
        <v>2365</v>
      </c>
      <c r="M363" s="3" t="s">
        <v>2300</v>
      </c>
      <c r="N363" s="3" t="s">
        <v>2256</v>
      </c>
      <c r="O363" t="s">
        <v>2310</v>
      </c>
    </row>
    <row r="364" spans="1:15" x14ac:dyDescent="0.25">
      <c r="A364" t="s">
        <v>2285</v>
      </c>
      <c r="B364" s="1" t="e">
        <v>#N/A</v>
      </c>
      <c r="C364" s="1" t="e">
        <v>#N/A</v>
      </c>
      <c r="D364" s="1" t="e">
        <v>#N/A</v>
      </c>
      <c r="E364" s="1" t="s">
        <v>2448</v>
      </c>
      <c r="F364" s="2" t="s">
        <v>2300</v>
      </c>
      <c r="G364" s="1" t="s">
        <v>2304</v>
      </c>
      <c r="H364" s="2">
        <v>1</v>
      </c>
      <c r="I364" s="3" t="s">
        <v>8</v>
      </c>
      <c r="J364" t="s">
        <v>2365</v>
      </c>
      <c r="M364" s="3" t="s">
        <v>2300</v>
      </c>
      <c r="N364" s="3" t="s">
        <v>2255</v>
      </c>
      <c r="O364" t="s">
        <v>2310</v>
      </c>
    </row>
    <row r="365" spans="1:15" x14ac:dyDescent="0.25">
      <c r="A365" t="s">
        <v>2285</v>
      </c>
      <c r="B365" s="1" t="e">
        <v>#N/A</v>
      </c>
      <c r="C365" s="1" t="e">
        <v>#N/A</v>
      </c>
      <c r="D365" s="1" t="e">
        <v>#N/A</v>
      </c>
      <c r="E365" s="1" t="s">
        <v>2448</v>
      </c>
      <c r="F365" s="2" t="s">
        <v>2300</v>
      </c>
      <c r="G365" s="1" t="s">
        <v>2304</v>
      </c>
      <c r="H365" s="2">
        <v>1</v>
      </c>
      <c r="I365" s="3" t="s">
        <v>2348</v>
      </c>
      <c r="J365" t="s">
        <v>2365</v>
      </c>
      <c r="M365" s="3" t="s">
        <v>2300</v>
      </c>
      <c r="N365" s="3" t="s">
        <v>2255</v>
      </c>
      <c r="O365" t="s">
        <v>2310</v>
      </c>
    </row>
    <row r="366" spans="1:15" x14ac:dyDescent="0.25">
      <c r="A366" t="s">
        <v>2285</v>
      </c>
      <c r="B366" s="1" t="e">
        <v>#N/A</v>
      </c>
      <c r="C366" s="1" t="e">
        <v>#N/A</v>
      </c>
      <c r="D366" s="1" t="e">
        <v>#N/A</v>
      </c>
      <c r="E366" s="1" t="s">
        <v>2448</v>
      </c>
      <c r="F366" s="2" t="s">
        <v>2300</v>
      </c>
      <c r="G366" s="1" t="s">
        <v>2305</v>
      </c>
      <c r="H366" s="2">
        <v>1</v>
      </c>
      <c r="I366" s="3" t="s">
        <v>2452</v>
      </c>
      <c r="J366" t="s">
        <v>2365</v>
      </c>
      <c r="M366" s="3" t="s">
        <v>2300</v>
      </c>
      <c r="N366" s="3" t="s">
        <v>2258</v>
      </c>
      <c r="O366" t="s">
        <v>2310</v>
      </c>
    </row>
    <row r="367" spans="1:15" x14ac:dyDescent="0.25">
      <c r="A367" t="s">
        <v>2285</v>
      </c>
      <c r="B367" s="1" t="e">
        <v>#N/A</v>
      </c>
      <c r="C367" s="1" t="e">
        <v>#N/A</v>
      </c>
      <c r="D367" s="1" t="e">
        <v>#N/A</v>
      </c>
      <c r="E367" s="1" t="s">
        <v>2448</v>
      </c>
      <c r="F367" s="2" t="s">
        <v>2300</v>
      </c>
      <c r="G367" s="1" t="s">
        <v>2303</v>
      </c>
      <c r="H367" s="2">
        <v>1</v>
      </c>
      <c r="I367" s="3" t="s">
        <v>2316</v>
      </c>
      <c r="J367" t="s">
        <v>2365</v>
      </c>
      <c r="M367" s="3" t="s">
        <v>2300</v>
      </c>
      <c r="N367" s="3" t="s">
        <v>2256</v>
      </c>
      <c r="O367" t="s">
        <v>2310</v>
      </c>
    </row>
    <row r="368" spans="1:15" x14ac:dyDescent="0.25">
      <c r="A368" t="s">
        <v>2285</v>
      </c>
      <c r="B368" s="1" t="e">
        <v>#N/A</v>
      </c>
      <c r="C368" s="1" t="e">
        <v>#N/A</v>
      </c>
      <c r="D368" s="1" t="e">
        <v>#N/A</v>
      </c>
      <c r="E368" s="1" t="s">
        <v>2448</v>
      </c>
      <c r="F368" s="2" t="s">
        <v>2300</v>
      </c>
      <c r="G368" s="1" t="s">
        <v>2304</v>
      </c>
      <c r="H368" s="2">
        <v>1</v>
      </c>
      <c r="I368" s="3" t="s">
        <v>2405</v>
      </c>
      <c r="J368" t="s">
        <v>2365</v>
      </c>
      <c r="M368" s="3" t="s">
        <v>2300</v>
      </c>
      <c r="N368" s="3" t="s">
        <v>2255</v>
      </c>
      <c r="O368" t="s">
        <v>2310</v>
      </c>
    </row>
    <row r="369" spans="1:15" x14ac:dyDescent="0.25">
      <c r="A369" t="s">
        <v>2285</v>
      </c>
      <c r="B369" s="1" t="e">
        <v>#N/A</v>
      </c>
      <c r="C369" s="1" t="e">
        <v>#N/A</v>
      </c>
      <c r="D369" s="1" t="e">
        <v>#N/A</v>
      </c>
      <c r="E369" s="1" t="s">
        <v>2448</v>
      </c>
      <c r="F369" s="2" t="s">
        <v>2300</v>
      </c>
      <c r="G369" s="1" t="s">
        <v>2304</v>
      </c>
      <c r="H369" s="2">
        <v>1</v>
      </c>
      <c r="I369" s="3" t="s">
        <v>2318</v>
      </c>
      <c r="J369" t="s">
        <v>2365</v>
      </c>
      <c r="M369" s="3" t="s">
        <v>2300</v>
      </c>
      <c r="N369" s="3" t="s">
        <v>2255</v>
      </c>
      <c r="O369" t="s">
        <v>2310</v>
      </c>
    </row>
    <row r="370" spans="1:15" x14ac:dyDescent="0.25">
      <c r="A370" t="s">
        <v>2285</v>
      </c>
      <c r="B370" s="1" t="e">
        <v>#N/A</v>
      </c>
      <c r="C370" s="1" t="e">
        <v>#N/A</v>
      </c>
      <c r="D370" s="1" t="e">
        <v>#N/A</v>
      </c>
      <c r="E370" s="1" t="s">
        <v>2448</v>
      </c>
      <c r="F370" s="2" t="s">
        <v>2300</v>
      </c>
      <c r="G370" s="1" t="s">
        <v>2304</v>
      </c>
      <c r="H370" s="2">
        <v>1</v>
      </c>
      <c r="I370" s="3" t="s">
        <v>2313</v>
      </c>
      <c r="J370" t="s">
        <v>2365</v>
      </c>
      <c r="M370" s="3" t="s">
        <v>2300</v>
      </c>
      <c r="N370" s="3" t="s">
        <v>2255</v>
      </c>
      <c r="O370" t="s">
        <v>2310</v>
      </c>
    </row>
    <row r="371" spans="1:15" x14ac:dyDescent="0.25">
      <c r="A371" t="s">
        <v>2285</v>
      </c>
      <c r="B371" s="1" t="e">
        <v>#N/A</v>
      </c>
      <c r="C371" s="1" t="e">
        <v>#N/A</v>
      </c>
      <c r="D371" s="1" t="e">
        <v>#N/A</v>
      </c>
      <c r="E371" s="1" t="s">
        <v>2448</v>
      </c>
      <c r="F371" s="2" t="s">
        <v>2300</v>
      </c>
      <c r="G371" s="1" t="s">
        <v>2304</v>
      </c>
      <c r="H371" s="2">
        <v>1</v>
      </c>
      <c r="I371" s="3" t="s">
        <v>2356</v>
      </c>
      <c r="J371" t="s">
        <v>2365</v>
      </c>
      <c r="M371" s="3" t="s">
        <v>2300</v>
      </c>
      <c r="N371" s="3" t="s">
        <v>2255</v>
      </c>
      <c r="O371" t="s">
        <v>2310</v>
      </c>
    </row>
    <row r="372" spans="1:15" x14ac:dyDescent="0.25">
      <c r="A372" t="s">
        <v>2285</v>
      </c>
      <c r="B372" s="1" t="e">
        <v>#N/A</v>
      </c>
      <c r="C372" s="1" t="e">
        <v>#N/A</v>
      </c>
      <c r="D372" s="1" t="e">
        <v>#N/A</v>
      </c>
      <c r="E372" s="1" t="s">
        <v>2448</v>
      </c>
      <c r="F372" s="2" t="s">
        <v>2300</v>
      </c>
      <c r="G372" s="1" t="s">
        <v>2304</v>
      </c>
      <c r="H372" s="2">
        <v>1</v>
      </c>
      <c r="I372" s="3" t="s">
        <v>2317</v>
      </c>
      <c r="J372" t="s">
        <v>2365</v>
      </c>
      <c r="M372" s="3" t="s">
        <v>2300</v>
      </c>
      <c r="N372" s="3" t="s">
        <v>2255</v>
      </c>
      <c r="O372" t="s">
        <v>2310</v>
      </c>
    </row>
    <row r="373" spans="1:15" x14ac:dyDescent="0.25">
      <c r="A373" t="s">
        <v>2285</v>
      </c>
      <c r="B373" s="1" t="e">
        <v>#N/A</v>
      </c>
      <c r="C373" s="1" t="e">
        <v>#N/A</v>
      </c>
      <c r="D373" s="1" t="e">
        <v>#N/A</v>
      </c>
      <c r="E373" s="1" t="s">
        <v>2448</v>
      </c>
      <c r="F373" s="2" t="s">
        <v>2300</v>
      </c>
      <c r="G373" s="1" t="s">
        <v>2304</v>
      </c>
      <c r="H373" s="2">
        <v>1</v>
      </c>
      <c r="I373" s="3" t="s">
        <v>31</v>
      </c>
      <c r="J373" t="s">
        <v>2365</v>
      </c>
      <c r="M373" s="3" t="s">
        <v>2300</v>
      </c>
      <c r="N373" s="3" t="s">
        <v>2255</v>
      </c>
      <c r="O373" t="s">
        <v>2310</v>
      </c>
    </row>
    <row r="374" spans="1:15" x14ac:dyDescent="0.25">
      <c r="A374" t="s">
        <v>2285</v>
      </c>
      <c r="B374" s="1" t="e">
        <v>#N/A</v>
      </c>
      <c r="C374" s="1" t="e">
        <v>#N/A</v>
      </c>
      <c r="D374" s="1" t="e">
        <v>#N/A</v>
      </c>
      <c r="E374" s="1" t="s">
        <v>2448</v>
      </c>
      <c r="F374" s="2" t="s">
        <v>2300</v>
      </c>
      <c r="G374" s="1" t="s">
        <v>2304</v>
      </c>
      <c r="H374" s="2">
        <v>1</v>
      </c>
      <c r="I374" s="3" t="s">
        <v>2317</v>
      </c>
      <c r="J374" t="s">
        <v>2365</v>
      </c>
      <c r="M374" s="3" t="s">
        <v>2300</v>
      </c>
      <c r="N374" s="3" t="s">
        <v>2255</v>
      </c>
      <c r="O374" t="s">
        <v>2310</v>
      </c>
    </row>
    <row r="375" spans="1:15" x14ac:dyDescent="0.25">
      <c r="A375" t="s">
        <v>2285</v>
      </c>
      <c r="B375" s="1" t="e">
        <v>#N/A</v>
      </c>
      <c r="C375" s="1" t="e">
        <v>#N/A</v>
      </c>
      <c r="D375" s="1" t="e">
        <v>#N/A</v>
      </c>
      <c r="E375" s="1" t="s">
        <v>2448</v>
      </c>
      <c r="F375" s="2" t="s">
        <v>2300</v>
      </c>
      <c r="G375" s="1" t="s">
        <v>2304</v>
      </c>
      <c r="H375" s="2">
        <v>1</v>
      </c>
      <c r="I375" s="3" t="s">
        <v>2</v>
      </c>
      <c r="J375" t="s">
        <v>2365</v>
      </c>
      <c r="M375" s="3" t="s">
        <v>2300</v>
      </c>
      <c r="N375" s="3" t="s">
        <v>2255</v>
      </c>
      <c r="O375" t="s">
        <v>2310</v>
      </c>
    </row>
    <row r="376" spans="1:15" x14ac:dyDescent="0.25">
      <c r="A376" t="s">
        <v>2285</v>
      </c>
      <c r="B376" s="1" t="e">
        <v>#N/A</v>
      </c>
      <c r="C376" s="1" t="e">
        <v>#N/A</v>
      </c>
      <c r="D376" s="1" t="e">
        <v>#N/A</v>
      </c>
      <c r="E376" s="1" t="s">
        <v>2448</v>
      </c>
      <c r="F376" s="2" t="s">
        <v>2300</v>
      </c>
      <c r="G376" s="1" t="s">
        <v>2304</v>
      </c>
      <c r="H376" s="2">
        <v>1</v>
      </c>
      <c r="I376" s="3" t="s">
        <v>2313</v>
      </c>
      <c r="J376" t="s">
        <v>2365</v>
      </c>
      <c r="M376" s="3" t="s">
        <v>2300</v>
      </c>
      <c r="N376" s="3" t="s">
        <v>2255</v>
      </c>
      <c r="O376" t="s">
        <v>2310</v>
      </c>
    </row>
    <row r="377" spans="1:15" x14ac:dyDescent="0.25">
      <c r="A377" t="s">
        <v>2285</v>
      </c>
      <c r="B377" s="1" t="e">
        <v>#N/A</v>
      </c>
      <c r="C377" s="1" t="e">
        <v>#N/A</v>
      </c>
      <c r="D377" s="1" t="e">
        <v>#N/A</v>
      </c>
      <c r="E377" s="1" t="s">
        <v>2448</v>
      </c>
      <c r="F377" s="2" t="s">
        <v>2300</v>
      </c>
      <c r="G377" s="1" t="s">
        <v>2304</v>
      </c>
      <c r="H377" s="2">
        <v>1</v>
      </c>
      <c r="I377" s="3" t="s">
        <v>2321</v>
      </c>
      <c r="J377" t="s">
        <v>2365</v>
      </c>
      <c r="M377" s="3" t="s">
        <v>2300</v>
      </c>
      <c r="N377" s="3" t="s">
        <v>2255</v>
      </c>
      <c r="O377" t="s">
        <v>2310</v>
      </c>
    </row>
    <row r="378" spans="1:15" x14ac:dyDescent="0.25">
      <c r="A378" t="s">
        <v>2285</v>
      </c>
      <c r="B378" s="1" t="e">
        <v>#N/A</v>
      </c>
      <c r="C378" s="1" t="e">
        <v>#N/A</v>
      </c>
      <c r="D378" s="1" t="e">
        <v>#N/A</v>
      </c>
      <c r="E378" s="1" t="s">
        <v>2448</v>
      </c>
      <c r="F378" s="2" t="s">
        <v>2300</v>
      </c>
      <c r="G378" s="1" t="s">
        <v>2304</v>
      </c>
      <c r="H378" s="2">
        <v>1</v>
      </c>
      <c r="I378" s="3" t="s">
        <v>1</v>
      </c>
      <c r="J378" t="s">
        <v>2365</v>
      </c>
      <c r="M378" s="3" t="s">
        <v>2300</v>
      </c>
      <c r="N378" s="3" t="s">
        <v>2255</v>
      </c>
      <c r="O378" t="s">
        <v>2310</v>
      </c>
    </row>
    <row r="379" spans="1:15" x14ac:dyDescent="0.25">
      <c r="A379" t="s">
        <v>2285</v>
      </c>
      <c r="B379" s="1" t="e">
        <v>#N/A</v>
      </c>
      <c r="C379" s="1" t="e">
        <v>#N/A</v>
      </c>
      <c r="D379" s="1" t="e">
        <v>#N/A</v>
      </c>
      <c r="E379" s="1" t="s">
        <v>2448</v>
      </c>
      <c r="F379" s="2" t="s">
        <v>2300</v>
      </c>
      <c r="G379" s="1" t="s">
        <v>2304</v>
      </c>
      <c r="H379" s="2">
        <v>1</v>
      </c>
      <c r="I379" s="3" t="s">
        <v>2333</v>
      </c>
      <c r="J379" t="s">
        <v>2365</v>
      </c>
      <c r="M379" s="3" t="s">
        <v>2300</v>
      </c>
      <c r="N379" s="3" t="s">
        <v>2255</v>
      </c>
      <c r="O379" t="s">
        <v>2310</v>
      </c>
    </row>
    <row r="380" spans="1:15" x14ac:dyDescent="0.25">
      <c r="A380" t="s">
        <v>2285</v>
      </c>
      <c r="B380" s="1" t="e">
        <v>#N/A</v>
      </c>
      <c r="C380" s="1" t="e">
        <v>#N/A</v>
      </c>
      <c r="D380" s="1" t="e">
        <v>#N/A</v>
      </c>
      <c r="E380" s="1" t="s">
        <v>2448</v>
      </c>
      <c r="F380" s="2" t="s">
        <v>2300</v>
      </c>
      <c r="G380" s="1" t="s">
        <v>2304</v>
      </c>
      <c r="H380" s="2">
        <v>1</v>
      </c>
      <c r="I380" s="3" t="s">
        <v>2317</v>
      </c>
      <c r="J380" t="s">
        <v>2365</v>
      </c>
      <c r="M380" s="3" t="s">
        <v>2300</v>
      </c>
      <c r="N380" s="3" t="s">
        <v>2255</v>
      </c>
      <c r="O380" t="s">
        <v>2310</v>
      </c>
    </row>
    <row r="381" spans="1:15" x14ac:dyDescent="0.25">
      <c r="A381" t="s">
        <v>2285</v>
      </c>
      <c r="B381" s="1" t="e">
        <v>#N/A</v>
      </c>
      <c r="C381" s="1" t="e">
        <v>#N/A</v>
      </c>
      <c r="D381" s="1" t="e">
        <v>#N/A</v>
      </c>
      <c r="E381" s="1" t="s">
        <v>2448</v>
      </c>
      <c r="F381" s="2" t="s">
        <v>2300</v>
      </c>
      <c r="G381" s="1" t="s">
        <v>2304</v>
      </c>
      <c r="H381" s="2">
        <v>1</v>
      </c>
      <c r="I381" s="3" t="s">
        <v>2452</v>
      </c>
      <c r="J381" t="s">
        <v>2365</v>
      </c>
      <c r="M381" s="3" t="s">
        <v>2300</v>
      </c>
      <c r="N381" s="3" t="s">
        <v>2255</v>
      </c>
      <c r="O381" t="s">
        <v>2310</v>
      </c>
    </row>
    <row r="382" spans="1:15" x14ac:dyDescent="0.25">
      <c r="A382" t="s">
        <v>2285</v>
      </c>
      <c r="B382" s="1" t="e">
        <v>#N/A</v>
      </c>
      <c r="C382" s="1" t="e">
        <v>#N/A</v>
      </c>
      <c r="D382" s="1" t="e">
        <v>#N/A</v>
      </c>
      <c r="E382" s="1" t="s">
        <v>2448</v>
      </c>
      <c r="F382" s="2" t="s">
        <v>2300</v>
      </c>
      <c r="G382" s="1" t="s">
        <v>2304</v>
      </c>
      <c r="H382" s="2">
        <v>1</v>
      </c>
      <c r="I382" s="3" t="s">
        <v>7</v>
      </c>
      <c r="J382" t="s">
        <v>2365</v>
      </c>
      <c r="M382" s="3" t="s">
        <v>2300</v>
      </c>
      <c r="N382" s="3" t="s">
        <v>2255</v>
      </c>
      <c r="O382" t="s">
        <v>2310</v>
      </c>
    </row>
    <row r="383" spans="1:15" x14ac:dyDescent="0.25">
      <c r="A383" t="s">
        <v>2285</v>
      </c>
      <c r="B383" s="1" t="e">
        <v>#N/A</v>
      </c>
      <c r="C383" s="1" t="e">
        <v>#N/A</v>
      </c>
      <c r="D383" s="1" t="e">
        <v>#N/A</v>
      </c>
      <c r="E383" s="1" t="s">
        <v>2448</v>
      </c>
      <c r="F383" s="2" t="s">
        <v>2300</v>
      </c>
      <c r="G383" s="1" t="s">
        <v>2304</v>
      </c>
      <c r="H383" s="2">
        <v>1</v>
      </c>
      <c r="I383" s="3" t="s">
        <v>2332</v>
      </c>
      <c r="J383" t="s">
        <v>2365</v>
      </c>
      <c r="M383" s="3" t="s">
        <v>2300</v>
      </c>
      <c r="N383" s="3" t="s">
        <v>2255</v>
      </c>
      <c r="O383" t="s">
        <v>2310</v>
      </c>
    </row>
    <row r="384" spans="1:15" x14ac:dyDescent="0.25">
      <c r="A384" t="s">
        <v>2285</v>
      </c>
      <c r="B384" s="1" t="e">
        <v>#N/A</v>
      </c>
      <c r="C384" s="1" t="e">
        <v>#N/A</v>
      </c>
      <c r="D384" s="1" t="e">
        <v>#N/A</v>
      </c>
      <c r="E384" s="1" t="s">
        <v>2448</v>
      </c>
      <c r="F384" s="2" t="s">
        <v>2300</v>
      </c>
      <c r="G384" s="1" t="s">
        <v>2304</v>
      </c>
      <c r="H384" s="2">
        <v>1</v>
      </c>
      <c r="I384" s="3" t="s">
        <v>2313</v>
      </c>
      <c r="J384" t="s">
        <v>2365</v>
      </c>
      <c r="M384" s="3" t="s">
        <v>2300</v>
      </c>
      <c r="N384" s="3" t="s">
        <v>2255</v>
      </c>
      <c r="O384" t="s">
        <v>2310</v>
      </c>
    </row>
    <row r="385" spans="1:15" x14ac:dyDescent="0.25">
      <c r="A385" t="s">
        <v>2285</v>
      </c>
      <c r="B385" s="1" t="e">
        <v>#N/A</v>
      </c>
      <c r="C385" s="1" t="e">
        <v>#N/A</v>
      </c>
      <c r="D385" s="1" t="e">
        <v>#N/A</v>
      </c>
      <c r="E385" s="1" t="s">
        <v>2448</v>
      </c>
      <c r="F385" s="2" t="s">
        <v>2300</v>
      </c>
      <c r="G385" s="1" t="s">
        <v>2304</v>
      </c>
      <c r="H385" s="2">
        <v>1</v>
      </c>
      <c r="I385" s="3" t="s">
        <v>2349</v>
      </c>
      <c r="J385" t="s">
        <v>2365</v>
      </c>
      <c r="M385" s="3" t="s">
        <v>2300</v>
      </c>
      <c r="N385" s="3" t="s">
        <v>2255</v>
      </c>
      <c r="O385" t="s">
        <v>2310</v>
      </c>
    </row>
    <row r="386" spans="1:15" x14ac:dyDescent="0.25">
      <c r="A386" t="s">
        <v>2285</v>
      </c>
      <c r="B386" s="1" t="e">
        <v>#N/A</v>
      </c>
      <c r="C386" s="1" t="e">
        <v>#N/A</v>
      </c>
      <c r="D386" s="1" t="e">
        <v>#N/A</v>
      </c>
      <c r="E386" s="1" t="s">
        <v>2448</v>
      </c>
      <c r="F386" s="2" t="s">
        <v>2300</v>
      </c>
      <c r="G386" s="1" t="s">
        <v>2304</v>
      </c>
      <c r="H386" s="2">
        <v>1</v>
      </c>
      <c r="I386" s="3" t="s">
        <v>2313</v>
      </c>
      <c r="J386" t="s">
        <v>2365</v>
      </c>
      <c r="M386" s="3" t="s">
        <v>2300</v>
      </c>
      <c r="N386" s="3" t="s">
        <v>2255</v>
      </c>
      <c r="O386" t="s">
        <v>2310</v>
      </c>
    </row>
    <row r="387" spans="1:15" x14ac:dyDescent="0.25">
      <c r="A387" t="s">
        <v>2285</v>
      </c>
      <c r="B387" s="1" t="e">
        <v>#N/A</v>
      </c>
      <c r="C387" s="1" t="e">
        <v>#N/A</v>
      </c>
      <c r="D387" s="1" t="e">
        <v>#N/A</v>
      </c>
      <c r="E387" s="1" t="s">
        <v>2448</v>
      </c>
      <c r="F387" s="2" t="s">
        <v>2300</v>
      </c>
      <c r="G387" s="1" t="s">
        <v>2304</v>
      </c>
      <c r="H387" s="2">
        <v>1</v>
      </c>
      <c r="I387" s="3" t="s">
        <v>2</v>
      </c>
      <c r="J387" t="s">
        <v>2365</v>
      </c>
      <c r="M387" s="3" t="s">
        <v>2300</v>
      </c>
      <c r="N387" s="3" t="s">
        <v>2255</v>
      </c>
      <c r="O387" t="s">
        <v>2310</v>
      </c>
    </row>
    <row r="388" spans="1:15" x14ac:dyDescent="0.25">
      <c r="A388" t="s">
        <v>2285</v>
      </c>
      <c r="B388" s="1" t="e">
        <v>#N/A</v>
      </c>
      <c r="C388" s="1" t="e">
        <v>#N/A</v>
      </c>
      <c r="D388" s="1" t="e">
        <v>#N/A</v>
      </c>
      <c r="E388" s="1" t="s">
        <v>2448</v>
      </c>
      <c r="F388" s="2" t="s">
        <v>2300</v>
      </c>
      <c r="G388" s="1" t="s">
        <v>2303</v>
      </c>
      <c r="H388" s="2">
        <v>1</v>
      </c>
      <c r="I388" s="3" t="s">
        <v>1</v>
      </c>
      <c r="J388" t="s">
        <v>2365</v>
      </c>
      <c r="M388" s="3" t="s">
        <v>2300</v>
      </c>
      <c r="N388" s="3" t="s">
        <v>2256</v>
      </c>
      <c r="O388" t="s">
        <v>2310</v>
      </c>
    </row>
    <row r="389" spans="1:15" x14ac:dyDescent="0.25">
      <c r="A389" t="s">
        <v>2285</v>
      </c>
      <c r="B389" s="1" t="e">
        <v>#N/A</v>
      </c>
      <c r="C389" s="1" t="e">
        <v>#N/A</v>
      </c>
      <c r="D389" s="1" t="e">
        <v>#N/A</v>
      </c>
      <c r="E389" s="1" t="s">
        <v>2448</v>
      </c>
      <c r="F389" s="2" t="s">
        <v>2300</v>
      </c>
      <c r="G389" s="1" t="s">
        <v>2304</v>
      </c>
      <c r="H389" s="2">
        <v>1</v>
      </c>
      <c r="I389" s="3" t="s">
        <v>2331</v>
      </c>
      <c r="J389" t="s">
        <v>2365</v>
      </c>
      <c r="M389" s="3" t="s">
        <v>2300</v>
      </c>
      <c r="N389" s="3" t="s">
        <v>2255</v>
      </c>
      <c r="O389" t="s">
        <v>2310</v>
      </c>
    </row>
    <row r="390" spans="1:15" x14ac:dyDescent="0.25">
      <c r="A390" t="s">
        <v>2285</v>
      </c>
      <c r="B390" s="1" t="e">
        <v>#N/A</v>
      </c>
      <c r="C390" s="1" t="e">
        <v>#N/A</v>
      </c>
      <c r="D390" s="1" t="e">
        <v>#N/A</v>
      </c>
      <c r="E390" s="1" t="s">
        <v>2448</v>
      </c>
      <c r="F390" s="2" t="s">
        <v>2300</v>
      </c>
      <c r="G390" s="1" t="s">
        <v>2303</v>
      </c>
      <c r="H390" s="2">
        <v>0</v>
      </c>
      <c r="I390" s="3" t="s">
        <v>2321</v>
      </c>
      <c r="J390" t="s">
        <v>2365</v>
      </c>
      <c r="M390" s="3" t="s">
        <v>2300</v>
      </c>
      <c r="N390" s="3" t="s">
        <v>2256</v>
      </c>
      <c r="O390" t="s">
        <v>2310</v>
      </c>
    </row>
    <row r="391" spans="1:15" x14ac:dyDescent="0.25">
      <c r="A391" t="s">
        <v>2285</v>
      </c>
      <c r="B391" s="1" t="e">
        <v>#N/A</v>
      </c>
      <c r="C391" s="1" t="e">
        <v>#N/A</v>
      </c>
      <c r="D391" s="1" t="e">
        <v>#N/A</v>
      </c>
      <c r="E391" s="1" t="s">
        <v>2448</v>
      </c>
      <c r="F391" s="2" t="s">
        <v>2300</v>
      </c>
      <c r="G391" s="1" t="s">
        <v>2303</v>
      </c>
      <c r="H391" s="2">
        <v>0</v>
      </c>
      <c r="I391" s="3" t="s">
        <v>31</v>
      </c>
      <c r="J391" t="s">
        <v>2365</v>
      </c>
      <c r="M391" s="3" t="s">
        <v>2300</v>
      </c>
      <c r="N391" s="3" t="s">
        <v>2256</v>
      </c>
      <c r="O391" t="s">
        <v>2310</v>
      </c>
    </row>
  </sheetData>
  <autoFilter ref="A1:O391" xr:uid="{957CE4E7-D02E-4271-8F3E-FCA1C107AA27}"/>
  <conditionalFormatting sqref="A1:A391">
    <cfRule type="cellIs" dxfId="456" priority="141" operator="equal">
      <formula>"Mare"</formula>
    </cfRule>
    <cfRule type="cellIs" dxfId="455" priority="142" operator="equal">
      <formula>"Axel"</formula>
    </cfRule>
    <cfRule type="cellIs" dxfId="454" priority="143" operator="equal">
      <formula>"Christian"</formula>
    </cfRule>
    <cfRule type="cellIs" dxfId="453" priority="144" operator="equal">
      <formula>"Farid"</formula>
    </cfRule>
    <cfRule type="cellIs" dxfId="452" priority="145" stopIfTrue="1" operator="equal">
      <formula>"Alex"</formula>
    </cfRule>
    <cfRule type="cellIs" dxfId="451" priority="146" operator="equal">
      <formula>"Gaby"</formula>
    </cfRule>
    <cfRule type="cellIs" dxfId="450" priority="147" operator="equal">
      <formula>"Randall"</formula>
    </cfRule>
    <cfRule type="cellIs" dxfId="449" priority="148" operator="equal">
      <formula>"Johan"</formula>
    </cfRule>
    <cfRule type="cellIs" dxfId="448" priority="149" operator="equal">
      <formula>"Eva"</formula>
    </cfRule>
    <cfRule type="cellIs" dxfId="447" priority="150" operator="equal">
      <formula>"Ronald"</formula>
    </cfRule>
  </conditionalFormatting>
  <conditionalFormatting sqref="B1:B391">
    <cfRule type="cellIs" dxfId="446" priority="129" operator="equal">
      <formula>"Mare"</formula>
    </cfRule>
    <cfRule type="cellIs" dxfId="445" priority="130" operator="equal">
      <formula>"Axel"</formula>
    </cfRule>
    <cfRule type="cellIs" dxfId="444" priority="131" operator="equal">
      <formula>"Christian"</formula>
    </cfRule>
    <cfRule type="cellIs" dxfId="443" priority="132" operator="equal">
      <formula>"Farid"</formula>
    </cfRule>
    <cfRule type="cellIs" dxfId="442" priority="133" stopIfTrue="1" operator="equal">
      <formula>"Alex"</formula>
    </cfRule>
    <cfRule type="cellIs" dxfId="441" priority="134" operator="equal">
      <formula>"Gaby"</formula>
    </cfRule>
    <cfRule type="cellIs" dxfId="440" priority="135" operator="equal">
      <formula>"Randall"</formula>
    </cfRule>
    <cfRule type="cellIs" dxfId="439" priority="136" operator="equal">
      <formula>"Johan"</formula>
    </cfRule>
    <cfRule type="cellIs" dxfId="438" priority="137" operator="equal">
      <formula>"Eva"</formula>
    </cfRule>
    <cfRule type="cellIs" dxfId="437" priority="138" operator="equal">
      <formula>"Ronald"</formula>
    </cfRule>
  </conditionalFormatting>
  <conditionalFormatting sqref="B1:B391">
    <cfRule type="cellIs" dxfId="436" priority="139" operator="equal">
      <formula>"Maria"</formula>
    </cfRule>
    <cfRule type="cellIs" dxfId="435" priority="140" operator="equal">
      <formula>"Jason"</formula>
    </cfRule>
  </conditionalFormatting>
  <conditionalFormatting sqref="B2:B391">
    <cfRule type="cellIs" dxfId="434" priority="126" operator="equal">
      <formula>"Jose"</formula>
    </cfRule>
  </conditionalFormatting>
  <conditionalFormatting sqref="B2:B391">
    <cfRule type="cellIs" dxfId="433" priority="127" operator="equal">
      <formula>"David"</formula>
    </cfRule>
    <cfRule type="cellIs" dxfId="432" priority="128" stopIfTrue="1" operator="equal">
      <formula>"Jenny"</formula>
    </cfRule>
  </conditionalFormatting>
  <conditionalFormatting sqref="C1:C391">
    <cfRule type="cellIs" dxfId="431" priority="113" operator="equal">
      <formula>"Mare"</formula>
    </cfRule>
    <cfRule type="cellIs" dxfId="430" priority="114" operator="equal">
      <formula>"Axel"</formula>
    </cfRule>
    <cfRule type="cellIs" dxfId="429" priority="115" operator="equal">
      <formula>"Christian"</formula>
    </cfRule>
    <cfRule type="cellIs" dxfId="428" priority="116" operator="equal">
      <formula>"Farid"</formula>
    </cfRule>
    <cfRule type="cellIs" dxfId="427" priority="118" stopIfTrue="1" operator="equal">
      <formula>"Alex"</formula>
    </cfRule>
    <cfRule type="cellIs" dxfId="426" priority="119" operator="equal">
      <formula>"Gaby"</formula>
    </cfRule>
    <cfRule type="cellIs" dxfId="425" priority="120" operator="equal">
      <formula>"Randall"</formula>
    </cfRule>
    <cfRule type="cellIs" dxfId="424" priority="121" operator="equal">
      <formula>"Johan"</formula>
    </cfRule>
    <cfRule type="cellIs" dxfId="423" priority="122" operator="equal">
      <formula>"Eva"</formula>
    </cfRule>
    <cfRule type="cellIs" dxfId="422" priority="123" operator="equal">
      <formula>"Ronald"</formula>
    </cfRule>
  </conditionalFormatting>
  <conditionalFormatting sqref="C1:C391">
    <cfRule type="cellIs" dxfId="421" priority="117" stopIfTrue="1" operator="equal">
      <formula>"Approved"</formula>
    </cfRule>
    <cfRule type="cellIs" dxfId="420" priority="124" operator="equal">
      <formula>"Done"</formula>
    </cfRule>
    <cfRule type="cellIs" dxfId="419" priority="125" operator="equal">
      <formula>"Pending Review"</formula>
    </cfRule>
  </conditionalFormatting>
  <conditionalFormatting sqref="C2:C391">
    <cfRule type="containsText" dxfId="418" priority="112" operator="containsText" text="Pending Info">
      <formula>NOT(ISERROR(SEARCH("Pending Info",C2)))</formula>
    </cfRule>
  </conditionalFormatting>
  <conditionalFormatting sqref="D1:D391">
    <cfRule type="cellIs" dxfId="417" priority="102" operator="equal">
      <formula>"Mare"</formula>
    </cfRule>
    <cfRule type="cellIs" dxfId="416" priority="103" operator="equal">
      <formula>"Axel"</formula>
    </cfRule>
    <cfRule type="cellIs" dxfId="415" priority="104" operator="equal">
      <formula>"Christian"</formula>
    </cfRule>
    <cfRule type="cellIs" dxfId="414" priority="105" operator="equal">
      <formula>"Farid"</formula>
    </cfRule>
    <cfRule type="cellIs" dxfId="413" priority="106" stopIfTrue="1" operator="equal">
      <formula>"Alex"</formula>
    </cfRule>
    <cfRule type="cellIs" dxfId="412" priority="107" operator="equal">
      <formula>"Gaby"</formula>
    </cfRule>
    <cfRule type="cellIs" dxfId="411" priority="108" operator="equal">
      <formula>"Randall"</formula>
    </cfRule>
    <cfRule type="cellIs" dxfId="410" priority="109" operator="equal">
      <formula>"Johan"</formula>
    </cfRule>
    <cfRule type="cellIs" dxfId="409" priority="110" operator="equal">
      <formula>"Eva"</formula>
    </cfRule>
    <cfRule type="cellIs" dxfId="408" priority="111" operator="equal">
      <formula>"Ronald"</formula>
    </cfRule>
  </conditionalFormatting>
  <conditionalFormatting sqref="E1:E391">
    <cfRule type="cellIs" dxfId="407" priority="92" operator="equal">
      <formula>"Mare"</formula>
    </cfRule>
    <cfRule type="cellIs" dxfId="406" priority="93" operator="equal">
      <formula>"Axel"</formula>
    </cfRule>
    <cfRule type="cellIs" dxfId="405" priority="94" operator="equal">
      <formula>"Christian"</formula>
    </cfRule>
    <cfRule type="cellIs" dxfId="404" priority="95" operator="equal">
      <formula>"Farid"</formula>
    </cfRule>
    <cfRule type="cellIs" dxfId="403" priority="96" stopIfTrue="1" operator="equal">
      <formula>"Alex"</formula>
    </cfRule>
    <cfRule type="cellIs" dxfId="402" priority="97" operator="equal">
      <formula>"Gaby"</formula>
    </cfRule>
    <cfRule type="cellIs" dxfId="401" priority="98" operator="equal">
      <formula>"Randall"</formula>
    </cfRule>
    <cfRule type="cellIs" dxfId="400" priority="99" operator="equal">
      <formula>"Johan"</formula>
    </cfRule>
    <cfRule type="cellIs" dxfId="399" priority="100" operator="equal">
      <formula>"Eva"</formula>
    </cfRule>
    <cfRule type="cellIs" dxfId="398" priority="101" operator="equal">
      <formula>"Ronald"</formula>
    </cfRule>
  </conditionalFormatting>
  <conditionalFormatting sqref="F1:F391">
    <cfRule type="cellIs" dxfId="397" priority="91" operator="equal">
      <formula>"YES"</formula>
    </cfRule>
  </conditionalFormatting>
  <conditionalFormatting sqref="F1:F391">
    <cfRule type="cellIs" dxfId="396" priority="90" operator="equal">
      <formula>"YES"</formula>
    </cfRule>
  </conditionalFormatting>
  <conditionalFormatting sqref="F1:F391">
    <cfRule type="cellIs" dxfId="395" priority="80" operator="equal">
      <formula>"Mare"</formula>
    </cfRule>
    <cfRule type="cellIs" dxfId="394" priority="81" operator="equal">
      <formula>"Axel"</formula>
    </cfRule>
    <cfRule type="cellIs" dxfId="393" priority="82" operator="equal">
      <formula>"Christian"</formula>
    </cfRule>
    <cfRule type="cellIs" dxfId="392" priority="83" operator="equal">
      <formula>"Farid"</formula>
    </cfRule>
    <cfRule type="cellIs" dxfId="391" priority="84" stopIfTrue="1" operator="equal">
      <formula>"Alex"</formula>
    </cfRule>
    <cfRule type="cellIs" dxfId="390" priority="85" operator="equal">
      <formula>"Gaby"</formula>
    </cfRule>
    <cfRule type="cellIs" dxfId="389" priority="86" operator="equal">
      <formula>"Randall"</formula>
    </cfRule>
    <cfRule type="cellIs" dxfId="388" priority="87" operator="equal">
      <formula>"Johan"</formula>
    </cfRule>
    <cfRule type="cellIs" dxfId="387" priority="88" operator="equal">
      <formula>"Eva"</formula>
    </cfRule>
    <cfRule type="cellIs" dxfId="386" priority="89" operator="equal">
      <formula>"Ronald"</formula>
    </cfRule>
  </conditionalFormatting>
  <conditionalFormatting sqref="G1:G391">
    <cfRule type="cellIs" dxfId="385" priority="66" operator="equal">
      <formula>"Mare"</formula>
    </cfRule>
    <cfRule type="cellIs" dxfId="384" priority="67" operator="equal">
      <formula>"Axel"</formula>
    </cfRule>
    <cfRule type="cellIs" dxfId="383" priority="68" operator="equal">
      <formula>"Christian"</formula>
    </cfRule>
    <cfRule type="cellIs" dxfId="382" priority="70" operator="equal">
      <formula>"Farid"</formula>
    </cfRule>
    <cfRule type="cellIs" dxfId="381" priority="71" stopIfTrue="1" operator="equal">
      <formula>"Alex"</formula>
    </cfRule>
    <cfRule type="cellIs" dxfId="380" priority="72" operator="equal">
      <formula>"Gaby"</formula>
    </cfRule>
    <cfRule type="cellIs" dxfId="379" priority="73" operator="equal">
      <formula>"Randall"</formula>
    </cfRule>
    <cfRule type="cellIs" dxfId="378" priority="74" operator="equal">
      <formula>"Johan"</formula>
    </cfRule>
    <cfRule type="cellIs" dxfId="377" priority="75" operator="equal">
      <formula>"Eva"</formula>
    </cfRule>
    <cfRule type="cellIs" dxfId="376" priority="76" operator="equal">
      <formula>"Ronald"</formula>
    </cfRule>
  </conditionalFormatting>
  <conditionalFormatting sqref="G1:G391">
    <cfRule type="cellIs" dxfId="375" priority="69" stopIfTrue="1" operator="equal">
      <formula>"Accessory"</formula>
    </cfRule>
    <cfRule type="cellIs" dxfId="374" priority="77" operator="equal">
      <formula>"Tachy"</formula>
    </cfRule>
    <cfRule type="cellIs" dxfId="373" priority="78" operator="equal">
      <formula>"LEADS"</formula>
    </cfRule>
    <cfRule type="cellIs" dxfId="372" priority="79" stopIfTrue="1" operator="equal">
      <formula>"Brady"</formula>
    </cfRule>
  </conditionalFormatting>
  <conditionalFormatting sqref="H1:H391">
    <cfRule type="cellIs" dxfId="371" priority="56" operator="equal">
      <formula>"Mare"</formula>
    </cfRule>
    <cfRule type="cellIs" dxfId="370" priority="57" operator="equal">
      <formula>"Axel"</formula>
    </cfRule>
    <cfRule type="cellIs" dxfId="369" priority="58" operator="equal">
      <formula>"Christian"</formula>
    </cfRule>
    <cfRule type="cellIs" dxfId="368" priority="59" operator="equal">
      <formula>"Farid"</formula>
    </cfRule>
    <cfRule type="cellIs" dxfId="367" priority="60" stopIfTrue="1" operator="equal">
      <formula>"Alex"</formula>
    </cfRule>
    <cfRule type="cellIs" dxfId="366" priority="61" operator="equal">
      <formula>"Gaby"</formula>
    </cfRule>
    <cfRule type="cellIs" dxfId="365" priority="62" operator="equal">
      <formula>"Randall"</formula>
    </cfRule>
    <cfRule type="cellIs" dxfId="364" priority="63" operator="equal">
      <formula>"Johan"</formula>
    </cfRule>
    <cfRule type="cellIs" dxfId="363" priority="64" operator="equal">
      <formula>"Eva"</formula>
    </cfRule>
    <cfRule type="cellIs" dxfId="362" priority="65" operator="equal">
      <formula>"Ronald"</formula>
    </cfRule>
  </conditionalFormatting>
  <conditionalFormatting sqref="H2:H391">
    <cfRule type="cellIs" dxfId="361" priority="54" stopIfTrue="1" operator="between">
      <formula>20</formula>
      <formula>29</formula>
    </cfRule>
    <cfRule type="cellIs" dxfId="360" priority="55" stopIfTrue="1" operator="greaterThan">
      <formula>29</formula>
    </cfRule>
  </conditionalFormatting>
  <conditionalFormatting sqref="N1:N391">
    <cfRule type="cellIs" dxfId="359" priority="42" operator="equal">
      <formula>"Mare"</formula>
    </cfRule>
    <cfRule type="cellIs" dxfId="358" priority="43" operator="equal">
      <formula>"Axel"</formula>
    </cfRule>
    <cfRule type="cellIs" dxfId="357" priority="44" operator="equal">
      <formula>"Christian"</formula>
    </cfRule>
    <cfRule type="cellIs" dxfId="356" priority="45" operator="equal">
      <formula>"Farid"</formula>
    </cfRule>
    <cfRule type="cellIs" dxfId="355" priority="46" stopIfTrue="1" operator="equal">
      <formula>"Alex"</formula>
    </cfRule>
    <cfRule type="cellIs" dxfId="354" priority="47" operator="equal">
      <formula>"Gaby"</formula>
    </cfRule>
    <cfRule type="cellIs" dxfId="353" priority="48" operator="equal">
      <formula>"Randall"</formula>
    </cfRule>
    <cfRule type="cellIs" dxfId="352" priority="49" operator="equal">
      <formula>"Johan"</formula>
    </cfRule>
    <cfRule type="cellIs" dxfId="351" priority="50" operator="equal">
      <formula>"Eva"</formula>
    </cfRule>
    <cfRule type="cellIs" dxfId="350" priority="51" operator="equal">
      <formula>"Ronald"</formula>
    </cfRule>
  </conditionalFormatting>
  <conditionalFormatting sqref="N1:N391">
    <cfRule type="cellIs" dxfId="349" priority="52" operator="equal">
      <formula>"Insignia, Nexus"</formula>
    </cfRule>
    <cfRule type="cellIs" dxfId="348" priority="53" operator="equal">
      <formula>"Altrua"</formula>
    </cfRule>
  </conditionalFormatting>
  <conditionalFormatting sqref="N2:N391">
    <cfRule type="cellIs" dxfId="347" priority="41" operator="equal">
      <formula>"Subcutaneous ICD"</formula>
    </cfRule>
  </conditionalFormatting>
  <conditionalFormatting sqref="O1:O391">
    <cfRule type="cellIs" dxfId="346" priority="31" operator="equal">
      <formula>"Mare"</formula>
    </cfRule>
    <cfRule type="cellIs" dxfId="345" priority="32" operator="equal">
      <formula>"Axel"</formula>
    </cfRule>
    <cfRule type="cellIs" dxfId="344" priority="33" operator="equal">
      <formula>"Christian"</formula>
    </cfRule>
    <cfRule type="cellIs" dxfId="343" priority="34" operator="equal">
      <formula>"Farid"</formula>
    </cfRule>
    <cfRule type="cellIs" dxfId="342" priority="35" stopIfTrue="1" operator="equal">
      <formula>"Alex"</formula>
    </cfRule>
    <cfRule type="cellIs" dxfId="341" priority="36" operator="equal">
      <formula>"Gaby"</formula>
    </cfRule>
    <cfRule type="cellIs" dxfId="340" priority="37" operator="equal">
      <formula>"Randall"</formula>
    </cfRule>
    <cfRule type="cellIs" dxfId="339" priority="38" operator="equal">
      <formula>"Johan"</formula>
    </cfRule>
    <cfRule type="cellIs" dxfId="338" priority="39" operator="equal">
      <formula>"Eva"</formula>
    </cfRule>
    <cfRule type="cellIs" dxfId="337" priority="40" operator="equal">
      <formula>"Ronald"</formula>
    </cfRule>
  </conditionalFormatting>
  <conditionalFormatting sqref="I1:I391">
    <cfRule type="cellIs" dxfId="336" priority="21" operator="equal">
      <formula>"Mare"</formula>
    </cfRule>
    <cfRule type="cellIs" dxfId="335" priority="22" operator="equal">
      <formula>"Axel"</formula>
    </cfRule>
    <cfRule type="cellIs" dxfId="334" priority="23" operator="equal">
      <formula>"Christian"</formula>
    </cfRule>
    <cfRule type="cellIs" dxfId="333" priority="24" operator="equal">
      <formula>"Farid"</formula>
    </cfRule>
    <cfRule type="cellIs" dxfId="332" priority="25" stopIfTrue="1" operator="equal">
      <formula>"Alex"</formula>
    </cfRule>
    <cfRule type="cellIs" dxfId="331" priority="26" operator="equal">
      <formula>"Gaby"</formula>
    </cfRule>
    <cfRule type="cellIs" dxfId="330" priority="27" operator="equal">
      <formula>"Randall"</formula>
    </cfRule>
    <cfRule type="cellIs" dxfId="329" priority="28" operator="equal">
      <formula>"Johan"</formula>
    </cfRule>
    <cfRule type="cellIs" dxfId="328" priority="29" operator="equal">
      <formula>"Eva"</formula>
    </cfRule>
    <cfRule type="cellIs" dxfId="327" priority="30" operator="equal">
      <formula>"Ronald"</formula>
    </cfRule>
  </conditionalFormatting>
  <conditionalFormatting sqref="M1:M391">
    <cfRule type="cellIs" dxfId="326" priority="11" operator="equal">
      <formula>"Mare"</formula>
    </cfRule>
    <cfRule type="cellIs" dxfId="325" priority="12" operator="equal">
      <formula>"Axel"</formula>
    </cfRule>
    <cfRule type="cellIs" dxfId="324" priority="13" operator="equal">
      <formula>"Christian"</formula>
    </cfRule>
    <cfRule type="cellIs" dxfId="323" priority="14" operator="equal">
      <formula>"Farid"</formula>
    </cfRule>
    <cfRule type="cellIs" dxfId="322" priority="15" stopIfTrue="1" operator="equal">
      <formula>"Alex"</formula>
    </cfRule>
    <cfRule type="cellIs" dxfId="321" priority="16" operator="equal">
      <formula>"Gaby"</formula>
    </cfRule>
    <cfRule type="cellIs" dxfId="320" priority="17" operator="equal">
      <formula>"Randall"</formula>
    </cfRule>
    <cfRule type="cellIs" dxfId="319" priority="18" operator="equal">
      <formula>"Johan"</formula>
    </cfRule>
    <cfRule type="cellIs" dxfId="318" priority="19" operator="equal">
      <formula>"Eva"</formula>
    </cfRule>
    <cfRule type="cellIs" dxfId="317" priority="20" operator="equal">
      <formula>"Ronald"</formula>
    </cfRule>
  </conditionalFormatting>
  <conditionalFormatting sqref="L1">
    <cfRule type="cellIs" dxfId="316" priority="1" operator="equal">
      <formula>"Mare"</formula>
    </cfRule>
    <cfRule type="cellIs" dxfId="315" priority="2" operator="equal">
      <formula>"Axel"</formula>
    </cfRule>
    <cfRule type="cellIs" dxfId="314" priority="3" operator="equal">
      <formula>"Christian"</formula>
    </cfRule>
    <cfRule type="cellIs" dxfId="313" priority="4" operator="equal">
      <formula>"Farid"</formula>
    </cfRule>
    <cfRule type="cellIs" dxfId="312" priority="5" stopIfTrue="1" operator="equal">
      <formula>"Alex"</formula>
    </cfRule>
    <cfRule type="cellIs" dxfId="311" priority="6" operator="equal">
      <formula>"Gaby"</formula>
    </cfRule>
    <cfRule type="cellIs" dxfId="310" priority="7" operator="equal">
      <formula>"Randall"</formula>
    </cfRule>
    <cfRule type="cellIs" dxfId="309" priority="8" operator="equal">
      <formula>"Johan"</formula>
    </cfRule>
    <cfRule type="cellIs" dxfId="308" priority="9" operator="equal">
      <formula>"Eva"</formula>
    </cfRule>
    <cfRule type="cellIs" dxfId="307" priority="10" operator="equal">
      <formula>"Ronald"</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29D81-B36B-441F-9EC2-FC6395B07939}">
  <sheetPr codeName="Sheet7"/>
  <dimension ref="A1:O345"/>
  <sheetViews>
    <sheetView workbookViewId="0">
      <selection activeCell="L1" sqref="L1"/>
    </sheetView>
  </sheetViews>
  <sheetFormatPr defaultRowHeight="15" x14ac:dyDescent="0.25"/>
  <sheetData>
    <row r="1" spans="1:15" ht="15.75" thickBot="1" x14ac:dyDescent="0.3">
      <c r="A1" s="22" t="s">
        <v>2282</v>
      </c>
      <c r="B1" s="23" t="s">
        <v>2287</v>
      </c>
      <c r="C1" s="22" t="s">
        <v>2290</v>
      </c>
      <c r="D1" s="23" t="s">
        <v>2296</v>
      </c>
      <c r="E1" s="23" t="s">
        <v>0</v>
      </c>
      <c r="F1" s="24" t="s">
        <v>2299</v>
      </c>
      <c r="G1" s="25" t="s">
        <v>2302</v>
      </c>
      <c r="H1" s="26" t="s">
        <v>2306</v>
      </c>
      <c r="I1" s="27" t="s">
        <v>2311</v>
      </c>
      <c r="J1" t="s">
        <v>2364</v>
      </c>
      <c r="K1" cm="1">
        <f t="array" aca="1" ref="K1" ca="1">SUMPRODUCT(SUBTOTAL(3,OFFSET(J2,ROW(J2:J10000)-ROW(J2),0)),(J2:J10000="CRM")+0)</f>
        <v>344</v>
      </c>
      <c r="L1" s="1" t="s">
        <v>2455</v>
      </c>
      <c r="M1" s="29" t="s">
        <v>2366</v>
      </c>
      <c r="N1" s="27" t="s">
        <v>2307</v>
      </c>
      <c r="O1" s="28" t="s">
        <v>2309</v>
      </c>
    </row>
    <row r="2" spans="1:15" x14ac:dyDescent="0.25">
      <c r="A2" t="s">
        <v>2285</v>
      </c>
      <c r="B2" s="1" t="e">
        <v>#N/A</v>
      </c>
      <c r="C2" s="1" t="e">
        <v>#N/A</v>
      </c>
      <c r="D2" s="1" t="e">
        <v>#N/A</v>
      </c>
      <c r="E2" s="1" t="s">
        <v>2298</v>
      </c>
      <c r="F2" s="2" t="s">
        <v>2300</v>
      </c>
      <c r="G2" s="1" t="s">
        <v>2303</v>
      </c>
      <c r="H2" s="2">
        <v>164</v>
      </c>
      <c r="I2" s="3" t="s">
        <v>2312</v>
      </c>
      <c r="J2" t="s">
        <v>2365</v>
      </c>
      <c r="M2" s="3" t="s">
        <v>2300</v>
      </c>
      <c r="N2" s="3" t="s">
        <v>2256</v>
      </c>
      <c r="O2" t="s">
        <v>2310</v>
      </c>
    </row>
    <row r="3" spans="1:15" x14ac:dyDescent="0.25">
      <c r="A3" t="s">
        <v>2285</v>
      </c>
      <c r="B3" s="1" t="e">
        <v>#N/A</v>
      </c>
      <c r="C3" s="1" t="e">
        <v>#N/A</v>
      </c>
      <c r="D3" s="1" t="e">
        <v>#N/A</v>
      </c>
      <c r="E3" s="1" t="s">
        <v>2298</v>
      </c>
      <c r="F3" s="2" t="s">
        <v>2300</v>
      </c>
      <c r="G3" s="1" t="s">
        <v>2304</v>
      </c>
      <c r="H3" s="2">
        <v>49</v>
      </c>
      <c r="I3" s="3" t="s">
        <v>2405</v>
      </c>
      <c r="J3" t="s">
        <v>2365</v>
      </c>
      <c r="M3" s="3" t="s">
        <v>2300</v>
      </c>
      <c r="N3" s="3" t="s">
        <v>2255</v>
      </c>
      <c r="O3" t="s">
        <v>2310</v>
      </c>
    </row>
    <row r="4" spans="1:15" x14ac:dyDescent="0.25">
      <c r="A4" t="s">
        <v>2285</v>
      </c>
      <c r="B4" s="1" t="e">
        <v>#N/A</v>
      </c>
      <c r="C4" s="1" t="e">
        <v>#N/A</v>
      </c>
      <c r="D4" s="1" t="e">
        <v>#N/A</v>
      </c>
      <c r="E4" s="1" t="s">
        <v>2298</v>
      </c>
      <c r="F4" s="2" t="s">
        <v>2300</v>
      </c>
      <c r="G4" s="1" t="s">
        <v>2305</v>
      </c>
      <c r="H4" s="2">
        <v>45</v>
      </c>
      <c r="I4" s="3" t="s">
        <v>2320</v>
      </c>
      <c r="J4" t="s">
        <v>2365</v>
      </c>
      <c r="M4" s="3" t="s">
        <v>2300</v>
      </c>
      <c r="N4" s="3" t="s">
        <v>2258</v>
      </c>
      <c r="O4" t="s">
        <v>2310</v>
      </c>
    </row>
    <row r="5" spans="1:15" x14ac:dyDescent="0.25">
      <c r="A5" t="s">
        <v>2285</v>
      </c>
      <c r="B5" s="1" t="e">
        <v>#N/A</v>
      </c>
      <c r="C5" s="1" t="e">
        <v>#N/A</v>
      </c>
      <c r="D5" s="1" t="e">
        <v>#N/A</v>
      </c>
      <c r="E5" s="1" t="s">
        <v>2455</v>
      </c>
      <c r="F5" s="2" t="s">
        <v>2301</v>
      </c>
      <c r="G5" s="1" t="s">
        <v>2305</v>
      </c>
      <c r="H5" s="2">
        <v>43</v>
      </c>
      <c r="I5" s="3" t="s">
        <v>2322</v>
      </c>
      <c r="J5" t="s">
        <v>2365</v>
      </c>
      <c r="M5" s="3" t="s">
        <v>2300</v>
      </c>
      <c r="N5" s="3" t="s">
        <v>2257</v>
      </c>
      <c r="O5" t="s">
        <v>2310</v>
      </c>
    </row>
    <row r="6" spans="1:15" x14ac:dyDescent="0.25">
      <c r="A6" t="s">
        <v>2285</v>
      </c>
      <c r="B6" s="1" t="e">
        <v>#N/A</v>
      </c>
      <c r="C6" s="1" t="e">
        <v>#N/A</v>
      </c>
      <c r="D6" s="1" t="e">
        <v>#N/A</v>
      </c>
      <c r="E6" s="1" t="s">
        <v>2455</v>
      </c>
      <c r="F6" s="2" t="s">
        <v>2301</v>
      </c>
      <c r="G6" s="1" t="s">
        <v>2305</v>
      </c>
      <c r="H6" s="2">
        <v>42</v>
      </c>
      <c r="I6" s="3" t="s">
        <v>2324</v>
      </c>
      <c r="J6" t="s">
        <v>2365</v>
      </c>
      <c r="M6" s="3" t="s">
        <v>2300</v>
      </c>
      <c r="N6" s="3" t="s">
        <v>2258</v>
      </c>
      <c r="O6" t="s">
        <v>2310</v>
      </c>
    </row>
    <row r="7" spans="1:15" x14ac:dyDescent="0.25">
      <c r="A7" t="s">
        <v>2285</v>
      </c>
      <c r="B7" s="1" t="e">
        <v>#N/A</v>
      </c>
      <c r="C7" s="1" t="e">
        <v>#N/A</v>
      </c>
      <c r="D7" s="1" t="e">
        <v>#N/A</v>
      </c>
      <c r="E7" s="1" t="s">
        <v>2298</v>
      </c>
      <c r="F7" s="2" t="s">
        <v>2300</v>
      </c>
      <c r="G7" s="1" t="s">
        <v>2305</v>
      </c>
      <c r="H7" s="2">
        <v>39</v>
      </c>
      <c r="I7" s="3" t="s">
        <v>2325</v>
      </c>
      <c r="J7" t="s">
        <v>2365</v>
      </c>
      <c r="M7" s="3" t="s">
        <v>2300</v>
      </c>
      <c r="N7" s="3" t="s">
        <v>2257</v>
      </c>
      <c r="O7" t="s">
        <v>2310</v>
      </c>
    </row>
    <row r="8" spans="1:15" x14ac:dyDescent="0.25">
      <c r="A8" t="s">
        <v>2285</v>
      </c>
      <c r="B8" s="1" t="e">
        <v>#N/A</v>
      </c>
      <c r="C8" s="1" t="e">
        <v>#N/A</v>
      </c>
      <c r="D8" s="1" t="e">
        <v>#N/A</v>
      </c>
      <c r="E8" s="1" t="s">
        <v>2455</v>
      </c>
      <c r="F8" s="2" t="s">
        <v>2301</v>
      </c>
      <c r="G8" s="1" t="s">
        <v>2305</v>
      </c>
      <c r="H8" s="2">
        <v>37</v>
      </c>
      <c r="I8" s="3" t="s">
        <v>2327</v>
      </c>
      <c r="J8" t="s">
        <v>2365</v>
      </c>
      <c r="M8" s="3" t="s">
        <v>2300</v>
      </c>
      <c r="N8" s="3" t="s">
        <v>2258</v>
      </c>
      <c r="O8" t="s">
        <v>2310</v>
      </c>
    </row>
    <row r="9" spans="1:15" x14ac:dyDescent="0.25">
      <c r="A9" t="s">
        <v>2285</v>
      </c>
      <c r="B9" s="1" t="e">
        <v>#N/A</v>
      </c>
      <c r="C9" s="1" t="e">
        <v>#N/A</v>
      </c>
      <c r="D9" s="1" t="e">
        <v>#N/A</v>
      </c>
      <c r="E9" s="1" t="s">
        <v>2455</v>
      </c>
      <c r="F9" s="2" t="s">
        <v>2301</v>
      </c>
      <c r="G9" s="1" t="s">
        <v>2305</v>
      </c>
      <c r="H9" s="2">
        <v>37</v>
      </c>
      <c r="I9" s="3" t="s">
        <v>2327</v>
      </c>
      <c r="J9" t="s">
        <v>2365</v>
      </c>
      <c r="M9" s="3" t="s">
        <v>2300</v>
      </c>
      <c r="N9" s="3" t="s">
        <v>2258</v>
      </c>
      <c r="O9" t="s">
        <v>2310</v>
      </c>
    </row>
    <row r="10" spans="1:15" x14ac:dyDescent="0.25">
      <c r="A10" t="s">
        <v>2285</v>
      </c>
      <c r="B10" s="1" t="e">
        <v>#N/A</v>
      </c>
      <c r="C10" s="1" t="e">
        <v>#N/A</v>
      </c>
      <c r="D10" s="1" t="e">
        <v>#N/A</v>
      </c>
      <c r="E10" s="1" t="s">
        <v>2455</v>
      </c>
      <c r="F10" s="2" t="s">
        <v>2301</v>
      </c>
      <c r="G10" s="1" t="s">
        <v>2305</v>
      </c>
      <c r="H10" s="2">
        <v>36</v>
      </c>
      <c r="I10" s="3" t="s">
        <v>1</v>
      </c>
      <c r="J10" t="s">
        <v>2365</v>
      </c>
      <c r="M10" s="3" t="s">
        <v>2300</v>
      </c>
      <c r="N10" s="3" t="s">
        <v>2258</v>
      </c>
      <c r="O10" t="s">
        <v>2310</v>
      </c>
    </row>
    <row r="11" spans="1:15" x14ac:dyDescent="0.25">
      <c r="A11" t="s">
        <v>2285</v>
      </c>
      <c r="B11" s="1" t="e">
        <v>#N/A</v>
      </c>
      <c r="C11" s="1" t="e">
        <v>#N/A</v>
      </c>
      <c r="D11" s="1" t="e">
        <v>#N/A</v>
      </c>
      <c r="E11" s="1" t="s">
        <v>2455</v>
      </c>
      <c r="F11" s="2" t="s">
        <v>2301</v>
      </c>
      <c r="G11" s="1" t="s">
        <v>2305</v>
      </c>
      <c r="H11" s="2">
        <v>31</v>
      </c>
      <c r="I11" s="3" t="s">
        <v>2335</v>
      </c>
      <c r="J11" t="s">
        <v>2365</v>
      </c>
      <c r="M11" s="3" t="s">
        <v>2301</v>
      </c>
      <c r="N11" s="3" t="s">
        <v>2258</v>
      </c>
      <c r="O11" t="s">
        <v>2310</v>
      </c>
    </row>
    <row r="12" spans="1:15" x14ac:dyDescent="0.25">
      <c r="A12" t="s">
        <v>2285</v>
      </c>
      <c r="B12" s="1" t="e">
        <v>#N/A</v>
      </c>
      <c r="C12" s="1" t="e">
        <v>#N/A</v>
      </c>
      <c r="D12" s="1" t="e">
        <v>#N/A</v>
      </c>
      <c r="E12" s="1" t="s">
        <v>2455</v>
      </c>
      <c r="F12" s="2" t="s">
        <v>2301</v>
      </c>
      <c r="G12" s="1" t="s">
        <v>2305</v>
      </c>
      <c r="H12" s="2">
        <v>31</v>
      </c>
      <c r="I12" s="3" t="s">
        <v>2315</v>
      </c>
      <c r="J12" t="s">
        <v>2365</v>
      </c>
      <c r="M12" s="3" t="s">
        <v>2300</v>
      </c>
      <c r="N12" s="3" t="s">
        <v>2257</v>
      </c>
      <c r="O12" t="s">
        <v>2310</v>
      </c>
    </row>
    <row r="13" spans="1:15" x14ac:dyDescent="0.25">
      <c r="A13" t="s">
        <v>2285</v>
      </c>
      <c r="B13" s="1" t="e">
        <v>#N/A</v>
      </c>
      <c r="C13" s="1" t="e">
        <v>#N/A</v>
      </c>
      <c r="D13" s="1" t="e">
        <v>#N/A</v>
      </c>
      <c r="E13" s="1" t="s">
        <v>2455</v>
      </c>
      <c r="F13" s="2" t="s">
        <v>2301</v>
      </c>
      <c r="G13" s="1" t="s">
        <v>2305</v>
      </c>
      <c r="H13" s="2">
        <v>30</v>
      </c>
      <c r="I13" s="3" t="s">
        <v>2321</v>
      </c>
      <c r="J13" t="s">
        <v>2365</v>
      </c>
      <c r="M13" s="3" t="s">
        <v>2300</v>
      </c>
      <c r="N13" s="3" t="s">
        <v>2258</v>
      </c>
      <c r="O13" t="s">
        <v>2310</v>
      </c>
    </row>
    <row r="14" spans="1:15" x14ac:dyDescent="0.25">
      <c r="A14" t="s">
        <v>2283</v>
      </c>
      <c r="B14" s="1" t="s">
        <v>2288</v>
      </c>
      <c r="C14" s="1" t="s">
        <v>2291</v>
      </c>
      <c r="D14" s="1" t="e">
        <v>#N/A</v>
      </c>
      <c r="E14" s="1" t="s">
        <v>2298</v>
      </c>
      <c r="F14" s="2" t="s">
        <v>2300</v>
      </c>
      <c r="G14" s="1" t="s">
        <v>2304</v>
      </c>
      <c r="H14" s="2">
        <v>29</v>
      </c>
      <c r="I14" s="3" t="s">
        <v>2340</v>
      </c>
      <c r="J14" t="s">
        <v>2365</v>
      </c>
      <c r="M14" s="3" t="s">
        <v>2300</v>
      </c>
      <c r="N14" s="3" t="s">
        <v>2255</v>
      </c>
      <c r="O14" t="s">
        <v>2310</v>
      </c>
    </row>
    <row r="15" spans="1:15" x14ac:dyDescent="0.25">
      <c r="A15" t="s">
        <v>2286</v>
      </c>
      <c r="B15" s="1" t="e">
        <v>#N/A</v>
      </c>
      <c r="C15" s="1" t="e">
        <v>#N/A</v>
      </c>
      <c r="D15" s="1" t="e">
        <v>#N/A</v>
      </c>
      <c r="E15" s="1" t="s">
        <v>2298</v>
      </c>
      <c r="F15" s="2" t="s">
        <v>2300</v>
      </c>
      <c r="G15" s="1" t="s">
        <v>2303</v>
      </c>
      <c r="H15" s="2">
        <v>28</v>
      </c>
      <c r="I15" s="3" t="s">
        <v>2342</v>
      </c>
      <c r="J15" t="s">
        <v>2365</v>
      </c>
      <c r="M15" s="3" t="s">
        <v>2300</v>
      </c>
      <c r="N15" s="3" t="s">
        <v>2256</v>
      </c>
      <c r="O15" t="s">
        <v>2310</v>
      </c>
    </row>
    <row r="16" spans="1:15" x14ac:dyDescent="0.25">
      <c r="A16" t="s">
        <v>2285</v>
      </c>
      <c r="B16" s="1" t="e">
        <v>#N/A</v>
      </c>
      <c r="C16" s="1" t="e">
        <v>#N/A</v>
      </c>
      <c r="D16" s="1" t="e">
        <v>#N/A</v>
      </c>
      <c r="E16" s="1" t="s">
        <v>2298</v>
      </c>
      <c r="F16" s="2" t="s">
        <v>2300</v>
      </c>
      <c r="G16" s="1" t="s">
        <v>2304</v>
      </c>
      <c r="H16" s="2">
        <v>24</v>
      </c>
      <c r="I16" s="3" t="s">
        <v>60</v>
      </c>
      <c r="J16" t="s">
        <v>2365</v>
      </c>
      <c r="M16" s="3" t="s">
        <v>2300</v>
      </c>
      <c r="N16" s="3" t="s">
        <v>2255</v>
      </c>
      <c r="O16" t="s">
        <v>2310</v>
      </c>
    </row>
    <row r="17" spans="1:15" x14ac:dyDescent="0.25">
      <c r="A17" t="s">
        <v>2285</v>
      </c>
      <c r="B17" s="1" t="e">
        <v>#N/A</v>
      </c>
      <c r="C17" s="1" t="e">
        <v>#N/A</v>
      </c>
      <c r="D17" s="1" t="e">
        <v>#N/A</v>
      </c>
      <c r="E17" s="1" t="s">
        <v>2298</v>
      </c>
      <c r="F17" s="2" t="s">
        <v>2300</v>
      </c>
      <c r="G17" s="1" t="s">
        <v>2303</v>
      </c>
      <c r="H17" s="2">
        <v>24</v>
      </c>
      <c r="I17" s="3" t="s">
        <v>2350</v>
      </c>
      <c r="J17" t="s">
        <v>2365</v>
      </c>
      <c r="M17" s="3" t="s">
        <v>2300</v>
      </c>
      <c r="N17" s="3" t="s">
        <v>2256</v>
      </c>
      <c r="O17" t="s">
        <v>2310</v>
      </c>
    </row>
    <row r="18" spans="1:15" x14ac:dyDescent="0.25">
      <c r="A18" t="s">
        <v>2285</v>
      </c>
      <c r="B18" s="1" t="e">
        <v>#N/A</v>
      </c>
      <c r="C18" s="1" t="e">
        <v>#N/A</v>
      </c>
      <c r="D18" s="1" t="e">
        <v>#N/A</v>
      </c>
      <c r="E18" s="1" t="s">
        <v>2298</v>
      </c>
      <c r="F18" s="2" t="s">
        <v>2300</v>
      </c>
      <c r="G18" s="1" t="s">
        <v>2303</v>
      </c>
      <c r="H18" s="2">
        <v>24</v>
      </c>
      <c r="I18" s="3" t="s">
        <v>60</v>
      </c>
      <c r="J18" t="s">
        <v>2365</v>
      </c>
      <c r="M18" s="3" t="s">
        <v>2300</v>
      </c>
      <c r="N18" s="3" t="s">
        <v>2256</v>
      </c>
      <c r="O18" t="s">
        <v>2310</v>
      </c>
    </row>
    <row r="19" spans="1:15" x14ac:dyDescent="0.25">
      <c r="A19" t="s">
        <v>2285</v>
      </c>
      <c r="B19" s="1" t="e">
        <v>#N/A</v>
      </c>
      <c r="C19" s="1" t="e">
        <v>#N/A</v>
      </c>
      <c r="D19" s="1" t="e">
        <v>#N/A</v>
      </c>
      <c r="E19" s="1" t="s">
        <v>2298</v>
      </c>
      <c r="F19" s="2" t="s">
        <v>2300</v>
      </c>
      <c r="G19" s="1" t="s">
        <v>2303</v>
      </c>
      <c r="H19" s="2">
        <v>23</v>
      </c>
      <c r="I19" s="3" t="s">
        <v>2344</v>
      </c>
      <c r="J19" t="s">
        <v>2365</v>
      </c>
      <c r="M19" s="3" t="s">
        <v>2300</v>
      </c>
      <c r="N19" s="3" t="s">
        <v>2256</v>
      </c>
      <c r="O19" t="s">
        <v>2310</v>
      </c>
    </row>
    <row r="20" spans="1:15" x14ac:dyDescent="0.25">
      <c r="A20" t="s">
        <v>2285</v>
      </c>
      <c r="B20" s="1" t="e">
        <v>#N/A</v>
      </c>
      <c r="C20" s="1" t="e">
        <v>#N/A</v>
      </c>
      <c r="D20" s="1" t="e">
        <v>#N/A</v>
      </c>
      <c r="E20" s="1" t="s">
        <v>2298</v>
      </c>
      <c r="F20" s="2" t="s">
        <v>2300</v>
      </c>
      <c r="G20" s="1" t="s">
        <v>2303</v>
      </c>
      <c r="H20" s="2">
        <v>23</v>
      </c>
      <c r="I20" s="3" t="s">
        <v>2355</v>
      </c>
      <c r="J20" t="s">
        <v>2365</v>
      </c>
      <c r="M20" s="3" t="s">
        <v>2300</v>
      </c>
      <c r="N20" s="3" t="s">
        <v>2256</v>
      </c>
      <c r="O20" t="s">
        <v>2310</v>
      </c>
    </row>
    <row r="21" spans="1:15" x14ac:dyDescent="0.25">
      <c r="A21" t="s">
        <v>2285</v>
      </c>
      <c r="B21" s="1" t="e">
        <v>#N/A</v>
      </c>
      <c r="C21" s="1" t="e">
        <v>#N/A</v>
      </c>
      <c r="D21" s="1" t="e">
        <v>#N/A</v>
      </c>
      <c r="E21" s="1" t="s">
        <v>2298</v>
      </c>
      <c r="F21" s="2" t="s">
        <v>2300</v>
      </c>
      <c r="G21" s="1" t="s">
        <v>2304</v>
      </c>
      <c r="H21" s="2">
        <v>22</v>
      </c>
      <c r="I21" s="3" t="s">
        <v>2359</v>
      </c>
      <c r="J21" t="s">
        <v>2365</v>
      </c>
      <c r="M21" s="3" t="s">
        <v>2300</v>
      </c>
      <c r="N21" s="3" t="s">
        <v>2255</v>
      </c>
      <c r="O21" t="s">
        <v>2310</v>
      </c>
    </row>
    <row r="22" spans="1:15" x14ac:dyDescent="0.25">
      <c r="A22" t="s">
        <v>2285</v>
      </c>
      <c r="B22" s="1" t="e">
        <v>#N/A</v>
      </c>
      <c r="C22" s="1" t="e">
        <v>#N/A</v>
      </c>
      <c r="D22" s="1" t="e">
        <v>#N/A</v>
      </c>
      <c r="E22" s="1" t="s">
        <v>2298</v>
      </c>
      <c r="F22" s="2" t="s">
        <v>2300</v>
      </c>
      <c r="G22" s="1" t="s">
        <v>2304</v>
      </c>
      <c r="H22" s="2">
        <v>18</v>
      </c>
      <c r="I22" s="3" t="s">
        <v>2420</v>
      </c>
      <c r="J22" t="s">
        <v>2365</v>
      </c>
      <c r="M22" s="3" t="s">
        <v>2300</v>
      </c>
      <c r="N22" s="3" t="s">
        <v>2255</v>
      </c>
      <c r="O22" t="s">
        <v>2310</v>
      </c>
    </row>
    <row r="23" spans="1:15" x14ac:dyDescent="0.25">
      <c r="A23" t="s">
        <v>2285</v>
      </c>
      <c r="B23" s="1" t="e">
        <v>#N/A</v>
      </c>
      <c r="C23" s="1" t="e">
        <v>#N/A</v>
      </c>
      <c r="D23" s="1" t="e">
        <v>#N/A</v>
      </c>
      <c r="E23" s="1" t="s">
        <v>2298</v>
      </c>
      <c r="F23" s="2" t="s">
        <v>2300</v>
      </c>
      <c r="G23" s="1" t="s">
        <v>2304</v>
      </c>
      <c r="H23" s="2">
        <v>18</v>
      </c>
      <c r="I23" s="3" t="s">
        <v>2368</v>
      </c>
      <c r="J23" t="s">
        <v>2365</v>
      </c>
      <c r="M23" s="3" t="s">
        <v>2300</v>
      </c>
      <c r="N23" s="3" t="s">
        <v>2255</v>
      </c>
      <c r="O23" t="s">
        <v>2310</v>
      </c>
    </row>
    <row r="24" spans="1:15" x14ac:dyDescent="0.25">
      <c r="A24" t="s">
        <v>2285</v>
      </c>
      <c r="B24" s="1" t="e">
        <v>#N/A</v>
      </c>
      <c r="C24" s="1" t="e">
        <v>#N/A</v>
      </c>
      <c r="D24" s="1" t="e">
        <v>#N/A</v>
      </c>
      <c r="E24" s="1" t="s">
        <v>2298</v>
      </c>
      <c r="F24" s="2" t="s">
        <v>2300</v>
      </c>
      <c r="G24" s="1" t="s">
        <v>2303</v>
      </c>
      <c r="H24" s="2">
        <v>18</v>
      </c>
      <c r="I24" s="3" t="s">
        <v>2345</v>
      </c>
      <c r="J24" t="s">
        <v>2365</v>
      </c>
      <c r="M24" s="3" t="s">
        <v>2300</v>
      </c>
      <c r="N24" s="3" t="s">
        <v>2256</v>
      </c>
      <c r="O24" t="s">
        <v>2310</v>
      </c>
    </row>
    <row r="25" spans="1:15" x14ac:dyDescent="0.25">
      <c r="A25" t="s">
        <v>2283</v>
      </c>
      <c r="B25" s="1" t="s">
        <v>2288</v>
      </c>
      <c r="C25" s="1" t="s">
        <v>2293</v>
      </c>
      <c r="D25" s="1" t="s">
        <v>2407</v>
      </c>
      <c r="E25" s="1" t="s">
        <v>2298</v>
      </c>
      <c r="F25" s="2" t="s">
        <v>2300</v>
      </c>
      <c r="G25" s="1" t="s">
        <v>2304</v>
      </c>
      <c r="H25" s="2">
        <v>18</v>
      </c>
      <c r="I25" s="3" t="s">
        <v>2334</v>
      </c>
      <c r="J25" t="s">
        <v>2365</v>
      </c>
      <c r="M25" s="3" t="s">
        <v>2300</v>
      </c>
      <c r="N25" s="3" t="s">
        <v>2255</v>
      </c>
      <c r="O25" t="s">
        <v>2310</v>
      </c>
    </row>
    <row r="26" spans="1:15" x14ac:dyDescent="0.25">
      <c r="A26" t="s">
        <v>2285</v>
      </c>
      <c r="B26" s="1" t="e">
        <v>#N/A</v>
      </c>
      <c r="C26" s="1" t="e">
        <v>#N/A</v>
      </c>
      <c r="D26" s="1" t="e">
        <v>#N/A</v>
      </c>
      <c r="E26" s="1" t="s">
        <v>2298</v>
      </c>
      <c r="F26" s="2" t="s">
        <v>2300</v>
      </c>
      <c r="G26" s="1" t="s">
        <v>2303</v>
      </c>
      <c r="H26" s="2">
        <v>18</v>
      </c>
      <c r="I26" s="3" t="s">
        <v>23</v>
      </c>
      <c r="J26" t="s">
        <v>2365</v>
      </c>
      <c r="M26" s="3" t="s">
        <v>2300</v>
      </c>
      <c r="N26" s="3" t="s">
        <v>2256</v>
      </c>
      <c r="O26" t="s">
        <v>2310</v>
      </c>
    </row>
    <row r="27" spans="1:15" x14ac:dyDescent="0.25">
      <c r="A27" t="s">
        <v>2285</v>
      </c>
      <c r="B27" s="1" t="e">
        <v>#N/A</v>
      </c>
      <c r="C27" s="1" t="e">
        <v>#N/A</v>
      </c>
      <c r="D27" s="1" t="e">
        <v>#N/A</v>
      </c>
      <c r="E27" s="1" t="s">
        <v>2298</v>
      </c>
      <c r="F27" s="2" t="s">
        <v>2300</v>
      </c>
      <c r="G27" s="1" t="s">
        <v>2304</v>
      </c>
      <c r="H27" s="2">
        <v>18</v>
      </c>
      <c r="I27" s="3" t="s">
        <v>2370</v>
      </c>
      <c r="J27" t="s">
        <v>2365</v>
      </c>
      <c r="M27" s="3" t="s">
        <v>2300</v>
      </c>
      <c r="N27" s="3" t="s">
        <v>2255</v>
      </c>
      <c r="O27" t="s">
        <v>2310</v>
      </c>
    </row>
    <row r="28" spans="1:15" x14ac:dyDescent="0.25">
      <c r="A28" t="s">
        <v>2285</v>
      </c>
      <c r="B28" s="1" t="e">
        <v>#N/A</v>
      </c>
      <c r="C28" s="1" t="e">
        <v>#N/A</v>
      </c>
      <c r="D28" s="1" t="e">
        <v>#N/A</v>
      </c>
      <c r="E28" s="1" t="s">
        <v>2298</v>
      </c>
      <c r="F28" s="2" t="s">
        <v>2300</v>
      </c>
      <c r="G28" s="1" t="s">
        <v>2304</v>
      </c>
      <c r="H28" s="2">
        <v>18</v>
      </c>
      <c r="I28" s="3" t="s">
        <v>22</v>
      </c>
      <c r="J28" t="s">
        <v>2365</v>
      </c>
      <c r="M28" s="3" t="s">
        <v>2300</v>
      </c>
      <c r="N28" s="3" t="s">
        <v>2255</v>
      </c>
      <c r="O28" t="s">
        <v>2310</v>
      </c>
    </row>
    <row r="29" spans="1:15" x14ac:dyDescent="0.25">
      <c r="A29" t="s">
        <v>2285</v>
      </c>
      <c r="B29" s="1" t="e">
        <v>#N/A</v>
      </c>
      <c r="C29" s="1" t="e">
        <v>#N/A</v>
      </c>
      <c r="D29" s="1" t="e">
        <v>#N/A</v>
      </c>
      <c r="E29" s="1" t="s">
        <v>2298</v>
      </c>
      <c r="F29" s="2" t="s">
        <v>2300</v>
      </c>
      <c r="G29" s="1" t="s">
        <v>2304</v>
      </c>
      <c r="H29" s="2">
        <v>18</v>
      </c>
      <c r="I29" s="3" t="s">
        <v>19</v>
      </c>
      <c r="J29" t="s">
        <v>2365</v>
      </c>
      <c r="M29" s="3" t="s">
        <v>2300</v>
      </c>
      <c r="N29" s="3" t="s">
        <v>2255</v>
      </c>
      <c r="O29" t="s">
        <v>2310</v>
      </c>
    </row>
    <row r="30" spans="1:15" x14ac:dyDescent="0.25">
      <c r="A30" t="s">
        <v>2283</v>
      </c>
      <c r="B30" s="1" t="s">
        <v>2289</v>
      </c>
      <c r="C30" s="1" t="s">
        <v>2291</v>
      </c>
      <c r="D30" s="1" t="s">
        <v>2400</v>
      </c>
      <c r="E30" s="1" t="s">
        <v>2298</v>
      </c>
      <c r="F30" s="2" t="s">
        <v>2300</v>
      </c>
      <c r="G30" s="1" t="s">
        <v>2304</v>
      </c>
      <c r="H30" s="2">
        <v>18</v>
      </c>
      <c r="I30" s="3" t="s">
        <v>2314</v>
      </c>
      <c r="J30" t="s">
        <v>2365</v>
      </c>
      <c r="M30" s="3" t="s">
        <v>2300</v>
      </c>
      <c r="N30" s="3" t="s">
        <v>2255</v>
      </c>
      <c r="O30" t="s">
        <v>2310</v>
      </c>
    </row>
    <row r="31" spans="1:15" x14ac:dyDescent="0.25">
      <c r="A31" t="s">
        <v>2285</v>
      </c>
      <c r="B31" s="1" t="e">
        <v>#N/A</v>
      </c>
      <c r="C31" s="1" t="e">
        <v>#N/A</v>
      </c>
      <c r="D31" s="1" t="e">
        <v>#N/A</v>
      </c>
      <c r="E31" s="1" t="s">
        <v>2298</v>
      </c>
      <c r="F31" s="2" t="s">
        <v>2300</v>
      </c>
      <c r="G31" s="1" t="s">
        <v>2305</v>
      </c>
      <c r="H31" s="2">
        <v>18</v>
      </c>
      <c r="I31" s="3" t="s">
        <v>2369</v>
      </c>
      <c r="J31" t="s">
        <v>2365</v>
      </c>
      <c r="M31" s="3" t="s">
        <v>2300</v>
      </c>
      <c r="N31" s="3" t="s">
        <v>2258</v>
      </c>
      <c r="O31" t="s">
        <v>2310</v>
      </c>
    </row>
    <row r="32" spans="1:15" x14ac:dyDescent="0.25">
      <c r="A32" t="s">
        <v>2285</v>
      </c>
      <c r="B32" s="1" t="e">
        <v>#N/A</v>
      </c>
      <c r="C32" s="1" t="e">
        <v>#N/A</v>
      </c>
      <c r="D32" s="1" t="e">
        <v>#N/A</v>
      </c>
      <c r="E32" s="1" t="s">
        <v>2298</v>
      </c>
      <c r="F32" s="2" t="s">
        <v>2300</v>
      </c>
      <c r="G32" s="1" t="s">
        <v>2304</v>
      </c>
      <c r="H32" s="2">
        <v>17</v>
      </c>
      <c r="I32" s="3" t="s">
        <v>22</v>
      </c>
      <c r="J32" t="s">
        <v>2365</v>
      </c>
      <c r="M32" s="3" t="s">
        <v>2300</v>
      </c>
      <c r="N32" s="3" t="s">
        <v>2255</v>
      </c>
      <c r="O32" t="s">
        <v>2310</v>
      </c>
    </row>
    <row r="33" spans="1:15" x14ac:dyDescent="0.25">
      <c r="A33" t="s">
        <v>2285</v>
      </c>
      <c r="B33" s="1" t="e">
        <v>#N/A</v>
      </c>
      <c r="C33" s="1" t="e">
        <v>#N/A</v>
      </c>
      <c r="D33" s="1" t="e">
        <v>#N/A</v>
      </c>
      <c r="E33" s="1" t="s">
        <v>2298</v>
      </c>
      <c r="F33" s="2" t="s">
        <v>2300</v>
      </c>
      <c r="G33" s="1" t="s">
        <v>2304</v>
      </c>
      <c r="H33" s="2">
        <v>17</v>
      </c>
      <c r="I33" s="3" t="s">
        <v>21</v>
      </c>
      <c r="J33" t="s">
        <v>2365</v>
      </c>
      <c r="M33" s="3" t="s">
        <v>2300</v>
      </c>
      <c r="N33" s="3" t="s">
        <v>2255</v>
      </c>
      <c r="O33" t="s">
        <v>2310</v>
      </c>
    </row>
    <row r="34" spans="1:15" x14ac:dyDescent="0.25">
      <c r="A34" t="s">
        <v>2285</v>
      </c>
      <c r="B34" s="1" t="e">
        <v>#N/A</v>
      </c>
      <c r="C34" s="1" t="e">
        <v>#N/A</v>
      </c>
      <c r="D34" s="1" t="e">
        <v>#N/A</v>
      </c>
      <c r="E34" s="1" t="s">
        <v>2298</v>
      </c>
      <c r="F34" s="2" t="s">
        <v>2300</v>
      </c>
      <c r="G34" s="1" t="s">
        <v>2304</v>
      </c>
      <c r="H34" s="2">
        <v>17</v>
      </c>
      <c r="I34" s="3" t="s">
        <v>2380</v>
      </c>
      <c r="J34" t="s">
        <v>2365</v>
      </c>
      <c r="M34" s="3" t="s">
        <v>2300</v>
      </c>
      <c r="N34" s="3" t="s">
        <v>2255</v>
      </c>
      <c r="O34" t="s">
        <v>2310</v>
      </c>
    </row>
    <row r="35" spans="1:15" x14ac:dyDescent="0.25">
      <c r="A35" t="s">
        <v>2285</v>
      </c>
      <c r="B35" s="1" t="e">
        <v>#N/A</v>
      </c>
      <c r="C35" s="1" t="e">
        <v>#N/A</v>
      </c>
      <c r="D35" s="1" t="e">
        <v>#N/A</v>
      </c>
      <c r="E35" s="1" t="s">
        <v>2455</v>
      </c>
      <c r="F35" s="2" t="s">
        <v>2300</v>
      </c>
      <c r="G35" s="1" t="s">
        <v>2304</v>
      </c>
      <c r="H35" s="2">
        <v>17</v>
      </c>
      <c r="I35" s="3" t="s">
        <v>2381</v>
      </c>
      <c r="J35" t="s">
        <v>2365</v>
      </c>
      <c r="M35" s="3" t="s">
        <v>2301</v>
      </c>
      <c r="N35" s="3" t="s">
        <v>2255</v>
      </c>
      <c r="O35" t="s">
        <v>2310</v>
      </c>
    </row>
    <row r="36" spans="1:15" x14ac:dyDescent="0.25">
      <c r="A36" t="s">
        <v>2285</v>
      </c>
      <c r="B36" s="1" t="e">
        <v>#N/A</v>
      </c>
      <c r="C36" s="1" t="e">
        <v>#N/A</v>
      </c>
      <c r="D36" s="1" t="e">
        <v>#N/A</v>
      </c>
      <c r="E36" s="1" t="s">
        <v>2455</v>
      </c>
      <c r="F36" s="2" t="s">
        <v>2300</v>
      </c>
      <c r="G36" s="1" t="s">
        <v>2304</v>
      </c>
      <c r="H36" s="2">
        <v>17</v>
      </c>
      <c r="I36" s="3" t="s">
        <v>2333</v>
      </c>
      <c r="J36" t="s">
        <v>2365</v>
      </c>
      <c r="M36" s="3" t="s">
        <v>2301</v>
      </c>
      <c r="N36" s="3" t="s">
        <v>2255</v>
      </c>
      <c r="O36" t="s">
        <v>2310</v>
      </c>
    </row>
    <row r="37" spans="1:15" x14ac:dyDescent="0.25">
      <c r="A37" t="s">
        <v>2285</v>
      </c>
      <c r="B37" s="1" t="s">
        <v>2288</v>
      </c>
      <c r="C37" s="1" t="s">
        <v>2291</v>
      </c>
      <c r="D37" s="1" t="s">
        <v>2438</v>
      </c>
      <c r="E37" s="1" t="s">
        <v>2455</v>
      </c>
      <c r="F37" s="2" t="s">
        <v>2301</v>
      </c>
      <c r="G37" s="1" t="s">
        <v>2304</v>
      </c>
      <c r="H37" s="2">
        <v>17</v>
      </c>
      <c r="I37" s="3" t="s">
        <v>2321</v>
      </c>
      <c r="J37" t="s">
        <v>2365</v>
      </c>
      <c r="M37" s="3" t="s">
        <v>2300</v>
      </c>
      <c r="N37" s="3" t="s">
        <v>2255</v>
      </c>
      <c r="O37" t="s">
        <v>2310</v>
      </c>
    </row>
    <row r="38" spans="1:15" x14ac:dyDescent="0.25">
      <c r="A38" t="s">
        <v>2285</v>
      </c>
      <c r="B38" s="1" t="e">
        <v>#N/A</v>
      </c>
      <c r="C38" s="1" t="e">
        <v>#N/A</v>
      </c>
      <c r="D38" s="1" t="e">
        <v>#N/A</v>
      </c>
      <c r="E38" s="1" t="s">
        <v>2455</v>
      </c>
      <c r="F38" s="2" t="s">
        <v>2300</v>
      </c>
      <c r="G38" s="1" t="s">
        <v>2304</v>
      </c>
      <c r="H38" s="2">
        <v>17</v>
      </c>
      <c r="I38" s="3" t="s">
        <v>2317</v>
      </c>
      <c r="J38" t="s">
        <v>2365</v>
      </c>
      <c r="M38" s="3" t="s">
        <v>2301</v>
      </c>
      <c r="N38" s="3" t="s">
        <v>2255</v>
      </c>
      <c r="O38" t="s">
        <v>2310</v>
      </c>
    </row>
    <row r="39" spans="1:15" x14ac:dyDescent="0.25">
      <c r="A39" t="s">
        <v>2285</v>
      </c>
      <c r="B39" s="1" t="e">
        <v>#N/A</v>
      </c>
      <c r="C39" s="1" t="e">
        <v>#N/A</v>
      </c>
      <c r="D39" s="1" t="e">
        <v>#N/A</v>
      </c>
      <c r="E39" s="1" t="s">
        <v>2455</v>
      </c>
      <c r="F39" s="2" t="s">
        <v>2301</v>
      </c>
      <c r="G39" s="1" t="s">
        <v>2305</v>
      </c>
      <c r="H39" s="2">
        <v>17</v>
      </c>
      <c r="I39" s="3" t="s">
        <v>1</v>
      </c>
      <c r="J39" t="s">
        <v>2365</v>
      </c>
      <c r="M39" s="3" t="s">
        <v>2300</v>
      </c>
      <c r="N39" s="3" t="s">
        <v>2257</v>
      </c>
      <c r="O39" t="s">
        <v>2310</v>
      </c>
    </row>
    <row r="40" spans="1:15" x14ac:dyDescent="0.25">
      <c r="A40" t="s">
        <v>2285</v>
      </c>
      <c r="B40" s="1" t="e">
        <v>#N/A</v>
      </c>
      <c r="C40" s="1" t="e">
        <v>#N/A</v>
      </c>
      <c r="D40" s="1" t="e">
        <v>#N/A</v>
      </c>
      <c r="E40" s="1" t="s">
        <v>2298</v>
      </c>
      <c r="F40" s="2" t="s">
        <v>2300</v>
      </c>
      <c r="G40" s="1" t="s">
        <v>2304</v>
      </c>
      <c r="H40" s="2">
        <v>16</v>
      </c>
      <c r="I40" s="3" t="s">
        <v>2387</v>
      </c>
      <c r="J40" t="s">
        <v>2365</v>
      </c>
      <c r="M40" s="3" t="s">
        <v>2301</v>
      </c>
      <c r="N40" s="3" t="s">
        <v>2255</v>
      </c>
      <c r="O40" t="s">
        <v>2310</v>
      </c>
    </row>
    <row r="41" spans="1:15" x14ac:dyDescent="0.25">
      <c r="A41" t="s">
        <v>2283</v>
      </c>
      <c r="B41" s="1" t="s">
        <v>2288</v>
      </c>
      <c r="C41" s="1" t="s">
        <v>2293</v>
      </c>
      <c r="D41" s="1" t="s">
        <v>2426</v>
      </c>
      <c r="E41" s="1" t="s">
        <v>2298</v>
      </c>
      <c r="F41" s="2" t="s">
        <v>2300</v>
      </c>
      <c r="G41" s="1" t="s">
        <v>2304</v>
      </c>
      <c r="H41" s="2">
        <v>16</v>
      </c>
      <c r="I41" s="3" t="s">
        <v>2316</v>
      </c>
      <c r="J41" t="s">
        <v>2365</v>
      </c>
      <c r="M41" s="3" t="s">
        <v>2300</v>
      </c>
      <c r="N41" s="3" t="s">
        <v>2255</v>
      </c>
      <c r="O41" t="s">
        <v>2310</v>
      </c>
    </row>
    <row r="42" spans="1:15" x14ac:dyDescent="0.25">
      <c r="A42" t="s">
        <v>2283</v>
      </c>
      <c r="B42" s="1" t="s">
        <v>2288</v>
      </c>
      <c r="C42" s="1" t="s">
        <v>2293</v>
      </c>
      <c r="D42" s="1" t="s">
        <v>2426</v>
      </c>
      <c r="E42" s="1" t="s">
        <v>2298</v>
      </c>
      <c r="F42" s="2" t="s">
        <v>2300</v>
      </c>
      <c r="G42" s="1" t="s">
        <v>2304</v>
      </c>
      <c r="H42" s="2">
        <v>16</v>
      </c>
      <c r="I42" s="3" t="s">
        <v>2328</v>
      </c>
      <c r="J42" t="s">
        <v>2365</v>
      </c>
      <c r="M42" s="3" t="s">
        <v>2300</v>
      </c>
      <c r="N42" s="3" t="s">
        <v>2255</v>
      </c>
      <c r="O42" t="s">
        <v>2310</v>
      </c>
    </row>
    <row r="43" spans="1:15" x14ac:dyDescent="0.25">
      <c r="A43" t="s">
        <v>2285</v>
      </c>
      <c r="B43" s="1" t="e">
        <v>#N/A</v>
      </c>
      <c r="C43" s="1" t="e">
        <v>#N/A</v>
      </c>
      <c r="D43" s="1" t="e">
        <v>#N/A</v>
      </c>
      <c r="E43" s="1" t="s">
        <v>2298</v>
      </c>
      <c r="F43" s="2" t="s">
        <v>2300</v>
      </c>
      <c r="G43" s="1" t="s">
        <v>2304</v>
      </c>
      <c r="H43" s="2">
        <v>16</v>
      </c>
      <c r="I43" s="3" t="s">
        <v>21</v>
      </c>
      <c r="J43" t="s">
        <v>2365</v>
      </c>
      <c r="M43" s="3" t="s">
        <v>2300</v>
      </c>
      <c r="N43" s="3" t="s">
        <v>2255</v>
      </c>
      <c r="O43" t="s">
        <v>2310</v>
      </c>
    </row>
    <row r="44" spans="1:15" x14ac:dyDescent="0.25">
      <c r="A44" t="s">
        <v>2285</v>
      </c>
      <c r="B44" s="1" t="e">
        <v>#N/A</v>
      </c>
      <c r="C44" s="1" t="e">
        <v>#N/A</v>
      </c>
      <c r="D44" s="1" t="e">
        <v>#N/A</v>
      </c>
      <c r="E44" s="1" t="s">
        <v>2298</v>
      </c>
      <c r="F44" s="2" t="s">
        <v>2300</v>
      </c>
      <c r="G44" s="1" t="s">
        <v>2305</v>
      </c>
      <c r="H44" s="2">
        <v>16</v>
      </c>
      <c r="I44" s="3" t="s">
        <v>2389</v>
      </c>
      <c r="J44" t="s">
        <v>2365</v>
      </c>
      <c r="M44" s="3" t="s">
        <v>2300</v>
      </c>
      <c r="N44" s="3" t="s">
        <v>2258</v>
      </c>
      <c r="O44" t="s">
        <v>2310</v>
      </c>
    </row>
    <row r="45" spans="1:15" x14ac:dyDescent="0.25">
      <c r="A45" t="s">
        <v>2285</v>
      </c>
      <c r="B45" s="1" t="e">
        <v>#N/A</v>
      </c>
      <c r="C45" s="1" t="e">
        <v>#N/A</v>
      </c>
      <c r="D45" s="1" t="e">
        <v>#N/A</v>
      </c>
      <c r="E45" s="1" t="s">
        <v>2298</v>
      </c>
      <c r="F45" s="2" t="s">
        <v>2300</v>
      </c>
      <c r="G45" s="1" t="s">
        <v>2304</v>
      </c>
      <c r="H45" s="2">
        <v>16</v>
      </c>
      <c r="I45" s="3" t="s">
        <v>19</v>
      </c>
      <c r="J45" t="s">
        <v>2365</v>
      </c>
      <c r="M45" s="3" t="s">
        <v>2300</v>
      </c>
      <c r="N45" s="3" t="s">
        <v>2255</v>
      </c>
      <c r="O45" t="s">
        <v>2310</v>
      </c>
    </row>
    <row r="46" spans="1:15" x14ac:dyDescent="0.25">
      <c r="A46" t="s">
        <v>2285</v>
      </c>
      <c r="B46" s="1" t="e">
        <v>#N/A</v>
      </c>
      <c r="C46" s="1" t="e">
        <v>#N/A</v>
      </c>
      <c r="D46" s="1" t="e">
        <v>#N/A</v>
      </c>
      <c r="E46" s="1" t="s">
        <v>2298</v>
      </c>
      <c r="F46" s="2" t="s">
        <v>2300</v>
      </c>
      <c r="G46" s="1" t="s">
        <v>2304</v>
      </c>
      <c r="H46" s="2">
        <v>16</v>
      </c>
      <c r="I46" s="3" t="s">
        <v>22</v>
      </c>
      <c r="J46" t="s">
        <v>2365</v>
      </c>
      <c r="M46" s="3" t="s">
        <v>2300</v>
      </c>
      <c r="N46" s="3" t="s">
        <v>2255</v>
      </c>
      <c r="O46" t="s">
        <v>2310</v>
      </c>
    </row>
    <row r="47" spans="1:15" x14ac:dyDescent="0.25">
      <c r="A47" t="s">
        <v>2285</v>
      </c>
      <c r="B47" s="1" t="e">
        <v>#N/A</v>
      </c>
      <c r="C47" s="1" t="e">
        <v>#N/A</v>
      </c>
      <c r="D47" s="1" t="e">
        <v>#N/A</v>
      </c>
      <c r="E47" s="1" t="s">
        <v>2298</v>
      </c>
      <c r="F47" s="2" t="s">
        <v>2300</v>
      </c>
      <c r="G47" s="1" t="s">
        <v>2304</v>
      </c>
      <c r="H47" s="2">
        <v>16</v>
      </c>
      <c r="I47" s="3" t="s">
        <v>29</v>
      </c>
      <c r="J47" t="s">
        <v>2365</v>
      </c>
      <c r="M47" s="3" t="s">
        <v>2300</v>
      </c>
      <c r="N47" s="3" t="s">
        <v>2255</v>
      </c>
      <c r="O47" t="s">
        <v>2310</v>
      </c>
    </row>
    <row r="48" spans="1:15" x14ac:dyDescent="0.25">
      <c r="A48" t="s">
        <v>2285</v>
      </c>
      <c r="B48" s="1" t="e">
        <v>#N/A</v>
      </c>
      <c r="C48" s="1" t="e">
        <v>#N/A</v>
      </c>
      <c r="D48" s="1" t="e">
        <v>#N/A</v>
      </c>
      <c r="E48" s="1" t="s">
        <v>2298</v>
      </c>
      <c r="F48" s="2" t="s">
        <v>2300</v>
      </c>
      <c r="G48" s="1" t="s">
        <v>2304</v>
      </c>
      <c r="H48" s="2">
        <v>16</v>
      </c>
      <c r="I48" s="3" t="s">
        <v>2388</v>
      </c>
      <c r="J48" t="s">
        <v>2365</v>
      </c>
      <c r="M48" s="3" t="s">
        <v>2300</v>
      </c>
      <c r="N48" s="3" t="s">
        <v>2255</v>
      </c>
      <c r="O48" t="s">
        <v>2310</v>
      </c>
    </row>
    <row r="49" spans="1:15" x14ac:dyDescent="0.25">
      <c r="A49" t="s">
        <v>2283</v>
      </c>
      <c r="B49" s="1" t="s">
        <v>2288</v>
      </c>
      <c r="C49" s="1" t="s">
        <v>2293</v>
      </c>
      <c r="D49" s="1" t="s">
        <v>2426</v>
      </c>
      <c r="E49" s="1" t="s">
        <v>2298</v>
      </c>
      <c r="F49" s="2" t="s">
        <v>2300</v>
      </c>
      <c r="G49" s="1" t="s">
        <v>2304</v>
      </c>
      <c r="H49" s="2">
        <v>16</v>
      </c>
      <c r="I49" s="3" t="s">
        <v>2392</v>
      </c>
      <c r="J49" t="s">
        <v>2365</v>
      </c>
      <c r="M49" s="3" t="s">
        <v>2300</v>
      </c>
      <c r="N49" s="3" t="s">
        <v>2255</v>
      </c>
      <c r="O49" t="s">
        <v>2310</v>
      </c>
    </row>
    <row r="50" spans="1:15" x14ac:dyDescent="0.25">
      <c r="A50" t="s">
        <v>2285</v>
      </c>
      <c r="B50" s="1" t="e">
        <v>#N/A</v>
      </c>
      <c r="C50" s="1" t="e">
        <v>#N/A</v>
      </c>
      <c r="D50" s="1" t="e">
        <v>#N/A</v>
      </c>
      <c r="E50" s="1" t="s">
        <v>2298</v>
      </c>
      <c r="F50" s="2" t="s">
        <v>2300</v>
      </c>
      <c r="G50" s="1" t="s">
        <v>2304</v>
      </c>
      <c r="H50" s="2">
        <v>16</v>
      </c>
      <c r="I50" s="3" t="s">
        <v>2330</v>
      </c>
      <c r="J50" t="s">
        <v>2365</v>
      </c>
      <c r="M50" s="3" t="s">
        <v>2300</v>
      </c>
      <c r="N50" s="3" t="s">
        <v>2255</v>
      </c>
      <c r="O50" t="s">
        <v>2310</v>
      </c>
    </row>
    <row r="51" spans="1:15" x14ac:dyDescent="0.25">
      <c r="A51" t="s">
        <v>2285</v>
      </c>
      <c r="B51" s="1" t="e">
        <v>#N/A</v>
      </c>
      <c r="C51" s="1" t="e">
        <v>#N/A</v>
      </c>
      <c r="D51" s="1" t="e">
        <v>#N/A</v>
      </c>
      <c r="E51" s="1" t="s">
        <v>2455</v>
      </c>
      <c r="F51" s="2" t="s">
        <v>2300</v>
      </c>
      <c r="G51" s="1" t="s">
        <v>2304</v>
      </c>
      <c r="H51" s="2">
        <v>16</v>
      </c>
      <c r="I51" s="3" t="s">
        <v>9</v>
      </c>
      <c r="J51" t="s">
        <v>2365</v>
      </c>
      <c r="M51" s="3" t="s">
        <v>2301</v>
      </c>
      <c r="N51" s="3" t="s">
        <v>2255</v>
      </c>
      <c r="O51" t="s">
        <v>2310</v>
      </c>
    </row>
    <row r="52" spans="1:15" x14ac:dyDescent="0.25">
      <c r="A52" t="s">
        <v>2285</v>
      </c>
      <c r="B52" s="1" t="e">
        <v>#N/A</v>
      </c>
      <c r="C52" s="1" t="e">
        <v>#N/A</v>
      </c>
      <c r="D52" s="1" t="e">
        <v>#N/A</v>
      </c>
      <c r="E52" s="1" t="s">
        <v>2455</v>
      </c>
      <c r="F52" s="2" t="s">
        <v>2300</v>
      </c>
      <c r="G52" s="1" t="s">
        <v>2304</v>
      </c>
      <c r="H52" s="2">
        <v>16</v>
      </c>
      <c r="I52" s="3" t="s">
        <v>2317</v>
      </c>
      <c r="J52" t="s">
        <v>2365</v>
      </c>
      <c r="M52" s="3" t="s">
        <v>2301</v>
      </c>
      <c r="N52" s="3" t="s">
        <v>2255</v>
      </c>
      <c r="O52" t="s">
        <v>2310</v>
      </c>
    </row>
    <row r="53" spans="1:15" x14ac:dyDescent="0.25">
      <c r="A53" t="s">
        <v>2285</v>
      </c>
      <c r="B53" s="1" t="e">
        <v>#N/A</v>
      </c>
      <c r="C53" s="1" t="e">
        <v>#N/A</v>
      </c>
      <c r="D53" s="1" t="e">
        <v>#N/A</v>
      </c>
      <c r="E53" s="1" t="s">
        <v>2455</v>
      </c>
      <c r="F53" s="2" t="s">
        <v>2300</v>
      </c>
      <c r="G53" s="1" t="s">
        <v>2304</v>
      </c>
      <c r="H53" s="2">
        <v>16</v>
      </c>
      <c r="I53" s="3" t="s">
        <v>2390</v>
      </c>
      <c r="J53" t="s">
        <v>2365</v>
      </c>
      <c r="M53" s="3" t="s">
        <v>2301</v>
      </c>
      <c r="N53" s="3" t="s">
        <v>2255</v>
      </c>
      <c r="O53" t="s">
        <v>2310</v>
      </c>
    </row>
    <row r="54" spans="1:15" x14ac:dyDescent="0.25">
      <c r="A54" t="s">
        <v>2285</v>
      </c>
      <c r="B54" s="1" t="e">
        <v>#N/A</v>
      </c>
      <c r="C54" s="1" t="e">
        <v>#N/A</v>
      </c>
      <c r="D54" s="1" t="e">
        <v>#N/A</v>
      </c>
      <c r="E54" s="1" t="s">
        <v>2455</v>
      </c>
      <c r="F54" s="2" t="s">
        <v>2300</v>
      </c>
      <c r="G54" s="1" t="s">
        <v>2304</v>
      </c>
      <c r="H54" s="2">
        <v>16</v>
      </c>
      <c r="I54" s="3" t="s">
        <v>2313</v>
      </c>
      <c r="J54" t="s">
        <v>2365</v>
      </c>
      <c r="M54" s="3" t="s">
        <v>2301</v>
      </c>
      <c r="N54" s="3" t="s">
        <v>2255</v>
      </c>
      <c r="O54" t="s">
        <v>2310</v>
      </c>
    </row>
    <row r="55" spans="1:15" x14ac:dyDescent="0.25">
      <c r="A55" t="s">
        <v>2285</v>
      </c>
      <c r="B55" s="1" t="e">
        <v>#N/A</v>
      </c>
      <c r="C55" s="1" t="e">
        <v>#N/A</v>
      </c>
      <c r="D55" s="1" t="e">
        <v>#N/A</v>
      </c>
      <c r="E55" s="1" t="s">
        <v>2455</v>
      </c>
      <c r="F55" s="2" t="s">
        <v>2300</v>
      </c>
      <c r="G55" s="1" t="s">
        <v>2304</v>
      </c>
      <c r="H55" s="2">
        <v>16</v>
      </c>
      <c r="I55" s="3" t="s">
        <v>6</v>
      </c>
      <c r="J55" t="s">
        <v>2365</v>
      </c>
      <c r="M55" s="3" t="s">
        <v>2301</v>
      </c>
      <c r="N55" s="3" t="s">
        <v>2255</v>
      </c>
      <c r="O55" t="s">
        <v>2310</v>
      </c>
    </row>
    <row r="56" spans="1:15" x14ac:dyDescent="0.25">
      <c r="A56" t="s">
        <v>2285</v>
      </c>
      <c r="B56" s="1" t="e">
        <v>#N/A</v>
      </c>
      <c r="C56" s="1" t="e">
        <v>#N/A</v>
      </c>
      <c r="D56" s="1" t="e">
        <v>#N/A</v>
      </c>
      <c r="E56" s="1" t="s">
        <v>2455</v>
      </c>
      <c r="F56" s="2" t="s">
        <v>2300</v>
      </c>
      <c r="G56" s="1" t="s">
        <v>2304</v>
      </c>
      <c r="H56" s="2">
        <v>16</v>
      </c>
      <c r="I56" s="3" t="s">
        <v>2317</v>
      </c>
      <c r="J56" t="s">
        <v>2365</v>
      </c>
      <c r="M56" s="3" t="s">
        <v>2301</v>
      </c>
      <c r="N56" s="3" t="s">
        <v>2255</v>
      </c>
      <c r="O56" t="s">
        <v>2310</v>
      </c>
    </row>
    <row r="57" spans="1:15" x14ac:dyDescent="0.25">
      <c r="A57" t="s">
        <v>2285</v>
      </c>
      <c r="B57" s="1" t="e">
        <v>#N/A</v>
      </c>
      <c r="C57" s="1" t="e">
        <v>#N/A</v>
      </c>
      <c r="D57" s="1" t="e">
        <v>#N/A</v>
      </c>
      <c r="E57" s="1" t="s">
        <v>2455</v>
      </c>
      <c r="F57" s="2" t="s">
        <v>2300</v>
      </c>
      <c r="G57" s="1" t="s">
        <v>2305</v>
      </c>
      <c r="H57" s="2">
        <v>16</v>
      </c>
      <c r="I57" s="3" t="s">
        <v>2390</v>
      </c>
      <c r="J57" t="s">
        <v>2365</v>
      </c>
      <c r="M57" s="3" t="s">
        <v>2301</v>
      </c>
      <c r="N57" s="3" t="s">
        <v>2257</v>
      </c>
      <c r="O57" t="s">
        <v>2310</v>
      </c>
    </row>
    <row r="58" spans="1:15" x14ac:dyDescent="0.25">
      <c r="A58" t="s">
        <v>2283</v>
      </c>
      <c r="B58" s="1" t="s">
        <v>2288</v>
      </c>
      <c r="C58" s="1" t="s">
        <v>2293</v>
      </c>
      <c r="D58" s="1" t="s">
        <v>2431</v>
      </c>
      <c r="E58" s="1" t="s">
        <v>2298</v>
      </c>
      <c r="F58" s="2" t="s">
        <v>2300</v>
      </c>
      <c r="G58" s="1" t="s">
        <v>2304</v>
      </c>
      <c r="H58" s="2">
        <v>15</v>
      </c>
      <c r="I58" s="3" t="s">
        <v>2316</v>
      </c>
      <c r="J58" t="s">
        <v>2365</v>
      </c>
      <c r="M58" s="3" t="s">
        <v>2300</v>
      </c>
      <c r="N58" s="3" t="s">
        <v>2255</v>
      </c>
      <c r="O58" t="s">
        <v>2310</v>
      </c>
    </row>
    <row r="59" spans="1:15" x14ac:dyDescent="0.25">
      <c r="A59" t="s">
        <v>2285</v>
      </c>
      <c r="B59" s="1" t="e">
        <v>#N/A</v>
      </c>
      <c r="C59" s="1" t="e">
        <v>#N/A</v>
      </c>
      <c r="D59" s="1" t="e">
        <v>#N/A</v>
      </c>
      <c r="E59" s="1" t="s">
        <v>2298</v>
      </c>
      <c r="F59" s="2" t="s">
        <v>2300</v>
      </c>
      <c r="G59" s="1" t="s">
        <v>2304</v>
      </c>
      <c r="H59" s="2">
        <v>15</v>
      </c>
      <c r="I59" s="3" t="s">
        <v>2409</v>
      </c>
      <c r="J59" t="s">
        <v>2365</v>
      </c>
      <c r="M59" s="3" t="s">
        <v>2300</v>
      </c>
      <c r="N59" s="3" t="s">
        <v>2255</v>
      </c>
      <c r="O59" t="s">
        <v>2310</v>
      </c>
    </row>
    <row r="60" spans="1:15" x14ac:dyDescent="0.25">
      <c r="A60" t="s">
        <v>2285</v>
      </c>
      <c r="B60" s="1" t="e">
        <v>#N/A</v>
      </c>
      <c r="C60" s="1" t="e">
        <v>#N/A</v>
      </c>
      <c r="D60" s="1" t="e">
        <v>#N/A</v>
      </c>
      <c r="E60" s="1" t="s">
        <v>2298</v>
      </c>
      <c r="F60" s="2" t="s">
        <v>2300</v>
      </c>
      <c r="G60" s="1" t="s">
        <v>2304</v>
      </c>
      <c r="H60" s="2">
        <v>15</v>
      </c>
      <c r="I60" s="3" t="s">
        <v>22</v>
      </c>
      <c r="J60" t="s">
        <v>2365</v>
      </c>
      <c r="M60" s="3" t="s">
        <v>2300</v>
      </c>
      <c r="N60" s="3" t="s">
        <v>2255</v>
      </c>
      <c r="O60" t="s">
        <v>2310</v>
      </c>
    </row>
    <row r="61" spans="1:15" x14ac:dyDescent="0.25">
      <c r="A61" t="s">
        <v>2283</v>
      </c>
      <c r="B61" s="1" t="s">
        <v>2289</v>
      </c>
      <c r="C61" s="1" t="s">
        <v>2379</v>
      </c>
      <c r="D61" s="1" t="s">
        <v>2447</v>
      </c>
      <c r="E61" s="1" t="s">
        <v>2298</v>
      </c>
      <c r="F61" s="2" t="s">
        <v>2300</v>
      </c>
      <c r="G61" s="1" t="s">
        <v>2304</v>
      </c>
      <c r="H61" s="2">
        <v>15</v>
      </c>
      <c r="I61" s="3" t="s">
        <v>11</v>
      </c>
      <c r="J61" t="s">
        <v>2365</v>
      </c>
      <c r="M61" s="3" t="s">
        <v>2300</v>
      </c>
      <c r="N61" s="3" t="s">
        <v>2255</v>
      </c>
      <c r="O61" t="s">
        <v>2310</v>
      </c>
    </row>
    <row r="62" spans="1:15" x14ac:dyDescent="0.25">
      <c r="A62" t="s">
        <v>2285</v>
      </c>
      <c r="B62" s="1" t="e">
        <v>#N/A</v>
      </c>
      <c r="C62" s="1" t="e">
        <v>#N/A</v>
      </c>
      <c r="D62" s="1" t="e">
        <v>#N/A</v>
      </c>
      <c r="E62" s="1" t="s">
        <v>2455</v>
      </c>
      <c r="F62" s="2" t="s">
        <v>2301</v>
      </c>
      <c r="G62" s="1" t="s">
        <v>2304</v>
      </c>
      <c r="H62" s="2">
        <v>15</v>
      </c>
      <c r="I62" s="3" t="s">
        <v>2321</v>
      </c>
      <c r="J62" t="s">
        <v>2365</v>
      </c>
      <c r="M62" s="3" t="s">
        <v>2300</v>
      </c>
      <c r="N62" s="3" t="s">
        <v>2255</v>
      </c>
      <c r="O62" t="s">
        <v>2310</v>
      </c>
    </row>
    <row r="63" spans="1:15" x14ac:dyDescent="0.25">
      <c r="A63" t="s">
        <v>2285</v>
      </c>
      <c r="B63" s="1" t="e">
        <v>#N/A</v>
      </c>
      <c r="C63" s="1" t="e">
        <v>#N/A</v>
      </c>
      <c r="D63" s="1" t="e">
        <v>#N/A</v>
      </c>
      <c r="E63" s="1" t="s">
        <v>2455</v>
      </c>
      <c r="F63" s="2" t="s">
        <v>2301</v>
      </c>
      <c r="G63" s="1" t="s">
        <v>2304</v>
      </c>
      <c r="H63" s="2">
        <v>15</v>
      </c>
      <c r="I63" s="3" t="s">
        <v>2348</v>
      </c>
      <c r="J63" t="s">
        <v>2365</v>
      </c>
      <c r="M63" s="3" t="s">
        <v>2300</v>
      </c>
      <c r="N63" s="3" t="s">
        <v>2255</v>
      </c>
      <c r="O63" t="s">
        <v>2310</v>
      </c>
    </row>
    <row r="64" spans="1:15" x14ac:dyDescent="0.25">
      <c r="A64" t="s">
        <v>2285</v>
      </c>
      <c r="B64" s="1" t="e">
        <v>#N/A</v>
      </c>
      <c r="C64" s="1" t="e">
        <v>#N/A</v>
      </c>
      <c r="D64" s="1" t="e">
        <v>#N/A</v>
      </c>
      <c r="E64" s="1" t="s">
        <v>2455</v>
      </c>
      <c r="F64" s="2" t="s">
        <v>2301</v>
      </c>
      <c r="G64" s="1" t="s">
        <v>2304</v>
      </c>
      <c r="H64" s="2">
        <v>15</v>
      </c>
      <c r="I64" s="3" t="s">
        <v>5</v>
      </c>
      <c r="J64" t="s">
        <v>2365</v>
      </c>
      <c r="M64" s="3" t="s">
        <v>2300</v>
      </c>
      <c r="N64" s="3" t="s">
        <v>2255</v>
      </c>
      <c r="O64" t="s">
        <v>2310</v>
      </c>
    </row>
    <row r="65" spans="1:15" x14ac:dyDescent="0.25">
      <c r="A65" t="s">
        <v>2285</v>
      </c>
      <c r="B65" s="1" t="e">
        <v>#N/A</v>
      </c>
      <c r="C65" s="1" t="e">
        <v>#N/A</v>
      </c>
      <c r="D65" s="1" t="e">
        <v>#N/A</v>
      </c>
      <c r="E65" s="1" t="s">
        <v>2455</v>
      </c>
      <c r="F65" s="2" t="s">
        <v>2301</v>
      </c>
      <c r="G65" s="1" t="s">
        <v>2304</v>
      </c>
      <c r="H65" s="2">
        <v>15</v>
      </c>
      <c r="I65" s="3" t="s">
        <v>2321</v>
      </c>
      <c r="J65" t="s">
        <v>2365</v>
      </c>
      <c r="M65" s="3" t="s">
        <v>2300</v>
      </c>
      <c r="N65" s="3" t="s">
        <v>2255</v>
      </c>
      <c r="O65" t="s">
        <v>2310</v>
      </c>
    </row>
    <row r="66" spans="1:15" x14ac:dyDescent="0.25">
      <c r="A66" t="s">
        <v>2285</v>
      </c>
      <c r="B66" s="1" t="e">
        <v>#N/A</v>
      </c>
      <c r="C66" s="1" t="e">
        <v>#N/A</v>
      </c>
      <c r="D66" s="1" t="e">
        <v>#N/A</v>
      </c>
      <c r="E66" s="1" t="s">
        <v>2455</v>
      </c>
      <c r="F66" s="2" t="s">
        <v>2301</v>
      </c>
      <c r="G66" s="1" t="s">
        <v>2304</v>
      </c>
      <c r="H66" s="2">
        <v>15</v>
      </c>
      <c r="I66" s="3" t="s">
        <v>9</v>
      </c>
      <c r="J66" t="s">
        <v>2365</v>
      </c>
      <c r="M66" s="3" t="s">
        <v>2300</v>
      </c>
      <c r="N66" s="3" t="s">
        <v>2255</v>
      </c>
      <c r="O66" t="s">
        <v>2310</v>
      </c>
    </row>
    <row r="67" spans="1:15" x14ac:dyDescent="0.25">
      <c r="A67" t="s">
        <v>2285</v>
      </c>
      <c r="B67" s="1" t="e">
        <v>#N/A</v>
      </c>
      <c r="C67" s="1" t="e">
        <v>#N/A</v>
      </c>
      <c r="D67" s="1" t="e">
        <v>#N/A</v>
      </c>
      <c r="E67" s="1" t="s">
        <v>2455</v>
      </c>
      <c r="F67" s="2" t="s">
        <v>2301</v>
      </c>
      <c r="G67" s="1" t="s">
        <v>2303</v>
      </c>
      <c r="H67" s="2">
        <v>15</v>
      </c>
      <c r="I67" s="3" t="s">
        <v>2321</v>
      </c>
      <c r="J67" t="s">
        <v>2365</v>
      </c>
      <c r="M67" s="3" t="s">
        <v>2300</v>
      </c>
      <c r="N67" s="3" t="s">
        <v>2256</v>
      </c>
      <c r="O67" t="s">
        <v>2310</v>
      </c>
    </row>
    <row r="68" spans="1:15" x14ac:dyDescent="0.25">
      <c r="A68" t="s">
        <v>2286</v>
      </c>
      <c r="B68" s="1" t="s">
        <v>2288</v>
      </c>
      <c r="C68" s="1" t="s">
        <v>2291</v>
      </c>
      <c r="D68" s="1" t="s">
        <v>2431</v>
      </c>
      <c r="E68" s="1" t="s">
        <v>2298</v>
      </c>
      <c r="F68" s="2" t="s">
        <v>2300</v>
      </c>
      <c r="G68" s="1" t="s">
        <v>2304</v>
      </c>
      <c r="H68" s="2">
        <v>14</v>
      </c>
      <c r="I68" s="3" t="s">
        <v>2317</v>
      </c>
      <c r="J68" t="s">
        <v>2365</v>
      </c>
      <c r="M68" s="3" t="s">
        <v>2300</v>
      </c>
      <c r="N68" s="3" t="s">
        <v>2255</v>
      </c>
      <c r="O68" t="s">
        <v>2310</v>
      </c>
    </row>
    <row r="69" spans="1:15" x14ac:dyDescent="0.25">
      <c r="A69" t="s">
        <v>2285</v>
      </c>
      <c r="B69" s="1" t="e">
        <v>#N/A</v>
      </c>
      <c r="C69" s="1" t="e">
        <v>#N/A</v>
      </c>
      <c r="D69" s="1" t="e">
        <v>#N/A</v>
      </c>
      <c r="E69" s="1" t="s">
        <v>2455</v>
      </c>
      <c r="F69" s="2" t="s">
        <v>2301</v>
      </c>
      <c r="G69" s="1" t="s">
        <v>2304</v>
      </c>
      <c r="H69" s="2">
        <v>14</v>
      </c>
      <c r="I69" s="3" t="s">
        <v>2332</v>
      </c>
      <c r="J69" t="s">
        <v>2365</v>
      </c>
      <c r="M69" s="3" t="s">
        <v>2300</v>
      </c>
      <c r="N69" s="3" t="s">
        <v>2255</v>
      </c>
      <c r="O69" t="s">
        <v>2310</v>
      </c>
    </row>
    <row r="70" spans="1:15" x14ac:dyDescent="0.25">
      <c r="A70" t="s">
        <v>2285</v>
      </c>
      <c r="B70" s="1" t="e">
        <v>#N/A</v>
      </c>
      <c r="C70" s="1" t="e">
        <v>#N/A</v>
      </c>
      <c r="D70" s="1" t="e">
        <v>#N/A</v>
      </c>
      <c r="E70" s="1" t="s">
        <v>2455</v>
      </c>
      <c r="F70" s="2" t="s">
        <v>2301</v>
      </c>
      <c r="G70" s="1" t="s">
        <v>2304</v>
      </c>
      <c r="H70" s="2">
        <v>14</v>
      </c>
      <c r="I70" s="3" t="s">
        <v>2317</v>
      </c>
      <c r="J70" t="s">
        <v>2365</v>
      </c>
      <c r="M70" s="3" t="s">
        <v>2300</v>
      </c>
      <c r="N70" s="3" t="s">
        <v>2255</v>
      </c>
      <c r="O70" t="s">
        <v>2310</v>
      </c>
    </row>
    <row r="71" spans="1:15" x14ac:dyDescent="0.25">
      <c r="A71" t="s">
        <v>2285</v>
      </c>
      <c r="B71" s="1" t="e">
        <v>#N/A</v>
      </c>
      <c r="C71" s="1" t="e">
        <v>#N/A</v>
      </c>
      <c r="D71" s="1" t="e">
        <v>#N/A</v>
      </c>
      <c r="E71" s="1" t="s">
        <v>2455</v>
      </c>
      <c r="F71" s="2" t="s">
        <v>2301</v>
      </c>
      <c r="G71" s="1" t="s">
        <v>2304</v>
      </c>
      <c r="H71" s="2">
        <v>14</v>
      </c>
      <c r="I71" s="3" t="s">
        <v>2317</v>
      </c>
      <c r="J71" t="s">
        <v>2365</v>
      </c>
      <c r="M71" s="3" t="s">
        <v>2300</v>
      </c>
      <c r="N71" s="3" t="s">
        <v>2255</v>
      </c>
      <c r="O71" t="s">
        <v>2310</v>
      </c>
    </row>
    <row r="72" spans="1:15" x14ac:dyDescent="0.25">
      <c r="A72" t="s">
        <v>2285</v>
      </c>
      <c r="B72" s="1" t="e">
        <v>#N/A</v>
      </c>
      <c r="C72" s="1" t="e">
        <v>#N/A</v>
      </c>
      <c r="D72" s="1" t="e">
        <v>#N/A</v>
      </c>
      <c r="E72" s="1" t="s">
        <v>2455</v>
      </c>
      <c r="F72" s="2" t="s">
        <v>2301</v>
      </c>
      <c r="G72" s="1" t="s">
        <v>2304</v>
      </c>
      <c r="H72" s="2">
        <v>14</v>
      </c>
      <c r="I72" s="3" t="s">
        <v>5</v>
      </c>
      <c r="J72" t="s">
        <v>2365</v>
      </c>
      <c r="M72" s="3" t="s">
        <v>2300</v>
      </c>
      <c r="N72" s="3" t="s">
        <v>2255</v>
      </c>
      <c r="O72" t="s">
        <v>2310</v>
      </c>
    </row>
    <row r="73" spans="1:15" x14ac:dyDescent="0.25">
      <c r="A73" t="s">
        <v>2285</v>
      </c>
      <c r="B73" s="1" t="e">
        <v>#N/A</v>
      </c>
      <c r="C73" s="1" t="e">
        <v>#N/A</v>
      </c>
      <c r="D73" s="1" t="e">
        <v>#N/A</v>
      </c>
      <c r="E73" s="1" t="s">
        <v>2455</v>
      </c>
      <c r="F73" s="2" t="s">
        <v>2301</v>
      </c>
      <c r="G73" s="1" t="s">
        <v>2304</v>
      </c>
      <c r="H73" s="2">
        <v>14</v>
      </c>
      <c r="I73" s="3" t="s">
        <v>5</v>
      </c>
      <c r="J73" t="s">
        <v>2365</v>
      </c>
      <c r="M73" s="3" t="s">
        <v>2300</v>
      </c>
      <c r="N73" s="3" t="s">
        <v>2255</v>
      </c>
      <c r="O73" t="s">
        <v>2310</v>
      </c>
    </row>
    <row r="74" spans="1:15" x14ac:dyDescent="0.25">
      <c r="A74" t="s">
        <v>2285</v>
      </c>
      <c r="B74" s="1" t="e">
        <v>#N/A</v>
      </c>
      <c r="C74" s="1" t="e">
        <v>#N/A</v>
      </c>
      <c r="D74" s="1" t="e">
        <v>#N/A</v>
      </c>
      <c r="E74" s="1" t="s">
        <v>2455</v>
      </c>
      <c r="F74" s="2" t="s">
        <v>2301</v>
      </c>
      <c r="G74" s="1" t="s">
        <v>2304</v>
      </c>
      <c r="H74" s="2">
        <v>14</v>
      </c>
      <c r="I74" s="3" t="s">
        <v>2321</v>
      </c>
      <c r="J74" t="s">
        <v>2365</v>
      </c>
      <c r="M74" s="3" t="s">
        <v>2300</v>
      </c>
      <c r="N74" s="3" t="s">
        <v>2255</v>
      </c>
      <c r="O74" t="s">
        <v>2310</v>
      </c>
    </row>
    <row r="75" spans="1:15" x14ac:dyDescent="0.25">
      <c r="A75" t="s">
        <v>2285</v>
      </c>
      <c r="B75" s="1" t="e">
        <v>#N/A</v>
      </c>
      <c r="C75" s="1" t="e">
        <v>#N/A</v>
      </c>
      <c r="D75" s="1" t="e">
        <v>#N/A</v>
      </c>
      <c r="E75" s="1" t="s">
        <v>2455</v>
      </c>
      <c r="F75" s="2" t="s">
        <v>2301</v>
      </c>
      <c r="G75" s="1" t="s">
        <v>2304</v>
      </c>
      <c r="H75" s="2">
        <v>14</v>
      </c>
      <c r="I75" s="3" t="s">
        <v>8</v>
      </c>
      <c r="J75" t="s">
        <v>2365</v>
      </c>
      <c r="M75" s="3" t="s">
        <v>2300</v>
      </c>
      <c r="N75" s="3" t="s">
        <v>2255</v>
      </c>
      <c r="O75" t="s">
        <v>2310</v>
      </c>
    </row>
    <row r="76" spans="1:15" x14ac:dyDescent="0.25">
      <c r="A76" t="s">
        <v>2285</v>
      </c>
      <c r="B76" s="1" t="e">
        <v>#N/A</v>
      </c>
      <c r="C76" s="1" t="e">
        <v>#N/A</v>
      </c>
      <c r="D76" s="1" t="e">
        <v>#N/A</v>
      </c>
      <c r="E76" s="1" t="s">
        <v>2455</v>
      </c>
      <c r="F76" s="2" t="s">
        <v>2301</v>
      </c>
      <c r="G76" s="1" t="s">
        <v>2304</v>
      </c>
      <c r="H76" s="2">
        <v>14</v>
      </c>
      <c r="I76" s="3" t="s">
        <v>7</v>
      </c>
      <c r="J76" t="s">
        <v>2365</v>
      </c>
      <c r="M76" s="3" t="s">
        <v>2300</v>
      </c>
      <c r="N76" s="3" t="s">
        <v>2255</v>
      </c>
      <c r="O76" t="s">
        <v>2310</v>
      </c>
    </row>
    <row r="77" spans="1:15" x14ac:dyDescent="0.25">
      <c r="A77" t="s">
        <v>2285</v>
      </c>
      <c r="B77" s="1" t="e">
        <v>#N/A</v>
      </c>
      <c r="C77" s="1" t="e">
        <v>#N/A</v>
      </c>
      <c r="D77" s="1" t="e">
        <v>#N/A</v>
      </c>
      <c r="E77" s="1" t="s">
        <v>2298</v>
      </c>
      <c r="F77" s="2" t="s">
        <v>2300</v>
      </c>
      <c r="G77" s="1" t="s">
        <v>2304</v>
      </c>
      <c r="H77" s="2">
        <v>14</v>
      </c>
      <c r="I77" s="3" t="s">
        <v>2401</v>
      </c>
      <c r="J77" t="s">
        <v>2365</v>
      </c>
      <c r="M77" s="3" t="s">
        <v>2300</v>
      </c>
      <c r="N77" s="3" t="s">
        <v>2255</v>
      </c>
      <c r="O77" t="s">
        <v>2310</v>
      </c>
    </row>
    <row r="78" spans="1:15" x14ac:dyDescent="0.25">
      <c r="A78" t="s">
        <v>2285</v>
      </c>
      <c r="B78" s="1" t="e">
        <v>#N/A</v>
      </c>
      <c r="C78" s="1" t="e">
        <v>#N/A</v>
      </c>
      <c r="D78" s="1" t="e">
        <v>#N/A</v>
      </c>
      <c r="E78" s="1" t="s">
        <v>2298</v>
      </c>
      <c r="F78" s="2" t="s">
        <v>2300</v>
      </c>
      <c r="G78" s="1" t="s">
        <v>2304</v>
      </c>
      <c r="H78" s="2">
        <v>14</v>
      </c>
      <c r="I78" s="3" t="s">
        <v>107</v>
      </c>
      <c r="J78" t="s">
        <v>2365</v>
      </c>
      <c r="M78" s="3" t="s">
        <v>2300</v>
      </c>
      <c r="N78" s="3" t="s">
        <v>2255</v>
      </c>
      <c r="O78" t="s">
        <v>2310</v>
      </c>
    </row>
    <row r="79" spans="1:15" x14ac:dyDescent="0.25">
      <c r="A79" t="s">
        <v>2285</v>
      </c>
      <c r="B79" s="1" t="e">
        <v>#N/A</v>
      </c>
      <c r="C79" s="1" t="e">
        <v>#N/A</v>
      </c>
      <c r="D79" s="1" t="e">
        <v>#N/A</v>
      </c>
      <c r="E79" s="1" t="s">
        <v>2298</v>
      </c>
      <c r="F79" s="2" t="s">
        <v>2300</v>
      </c>
      <c r="G79" s="1" t="s">
        <v>2304</v>
      </c>
      <c r="H79" s="2">
        <v>14</v>
      </c>
      <c r="I79" s="3" t="s">
        <v>2380</v>
      </c>
      <c r="J79" t="s">
        <v>2365</v>
      </c>
      <c r="M79" s="3" t="s">
        <v>2300</v>
      </c>
      <c r="N79" s="3" t="s">
        <v>2255</v>
      </c>
      <c r="O79" t="s">
        <v>2310</v>
      </c>
    </row>
    <row r="80" spans="1:15" x14ac:dyDescent="0.25">
      <c r="A80" t="s">
        <v>2285</v>
      </c>
      <c r="B80" s="1" t="e">
        <v>#N/A</v>
      </c>
      <c r="C80" s="1" t="e">
        <v>#N/A</v>
      </c>
      <c r="D80" s="1" t="e">
        <v>#N/A</v>
      </c>
      <c r="E80" s="1" t="s">
        <v>2298</v>
      </c>
      <c r="F80" s="2" t="s">
        <v>2300</v>
      </c>
      <c r="G80" s="1" t="s">
        <v>2304</v>
      </c>
      <c r="H80" s="2">
        <v>14</v>
      </c>
      <c r="I80" s="3" t="s">
        <v>107</v>
      </c>
      <c r="J80" t="s">
        <v>2365</v>
      </c>
      <c r="M80" s="3" t="s">
        <v>2300</v>
      </c>
      <c r="N80" s="3" t="s">
        <v>2255</v>
      </c>
      <c r="O80" t="s">
        <v>2310</v>
      </c>
    </row>
    <row r="81" spans="1:15" x14ac:dyDescent="0.25">
      <c r="A81" t="s">
        <v>2285</v>
      </c>
      <c r="B81" s="1" t="e">
        <v>#N/A</v>
      </c>
      <c r="C81" s="1" t="e">
        <v>#N/A</v>
      </c>
      <c r="D81" s="1" t="e">
        <v>#N/A</v>
      </c>
      <c r="E81" s="1" t="s">
        <v>2298</v>
      </c>
      <c r="F81" s="2" t="s">
        <v>2300</v>
      </c>
      <c r="G81" s="1" t="s">
        <v>2304</v>
      </c>
      <c r="H81" s="2">
        <v>14</v>
      </c>
      <c r="I81" s="3" t="s">
        <v>22</v>
      </c>
      <c r="J81" t="s">
        <v>2365</v>
      </c>
      <c r="M81" s="3" t="s">
        <v>2300</v>
      </c>
      <c r="N81" s="3" t="s">
        <v>2255</v>
      </c>
      <c r="O81" t="s">
        <v>2310</v>
      </c>
    </row>
    <row r="82" spans="1:15" x14ac:dyDescent="0.25">
      <c r="A82" t="s">
        <v>2285</v>
      </c>
      <c r="B82" s="1" t="e">
        <v>#N/A</v>
      </c>
      <c r="C82" s="1" t="e">
        <v>#N/A</v>
      </c>
      <c r="D82" s="1" t="e">
        <v>#N/A</v>
      </c>
      <c r="E82" s="1" t="s">
        <v>2455</v>
      </c>
      <c r="F82" s="2" t="s">
        <v>2301</v>
      </c>
      <c r="G82" s="1" t="s">
        <v>2304</v>
      </c>
      <c r="H82" s="2">
        <v>14</v>
      </c>
      <c r="I82" s="3" t="s">
        <v>18</v>
      </c>
      <c r="J82" t="s">
        <v>2365</v>
      </c>
      <c r="M82" s="3" t="s">
        <v>2300</v>
      </c>
      <c r="N82" s="3" t="s">
        <v>2255</v>
      </c>
      <c r="O82" t="s">
        <v>2310</v>
      </c>
    </row>
    <row r="83" spans="1:15" x14ac:dyDescent="0.25">
      <c r="A83" t="s">
        <v>2285</v>
      </c>
      <c r="B83" s="1" t="e">
        <v>#N/A</v>
      </c>
      <c r="C83" s="1" t="e">
        <v>#N/A</v>
      </c>
      <c r="D83" s="1" t="e">
        <v>#N/A</v>
      </c>
      <c r="E83" s="1" t="s">
        <v>2455</v>
      </c>
      <c r="F83" s="2" t="s">
        <v>2301</v>
      </c>
      <c r="G83" s="1" t="s">
        <v>2304</v>
      </c>
      <c r="H83" s="2">
        <v>14</v>
      </c>
      <c r="I83" s="3" t="s">
        <v>2318</v>
      </c>
      <c r="J83" t="s">
        <v>2365</v>
      </c>
      <c r="M83" s="3" t="s">
        <v>2300</v>
      </c>
      <c r="N83" s="3" t="s">
        <v>2255</v>
      </c>
      <c r="O83" t="s">
        <v>2310</v>
      </c>
    </row>
    <row r="84" spans="1:15" x14ac:dyDescent="0.25">
      <c r="A84" t="s">
        <v>2285</v>
      </c>
      <c r="B84" s="1" t="e">
        <v>#N/A</v>
      </c>
      <c r="C84" s="1" t="e">
        <v>#N/A</v>
      </c>
      <c r="D84" s="1" t="e">
        <v>#N/A</v>
      </c>
      <c r="E84" s="1" t="s">
        <v>2455</v>
      </c>
      <c r="F84" s="2" t="s">
        <v>2301</v>
      </c>
      <c r="G84" s="1" t="s">
        <v>2304</v>
      </c>
      <c r="H84" s="2">
        <v>14</v>
      </c>
      <c r="I84" s="3" t="s">
        <v>2317</v>
      </c>
      <c r="J84" t="s">
        <v>2365</v>
      </c>
      <c r="M84" s="3" t="s">
        <v>2300</v>
      </c>
      <c r="N84" s="3" t="s">
        <v>2255</v>
      </c>
      <c r="O84" t="s">
        <v>2310</v>
      </c>
    </row>
    <row r="85" spans="1:15" x14ac:dyDescent="0.25">
      <c r="A85" t="s">
        <v>2285</v>
      </c>
      <c r="B85" s="1" t="e">
        <v>#N/A</v>
      </c>
      <c r="C85" s="1" t="e">
        <v>#N/A</v>
      </c>
      <c r="D85" s="1" t="e">
        <v>#N/A</v>
      </c>
      <c r="E85" s="1" t="s">
        <v>2455</v>
      </c>
      <c r="F85" s="2" t="s">
        <v>2301</v>
      </c>
      <c r="G85" s="1" t="s">
        <v>2304</v>
      </c>
      <c r="H85" s="2">
        <v>14</v>
      </c>
      <c r="I85" s="3" t="s">
        <v>2403</v>
      </c>
      <c r="J85" t="s">
        <v>2365</v>
      </c>
      <c r="M85" s="3" t="s">
        <v>2300</v>
      </c>
      <c r="N85" s="3" t="s">
        <v>2255</v>
      </c>
      <c r="O85" t="s">
        <v>2310</v>
      </c>
    </row>
    <row r="86" spans="1:15" x14ac:dyDescent="0.25">
      <c r="A86" t="s">
        <v>2285</v>
      </c>
      <c r="B86" s="1" t="e">
        <v>#N/A</v>
      </c>
      <c r="C86" s="1" t="e">
        <v>#N/A</v>
      </c>
      <c r="D86" s="1" t="e">
        <v>#N/A</v>
      </c>
      <c r="E86" s="1" t="s">
        <v>2298</v>
      </c>
      <c r="F86" s="2" t="s">
        <v>2300</v>
      </c>
      <c r="G86" s="1" t="s">
        <v>2303</v>
      </c>
      <c r="H86" s="2">
        <v>14</v>
      </c>
      <c r="I86" s="3" t="s">
        <v>107</v>
      </c>
      <c r="J86" t="s">
        <v>2365</v>
      </c>
      <c r="M86" s="3" t="s">
        <v>2300</v>
      </c>
      <c r="N86" s="3" t="s">
        <v>2256</v>
      </c>
      <c r="O86" t="s">
        <v>2310</v>
      </c>
    </row>
    <row r="87" spans="1:15" x14ac:dyDescent="0.25">
      <c r="A87" t="s">
        <v>2283</v>
      </c>
      <c r="B87" s="1" t="s">
        <v>2289</v>
      </c>
      <c r="C87" s="1" t="s">
        <v>2291</v>
      </c>
      <c r="D87" s="1" t="s">
        <v>2427</v>
      </c>
      <c r="E87" s="1" t="s">
        <v>2298</v>
      </c>
      <c r="F87" s="2" t="s">
        <v>2300</v>
      </c>
      <c r="G87" s="1" t="s">
        <v>2304</v>
      </c>
      <c r="H87" s="2">
        <v>14</v>
      </c>
      <c r="I87" s="3" t="s">
        <v>2405</v>
      </c>
      <c r="J87" t="s">
        <v>2365</v>
      </c>
      <c r="M87" s="3" t="s">
        <v>2300</v>
      </c>
      <c r="N87" s="3" t="s">
        <v>2255</v>
      </c>
      <c r="O87" t="s">
        <v>2310</v>
      </c>
    </row>
    <row r="88" spans="1:15" x14ac:dyDescent="0.25">
      <c r="A88" t="s">
        <v>2285</v>
      </c>
      <c r="B88" s="1" t="e">
        <v>#N/A</v>
      </c>
      <c r="C88" s="1" t="e">
        <v>#N/A</v>
      </c>
      <c r="D88" s="1" t="e">
        <v>#N/A</v>
      </c>
      <c r="E88" s="1" t="s">
        <v>2298</v>
      </c>
      <c r="F88" s="2" t="s">
        <v>2300</v>
      </c>
      <c r="G88" s="1" t="s">
        <v>2304</v>
      </c>
      <c r="H88" s="2">
        <v>14</v>
      </c>
      <c r="I88" s="3" t="s">
        <v>24</v>
      </c>
      <c r="J88" t="s">
        <v>2365</v>
      </c>
      <c r="M88" s="3" t="s">
        <v>2300</v>
      </c>
      <c r="N88" s="3" t="s">
        <v>2255</v>
      </c>
      <c r="O88" t="s">
        <v>2310</v>
      </c>
    </row>
    <row r="89" spans="1:15" x14ac:dyDescent="0.25">
      <c r="A89" t="s">
        <v>2285</v>
      </c>
      <c r="B89" s="1" t="e">
        <v>#N/A</v>
      </c>
      <c r="C89" s="1" t="e">
        <v>#N/A</v>
      </c>
      <c r="D89" s="1" t="e">
        <v>#N/A</v>
      </c>
      <c r="E89" s="1" t="s">
        <v>2455</v>
      </c>
      <c r="F89" s="2" t="s">
        <v>2301</v>
      </c>
      <c r="G89" s="1" t="s">
        <v>2304</v>
      </c>
      <c r="H89" s="2">
        <v>14</v>
      </c>
      <c r="I89" s="3" t="s">
        <v>2404</v>
      </c>
      <c r="J89" t="s">
        <v>2365</v>
      </c>
      <c r="M89" s="3" t="s">
        <v>2300</v>
      </c>
      <c r="N89" s="3" t="s">
        <v>2255</v>
      </c>
      <c r="O89" t="s">
        <v>2310</v>
      </c>
    </row>
    <row r="90" spans="1:15" x14ac:dyDescent="0.25">
      <c r="A90" t="s">
        <v>2285</v>
      </c>
      <c r="B90" s="1" t="e">
        <v>#N/A</v>
      </c>
      <c r="C90" s="1" t="e">
        <v>#N/A</v>
      </c>
      <c r="D90" s="1" t="e">
        <v>#N/A</v>
      </c>
      <c r="E90" s="1" t="s">
        <v>2455</v>
      </c>
      <c r="F90" s="2" t="s">
        <v>2301</v>
      </c>
      <c r="G90" s="1" t="s">
        <v>2304</v>
      </c>
      <c r="H90" s="2">
        <v>14</v>
      </c>
      <c r="I90" s="3" t="s">
        <v>5</v>
      </c>
      <c r="J90" t="s">
        <v>2365</v>
      </c>
      <c r="M90" s="3" t="s">
        <v>2300</v>
      </c>
      <c r="N90" s="3" t="s">
        <v>2255</v>
      </c>
      <c r="O90" t="s">
        <v>2310</v>
      </c>
    </row>
    <row r="91" spans="1:15" x14ac:dyDescent="0.25">
      <c r="A91" t="s">
        <v>2285</v>
      </c>
      <c r="B91" s="1" t="e">
        <v>#N/A</v>
      </c>
      <c r="C91" s="1" t="e">
        <v>#N/A</v>
      </c>
      <c r="D91" s="1" t="e">
        <v>#N/A</v>
      </c>
      <c r="E91" s="1" t="s">
        <v>2455</v>
      </c>
      <c r="F91" s="2" t="s">
        <v>2301</v>
      </c>
      <c r="G91" s="1" t="s">
        <v>2304</v>
      </c>
      <c r="H91" s="2">
        <v>14</v>
      </c>
      <c r="I91" s="3" t="s">
        <v>2321</v>
      </c>
      <c r="J91" t="s">
        <v>2365</v>
      </c>
      <c r="M91" s="3" t="s">
        <v>2300</v>
      </c>
      <c r="N91" s="3" t="s">
        <v>2255</v>
      </c>
      <c r="O91" t="s">
        <v>2310</v>
      </c>
    </row>
    <row r="92" spans="1:15" x14ac:dyDescent="0.25">
      <c r="A92" t="s">
        <v>2285</v>
      </c>
      <c r="B92" s="1" t="e">
        <v>#N/A</v>
      </c>
      <c r="C92" s="1" t="e">
        <v>#N/A</v>
      </c>
      <c r="D92" s="1" t="e">
        <v>#N/A</v>
      </c>
      <c r="E92" s="1" t="s">
        <v>2455</v>
      </c>
      <c r="F92" s="2" t="s">
        <v>2301</v>
      </c>
      <c r="G92" s="1" t="s">
        <v>2303</v>
      </c>
      <c r="H92" s="2">
        <v>14</v>
      </c>
      <c r="I92" s="3" t="s">
        <v>2332</v>
      </c>
      <c r="J92" t="s">
        <v>2365</v>
      </c>
      <c r="M92" s="3" t="s">
        <v>2300</v>
      </c>
      <c r="N92" s="3" t="s">
        <v>2256</v>
      </c>
      <c r="O92" t="s">
        <v>2310</v>
      </c>
    </row>
    <row r="93" spans="1:15" x14ac:dyDescent="0.25">
      <c r="A93" t="s">
        <v>2285</v>
      </c>
      <c r="B93" s="1" t="e">
        <v>#N/A</v>
      </c>
      <c r="C93" s="1" t="e">
        <v>#N/A</v>
      </c>
      <c r="D93" s="1" t="e">
        <v>#N/A</v>
      </c>
      <c r="E93" s="1" t="s">
        <v>2455</v>
      </c>
      <c r="F93" s="2" t="s">
        <v>2301</v>
      </c>
      <c r="G93" s="1" t="s">
        <v>2304</v>
      </c>
      <c r="H93" s="2">
        <v>13</v>
      </c>
      <c r="I93" s="3" t="s">
        <v>48</v>
      </c>
      <c r="J93" t="s">
        <v>2365</v>
      </c>
      <c r="M93" s="3" t="s">
        <v>2300</v>
      </c>
      <c r="N93" s="3" t="s">
        <v>2255</v>
      </c>
      <c r="O93" t="s">
        <v>2310</v>
      </c>
    </row>
    <row r="94" spans="1:15" x14ac:dyDescent="0.25">
      <c r="A94" t="s">
        <v>2285</v>
      </c>
      <c r="B94" s="1" t="e">
        <v>#N/A</v>
      </c>
      <c r="C94" s="1" t="e">
        <v>#N/A</v>
      </c>
      <c r="D94" s="1" t="e">
        <v>#N/A</v>
      </c>
      <c r="E94" s="1" t="s">
        <v>2455</v>
      </c>
      <c r="F94" s="2" t="s">
        <v>2301</v>
      </c>
      <c r="G94" s="1" t="s">
        <v>2304</v>
      </c>
      <c r="H94" s="2">
        <v>13</v>
      </c>
      <c r="I94" s="3" t="s">
        <v>2317</v>
      </c>
      <c r="J94" t="s">
        <v>2365</v>
      </c>
      <c r="M94" s="3" t="s">
        <v>2300</v>
      </c>
      <c r="N94" s="3" t="s">
        <v>2255</v>
      </c>
      <c r="O94" t="s">
        <v>2310</v>
      </c>
    </row>
    <row r="95" spans="1:15" x14ac:dyDescent="0.25">
      <c r="A95" t="s">
        <v>2285</v>
      </c>
      <c r="B95" s="1" t="e">
        <v>#N/A</v>
      </c>
      <c r="C95" s="1" t="e">
        <v>#N/A</v>
      </c>
      <c r="D95" s="1" t="e">
        <v>#N/A</v>
      </c>
      <c r="E95" s="1" t="s">
        <v>2455</v>
      </c>
      <c r="F95" s="2" t="s">
        <v>2301</v>
      </c>
      <c r="G95" s="1" t="s">
        <v>2304</v>
      </c>
      <c r="H95" s="2">
        <v>13</v>
      </c>
      <c r="I95" s="3" t="s">
        <v>2317</v>
      </c>
      <c r="J95" t="s">
        <v>2365</v>
      </c>
      <c r="M95" s="3" t="s">
        <v>2300</v>
      </c>
      <c r="N95" s="3" t="s">
        <v>2255</v>
      </c>
      <c r="O95" t="s">
        <v>2310</v>
      </c>
    </row>
    <row r="96" spans="1:15" x14ac:dyDescent="0.25">
      <c r="A96" t="s">
        <v>2285</v>
      </c>
      <c r="B96" s="1" t="e">
        <v>#N/A</v>
      </c>
      <c r="C96" s="1" t="e">
        <v>#N/A</v>
      </c>
      <c r="D96" s="1" t="e">
        <v>#N/A</v>
      </c>
      <c r="E96" s="1" t="s">
        <v>2455</v>
      </c>
      <c r="F96" s="2" t="s">
        <v>2301</v>
      </c>
      <c r="G96" s="1" t="s">
        <v>2304</v>
      </c>
      <c r="H96" s="2">
        <v>13</v>
      </c>
      <c r="I96" s="3" t="s">
        <v>2317</v>
      </c>
      <c r="J96" t="s">
        <v>2365</v>
      </c>
      <c r="M96" s="3" t="s">
        <v>2300</v>
      </c>
      <c r="N96" s="3" t="s">
        <v>2255</v>
      </c>
      <c r="O96" t="s">
        <v>2310</v>
      </c>
    </row>
    <row r="97" spans="1:15" x14ac:dyDescent="0.25">
      <c r="A97" t="s">
        <v>2285</v>
      </c>
      <c r="B97" s="1" t="e">
        <v>#N/A</v>
      </c>
      <c r="C97" s="1" t="e">
        <v>#N/A</v>
      </c>
      <c r="D97" s="1" t="e">
        <v>#N/A</v>
      </c>
      <c r="E97" s="1" t="s">
        <v>2455</v>
      </c>
      <c r="F97" s="2" t="s">
        <v>2301</v>
      </c>
      <c r="G97" s="1" t="s">
        <v>2304</v>
      </c>
      <c r="H97" s="2">
        <v>13</v>
      </c>
      <c r="I97" s="3" t="s">
        <v>2317</v>
      </c>
      <c r="J97" t="s">
        <v>2365</v>
      </c>
      <c r="M97" s="3" t="s">
        <v>2300</v>
      </c>
      <c r="N97" s="3" t="s">
        <v>2255</v>
      </c>
      <c r="O97" t="s">
        <v>2310</v>
      </c>
    </row>
    <row r="98" spans="1:15" x14ac:dyDescent="0.25">
      <c r="A98" t="s">
        <v>2285</v>
      </c>
      <c r="B98" s="1" t="e">
        <v>#N/A</v>
      </c>
      <c r="C98" s="1" t="e">
        <v>#N/A</v>
      </c>
      <c r="D98" s="1" t="e">
        <v>#N/A</v>
      </c>
      <c r="E98" s="1" t="s">
        <v>2298</v>
      </c>
      <c r="F98" s="2" t="s">
        <v>2300</v>
      </c>
      <c r="G98" s="1" t="s">
        <v>2304</v>
      </c>
      <c r="H98" s="2">
        <v>11</v>
      </c>
      <c r="I98" s="3" t="s">
        <v>2411</v>
      </c>
      <c r="J98" t="s">
        <v>2365</v>
      </c>
      <c r="M98" s="3" t="s">
        <v>2300</v>
      </c>
      <c r="N98" s="3" t="s">
        <v>2255</v>
      </c>
      <c r="O98" t="s">
        <v>2310</v>
      </c>
    </row>
    <row r="99" spans="1:15" x14ac:dyDescent="0.25">
      <c r="A99" t="s">
        <v>2285</v>
      </c>
      <c r="B99" s="1" t="e">
        <v>#N/A</v>
      </c>
      <c r="C99" s="1" t="e">
        <v>#N/A</v>
      </c>
      <c r="D99" s="1" t="e">
        <v>#N/A</v>
      </c>
      <c r="E99" s="1" t="s">
        <v>2298</v>
      </c>
      <c r="F99" s="2" t="s">
        <v>2300</v>
      </c>
      <c r="G99" s="1" t="s">
        <v>2304</v>
      </c>
      <c r="H99" s="2">
        <v>11</v>
      </c>
      <c r="I99" s="3" t="s">
        <v>2415</v>
      </c>
      <c r="J99" t="s">
        <v>2365</v>
      </c>
      <c r="M99" s="3" t="s">
        <v>2300</v>
      </c>
      <c r="N99" s="3" t="s">
        <v>2255</v>
      </c>
      <c r="O99" t="s">
        <v>2310</v>
      </c>
    </row>
    <row r="100" spans="1:15" x14ac:dyDescent="0.25">
      <c r="A100" t="s">
        <v>2283</v>
      </c>
      <c r="B100" s="1" t="s">
        <v>2289</v>
      </c>
      <c r="C100" s="1" t="s">
        <v>2446</v>
      </c>
      <c r="D100" s="1" t="s">
        <v>2426</v>
      </c>
      <c r="E100" s="1" t="s">
        <v>2298</v>
      </c>
      <c r="F100" s="2" t="s">
        <v>2300</v>
      </c>
      <c r="G100" s="1" t="s">
        <v>2303</v>
      </c>
      <c r="H100" s="2">
        <v>11</v>
      </c>
      <c r="I100" s="3" t="s">
        <v>6</v>
      </c>
      <c r="J100" t="s">
        <v>2365</v>
      </c>
      <c r="M100" s="3" t="s">
        <v>2300</v>
      </c>
      <c r="N100" s="3" t="s">
        <v>2256</v>
      </c>
      <c r="O100" t="s">
        <v>2310</v>
      </c>
    </row>
    <row r="101" spans="1:15" x14ac:dyDescent="0.25">
      <c r="A101" t="s">
        <v>2285</v>
      </c>
      <c r="B101" s="1" t="e">
        <v>#N/A</v>
      </c>
      <c r="C101" s="1" t="e">
        <v>#N/A</v>
      </c>
      <c r="D101" s="1" t="e">
        <v>#N/A</v>
      </c>
      <c r="E101" s="1" t="s">
        <v>2298</v>
      </c>
      <c r="F101" s="2" t="s">
        <v>2300</v>
      </c>
      <c r="G101" s="1" t="s">
        <v>2304</v>
      </c>
      <c r="H101" s="2">
        <v>11</v>
      </c>
      <c r="I101" s="3" t="s">
        <v>19</v>
      </c>
      <c r="J101" t="s">
        <v>2365</v>
      </c>
      <c r="M101" s="3" t="s">
        <v>2300</v>
      </c>
      <c r="N101" s="3" t="s">
        <v>2255</v>
      </c>
      <c r="O101" t="s">
        <v>2310</v>
      </c>
    </row>
    <row r="102" spans="1:15" x14ac:dyDescent="0.25">
      <c r="A102" t="s">
        <v>2285</v>
      </c>
      <c r="B102" s="1" t="e">
        <v>#N/A</v>
      </c>
      <c r="C102" s="1" t="e">
        <v>#N/A</v>
      </c>
      <c r="D102" s="1" t="e">
        <v>#N/A</v>
      </c>
      <c r="E102" s="1" t="s">
        <v>2298</v>
      </c>
      <c r="F102" s="2" t="s">
        <v>2300</v>
      </c>
      <c r="G102" s="1" t="s">
        <v>2304</v>
      </c>
      <c r="H102" s="2">
        <v>11</v>
      </c>
      <c r="I102" s="3" t="s">
        <v>2412</v>
      </c>
      <c r="J102" t="s">
        <v>2365</v>
      </c>
      <c r="M102" s="3" t="s">
        <v>2300</v>
      </c>
      <c r="N102" s="3" t="s">
        <v>2255</v>
      </c>
      <c r="O102" t="s">
        <v>2310</v>
      </c>
    </row>
    <row r="103" spans="1:15" x14ac:dyDescent="0.25">
      <c r="A103" t="s">
        <v>2285</v>
      </c>
      <c r="B103" s="1" t="e">
        <v>#N/A</v>
      </c>
      <c r="C103" s="1" t="e">
        <v>#N/A</v>
      </c>
      <c r="D103" s="1" t="e">
        <v>#N/A</v>
      </c>
      <c r="E103" s="1" t="s">
        <v>2455</v>
      </c>
      <c r="F103" s="2" t="s">
        <v>2301</v>
      </c>
      <c r="G103" s="1" t="s">
        <v>2304</v>
      </c>
      <c r="H103" s="2">
        <v>11</v>
      </c>
      <c r="I103" s="3" t="s">
        <v>2334</v>
      </c>
      <c r="J103" t="s">
        <v>2365</v>
      </c>
      <c r="M103" s="3" t="s">
        <v>2300</v>
      </c>
      <c r="N103" s="3" t="s">
        <v>2255</v>
      </c>
      <c r="O103" t="s">
        <v>2310</v>
      </c>
    </row>
    <row r="104" spans="1:15" x14ac:dyDescent="0.25">
      <c r="A104" t="s">
        <v>2285</v>
      </c>
      <c r="B104" s="1" t="e">
        <v>#N/A</v>
      </c>
      <c r="C104" s="1" t="e">
        <v>#N/A</v>
      </c>
      <c r="D104" s="1" t="e">
        <v>#N/A</v>
      </c>
      <c r="E104" s="1" t="s">
        <v>2455</v>
      </c>
      <c r="F104" s="2" t="s">
        <v>2301</v>
      </c>
      <c r="G104" s="1" t="s">
        <v>2304</v>
      </c>
      <c r="H104" s="2">
        <v>11</v>
      </c>
      <c r="I104" s="3" t="s">
        <v>2315</v>
      </c>
      <c r="J104" t="s">
        <v>2365</v>
      </c>
      <c r="M104" s="3" t="s">
        <v>2300</v>
      </c>
      <c r="N104" s="3" t="s">
        <v>2255</v>
      </c>
      <c r="O104" t="s">
        <v>2310</v>
      </c>
    </row>
    <row r="105" spans="1:15" x14ac:dyDescent="0.25">
      <c r="A105" t="s">
        <v>2285</v>
      </c>
      <c r="B105" s="1" t="e">
        <v>#N/A</v>
      </c>
      <c r="C105" s="1" t="e">
        <v>#N/A</v>
      </c>
      <c r="D105" s="1" t="e">
        <v>#N/A</v>
      </c>
      <c r="E105" s="1" t="s">
        <v>2455</v>
      </c>
      <c r="F105" s="2" t="s">
        <v>2301</v>
      </c>
      <c r="G105" s="1" t="s">
        <v>2304</v>
      </c>
      <c r="H105" s="2">
        <v>11</v>
      </c>
      <c r="I105" s="3" t="s">
        <v>2333</v>
      </c>
      <c r="J105" t="s">
        <v>2365</v>
      </c>
      <c r="M105" s="3" t="s">
        <v>2300</v>
      </c>
      <c r="N105" s="3" t="s">
        <v>2255</v>
      </c>
      <c r="O105" t="s">
        <v>2310</v>
      </c>
    </row>
    <row r="106" spans="1:15" x14ac:dyDescent="0.25">
      <c r="A106" t="s">
        <v>2285</v>
      </c>
      <c r="B106" s="1" t="e">
        <v>#N/A</v>
      </c>
      <c r="C106" s="1" t="e">
        <v>#N/A</v>
      </c>
      <c r="D106" s="1" t="e">
        <v>#N/A</v>
      </c>
      <c r="E106" s="1" t="s">
        <v>2455</v>
      </c>
      <c r="F106" s="2" t="s">
        <v>2301</v>
      </c>
      <c r="G106" s="1" t="s">
        <v>2304</v>
      </c>
      <c r="H106" s="2">
        <v>11</v>
      </c>
      <c r="I106" s="3" t="s">
        <v>2</v>
      </c>
      <c r="J106" t="s">
        <v>2365</v>
      </c>
      <c r="M106" s="3" t="s">
        <v>2300</v>
      </c>
      <c r="N106" s="3" t="s">
        <v>2255</v>
      </c>
      <c r="O106" t="s">
        <v>2310</v>
      </c>
    </row>
    <row r="107" spans="1:15" x14ac:dyDescent="0.25">
      <c r="A107" t="s">
        <v>2285</v>
      </c>
      <c r="B107" s="1" t="s">
        <v>2289</v>
      </c>
      <c r="C107" s="1" t="s">
        <v>2379</v>
      </c>
      <c r="D107" s="1" t="s">
        <v>2454</v>
      </c>
      <c r="E107" s="1" t="s">
        <v>2455</v>
      </c>
      <c r="F107" s="2" t="s">
        <v>2301</v>
      </c>
      <c r="G107" s="1" t="s">
        <v>2304</v>
      </c>
      <c r="H107" s="2">
        <v>11</v>
      </c>
      <c r="I107" s="3" t="s">
        <v>2313</v>
      </c>
      <c r="J107" t="s">
        <v>2365</v>
      </c>
      <c r="M107" s="3" t="s">
        <v>2300</v>
      </c>
      <c r="N107" s="3" t="s">
        <v>2255</v>
      </c>
      <c r="O107" t="s">
        <v>2310</v>
      </c>
    </row>
    <row r="108" spans="1:15" x14ac:dyDescent="0.25">
      <c r="A108" t="s">
        <v>2285</v>
      </c>
      <c r="B108" s="1" t="e">
        <v>#N/A</v>
      </c>
      <c r="C108" s="1" t="e">
        <v>#N/A</v>
      </c>
      <c r="D108" s="1" t="e">
        <v>#N/A</v>
      </c>
      <c r="E108" s="1" t="s">
        <v>2455</v>
      </c>
      <c r="F108" s="2" t="s">
        <v>2301</v>
      </c>
      <c r="G108" s="1" t="s">
        <v>2304</v>
      </c>
      <c r="H108" s="2">
        <v>11</v>
      </c>
      <c r="I108" s="3" t="s">
        <v>2317</v>
      </c>
      <c r="J108" t="s">
        <v>2365</v>
      </c>
      <c r="M108" s="3" t="s">
        <v>2300</v>
      </c>
      <c r="N108" s="3" t="s">
        <v>2255</v>
      </c>
      <c r="O108" t="s">
        <v>2310</v>
      </c>
    </row>
    <row r="109" spans="1:15" x14ac:dyDescent="0.25">
      <c r="A109" t="s">
        <v>2285</v>
      </c>
      <c r="B109" s="1" t="e">
        <v>#N/A</v>
      </c>
      <c r="C109" s="1" t="e">
        <v>#N/A</v>
      </c>
      <c r="D109" s="1" t="e">
        <v>#N/A</v>
      </c>
      <c r="E109" s="1" t="s">
        <v>2455</v>
      </c>
      <c r="F109" s="2" t="s">
        <v>2301</v>
      </c>
      <c r="G109" s="1" t="s">
        <v>2304</v>
      </c>
      <c r="H109" s="2">
        <v>11</v>
      </c>
      <c r="I109" s="3" t="s">
        <v>2314</v>
      </c>
      <c r="J109" t="s">
        <v>2365</v>
      </c>
      <c r="M109" s="3" t="s">
        <v>2300</v>
      </c>
      <c r="N109" s="3" t="s">
        <v>2255</v>
      </c>
      <c r="O109" t="s">
        <v>2310</v>
      </c>
    </row>
    <row r="110" spans="1:15" x14ac:dyDescent="0.25">
      <c r="A110" t="s">
        <v>2285</v>
      </c>
      <c r="B110" s="1" t="e">
        <v>#N/A</v>
      </c>
      <c r="C110" s="1" t="e">
        <v>#N/A</v>
      </c>
      <c r="D110" s="1" t="e">
        <v>#N/A</v>
      </c>
      <c r="E110" s="1" t="s">
        <v>2455</v>
      </c>
      <c r="F110" s="2" t="s">
        <v>2301</v>
      </c>
      <c r="G110" s="1" t="s">
        <v>2304</v>
      </c>
      <c r="H110" s="2">
        <v>11</v>
      </c>
      <c r="I110" s="3" t="s">
        <v>2317</v>
      </c>
      <c r="J110" t="s">
        <v>2365</v>
      </c>
      <c r="M110" s="3" t="s">
        <v>2300</v>
      </c>
      <c r="N110" s="3" t="s">
        <v>2255</v>
      </c>
      <c r="O110" t="s">
        <v>2310</v>
      </c>
    </row>
    <row r="111" spans="1:15" x14ac:dyDescent="0.25">
      <c r="A111" t="s">
        <v>2285</v>
      </c>
      <c r="B111" s="1" t="e">
        <v>#N/A</v>
      </c>
      <c r="C111" s="1" t="e">
        <v>#N/A</v>
      </c>
      <c r="D111" s="1" t="e">
        <v>#N/A</v>
      </c>
      <c r="E111" s="1" t="s">
        <v>2455</v>
      </c>
      <c r="F111" s="2" t="s">
        <v>2301</v>
      </c>
      <c r="G111" s="1" t="s">
        <v>2304</v>
      </c>
      <c r="H111" s="2">
        <v>11</v>
      </c>
      <c r="I111" s="3" t="s">
        <v>2317</v>
      </c>
      <c r="J111" t="s">
        <v>2365</v>
      </c>
      <c r="M111" s="3" t="s">
        <v>2300</v>
      </c>
      <c r="N111" s="3" t="s">
        <v>2255</v>
      </c>
      <c r="O111" t="s">
        <v>2310</v>
      </c>
    </row>
    <row r="112" spans="1:15" x14ac:dyDescent="0.25">
      <c r="A112" t="s">
        <v>2285</v>
      </c>
      <c r="B112" s="1" t="e">
        <v>#N/A</v>
      </c>
      <c r="C112" s="1" t="e">
        <v>#N/A</v>
      </c>
      <c r="D112" s="1" t="e">
        <v>#N/A</v>
      </c>
      <c r="E112" s="1" t="s">
        <v>2455</v>
      </c>
      <c r="F112" s="2" t="s">
        <v>2301</v>
      </c>
      <c r="G112" s="1" t="s">
        <v>2304</v>
      </c>
      <c r="H112" s="2">
        <v>11</v>
      </c>
      <c r="I112" s="3" t="s">
        <v>5</v>
      </c>
      <c r="J112" t="s">
        <v>2365</v>
      </c>
      <c r="M112" s="3" t="s">
        <v>2300</v>
      </c>
      <c r="N112" s="3" t="s">
        <v>2255</v>
      </c>
      <c r="O112" t="s">
        <v>2310</v>
      </c>
    </row>
    <row r="113" spans="1:15" x14ac:dyDescent="0.25">
      <c r="A113" t="s">
        <v>2285</v>
      </c>
      <c r="B113" s="1" t="e">
        <v>#N/A</v>
      </c>
      <c r="C113" s="1" t="e">
        <v>#N/A</v>
      </c>
      <c r="D113" s="1" t="e">
        <v>#N/A</v>
      </c>
      <c r="E113" s="1" t="s">
        <v>2455</v>
      </c>
      <c r="F113" s="2" t="s">
        <v>2301</v>
      </c>
      <c r="G113" s="1" t="s">
        <v>2304</v>
      </c>
      <c r="H113" s="2">
        <v>11</v>
      </c>
      <c r="I113" s="3" t="s">
        <v>2317</v>
      </c>
      <c r="J113" t="s">
        <v>2365</v>
      </c>
      <c r="M113" s="3" t="s">
        <v>2300</v>
      </c>
      <c r="N113" s="3" t="s">
        <v>2255</v>
      </c>
      <c r="O113" t="s">
        <v>2310</v>
      </c>
    </row>
    <row r="114" spans="1:15" x14ac:dyDescent="0.25">
      <c r="A114" t="s">
        <v>2285</v>
      </c>
      <c r="B114" s="1" t="e">
        <v>#N/A</v>
      </c>
      <c r="C114" s="1" t="e">
        <v>#N/A</v>
      </c>
      <c r="D114" s="1" t="e">
        <v>#N/A</v>
      </c>
      <c r="E114" s="1" t="s">
        <v>2455</v>
      </c>
      <c r="F114" s="2" t="s">
        <v>2301</v>
      </c>
      <c r="G114" s="1" t="s">
        <v>2305</v>
      </c>
      <c r="H114" s="2">
        <v>11</v>
      </c>
      <c r="I114" s="3" t="s">
        <v>1</v>
      </c>
      <c r="J114" t="s">
        <v>2365</v>
      </c>
      <c r="M114" s="3" t="s">
        <v>2300</v>
      </c>
      <c r="N114" s="3" t="s">
        <v>2258</v>
      </c>
      <c r="O114" t="s">
        <v>2310</v>
      </c>
    </row>
    <row r="115" spans="1:15" x14ac:dyDescent="0.25">
      <c r="A115" t="s">
        <v>2285</v>
      </c>
      <c r="B115" s="1" t="e">
        <v>#N/A</v>
      </c>
      <c r="C115" s="1" t="e">
        <v>#N/A</v>
      </c>
      <c r="D115" s="1" t="e">
        <v>#N/A</v>
      </c>
      <c r="E115" s="1" t="s">
        <v>2455</v>
      </c>
      <c r="F115" s="2" t="s">
        <v>2301</v>
      </c>
      <c r="G115" s="1" t="s">
        <v>2303</v>
      </c>
      <c r="H115" s="2">
        <v>11</v>
      </c>
      <c r="I115" s="3" t="s">
        <v>2321</v>
      </c>
      <c r="J115" t="s">
        <v>2365</v>
      </c>
      <c r="M115" s="3" t="s">
        <v>2300</v>
      </c>
      <c r="N115" s="3" t="s">
        <v>2256</v>
      </c>
      <c r="O115" t="s">
        <v>2310</v>
      </c>
    </row>
    <row r="116" spans="1:15" x14ac:dyDescent="0.25">
      <c r="A116" t="s">
        <v>2285</v>
      </c>
      <c r="B116" s="1" t="e">
        <v>#N/A</v>
      </c>
      <c r="C116" s="1" t="e">
        <v>#N/A</v>
      </c>
      <c r="D116" s="1" t="e">
        <v>#N/A</v>
      </c>
      <c r="E116" s="1" t="s">
        <v>2455</v>
      </c>
      <c r="F116" s="2" t="s">
        <v>2301</v>
      </c>
      <c r="G116" s="1" t="s">
        <v>2304</v>
      </c>
      <c r="H116" s="2">
        <v>11</v>
      </c>
      <c r="I116" s="3" t="s">
        <v>2321</v>
      </c>
      <c r="J116" t="s">
        <v>2365</v>
      </c>
      <c r="M116" s="3" t="s">
        <v>2300</v>
      </c>
      <c r="N116" s="3" t="s">
        <v>2255</v>
      </c>
      <c r="O116" t="s">
        <v>2310</v>
      </c>
    </row>
    <row r="117" spans="1:15" x14ac:dyDescent="0.25">
      <c r="A117" t="s">
        <v>2285</v>
      </c>
      <c r="B117" s="1" t="e">
        <v>#N/A</v>
      </c>
      <c r="C117" s="1" t="e">
        <v>#N/A</v>
      </c>
      <c r="D117" s="1" t="e">
        <v>#N/A</v>
      </c>
      <c r="E117" s="1" t="s">
        <v>2455</v>
      </c>
      <c r="F117" s="2" t="s">
        <v>2301</v>
      </c>
      <c r="G117" s="1" t="s">
        <v>2304</v>
      </c>
      <c r="H117" s="2">
        <v>11</v>
      </c>
      <c r="I117" s="3" t="s">
        <v>2313</v>
      </c>
      <c r="J117" t="s">
        <v>2365</v>
      </c>
      <c r="M117" s="3" t="s">
        <v>2300</v>
      </c>
      <c r="N117" s="3" t="s">
        <v>2255</v>
      </c>
      <c r="O117" t="s">
        <v>2310</v>
      </c>
    </row>
    <row r="118" spans="1:15" x14ac:dyDescent="0.25">
      <c r="A118" t="s">
        <v>2285</v>
      </c>
      <c r="B118" s="1" t="e">
        <v>#N/A</v>
      </c>
      <c r="C118" s="1" t="e">
        <v>#N/A</v>
      </c>
      <c r="D118" s="1" t="e">
        <v>#N/A</v>
      </c>
      <c r="E118" s="1" t="s">
        <v>2455</v>
      </c>
      <c r="F118" s="2" t="s">
        <v>2301</v>
      </c>
      <c r="G118" s="1" t="s">
        <v>2304</v>
      </c>
      <c r="H118" s="2">
        <v>11</v>
      </c>
      <c r="I118" s="3" t="s">
        <v>2315</v>
      </c>
      <c r="J118" t="s">
        <v>2365</v>
      </c>
      <c r="M118" s="3" t="s">
        <v>2300</v>
      </c>
      <c r="N118" s="3" t="s">
        <v>2255</v>
      </c>
      <c r="O118" t="s">
        <v>2310</v>
      </c>
    </row>
    <row r="119" spans="1:15" x14ac:dyDescent="0.25">
      <c r="A119" t="s">
        <v>2285</v>
      </c>
      <c r="B119" s="1" t="e">
        <v>#N/A</v>
      </c>
      <c r="C119" s="1" t="e">
        <v>#N/A</v>
      </c>
      <c r="D119" s="1" t="e">
        <v>#N/A</v>
      </c>
      <c r="E119" s="1" t="s">
        <v>2455</v>
      </c>
      <c r="F119" s="2" t="s">
        <v>2301</v>
      </c>
      <c r="G119" s="1" t="s">
        <v>2304</v>
      </c>
      <c r="H119" s="2">
        <v>11</v>
      </c>
      <c r="I119" s="3" t="s">
        <v>2333</v>
      </c>
      <c r="J119" t="s">
        <v>2365</v>
      </c>
      <c r="M119" s="3" t="s">
        <v>2300</v>
      </c>
      <c r="N119" s="3" t="s">
        <v>2255</v>
      </c>
      <c r="O119" t="s">
        <v>2310</v>
      </c>
    </row>
    <row r="120" spans="1:15" x14ac:dyDescent="0.25">
      <c r="A120" t="s">
        <v>2285</v>
      </c>
      <c r="B120" s="1" t="e">
        <v>#N/A</v>
      </c>
      <c r="C120" s="1" t="e">
        <v>#N/A</v>
      </c>
      <c r="D120" s="1" t="e">
        <v>#N/A</v>
      </c>
      <c r="E120" s="1" t="s">
        <v>2455</v>
      </c>
      <c r="F120" s="2" t="s">
        <v>2301</v>
      </c>
      <c r="G120" s="1" t="s">
        <v>2305</v>
      </c>
      <c r="H120" s="2">
        <v>11</v>
      </c>
      <c r="I120" s="3" t="s">
        <v>2314</v>
      </c>
      <c r="J120" t="s">
        <v>2365</v>
      </c>
      <c r="M120" s="3" t="s">
        <v>2300</v>
      </c>
      <c r="N120" s="3" t="s">
        <v>2258</v>
      </c>
      <c r="O120" t="s">
        <v>2310</v>
      </c>
    </row>
    <row r="121" spans="1:15" x14ac:dyDescent="0.25">
      <c r="A121" t="s">
        <v>2285</v>
      </c>
      <c r="B121" s="1" t="e">
        <v>#N/A</v>
      </c>
      <c r="C121" s="1" t="e">
        <v>#N/A</v>
      </c>
      <c r="D121" s="1" t="e">
        <v>#N/A</v>
      </c>
      <c r="E121" s="1" t="s">
        <v>2455</v>
      </c>
      <c r="F121" s="2" t="s">
        <v>2301</v>
      </c>
      <c r="G121" s="1" t="s">
        <v>2304</v>
      </c>
      <c r="H121" s="2">
        <v>11</v>
      </c>
      <c r="I121" s="3" t="s">
        <v>2317</v>
      </c>
      <c r="J121" t="s">
        <v>2365</v>
      </c>
      <c r="M121" s="3" t="s">
        <v>2300</v>
      </c>
      <c r="N121" s="3" t="s">
        <v>2255</v>
      </c>
      <c r="O121" t="s">
        <v>2310</v>
      </c>
    </row>
    <row r="122" spans="1:15" x14ac:dyDescent="0.25">
      <c r="A122" t="s">
        <v>2285</v>
      </c>
      <c r="B122" s="1" t="e">
        <v>#N/A</v>
      </c>
      <c r="C122" s="1" t="e">
        <v>#N/A</v>
      </c>
      <c r="D122" s="1" t="e">
        <v>#N/A</v>
      </c>
      <c r="E122" s="1" t="s">
        <v>2455</v>
      </c>
      <c r="F122" s="2" t="s">
        <v>2301</v>
      </c>
      <c r="G122" s="1" t="s">
        <v>2304</v>
      </c>
      <c r="H122" s="2">
        <v>11</v>
      </c>
      <c r="I122" s="3" t="s">
        <v>31</v>
      </c>
      <c r="J122" t="s">
        <v>2365</v>
      </c>
      <c r="M122" s="3" t="s">
        <v>2300</v>
      </c>
      <c r="N122" s="3" t="s">
        <v>2255</v>
      </c>
      <c r="O122" t="s">
        <v>2310</v>
      </c>
    </row>
    <row r="123" spans="1:15" x14ac:dyDescent="0.25">
      <c r="A123" t="s">
        <v>2285</v>
      </c>
      <c r="B123" s="1" t="e">
        <v>#N/A</v>
      </c>
      <c r="C123" s="1" t="e">
        <v>#N/A</v>
      </c>
      <c r="D123" s="1" t="e">
        <v>#N/A</v>
      </c>
      <c r="E123" s="1" t="s">
        <v>2455</v>
      </c>
      <c r="F123" s="2" t="s">
        <v>2301</v>
      </c>
      <c r="G123" s="1" t="s">
        <v>2304</v>
      </c>
      <c r="H123" s="2">
        <v>11</v>
      </c>
      <c r="I123" s="3" t="s">
        <v>2321</v>
      </c>
      <c r="J123" t="s">
        <v>2365</v>
      </c>
      <c r="M123" s="3" t="s">
        <v>2300</v>
      </c>
      <c r="N123" s="3" t="s">
        <v>2255</v>
      </c>
      <c r="O123" t="s">
        <v>2310</v>
      </c>
    </row>
    <row r="124" spans="1:15" x14ac:dyDescent="0.25">
      <c r="A124" t="s">
        <v>2285</v>
      </c>
      <c r="B124" s="1" t="s">
        <v>2289</v>
      </c>
      <c r="C124" s="1" t="s">
        <v>2379</v>
      </c>
      <c r="D124" s="1" t="s">
        <v>2454</v>
      </c>
      <c r="E124" s="1" t="s">
        <v>2455</v>
      </c>
      <c r="F124" s="2" t="s">
        <v>2301</v>
      </c>
      <c r="G124" s="1" t="s">
        <v>2304</v>
      </c>
      <c r="H124" s="2">
        <v>11</v>
      </c>
      <c r="I124" s="3" t="s">
        <v>2316</v>
      </c>
      <c r="J124" t="s">
        <v>2365</v>
      </c>
      <c r="M124" s="3" t="s">
        <v>2300</v>
      </c>
      <c r="N124" s="3" t="s">
        <v>2255</v>
      </c>
      <c r="O124" t="s">
        <v>2310</v>
      </c>
    </row>
    <row r="125" spans="1:15" x14ac:dyDescent="0.25">
      <c r="A125" t="s">
        <v>2285</v>
      </c>
      <c r="B125" s="1" t="e">
        <v>#N/A</v>
      </c>
      <c r="C125" s="1" t="e">
        <v>#N/A</v>
      </c>
      <c r="D125" s="1" t="e">
        <v>#N/A</v>
      </c>
      <c r="E125" s="1" t="s">
        <v>2455</v>
      </c>
      <c r="F125" s="2" t="s">
        <v>2301</v>
      </c>
      <c r="G125" s="1" t="s">
        <v>2304</v>
      </c>
      <c r="H125" s="2">
        <v>11</v>
      </c>
      <c r="I125" s="3" t="s">
        <v>9</v>
      </c>
      <c r="J125" t="s">
        <v>2365</v>
      </c>
      <c r="M125" s="3" t="s">
        <v>2300</v>
      </c>
      <c r="N125" s="3" t="s">
        <v>2255</v>
      </c>
      <c r="O125" t="s">
        <v>2310</v>
      </c>
    </row>
    <row r="126" spans="1:15" x14ac:dyDescent="0.25">
      <c r="A126" t="s">
        <v>2285</v>
      </c>
      <c r="B126" s="1" t="s">
        <v>2289</v>
      </c>
      <c r="C126" s="1" t="s">
        <v>2379</v>
      </c>
      <c r="D126" s="1" t="s">
        <v>2454</v>
      </c>
      <c r="E126" s="1" t="s">
        <v>2455</v>
      </c>
      <c r="F126" s="2" t="s">
        <v>2301</v>
      </c>
      <c r="G126" s="1" t="s">
        <v>2304</v>
      </c>
      <c r="H126" s="2">
        <v>11</v>
      </c>
      <c r="I126" s="3" t="s">
        <v>2</v>
      </c>
      <c r="J126" t="s">
        <v>2365</v>
      </c>
      <c r="M126" s="3" t="s">
        <v>2300</v>
      </c>
      <c r="N126" s="3" t="s">
        <v>2255</v>
      </c>
      <c r="O126" t="s">
        <v>2310</v>
      </c>
    </row>
    <row r="127" spans="1:15" x14ac:dyDescent="0.25">
      <c r="A127" t="s">
        <v>2284</v>
      </c>
      <c r="B127" s="1" t="s">
        <v>2288</v>
      </c>
      <c r="C127" s="1" t="s">
        <v>2453</v>
      </c>
      <c r="D127" s="1" t="s">
        <v>2447</v>
      </c>
      <c r="E127" s="1" t="s">
        <v>2298</v>
      </c>
      <c r="F127" s="2" t="s">
        <v>2300</v>
      </c>
      <c r="G127" s="1" t="s">
        <v>2303</v>
      </c>
      <c r="H127" s="2">
        <v>11</v>
      </c>
      <c r="I127" s="3" t="s">
        <v>2327</v>
      </c>
      <c r="J127" t="s">
        <v>2365</v>
      </c>
      <c r="M127" s="3" t="s">
        <v>2300</v>
      </c>
      <c r="N127" s="3" t="s">
        <v>2256</v>
      </c>
      <c r="O127" t="s">
        <v>2310</v>
      </c>
    </row>
    <row r="128" spans="1:15" x14ac:dyDescent="0.25">
      <c r="A128" t="s">
        <v>2285</v>
      </c>
      <c r="B128" s="1" t="s">
        <v>2289</v>
      </c>
      <c r="C128" s="1" t="s">
        <v>2379</v>
      </c>
      <c r="D128" s="1" t="s">
        <v>2454</v>
      </c>
      <c r="E128" s="1" t="s">
        <v>2455</v>
      </c>
      <c r="F128" s="2" t="s">
        <v>2301</v>
      </c>
      <c r="G128" s="1" t="s">
        <v>2303</v>
      </c>
      <c r="H128" s="2">
        <v>11</v>
      </c>
      <c r="I128" s="3" t="s">
        <v>2315</v>
      </c>
      <c r="J128" t="s">
        <v>2365</v>
      </c>
      <c r="M128" s="3" t="s">
        <v>2300</v>
      </c>
      <c r="N128" s="3" t="s">
        <v>2256</v>
      </c>
      <c r="O128" t="s">
        <v>2310</v>
      </c>
    </row>
    <row r="129" spans="1:15" x14ac:dyDescent="0.25">
      <c r="A129" t="s">
        <v>2283</v>
      </c>
      <c r="B129" s="1" t="s">
        <v>2288</v>
      </c>
      <c r="C129" s="1" t="s">
        <v>2453</v>
      </c>
      <c r="D129" s="1" t="s">
        <v>2447</v>
      </c>
      <c r="E129" s="1" t="s">
        <v>2298</v>
      </c>
      <c r="F129" s="2" t="s">
        <v>2300</v>
      </c>
      <c r="G129" s="1" t="s">
        <v>2304</v>
      </c>
      <c r="H129" s="2">
        <v>10</v>
      </c>
      <c r="I129" s="3" t="s">
        <v>2418</v>
      </c>
      <c r="J129" t="s">
        <v>2365</v>
      </c>
      <c r="M129" s="3" t="s">
        <v>2300</v>
      </c>
      <c r="N129" s="3" t="s">
        <v>2255</v>
      </c>
      <c r="O129" t="s">
        <v>2310</v>
      </c>
    </row>
    <row r="130" spans="1:15" x14ac:dyDescent="0.25">
      <c r="A130" t="s">
        <v>2284</v>
      </c>
      <c r="B130" s="1" t="s">
        <v>2288</v>
      </c>
      <c r="C130" s="1" t="s">
        <v>2453</v>
      </c>
      <c r="D130" s="1" t="s">
        <v>2447</v>
      </c>
      <c r="E130" s="1" t="s">
        <v>2298</v>
      </c>
      <c r="F130" s="2" t="s">
        <v>2300</v>
      </c>
      <c r="G130" s="1" t="s">
        <v>2304</v>
      </c>
      <c r="H130" s="2">
        <v>10</v>
      </c>
      <c r="I130" s="3" t="s">
        <v>2316</v>
      </c>
      <c r="J130" t="s">
        <v>2365</v>
      </c>
      <c r="M130" s="3" t="s">
        <v>2300</v>
      </c>
      <c r="N130" s="3" t="s">
        <v>2255</v>
      </c>
      <c r="O130" t="s">
        <v>2310</v>
      </c>
    </row>
    <row r="131" spans="1:15" x14ac:dyDescent="0.25">
      <c r="A131" t="s">
        <v>2283</v>
      </c>
      <c r="B131" s="1" t="s">
        <v>2289</v>
      </c>
      <c r="C131" s="1" t="s">
        <v>2430</v>
      </c>
      <c r="D131" s="1" t="s">
        <v>2447</v>
      </c>
      <c r="E131" s="1" t="s">
        <v>2298</v>
      </c>
      <c r="F131" s="2" t="s">
        <v>2300</v>
      </c>
      <c r="G131" s="1" t="s">
        <v>2304</v>
      </c>
      <c r="H131" s="2">
        <v>10</v>
      </c>
      <c r="I131" s="3" t="s">
        <v>2358</v>
      </c>
      <c r="J131" t="s">
        <v>2365</v>
      </c>
      <c r="M131" s="3" t="s">
        <v>2300</v>
      </c>
      <c r="N131" s="3" t="s">
        <v>2255</v>
      </c>
      <c r="O131" t="s">
        <v>2310</v>
      </c>
    </row>
    <row r="132" spans="1:15" x14ac:dyDescent="0.25">
      <c r="A132" t="s">
        <v>2283</v>
      </c>
      <c r="B132" s="1" t="s">
        <v>2289</v>
      </c>
      <c r="C132" s="1" t="s">
        <v>2430</v>
      </c>
      <c r="D132" s="1" t="s">
        <v>2447</v>
      </c>
      <c r="E132" s="1" t="s">
        <v>2298</v>
      </c>
      <c r="F132" s="2" t="s">
        <v>2300</v>
      </c>
      <c r="G132" s="1" t="s">
        <v>2304</v>
      </c>
      <c r="H132" s="2">
        <v>10</v>
      </c>
      <c r="I132" s="3" t="s">
        <v>12</v>
      </c>
      <c r="J132" t="s">
        <v>2365</v>
      </c>
      <c r="M132" s="3" t="s">
        <v>2300</v>
      </c>
      <c r="N132" s="3" t="s">
        <v>2255</v>
      </c>
      <c r="O132" t="s">
        <v>2310</v>
      </c>
    </row>
    <row r="133" spans="1:15" x14ac:dyDescent="0.25">
      <c r="A133" t="s">
        <v>2285</v>
      </c>
      <c r="B133" s="1" t="e">
        <v>#N/A</v>
      </c>
      <c r="C133" s="1" t="e">
        <v>#N/A</v>
      </c>
      <c r="D133" s="1" t="e">
        <v>#N/A</v>
      </c>
      <c r="E133" s="1" t="s">
        <v>2298</v>
      </c>
      <c r="F133" s="2" t="s">
        <v>2300</v>
      </c>
      <c r="G133" s="1" t="s">
        <v>2303</v>
      </c>
      <c r="H133" s="2">
        <v>10</v>
      </c>
      <c r="I133" s="3" t="s">
        <v>2353</v>
      </c>
      <c r="J133" t="s">
        <v>2365</v>
      </c>
      <c r="M133" s="3" t="s">
        <v>2300</v>
      </c>
      <c r="N133" s="3" t="s">
        <v>2256</v>
      </c>
      <c r="O133" t="s">
        <v>2310</v>
      </c>
    </row>
    <row r="134" spans="1:15" x14ac:dyDescent="0.25">
      <c r="A134" t="s">
        <v>2284</v>
      </c>
      <c r="B134" s="1" t="s">
        <v>2288</v>
      </c>
      <c r="C134" s="1" t="s">
        <v>2453</v>
      </c>
      <c r="D134" s="1" t="s">
        <v>2447</v>
      </c>
      <c r="E134" s="1" t="s">
        <v>2298</v>
      </c>
      <c r="F134" s="2" t="s">
        <v>2300</v>
      </c>
      <c r="G134" s="1" t="s">
        <v>2303</v>
      </c>
      <c r="H134" s="2">
        <v>10</v>
      </c>
      <c r="I134" s="3" t="s">
        <v>7</v>
      </c>
      <c r="J134" t="s">
        <v>2365</v>
      </c>
      <c r="M134" s="3" t="s">
        <v>2300</v>
      </c>
      <c r="N134" s="3" t="s">
        <v>2256</v>
      </c>
      <c r="O134" t="s">
        <v>2310</v>
      </c>
    </row>
    <row r="135" spans="1:15" x14ac:dyDescent="0.25">
      <c r="A135" t="s">
        <v>2284</v>
      </c>
      <c r="B135" s="1" t="s">
        <v>2288</v>
      </c>
      <c r="C135" s="1" t="s">
        <v>2453</v>
      </c>
      <c r="D135" s="1" t="s">
        <v>2447</v>
      </c>
      <c r="E135" s="1" t="s">
        <v>2298</v>
      </c>
      <c r="F135" s="2" t="s">
        <v>2300</v>
      </c>
      <c r="G135" s="1" t="s">
        <v>2305</v>
      </c>
      <c r="H135" s="2">
        <v>10</v>
      </c>
      <c r="I135" s="3" t="s">
        <v>2327</v>
      </c>
      <c r="J135" t="s">
        <v>2365</v>
      </c>
      <c r="M135" s="3" t="s">
        <v>2300</v>
      </c>
      <c r="N135" s="3" t="s">
        <v>2258</v>
      </c>
      <c r="O135" t="s">
        <v>2310</v>
      </c>
    </row>
    <row r="136" spans="1:15" x14ac:dyDescent="0.25">
      <c r="A136" t="s">
        <v>2284</v>
      </c>
      <c r="B136" s="1" t="s">
        <v>2288</v>
      </c>
      <c r="C136" s="1" t="s">
        <v>2453</v>
      </c>
      <c r="D136" s="1" t="s">
        <v>2447</v>
      </c>
      <c r="E136" s="1" t="s">
        <v>2298</v>
      </c>
      <c r="F136" s="2" t="s">
        <v>2300</v>
      </c>
      <c r="G136" s="1" t="s">
        <v>2303</v>
      </c>
      <c r="H136" s="2">
        <v>10</v>
      </c>
      <c r="I136" s="3" t="s">
        <v>7</v>
      </c>
      <c r="J136" t="s">
        <v>2365</v>
      </c>
      <c r="M136" s="3" t="s">
        <v>2300</v>
      </c>
      <c r="N136" s="3" t="s">
        <v>2256</v>
      </c>
      <c r="O136" t="s">
        <v>2310</v>
      </c>
    </row>
    <row r="137" spans="1:15" x14ac:dyDescent="0.25">
      <c r="A137" t="s">
        <v>2284</v>
      </c>
      <c r="B137" s="1" t="s">
        <v>2288</v>
      </c>
      <c r="C137" s="1" t="s">
        <v>2453</v>
      </c>
      <c r="D137" s="1" t="s">
        <v>2447</v>
      </c>
      <c r="E137" s="1" t="s">
        <v>2298</v>
      </c>
      <c r="F137" s="2" t="s">
        <v>2300</v>
      </c>
      <c r="G137" s="1" t="s">
        <v>2305</v>
      </c>
      <c r="H137" s="2">
        <v>10</v>
      </c>
      <c r="I137" s="3" t="s">
        <v>2316</v>
      </c>
      <c r="J137" t="s">
        <v>2365</v>
      </c>
      <c r="M137" s="3" t="s">
        <v>2300</v>
      </c>
      <c r="N137" s="3" t="s">
        <v>2258</v>
      </c>
      <c r="O137" t="s">
        <v>2310</v>
      </c>
    </row>
    <row r="138" spans="1:15" x14ac:dyDescent="0.25">
      <c r="A138" t="s">
        <v>2285</v>
      </c>
      <c r="B138" s="1" t="s">
        <v>2289</v>
      </c>
      <c r="C138" s="1" t="s">
        <v>2430</v>
      </c>
      <c r="D138" s="1" t="s">
        <v>2454</v>
      </c>
      <c r="E138" s="1" t="s">
        <v>2455</v>
      </c>
      <c r="F138" s="2" t="s">
        <v>2301</v>
      </c>
      <c r="G138" s="1" t="s">
        <v>2304</v>
      </c>
      <c r="H138" s="2">
        <v>10</v>
      </c>
      <c r="I138" s="3" t="s">
        <v>2333</v>
      </c>
      <c r="J138" t="s">
        <v>2365</v>
      </c>
      <c r="M138" s="3" t="s">
        <v>2300</v>
      </c>
      <c r="N138" s="3" t="s">
        <v>2255</v>
      </c>
      <c r="O138" t="s">
        <v>2310</v>
      </c>
    </row>
    <row r="139" spans="1:15" x14ac:dyDescent="0.25">
      <c r="A139" t="s">
        <v>2285</v>
      </c>
      <c r="B139" s="1" t="e">
        <v>#N/A</v>
      </c>
      <c r="C139" s="1" t="e">
        <v>#N/A</v>
      </c>
      <c r="D139" s="1" t="e">
        <v>#N/A</v>
      </c>
      <c r="E139" s="1" t="s">
        <v>2455</v>
      </c>
      <c r="F139" s="2" t="s">
        <v>2300</v>
      </c>
      <c r="G139" s="1" t="s">
        <v>2304</v>
      </c>
      <c r="H139" s="2">
        <v>10</v>
      </c>
      <c r="I139" s="3" t="s">
        <v>2317</v>
      </c>
      <c r="J139" t="s">
        <v>2365</v>
      </c>
      <c r="M139" s="3" t="s">
        <v>2301</v>
      </c>
      <c r="N139" s="3" t="s">
        <v>2255</v>
      </c>
      <c r="O139" t="s">
        <v>2310</v>
      </c>
    </row>
    <row r="140" spans="1:15" x14ac:dyDescent="0.25">
      <c r="A140" t="s">
        <v>2285</v>
      </c>
      <c r="B140" s="1" t="e">
        <v>#N/A</v>
      </c>
      <c r="C140" s="1" t="e">
        <v>#N/A</v>
      </c>
      <c r="D140" s="1" t="e">
        <v>#N/A</v>
      </c>
      <c r="E140" s="1" t="s">
        <v>2455</v>
      </c>
      <c r="F140" s="2" t="s">
        <v>2300</v>
      </c>
      <c r="G140" s="1" t="s">
        <v>2304</v>
      </c>
      <c r="H140" s="2">
        <v>10</v>
      </c>
      <c r="I140" s="3" t="s">
        <v>2</v>
      </c>
      <c r="J140" t="s">
        <v>2365</v>
      </c>
      <c r="M140" s="3" t="s">
        <v>2301</v>
      </c>
      <c r="N140" s="3" t="s">
        <v>2255</v>
      </c>
      <c r="O140" t="s">
        <v>2310</v>
      </c>
    </row>
    <row r="141" spans="1:15" x14ac:dyDescent="0.25">
      <c r="A141" t="s">
        <v>2285</v>
      </c>
      <c r="B141" s="1" t="e">
        <v>#N/A</v>
      </c>
      <c r="C141" s="1" t="e">
        <v>#N/A</v>
      </c>
      <c r="D141" s="1" t="e">
        <v>#N/A</v>
      </c>
      <c r="E141" s="1" t="s">
        <v>2455</v>
      </c>
      <c r="F141" s="2" t="s">
        <v>2301</v>
      </c>
      <c r="G141" s="1" t="s">
        <v>2304</v>
      </c>
      <c r="H141" s="2">
        <v>10</v>
      </c>
      <c r="I141" s="3" t="s">
        <v>2416</v>
      </c>
      <c r="J141" t="s">
        <v>2365</v>
      </c>
      <c r="M141" s="3" t="s">
        <v>2300</v>
      </c>
      <c r="N141" s="3" t="s">
        <v>2255</v>
      </c>
      <c r="O141" t="s">
        <v>2310</v>
      </c>
    </row>
    <row r="142" spans="1:15" x14ac:dyDescent="0.25">
      <c r="A142" t="s">
        <v>2285</v>
      </c>
      <c r="B142" s="1" t="e">
        <v>#N/A</v>
      </c>
      <c r="C142" s="1" t="e">
        <v>#N/A</v>
      </c>
      <c r="D142" s="1" t="e">
        <v>#N/A</v>
      </c>
      <c r="E142" s="1" t="s">
        <v>2455</v>
      </c>
      <c r="F142" s="2" t="s">
        <v>2301</v>
      </c>
      <c r="G142" s="1" t="s">
        <v>2304</v>
      </c>
      <c r="H142" s="2">
        <v>10</v>
      </c>
      <c r="I142" s="3" t="s">
        <v>31</v>
      </c>
      <c r="J142" t="s">
        <v>2365</v>
      </c>
      <c r="M142" s="3" t="s">
        <v>2300</v>
      </c>
      <c r="N142" s="3" t="s">
        <v>2255</v>
      </c>
      <c r="O142" t="s">
        <v>2310</v>
      </c>
    </row>
    <row r="143" spans="1:15" x14ac:dyDescent="0.25">
      <c r="A143" t="s">
        <v>2285</v>
      </c>
      <c r="B143" s="1" t="e">
        <v>#N/A</v>
      </c>
      <c r="C143" s="1" t="e">
        <v>#N/A</v>
      </c>
      <c r="D143" s="1" t="e">
        <v>#N/A</v>
      </c>
      <c r="E143" s="1" t="s">
        <v>2455</v>
      </c>
      <c r="F143" s="2" t="s">
        <v>2301</v>
      </c>
      <c r="G143" s="1" t="s">
        <v>2304</v>
      </c>
      <c r="H143" s="2">
        <v>10</v>
      </c>
      <c r="I143" s="3" t="s">
        <v>2321</v>
      </c>
      <c r="J143" t="s">
        <v>2365</v>
      </c>
      <c r="M143" s="3" t="s">
        <v>2300</v>
      </c>
      <c r="N143" s="3" t="s">
        <v>2255</v>
      </c>
      <c r="O143" t="s">
        <v>2310</v>
      </c>
    </row>
    <row r="144" spans="1:15" x14ac:dyDescent="0.25">
      <c r="A144" t="s">
        <v>2285</v>
      </c>
      <c r="B144" s="1" t="s">
        <v>2289</v>
      </c>
      <c r="C144" s="1" t="s">
        <v>2292</v>
      </c>
      <c r="D144" s="1" t="s">
        <v>2454</v>
      </c>
      <c r="E144" s="1" t="s">
        <v>2455</v>
      </c>
      <c r="F144" s="2" t="s">
        <v>2301</v>
      </c>
      <c r="G144" s="1" t="s">
        <v>2303</v>
      </c>
      <c r="H144" s="2">
        <v>10</v>
      </c>
      <c r="I144" s="3" t="s">
        <v>2402</v>
      </c>
      <c r="J144" t="s">
        <v>2365</v>
      </c>
      <c r="M144" s="3" t="s">
        <v>2300</v>
      </c>
      <c r="N144" s="3" t="s">
        <v>2256</v>
      </c>
      <c r="O144" t="s">
        <v>2310</v>
      </c>
    </row>
    <row r="145" spans="1:15" x14ac:dyDescent="0.25">
      <c r="A145" t="s">
        <v>2285</v>
      </c>
      <c r="B145" s="1" t="e">
        <v>#N/A</v>
      </c>
      <c r="C145" s="1" t="e">
        <v>#N/A</v>
      </c>
      <c r="D145" s="1" t="e">
        <v>#N/A</v>
      </c>
      <c r="E145" s="1" t="s">
        <v>2455</v>
      </c>
      <c r="F145" s="2" t="s">
        <v>2300</v>
      </c>
      <c r="G145" s="1" t="s">
        <v>2304</v>
      </c>
      <c r="H145" s="2">
        <v>10</v>
      </c>
      <c r="I145" s="3" t="s">
        <v>2317</v>
      </c>
      <c r="J145" t="s">
        <v>2365</v>
      </c>
      <c r="M145" s="3" t="s">
        <v>2301</v>
      </c>
      <c r="N145" s="3" t="s">
        <v>2255</v>
      </c>
      <c r="O145" t="s">
        <v>2310</v>
      </c>
    </row>
    <row r="146" spans="1:15" x14ac:dyDescent="0.25">
      <c r="A146" t="s">
        <v>2285</v>
      </c>
      <c r="B146" s="1" t="e">
        <v>#N/A</v>
      </c>
      <c r="C146" s="1" t="e">
        <v>#N/A</v>
      </c>
      <c r="D146" s="1" t="e">
        <v>#N/A</v>
      </c>
      <c r="E146" s="1" t="s">
        <v>2455</v>
      </c>
      <c r="F146" s="2" t="s">
        <v>2301</v>
      </c>
      <c r="G146" s="1" t="s">
        <v>2304</v>
      </c>
      <c r="H146" s="2">
        <v>10</v>
      </c>
      <c r="I146" s="3" t="s">
        <v>9</v>
      </c>
      <c r="J146" t="s">
        <v>2365</v>
      </c>
      <c r="M146" s="3" t="s">
        <v>2300</v>
      </c>
      <c r="N146" s="3" t="s">
        <v>2255</v>
      </c>
      <c r="O146" t="s">
        <v>2310</v>
      </c>
    </row>
    <row r="147" spans="1:15" x14ac:dyDescent="0.25">
      <c r="A147" t="s">
        <v>2284</v>
      </c>
      <c r="B147" s="1" t="s">
        <v>2288</v>
      </c>
      <c r="C147" s="1" t="s">
        <v>2453</v>
      </c>
      <c r="D147" s="1" t="s">
        <v>2447</v>
      </c>
      <c r="E147" s="1" t="s">
        <v>2298</v>
      </c>
      <c r="F147" s="2" t="s">
        <v>2300</v>
      </c>
      <c r="G147" s="1" t="s">
        <v>2305</v>
      </c>
      <c r="H147" s="2">
        <v>10</v>
      </c>
      <c r="I147" s="3" t="s">
        <v>2357</v>
      </c>
      <c r="J147" t="s">
        <v>2365</v>
      </c>
      <c r="M147" s="3" t="s">
        <v>2300</v>
      </c>
      <c r="N147" s="3" t="s">
        <v>2257</v>
      </c>
      <c r="O147" t="s">
        <v>2310</v>
      </c>
    </row>
    <row r="148" spans="1:15" x14ac:dyDescent="0.25">
      <c r="A148" t="s">
        <v>2285</v>
      </c>
      <c r="B148" s="1" t="e">
        <v>#N/A</v>
      </c>
      <c r="C148" s="1" t="e">
        <v>#N/A</v>
      </c>
      <c r="D148" s="1" t="e">
        <v>#N/A</v>
      </c>
      <c r="E148" s="1" t="s">
        <v>2455</v>
      </c>
      <c r="F148" s="2" t="s">
        <v>2301</v>
      </c>
      <c r="G148" s="1" t="s">
        <v>2304</v>
      </c>
      <c r="H148" s="2">
        <v>10</v>
      </c>
      <c r="I148" s="3" t="s">
        <v>2321</v>
      </c>
      <c r="J148" t="s">
        <v>2365</v>
      </c>
      <c r="M148" s="3" t="s">
        <v>2300</v>
      </c>
      <c r="N148" s="3" t="s">
        <v>2255</v>
      </c>
      <c r="O148" t="s">
        <v>2310</v>
      </c>
    </row>
    <row r="149" spans="1:15" x14ac:dyDescent="0.25">
      <c r="A149" t="s">
        <v>2285</v>
      </c>
      <c r="B149" s="1" t="e">
        <v>#N/A</v>
      </c>
      <c r="C149" s="1" t="e">
        <v>#N/A</v>
      </c>
      <c r="D149" s="1" t="e">
        <v>#N/A</v>
      </c>
      <c r="E149" s="1" t="s">
        <v>2455</v>
      </c>
      <c r="F149" s="2" t="s">
        <v>2301</v>
      </c>
      <c r="G149" s="1" t="s">
        <v>2304</v>
      </c>
      <c r="H149" s="2">
        <v>10</v>
      </c>
      <c r="I149" s="3" t="s">
        <v>2317</v>
      </c>
      <c r="J149" t="s">
        <v>2365</v>
      </c>
      <c r="M149" s="3" t="s">
        <v>2300</v>
      </c>
      <c r="N149" s="3" t="s">
        <v>2255</v>
      </c>
      <c r="O149" t="s">
        <v>2310</v>
      </c>
    </row>
    <row r="150" spans="1:15" x14ac:dyDescent="0.25">
      <c r="A150" t="s">
        <v>2285</v>
      </c>
      <c r="B150" s="1" t="e">
        <v>#N/A</v>
      </c>
      <c r="C150" s="1" t="e">
        <v>#N/A</v>
      </c>
      <c r="D150" s="1" t="e">
        <v>#N/A</v>
      </c>
      <c r="E150" s="1" t="s">
        <v>2455</v>
      </c>
      <c r="F150" s="2" t="s">
        <v>2301</v>
      </c>
      <c r="G150" s="1" t="s">
        <v>2304</v>
      </c>
      <c r="H150" s="2">
        <v>10</v>
      </c>
      <c r="I150" s="3" t="s">
        <v>2321</v>
      </c>
      <c r="J150" t="s">
        <v>2365</v>
      </c>
      <c r="M150" s="3" t="s">
        <v>2300</v>
      </c>
      <c r="N150" s="3" t="s">
        <v>2255</v>
      </c>
      <c r="O150" t="s">
        <v>2310</v>
      </c>
    </row>
    <row r="151" spans="1:15" x14ac:dyDescent="0.25">
      <c r="A151" t="s">
        <v>2284</v>
      </c>
      <c r="B151" s="1" t="s">
        <v>2288</v>
      </c>
      <c r="C151" s="1" t="s">
        <v>2453</v>
      </c>
      <c r="D151" s="1" t="s">
        <v>2447</v>
      </c>
      <c r="E151" s="1" t="s">
        <v>2298</v>
      </c>
      <c r="F151" s="2" t="s">
        <v>2300</v>
      </c>
      <c r="G151" s="1" t="s">
        <v>2303</v>
      </c>
      <c r="H151" s="2">
        <v>10</v>
      </c>
      <c r="I151" s="3" t="s">
        <v>2419</v>
      </c>
      <c r="J151" t="s">
        <v>2365</v>
      </c>
      <c r="M151" s="3" t="s">
        <v>2300</v>
      </c>
      <c r="N151" s="3" t="s">
        <v>2256</v>
      </c>
      <c r="O151" t="s">
        <v>2310</v>
      </c>
    </row>
    <row r="152" spans="1:15" x14ac:dyDescent="0.25">
      <c r="A152" t="s">
        <v>2285</v>
      </c>
      <c r="B152" s="1" t="e">
        <v>#N/A</v>
      </c>
      <c r="C152" s="1" t="e">
        <v>#N/A</v>
      </c>
      <c r="D152" s="1" t="e">
        <v>#N/A</v>
      </c>
      <c r="E152" s="1" t="s">
        <v>2455</v>
      </c>
      <c r="F152" s="2" t="s">
        <v>2301</v>
      </c>
      <c r="G152" s="1" t="s">
        <v>2305</v>
      </c>
      <c r="H152" s="2">
        <v>10</v>
      </c>
      <c r="I152" s="3" t="s">
        <v>31</v>
      </c>
      <c r="J152" t="s">
        <v>2365</v>
      </c>
      <c r="M152" s="3" t="s">
        <v>2300</v>
      </c>
      <c r="N152" s="3" t="s">
        <v>2258</v>
      </c>
      <c r="O152" t="s">
        <v>2310</v>
      </c>
    </row>
    <row r="153" spans="1:15" x14ac:dyDescent="0.25">
      <c r="A153" t="s">
        <v>2285</v>
      </c>
      <c r="B153" s="1" t="e">
        <v>#N/A</v>
      </c>
      <c r="C153" s="1" t="e">
        <v>#N/A</v>
      </c>
      <c r="D153" s="1" t="e">
        <v>#N/A</v>
      </c>
      <c r="E153" s="1" t="s">
        <v>2298</v>
      </c>
      <c r="F153" s="2" t="s">
        <v>2300</v>
      </c>
      <c r="G153" s="1" t="s">
        <v>2304</v>
      </c>
      <c r="H153" s="2">
        <v>9</v>
      </c>
      <c r="I153" s="3" t="s">
        <v>21</v>
      </c>
      <c r="J153" t="s">
        <v>2365</v>
      </c>
      <c r="M153" s="3" t="s">
        <v>2300</v>
      </c>
      <c r="N153" s="3" t="s">
        <v>2255</v>
      </c>
      <c r="O153" t="s">
        <v>2310</v>
      </c>
    </row>
    <row r="154" spans="1:15" x14ac:dyDescent="0.25">
      <c r="A154" t="s">
        <v>2284</v>
      </c>
      <c r="B154" s="1" t="s">
        <v>2289</v>
      </c>
      <c r="C154" s="1" t="s">
        <v>2291</v>
      </c>
      <c r="D154" s="1" t="s">
        <v>2438</v>
      </c>
      <c r="E154" s="1" t="s">
        <v>2298</v>
      </c>
      <c r="F154" s="2" t="s">
        <v>2300</v>
      </c>
      <c r="G154" s="1" t="s">
        <v>2304</v>
      </c>
      <c r="H154" s="2">
        <v>9</v>
      </c>
      <c r="I154" s="3" t="s">
        <v>1</v>
      </c>
      <c r="J154" t="s">
        <v>2365</v>
      </c>
      <c r="M154" s="3" t="s">
        <v>2300</v>
      </c>
      <c r="N154" s="3" t="s">
        <v>2255</v>
      </c>
      <c r="O154" t="s">
        <v>2310</v>
      </c>
    </row>
    <row r="155" spans="1:15" x14ac:dyDescent="0.25">
      <c r="A155" t="s">
        <v>2284</v>
      </c>
      <c r="B155" s="1" t="s">
        <v>2289</v>
      </c>
      <c r="C155" s="1" t="s">
        <v>2291</v>
      </c>
      <c r="D155" s="1" t="s">
        <v>2438</v>
      </c>
      <c r="E155" s="1" t="s">
        <v>2298</v>
      </c>
      <c r="F155" s="2" t="s">
        <v>2300</v>
      </c>
      <c r="G155" s="1" t="s">
        <v>2304</v>
      </c>
      <c r="H155" s="2">
        <v>9</v>
      </c>
      <c r="I155" s="3" t="s">
        <v>1</v>
      </c>
      <c r="J155" t="s">
        <v>2365</v>
      </c>
      <c r="M155" s="3" t="s">
        <v>2300</v>
      </c>
      <c r="N155" s="3" t="s">
        <v>2255</v>
      </c>
      <c r="O155" t="s">
        <v>2310</v>
      </c>
    </row>
    <row r="156" spans="1:15" x14ac:dyDescent="0.25">
      <c r="A156" t="s">
        <v>2285</v>
      </c>
      <c r="B156" s="1" t="e">
        <v>#N/A</v>
      </c>
      <c r="C156" s="1" t="e">
        <v>#N/A</v>
      </c>
      <c r="D156" s="1" t="e">
        <v>#N/A</v>
      </c>
      <c r="E156" s="1" t="s">
        <v>2298</v>
      </c>
      <c r="F156" s="2" t="s">
        <v>2300</v>
      </c>
      <c r="G156" s="1" t="s">
        <v>2304</v>
      </c>
      <c r="H156" s="2">
        <v>9</v>
      </c>
      <c r="I156" s="3" t="s">
        <v>2421</v>
      </c>
      <c r="J156" t="s">
        <v>2365</v>
      </c>
      <c r="M156" s="3" t="s">
        <v>2300</v>
      </c>
      <c r="N156" s="3" t="s">
        <v>2255</v>
      </c>
      <c r="O156" t="s">
        <v>2310</v>
      </c>
    </row>
    <row r="157" spans="1:15" x14ac:dyDescent="0.25">
      <c r="A157" t="s">
        <v>2283</v>
      </c>
      <c r="B157" s="1" t="s">
        <v>2289</v>
      </c>
      <c r="C157" s="1" t="s">
        <v>2430</v>
      </c>
      <c r="D157" s="1" t="s">
        <v>2447</v>
      </c>
      <c r="E157" s="1" t="s">
        <v>2298</v>
      </c>
      <c r="F157" s="2" t="s">
        <v>2300</v>
      </c>
      <c r="G157" s="1" t="s">
        <v>2303</v>
      </c>
      <c r="H157" s="2">
        <v>9</v>
      </c>
      <c r="I157" s="3" t="s">
        <v>1</v>
      </c>
      <c r="J157" t="s">
        <v>2365</v>
      </c>
      <c r="M157" s="3" t="s">
        <v>2300</v>
      </c>
      <c r="N157" s="3" t="s">
        <v>2256</v>
      </c>
      <c r="O157" t="s">
        <v>2310</v>
      </c>
    </row>
    <row r="158" spans="1:15" x14ac:dyDescent="0.25">
      <c r="A158" t="s">
        <v>2285</v>
      </c>
      <c r="B158" s="1" t="e">
        <v>#N/A</v>
      </c>
      <c r="C158" s="1" t="e">
        <v>#N/A</v>
      </c>
      <c r="D158" s="1" t="e">
        <v>#N/A</v>
      </c>
      <c r="E158" s="1" t="s">
        <v>2298</v>
      </c>
      <c r="F158" s="2" t="s">
        <v>2300</v>
      </c>
      <c r="G158" s="1" t="s">
        <v>2304</v>
      </c>
      <c r="H158" s="2">
        <v>9</v>
      </c>
      <c r="I158" s="3" t="s">
        <v>21</v>
      </c>
      <c r="J158" t="s">
        <v>2365</v>
      </c>
      <c r="M158" s="3" t="s">
        <v>2300</v>
      </c>
      <c r="N158" s="3" t="s">
        <v>2255</v>
      </c>
      <c r="O158" t="s">
        <v>2310</v>
      </c>
    </row>
    <row r="159" spans="1:15" x14ac:dyDescent="0.25">
      <c r="A159" t="s">
        <v>2285</v>
      </c>
      <c r="B159" s="1" t="s">
        <v>2289</v>
      </c>
      <c r="C159" s="1" t="s">
        <v>2430</v>
      </c>
      <c r="D159" s="1" t="s">
        <v>2454</v>
      </c>
      <c r="E159" s="1" t="s">
        <v>2455</v>
      </c>
      <c r="F159" s="2" t="s">
        <v>2301</v>
      </c>
      <c r="G159" s="1" t="s">
        <v>2304</v>
      </c>
      <c r="H159" s="2">
        <v>9</v>
      </c>
      <c r="I159" s="3" t="s">
        <v>2315</v>
      </c>
      <c r="J159" t="s">
        <v>2365</v>
      </c>
      <c r="M159" s="3" t="s">
        <v>2300</v>
      </c>
      <c r="N159" s="3" t="s">
        <v>2255</v>
      </c>
      <c r="O159" t="s">
        <v>2310</v>
      </c>
    </row>
    <row r="160" spans="1:15" x14ac:dyDescent="0.25">
      <c r="A160" t="s">
        <v>2285</v>
      </c>
      <c r="B160" s="1" t="s">
        <v>2289</v>
      </c>
      <c r="C160" s="1" t="s">
        <v>2430</v>
      </c>
      <c r="D160" s="1" t="s">
        <v>2454</v>
      </c>
      <c r="E160" s="1" t="s">
        <v>2455</v>
      </c>
      <c r="F160" s="2" t="s">
        <v>2301</v>
      </c>
      <c r="G160" s="1" t="s">
        <v>2304</v>
      </c>
      <c r="H160" s="2">
        <v>9</v>
      </c>
      <c r="I160" s="3" t="s">
        <v>2313</v>
      </c>
      <c r="J160" t="s">
        <v>2365</v>
      </c>
      <c r="M160" s="3" t="s">
        <v>2300</v>
      </c>
      <c r="N160" s="3" t="s">
        <v>2255</v>
      </c>
      <c r="O160" t="s">
        <v>2310</v>
      </c>
    </row>
    <row r="161" spans="1:15" x14ac:dyDescent="0.25">
      <c r="A161" t="s">
        <v>2285</v>
      </c>
      <c r="B161" s="1" t="s">
        <v>2289</v>
      </c>
      <c r="C161" s="1" t="s">
        <v>2430</v>
      </c>
      <c r="D161" s="1" t="s">
        <v>2454</v>
      </c>
      <c r="E161" s="1" t="s">
        <v>2455</v>
      </c>
      <c r="F161" s="2" t="s">
        <v>2301</v>
      </c>
      <c r="G161" s="1" t="s">
        <v>2304</v>
      </c>
      <c r="H161" s="2">
        <v>9</v>
      </c>
      <c r="I161" s="3" t="s">
        <v>2316</v>
      </c>
      <c r="J161" t="s">
        <v>2365</v>
      </c>
      <c r="M161" s="3" t="s">
        <v>2300</v>
      </c>
      <c r="N161" s="3" t="s">
        <v>2255</v>
      </c>
      <c r="O161" t="s">
        <v>2310</v>
      </c>
    </row>
    <row r="162" spans="1:15" x14ac:dyDescent="0.25">
      <c r="A162" t="s">
        <v>2285</v>
      </c>
      <c r="B162" s="1" t="e">
        <v>#N/A</v>
      </c>
      <c r="C162" s="1" t="e">
        <v>#N/A</v>
      </c>
      <c r="D162" s="1" t="e">
        <v>#N/A</v>
      </c>
      <c r="E162" s="1" t="s">
        <v>2455</v>
      </c>
      <c r="F162" s="2" t="s">
        <v>2301</v>
      </c>
      <c r="G162" s="1" t="s">
        <v>2304</v>
      </c>
      <c r="H162" s="2">
        <v>9</v>
      </c>
      <c r="I162" s="3" t="s">
        <v>2317</v>
      </c>
      <c r="J162" t="s">
        <v>2365</v>
      </c>
      <c r="M162" s="3" t="s">
        <v>2300</v>
      </c>
      <c r="N162" s="3" t="s">
        <v>2255</v>
      </c>
      <c r="O162" t="s">
        <v>2310</v>
      </c>
    </row>
    <row r="163" spans="1:15" x14ac:dyDescent="0.25">
      <c r="A163" t="s">
        <v>2285</v>
      </c>
      <c r="B163" s="1" t="e">
        <v>#N/A</v>
      </c>
      <c r="C163" s="1" t="e">
        <v>#N/A</v>
      </c>
      <c r="D163" s="1" t="e">
        <v>#N/A</v>
      </c>
      <c r="E163" s="1" t="s">
        <v>2455</v>
      </c>
      <c r="F163" s="2" t="s">
        <v>2301</v>
      </c>
      <c r="G163" s="1" t="s">
        <v>2304</v>
      </c>
      <c r="H163" s="2">
        <v>9</v>
      </c>
      <c r="I163" s="3" t="s">
        <v>5</v>
      </c>
      <c r="J163" t="s">
        <v>2365</v>
      </c>
      <c r="M163" s="3" t="s">
        <v>2300</v>
      </c>
      <c r="N163" s="3" t="s">
        <v>2255</v>
      </c>
      <c r="O163" t="s">
        <v>2310</v>
      </c>
    </row>
    <row r="164" spans="1:15" x14ac:dyDescent="0.25">
      <c r="A164" t="s">
        <v>2285</v>
      </c>
      <c r="B164" s="1" t="e">
        <v>#N/A</v>
      </c>
      <c r="C164" s="1" t="e">
        <v>#N/A</v>
      </c>
      <c r="D164" s="1" t="e">
        <v>#N/A</v>
      </c>
      <c r="E164" s="1" t="s">
        <v>2455</v>
      </c>
      <c r="F164" s="2" t="s">
        <v>2301</v>
      </c>
      <c r="G164" s="1" t="s">
        <v>2304</v>
      </c>
      <c r="H164" s="2">
        <v>9</v>
      </c>
      <c r="I164" s="3" t="s">
        <v>2317</v>
      </c>
      <c r="J164" t="s">
        <v>2365</v>
      </c>
      <c r="M164" s="3" t="s">
        <v>2300</v>
      </c>
      <c r="N164" s="3" t="s">
        <v>2255</v>
      </c>
      <c r="O164" t="s">
        <v>2310</v>
      </c>
    </row>
    <row r="165" spans="1:15" x14ac:dyDescent="0.25">
      <c r="A165" t="s">
        <v>2285</v>
      </c>
      <c r="B165" s="1" t="e">
        <v>#N/A</v>
      </c>
      <c r="C165" s="1" t="e">
        <v>#N/A</v>
      </c>
      <c r="D165" s="1" t="e">
        <v>#N/A</v>
      </c>
      <c r="E165" s="1" t="s">
        <v>2455</v>
      </c>
      <c r="F165" s="2" t="s">
        <v>2301</v>
      </c>
      <c r="G165" s="1" t="s">
        <v>2303</v>
      </c>
      <c r="H165" s="2">
        <v>9</v>
      </c>
      <c r="I165" s="3" t="s">
        <v>2315</v>
      </c>
      <c r="J165" t="s">
        <v>2365</v>
      </c>
      <c r="M165" s="3" t="s">
        <v>2300</v>
      </c>
      <c r="N165" s="3" t="s">
        <v>2256</v>
      </c>
      <c r="O165" t="s">
        <v>2310</v>
      </c>
    </row>
    <row r="166" spans="1:15" x14ac:dyDescent="0.25">
      <c r="A166" t="s">
        <v>2285</v>
      </c>
      <c r="B166" s="1" t="e">
        <v>#N/A</v>
      </c>
      <c r="C166" s="1" t="e">
        <v>#N/A</v>
      </c>
      <c r="D166" s="1" t="e">
        <v>#N/A</v>
      </c>
      <c r="E166" s="1" t="s">
        <v>2455</v>
      </c>
      <c r="F166" s="2" t="s">
        <v>2301</v>
      </c>
      <c r="G166" s="1" t="s">
        <v>2303</v>
      </c>
      <c r="H166" s="2">
        <v>9</v>
      </c>
      <c r="I166" s="3" t="s">
        <v>2315</v>
      </c>
      <c r="J166" t="s">
        <v>2365</v>
      </c>
      <c r="M166" s="3" t="s">
        <v>2300</v>
      </c>
      <c r="N166" s="3" t="s">
        <v>2256</v>
      </c>
      <c r="O166" t="s">
        <v>2310</v>
      </c>
    </row>
    <row r="167" spans="1:15" x14ac:dyDescent="0.25">
      <c r="A167" t="s">
        <v>2285</v>
      </c>
      <c r="B167" s="1" t="e">
        <v>#N/A</v>
      </c>
      <c r="C167" s="1" t="e">
        <v>#N/A</v>
      </c>
      <c r="D167" s="1" t="e">
        <v>#N/A</v>
      </c>
      <c r="E167" s="1" t="s">
        <v>2455</v>
      </c>
      <c r="F167" s="2" t="s">
        <v>2301</v>
      </c>
      <c r="G167" s="1" t="s">
        <v>2304</v>
      </c>
      <c r="H167" s="2">
        <v>9</v>
      </c>
      <c r="I167" s="3" t="s">
        <v>2318</v>
      </c>
      <c r="J167" t="s">
        <v>2365</v>
      </c>
      <c r="M167" s="3" t="s">
        <v>2300</v>
      </c>
      <c r="N167" s="3" t="s">
        <v>2255</v>
      </c>
      <c r="O167" t="s">
        <v>2310</v>
      </c>
    </row>
    <row r="168" spans="1:15" x14ac:dyDescent="0.25">
      <c r="A168" t="s">
        <v>2285</v>
      </c>
      <c r="B168" s="1" t="e">
        <v>#N/A</v>
      </c>
      <c r="C168" s="1" t="e">
        <v>#N/A</v>
      </c>
      <c r="D168" s="1" t="e">
        <v>#N/A</v>
      </c>
      <c r="E168" s="1" t="s">
        <v>2455</v>
      </c>
      <c r="F168" s="2" t="s">
        <v>2301</v>
      </c>
      <c r="G168" s="1" t="s">
        <v>2304</v>
      </c>
      <c r="H168" s="2">
        <v>9</v>
      </c>
      <c r="I168" s="3" t="s">
        <v>2357</v>
      </c>
      <c r="J168" t="s">
        <v>2365</v>
      </c>
      <c r="M168" s="3" t="s">
        <v>2300</v>
      </c>
      <c r="N168" s="3" t="s">
        <v>2255</v>
      </c>
      <c r="O168" t="s">
        <v>2310</v>
      </c>
    </row>
    <row r="169" spans="1:15" x14ac:dyDescent="0.25">
      <c r="A169" t="s">
        <v>2285</v>
      </c>
      <c r="B169" s="1" t="e">
        <v>#N/A</v>
      </c>
      <c r="C169" s="1" t="e">
        <v>#N/A</v>
      </c>
      <c r="D169" s="1" t="e">
        <v>#N/A</v>
      </c>
      <c r="E169" s="1" t="s">
        <v>2455</v>
      </c>
      <c r="F169" s="2" t="s">
        <v>2301</v>
      </c>
      <c r="G169" s="1" t="s">
        <v>2304</v>
      </c>
      <c r="H169" s="2">
        <v>9</v>
      </c>
      <c r="I169" s="3" t="s">
        <v>2315</v>
      </c>
      <c r="J169" t="s">
        <v>2365</v>
      </c>
      <c r="M169" s="3" t="s">
        <v>2300</v>
      </c>
      <c r="N169" s="3" t="s">
        <v>2255</v>
      </c>
      <c r="O169" t="s">
        <v>2310</v>
      </c>
    </row>
    <row r="170" spans="1:15" x14ac:dyDescent="0.25">
      <c r="A170" t="s">
        <v>2285</v>
      </c>
      <c r="B170" s="1" t="e">
        <v>#N/A</v>
      </c>
      <c r="C170" s="1" t="e">
        <v>#N/A</v>
      </c>
      <c r="D170" s="1" t="e">
        <v>#N/A</v>
      </c>
      <c r="E170" s="1" t="s">
        <v>2455</v>
      </c>
      <c r="F170" s="2" t="s">
        <v>2301</v>
      </c>
      <c r="G170" s="1" t="s">
        <v>2304</v>
      </c>
      <c r="H170" s="2">
        <v>9</v>
      </c>
      <c r="I170" s="3" t="s">
        <v>2318</v>
      </c>
      <c r="J170" t="s">
        <v>2365</v>
      </c>
      <c r="M170" s="3" t="s">
        <v>2300</v>
      </c>
      <c r="N170" s="3" t="s">
        <v>2255</v>
      </c>
      <c r="O170" t="s">
        <v>2310</v>
      </c>
    </row>
    <row r="171" spans="1:15" x14ac:dyDescent="0.25">
      <c r="A171" t="s">
        <v>2285</v>
      </c>
      <c r="B171" s="1" t="e">
        <v>#N/A</v>
      </c>
      <c r="C171" s="1" t="e">
        <v>#N/A</v>
      </c>
      <c r="D171" s="1" t="e">
        <v>#N/A</v>
      </c>
      <c r="E171" s="1" t="s">
        <v>2455</v>
      </c>
      <c r="F171" s="2" t="s">
        <v>2301</v>
      </c>
      <c r="G171" s="1" t="s">
        <v>2304</v>
      </c>
      <c r="H171" s="2">
        <v>9</v>
      </c>
      <c r="I171" s="3" t="s">
        <v>2317</v>
      </c>
      <c r="J171" t="s">
        <v>2365</v>
      </c>
      <c r="M171" s="3" t="s">
        <v>2300</v>
      </c>
      <c r="N171" s="3" t="s">
        <v>2255</v>
      </c>
      <c r="O171" t="s">
        <v>2310</v>
      </c>
    </row>
    <row r="172" spans="1:15" x14ac:dyDescent="0.25">
      <c r="A172" t="s">
        <v>2285</v>
      </c>
      <c r="B172" s="1" t="e">
        <v>#N/A</v>
      </c>
      <c r="C172" s="1" t="e">
        <v>#N/A</v>
      </c>
      <c r="D172" s="1" t="e">
        <v>#N/A</v>
      </c>
      <c r="E172" s="1" t="s">
        <v>2455</v>
      </c>
      <c r="F172" s="2" t="s">
        <v>2301</v>
      </c>
      <c r="G172" s="1" t="s">
        <v>2304</v>
      </c>
      <c r="H172" s="2">
        <v>9</v>
      </c>
      <c r="I172" s="3" t="s">
        <v>2357</v>
      </c>
      <c r="J172" t="s">
        <v>2365</v>
      </c>
      <c r="M172" s="3" t="s">
        <v>2300</v>
      </c>
      <c r="N172" s="3" t="s">
        <v>2255</v>
      </c>
      <c r="O172" t="s">
        <v>2310</v>
      </c>
    </row>
    <row r="173" spans="1:15" x14ac:dyDescent="0.25">
      <c r="A173" t="s">
        <v>2285</v>
      </c>
      <c r="B173" s="1" t="e">
        <v>#N/A</v>
      </c>
      <c r="C173" s="1" t="e">
        <v>#N/A</v>
      </c>
      <c r="D173" s="1" t="e">
        <v>#N/A</v>
      </c>
      <c r="E173" s="1" t="s">
        <v>2455</v>
      </c>
      <c r="F173" s="2" t="s">
        <v>2301</v>
      </c>
      <c r="G173" s="1" t="s">
        <v>2304</v>
      </c>
      <c r="H173" s="2">
        <v>9</v>
      </c>
      <c r="I173" s="3" t="s">
        <v>2317</v>
      </c>
      <c r="J173" t="s">
        <v>2365</v>
      </c>
      <c r="M173" s="3" t="s">
        <v>2300</v>
      </c>
      <c r="N173" s="3" t="s">
        <v>2255</v>
      </c>
      <c r="O173" t="s">
        <v>2310</v>
      </c>
    </row>
    <row r="174" spans="1:15" x14ac:dyDescent="0.25">
      <c r="A174" t="s">
        <v>2285</v>
      </c>
      <c r="B174" s="1" t="e">
        <v>#N/A</v>
      </c>
      <c r="C174" s="1" t="e">
        <v>#N/A</v>
      </c>
      <c r="D174" s="1" t="e">
        <v>#N/A</v>
      </c>
      <c r="E174" s="1" t="s">
        <v>2455</v>
      </c>
      <c r="F174" s="2" t="s">
        <v>2301</v>
      </c>
      <c r="G174" s="1" t="s">
        <v>2304</v>
      </c>
      <c r="H174" s="2">
        <v>9</v>
      </c>
      <c r="I174" s="3" t="s">
        <v>2317</v>
      </c>
      <c r="J174" t="s">
        <v>2365</v>
      </c>
      <c r="M174" s="3" t="s">
        <v>2300</v>
      </c>
      <c r="N174" s="3" t="s">
        <v>2255</v>
      </c>
      <c r="O174" t="s">
        <v>2310</v>
      </c>
    </row>
    <row r="175" spans="1:15" x14ac:dyDescent="0.25">
      <c r="A175" t="s">
        <v>2285</v>
      </c>
      <c r="B175" s="1" t="s">
        <v>2289</v>
      </c>
      <c r="C175" s="1" t="s">
        <v>2430</v>
      </c>
      <c r="D175" s="1" t="s">
        <v>2454</v>
      </c>
      <c r="E175" s="1" t="s">
        <v>2455</v>
      </c>
      <c r="F175" s="2" t="s">
        <v>2301</v>
      </c>
      <c r="G175" s="1" t="s">
        <v>2304</v>
      </c>
      <c r="H175" s="2">
        <v>9</v>
      </c>
      <c r="I175" s="3" t="s">
        <v>2</v>
      </c>
      <c r="J175" t="s">
        <v>2365</v>
      </c>
      <c r="M175" s="3" t="s">
        <v>2300</v>
      </c>
      <c r="N175" s="3" t="s">
        <v>2255</v>
      </c>
      <c r="O175" t="s">
        <v>2310</v>
      </c>
    </row>
    <row r="176" spans="1:15" x14ac:dyDescent="0.25">
      <c r="A176" t="s">
        <v>2285</v>
      </c>
      <c r="B176" s="1" t="e">
        <v>#N/A</v>
      </c>
      <c r="C176" s="1" t="e">
        <v>#N/A</v>
      </c>
      <c r="D176" s="1" t="e">
        <v>#N/A</v>
      </c>
      <c r="E176" s="1" t="s">
        <v>2455</v>
      </c>
      <c r="F176" s="2" t="s">
        <v>2301</v>
      </c>
      <c r="G176" s="1" t="s">
        <v>2304</v>
      </c>
      <c r="H176" s="2">
        <v>9</v>
      </c>
      <c r="I176" s="3" t="s">
        <v>2338</v>
      </c>
      <c r="J176" t="s">
        <v>2365</v>
      </c>
      <c r="M176" s="3" t="s">
        <v>2300</v>
      </c>
      <c r="N176" s="3" t="s">
        <v>2255</v>
      </c>
      <c r="O176" t="s">
        <v>2310</v>
      </c>
    </row>
    <row r="177" spans="1:15" x14ac:dyDescent="0.25">
      <c r="A177" t="s">
        <v>2285</v>
      </c>
      <c r="B177" s="1" t="e">
        <v>#N/A</v>
      </c>
      <c r="C177" s="1" t="e">
        <v>#N/A</v>
      </c>
      <c r="D177" s="1" t="e">
        <v>#N/A</v>
      </c>
      <c r="E177" s="1" t="s">
        <v>2455</v>
      </c>
      <c r="F177" s="2" t="s">
        <v>2301</v>
      </c>
      <c r="G177" s="1" t="s">
        <v>2304</v>
      </c>
      <c r="H177" s="2">
        <v>9</v>
      </c>
      <c r="I177" s="3" t="s">
        <v>2338</v>
      </c>
      <c r="J177" t="s">
        <v>2365</v>
      </c>
      <c r="M177" s="3" t="s">
        <v>2300</v>
      </c>
      <c r="N177" s="3" t="s">
        <v>2255</v>
      </c>
      <c r="O177" t="s">
        <v>2310</v>
      </c>
    </row>
    <row r="178" spans="1:15" x14ac:dyDescent="0.25">
      <c r="A178" t="s">
        <v>2285</v>
      </c>
      <c r="B178" s="1" t="e">
        <v>#N/A</v>
      </c>
      <c r="C178" s="1" t="e">
        <v>#N/A</v>
      </c>
      <c r="D178" s="1" t="e">
        <v>#N/A</v>
      </c>
      <c r="E178" s="1" t="s">
        <v>2455</v>
      </c>
      <c r="F178" s="2" t="s">
        <v>2301</v>
      </c>
      <c r="G178" s="1" t="s">
        <v>2304</v>
      </c>
      <c r="H178" s="2">
        <v>9</v>
      </c>
      <c r="I178" s="3" t="s">
        <v>2316</v>
      </c>
      <c r="J178" t="s">
        <v>2365</v>
      </c>
      <c r="M178" s="3" t="s">
        <v>2300</v>
      </c>
      <c r="N178" s="3" t="s">
        <v>2255</v>
      </c>
      <c r="O178" t="s">
        <v>2310</v>
      </c>
    </row>
    <row r="179" spans="1:15" x14ac:dyDescent="0.25">
      <c r="A179" t="s">
        <v>2285</v>
      </c>
      <c r="B179" s="1" t="e">
        <v>#N/A</v>
      </c>
      <c r="C179" s="1" t="e">
        <v>#N/A</v>
      </c>
      <c r="D179" s="1" t="e">
        <v>#N/A</v>
      </c>
      <c r="E179" s="1" t="s">
        <v>2455</v>
      </c>
      <c r="F179" s="2" t="s">
        <v>2301</v>
      </c>
      <c r="G179" s="1" t="s">
        <v>2303</v>
      </c>
      <c r="H179" s="2">
        <v>9</v>
      </c>
      <c r="I179" s="3" t="s">
        <v>2318</v>
      </c>
      <c r="J179" t="s">
        <v>2365</v>
      </c>
      <c r="M179" s="3" t="s">
        <v>2300</v>
      </c>
      <c r="N179" s="3" t="s">
        <v>2256</v>
      </c>
      <c r="O179" t="s">
        <v>2310</v>
      </c>
    </row>
    <row r="180" spans="1:15" x14ac:dyDescent="0.25">
      <c r="A180" t="s">
        <v>2285</v>
      </c>
      <c r="B180" s="1" t="e">
        <v>#N/A</v>
      </c>
      <c r="C180" s="1" t="e">
        <v>#N/A</v>
      </c>
      <c r="D180" s="1" t="e">
        <v>#N/A</v>
      </c>
      <c r="E180" s="1" t="s">
        <v>2455</v>
      </c>
      <c r="F180" s="2" t="s">
        <v>2301</v>
      </c>
      <c r="G180" s="1" t="s">
        <v>2305</v>
      </c>
      <c r="H180" s="2">
        <v>9</v>
      </c>
      <c r="I180" s="3" t="s">
        <v>2357</v>
      </c>
      <c r="J180" t="s">
        <v>2365</v>
      </c>
      <c r="M180" s="3" t="s">
        <v>2300</v>
      </c>
      <c r="N180" s="3" t="s">
        <v>2258</v>
      </c>
      <c r="O180" t="s">
        <v>2310</v>
      </c>
    </row>
    <row r="181" spans="1:15" x14ac:dyDescent="0.25">
      <c r="A181" t="s">
        <v>2285</v>
      </c>
      <c r="B181" s="1" t="e">
        <v>#N/A</v>
      </c>
      <c r="C181" s="1" t="e">
        <v>#N/A</v>
      </c>
      <c r="D181" s="1" t="e">
        <v>#N/A</v>
      </c>
      <c r="E181" s="1" t="s">
        <v>2455</v>
      </c>
      <c r="F181" s="2" t="s">
        <v>2301</v>
      </c>
      <c r="G181" s="1" t="s">
        <v>2304</v>
      </c>
      <c r="H181" s="2">
        <v>9</v>
      </c>
      <c r="I181" s="3" t="s">
        <v>2317</v>
      </c>
      <c r="J181" t="s">
        <v>2365</v>
      </c>
      <c r="M181" s="3" t="s">
        <v>2300</v>
      </c>
      <c r="N181" s="3" t="s">
        <v>2255</v>
      </c>
      <c r="O181" t="s">
        <v>2310</v>
      </c>
    </row>
    <row r="182" spans="1:15" x14ac:dyDescent="0.25">
      <c r="A182" t="s">
        <v>2285</v>
      </c>
      <c r="B182" s="1" t="e">
        <v>#N/A</v>
      </c>
      <c r="C182" s="1" t="e">
        <v>#N/A</v>
      </c>
      <c r="D182" s="1" t="e">
        <v>#N/A</v>
      </c>
      <c r="E182" s="1" t="s">
        <v>2455</v>
      </c>
      <c r="F182" s="2" t="s">
        <v>2301</v>
      </c>
      <c r="G182" s="1" t="s">
        <v>2304</v>
      </c>
      <c r="H182" s="2">
        <v>9</v>
      </c>
      <c r="I182" s="3" t="s">
        <v>9</v>
      </c>
      <c r="J182" t="s">
        <v>2365</v>
      </c>
      <c r="M182" s="3" t="s">
        <v>2300</v>
      </c>
      <c r="N182" s="3" t="s">
        <v>2255</v>
      </c>
      <c r="O182" t="s">
        <v>2310</v>
      </c>
    </row>
    <row r="183" spans="1:15" x14ac:dyDescent="0.25">
      <c r="A183" t="s">
        <v>2285</v>
      </c>
      <c r="B183" s="1" t="e">
        <v>#N/A</v>
      </c>
      <c r="C183" s="1" t="e">
        <v>#N/A</v>
      </c>
      <c r="D183" s="1" t="e">
        <v>#N/A</v>
      </c>
      <c r="E183" s="1" t="s">
        <v>2455</v>
      </c>
      <c r="F183" s="2" t="s">
        <v>2301</v>
      </c>
      <c r="G183" s="1" t="s">
        <v>2304</v>
      </c>
      <c r="H183" s="2">
        <v>9</v>
      </c>
      <c r="I183" s="3" t="s">
        <v>2317</v>
      </c>
      <c r="J183" t="s">
        <v>2365</v>
      </c>
      <c r="M183" s="3" t="s">
        <v>2300</v>
      </c>
      <c r="N183" s="3" t="s">
        <v>2255</v>
      </c>
      <c r="O183" t="s">
        <v>2310</v>
      </c>
    </row>
    <row r="184" spans="1:15" x14ac:dyDescent="0.25">
      <c r="A184" t="s">
        <v>2285</v>
      </c>
      <c r="B184" s="1" t="e">
        <v>#N/A</v>
      </c>
      <c r="C184" s="1" t="e">
        <v>#N/A</v>
      </c>
      <c r="D184" s="1" t="e">
        <v>#N/A</v>
      </c>
      <c r="E184" s="1" t="s">
        <v>2455</v>
      </c>
      <c r="F184" s="2" t="s">
        <v>2301</v>
      </c>
      <c r="G184" s="1" t="s">
        <v>2303</v>
      </c>
      <c r="H184" s="2">
        <v>9</v>
      </c>
      <c r="I184" s="3" t="s">
        <v>2316</v>
      </c>
      <c r="J184" t="s">
        <v>2365</v>
      </c>
      <c r="M184" s="3" t="s">
        <v>2300</v>
      </c>
      <c r="N184" s="3" t="s">
        <v>2256</v>
      </c>
      <c r="O184" t="s">
        <v>2310</v>
      </c>
    </row>
    <row r="185" spans="1:15" x14ac:dyDescent="0.25">
      <c r="A185" t="s">
        <v>2285</v>
      </c>
      <c r="B185" s="1" t="e">
        <v>#N/A</v>
      </c>
      <c r="C185" s="1" t="e">
        <v>#N/A</v>
      </c>
      <c r="D185" s="1" t="e">
        <v>#N/A</v>
      </c>
      <c r="E185" s="1" t="s">
        <v>2455</v>
      </c>
      <c r="F185" s="2" t="s">
        <v>2301</v>
      </c>
      <c r="G185" s="1" t="s">
        <v>2304</v>
      </c>
      <c r="H185" s="2">
        <v>9</v>
      </c>
      <c r="I185" s="3" t="s">
        <v>2317</v>
      </c>
      <c r="J185" t="s">
        <v>2365</v>
      </c>
      <c r="M185" s="3" t="s">
        <v>2300</v>
      </c>
      <c r="N185" s="3" t="s">
        <v>2255</v>
      </c>
      <c r="O185" t="s">
        <v>2310</v>
      </c>
    </row>
    <row r="186" spans="1:15" x14ac:dyDescent="0.25">
      <c r="A186" t="s">
        <v>2285</v>
      </c>
      <c r="B186" s="1" t="e">
        <v>#N/A</v>
      </c>
      <c r="C186" s="1" t="e">
        <v>#N/A</v>
      </c>
      <c r="D186" s="1" t="e">
        <v>#N/A</v>
      </c>
      <c r="E186" s="1" t="s">
        <v>2455</v>
      </c>
      <c r="F186" s="2" t="s">
        <v>2301</v>
      </c>
      <c r="G186" s="1" t="s">
        <v>2304</v>
      </c>
      <c r="H186" s="2">
        <v>8</v>
      </c>
      <c r="I186" s="3" t="s">
        <v>2333</v>
      </c>
      <c r="J186" t="s">
        <v>2365</v>
      </c>
      <c r="M186" s="3" t="s">
        <v>2300</v>
      </c>
      <c r="N186" s="3" t="s">
        <v>2255</v>
      </c>
      <c r="O186" t="s">
        <v>2310</v>
      </c>
    </row>
    <row r="187" spans="1:15" x14ac:dyDescent="0.25">
      <c r="A187" t="s">
        <v>2285</v>
      </c>
      <c r="B187" s="1" t="e">
        <v>#N/A</v>
      </c>
      <c r="C187" s="1" t="e">
        <v>#N/A</v>
      </c>
      <c r="D187" s="1" t="e">
        <v>#N/A</v>
      </c>
      <c r="E187" s="1" t="s">
        <v>2455</v>
      </c>
      <c r="F187" s="2" t="s">
        <v>2301</v>
      </c>
      <c r="G187" s="1" t="s">
        <v>2304</v>
      </c>
      <c r="H187" s="2">
        <v>8</v>
      </c>
      <c r="I187" s="3" t="s">
        <v>2317</v>
      </c>
      <c r="J187" t="s">
        <v>2365</v>
      </c>
      <c r="M187" s="3" t="s">
        <v>2300</v>
      </c>
      <c r="N187" s="3" t="s">
        <v>2255</v>
      </c>
      <c r="O187" t="s">
        <v>2310</v>
      </c>
    </row>
    <row r="188" spans="1:15" x14ac:dyDescent="0.25">
      <c r="A188" t="s">
        <v>2285</v>
      </c>
      <c r="B188" s="1" t="e">
        <v>#N/A</v>
      </c>
      <c r="C188" s="1" t="e">
        <v>#N/A</v>
      </c>
      <c r="D188" s="1" t="e">
        <v>#N/A</v>
      </c>
      <c r="E188" s="1" t="s">
        <v>2455</v>
      </c>
      <c r="F188" s="2" t="s">
        <v>2301</v>
      </c>
      <c r="G188" s="1" t="s">
        <v>2303</v>
      </c>
      <c r="H188" s="2">
        <v>8</v>
      </c>
      <c r="I188" s="3" t="s">
        <v>2315</v>
      </c>
      <c r="J188" t="s">
        <v>2365</v>
      </c>
      <c r="M188" s="3" t="s">
        <v>2300</v>
      </c>
      <c r="N188" s="3" t="s">
        <v>2256</v>
      </c>
      <c r="O188" t="s">
        <v>2310</v>
      </c>
    </row>
    <row r="189" spans="1:15" x14ac:dyDescent="0.25">
      <c r="A189" t="s">
        <v>2285</v>
      </c>
      <c r="B189" s="1" t="e">
        <v>#N/A</v>
      </c>
      <c r="C189" s="1" t="e">
        <v>#N/A</v>
      </c>
      <c r="D189" s="1" t="e">
        <v>#N/A</v>
      </c>
      <c r="E189" s="1" t="s">
        <v>2455</v>
      </c>
      <c r="F189" s="2" t="s">
        <v>2301</v>
      </c>
      <c r="G189" s="1" t="s">
        <v>2305</v>
      </c>
      <c r="H189" s="2">
        <v>8</v>
      </c>
      <c r="I189" s="3" t="s">
        <v>2316</v>
      </c>
      <c r="J189" t="s">
        <v>2365</v>
      </c>
      <c r="M189" s="3" t="s">
        <v>2300</v>
      </c>
      <c r="N189" s="3" t="s">
        <v>2257</v>
      </c>
      <c r="O189" t="s">
        <v>2310</v>
      </c>
    </row>
    <row r="190" spans="1:15" x14ac:dyDescent="0.25">
      <c r="A190" t="s">
        <v>2285</v>
      </c>
      <c r="B190" s="1" t="e">
        <v>#N/A</v>
      </c>
      <c r="C190" s="1" t="e">
        <v>#N/A</v>
      </c>
      <c r="D190" s="1" t="e">
        <v>#N/A</v>
      </c>
      <c r="E190" s="1" t="s">
        <v>2455</v>
      </c>
      <c r="F190" s="2" t="s">
        <v>2301</v>
      </c>
      <c r="G190" s="1" t="s">
        <v>2304</v>
      </c>
      <c r="H190" s="2">
        <v>8</v>
      </c>
      <c r="I190" s="3" t="s">
        <v>2315</v>
      </c>
      <c r="J190" t="s">
        <v>2365</v>
      </c>
      <c r="M190" s="3" t="s">
        <v>2300</v>
      </c>
      <c r="N190" s="3" t="s">
        <v>2255</v>
      </c>
      <c r="O190" t="s">
        <v>2310</v>
      </c>
    </row>
    <row r="191" spans="1:15" x14ac:dyDescent="0.25">
      <c r="A191" t="s">
        <v>2285</v>
      </c>
      <c r="B191" s="1" t="e">
        <v>#N/A</v>
      </c>
      <c r="C191" s="1" t="e">
        <v>#N/A</v>
      </c>
      <c r="D191" s="1" t="e">
        <v>#N/A</v>
      </c>
      <c r="E191" s="1" t="s">
        <v>2455</v>
      </c>
      <c r="F191" s="2" t="s">
        <v>2301</v>
      </c>
      <c r="G191" s="1" t="s">
        <v>2304</v>
      </c>
      <c r="H191" s="2">
        <v>8</v>
      </c>
      <c r="I191" s="3" t="s">
        <v>2333</v>
      </c>
      <c r="J191" t="s">
        <v>2365</v>
      </c>
      <c r="M191" s="3" t="s">
        <v>2300</v>
      </c>
      <c r="N191" s="3" t="s">
        <v>2255</v>
      </c>
      <c r="O191" t="s">
        <v>2310</v>
      </c>
    </row>
    <row r="192" spans="1:15" x14ac:dyDescent="0.25">
      <c r="A192" t="s">
        <v>2285</v>
      </c>
      <c r="B192" s="1" t="e">
        <v>#N/A</v>
      </c>
      <c r="C192" s="1" t="e">
        <v>#N/A</v>
      </c>
      <c r="D192" s="1" t="e">
        <v>#N/A</v>
      </c>
      <c r="E192" s="1" t="s">
        <v>2455</v>
      </c>
      <c r="F192" s="2" t="s">
        <v>2301</v>
      </c>
      <c r="G192" s="1" t="s">
        <v>2304</v>
      </c>
      <c r="H192" s="2">
        <v>8</v>
      </c>
      <c r="I192" s="3" t="s">
        <v>2317</v>
      </c>
      <c r="J192" t="s">
        <v>2365</v>
      </c>
      <c r="M192" s="3" t="s">
        <v>2300</v>
      </c>
      <c r="N192" s="3" t="s">
        <v>2255</v>
      </c>
      <c r="O192" t="s">
        <v>2310</v>
      </c>
    </row>
    <row r="193" spans="1:15" x14ac:dyDescent="0.25">
      <c r="A193" t="s">
        <v>2285</v>
      </c>
      <c r="B193" s="1" t="e">
        <v>#N/A</v>
      </c>
      <c r="C193" s="1" t="e">
        <v>#N/A</v>
      </c>
      <c r="D193" s="1" t="e">
        <v>#N/A</v>
      </c>
      <c r="E193" s="1" t="s">
        <v>2455</v>
      </c>
      <c r="F193" s="2" t="s">
        <v>2301</v>
      </c>
      <c r="G193" s="1" t="s">
        <v>2304</v>
      </c>
      <c r="H193" s="2">
        <v>8</v>
      </c>
      <c r="I193" s="3" t="s">
        <v>2329</v>
      </c>
      <c r="J193" t="s">
        <v>2365</v>
      </c>
      <c r="M193" s="3" t="s">
        <v>2300</v>
      </c>
      <c r="N193" s="3" t="s">
        <v>2255</v>
      </c>
      <c r="O193" t="s">
        <v>2310</v>
      </c>
    </row>
    <row r="194" spans="1:15" x14ac:dyDescent="0.25">
      <c r="A194" t="s">
        <v>2285</v>
      </c>
      <c r="B194" s="1" t="e">
        <v>#N/A</v>
      </c>
      <c r="C194" s="1" t="e">
        <v>#N/A</v>
      </c>
      <c r="D194" s="1" t="e">
        <v>#N/A</v>
      </c>
      <c r="E194" s="1" t="s">
        <v>2455</v>
      </c>
      <c r="F194" s="2" t="s">
        <v>2301</v>
      </c>
      <c r="G194" s="1" t="s">
        <v>2303</v>
      </c>
      <c r="H194" s="2">
        <v>8</v>
      </c>
      <c r="I194" s="3" t="s">
        <v>2329</v>
      </c>
      <c r="J194" t="s">
        <v>2365</v>
      </c>
      <c r="M194" s="3" t="s">
        <v>2300</v>
      </c>
      <c r="N194" s="3" t="s">
        <v>2256</v>
      </c>
      <c r="O194" t="s">
        <v>2310</v>
      </c>
    </row>
    <row r="195" spans="1:15" x14ac:dyDescent="0.25">
      <c r="A195" t="s">
        <v>2285</v>
      </c>
      <c r="B195" s="1" t="e">
        <v>#N/A</v>
      </c>
      <c r="C195" s="1" t="e">
        <v>#N/A</v>
      </c>
      <c r="D195" s="1" t="e">
        <v>#N/A</v>
      </c>
      <c r="E195" s="1" t="s">
        <v>2455</v>
      </c>
      <c r="F195" s="2" t="s">
        <v>2301</v>
      </c>
      <c r="G195" s="1" t="s">
        <v>2304</v>
      </c>
      <c r="H195" s="2">
        <v>8</v>
      </c>
      <c r="I195" s="3" t="s">
        <v>2317</v>
      </c>
      <c r="J195" t="s">
        <v>2365</v>
      </c>
      <c r="M195" s="3" t="s">
        <v>2300</v>
      </c>
      <c r="N195" s="3" t="s">
        <v>2255</v>
      </c>
      <c r="O195" t="s">
        <v>2310</v>
      </c>
    </row>
    <row r="196" spans="1:15" x14ac:dyDescent="0.25">
      <c r="A196" t="s">
        <v>2285</v>
      </c>
      <c r="B196" s="1" t="e">
        <v>#N/A</v>
      </c>
      <c r="C196" s="1" t="e">
        <v>#N/A</v>
      </c>
      <c r="D196" s="1" t="e">
        <v>#N/A</v>
      </c>
      <c r="E196" s="1" t="s">
        <v>2455</v>
      </c>
      <c r="F196" s="2" t="s">
        <v>2301</v>
      </c>
      <c r="G196" s="1" t="s">
        <v>2304</v>
      </c>
      <c r="H196" s="2">
        <v>8</v>
      </c>
      <c r="I196" s="3" t="s">
        <v>2317</v>
      </c>
      <c r="J196" t="s">
        <v>2365</v>
      </c>
      <c r="M196" s="3" t="s">
        <v>2300</v>
      </c>
      <c r="N196" s="3" t="s">
        <v>2255</v>
      </c>
      <c r="O196" t="s">
        <v>2310</v>
      </c>
    </row>
    <row r="197" spans="1:15" x14ac:dyDescent="0.25">
      <c r="A197" t="s">
        <v>2285</v>
      </c>
      <c r="B197" s="1" t="e">
        <v>#N/A</v>
      </c>
      <c r="C197" s="1" t="e">
        <v>#N/A</v>
      </c>
      <c r="D197" s="1" t="e">
        <v>#N/A</v>
      </c>
      <c r="E197" s="1" t="s">
        <v>2455</v>
      </c>
      <c r="F197" s="2" t="s">
        <v>2301</v>
      </c>
      <c r="G197" s="1" t="s">
        <v>2305</v>
      </c>
      <c r="H197" s="2">
        <v>8</v>
      </c>
      <c r="I197" s="3" t="s">
        <v>2315</v>
      </c>
      <c r="J197" t="s">
        <v>2365</v>
      </c>
      <c r="M197" s="3" t="s">
        <v>2300</v>
      </c>
      <c r="N197" s="3" t="s">
        <v>2258</v>
      </c>
      <c r="O197" t="s">
        <v>2310</v>
      </c>
    </row>
    <row r="198" spans="1:15" x14ac:dyDescent="0.25">
      <c r="A198" t="s">
        <v>2285</v>
      </c>
      <c r="B198" s="1" t="e">
        <v>#N/A</v>
      </c>
      <c r="C198" s="1" t="e">
        <v>#N/A</v>
      </c>
      <c r="D198" s="1" t="e">
        <v>#N/A</v>
      </c>
      <c r="E198" s="1" t="s">
        <v>2455</v>
      </c>
      <c r="F198" s="2" t="s">
        <v>2301</v>
      </c>
      <c r="G198" s="1" t="s">
        <v>2304</v>
      </c>
      <c r="H198" s="2">
        <v>8</v>
      </c>
      <c r="I198" s="3" t="s">
        <v>2317</v>
      </c>
      <c r="J198" t="s">
        <v>2365</v>
      </c>
      <c r="M198" s="3" t="s">
        <v>2300</v>
      </c>
      <c r="N198" s="3" t="s">
        <v>2255</v>
      </c>
      <c r="O198" t="s">
        <v>2310</v>
      </c>
    </row>
    <row r="199" spans="1:15" x14ac:dyDescent="0.25">
      <c r="A199" t="s">
        <v>2285</v>
      </c>
      <c r="B199" s="1" t="e">
        <v>#N/A</v>
      </c>
      <c r="C199" s="1" t="e">
        <v>#N/A</v>
      </c>
      <c r="D199" s="1" t="e">
        <v>#N/A</v>
      </c>
      <c r="E199" s="1" t="s">
        <v>2455</v>
      </c>
      <c r="F199" s="2" t="s">
        <v>2301</v>
      </c>
      <c r="G199" s="1" t="s">
        <v>2304</v>
      </c>
      <c r="H199" s="2">
        <v>8</v>
      </c>
      <c r="I199" s="3" t="s">
        <v>2316</v>
      </c>
      <c r="J199" t="s">
        <v>2365</v>
      </c>
      <c r="M199" s="3" t="s">
        <v>2300</v>
      </c>
      <c r="N199" s="3" t="s">
        <v>2255</v>
      </c>
      <c r="O199" t="s">
        <v>2310</v>
      </c>
    </row>
    <row r="200" spans="1:15" x14ac:dyDescent="0.25">
      <c r="A200" t="s">
        <v>2285</v>
      </c>
      <c r="B200" s="1" t="e">
        <v>#N/A</v>
      </c>
      <c r="C200" s="1" t="e">
        <v>#N/A</v>
      </c>
      <c r="D200" s="1" t="e">
        <v>#N/A</v>
      </c>
      <c r="E200" s="1" t="s">
        <v>2455</v>
      </c>
      <c r="F200" s="2" t="s">
        <v>2301</v>
      </c>
      <c r="G200" s="1" t="s">
        <v>2304</v>
      </c>
      <c r="H200" s="2">
        <v>8</v>
      </c>
      <c r="I200" s="3" t="s">
        <v>2317</v>
      </c>
      <c r="J200" t="s">
        <v>2365</v>
      </c>
      <c r="M200" s="3" t="s">
        <v>2300</v>
      </c>
      <c r="N200" s="3" t="s">
        <v>2255</v>
      </c>
      <c r="O200" t="s">
        <v>2310</v>
      </c>
    </row>
    <row r="201" spans="1:15" x14ac:dyDescent="0.25">
      <c r="A201" t="s">
        <v>2285</v>
      </c>
      <c r="B201" s="1" t="e">
        <v>#N/A</v>
      </c>
      <c r="C201" s="1" t="e">
        <v>#N/A</v>
      </c>
      <c r="D201" s="1" t="e">
        <v>#N/A</v>
      </c>
      <c r="E201" s="1" t="s">
        <v>2455</v>
      </c>
      <c r="F201" s="2" t="s">
        <v>2301</v>
      </c>
      <c r="G201" s="1" t="s">
        <v>2304</v>
      </c>
      <c r="H201" s="2">
        <v>8</v>
      </c>
      <c r="I201" s="3" t="s">
        <v>6</v>
      </c>
      <c r="J201" t="s">
        <v>2365</v>
      </c>
      <c r="M201" s="3" t="s">
        <v>2300</v>
      </c>
      <c r="N201" s="3" t="s">
        <v>2255</v>
      </c>
      <c r="O201" t="s">
        <v>2310</v>
      </c>
    </row>
    <row r="202" spans="1:15" x14ac:dyDescent="0.25">
      <c r="A202" t="s">
        <v>2283</v>
      </c>
      <c r="B202" s="1" t="s">
        <v>2289</v>
      </c>
      <c r="C202" s="1" t="s">
        <v>2430</v>
      </c>
      <c r="D202" s="1" t="s">
        <v>2447</v>
      </c>
      <c r="E202" s="1" t="s">
        <v>2298</v>
      </c>
      <c r="F202" s="2" t="s">
        <v>2300</v>
      </c>
      <c r="G202" s="1" t="s">
        <v>2304</v>
      </c>
      <c r="H202" s="2">
        <v>8</v>
      </c>
      <c r="I202" s="3" t="s">
        <v>12</v>
      </c>
      <c r="J202" t="s">
        <v>2365</v>
      </c>
      <c r="M202" s="3" t="s">
        <v>2300</v>
      </c>
      <c r="N202" s="3" t="s">
        <v>2255</v>
      </c>
      <c r="O202" t="s">
        <v>2310</v>
      </c>
    </row>
    <row r="203" spans="1:15" x14ac:dyDescent="0.25">
      <c r="A203" t="s">
        <v>2285</v>
      </c>
      <c r="B203" s="1" t="e">
        <v>#N/A</v>
      </c>
      <c r="C203" s="1" t="e">
        <v>#N/A</v>
      </c>
      <c r="D203" s="1" t="e">
        <v>#N/A</v>
      </c>
      <c r="E203" s="1" t="s">
        <v>2455</v>
      </c>
      <c r="F203" s="2" t="s">
        <v>2301</v>
      </c>
      <c r="G203" s="1" t="s">
        <v>2304</v>
      </c>
      <c r="H203" s="2">
        <v>7</v>
      </c>
      <c r="I203" s="3" t="s">
        <v>2317</v>
      </c>
      <c r="J203" t="s">
        <v>2365</v>
      </c>
      <c r="M203" s="3" t="s">
        <v>2300</v>
      </c>
      <c r="N203" s="3" t="s">
        <v>2255</v>
      </c>
      <c r="O203" t="s">
        <v>2310</v>
      </c>
    </row>
    <row r="204" spans="1:15" x14ac:dyDescent="0.25">
      <c r="A204" t="s">
        <v>2285</v>
      </c>
      <c r="B204" s="1" t="e">
        <v>#N/A</v>
      </c>
      <c r="C204" s="1" t="e">
        <v>#N/A</v>
      </c>
      <c r="D204" s="1" t="e">
        <v>#N/A</v>
      </c>
      <c r="E204" s="1" t="s">
        <v>2298</v>
      </c>
      <c r="F204" s="2" t="s">
        <v>2300</v>
      </c>
      <c r="G204" s="1" t="s">
        <v>2304</v>
      </c>
      <c r="H204" s="2">
        <v>7</v>
      </c>
      <c r="I204" s="3" t="s">
        <v>2451</v>
      </c>
      <c r="J204" t="s">
        <v>2365</v>
      </c>
      <c r="M204" s="3" t="s">
        <v>2301</v>
      </c>
      <c r="N204" s="3" t="s">
        <v>2255</v>
      </c>
      <c r="O204" t="s">
        <v>2310</v>
      </c>
    </row>
    <row r="205" spans="1:15" x14ac:dyDescent="0.25">
      <c r="A205" t="s">
        <v>2285</v>
      </c>
      <c r="B205" s="1" t="e">
        <v>#N/A</v>
      </c>
      <c r="C205" s="1" t="e">
        <v>#N/A</v>
      </c>
      <c r="D205" s="1" t="e">
        <v>#N/A</v>
      </c>
      <c r="E205" s="1" t="s">
        <v>2455</v>
      </c>
      <c r="F205" s="2" t="s">
        <v>2301</v>
      </c>
      <c r="G205" s="1" t="s">
        <v>2304</v>
      </c>
      <c r="H205" s="2">
        <v>7</v>
      </c>
      <c r="I205" s="3" t="s">
        <v>2424</v>
      </c>
      <c r="J205" t="s">
        <v>2365</v>
      </c>
      <c r="M205" s="3" t="s">
        <v>2300</v>
      </c>
      <c r="N205" s="3" t="s">
        <v>2255</v>
      </c>
      <c r="O205" t="s">
        <v>2310</v>
      </c>
    </row>
    <row r="206" spans="1:15" x14ac:dyDescent="0.25">
      <c r="A206" t="s">
        <v>2285</v>
      </c>
      <c r="B206" s="1" t="e">
        <v>#N/A</v>
      </c>
      <c r="C206" s="1" t="e">
        <v>#N/A</v>
      </c>
      <c r="D206" s="1" t="e">
        <v>#N/A</v>
      </c>
      <c r="E206" s="1" t="s">
        <v>2455</v>
      </c>
      <c r="F206" s="2" t="s">
        <v>2301</v>
      </c>
      <c r="G206" s="1" t="s">
        <v>2304</v>
      </c>
      <c r="H206" s="2">
        <v>7</v>
      </c>
      <c r="I206" s="3" t="s">
        <v>2317</v>
      </c>
      <c r="J206" t="s">
        <v>2365</v>
      </c>
      <c r="M206" s="3" t="s">
        <v>2300</v>
      </c>
      <c r="N206" s="3" t="s">
        <v>2255</v>
      </c>
      <c r="O206" t="s">
        <v>2310</v>
      </c>
    </row>
    <row r="207" spans="1:15" x14ac:dyDescent="0.25">
      <c r="A207" t="s">
        <v>2285</v>
      </c>
      <c r="B207" s="1" t="e">
        <v>#N/A</v>
      </c>
      <c r="C207" s="1" t="e">
        <v>#N/A</v>
      </c>
      <c r="D207" s="1" t="e">
        <v>#N/A</v>
      </c>
      <c r="E207" s="1" t="s">
        <v>2455</v>
      </c>
      <c r="F207" s="2" t="s">
        <v>2301</v>
      </c>
      <c r="G207" s="1" t="s">
        <v>2304</v>
      </c>
      <c r="H207" s="2">
        <v>7</v>
      </c>
      <c r="I207" s="3" t="s">
        <v>41</v>
      </c>
      <c r="J207" t="s">
        <v>2365</v>
      </c>
      <c r="M207" s="3" t="s">
        <v>2300</v>
      </c>
      <c r="N207" s="3" t="s">
        <v>2255</v>
      </c>
      <c r="O207" t="s">
        <v>2310</v>
      </c>
    </row>
    <row r="208" spans="1:15" x14ac:dyDescent="0.25">
      <c r="A208" t="s">
        <v>2285</v>
      </c>
      <c r="B208" s="1" t="e">
        <v>#N/A</v>
      </c>
      <c r="C208" s="1" t="e">
        <v>#N/A</v>
      </c>
      <c r="D208" s="1" t="e">
        <v>#N/A</v>
      </c>
      <c r="E208" s="1" t="s">
        <v>2298</v>
      </c>
      <c r="F208" s="2" t="s">
        <v>2300</v>
      </c>
      <c r="G208" s="1" t="s">
        <v>2304</v>
      </c>
      <c r="H208" s="2">
        <v>7</v>
      </c>
      <c r="I208" s="3" t="s">
        <v>19</v>
      </c>
      <c r="J208" t="s">
        <v>2365</v>
      </c>
      <c r="M208" s="3" t="s">
        <v>2300</v>
      </c>
      <c r="N208" s="3" t="s">
        <v>2255</v>
      </c>
      <c r="O208" t="s">
        <v>2310</v>
      </c>
    </row>
    <row r="209" spans="1:15" x14ac:dyDescent="0.25">
      <c r="A209" t="s">
        <v>2285</v>
      </c>
      <c r="B209" s="1" t="e">
        <v>#N/A</v>
      </c>
      <c r="C209" s="1" t="e">
        <v>#N/A</v>
      </c>
      <c r="D209" s="1" t="e">
        <v>#N/A</v>
      </c>
      <c r="E209" s="1" t="s">
        <v>2455</v>
      </c>
      <c r="F209" s="2" t="s">
        <v>2301</v>
      </c>
      <c r="G209" s="1" t="s">
        <v>2304</v>
      </c>
      <c r="H209" s="2">
        <v>7</v>
      </c>
      <c r="I209" s="3" t="s">
        <v>2317</v>
      </c>
      <c r="J209" t="s">
        <v>2365</v>
      </c>
      <c r="M209" s="3" t="s">
        <v>2300</v>
      </c>
      <c r="N209" s="3" t="s">
        <v>2255</v>
      </c>
      <c r="O209" t="s">
        <v>2310</v>
      </c>
    </row>
    <row r="210" spans="1:15" x14ac:dyDescent="0.25">
      <c r="A210" t="s">
        <v>2285</v>
      </c>
      <c r="B210" s="1" t="e">
        <v>#N/A</v>
      </c>
      <c r="C210" s="1" t="e">
        <v>#N/A</v>
      </c>
      <c r="D210" s="1" t="e">
        <v>#N/A</v>
      </c>
      <c r="E210" s="1" t="s">
        <v>2455</v>
      </c>
      <c r="F210" s="2" t="s">
        <v>2301</v>
      </c>
      <c r="G210" s="1" t="s">
        <v>2304</v>
      </c>
      <c r="H210" s="2">
        <v>7</v>
      </c>
      <c r="I210" s="3" t="s">
        <v>2317</v>
      </c>
      <c r="J210" t="s">
        <v>2365</v>
      </c>
      <c r="M210" s="3" t="s">
        <v>2300</v>
      </c>
      <c r="N210" s="3" t="s">
        <v>2255</v>
      </c>
      <c r="O210" t="s">
        <v>2310</v>
      </c>
    </row>
    <row r="211" spans="1:15" x14ac:dyDescent="0.25">
      <c r="A211" t="s">
        <v>2285</v>
      </c>
      <c r="B211" s="1" t="e">
        <v>#N/A</v>
      </c>
      <c r="C211" s="1" t="e">
        <v>#N/A</v>
      </c>
      <c r="D211" s="1" t="e">
        <v>#N/A</v>
      </c>
      <c r="E211" s="1" t="s">
        <v>2455</v>
      </c>
      <c r="F211" s="2" t="s">
        <v>2301</v>
      </c>
      <c r="G211" s="1" t="s">
        <v>2304</v>
      </c>
      <c r="H211" s="2">
        <v>7</v>
      </c>
      <c r="I211" s="3" t="s">
        <v>2317</v>
      </c>
      <c r="J211" t="s">
        <v>2365</v>
      </c>
      <c r="M211" s="3" t="s">
        <v>2300</v>
      </c>
      <c r="N211" s="3" t="s">
        <v>2255</v>
      </c>
      <c r="O211" t="s">
        <v>2310</v>
      </c>
    </row>
    <row r="212" spans="1:15" x14ac:dyDescent="0.25">
      <c r="A212" t="s">
        <v>2285</v>
      </c>
      <c r="B212" s="1" t="e">
        <v>#N/A</v>
      </c>
      <c r="C212" s="1" t="e">
        <v>#N/A</v>
      </c>
      <c r="D212" s="1" t="e">
        <v>#N/A</v>
      </c>
      <c r="E212" s="1" t="s">
        <v>2455</v>
      </c>
      <c r="F212" s="2" t="s">
        <v>2301</v>
      </c>
      <c r="G212" s="1" t="s">
        <v>2303</v>
      </c>
      <c r="H212" s="2">
        <v>7</v>
      </c>
      <c r="I212" s="3" t="s">
        <v>2321</v>
      </c>
      <c r="J212" t="s">
        <v>2365</v>
      </c>
      <c r="M212" s="3" t="s">
        <v>2300</v>
      </c>
      <c r="N212" s="3" t="s">
        <v>2256</v>
      </c>
      <c r="O212" t="s">
        <v>2310</v>
      </c>
    </row>
    <row r="213" spans="1:15" x14ac:dyDescent="0.25">
      <c r="A213" t="s">
        <v>2285</v>
      </c>
      <c r="B213" s="1" t="e">
        <v>#N/A</v>
      </c>
      <c r="C213" s="1" t="e">
        <v>#N/A</v>
      </c>
      <c r="D213" s="1" t="e">
        <v>#N/A</v>
      </c>
      <c r="E213" s="1" t="s">
        <v>2298</v>
      </c>
      <c r="F213" s="2" t="s">
        <v>2300</v>
      </c>
      <c r="G213" s="1" t="s">
        <v>2303</v>
      </c>
      <c r="H213" s="2">
        <v>4</v>
      </c>
      <c r="I213" s="3" t="s">
        <v>2434</v>
      </c>
      <c r="J213" t="s">
        <v>2365</v>
      </c>
      <c r="M213" s="3" t="s">
        <v>2300</v>
      </c>
      <c r="N213" s="3" t="s">
        <v>2256</v>
      </c>
      <c r="O213" t="s">
        <v>2310</v>
      </c>
    </row>
    <row r="214" spans="1:15" x14ac:dyDescent="0.25">
      <c r="A214" t="s">
        <v>2285</v>
      </c>
      <c r="B214" s="1" t="e">
        <v>#N/A</v>
      </c>
      <c r="C214" s="1" t="e">
        <v>#N/A</v>
      </c>
      <c r="D214" s="1" t="e">
        <v>#N/A</v>
      </c>
      <c r="E214" s="1" t="s">
        <v>2298</v>
      </c>
      <c r="F214" s="2" t="s">
        <v>2300</v>
      </c>
      <c r="G214" s="1" t="s">
        <v>2304</v>
      </c>
      <c r="H214" s="2">
        <v>4</v>
      </c>
      <c r="I214" s="3" t="s">
        <v>2433</v>
      </c>
      <c r="J214" t="s">
        <v>2365</v>
      </c>
      <c r="M214" s="3" t="s">
        <v>2300</v>
      </c>
      <c r="N214" s="3" t="s">
        <v>2255</v>
      </c>
      <c r="O214" t="s">
        <v>2310</v>
      </c>
    </row>
    <row r="215" spans="1:15" x14ac:dyDescent="0.25">
      <c r="A215" t="s">
        <v>2285</v>
      </c>
      <c r="B215" s="1" t="e">
        <v>#N/A</v>
      </c>
      <c r="C215" s="1" t="e">
        <v>#N/A</v>
      </c>
      <c r="D215" s="1" t="e">
        <v>#N/A</v>
      </c>
      <c r="E215" s="1" t="s">
        <v>2298</v>
      </c>
      <c r="F215" s="2" t="s">
        <v>2300</v>
      </c>
      <c r="G215" s="1" t="s">
        <v>2304</v>
      </c>
      <c r="H215" s="2">
        <v>4</v>
      </c>
      <c r="I215" s="3" t="s">
        <v>122</v>
      </c>
      <c r="J215" t="s">
        <v>2365</v>
      </c>
      <c r="M215" s="3" t="s">
        <v>2300</v>
      </c>
      <c r="N215" s="3" t="s">
        <v>2255</v>
      </c>
      <c r="O215" t="s">
        <v>2310</v>
      </c>
    </row>
    <row r="216" spans="1:15" x14ac:dyDescent="0.25">
      <c r="A216" t="s">
        <v>2285</v>
      </c>
      <c r="B216" s="1" t="e">
        <v>#N/A</v>
      </c>
      <c r="C216" s="1" t="e">
        <v>#N/A</v>
      </c>
      <c r="D216" s="1" t="e">
        <v>#N/A</v>
      </c>
      <c r="E216" s="1" t="s">
        <v>2298</v>
      </c>
      <c r="F216" s="2" t="s">
        <v>2300</v>
      </c>
      <c r="G216" s="1" t="s">
        <v>2303</v>
      </c>
      <c r="H216" s="2">
        <v>4</v>
      </c>
      <c r="I216" s="3" t="s">
        <v>2421</v>
      </c>
      <c r="J216" t="s">
        <v>2365</v>
      </c>
      <c r="M216" s="3" t="s">
        <v>2300</v>
      </c>
      <c r="N216" s="3" t="s">
        <v>2256</v>
      </c>
      <c r="O216" t="s">
        <v>2310</v>
      </c>
    </row>
    <row r="217" spans="1:15" x14ac:dyDescent="0.25">
      <c r="A217" t="s">
        <v>2285</v>
      </c>
      <c r="B217" s="1" t="e">
        <v>#N/A</v>
      </c>
      <c r="C217" s="1" t="e">
        <v>#N/A</v>
      </c>
      <c r="D217" s="1" t="e">
        <v>#N/A</v>
      </c>
      <c r="E217" s="1" t="s">
        <v>2298</v>
      </c>
      <c r="F217" s="2" t="s">
        <v>2300</v>
      </c>
      <c r="G217" s="1" t="s">
        <v>2304</v>
      </c>
      <c r="H217" s="2">
        <v>4</v>
      </c>
      <c r="I217" s="3" t="s">
        <v>24</v>
      </c>
      <c r="J217" t="s">
        <v>2365</v>
      </c>
      <c r="M217" s="3" t="s">
        <v>2300</v>
      </c>
      <c r="N217" s="3" t="s">
        <v>2255</v>
      </c>
      <c r="O217" t="s">
        <v>2310</v>
      </c>
    </row>
    <row r="218" spans="1:15" x14ac:dyDescent="0.25">
      <c r="A218" t="s">
        <v>2285</v>
      </c>
      <c r="B218" s="1" t="e">
        <v>#N/A</v>
      </c>
      <c r="C218" s="1" t="e">
        <v>#N/A</v>
      </c>
      <c r="D218" s="1" t="e">
        <v>#N/A</v>
      </c>
      <c r="E218" s="1" t="s">
        <v>2298</v>
      </c>
      <c r="F218" s="2" t="s">
        <v>2300</v>
      </c>
      <c r="G218" s="1" t="s">
        <v>2303</v>
      </c>
      <c r="H218" s="2">
        <v>4</v>
      </c>
      <c r="I218" s="3" t="s">
        <v>2435</v>
      </c>
      <c r="J218" t="s">
        <v>2365</v>
      </c>
      <c r="M218" s="3" t="s">
        <v>2300</v>
      </c>
      <c r="N218" s="3" t="s">
        <v>2256</v>
      </c>
      <c r="O218" t="s">
        <v>2310</v>
      </c>
    </row>
    <row r="219" spans="1:15" x14ac:dyDescent="0.25">
      <c r="A219" t="s">
        <v>2285</v>
      </c>
      <c r="B219" s="1" t="e">
        <v>#N/A</v>
      </c>
      <c r="C219" s="1" t="e">
        <v>#N/A</v>
      </c>
      <c r="D219" s="1" t="e">
        <v>#N/A</v>
      </c>
      <c r="E219" s="1" t="s">
        <v>2455</v>
      </c>
      <c r="F219" s="2" t="s">
        <v>2300</v>
      </c>
      <c r="G219" s="1" t="s">
        <v>2304</v>
      </c>
      <c r="H219" s="2">
        <v>4</v>
      </c>
      <c r="I219" s="3" t="s">
        <v>2317</v>
      </c>
      <c r="J219" t="s">
        <v>2365</v>
      </c>
      <c r="M219" s="3" t="s">
        <v>2300</v>
      </c>
      <c r="N219" s="3" t="s">
        <v>2255</v>
      </c>
      <c r="O219" t="s">
        <v>2310</v>
      </c>
    </row>
    <row r="220" spans="1:15" x14ac:dyDescent="0.25">
      <c r="A220" t="s">
        <v>2285</v>
      </c>
      <c r="B220" s="1" t="e">
        <v>#N/A</v>
      </c>
      <c r="C220" s="1" t="e">
        <v>#N/A</v>
      </c>
      <c r="D220" s="1" t="e">
        <v>#N/A</v>
      </c>
      <c r="E220" s="1" t="s">
        <v>2455</v>
      </c>
      <c r="F220" s="2" t="s">
        <v>2300</v>
      </c>
      <c r="G220" s="1" t="s">
        <v>2304</v>
      </c>
      <c r="H220" s="2">
        <v>4</v>
      </c>
      <c r="I220" s="3" t="s">
        <v>2317</v>
      </c>
      <c r="J220" t="s">
        <v>2365</v>
      </c>
      <c r="M220" s="3" t="s">
        <v>2300</v>
      </c>
      <c r="N220" s="3" t="s">
        <v>2255</v>
      </c>
      <c r="O220" t="s">
        <v>2310</v>
      </c>
    </row>
    <row r="221" spans="1:15" x14ac:dyDescent="0.25">
      <c r="A221" t="s">
        <v>2285</v>
      </c>
      <c r="B221" s="1" t="e">
        <v>#N/A</v>
      </c>
      <c r="C221" s="1" t="e">
        <v>#N/A</v>
      </c>
      <c r="D221" s="1" t="e">
        <v>#N/A</v>
      </c>
      <c r="E221" s="1" t="s">
        <v>2455</v>
      </c>
      <c r="F221" s="2" t="s">
        <v>2300</v>
      </c>
      <c r="G221" s="1" t="s">
        <v>2303</v>
      </c>
      <c r="H221" s="2">
        <v>4</v>
      </c>
      <c r="I221" s="3" t="s">
        <v>72</v>
      </c>
      <c r="J221" t="s">
        <v>2365</v>
      </c>
      <c r="M221" s="3" t="s">
        <v>2300</v>
      </c>
      <c r="N221" s="3" t="s">
        <v>2256</v>
      </c>
      <c r="O221" t="s">
        <v>2310</v>
      </c>
    </row>
    <row r="222" spans="1:15" x14ac:dyDescent="0.25">
      <c r="A222" t="s">
        <v>2285</v>
      </c>
      <c r="B222" s="1" t="e">
        <v>#N/A</v>
      </c>
      <c r="C222" s="1" t="e">
        <v>#N/A</v>
      </c>
      <c r="D222" s="1" t="e">
        <v>#N/A</v>
      </c>
      <c r="E222" s="1" t="s">
        <v>2455</v>
      </c>
      <c r="F222" s="2" t="s">
        <v>2300</v>
      </c>
      <c r="G222" s="1" t="s">
        <v>2304</v>
      </c>
      <c r="H222" s="2">
        <v>4</v>
      </c>
      <c r="I222" s="3" t="s">
        <v>9</v>
      </c>
      <c r="J222" t="s">
        <v>2365</v>
      </c>
      <c r="M222" s="3" t="s">
        <v>2300</v>
      </c>
      <c r="N222" s="3" t="s">
        <v>2255</v>
      </c>
      <c r="O222" t="s">
        <v>2310</v>
      </c>
    </row>
    <row r="223" spans="1:15" x14ac:dyDescent="0.25">
      <c r="A223" t="s">
        <v>2285</v>
      </c>
      <c r="B223" s="1" t="e">
        <v>#N/A</v>
      </c>
      <c r="C223" s="1" t="e">
        <v>#N/A</v>
      </c>
      <c r="D223" s="1" t="e">
        <v>#N/A</v>
      </c>
      <c r="E223" s="1" t="s">
        <v>2455</v>
      </c>
      <c r="F223" s="2" t="s">
        <v>2300</v>
      </c>
      <c r="G223" s="1" t="s">
        <v>2304</v>
      </c>
      <c r="H223" s="2">
        <v>4</v>
      </c>
      <c r="I223" s="3" t="s">
        <v>2321</v>
      </c>
      <c r="J223" t="s">
        <v>2365</v>
      </c>
      <c r="M223" s="3" t="s">
        <v>2300</v>
      </c>
      <c r="N223" s="3" t="s">
        <v>2255</v>
      </c>
      <c r="O223" t="s">
        <v>2310</v>
      </c>
    </row>
    <row r="224" spans="1:15" x14ac:dyDescent="0.25">
      <c r="A224" t="s">
        <v>2285</v>
      </c>
      <c r="B224" s="1" t="e">
        <v>#N/A</v>
      </c>
      <c r="C224" s="1" t="e">
        <v>#N/A</v>
      </c>
      <c r="D224" s="1" t="e">
        <v>#N/A</v>
      </c>
      <c r="E224" s="1" t="s">
        <v>2455</v>
      </c>
      <c r="F224" s="2" t="s">
        <v>2300</v>
      </c>
      <c r="G224" s="1" t="s">
        <v>2304</v>
      </c>
      <c r="H224" s="2">
        <v>4</v>
      </c>
      <c r="I224" s="3" t="s">
        <v>2349</v>
      </c>
      <c r="J224" t="s">
        <v>2365</v>
      </c>
      <c r="M224" s="3" t="s">
        <v>2300</v>
      </c>
      <c r="N224" s="3" t="s">
        <v>2255</v>
      </c>
      <c r="O224" t="s">
        <v>2310</v>
      </c>
    </row>
    <row r="225" spans="1:15" x14ac:dyDescent="0.25">
      <c r="A225" t="s">
        <v>2285</v>
      </c>
      <c r="B225" s="1" t="e">
        <v>#N/A</v>
      </c>
      <c r="C225" s="1" t="e">
        <v>#N/A</v>
      </c>
      <c r="D225" s="1" t="e">
        <v>#N/A</v>
      </c>
      <c r="E225" s="1" t="s">
        <v>2455</v>
      </c>
      <c r="F225" s="2" t="s">
        <v>2300</v>
      </c>
      <c r="G225" s="1" t="s">
        <v>2304</v>
      </c>
      <c r="H225" s="2">
        <v>4</v>
      </c>
      <c r="I225" s="3" t="s">
        <v>12</v>
      </c>
      <c r="J225" t="s">
        <v>2365</v>
      </c>
      <c r="M225" s="3" t="s">
        <v>2300</v>
      </c>
      <c r="N225" s="3" t="s">
        <v>2255</v>
      </c>
      <c r="O225" t="s">
        <v>2310</v>
      </c>
    </row>
    <row r="226" spans="1:15" x14ac:dyDescent="0.25">
      <c r="A226" t="s">
        <v>2285</v>
      </c>
      <c r="B226" s="1" t="e">
        <v>#N/A</v>
      </c>
      <c r="C226" s="1" t="e">
        <v>#N/A</v>
      </c>
      <c r="D226" s="1" t="e">
        <v>#N/A</v>
      </c>
      <c r="E226" s="1" t="s">
        <v>2455</v>
      </c>
      <c r="F226" s="2" t="s">
        <v>2300</v>
      </c>
      <c r="G226" s="1" t="s">
        <v>2304</v>
      </c>
      <c r="H226" s="2">
        <v>4</v>
      </c>
      <c r="I226" s="3" t="s">
        <v>78</v>
      </c>
      <c r="J226" t="s">
        <v>2365</v>
      </c>
      <c r="M226" s="3" t="s">
        <v>2300</v>
      </c>
      <c r="N226" s="3" t="s">
        <v>2255</v>
      </c>
      <c r="O226" t="s">
        <v>2310</v>
      </c>
    </row>
    <row r="227" spans="1:15" x14ac:dyDescent="0.25">
      <c r="A227" t="s">
        <v>2285</v>
      </c>
      <c r="B227" s="1" t="e">
        <v>#N/A</v>
      </c>
      <c r="C227" s="1" t="e">
        <v>#N/A</v>
      </c>
      <c r="D227" s="1" t="e">
        <v>#N/A</v>
      </c>
      <c r="E227" s="1" t="s">
        <v>2455</v>
      </c>
      <c r="F227" s="2" t="s">
        <v>2300</v>
      </c>
      <c r="G227" s="1" t="s">
        <v>2304</v>
      </c>
      <c r="H227" s="2">
        <v>4</v>
      </c>
      <c r="I227" s="3" t="s">
        <v>5</v>
      </c>
      <c r="J227" t="s">
        <v>2365</v>
      </c>
      <c r="M227" s="3" t="s">
        <v>2300</v>
      </c>
      <c r="N227" s="3" t="s">
        <v>2255</v>
      </c>
      <c r="O227" t="s">
        <v>2310</v>
      </c>
    </row>
    <row r="228" spans="1:15" x14ac:dyDescent="0.25">
      <c r="A228" t="s">
        <v>2285</v>
      </c>
      <c r="B228" s="1" t="e">
        <v>#N/A</v>
      </c>
      <c r="C228" s="1" t="e">
        <v>#N/A</v>
      </c>
      <c r="D228" s="1" t="e">
        <v>#N/A</v>
      </c>
      <c r="E228" s="1" t="s">
        <v>2455</v>
      </c>
      <c r="F228" s="2" t="s">
        <v>2300</v>
      </c>
      <c r="G228" s="1" t="s">
        <v>2304</v>
      </c>
      <c r="H228" s="2">
        <v>4</v>
      </c>
      <c r="I228" s="3" t="s">
        <v>2375</v>
      </c>
      <c r="J228" t="s">
        <v>2365</v>
      </c>
      <c r="M228" s="3" t="s">
        <v>2300</v>
      </c>
      <c r="N228" s="3" t="s">
        <v>2255</v>
      </c>
      <c r="O228" t="s">
        <v>2310</v>
      </c>
    </row>
    <row r="229" spans="1:15" x14ac:dyDescent="0.25">
      <c r="A229" t="s">
        <v>2285</v>
      </c>
      <c r="B229" s="1" t="e">
        <v>#N/A</v>
      </c>
      <c r="C229" s="1" t="e">
        <v>#N/A</v>
      </c>
      <c r="D229" s="1" t="e">
        <v>#N/A</v>
      </c>
      <c r="E229" s="1" t="s">
        <v>2455</v>
      </c>
      <c r="F229" s="2" t="s">
        <v>2300</v>
      </c>
      <c r="G229" s="1" t="s">
        <v>2304</v>
      </c>
      <c r="H229" s="2">
        <v>4</v>
      </c>
      <c r="I229" s="3" t="s">
        <v>2</v>
      </c>
      <c r="J229" t="s">
        <v>2365</v>
      </c>
      <c r="M229" s="3" t="s">
        <v>2300</v>
      </c>
      <c r="N229" s="3" t="s">
        <v>2255</v>
      </c>
      <c r="O229" t="s">
        <v>2310</v>
      </c>
    </row>
    <row r="230" spans="1:15" x14ac:dyDescent="0.25">
      <c r="A230" t="s">
        <v>2285</v>
      </c>
      <c r="B230" s="1" t="e">
        <v>#N/A</v>
      </c>
      <c r="C230" s="1" t="e">
        <v>#N/A</v>
      </c>
      <c r="D230" s="1" t="e">
        <v>#N/A</v>
      </c>
      <c r="E230" s="1" t="s">
        <v>2455</v>
      </c>
      <c r="F230" s="2" t="s">
        <v>2300</v>
      </c>
      <c r="G230" s="1" t="s">
        <v>2303</v>
      </c>
      <c r="H230" s="2">
        <v>4</v>
      </c>
      <c r="I230" s="3" t="s">
        <v>2436</v>
      </c>
      <c r="J230" t="s">
        <v>2365</v>
      </c>
      <c r="M230" s="3" t="s">
        <v>2300</v>
      </c>
      <c r="N230" s="3" t="s">
        <v>2256</v>
      </c>
      <c r="O230" t="s">
        <v>2310</v>
      </c>
    </row>
    <row r="231" spans="1:15" x14ac:dyDescent="0.25">
      <c r="A231" t="s">
        <v>2285</v>
      </c>
      <c r="B231" s="1" t="e">
        <v>#N/A</v>
      </c>
      <c r="C231" s="1" t="e">
        <v>#N/A</v>
      </c>
      <c r="D231" s="1" t="e">
        <v>#N/A</v>
      </c>
      <c r="E231" s="1" t="s">
        <v>2455</v>
      </c>
      <c r="F231" s="2" t="s">
        <v>2300</v>
      </c>
      <c r="G231" s="1" t="s">
        <v>2304</v>
      </c>
      <c r="H231" s="2">
        <v>4</v>
      </c>
      <c r="I231" s="3" t="s">
        <v>2317</v>
      </c>
      <c r="J231" t="s">
        <v>2365</v>
      </c>
      <c r="M231" s="3" t="s">
        <v>2300</v>
      </c>
      <c r="N231" s="3" t="s">
        <v>2255</v>
      </c>
      <c r="O231" t="s">
        <v>2310</v>
      </c>
    </row>
    <row r="232" spans="1:15" x14ac:dyDescent="0.25">
      <c r="A232" t="s">
        <v>2285</v>
      </c>
      <c r="B232" s="1" t="e">
        <v>#N/A</v>
      </c>
      <c r="C232" s="1" t="e">
        <v>#N/A</v>
      </c>
      <c r="D232" s="1" t="e">
        <v>#N/A</v>
      </c>
      <c r="E232" s="1" t="s">
        <v>2455</v>
      </c>
      <c r="F232" s="2" t="s">
        <v>2300</v>
      </c>
      <c r="G232" s="1" t="s">
        <v>2304</v>
      </c>
      <c r="H232" s="2">
        <v>4</v>
      </c>
      <c r="I232" s="3" t="s">
        <v>2416</v>
      </c>
      <c r="J232" t="s">
        <v>2365</v>
      </c>
      <c r="M232" s="3" t="s">
        <v>2300</v>
      </c>
      <c r="N232" s="3" t="s">
        <v>2255</v>
      </c>
      <c r="O232" t="s">
        <v>2310</v>
      </c>
    </row>
    <row r="233" spans="1:15" x14ac:dyDescent="0.25">
      <c r="A233" t="s">
        <v>2285</v>
      </c>
      <c r="B233" s="1" t="e">
        <v>#N/A</v>
      </c>
      <c r="C233" s="1" t="e">
        <v>#N/A</v>
      </c>
      <c r="D233" s="1" t="e">
        <v>#N/A</v>
      </c>
      <c r="E233" s="1" t="s">
        <v>2455</v>
      </c>
      <c r="F233" s="2" t="s">
        <v>2300</v>
      </c>
      <c r="G233" s="1" t="s">
        <v>2304</v>
      </c>
      <c r="H233" s="2">
        <v>4</v>
      </c>
      <c r="I233" s="3" t="s">
        <v>2</v>
      </c>
      <c r="J233" t="s">
        <v>2365</v>
      </c>
      <c r="M233" s="3" t="s">
        <v>2301</v>
      </c>
      <c r="N233" s="3" t="s">
        <v>2255</v>
      </c>
      <c r="O233" t="s">
        <v>2310</v>
      </c>
    </row>
    <row r="234" spans="1:15" x14ac:dyDescent="0.25">
      <c r="A234" t="s">
        <v>2285</v>
      </c>
      <c r="B234" s="1" t="e">
        <v>#N/A</v>
      </c>
      <c r="C234" s="1" t="e">
        <v>#N/A</v>
      </c>
      <c r="D234" s="1" t="e">
        <v>#N/A</v>
      </c>
      <c r="E234" s="1" t="s">
        <v>2455</v>
      </c>
      <c r="F234" s="2" t="s">
        <v>2300</v>
      </c>
      <c r="G234" s="1" t="s">
        <v>2304</v>
      </c>
      <c r="H234" s="2">
        <v>4</v>
      </c>
      <c r="I234" s="3" t="s">
        <v>1</v>
      </c>
      <c r="J234" t="s">
        <v>2365</v>
      </c>
      <c r="M234" s="3" t="s">
        <v>2300</v>
      </c>
      <c r="N234" s="3" t="s">
        <v>2255</v>
      </c>
      <c r="O234" t="s">
        <v>2310</v>
      </c>
    </row>
    <row r="235" spans="1:15" x14ac:dyDescent="0.25">
      <c r="A235" t="s">
        <v>2285</v>
      </c>
      <c r="B235" s="1" t="e">
        <v>#N/A</v>
      </c>
      <c r="C235" s="1" t="e">
        <v>#N/A</v>
      </c>
      <c r="D235" s="1" t="e">
        <v>#N/A</v>
      </c>
      <c r="E235" s="1" t="s">
        <v>2455</v>
      </c>
      <c r="F235" s="2" t="s">
        <v>2300</v>
      </c>
      <c r="G235" s="1" t="s">
        <v>2304</v>
      </c>
      <c r="H235" s="2">
        <v>4</v>
      </c>
      <c r="I235" s="3" t="s">
        <v>2315</v>
      </c>
      <c r="J235" t="s">
        <v>2365</v>
      </c>
      <c r="M235" s="3" t="s">
        <v>2300</v>
      </c>
      <c r="N235" s="3" t="s">
        <v>2255</v>
      </c>
      <c r="O235" t="s">
        <v>2310</v>
      </c>
    </row>
    <row r="236" spans="1:15" x14ac:dyDescent="0.25">
      <c r="A236" t="s">
        <v>2285</v>
      </c>
      <c r="B236" s="1" t="e">
        <v>#N/A</v>
      </c>
      <c r="C236" s="1" t="e">
        <v>#N/A</v>
      </c>
      <c r="D236" s="1" t="e">
        <v>#N/A</v>
      </c>
      <c r="E236" s="1" t="s">
        <v>2455</v>
      </c>
      <c r="F236" s="2" t="s">
        <v>2300</v>
      </c>
      <c r="G236" s="1" t="s">
        <v>2304</v>
      </c>
      <c r="H236" s="2">
        <v>4</v>
      </c>
      <c r="I236" s="3" t="s">
        <v>2327</v>
      </c>
      <c r="J236" t="s">
        <v>2365</v>
      </c>
      <c r="M236" s="3" t="s">
        <v>2300</v>
      </c>
      <c r="N236" s="3" t="s">
        <v>2255</v>
      </c>
      <c r="O236" t="s">
        <v>2310</v>
      </c>
    </row>
    <row r="237" spans="1:15" x14ac:dyDescent="0.25">
      <c r="A237" t="s">
        <v>2285</v>
      </c>
      <c r="B237" s="1" t="e">
        <v>#N/A</v>
      </c>
      <c r="C237" s="1" t="e">
        <v>#N/A</v>
      </c>
      <c r="D237" s="1" t="e">
        <v>#N/A</v>
      </c>
      <c r="E237" s="1" t="s">
        <v>2455</v>
      </c>
      <c r="F237" s="2" t="s">
        <v>2300</v>
      </c>
      <c r="G237" s="1" t="s">
        <v>2304</v>
      </c>
      <c r="H237" s="2">
        <v>4</v>
      </c>
      <c r="I237" s="3" t="s">
        <v>18</v>
      </c>
      <c r="J237" t="s">
        <v>2365</v>
      </c>
      <c r="M237" s="3" t="s">
        <v>2300</v>
      </c>
      <c r="N237" s="3" t="s">
        <v>2255</v>
      </c>
      <c r="O237" t="s">
        <v>2310</v>
      </c>
    </row>
    <row r="238" spans="1:15" x14ac:dyDescent="0.25">
      <c r="A238" t="s">
        <v>2285</v>
      </c>
      <c r="B238" s="1" t="e">
        <v>#N/A</v>
      </c>
      <c r="C238" s="1" t="e">
        <v>#N/A</v>
      </c>
      <c r="D238" s="1" t="e">
        <v>#N/A</v>
      </c>
      <c r="E238" s="1" t="s">
        <v>2455</v>
      </c>
      <c r="F238" s="2" t="s">
        <v>2300</v>
      </c>
      <c r="G238" s="1" t="s">
        <v>2304</v>
      </c>
      <c r="H238" s="2">
        <v>4</v>
      </c>
      <c r="I238" s="3" t="s">
        <v>2317</v>
      </c>
      <c r="J238" t="s">
        <v>2365</v>
      </c>
      <c r="M238" s="3" t="s">
        <v>2301</v>
      </c>
      <c r="N238" s="3" t="s">
        <v>2255</v>
      </c>
      <c r="O238" t="s">
        <v>2310</v>
      </c>
    </row>
    <row r="239" spans="1:15" x14ac:dyDescent="0.25">
      <c r="A239" t="s">
        <v>2285</v>
      </c>
      <c r="B239" s="1" t="e">
        <v>#N/A</v>
      </c>
      <c r="C239" s="1" t="e">
        <v>#N/A</v>
      </c>
      <c r="D239" s="1" t="e">
        <v>#N/A</v>
      </c>
      <c r="E239" s="1" t="s">
        <v>2455</v>
      </c>
      <c r="F239" s="2" t="s">
        <v>2300</v>
      </c>
      <c r="G239" s="1" t="s">
        <v>2304</v>
      </c>
      <c r="H239" s="2">
        <v>4</v>
      </c>
      <c r="I239" s="3" t="s">
        <v>2317</v>
      </c>
      <c r="J239" t="s">
        <v>2365</v>
      </c>
      <c r="M239" s="3" t="s">
        <v>2300</v>
      </c>
      <c r="N239" s="3" t="s">
        <v>2255</v>
      </c>
      <c r="O239" t="s">
        <v>2310</v>
      </c>
    </row>
    <row r="240" spans="1:15" x14ac:dyDescent="0.25">
      <c r="A240" t="s">
        <v>2285</v>
      </c>
      <c r="B240" s="1" t="e">
        <v>#N/A</v>
      </c>
      <c r="C240" s="1" t="e">
        <v>#N/A</v>
      </c>
      <c r="D240" s="1" t="e">
        <v>#N/A</v>
      </c>
      <c r="E240" s="1" t="s">
        <v>2455</v>
      </c>
      <c r="F240" s="2" t="s">
        <v>2300</v>
      </c>
      <c r="G240" s="1" t="s">
        <v>2304</v>
      </c>
      <c r="H240" s="2">
        <v>4</v>
      </c>
      <c r="I240" s="3" t="s">
        <v>1</v>
      </c>
      <c r="J240" t="s">
        <v>2365</v>
      </c>
      <c r="M240" s="3" t="s">
        <v>2300</v>
      </c>
      <c r="N240" s="3" t="s">
        <v>2255</v>
      </c>
      <c r="O240" t="s">
        <v>2310</v>
      </c>
    </row>
    <row r="241" spans="1:15" x14ac:dyDescent="0.25">
      <c r="A241" t="s">
        <v>2285</v>
      </c>
      <c r="B241" s="1" t="e">
        <v>#N/A</v>
      </c>
      <c r="C241" s="1" t="e">
        <v>#N/A</v>
      </c>
      <c r="D241" s="1" t="e">
        <v>#N/A</v>
      </c>
      <c r="E241" s="1" t="s">
        <v>2455</v>
      </c>
      <c r="F241" s="2" t="s">
        <v>2300</v>
      </c>
      <c r="G241" s="1" t="s">
        <v>2304</v>
      </c>
      <c r="H241" s="2">
        <v>4</v>
      </c>
      <c r="I241" s="3" t="s">
        <v>2</v>
      </c>
      <c r="J241" t="s">
        <v>2365</v>
      </c>
      <c r="M241" s="3" t="s">
        <v>2300</v>
      </c>
      <c r="N241" s="3" t="s">
        <v>2255</v>
      </c>
      <c r="O241" t="s">
        <v>2310</v>
      </c>
    </row>
    <row r="242" spans="1:15" x14ac:dyDescent="0.25">
      <c r="A242" t="s">
        <v>2285</v>
      </c>
      <c r="B242" s="1" t="e">
        <v>#N/A</v>
      </c>
      <c r="C242" s="1" t="e">
        <v>#N/A</v>
      </c>
      <c r="D242" s="1" t="e">
        <v>#N/A</v>
      </c>
      <c r="E242" s="1" t="s">
        <v>2455</v>
      </c>
      <c r="F242" s="2" t="s">
        <v>2300</v>
      </c>
      <c r="G242" s="1" t="s">
        <v>2304</v>
      </c>
      <c r="H242" s="2">
        <v>4</v>
      </c>
      <c r="I242" s="3" t="s">
        <v>2</v>
      </c>
      <c r="J242" t="s">
        <v>2365</v>
      </c>
      <c r="M242" s="3" t="s">
        <v>2300</v>
      </c>
      <c r="N242" s="3" t="s">
        <v>2255</v>
      </c>
      <c r="O242" t="s">
        <v>2310</v>
      </c>
    </row>
    <row r="243" spans="1:15" x14ac:dyDescent="0.25">
      <c r="A243" t="s">
        <v>2285</v>
      </c>
      <c r="B243" s="1" t="e">
        <v>#N/A</v>
      </c>
      <c r="C243" s="1" t="e">
        <v>#N/A</v>
      </c>
      <c r="D243" s="1" t="e">
        <v>#N/A</v>
      </c>
      <c r="E243" s="1" t="s">
        <v>2455</v>
      </c>
      <c r="F243" s="2" t="s">
        <v>2300</v>
      </c>
      <c r="G243" s="1" t="s">
        <v>2304</v>
      </c>
      <c r="H243" s="2">
        <v>4</v>
      </c>
      <c r="I243" s="3" t="s">
        <v>5</v>
      </c>
      <c r="J243" t="s">
        <v>2365</v>
      </c>
      <c r="M243" s="3" t="s">
        <v>2300</v>
      </c>
      <c r="N243" s="3" t="s">
        <v>2255</v>
      </c>
      <c r="O243" t="s">
        <v>2310</v>
      </c>
    </row>
    <row r="244" spans="1:15" x14ac:dyDescent="0.25">
      <c r="A244" t="s">
        <v>2285</v>
      </c>
      <c r="B244" s="1" t="e">
        <v>#N/A</v>
      </c>
      <c r="C244" s="1" t="e">
        <v>#N/A</v>
      </c>
      <c r="D244" s="1" t="e">
        <v>#N/A</v>
      </c>
      <c r="E244" s="1" t="s">
        <v>2455</v>
      </c>
      <c r="F244" s="2" t="s">
        <v>2300</v>
      </c>
      <c r="G244" s="1" t="s">
        <v>2304</v>
      </c>
      <c r="H244" s="2">
        <v>4</v>
      </c>
      <c r="I244" s="3" t="s">
        <v>2318</v>
      </c>
      <c r="J244" t="s">
        <v>2365</v>
      </c>
      <c r="M244" s="3" t="s">
        <v>2300</v>
      </c>
      <c r="N244" s="3" t="s">
        <v>2255</v>
      </c>
      <c r="O244" t="s">
        <v>2310</v>
      </c>
    </row>
    <row r="245" spans="1:15" x14ac:dyDescent="0.25">
      <c r="A245" t="s">
        <v>2285</v>
      </c>
      <c r="B245" s="1" t="e">
        <v>#N/A</v>
      </c>
      <c r="C245" s="1" t="e">
        <v>#N/A</v>
      </c>
      <c r="D245" s="1" t="e">
        <v>#N/A</v>
      </c>
      <c r="E245" s="1" t="s">
        <v>2455</v>
      </c>
      <c r="F245" s="2" t="s">
        <v>2300</v>
      </c>
      <c r="G245" s="1" t="s">
        <v>2303</v>
      </c>
      <c r="H245" s="2">
        <v>4</v>
      </c>
      <c r="I245" s="3" t="s">
        <v>2316</v>
      </c>
      <c r="J245" t="s">
        <v>2365</v>
      </c>
      <c r="M245" s="3" t="s">
        <v>2300</v>
      </c>
      <c r="N245" s="3" t="s">
        <v>2256</v>
      </c>
      <c r="O245" t="s">
        <v>2310</v>
      </c>
    </row>
    <row r="246" spans="1:15" x14ac:dyDescent="0.25">
      <c r="A246" t="s">
        <v>2285</v>
      </c>
      <c r="B246" s="1" t="e">
        <v>#N/A</v>
      </c>
      <c r="C246" s="1" t="e">
        <v>#N/A</v>
      </c>
      <c r="D246" s="1" t="e">
        <v>#N/A</v>
      </c>
      <c r="E246" s="1" t="s">
        <v>2455</v>
      </c>
      <c r="F246" s="2" t="s">
        <v>2300</v>
      </c>
      <c r="G246" s="1" t="s">
        <v>2304</v>
      </c>
      <c r="H246" s="2">
        <v>4</v>
      </c>
      <c r="I246" s="3" t="s">
        <v>38</v>
      </c>
      <c r="J246" t="s">
        <v>2365</v>
      </c>
      <c r="M246" s="3" t="s">
        <v>2300</v>
      </c>
      <c r="N246" s="3" t="s">
        <v>2255</v>
      </c>
      <c r="O246" t="s">
        <v>2310</v>
      </c>
    </row>
    <row r="247" spans="1:15" x14ac:dyDescent="0.25">
      <c r="A247" t="s">
        <v>2285</v>
      </c>
      <c r="B247" s="1" t="e">
        <v>#N/A</v>
      </c>
      <c r="C247" s="1" t="e">
        <v>#N/A</v>
      </c>
      <c r="D247" s="1" t="e">
        <v>#N/A</v>
      </c>
      <c r="E247" s="1" t="s">
        <v>2455</v>
      </c>
      <c r="F247" s="2" t="s">
        <v>2300</v>
      </c>
      <c r="G247" s="1" t="s">
        <v>2305</v>
      </c>
      <c r="H247" s="2">
        <v>4</v>
      </c>
      <c r="I247" s="3" t="s">
        <v>1</v>
      </c>
      <c r="J247" t="s">
        <v>2365</v>
      </c>
      <c r="M247" s="3" t="s">
        <v>2300</v>
      </c>
      <c r="N247" s="3" t="s">
        <v>2258</v>
      </c>
      <c r="O247" t="s">
        <v>2310</v>
      </c>
    </row>
    <row r="248" spans="1:15" x14ac:dyDescent="0.25">
      <c r="A248" t="s">
        <v>2285</v>
      </c>
      <c r="B248" s="1" t="e">
        <v>#N/A</v>
      </c>
      <c r="C248" s="1" t="e">
        <v>#N/A</v>
      </c>
      <c r="D248" s="1" t="e">
        <v>#N/A</v>
      </c>
      <c r="E248" s="1" t="s">
        <v>2455</v>
      </c>
      <c r="F248" s="2" t="s">
        <v>2300</v>
      </c>
      <c r="G248" s="1" t="s">
        <v>2305</v>
      </c>
      <c r="H248" s="2">
        <v>4</v>
      </c>
      <c r="I248" s="3" t="s">
        <v>2437</v>
      </c>
      <c r="J248" t="s">
        <v>2365</v>
      </c>
      <c r="M248" s="3" t="s">
        <v>2300</v>
      </c>
      <c r="N248" s="3" t="s">
        <v>2258</v>
      </c>
      <c r="O248" t="s">
        <v>2310</v>
      </c>
    </row>
    <row r="249" spans="1:15" x14ac:dyDescent="0.25">
      <c r="A249" t="s">
        <v>2285</v>
      </c>
      <c r="B249" s="1" t="e">
        <v>#N/A</v>
      </c>
      <c r="C249" s="1" t="e">
        <v>#N/A</v>
      </c>
      <c r="D249" s="1" t="e">
        <v>#N/A</v>
      </c>
      <c r="E249" s="1" t="s">
        <v>2455</v>
      </c>
      <c r="F249" s="2" t="s">
        <v>2300</v>
      </c>
      <c r="G249" s="1" t="s">
        <v>2303</v>
      </c>
      <c r="H249" s="2">
        <v>4</v>
      </c>
      <c r="I249" s="3" t="s">
        <v>2327</v>
      </c>
      <c r="J249" t="s">
        <v>2365</v>
      </c>
      <c r="M249" s="3" t="s">
        <v>2300</v>
      </c>
      <c r="N249" s="3" t="s">
        <v>2256</v>
      </c>
      <c r="O249" t="s">
        <v>2310</v>
      </c>
    </row>
    <row r="250" spans="1:15" x14ac:dyDescent="0.25">
      <c r="A250" t="s">
        <v>2285</v>
      </c>
      <c r="B250" s="1" t="e">
        <v>#N/A</v>
      </c>
      <c r="C250" s="1" t="e">
        <v>#N/A</v>
      </c>
      <c r="D250" s="1" t="e">
        <v>#N/A</v>
      </c>
      <c r="E250" s="1" t="s">
        <v>2455</v>
      </c>
      <c r="F250" s="2" t="s">
        <v>2300</v>
      </c>
      <c r="G250" s="1" t="s">
        <v>2303</v>
      </c>
      <c r="H250" s="2">
        <v>4</v>
      </c>
      <c r="I250" s="3" t="s">
        <v>2318</v>
      </c>
      <c r="J250" t="s">
        <v>2365</v>
      </c>
      <c r="M250" s="3" t="s">
        <v>2300</v>
      </c>
      <c r="N250" s="3" t="s">
        <v>2256</v>
      </c>
      <c r="O250" t="s">
        <v>2310</v>
      </c>
    </row>
    <row r="251" spans="1:15" x14ac:dyDescent="0.25">
      <c r="A251" t="s">
        <v>2285</v>
      </c>
      <c r="B251" s="1" t="e">
        <v>#N/A</v>
      </c>
      <c r="C251" s="1" t="e">
        <v>#N/A</v>
      </c>
      <c r="D251" s="1" t="e">
        <v>#N/A</v>
      </c>
      <c r="E251" s="1" t="s">
        <v>2455</v>
      </c>
      <c r="F251" s="2" t="s">
        <v>2300</v>
      </c>
      <c r="G251" s="1" t="s">
        <v>2304</v>
      </c>
      <c r="H251" s="2">
        <v>4</v>
      </c>
      <c r="I251" s="3" t="s">
        <v>2317</v>
      </c>
      <c r="J251" t="s">
        <v>2365</v>
      </c>
      <c r="M251" s="3" t="s">
        <v>2300</v>
      </c>
      <c r="N251" s="3" t="s">
        <v>2255</v>
      </c>
      <c r="O251" t="s">
        <v>2310</v>
      </c>
    </row>
    <row r="252" spans="1:15" x14ac:dyDescent="0.25">
      <c r="A252" t="s">
        <v>2285</v>
      </c>
      <c r="B252" s="1" t="e">
        <v>#N/A</v>
      </c>
      <c r="C252" s="1" t="e">
        <v>#N/A</v>
      </c>
      <c r="D252" s="1" t="e">
        <v>#N/A</v>
      </c>
      <c r="E252" s="1" t="s">
        <v>2455</v>
      </c>
      <c r="F252" s="2" t="s">
        <v>2300</v>
      </c>
      <c r="G252" s="1" t="s">
        <v>2304</v>
      </c>
      <c r="H252" s="2">
        <v>4</v>
      </c>
      <c r="I252" s="3" t="s">
        <v>2356</v>
      </c>
      <c r="J252" t="s">
        <v>2365</v>
      </c>
      <c r="M252" s="3" t="s">
        <v>2300</v>
      </c>
      <c r="N252" s="3" t="s">
        <v>2255</v>
      </c>
      <c r="O252" t="s">
        <v>2310</v>
      </c>
    </row>
    <row r="253" spans="1:15" x14ac:dyDescent="0.25">
      <c r="A253" t="s">
        <v>2285</v>
      </c>
      <c r="B253" s="1" t="e">
        <v>#N/A</v>
      </c>
      <c r="C253" s="1" t="e">
        <v>#N/A</v>
      </c>
      <c r="D253" s="1" t="e">
        <v>#N/A</v>
      </c>
      <c r="E253" s="1" t="s">
        <v>2455</v>
      </c>
      <c r="F253" s="2" t="s">
        <v>2300</v>
      </c>
      <c r="G253" s="1" t="s">
        <v>2303</v>
      </c>
      <c r="H253" s="2">
        <v>4</v>
      </c>
      <c r="I253" s="3" t="s">
        <v>1</v>
      </c>
      <c r="J253" t="s">
        <v>2365</v>
      </c>
      <c r="M253" s="3" t="s">
        <v>2300</v>
      </c>
      <c r="N253" s="3" t="s">
        <v>2256</v>
      </c>
      <c r="O253" t="s">
        <v>2310</v>
      </c>
    </row>
    <row r="254" spans="1:15" x14ac:dyDescent="0.25">
      <c r="A254" t="s">
        <v>2285</v>
      </c>
      <c r="B254" s="1" t="e">
        <v>#N/A</v>
      </c>
      <c r="C254" s="1" t="e">
        <v>#N/A</v>
      </c>
      <c r="D254" s="1" t="e">
        <v>#N/A</v>
      </c>
      <c r="E254" s="1" t="s">
        <v>2455</v>
      </c>
      <c r="F254" s="2" t="s">
        <v>2300</v>
      </c>
      <c r="G254" s="1" t="s">
        <v>2304</v>
      </c>
      <c r="H254" s="2">
        <v>4</v>
      </c>
      <c r="I254" s="3" t="s">
        <v>1</v>
      </c>
      <c r="J254" t="s">
        <v>2365</v>
      </c>
      <c r="M254" s="3" t="s">
        <v>2300</v>
      </c>
      <c r="N254" s="3" t="s">
        <v>2255</v>
      </c>
      <c r="O254" t="s">
        <v>2310</v>
      </c>
    </row>
    <row r="255" spans="1:15" x14ac:dyDescent="0.25">
      <c r="A255" t="s">
        <v>2285</v>
      </c>
      <c r="B255" s="1" t="e">
        <v>#N/A</v>
      </c>
      <c r="C255" s="1" t="e">
        <v>#N/A</v>
      </c>
      <c r="D255" s="1" t="e">
        <v>#N/A</v>
      </c>
      <c r="E255" s="1" t="s">
        <v>2455</v>
      </c>
      <c r="F255" s="2" t="s">
        <v>2300</v>
      </c>
      <c r="G255" s="1" t="s">
        <v>2303</v>
      </c>
      <c r="H255" s="2">
        <v>4</v>
      </c>
      <c r="I255" s="3" t="s">
        <v>32</v>
      </c>
      <c r="J255" t="s">
        <v>2365</v>
      </c>
      <c r="M255" s="3" t="s">
        <v>2300</v>
      </c>
      <c r="N255" s="3" t="s">
        <v>2256</v>
      </c>
      <c r="O255" t="s">
        <v>2310</v>
      </c>
    </row>
    <row r="256" spans="1:15" x14ac:dyDescent="0.25">
      <c r="A256" t="s">
        <v>2285</v>
      </c>
      <c r="B256" s="1" t="e">
        <v>#N/A</v>
      </c>
      <c r="C256" s="1" t="e">
        <v>#N/A</v>
      </c>
      <c r="D256" s="1" t="e">
        <v>#N/A</v>
      </c>
      <c r="E256" s="1" t="s">
        <v>2455</v>
      </c>
      <c r="F256" s="2" t="s">
        <v>2300</v>
      </c>
      <c r="G256" s="1" t="s">
        <v>2303</v>
      </c>
      <c r="H256" s="2">
        <v>4</v>
      </c>
      <c r="I256" s="3" t="s">
        <v>2315</v>
      </c>
      <c r="J256" t="s">
        <v>2365</v>
      </c>
      <c r="M256" s="3" t="s">
        <v>2300</v>
      </c>
      <c r="N256" s="3" t="s">
        <v>2256</v>
      </c>
      <c r="O256" t="s">
        <v>2310</v>
      </c>
    </row>
    <row r="257" spans="1:15" x14ac:dyDescent="0.25">
      <c r="A257" t="s">
        <v>2285</v>
      </c>
      <c r="B257" s="1" t="e">
        <v>#N/A</v>
      </c>
      <c r="C257" s="1" t="e">
        <v>#N/A</v>
      </c>
      <c r="D257" s="1" t="e">
        <v>#N/A</v>
      </c>
      <c r="E257" s="1" t="s">
        <v>2455</v>
      </c>
      <c r="F257" s="2" t="s">
        <v>2300</v>
      </c>
      <c r="G257" s="1" t="s">
        <v>2303</v>
      </c>
      <c r="H257" s="2">
        <v>4</v>
      </c>
      <c r="I257" s="3" t="s">
        <v>2321</v>
      </c>
      <c r="J257" t="s">
        <v>2365</v>
      </c>
      <c r="M257" s="3" t="s">
        <v>2300</v>
      </c>
      <c r="N257" s="3" t="s">
        <v>2256</v>
      </c>
      <c r="O257" t="s">
        <v>2310</v>
      </c>
    </row>
    <row r="258" spans="1:15" x14ac:dyDescent="0.25">
      <c r="A258" t="s">
        <v>2285</v>
      </c>
      <c r="B258" s="1" t="e">
        <v>#N/A</v>
      </c>
      <c r="C258" s="1" t="e">
        <v>#N/A</v>
      </c>
      <c r="D258" s="1" t="e">
        <v>#N/A</v>
      </c>
      <c r="E258" s="1" t="s">
        <v>2298</v>
      </c>
      <c r="F258" s="2" t="s">
        <v>2300</v>
      </c>
      <c r="G258" s="1" t="s">
        <v>2304</v>
      </c>
      <c r="H258" s="2">
        <v>3</v>
      </c>
      <c r="I258" s="3" t="s">
        <v>2441</v>
      </c>
      <c r="J258" t="s">
        <v>2365</v>
      </c>
      <c r="M258" s="3" t="s">
        <v>2300</v>
      </c>
      <c r="N258" s="3" t="s">
        <v>2255</v>
      </c>
      <c r="O258" t="s">
        <v>2310</v>
      </c>
    </row>
    <row r="259" spans="1:15" x14ac:dyDescent="0.25">
      <c r="A259" t="s">
        <v>2285</v>
      </c>
      <c r="B259" s="1" t="e">
        <v>#N/A</v>
      </c>
      <c r="C259" s="1" t="e">
        <v>#N/A</v>
      </c>
      <c r="D259" s="1" t="e">
        <v>#N/A</v>
      </c>
      <c r="E259" s="1" t="s">
        <v>2298</v>
      </c>
      <c r="F259" s="2" t="s">
        <v>2300</v>
      </c>
      <c r="G259" s="1" t="s">
        <v>2304</v>
      </c>
      <c r="H259" s="2">
        <v>3</v>
      </c>
      <c r="I259" s="3" t="s">
        <v>22</v>
      </c>
      <c r="J259" t="s">
        <v>2365</v>
      </c>
      <c r="M259" s="3" t="s">
        <v>2300</v>
      </c>
      <c r="N259" s="3" t="s">
        <v>2255</v>
      </c>
      <c r="O259" t="s">
        <v>2310</v>
      </c>
    </row>
    <row r="260" spans="1:15" x14ac:dyDescent="0.25">
      <c r="A260" t="s">
        <v>2285</v>
      </c>
      <c r="B260" s="1" t="e">
        <v>#N/A</v>
      </c>
      <c r="C260" s="1" t="e">
        <v>#N/A</v>
      </c>
      <c r="D260" s="1" t="e">
        <v>#N/A</v>
      </c>
      <c r="E260" s="1" t="s">
        <v>2298</v>
      </c>
      <c r="F260" s="2" t="s">
        <v>2300</v>
      </c>
      <c r="G260" s="1" t="s">
        <v>2304</v>
      </c>
      <c r="H260" s="2">
        <v>3</v>
      </c>
      <c r="I260" s="3" t="s">
        <v>19</v>
      </c>
      <c r="J260" t="s">
        <v>2365</v>
      </c>
      <c r="M260" s="3" t="s">
        <v>2300</v>
      </c>
      <c r="N260" s="3" t="s">
        <v>2255</v>
      </c>
      <c r="O260" t="s">
        <v>2310</v>
      </c>
    </row>
    <row r="261" spans="1:15" x14ac:dyDescent="0.25">
      <c r="A261" t="s">
        <v>2285</v>
      </c>
      <c r="B261" s="1" t="e">
        <v>#N/A</v>
      </c>
      <c r="C261" s="1" t="e">
        <v>#N/A</v>
      </c>
      <c r="D261" s="1" t="e">
        <v>#N/A</v>
      </c>
      <c r="E261" s="1" t="s">
        <v>2298</v>
      </c>
      <c r="F261" s="2" t="s">
        <v>2300</v>
      </c>
      <c r="G261" s="1" t="s">
        <v>2304</v>
      </c>
      <c r="H261" s="2">
        <v>3</v>
      </c>
      <c r="I261" s="3" t="s">
        <v>2442</v>
      </c>
      <c r="J261" t="s">
        <v>2365</v>
      </c>
      <c r="M261" s="3" t="s">
        <v>2300</v>
      </c>
      <c r="N261" s="3" t="s">
        <v>2255</v>
      </c>
      <c r="O261" t="s">
        <v>2310</v>
      </c>
    </row>
    <row r="262" spans="1:15" x14ac:dyDescent="0.25">
      <c r="A262" t="s">
        <v>2285</v>
      </c>
      <c r="B262" s="1" t="e">
        <v>#N/A</v>
      </c>
      <c r="C262" s="1" t="e">
        <v>#N/A</v>
      </c>
      <c r="D262" s="1" t="e">
        <v>#N/A</v>
      </c>
      <c r="E262" s="1" t="s">
        <v>2298</v>
      </c>
      <c r="F262" s="2" t="s">
        <v>2300</v>
      </c>
      <c r="G262" s="1" t="s">
        <v>2304</v>
      </c>
      <c r="H262" s="2">
        <v>3</v>
      </c>
      <c r="I262" s="3" t="s">
        <v>2443</v>
      </c>
      <c r="J262" t="s">
        <v>2365</v>
      </c>
      <c r="M262" s="3" t="s">
        <v>2300</v>
      </c>
      <c r="N262" s="3" t="s">
        <v>2255</v>
      </c>
      <c r="O262" t="s">
        <v>2310</v>
      </c>
    </row>
    <row r="263" spans="1:15" x14ac:dyDescent="0.25">
      <c r="A263" t="s">
        <v>2285</v>
      </c>
      <c r="B263" s="1" t="e">
        <v>#N/A</v>
      </c>
      <c r="C263" s="1" t="e">
        <v>#N/A</v>
      </c>
      <c r="D263" s="1" t="e">
        <v>#N/A</v>
      </c>
      <c r="E263" s="1" t="s">
        <v>2455</v>
      </c>
      <c r="F263" s="2" t="s">
        <v>2300</v>
      </c>
      <c r="G263" s="1" t="s">
        <v>2304</v>
      </c>
      <c r="H263" s="2">
        <v>3</v>
      </c>
      <c r="I263" s="3" t="s">
        <v>5</v>
      </c>
      <c r="J263" t="s">
        <v>2365</v>
      </c>
      <c r="M263" s="3" t="s">
        <v>2300</v>
      </c>
      <c r="N263" s="3" t="s">
        <v>2255</v>
      </c>
      <c r="O263" t="s">
        <v>2310</v>
      </c>
    </row>
    <row r="264" spans="1:15" x14ac:dyDescent="0.25">
      <c r="A264" t="s">
        <v>2285</v>
      </c>
      <c r="B264" s="1" t="e">
        <v>#N/A</v>
      </c>
      <c r="C264" s="1" t="e">
        <v>#N/A</v>
      </c>
      <c r="D264" s="1" t="e">
        <v>#N/A</v>
      </c>
      <c r="E264" s="1" t="s">
        <v>2455</v>
      </c>
      <c r="F264" s="2" t="s">
        <v>2300</v>
      </c>
      <c r="G264" s="1" t="s">
        <v>2304</v>
      </c>
      <c r="H264" s="2">
        <v>3</v>
      </c>
      <c r="I264" s="3" t="s">
        <v>38</v>
      </c>
      <c r="J264" t="s">
        <v>2365</v>
      </c>
      <c r="M264" s="3" t="s">
        <v>2300</v>
      </c>
      <c r="N264" s="3" t="s">
        <v>2255</v>
      </c>
      <c r="O264" t="s">
        <v>2310</v>
      </c>
    </row>
    <row r="265" spans="1:15" x14ac:dyDescent="0.25">
      <c r="A265" t="s">
        <v>2285</v>
      </c>
      <c r="B265" s="1" t="e">
        <v>#N/A</v>
      </c>
      <c r="C265" s="1" t="e">
        <v>#N/A</v>
      </c>
      <c r="D265" s="1" t="e">
        <v>#N/A</v>
      </c>
      <c r="E265" s="1" t="s">
        <v>2455</v>
      </c>
      <c r="F265" s="2" t="s">
        <v>2300</v>
      </c>
      <c r="G265" s="1" t="s">
        <v>2303</v>
      </c>
      <c r="H265" s="2">
        <v>3</v>
      </c>
      <c r="I265" s="3" t="s">
        <v>6</v>
      </c>
      <c r="J265" t="s">
        <v>2365</v>
      </c>
      <c r="M265" s="3" t="s">
        <v>2300</v>
      </c>
      <c r="N265" s="3" t="s">
        <v>2256</v>
      </c>
      <c r="O265" t="s">
        <v>2310</v>
      </c>
    </row>
    <row r="266" spans="1:15" x14ac:dyDescent="0.25">
      <c r="A266" t="s">
        <v>2285</v>
      </c>
      <c r="B266" s="1" t="e">
        <v>#N/A</v>
      </c>
      <c r="C266" s="1" t="e">
        <v>#N/A</v>
      </c>
      <c r="D266" s="1" t="e">
        <v>#N/A</v>
      </c>
      <c r="E266" s="1" t="s">
        <v>2455</v>
      </c>
      <c r="F266" s="2" t="s">
        <v>2300</v>
      </c>
      <c r="G266" s="1" t="s">
        <v>2304</v>
      </c>
      <c r="H266" s="2">
        <v>3</v>
      </c>
      <c r="I266" s="3" t="s">
        <v>2</v>
      </c>
      <c r="J266" t="s">
        <v>2365</v>
      </c>
      <c r="M266" s="3" t="s">
        <v>2300</v>
      </c>
      <c r="N266" s="3" t="s">
        <v>2255</v>
      </c>
      <c r="O266" t="s">
        <v>2310</v>
      </c>
    </row>
    <row r="267" spans="1:15" x14ac:dyDescent="0.25">
      <c r="A267" t="s">
        <v>2285</v>
      </c>
      <c r="B267" s="1" t="e">
        <v>#N/A</v>
      </c>
      <c r="C267" s="1" t="e">
        <v>#N/A</v>
      </c>
      <c r="D267" s="1" t="e">
        <v>#N/A</v>
      </c>
      <c r="E267" s="1" t="s">
        <v>2455</v>
      </c>
      <c r="F267" s="2" t="s">
        <v>2300</v>
      </c>
      <c r="G267" s="1" t="s">
        <v>2304</v>
      </c>
      <c r="H267" s="2">
        <v>3</v>
      </c>
      <c r="I267" s="3" t="s">
        <v>2348</v>
      </c>
      <c r="J267" t="s">
        <v>2365</v>
      </c>
      <c r="M267" s="3" t="s">
        <v>2300</v>
      </c>
      <c r="N267" s="3" t="s">
        <v>2255</v>
      </c>
      <c r="O267" t="s">
        <v>2310</v>
      </c>
    </row>
    <row r="268" spans="1:15" x14ac:dyDescent="0.25">
      <c r="A268" t="s">
        <v>2285</v>
      </c>
      <c r="B268" s="1" t="e">
        <v>#N/A</v>
      </c>
      <c r="C268" s="1" t="e">
        <v>#N/A</v>
      </c>
      <c r="D268" s="1" t="e">
        <v>#N/A</v>
      </c>
      <c r="E268" s="1" t="s">
        <v>2455</v>
      </c>
      <c r="F268" s="2" t="s">
        <v>2300</v>
      </c>
      <c r="G268" s="1" t="s">
        <v>2304</v>
      </c>
      <c r="H268" s="2">
        <v>3</v>
      </c>
      <c r="I268" s="3" t="s">
        <v>12</v>
      </c>
      <c r="J268" t="s">
        <v>2365</v>
      </c>
      <c r="M268" s="3" t="s">
        <v>2300</v>
      </c>
      <c r="N268" s="3" t="s">
        <v>2255</v>
      </c>
      <c r="O268" t="s">
        <v>2310</v>
      </c>
    </row>
    <row r="269" spans="1:15" x14ac:dyDescent="0.25">
      <c r="A269" t="s">
        <v>2285</v>
      </c>
      <c r="B269" s="1" t="e">
        <v>#N/A</v>
      </c>
      <c r="C269" s="1" t="e">
        <v>#N/A</v>
      </c>
      <c r="D269" s="1" t="e">
        <v>#N/A</v>
      </c>
      <c r="E269" s="1" t="s">
        <v>2455</v>
      </c>
      <c r="F269" s="2" t="s">
        <v>2300</v>
      </c>
      <c r="G269" s="1" t="s">
        <v>2304</v>
      </c>
      <c r="H269" s="2">
        <v>3</v>
      </c>
      <c r="I269" s="3" t="s">
        <v>5</v>
      </c>
      <c r="J269" t="s">
        <v>2365</v>
      </c>
      <c r="M269" s="3" t="s">
        <v>2300</v>
      </c>
      <c r="N269" s="3" t="s">
        <v>2255</v>
      </c>
      <c r="O269" t="s">
        <v>2310</v>
      </c>
    </row>
    <row r="270" spans="1:15" x14ac:dyDescent="0.25">
      <c r="A270" t="s">
        <v>2285</v>
      </c>
      <c r="B270" s="1" t="e">
        <v>#N/A</v>
      </c>
      <c r="C270" s="1" t="e">
        <v>#N/A</v>
      </c>
      <c r="D270" s="1" t="e">
        <v>#N/A</v>
      </c>
      <c r="E270" s="1" t="s">
        <v>2455</v>
      </c>
      <c r="F270" s="2" t="s">
        <v>2300</v>
      </c>
      <c r="G270" s="1" t="s">
        <v>2304</v>
      </c>
      <c r="H270" s="2">
        <v>3</v>
      </c>
      <c r="I270" s="3" t="s">
        <v>2317</v>
      </c>
      <c r="J270" t="s">
        <v>2365</v>
      </c>
      <c r="M270" s="3" t="s">
        <v>2300</v>
      </c>
      <c r="N270" s="3" t="s">
        <v>2255</v>
      </c>
      <c r="O270" t="s">
        <v>2310</v>
      </c>
    </row>
    <row r="271" spans="1:15" x14ac:dyDescent="0.25">
      <c r="A271" t="s">
        <v>2285</v>
      </c>
      <c r="B271" s="1" t="e">
        <v>#N/A</v>
      </c>
      <c r="C271" s="1" t="e">
        <v>#N/A</v>
      </c>
      <c r="D271" s="1" t="e">
        <v>#N/A</v>
      </c>
      <c r="E271" s="1" t="s">
        <v>2455</v>
      </c>
      <c r="F271" s="2" t="s">
        <v>2300</v>
      </c>
      <c r="G271" s="1" t="s">
        <v>2304</v>
      </c>
      <c r="H271" s="2">
        <v>3</v>
      </c>
      <c r="I271" s="3" t="s">
        <v>2348</v>
      </c>
      <c r="J271" t="s">
        <v>2365</v>
      </c>
      <c r="M271" s="3" t="s">
        <v>2300</v>
      </c>
      <c r="N271" s="3" t="s">
        <v>2255</v>
      </c>
      <c r="O271" t="s">
        <v>2310</v>
      </c>
    </row>
    <row r="272" spans="1:15" x14ac:dyDescent="0.25">
      <c r="A272" t="s">
        <v>2285</v>
      </c>
      <c r="B272" s="1" t="e">
        <v>#N/A</v>
      </c>
      <c r="C272" s="1" t="e">
        <v>#N/A</v>
      </c>
      <c r="D272" s="1" t="e">
        <v>#N/A</v>
      </c>
      <c r="E272" s="1" t="s">
        <v>2455</v>
      </c>
      <c r="F272" s="2" t="s">
        <v>2300</v>
      </c>
      <c r="G272" s="1" t="s">
        <v>2304</v>
      </c>
      <c r="H272" s="2">
        <v>3</v>
      </c>
      <c r="I272" s="3" t="s">
        <v>2</v>
      </c>
      <c r="J272" t="s">
        <v>2365</v>
      </c>
      <c r="M272" s="3" t="s">
        <v>2300</v>
      </c>
      <c r="N272" s="3" t="s">
        <v>2255</v>
      </c>
      <c r="O272" t="s">
        <v>2310</v>
      </c>
    </row>
    <row r="273" spans="1:15" x14ac:dyDescent="0.25">
      <c r="A273" t="s">
        <v>2285</v>
      </c>
      <c r="B273" s="1" t="e">
        <v>#N/A</v>
      </c>
      <c r="C273" s="1" t="e">
        <v>#N/A</v>
      </c>
      <c r="D273" s="1" t="e">
        <v>#N/A</v>
      </c>
      <c r="E273" s="1" t="s">
        <v>2455</v>
      </c>
      <c r="F273" s="2" t="s">
        <v>2300</v>
      </c>
      <c r="G273" s="1" t="s">
        <v>2304</v>
      </c>
      <c r="H273" s="2">
        <v>3</v>
      </c>
      <c r="I273" s="3" t="s">
        <v>12</v>
      </c>
      <c r="J273" t="s">
        <v>2365</v>
      </c>
      <c r="M273" s="3" t="s">
        <v>2300</v>
      </c>
      <c r="N273" s="3" t="s">
        <v>2255</v>
      </c>
      <c r="O273" t="s">
        <v>2310</v>
      </c>
    </row>
    <row r="274" spans="1:15" x14ac:dyDescent="0.25">
      <c r="A274" t="s">
        <v>2285</v>
      </c>
      <c r="B274" s="1" t="e">
        <v>#N/A</v>
      </c>
      <c r="C274" s="1" t="e">
        <v>#N/A</v>
      </c>
      <c r="D274" s="1" t="e">
        <v>#N/A</v>
      </c>
      <c r="E274" s="1" t="s">
        <v>2455</v>
      </c>
      <c r="F274" s="2" t="s">
        <v>2300</v>
      </c>
      <c r="G274" s="1" t="s">
        <v>2303</v>
      </c>
      <c r="H274" s="2">
        <v>3</v>
      </c>
      <c r="I274" s="3" t="s">
        <v>2424</v>
      </c>
      <c r="J274" t="s">
        <v>2365</v>
      </c>
      <c r="M274" s="3" t="s">
        <v>2300</v>
      </c>
      <c r="N274" s="3" t="s">
        <v>2256</v>
      </c>
      <c r="O274" t="s">
        <v>2310</v>
      </c>
    </row>
    <row r="275" spans="1:15" x14ac:dyDescent="0.25">
      <c r="A275" t="s">
        <v>2285</v>
      </c>
      <c r="B275" s="1" t="e">
        <v>#N/A</v>
      </c>
      <c r="C275" s="1" t="e">
        <v>#N/A</v>
      </c>
      <c r="D275" s="1" t="e">
        <v>#N/A</v>
      </c>
      <c r="E275" s="1" t="s">
        <v>2455</v>
      </c>
      <c r="F275" s="2" t="s">
        <v>2300</v>
      </c>
      <c r="G275" s="1" t="s">
        <v>2303</v>
      </c>
      <c r="H275" s="2">
        <v>3</v>
      </c>
      <c r="I275" s="3" t="s">
        <v>38</v>
      </c>
      <c r="J275" t="s">
        <v>2365</v>
      </c>
      <c r="M275" s="3" t="s">
        <v>2300</v>
      </c>
      <c r="N275" s="3" t="s">
        <v>2256</v>
      </c>
      <c r="O275" t="s">
        <v>2310</v>
      </c>
    </row>
    <row r="276" spans="1:15" x14ac:dyDescent="0.25">
      <c r="A276" t="s">
        <v>2285</v>
      </c>
      <c r="B276" s="1" t="e">
        <v>#N/A</v>
      </c>
      <c r="C276" s="1" t="e">
        <v>#N/A</v>
      </c>
      <c r="D276" s="1" t="e">
        <v>#N/A</v>
      </c>
      <c r="E276" s="1" t="s">
        <v>2455</v>
      </c>
      <c r="F276" s="2" t="s">
        <v>2300</v>
      </c>
      <c r="G276" s="1" t="s">
        <v>2304</v>
      </c>
      <c r="H276" s="2">
        <v>3</v>
      </c>
      <c r="I276" s="3" t="s">
        <v>2319</v>
      </c>
      <c r="J276" t="s">
        <v>2365</v>
      </c>
      <c r="M276" s="3" t="s">
        <v>2300</v>
      </c>
      <c r="N276" s="3" t="s">
        <v>2255</v>
      </c>
      <c r="O276" t="s">
        <v>2310</v>
      </c>
    </row>
    <row r="277" spans="1:15" x14ac:dyDescent="0.25">
      <c r="A277" t="s">
        <v>2285</v>
      </c>
      <c r="B277" s="1" t="e">
        <v>#N/A</v>
      </c>
      <c r="C277" s="1" t="e">
        <v>#N/A</v>
      </c>
      <c r="D277" s="1" t="e">
        <v>#N/A</v>
      </c>
      <c r="E277" s="1" t="s">
        <v>2455</v>
      </c>
      <c r="F277" s="2" t="s">
        <v>2300</v>
      </c>
      <c r="G277" s="1" t="s">
        <v>2304</v>
      </c>
      <c r="H277" s="2">
        <v>3</v>
      </c>
      <c r="I277" s="3" t="s">
        <v>2333</v>
      </c>
      <c r="J277" t="s">
        <v>2365</v>
      </c>
      <c r="M277" s="3" t="s">
        <v>2300</v>
      </c>
      <c r="N277" s="3" t="s">
        <v>2255</v>
      </c>
      <c r="O277" t="s">
        <v>2310</v>
      </c>
    </row>
    <row r="278" spans="1:15" x14ac:dyDescent="0.25">
      <c r="A278" t="s">
        <v>2285</v>
      </c>
      <c r="B278" s="1" t="e">
        <v>#N/A</v>
      </c>
      <c r="C278" s="1" t="e">
        <v>#N/A</v>
      </c>
      <c r="D278" s="1" t="e">
        <v>#N/A</v>
      </c>
      <c r="E278" s="1" t="s">
        <v>2455</v>
      </c>
      <c r="F278" s="2" t="s">
        <v>2300</v>
      </c>
      <c r="G278" s="1" t="s">
        <v>2304</v>
      </c>
      <c r="H278" s="2">
        <v>3</v>
      </c>
      <c r="I278" s="3" t="s">
        <v>2</v>
      </c>
      <c r="J278" t="s">
        <v>2365</v>
      </c>
      <c r="M278" s="3" t="s">
        <v>2301</v>
      </c>
      <c r="N278" s="3" t="s">
        <v>2255</v>
      </c>
      <c r="O278" t="s">
        <v>2310</v>
      </c>
    </row>
    <row r="279" spans="1:15" x14ac:dyDescent="0.25">
      <c r="A279" t="s">
        <v>2285</v>
      </c>
      <c r="B279" s="1" t="e">
        <v>#N/A</v>
      </c>
      <c r="C279" s="1" t="e">
        <v>#N/A</v>
      </c>
      <c r="D279" s="1" t="e">
        <v>#N/A</v>
      </c>
      <c r="E279" s="1" t="s">
        <v>2455</v>
      </c>
      <c r="F279" s="2" t="s">
        <v>2300</v>
      </c>
      <c r="G279" s="1" t="s">
        <v>2304</v>
      </c>
      <c r="H279" s="2">
        <v>3</v>
      </c>
      <c r="I279" s="3" t="s">
        <v>2317</v>
      </c>
      <c r="J279" t="s">
        <v>2365</v>
      </c>
      <c r="M279" s="3" t="s">
        <v>2300</v>
      </c>
      <c r="N279" s="3" t="s">
        <v>2255</v>
      </c>
      <c r="O279" t="s">
        <v>2310</v>
      </c>
    </row>
    <row r="280" spans="1:15" x14ac:dyDescent="0.25">
      <c r="A280" t="s">
        <v>2285</v>
      </c>
      <c r="B280" s="1" t="e">
        <v>#N/A</v>
      </c>
      <c r="C280" s="1" t="e">
        <v>#N/A</v>
      </c>
      <c r="D280" s="1" t="e">
        <v>#N/A</v>
      </c>
      <c r="E280" s="1" t="s">
        <v>2455</v>
      </c>
      <c r="F280" s="2" t="s">
        <v>2300</v>
      </c>
      <c r="G280" s="1" t="s">
        <v>2304</v>
      </c>
      <c r="H280" s="2">
        <v>3</v>
      </c>
      <c r="I280" s="3" t="s">
        <v>2444</v>
      </c>
      <c r="J280" t="s">
        <v>2365</v>
      </c>
      <c r="M280" s="3" t="s">
        <v>2300</v>
      </c>
      <c r="N280" s="3" t="s">
        <v>2255</v>
      </c>
      <c r="O280" t="s">
        <v>2310</v>
      </c>
    </row>
    <row r="281" spans="1:15" x14ac:dyDescent="0.25">
      <c r="A281" t="s">
        <v>2285</v>
      </c>
      <c r="B281" s="1" t="e">
        <v>#N/A</v>
      </c>
      <c r="C281" s="1" t="e">
        <v>#N/A</v>
      </c>
      <c r="D281" s="1" t="e">
        <v>#N/A</v>
      </c>
      <c r="E281" s="1" t="s">
        <v>2455</v>
      </c>
      <c r="F281" s="2" t="s">
        <v>2300</v>
      </c>
      <c r="G281" s="1" t="s">
        <v>2304</v>
      </c>
      <c r="H281" s="2">
        <v>3</v>
      </c>
      <c r="I281" s="3" t="s">
        <v>2</v>
      </c>
      <c r="J281" t="s">
        <v>2365</v>
      </c>
      <c r="M281" s="3" t="s">
        <v>2300</v>
      </c>
      <c r="N281" s="3" t="s">
        <v>2255</v>
      </c>
      <c r="O281" t="s">
        <v>2310</v>
      </c>
    </row>
    <row r="282" spans="1:15" x14ac:dyDescent="0.25">
      <c r="A282" t="s">
        <v>2285</v>
      </c>
      <c r="B282" s="1" t="e">
        <v>#N/A</v>
      </c>
      <c r="C282" s="1" t="e">
        <v>#N/A</v>
      </c>
      <c r="D282" s="1" t="e">
        <v>#N/A</v>
      </c>
      <c r="E282" s="1" t="s">
        <v>2455</v>
      </c>
      <c r="F282" s="2" t="s">
        <v>2300</v>
      </c>
      <c r="G282" s="1" t="s">
        <v>2304</v>
      </c>
      <c r="H282" s="2">
        <v>3</v>
      </c>
      <c r="I282" s="3" t="s">
        <v>2317</v>
      </c>
      <c r="J282" t="s">
        <v>2365</v>
      </c>
      <c r="M282" s="3" t="s">
        <v>2301</v>
      </c>
      <c r="N282" s="3" t="s">
        <v>2255</v>
      </c>
      <c r="O282" t="s">
        <v>2310</v>
      </c>
    </row>
    <row r="283" spans="1:15" x14ac:dyDescent="0.25">
      <c r="A283" t="s">
        <v>2285</v>
      </c>
      <c r="B283" s="1" t="e">
        <v>#N/A</v>
      </c>
      <c r="C283" s="1" t="e">
        <v>#N/A</v>
      </c>
      <c r="D283" s="1" t="e">
        <v>#N/A</v>
      </c>
      <c r="E283" s="1" t="s">
        <v>2455</v>
      </c>
      <c r="F283" s="2" t="s">
        <v>2300</v>
      </c>
      <c r="G283" s="1" t="s">
        <v>2304</v>
      </c>
      <c r="H283" s="2">
        <v>3</v>
      </c>
      <c r="I283" s="3" t="s">
        <v>2358</v>
      </c>
      <c r="J283" t="s">
        <v>2365</v>
      </c>
      <c r="M283" s="3" t="s">
        <v>2300</v>
      </c>
      <c r="N283" s="3" t="s">
        <v>2255</v>
      </c>
      <c r="O283" t="s">
        <v>2310</v>
      </c>
    </row>
    <row r="284" spans="1:15" x14ac:dyDescent="0.25">
      <c r="A284" t="s">
        <v>2285</v>
      </c>
      <c r="B284" s="1" t="e">
        <v>#N/A</v>
      </c>
      <c r="C284" s="1" t="e">
        <v>#N/A</v>
      </c>
      <c r="D284" s="1" t="e">
        <v>#N/A</v>
      </c>
      <c r="E284" s="1" t="s">
        <v>2455</v>
      </c>
      <c r="F284" s="2" t="s">
        <v>2300</v>
      </c>
      <c r="G284" s="1" t="s">
        <v>2303</v>
      </c>
      <c r="H284" s="2">
        <v>3</v>
      </c>
      <c r="I284" s="3" t="s">
        <v>2348</v>
      </c>
      <c r="J284" t="s">
        <v>2365</v>
      </c>
      <c r="M284" s="3" t="s">
        <v>2300</v>
      </c>
      <c r="N284" s="3" t="s">
        <v>2256</v>
      </c>
      <c r="O284" t="s">
        <v>2310</v>
      </c>
    </row>
    <row r="285" spans="1:15" x14ac:dyDescent="0.25">
      <c r="A285" t="s">
        <v>2285</v>
      </c>
      <c r="B285" s="1" t="e">
        <v>#N/A</v>
      </c>
      <c r="C285" s="1" t="e">
        <v>#N/A</v>
      </c>
      <c r="D285" s="1" t="e">
        <v>#N/A</v>
      </c>
      <c r="E285" s="1" t="s">
        <v>2298</v>
      </c>
      <c r="F285" s="2" t="s">
        <v>2300</v>
      </c>
      <c r="G285" s="1" t="s">
        <v>2304</v>
      </c>
      <c r="H285" s="2">
        <v>2</v>
      </c>
      <c r="I285" s="3" t="s">
        <v>2445</v>
      </c>
      <c r="J285" t="s">
        <v>2365</v>
      </c>
      <c r="M285" s="3" t="s">
        <v>2300</v>
      </c>
      <c r="N285" s="3" t="s">
        <v>2255</v>
      </c>
      <c r="O285" t="s">
        <v>2310</v>
      </c>
    </row>
    <row r="286" spans="1:15" x14ac:dyDescent="0.25">
      <c r="A286" t="s">
        <v>2285</v>
      </c>
      <c r="B286" s="1" t="e">
        <v>#N/A</v>
      </c>
      <c r="C286" s="1" t="e">
        <v>#N/A</v>
      </c>
      <c r="D286" s="1" t="e">
        <v>#N/A</v>
      </c>
      <c r="E286" s="1" t="s">
        <v>2298</v>
      </c>
      <c r="F286" s="2" t="s">
        <v>2300</v>
      </c>
      <c r="G286" s="1" t="s">
        <v>2304</v>
      </c>
      <c r="H286" s="2">
        <v>2</v>
      </c>
      <c r="I286" s="3" t="s">
        <v>19</v>
      </c>
      <c r="J286" t="s">
        <v>2365</v>
      </c>
      <c r="M286" s="3" t="s">
        <v>2300</v>
      </c>
      <c r="N286" s="3" t="s">
        <v>2255</v>
      </c>
      <c r="O286" t="s">
        <v>2310</v>
      </c>
    </row>
    <row r="287" spans="1:15" x14ac:dyDescent="0.25">
      <c r="A287" t="s">
        <v>2285</v>
      </c>
      <c r="B287" s="1" t="e">
        <v>#N/A</v>
      </c>
      <c r="C287" s="1" t="e">
        <v>#N/A</v>
      </c>
      <c r="D287" s="1" t="e">
        <v>#N/A</v>
      </c>
      <c r="E287" s="1" t="s">
        <v>2298</v>
      </c>
      <c r="F287" s="2" t="s">
        <v>2300</v>
      </c>
      <c r="G287" s="1" t="s">
        <v>2303</v>
      </c>
      <c r="H287" s="2">
        <v>2</v>
      </c>
      <c r="I287" s="3" t="s">
        <v>2442</v>
      </c>
      <c r="J287" t="s">
        <v>2365</v>
      </c>
      <c r="M287" s="3" t="s">
        <v>2300</v>
      </c>
      <c r="N287" s="3" t="s">
        <v>2256</v>
      </c>
      <c r="O287" t="s">
        <v>2310</v>
      </c>
    </row>
    <row r="288" spans="1:15" x14ac:dyDescent="0.25">
      <c r="A288" t="s">
        <v>2285</v>
      </c>
      <c r="B288" s="1" t="e">
        <v>#N/A</v>
      </c>
      <c r="C288" s="1" t="e">
        <v>#N/A</v>
      </c>
      <c r="D288" s="1" t="e">
        <v>#N/A</v>
      </c>
      <c r="E288" s="1" t="s">
        <v>2455</v>
      </c>
      <c r="F288" s="2" t="s">
        <v>2300</v>
      </c>
      <c r="G288" s="1" t="s">
        <v>2304</v>
      </c>
      <c r="H288" s="2">
        <v>2</v>
      </c>
      <c r="I288" s="3" t="s">
        <v>2333</v>
      </c>
      <c r="J288" t="s">
        <v>2365</v>
      </c>
      <c r="M288" s="3" t="s">
        <v>2300</v>
      </c>
      <c r="N288" s="3" t="s">
        <v>2255</v>
      </c>
      <c r="O288" t="s">
        <v>2310</v>
      </c>
    </row>
    <row r="289" spans="1:15" x14ac:dyDescent="0.25">
      <c r="A289" t="s">
        <v>2285</v>
      </c>
      <c r="B289" s="1" t="e">
        <v>#N/A</v>
      </c>
      <c r="C289" s="1" t="e">
        <v>#N/A</v>
      </c>
      <c r="D289" s="1" t="e">
        <v>#N/A</v>
      </c>
      <c r="E289" s="1" t="s">
        <v>2455</v>
      </c>
      <c r="F289" s="2" t="s">
        <v>2300</v>
      </c>
      <c r="G289" s="1" t="s">
        <v>2304</v>
      </c>
      <c r="H289" s="2">
        <v>2</v>
      </c>
      <c r="I289" s="3" t="s">
        <v>2327</v>
      </c>
      <c r="J289" t="s">
        <v>2365</v>
      </c>
      <c r="M289" s="3" t="s">
        <v>2300</v>
      </c>
      <c r="N289" s="3" t="s">
        <v>2255</v>
      </c>
      <c r="O289" t="s">
        <v>2310</v>
      </c>
    </row>
    <row r="290" spans="1:15" x14ac:dyDescent="0.25">
      <c r="A290" t="s">
        <v>2285</v>
      </c>
      <c r="B290" s="1" t="e">
        <v>#N/A</v>
      </c>
      <c r="C290" s="1" t="e">
        <v>#N/A</v>
      </c>
      <c r="D290" s="1" t="e">
        <v>#N/A</v>
      </c>
      <c r="E290" s="1" t="s">
        <v>2455</v>
      </c>
      <c r="F290" s="2" t="s">
        <v>2300</v>
      </c>
      <c r="G290" s="1" t="s">
        <v>2304</v>
      </c>
      <c r="H290" s="2">
        <v>2</v>
      </c>
      <c r="I290" s="3" t="s">
        <v>2452</v>
      </c>
      <c r="J290" t="s">
        <v>2365</v>
      </c>
      <c r="M290" s="3" t="s">
        <v>2300</v>
      </c>
      <c r="N290" s="3" t="s">
        <v>2255</v>
      </c>
      <c r="O290" t="s">
        <v>2310</v>
      </c>
    </row>
    <row r="291" spans="1:15" x14ac:dyDescent="0.25">
      <c r="A291" t="s">
        <v>2285</v>
      </c>
      <c r="B291" s="1" t="e">
        <v>#N/A</v>
      </c>
      <c r="C291" s="1" t="e">
        <v>#N/A</v>
      </c>
      <c r="D291" s="1" t="e">
        <v>#N/A</v>
      </c>
      <c r="E291" s="1" t="s">
        <v>2455</v>
      </c>
      <c r="F291" s="2" t="s">
        <v>2300</v>
      </c>
      <c r="G291" s="1" t="s">
        <v>2304</v>
      </c>
      <c r="H291" s="2">
        <v>2</v>
      </c>
      <c r="I291" s="3" t="s">
        <v>7</v>
      </c>
      <c r="J291" t="s">
        <v>2365</v>
      </c>
      <c r="M291" s="3" t="s">
        <v>2300</v>
      </c>
      <c r="N291" s="3" t="s">
        <v>2255</v>
      </c>
      <c r="O291" t="s">
        <v>2310</v>
      </c>
    </row>
    <row r="292" spans="1:15" x14ac:dyDescent="0.25">
      <c r="A292" t="s">
        <v>2285</v>
      </c>
      <c r="B292" s="1" t="e">
        <v>#N/A</v>
      </c>
      <c r="C292" s="1" t="e">
        <v>#N/A</v>
      </c>
      <c r="D292" s="1" t="e">
        <v>#N/A</v>
      </c>
      <c r="E292" s="1" t="s">
        <v>2455</v>
      </c>
      <c r="F292" s="2" t="s">
        <v>2300</v>
      </c>
      <c r="G292" s="1" t="s">
        <v>2304</v>
      </c>
      <c r="H292" s="2">
        <v>2</v>
      </c>
      <c r="I292" s="3" t="s">
        <v>2332</v>
      </c>
      <c r="J292" t="s">
        <v>2365</v>
      </c>
      <c r="M292" s="3" t="s">
        <v>2300</v>
      </c>
      <c r="N292" s="3" t="s">
        <v>2255</v>
      </c>
      <c r="O292" t="s">
        <v>2310</v>
      </c>
    </row>
    <row r="293" spans="1:15" x14ac:dyDescent="0.25">
      <c r="A293" t="s">
        <v>2285</v>
      </c>
      <c r="B293" s="1" t="e">
        <v>#N/A</v>
      </c>
      <c r="C293" s="1" t="e">
        <v>#N/A</v>
      </c>
      <c r="D293" s="1" t="e">
        <v>#N/A</v>
      </c>
      <c r="E293" s="1" t="s">
        <v>2455</v>
      </c>
      <c r="F293" s="2" t="s">
        <v>2300</v>
      </c>
      <c r="G293" s="1" t="s">
        <v>2304</v>
      </c>
      <c r="H293" s="2">
        <v>2</v>
      </c>
      <c r="I293" s="3" t="s">
        <v>2317</v>
      </c>
      <c r="J293" t="s">
        <v>2365</v>
      </c>
      <c r="M293" s="3" t="s">
        <v>2300</v>
      </c>
      <c r="N293" s="3" t="s">
        <v>2255</v>
      </c>
      <c r="O293" t="s">
        <v>2310</v>
      </c>
    </row>
    <row r="294" spans="1:15" x14ac:dyDescent="0.25">
      <c r="A294" t="s">
        <v>2285</v>
      </c>
      <c r="B294" s="1" t="e">
        <v>#N/A</v>
      </c>
      <c r="C294" s="1" t="e">
        <v>#N/A</v>
      </c>
      <c r="D294" s="1" t="e">
        <v>#N/A</v>
      </c>
      <c r="E294" s="1" t="s">
        <v>2455</v>
      </c>
      <c r="F294" s="2" t="s">
        <v>2300</v>
      </c>
      <c r="G294" s="1" t="s">
        <v>2304</v>
      </c>
      <c r="H294" s="2">
        <v>2</v>
      </c>
      <c r="I294" s="3" t="s">
        <v>8</v>
      </c>
      <c r="J294" t="s">
        <v>2365</v>
      </c>
      <c r="M294" s="3" t="s">
        <v>2300</v>
      </c>
      <c r="N294" s="3" t="s">
        <v>2255</v>
      </c>
      <c r="O294" t="s">
        <v>2310</v>
      </c>
    </row>
    <row r="295" spans="1:15" x14ac:dyDescent="0.25">
      <c r="A295" t="s">
        <v>2285</v>
      </c>
      <c r="B295" s="1" t="e">
        <v>#N/A</v>
      </c>
      <c r="C295" s="1" t="e">
        <v>#N/A</v>
      </c>
      <c r="D295" s="1" t="e">
        <v>#N/A</v>
      </c>
      <c r="E295" s="1" t="s">
        <v>2455</v>
      </c>
      <c r="F295" s="2" t="s">
        <v>2300</v>
      </c>
      <c r="G295" s="1" t="s">
        <v>2304</v>
      </c>
      <c r="H295" s="2">
        <v>2</v>
      </c>
      <c r="I295" s="3" t="s">
        <v>2356</v>
      </c>
      <c r="J295" t="s">
        <v>2365</v>
      </c>
      <c r="M295" s="3" t="s">
        <v>2300</v>
      </c>
      <c r="N295" s="3" t="s">
        <v>2255</v>
      </c>
      <c r="O295" t="s">
        <v>2310</v>
      </c>
    </row>
    <row r="296" spans="1:15" x14ac:dyDescent="0.25">
      <c r="A296" t="s">
        <v>2285</v>
      </c>
      <c r="B296" s="1" t="e">
        <v>#N/A</v>
      </c>
      <c r="C296" s="1" t="e">
        <v>#N/A</v>
      </c>
      <c r="D296" s="1" t="e">
        <v>#N/A</v>
      </c>
      <c r="E296" s="1" t="s">
        <v>2455</v>
      </c>
      <c r="F296" s="2" t="s">
        <v>2300</v>
      </c>
      <c r="G296" s="1" t="s">
        <v>2304</v>
      </c>
      <c r="H296" s="2">
        <v>2</v>
      </c>
      <c r="I296" s="3" t="s">
        <v>2</v>
      </c>
      <c r="J296" t="s">
        <v>2365</v>
      </c>
      <c r="M296" s="3" t="s">
        <v>2300</v>
      </c>
      <c r="N296" s="3" t="s">
        <v>2255</v>
      </c>
      <c r="O296" t="s">
        <v>2310</v>
      </c>
    </row>
    <row r="297" spans="1:15" x14ac:dyDescent="0.25">
      <c r="A297" t="s">
        <v>2285</v>
      </c>
      <c r="B297" s="1" t="e">
        <v>#N/A</v>
      </c>
      <c r="C297" s="1" t="e">
        <v>#N/A</v>
      </c>
      <c r="D297" s="1" t="e">
        <v>#N/A</v>
      </c>
      <c r="E297" s="1" t="s">
        <v>2455</v>
      </c>
      <c r="F297" s="2" t="s">
        <v>2300</v>
      </c>
      <c r="G297" s="1" t="s">
        <v>2304</v>
      </c>
      <c r="H297" s="2">
        <v>2</v>
      </c>
      <c r="I297" s="3" t="s">
        <v>2327</v>
      </c>
      <c r="J297" t="s">
        <v>2365</v>
      </c>
      <c r="M297" s="3" t="s">
        <v>2300</v>
      </c>
      <c r="N297" s="3" t="s">
        <v>2255</v>
      </c>
      <c r="O297" t="s">
        <v>2310</v>
      </c>
    </row>
    <row r="298" spans="1:15" x14ac:dyDescent="0.25">
      <c r="A298" t="s">
        <v>2285</v>
      </c>
      <c r="B298" s="1" t="e">
        <v>#N/A</v>
      </c>
      <c r="C298" s="1" t="e">
        <v>#N/A</v>
      </c>
      <c r="D298" s="1" t="e">
        <v>#N/A</v>
      </c>
      <c r="E298" s="1" t="s">
        <v>2455</v>
      </c>
      <c r="F298" s="2" t="s">
        <v>2300</v>
      </c>
      <c r="G298" s="1" t="s">
        <v>2304</v>
      </c>
      <c r="H298" s="2">
        <v>2</v>
      </c>
      <c r="I298" s="3" t="s">
        <v>2313</v>
      </c>
      <c r="J298" t="s">
        <v>2365</v>
      </c>
      <c r="M298" s="3" t="s">
        <v>2300</v>
      </c>
      <c r="N298" s="3" t="s">
        <v>2255</v>
      </c>
      <c r="O298" t="s">
        <v>2310</v>
      </c>
    </row>
    <row r="299" spans="1:15" x14ac:dyDescent="0.25">
      <c r="A299" t="s">
        <v>2285</v>
      </c>
      <c r="B299" s="1" t="e">
        <v>#N/A</v>
      </c>
      <c r="C299" s="1" t="e">
        <v>#N/A</v>
      </c>
      <c r="D299" s="1" t="e">
        <v>#N/A</v>
      </c>
      <c r="E299" s="1" t="s">
        <v>2455</v>
      </c>
      <c r="F299" s="2" t="s">
        <v>2300</v>
      </c>
      <c r="G299" s="1" t="s">
        <v>2304</v>
      </c>
      <c r="H299" s="2">
        <v>2</v>
      </c>
      <c r="I299" s="3" t="s">
        <v>2349</v>
      </c>
      <c r="J299" t="s">
        <v>2365</v>
      </c>
      <c r="M299" s="3" t="s">
        <v>2300</v>
      </c>
      <c r="N299" s="3" t="s">
        <v>2255</v>
      </c>
      <c r="O299" t="s">
        <v>2310</v>
      </c>
    </row>
    <row r="300" spans="1:15" x14ac:dyDescent="0.25">
      <c r="A300" t="s">
        <v>2285</v>
      </c>
      <c r="B300" s="1" t="e">
        <v>#N/A</v>
      </c>
      <c r="C300" s="1" t="e">
        <v>#N/A</v>
      </c>
      <c r="D300" s="1" t="e">
        <v>#N/A</v>
      </c>
      <c r="E300" s="1" t="s">
        <v>2455</v>
      </c>
      <c r="F300" s="2" t="s">
        <v>2300</v>
      </c>
      <c r="G300" s="1" t="s">
        <v>2304</v>
      </c>
      <c r="H300" s="2">
        <v>2</v>
      </c>
      <c r="I300" s="3" t="s">
        <v>1</v>
      </c>
      <c r="J300" t="s">
        <v>2365</v>
      </c>
      <c r="M300" s="3" t="s">
        <v>2300</v>
      </c>
      <c r="N300" s="3" t="s">
        <v>2255</v>
      </c>
      <c r="O300" t="s">
        <v>2310</v>
      </c>
    </row>
    <row r="301" spans="1:15" x14ac:dyDescent="0.25">
      <c r="A301" t="s">
        <v>2285</v>
      </c>
      <c r="B301" s="1" t="e">
        <v>#N/A</v>
      </c>
      <c r="C301" s="1" t="e">
        <v>#N/A</v>
      </c>
      <c r="D301" s="1" t="e">
        <v>#N/A</v>
      </c>
      <c r="E301" s="1" t="s">
        <v>2455</v>
      </c>
      <c r="F301" s="2" t="s">
        <v>2300</v>
      </c>
      <c r="G301" s="1" t="s">
        <v>2304</v>
      </c>
      <c r="H301" s="2">
        <v>2</v>
      </c>
      <c r="I301" s="3" t="s">
        <v>2313</v>
      </c>
      <c r="J301" t="s">
        <v>2365</v>
      </c>
      <c r="M301" s="3" t="s">
        <v>2300</v>
      </c>
      <c r="N301" s="3" t="s">
        <v>2255</v>
      </c>
      <c r="O301" t="s">
        <v>2310</v>
      </c>
    </row>
    <row r="302" spans="1:15" x14ac:dyDescent="0.25">
      <c r="A302" t="s">
        <v>2285</v>
      </c>
      <c r="B302" s="1" t="e">
        <v>#N/A</v>
      </c>
      <c r="C302" s="1" t="e">
        <v>#N/A</v>
      </c>
      <c r="D302" s="1" t="e">
        <v>#N/A</v>
      </c>
      <c r="E302" s="1" t="s">
        <v>2455</v>
      </c>
      <c r="F302" s="2" t="s">
        <v>2300</v>
      </c>
      <c r="G302" s="1" t="s">
        <v>2304</v>
      </c>
      <c r="H302" s="2">
        <v>2</v>
      </c>
      <c r="I302" s="3" t="s">
        <v>2348</v>
      </c>
      <c r="J302" t="s">
        <v>2365</v>
      </c>
      <c r="M302" s="3" t="s">
        <v>2300</v>
      </c>
      <c r="N302" s="3" t="s">
        <v>2255</v>
      </c>
      <c r="O302" t="s">
        <v>2310</v>
      </c>
    </row>
    <row r="303" spans="1:15" x14ac:dyDescent="0.25">
      <c r="A303" t="s">
        <v>2285</v>
      </c>
      <c r="B303" s="1" t="e">
        <v>#N/A</v>
      </c>
      <c r="C303" s="1" t="e">
        <v>#N/A</v>
      </c>
      <c r="D303" s="1" t="e">
        <v>#N/A</v>
      </c>
      <c r="E303" s="1" t="s">
        <v>2455</v>
      </c>
      <c r="F303" s="2" t="s">
        <v>2300</v>
      </c>
      <c r="G303" s="1" t="s">
        <v>2304</v>
      </c>
      <c r="H303" s="2">
        <v>2</v>
      </c>
      <c r="I303" s="3" t="s">
        <v>2</v>
      </c>
      <c r="J303" t="s">
        <v>2365</v>
      </c>
      <c r="M303" s="3" t="s">
        <v>2300</v>
      </c>
      <c r="N303" s="3" t="s">
        <v>2255</v>
      </c>
      <c r="O303" t="s">
        <v>2310</v>
      </c>
    </row>
    <row r="304" spans="1:15" x14ac:dyDescent="0.25">
      <c r="A304" t="s">
        <v>2285</v>
      </c>
      <c r="B304" s="1" t="e">
        <v>#N/A</v>
      </c>
      <c r="C304" s="1" t="e">
        <v>#N/A</v>
      </c>
      <c r="D304" s="1" t="e">
        <v>#N/A</v>
      </c>
      <c r="E304" s="1" t="s">
        <v>2455</v>
      </c>
      <c r="F304" s="2" t="s">
        <v>2300</v>
      </c>
      <c r="G304" s="1" t="s">
        <v>2304</v>
      </c>
      <c r="H304" s="2">
        <v>2</v>
      </c>
      <c r="I304" s="3" t="s">
        <v>2313</v>
      </c>
      <c r="J304" t="s">
        <v>2365</v>
      </c>
      <c r="M304" s="3" t="s">
        <v>2300</v>
      </c>
      <c r="N304" s="3" t="s">
        <v>2255</v>
      </c>
      <c r="O304" t="s">
        <v>2310</v>
      </c>
    </row>
    <row r="305" spans="1:15" x14ac:dyDescent="0.25">
      <c r="A305" t="s">
        <v>2285</v>
      </c>
      <c r="B305" s="1" t="e">
        <v>#N/A</v>
      </c>
      <c r="C305" s="1" t="e">
        <v>#N/A</v>
      </c>
      <c r="D305" s="1" t="e">
        <v>#N/A</v>
      </c>
      <c r="E305" s="1" t="s">
        <v>2455</v>
      </c>
      <c r="F305" s="2" t="s">
        <v>2300</v>
      </c>
      <c r="G305" s="1" t="s">
        <v>2304</v>
      </c>
      <c r="H305" s="2">
        <v>2</v>
      </c>
      <c r="I305" s="3" t="s">
        <v>2317</v>
      </c>
      <c r="J305" t="s">
        <v>2365</v>
      </c>
      <c r="M305" s="3" t="s">
        <v>2300</v>
      </c>
      <c r="N305" s="3" t="s">
        <v>2255</v>
      </c>
      <c r="O305" t="s">
        <v>2310</v>
      </c>
    </row>
    <row r="306" spans="1:15" x14ac:dyDescent="0.25">
      <c r="A306" t="s">
        <v>2285</v>
      </c>
      <c r="B306" s="1" t="e">
        <v>#N/A</v>
      </c>
      <c r="C306" s="1" t="e">
        <v>#N/A</v>
      </c>
      <c r="D306" s="1" t="e">
        <v>#N/A</v>
      </c>
      <c r="E306" s="1" t="s">
        <v>2455</v>
      </c>
      <c r="F306" s="2" t="s">
        <v>2300</v>
      </c>
      <c r="G306" s="1" t="s">
        <v>2304</v>
      </c>
      <c r="H306" s="2">
        <v>2</v>
      </c>
      <c r="I306" s="3" t="s">
        <v>2318</v>
      </c>
      <c r="J306" t="s">
        <v>2365</v>
      </c>
      <c r="M306" s="3" t="s">
        <v>2300</v>
      </c>
      <c r="N306" s="3" t="s">
        <v>2255</v>
      </c>
      <c r="O306" t="s">
        <v>2310</v>
      </c>
    </row>
    <row r="307" spans="1:15" x14ac:dyDescent="0.25">
      <c r="A307" t="s">
        <v>2285</v>
      </c>
      <c r="B307" s="1" t="e">
        <v>#N/A</v>
      </c>
      <c r="C307" s="1" t="e">
        <v>#N/A</v>
      </c>
      <c r="D307" s="1" t="e">
        <v>#N/A</v>
      </c>
      <c r="E307" s="1" t="s">
        <v>2455</v>
      </c>
      <c r="F307" s="2" t="s">
        <v>2300</v>
      </c>
      <c r="G307" s="1" t="s">
        <v>2304</v>
      </c>
      <c r="H307" s="2">
        <v>2</v>
      </c>
      <c r="I307" s="3" t="s">
        <v>2317</v>
      </c>
      <c r="J307" t="s">
        <v>2365</v>
      </c>
      <c r="M307" s="3" t="s">
        <v>2300</v>
      </c>
      <c r="N307" s="3" t="s">
        <v>2255</v>
      </c>
      <c r="O307" t="s">
        <v>2310</v>
      </c>
    </row>
    <row r="308" spans="1:15" x14ac:dyDescent="0.25">
      <c r="A308" t="s">
        <v>2285</v>
      </c>
      <c r="B308" s="1" t="e">
        <v>#N/A</v>
      </c>
      <c r="C308" s="1" t="e">
        <v>#N/A</v>
      </c>
      <c r="D308" s="1" t="e">
        <v>#N/A</v>
      </c>
      <c r="E308" s="1" t="s">
        <v>2455</v>
      </c>
      <c r="F308" s="2" t="s">
        <v>2300</v>
      </c>
      <c r="G308" s="1" t="s">
        <v>2304</v>
      </c>
      <c r="H308" s="2">
        <v>2</v>
      </c>
      <c r="I308" s="3" t="s">
        <v>2321</v>
      </c>
      <c r="J308" t="s">
        <v>2365</v>
      </c>
      <c r="M308" s="3" t="s">
        <v>2300</v>
      </c>
      <c r="N308" s="3" t="s">
        <v>2255</v>
      </c>
      <c r="O308" t="s">
        <v>2310</v>
      </c>
    </row>
    <row r="309" spans="1:15" x14ac:dyDescent="0.25">
      <c r="A309" t="s">
        <v>2285</v>
      </c>
      <c r="B309" s="1" t="e">
        <v>#N/A</v>
      </c>
      <c r="C309" s="1" t="e">
        <v>#N/A</v>
      </c>
      <c r="D309" s="1" t="e">
        <v>#N/A</v>
      </c>
      <c r="E309" s="1" t="s">
        <v>2455</v>
      </c>
      <c r="F309" s="2" t="s">
        <v>2300</v>
      </c>
      <c r="G309" s="1" t="s">
        <v>2304</v>
      </c>
      <c r="H309" s="2">
        <v>2</v>
      </c>
      <c r="I309" s="3" t="s">
        <v>2313</v>
      </c>
      <c r="J309" t="s">
        <v>2365</v>
      </c>
      <c r="M309" s="3" t="s">
        <v>2300</v>
      </c>
      <c r="N309" s="3" t="s">
        <v>2255</v>
      </c>
      <c r="O309" t="s">
        <v>2310</v>
      </c>
    </row>
    <row r="310" spans="1:15" x14ac:dyDescent="0.25">
      <c r="A310" t="s">
        <v>2285</v>
      </c>
      <c r="B310" s="1" t="e">
        <v>#N/A</v>
      </c>
      <c r="C310" s="1" t="e">
        <v>#N/A</v>
      </c>
      <c r="D310" s="1" t="e">
        <v>#N/A</v>
      </c>
      <c r="E310" s="1" t="s">
        <v>2455</v>
      </c>
      <c r="F310" s="2" t="s">
        <v>2300</v>
      </c>
      <c r="G310" s="1" t="s">
        <v>2303</v>
      </c>
      <c r="H310" s="2">
        <v>2</v>
      </c>
      <c r="I310" s="3" t="s">
        <v>2316</v>
      </c>
      <c r="J310" t="s">
        <v>2365</v>
      </c>
      <c r="M310" s="3" t="s">
        <v>2300</v>
      </c>
      <c r="N310" s="3" t="s">
        <v>2256</v>
      </c>
      <c r="O310" t="s">
        <v>2310</v>
      </c>
    </row>
    <row r="311" spans="1:15" x14ac:dyDescent="0.25">
      <c r="A311" t="s">
        <v>2285</v>
      </c>
      <c r="B311" s="1" t="e">
        <v>#N/A</v>
      </c>
      <c r="C311" s="1" t="e">
        <v>#N/A</v>
      </c>
      <c r="D311" s="1" t="e">
        <v>#N/A</v>
      </c>
      <c r="E311" s="1" t="s">
        <v>2455</v>
      </c>
      <c r="F311" s="2" t="s">
        <v>2300</v>
      </c>
      <c r="G311" s="1" t="s">
        <v>2303</v>
      </c>
      <c r="H311" s="2">
        <v>2</v>
      </c>
      <c r="I311" s="3" t="s">
        <v>2405</v>
      </c>
      <c r="J311" t="s">
        <v>2365</v>
      </c>
      <c r="M311" s="3" t="s">
        <v>2300</v>
      </c>
      <c r="N311" s="3" t="s">
        <v>2256</v>
      </c>
      <c r="O311" t="s">
        <v>2310</v>
      </c>
    </row>
    <row r="312" spans="1:15" x14ac:dyDescent="0.25">
      <c r="A312" t="s">
        <v>2285</v>
      </c>
      <c r="B312" s="1" t="e">
        <v>#N/A</v>
      </c>
      <c r="C312" s="1" t="e">
        <v>#N/A</v>
      </c>
      <c r="D312" s="1" t="e">
        <v>#N/A</v>
      </c>
      <c r="E312" s="1" t="s">
        <v>2455</v>
      </c>
      <c r="F312" s="2" t="s">
        <v>2300</v>
      </c>
      <c r="G312" s="1" t="s">
        <v>2303</v>
      </c>
      <c r="H312" s="2">
        <v>2</v>
      </c>
      <c r="I312" s="3" t="s">
        <v>1</v>
      </c>
      <c r="J312" t="s">
        <v>2365</v>
      </c>
      <c r="M312" s="3" t="s">
        <v>2300</v>
      </c>
      <c r="N312" s="3" t="s">
        <v>2256</v>
      </c>
      <c r="O312" t="s">
        <v>2310</v>
      </c>
    </row>
    <row r="313" spans="1:15" x14ac:dyDescent="0.25">
      <c r="A313" t="s">
        <v>2285</v>
      </c>
      <c r="B313" s="1" t="e">
        <v>#N/A</v>
      </c>
      <c r="C313" s="1" t="e">
        <v>#N/A</v>
      </c>
      <c r="D313" s="1" t="e">
        <v>#N/A</v>
      </c>
      <c r="E313" s="1" t="s">
        <v>2455</v>
      </c>
      <c r="F313" s="2" t="s">
        <v>2300</v>
      </c>
      <c r="G313" s="1" t="s">
        <v>2304</v>
      </c>
      <c r="H313" s="2">
        <v>2</v>
      </c>
      <c r="I313" s="3" t="s">
        <v>31</v>
      </c>
      <c r="J313" t="s">
        <v>2365</v>
      </c>
      <c r="M313" s="3" t="s">
        <v>2300</v>
      </c>
      <c r="N313" s="3" t="s">
        <v>2255</v>
      </c>
      <c r="O313" t="s">
        <v>2310</v>
      </c>
    </row>
    <row r="314" spans="1:15" x14ac:dyDescent="0.25">
      <c r="A314" t="s">
        <v>2285</v>
      </c>
      <c r="B314" s="1" t="e">
        <v>#N/A</v>
      </c>
      <c r="C314" s="1" t="e">
        <v>#N/A</v>
      </c>
      <c r="D314" s="1" t="e">
        <v>#N/A</v>
      </c>
      <c r="E314" s="1" t="s">
        <v>2455</v>
      </c>
      <c r="F314" s="2" t="s">
        <v>2300</v>
      </c>
      <c r="G314" s="1" t="s">
        <v>2303</v>
      </c>
      <c r="H314" s="2">
        <v>2</v>
      </c>
      <c r="I314" s="3" t="s">
        <v>2318</v>
      </c>
      <c r="J314" t="s">
        <v>2365</v>
      </c>
      <c r="M314" s="3" t="s">
        <v>2300</v>
      </c>
      <c r="N314" s="3" t="s">
        <v>2256</v>
      </c>
      <c r="O314" t="s">
        <v>2310</v>
      </c>
    </row>
    <row r="315" spans="1:15" x14ac:dyDescent="0.25">
      <c r="A315" t="s">
        <v>2285</v>
      </c>
      <c r="B315" s="1" t="e">
        <v>#N/A</v>
      </c>
      <c r="C315" s="1" t="e">
        <v>#N/A</v>
      </c>
      <c r="D315" s="1" t="e">
        <v>#N/A</v>
      </c>
      <c r="E315" s="1" t="s">
        <v>2455</v>
      </c>
      <c r="F315" s="2" t="s">
        <v>2300</v>
      </c>
      <c r="G315" s="1" t="s">
        <v>2304</v>
      </c>
      <c r="H315" s="2">
        <v>2</v>
      </c>
      <c r="I315" s="3" t="s">
        <v>2405</v>
      </c>
      <c r="J315" t="s">
        <v>2365</v>
      </c>
      <c r="M315" s="3" t="s">
        <v>2300</v>
      </c>
      <c r="N315" s="3" t="s">
        <v>2255</v>
      </c>
      <c r="O315" t="s">
        <v>2310</v>
      </c>
    </row>
    <row r="316" spans="1:15" x14ac:dyDescent="0.25">
      <c r="A316" t="s">
        <v>2285</v>
      </c>
      <c r="B316" s="1" t="e">
        <v>#N/A</v>
      </c>
      <c r="C316" s="1" t="e">
        <v>#N/A</v>
      </c>
      <c r="D316" s="1" t="e">
        <v>#N/A</v>
      </c>
      <c r="E316" s="1" t="s">
        <v>2455</v>
      </c>
      <c r="F316" s="2" t="s">
        <v>2300</v>
      </c>
      <c r="G316" s="1" t="s">
        <v>2304</v>
      </c>
      <c r="H316" s="2">
        <v>2</v>
      </c>
      <c r="I316" s="3" t="s">
        <v>2331</v>
      </c>
      <c r="J316" t="s">
        <v>2365</v>
      </c>
      <c r="M316" s="3" t="s">
        <v>2300</v>
      </c>
      <c r="N316" s="3" t="s">
        <v>2255</v>
      </c>
      <c r="O316" t="s">
        <v>2310</v>
      </c>
    </row>
    <row r="317" spans="1:15" x14ac:dyDescent="0.25">
      <c r="A317" t="s">
        <v>2285</v>
      </c>
      <c r="B317" s="1" t="e">
        <v>#N/A</v>
      </c>
      <c r="C317" s="1" t="e">
        <v>#N/A</v>
      </c>
      <c r="D317" s="1" t="e">
        <v>#N/A</v>
      </c>
      <c r="E317" s="1" t="s">
        <v>2455</v>
      </c>
      <c r="F317" s="2" t="s">
        <v>2300</v>
      </c>
      <c r="G317" s="1" t="s">
        <v>2305</v>
      </c>
      <c r="H317" s="2">
        <v>2</v>
      </c>
      <c r="I317" s="3" t="s">
        <v>2452</v>
      </c>
      <c r="J317" t="s">
        <v>2365</v>
      </c>
      <c r="M317" s="3" t="s">
        <v>2300</v>
      </c>
      <c r="N317" s="3" t="s">
        <v>2258</v>
      </c>
      <c r="O317" t="s">
        <v>2310</v>
      </c>
    </row>
    <row r="318" spans="1:15" x14ac:dyDescent="0.25">
      <c r="A318" t="s">
        <v>2285</v>
      </c>
      <c r="B318" s="1" t="e">
        <v>#N/A</v>
      </c>
      <c r="C318" s="1" t="e">
        <v>#N/A</v>
      </c>
      <c r="D318" s="1" t="e">
        <v>#N/A</v>
      </c>
      <c r="E318" s="1" t="s">
        <v>2455</v>
      </c>
      <c r="F318" s="2" t="s">
        <v>2300</v>
      </c>
      <c r="G318" s="1" t="s">
        <v>2305</v>
      </c>
      <c r="H318" s="2">
        <v>2</v>
      </c>
      <c r="I318" s="3" t="s">
        <v>16</v>
      </c>
      <c r="J318" t="s">
        <v>2365</v>
      </c>
      <c r="M318" s="3" t="s">
        <v>2300</v>
      </c>
      <c r="N318" s="3" t="s">
        <v>2257</v>
      </c>
      <c r="O318" t="s">
        <v>2310</v>
      </c>
    </row>
    <row r="319" spans="1:15" x14ac:dyDescent="0.25">
      <c r="A319" t="s">
        <v>2285</v>
      </c>
      <c r="B319" s="1" t="e">
        <v>#N/A</v>
      </c>
      <c r="C319" s="1" t="e">
        <v>#N/A</v>
      </c>
      <c r="D319" s="1" t="e">
        <v>#N/A</v>
      </c>
      <c r="E319" s="1" t="s">
        <v>2455</v>
      </c>
      <c r="F319" s="2" t="s">
        <v>2300</v>
      </c>
      <c r="G319" s="1" t="s">
        <v>2303</v>
      </c>
      <c r="H319" s="2">
        <v>2</v>
      </c>
      <c r="I319" s="3" t="s">
        <v>1</v>
      </c>
      <c r="J319" t="s">
        <v>2365</v>
      </c>
      <c r="M319" s="3" t="s">
        <v>2300</v>
      </c>
      <c r="N319" s="3" t="s">
        <v>2256</v>
      </c>
      <c r="O319" t="s">
        <v>2310</v>
      </c>
    </row>
    <row r="320" spans="1:15" x14ac:dyDescent="0.25">
      <c r="A320" t="s">
        <v>2285</v>
      </c>
      <c r="B320" s="1" t="e">
        <v>#N/A</v>
      </c>
      <c r="C320" s="1" t="e">
        <v>#N/A</v>
      </c>
      <c r="D320" s="1" t="e">
        <v>#N/A</v>
      </c>
      <c r="E320" s="1" t="s">
        <v>2298</v>
      </c>
      <c r="F320" s="2" t="s">
        <v>2300</v>
      </c>
      <c r="G320" s="1" t="s">
        <v>2304</v>
      </c>
      <c r="H320" s="2">
        <v>1</v>
      </c>
      <c r="I320" s="3" t="s">
        <v>29</v>
      </c>
      <c r="J320" t="s">
        <v>2365</v>
      </c>
      <c r="M320" s="3" t="s">
        <v>2300</v>
      </c>
      <c r="N320" s="3" t="s">
        <v>2255</v>
      </c>
      <c r="O320" t="s">
        <v>2310</v>
      </c>
    </row>
    <row r="321" spans="1:15" x14ac:dyDescent="0.25">
      <c r="A321" t="s">
        <v>2285</v>
      </c>
      <c r="B321" s="1" t="e">
        <v>#N/A</v>
      </c>
      <c r="C321" s="1" t="e">
        <v>#N/A</v>
      </c>
      <c r="D321" s="1" t="e">
        <v>#N/A</v>
      </c>
      <c r="E321" s="1" t="s">
        <v>2455</v>
      </c>
      <c r="F321" s="2" t="s">
        <v>2300</v>
      </c>
      <c r="G321" s="1" t="s">
        <v>2304</v>
      </c>
      <c r="H321" s="2">
        <v>1</v>
      </c>
      <c r="I321" s="3" t="s">
        <v>2321</v>
      </c>
      <c r="J321" t="s">
        <v>2365</v>
      </c>
      <c r="M321" s="3" t="s">
        <v>2300</v>
      </c>
      <c r="N321" s="3" t="s">
        <v>2255</v>
      </c>
      <c r="O321" t="s">
        <v>2310</v>
      </c>
    </row>
    <row r="322" spans="1:15" x14ac:dyDescent="0.25">
      <c r="A322" t="s">
        <v>2285</v>
      </c>
      <c r="B322" s="1" t="e">
        <v>#N/A</v>
      </c>
      <c r="C322" s="1" t="e">
        <v>#N/A</v>
      </c>
      <c r="D322" s="1" t="e">
        <v>#N/A</v>
      </c>
      <c r="E322" s="1" t="s">
        <v>2455</v>
      </c>
      <c r="F322" s="2" t="s">
        <v>2300</v>
      </c>
      <c r="G322" s="1" t="s">
        <v>2304</v>
      </c>
      <c r="H322" s="2">
        <v>1</v>
      </c>
      <c r="I322" s="3" t="s">
        <v>1</v>
      </c>
      <c r="J322" t="s">
        <v>2365</v>
      </c>
      <c r="M322" s="3" t="s">
        <v>2300</v>
      </c>
      <c r="N322" s="3" t="s">
        <v>2255</v>
      </c>
      <c r="O322" t="s">
        <v>2310</v>
      </c>
    </row>
    <row r="323" spans="1:15" x14ac:dyDescent="0.25">
      <c r="A323" t="s">
        <v>2285</v>
      </c>
      <c r="B323" s="1" t="e">
        <v>#N/A</v>
      </c>
      <c r="C323" s="1" t="e">
        <v>#N/A</v>
      </c>
      <c r="D323" s="1" t="e">
        <v>#N/A</v>
      </c>
      <c r="E323" s="1" t="s">
        <v>2455</v>
      </c>
      <c r="F323" s="2" t="s">
        <v>2300</v>
      </c>
      <c r="G323" s="1" t="s">
        <v>2304</v>
      </c>
      <c r="H323" s="2">
        <v>1</v>
      </c>
      <c r="I323" s="3" t="s">
        <v>2317</v>
      </c>
      <c r="J323" t="s">
        <v>2365</v>
      </c>
      <c r="M323" s="3" t="s">
        <v>2300</v>
      </c>
      <c r="N323" s="3" t="s">
        <v>2255</v>
      </c>
      <c r="O323" t="s">
        <v>2310</v>
      </c>
    </row>
    <row r="324" spans="1:15" x14ac:dyDescent="0.25">
      <c r="A324" t="s">
        <v>2285</v>
      </c>
      <c r="B324" s="1" t="e">
        <v>#N/A</v>
      </c>
      <c r="C324" s="1" t="e">
        <v>#N/A</v>
      </c>
      <c r="D324" s="1" t="e">
        <v>#N/A</v>
      </c>
      <c r="E324" s="1" t="s">
        <v>2455</v>
      </c>
      <c r="F324" s="2" t="s">
        <v>2300</v>
      </c>
      <c r="G324" s="1" t="s">
        <v>2304</v>
      </c>
      <c r="H324" s="2">
        <v>1</v>
      </c>
      <c r="I324" s="3" t="s">
        <v>12</v>
      </c>
      <c r="J324" t="s">
        <v>2365</v>
      </c>
      <c r="M324" s="3" t="s">
        <v>2300</v>
      </c>
      <c r="N324" s="3" t="s">
        <v>2255</v>
      </c>
      <c r="O324" t="s">
        <v>2310</v>
      </c>
    </row>
    <row r="325" spans="1:15" x14ac:dyDescent="0.25">
      <c r="A325" t="s">
        <v>2285</v>
      </c>
      <c r="B325" s="1" t="e">
        <v>#N/A</v>
      </c>
      <c r="C325" s="1" t="e">
        <v>#N/A</v>
      </c>
      <c r="D325" s="1" t="e">
        <v>#N/A</v>
      </c>
      <c r="E325" s="1" t="s">
        <v>2455</v>
      </c>
      <c r="F325" s="2" t="s">
        <v>2300</v>
      </c>
      <c r="G325" s="1" t="s">
        <v>2304</v>
      </c>
      <c r="H325" s="2">
        <v>1</v>
      </c>
      <c r="I325" s="3" t="s">
        <v>2317</v>
      </c>
      <c r="J325" t="s">
        <v>2365</v>
      </c>
      <c r="M325" s="3" t="s">
        <v>2300</v>
      </c>
      <c r="N325" s="3" t="s">
        <v>2255</v>
      </c>
      <c r="O325" t="s">
        <v>2310</v>
      </c>
    </row>
    <row r="326" spans="1:15" x14ac:dyDescent="0.25">
      <c r="A326" t="s">
        <v>2285</v>
      </c>
      <c r="B326" s="1" t="e">
        <v>#N/A</v>
      </c>
      <c r="C326" s="1" t="e">
        <v>#N/A</v>
      </c>
      <c r="D326" s="1" t="e">
        <v>#N/A</v>
      </c>
      <c r="E326" s="1" t="s">
        <v>2455</v>
      </c>
      <c r="F326" s="2" t="s">
        <v>2300</v>
      </c>
      <c r="G326" s="1" t="s">
        <v>2304</v>
      </c>
      <c r="H326" s="2">
        <v>1</v>
      </c>
      <c r="I326" s="3" t="s">
        <v>18</v>
      </c>
      <c r="J326" t="s">
        <v>2365</v>
      </c>
      <c r="M326" s="3" t="s">
        <v>2300</v>
      </c>
      <c r="N326" s="3" t="s">
        <v>2255</v>
      </c>
      <c r="O326" t="s">
        <v>2310</v>
      </c>
    </row>
    <row r="327" spans="1:15" x14ac:dyDescent="0.25">
      <c r="A327" t="s">
        <v>2285</v>
      </c>
      <c r="B327" s="1" t="e">
        <v>#N/A</v>
      </c>
      <c r="C327" s="1" t="e">
        <v>#N/A</v>
      </c>
      <c r="D327" s="1" t="e">
        <v>#N/A</v>
      </c>
      <c r="E327" s="1" t="s">
        <v>2455</v>
      </c>
      <c r="F327" s="2" t="s">
        <v>2300</v>
      </c>
      <c r="G327" s="1" t="s">
        <v>2304</v>
      </c>
      <c r="H327" s="2">
        <v>1</v>
      </c>
      <c r="I327" s="3" t="s">
        <v>2456</v>
      </c>
      <c r="J327" t="s">
        <v>2365</v>
      </c>
      <c r="M327" s="3" t="s">
        <v>2300</v>
      </c>
      <c r="N327" s="3" t="s">
        <v>2255</v>
      </c>
      <c r="O327" t="s">
        <v>2310</v>
      </c>
    </row>
    <row r="328" spans="1:15" x14ac:dyDescent="0.25">
      <c r="A328" t="s">
        <v>2285</v>
      </c>
      <c r="B328" s="1" t="e">
        <v>#N/A</v>
      </c>
      <c r="C328" s="1" t="e">
        <v>#N/A</v>
      </c>
      <c r="D328" s="1" t="e">
        <v>#N/A</v>
      </c>
      <c r="E328" s="1" t="s">
        <v>2455</v>
      </c>
      <c r="F328" s="2" t="s">
        <v>2300</v>
      </c>
      <c r="G328" s="1" t="s">
        <v>2304</v>
      </c>
      <c r="H328" s="2">
        <v>1</v>
      </c>
      <c r="I328" s="3" t="s">
        <v>2317</v>
      </c>
      <c r="J328" t="s">
        <v>2365</v>
      </c>
      <c r="M328" s="3" t="s">
        <v>2300</v>
      </c>
      <c r="N328" s="3" t="s">
        <v>2255</v>
      </c>
      <c r="O328" t="s">
        <v>2310</v>
      </c>
    </row>
    <row r="329" spans="1:15" x14ac:dyDescent="0.25">
      <c r="A329" t="s">
        <v>2285</v>
      </c>
      <c r="B329" s="1" t="e">
        <v>#N/A</v>
      </c>
      <c r="C329" s="1" t="e">
        <v>#N/A</v>
      </c>
      <c r="D329" s="1" t="e">
        <v>#N/A</v>
      </c>
      <c r="E329" s="1" t="s">
        <v>2455</v>
      </c>
      <c r="F329" s="2" t="s">
        <v>2300</v>
      </c>
      <c r="G329" s="1" t="s">
        <v>2304</v>
      </c>
      <c r="H329" s="2">
        <v>1</v>
      </c>
      <c r="I329" s="3" t="s">
        <v>13</v>
      </c>
      <c r="J329" t="s">
        <v>2365</v>
      </c>
      <c r="M329" s="3" t="s">
        <v>2300</v>
      </c>
      <c r="N329" s="3" t="s">
        <v>2255</v>
      </c>
      <c r="O329" t="s">
        <v>2310</v>
      </c>
    </row>
    <row r="330" spans="1:15" x14ac:dyDescent="0.25">
      <c r="A330" t="s">
        <v>2285</v>
      </c>
      <c r="B330" s="1" t="e">
        <v>#N/A</v>
      </c>
      <c r="C330" s="1" t="e">
        <v>#N/A</v>
      </c>
      <c r="D330" s="1" t="e">
        <v>#N/A</v>
      </c>
      <c r="E330" s="1" t="s">
        <v>2455</v>
      </c>
      <c r="F330" s="2" t="s">
        <v>2300</v>
      </c>
      <c r="G330" s="1" t="s">
        <v>2304</v>
      </c>
      <c r="H330" s="2">
        <v>1</v>
      </c>
      <c r="I330" s="3" t="s">
        <v>2317</v>
      </c>
      <c r="J330" t="s">
        <v>2365</v>
      </c>
      <c r="M330" s="3" t="s">
        <v>2300</v>
      </c>
      <c r="N330" s="3" t="s">
        <v>2255</v>
      </c>
      <c r="O330" t="s">
        <v>2310</v>
      </c>
    </row>
    <row r="331" spans="1:15" x14ac:dyDescent="0.25">
      <c r="A331" t="s">
        <v>2285</v>
      </c>
      <c r="B331" s="1" t="e">
        <v>#N/A</v>
      </c>
      <c r="C331" s="1" t="e">
        <v>#N/A</v>
      </c>
      <c r="D331" s="1" t="e">
        <v>#N/A</v>
      </c>
      <c r="E331" s="1" t="s">
        <v>2455</v>
      </c>
      <c r="F331" s="2" t="s">
        <v>2300</v>
      </c>
      <c r="G331" s="1" t="s">
        <v>2304</v>
      </c>
      <c r="H331" s="2">
        <v>1</v>
      </c>
      <c r="I331" s="3" t="s">
        <v>31</v>
      </c>
      <c r="J331" t="s">
        <v>2365</v>
      </c>
      <c r="M331" s="3" t="s">
        <v>2300</v>
      </c>
      <c r="N331" s="3" t="s">
        <v>2255</v>
      </c>
      <c r="O331" t="s">
        <v>2310</v>
      </c>
    </row>
    <row r="332" spans="1:15" x14ac:dyDescent="0.25">
      <c r="A332" t="s">
        <v>2285</v>
      </c>
      <c r="B332" s="1" t="e">
        <v>#N/A</v>
      </c>
      <c r="C332" s="1" t="e">
        <v>#N/A</v>
      </c>
      <c r="D332" s="1" t="e">
        <v>#N/A</v>
      </c>
      <c r="E332" s="1" t="s">
        <v>2455</v>
      </c>
      <c r="F332" s="2" t="s">
        <v>2300</v>
      </c>
      <c r="G332" s="1" t="s">
        <v>2304</v>
      </c>
      <c r="H332" s="2">
        <v>1</v>
      </c>
      <c r="I332" s="3" t="s">
        <v>7</v>
      </c>
      <c r="J332" t="s">
        <v>2365</v>
      </c>
      <c r="M332" s="3" t="s">
        <v>2300</v>
      </c>
      <c r="N332" s="3" t="s">
        <v>2255</v>
      </c>
      <c r="O332" t="s">
        <v>2310</v>
      </c>
    </row>
    <row r="333" spans="1:15" x14ac:dyDescent="0.25">
      <c r="A333" t="s">
        <v>2285</v>
      </c>
      <c r="B333" s="1" t="e">
        <v>#N/A</v>
      </c>
      <c r="C333" s="1" t="e">
        <v>#N/A</v>
      </c>
      <c r="D333" s="1" t="e">
        <v>#N/A</v>
      </c>
      <c r="E333" s="1" t="s">
        <v>2455</v>
      </c>
      <c r="F333" s="2" t="s">
        <v>2300</v>
      </c>
      <c r="G333" s="1" t="s">
        <v>2304</v>
      </c>
      <c r="H333" s="2">
        <v>1</v>
      </c>
      <c r="I333" s="3" t="s">
        <v>2313</v>
      </c>
      <c r="J333" t="s">
        <v>2365</v>
      </c>
      <c r="M333" s="3" t="s">
        <v>2300</v>
      </c>
      <c r="N333" s="3" t="s">
        <v>2255</v>
      </c>
      <c r="O333" t="s">
        <v>2310</v>
      </c>
    </row>
    <row r="334" spans="1:15" x14ac:dyDescent="0.25">
      <c r="A334" t="s">
        <v>2285</v>
      </c>
      <c r="B334" s="1" t="e">
        <v>#N/A</v>
      </c>
      <c r="C334" s="1" t="e">
        <v>#N/A</v>
      </c>
      <c r="D334" s="1" t="e">
        <v>#N/A</v>
      </c>
      <c r="E334" s="1" t="s">
        <v>2455</v>
      </c>
      <c r="F334" s="2" t="s">
        <v>2300</v>
      </c>
      <c r="G334" s="1" t="s">
        <v>2304</v>
      </c>
      <c r="H334" s="2">
        <v>1</v>
      </c>
      <c r="I334" s="3" t="s">
        <v>2338</v>
      </c>
      <c r="J334" t="s">
        <v>2365</v>
      </c>
      <c r="M334" s="3" t="s">
        <v>2300</v>
      </c>
      <c r="N334" s="3" t="s">
        <v>2255</v>
      </c>
      <c r="O334" t="s">
        <v>2310</v>
      </c>
    </row>
    <row r="335" spans="1:15" x14ac:dyDescent="0.25">
      <c r="A335" t="s">
        <v>2285</v>
      </c>
      <c r="B335" s="1" t="e">
        <v>#N/A</v>
      </c>
      <c r="C335" s="1" t="e">
        <v>#N/A</v>
      </c>
      <c r="D335" s="1" t="e">
        <v>#N/A</v>
      </c>
      <c r="E335" s="1" t="s">
        <v>2455</v>
      </c>
      <c r="F335" s="2" t="s">
        <v>2300</v>
      </c>
      <c r="G335" s="1" t="s">
        <v>2304</v>
      </c>
      <c r="H335" s="2">
        <v>1</v>
      </c>
      <c r="I335" s="3" t="s">
        <v>2</v>
      </c>
      <c r="J335" t="s">
        <v>2365</v>
      </c>
      <c r="M335" s="3" t="s">
        <v>2300</v>
      </c>
      <c r="N335" s="3" t="s">
        <v>2255</v>
      </c>
      <c r="O335" t="s">
        <v>2310</v>
      </c>
    </row>
    <row r="336" spans="1:15" x14ac:dyDescent="0.25">
      <c r="A336" t="s">
        <v>2285</v>
      </c>
      <c r="B336" s="1" t="e">
        <v>#N/A</v>
      </c>
      <c r="C336" s="1" t="e">
        <v>#N/A</v>
      </c>
      <c r="D336" s="1" t="e">
        <v>#N/A</v>
      </c>
      <c r="E336" s="1" t="s">
        <v>2455</v>
      </c>
      <c r="F336" s="2" t="s">
        <v>2300</v>
      </c>
      <c r="G336" s="1" t="s">
        <v>2304</v>
      </c>
      <c r="H336" s="2">
        <v>1</v>
      </c>
      <c r="I336" s="3" t="s">
        <v>2315</v>
      </c>
      <c r="J336" t="s">
        <v>2365</v>
      </c>
      <c r="M336" s="3" t="s">
        <v>2300</v>
      </c>
      <c r="N336" s="3" t="s">
        <v>2255</v>
      </c>
      <c r="O336" t="s">
        <v>2310</v>
      </c>
    </row>
    <row r="337" spans="1:15" x14ac:dyDescent="0.25">
      <c r="A337" t="s">
        <v>2285</v>
      </c>
      <c r="B337" s="1" t="e">
        <v>#N/A</v>
      </c>
      <c r="C337" s="1" t="e">
        <v>#N/A</v>
      </c>
      <c r="D337" s="1" t="e">
        <v>#N/A</v>
      </c>
      <c r="E337" s="1" t="s">
        <v>2455</v>
      </c>
      <c r="F337" s="2" t="s">
        <v>2300</v>
      </c>
      <c r="G337" s="1" t="s">
        <v>2304</v>
      </c>
      <c r="H337" s="2">
        <v>1</v>
      </c>
      <c r="I337" s="3" t="s">
        <v>18</v>
      </c>
      <c r="J337" t="s">
        <v>2365</v>
      </c>
      <c r="M337" s="3" t="s">
        <v>2300</v>
      </c>
      <c r="N337" s="3" t="s">
        <v>2255</v>
      </c>
      <c r="O337" t="s">
        <v>2310</v>
      </c>
    </row>
    <row r="338" spans="1:15" x14ac:dyDescent="0.25">
      <c r="A338" t="s">
        <v>2285</v>
      </c>
      <c r="B338" s="1" t="e">
        <v>#N/A</v>
      </c>
      <c r="C338" s="1" t="e">
        <v>#N/A</v>
      </c>
      <c r="D338" s="1" t="e">
        <v>#N/A</v>
      </c>
      <c r="E338" s="1" t="s">
        <v>2455</v>
      </c>
      <c r="F338" s="2" t="s">
        <v>2300</v>
      </c>
      <c r="G338" s="1" t="s">
        <v>2304</v>
      </c>
      <c r="H338" s="2">
        <v>1</v>
      </c>
      <c r="I338" s="3" t="s">
        <v>2416</v>
      </c>
      <c r="J338" t="s">
        <v>2365</v>
      </c>
      <c r="M338" s="3" t="s">
        <v>2300</v>
      </c>
      <c r="N338" s="3" t="s">
        <v>2255</v>
      </c>
      <c r="O338" t="s">
        <v>2310</v>
      </c>
    </row>
    <row r="339" spans="1:15" x14ac:dyDescent="0.25">
      <c r="A339" t="s">
        <v>2285</v>
      </c>
      <c r="B339" s="1" t="e">
        <v>#N/A</v>
      </c>
      <c r="C339" s="1" t="e">
        <v>#N/A</v>
      </c>
      <c r="D339" s="1" t="e">
        <v>#N/A</v>
      </c>
      <c r="E339" s="1" t="s">
        <v>2455</v>
      </c>
      <c r="F339" s="2" t="s">
        <v>2300</v>
      </c>
      <c r="G339" s="1" t="s">
        <v>2304</v>
      </c>
      <c r="H339" s="2">
        <v>1</v>
      </c>
      <c r="I339" s="3" t="s">
        <v>1</v>
      </c>
      <c r="J339" t="s">
        <v>2365</v>
      </c>
      <c r="M339" s="3" t="s">
        <v>2300</v>
      </c>
      <c r="N339" s="3" t="s">
        <v>2255</v>
      </c>
      <c r="O339" t="s">
        <v>2310</v>
      </c>
    </row>
    <row r="340" spans="1:15" x14ac:dyDescent="0.25">
      <c r="A340" t="s">
        <v>2285</v>
      </c>
      <c r="B340" s="1" t="e">
        <v>#N/A</v>
      </c>
      <c r="C340" s="1" t="e">
        <v>#N/A</v>
      </c>
      <c r="D340" s="1" t="e">
        <v>#N/A</v>
      </c>
      <c r="E340" s="1" t="s">
        <v>2455</v>
      </c>
      <c r="F340" s="2" t="s">
        <v>2300</v>
      </c>
      <c r="G340" s="1" t="s">
        <v>2304</v>
      </c>
      <c r="H340" s="2">
        <v>1</v>
      </c>
      <c r="I340" s="3" t="s">
        <v>2417</v>
      </c>
      <c r="J340" t="s">
        <v>2365</v>
      </c>
      <c r="M340" s="3" t="s">
        <v>2300</v>
      </c>
      <c r="N340" s="3" t="s">
        <v>2255</v>
      </c>
      <c r="O340" t="s">
        <v>2310</v>
      </c>
    </row>
    <row r="341" spans="1:15" x14ac:dyDescent="0.25">
      <c r="A341" t="s">
        <v>2285</v>
      </c>
      <c r="B341" s="1" t="e">
        <v>#N/A</v>
      </c>
      <c r="C341" s="1" t="e">
        <v>#N/A</v>
      </c>
      <c r="D341" s="1" t="e">
        <v>#N/A</v>
      </c>
      <c r="E341" s="1" t="s">
        <v>2455</v>
      </c>
      <c r="F341" s="2" t="s">
        <v>2300</v>
      </c>
      <c r="G341" s="1" t="s">
        <v>2303</v>
      </c>
      <c r="H341" s="2">
        <v>1</v>
      </c>
      <c r="I341" s="3" t="s">
        <v>2321</v>
      </c>
      <c r="J341" t="s">
        <v>2365</v>
      </c>
      <c r="M341" s="3" t="s">
        <v>2300</v>
      </c>
      <c r="N341" s="3" t="s">
        <v>2256</v>
      </c>
      <c r="O341" t="s">
        <v>2310</v>
      </c>
    </row>
    <row r="342" spans="1:15" x14ac:dyDescent="0.25">
      <c r="A342" t="s">
        <v>2285</v>
      </c>
      <c r="B342" s="1" t="e">
        <v>#N/A</v>
      </c>
      <c r="C342" s="1" t="e">
        <v>#N/A</v>
      </c>
      <c r="D342" s="1" t="e">
        <v>#N/A</v>
      </c>
      <c r="E342" s="1" t="s">
        <v>2455</v>
      </c>
      <c r="F342" s="2" t="s">
        <v>2300</v>
      </c>
      <c r="G342" s="1" t="s">
        <v>2304</v>
      </c>
      <c r="H342" s="2">
        <v>1</v>
      </c>
      <c r="I342" s="3" t="s">
        <v>12</v>
      </c>
      <c r="J342" t="s">
        <v>2365</v>
      </c>
      <c r="M342" s="3" t="s">
        <v>2300</v>
      </c>
      <c r="N342" s="3" t="s">
        <v>2255</v>
      </c>
      <c r="O342" t="s">
        <v>2310</v>
      </c>
    </row>
    <row r="343" spans="1:15" x14ac:dyDescent="0.25">
      <c r="A343" t="s">
        <v>2285</v>
      </c>
      <c r="B343" s="1" t="e">
        <v>#N/A</v>
      </c>
      <c r="C343" s="1" t="e">
        <v>#N/A</v>
      </c>
      <c r="D343" s="1" t="e">
        <v>#N/A</v>
      </c>
      <c r="E343" s="1" t="s">
        <v>2455</v>
      </c>
      <c r="F343" s="2" t="s">
        <v>2300</v>
      </c>
      <c r="G343" s="1" t="s">
        <v>2303</v>
      </c>
      <c r="H343" s="2">
        <v>1</v>
      </c>
      <c r="I343" s="3" t="s">
        <v>31</v>
      </c>
      <c r="J343" t="s">
        <v>2365</v>
      </c>
      <c r="M343" s="3" t="s">
        <v>2300</v>
      </c>
      <c r="N343" s="3" t="s">
        <v>2256</v>
      </c>
      <c r="O343" t="s">
        <v>2310</v>
      </c>
    </row>
    <row r="344" spans="1:15" x14ac:dyDescent="0.25">
      <c r="A344" t="s">
        <v>2285</v>
      </c>
      <c r="B344" s="1" t="e">
        <v>#N/A</v>
      </c>
      <c r="C344" s="1" t="e">
        <v>#N/A</v>
      </c>
      <c r="D344" s="1" t="e">
        <v>#N/A</v>
      </c>
      <c r="E344" s="1" t="s">
        <v>2298</v>
      </c>
      <c r="F344" s="2" t="s">
        <v>2300</v>
      </c>
      <c r="G344" s="1" t="s">
        <v>2303</v>
      </c>
      <c r="H344" s="2">
        <v>0</v>
      </c>
      <c r="I344" s="3" t="s">
        <v>2418</v>
      </c>
      <c r="J344" t="s">
        <v>2365</v>
      </c>
      <c r="M344" s="3" t="s">
        <v>2300</v>
      </c>
      <c r="N344" s="3" t="s">
        <v>2256</v>
      </c>
      <c r="O344" t="s">
        <v>2310</v>
      </c>
    </row>
    <row r="345" spans="1:15" x14ac:dyDescent="0.25">
      <c r="A345" t="s">
        <v>2285</v>
      </c>
      <c r="B345" s="1" t="e">
        <v>#N/A</v>
      </c>
      <c r="C345" s="1" t="e">
        <v>#N/A</v>
      </c>
      <c r="D345" s="1" t="e">
        <v>#N/A</v>
      </c>
      <c r="E345" s="1" t="s">
        <v>2455</v>
      </c>
      <c r="F345" s="2" t="s">
        <v>2300</v>
      </c>
      <c r="G345" s="1" t="s">
        <v>2304</v>
      </c>
      <c r="H345" s="2">
        <v>0</v>
      </c>
      <c r="I345" s="3" t="s">
        <v>2333</v>
      </c>
      <c r="J345" t="s">
        <v>2365</v>
      </c>
      <c r="M345" s="3" t="s">
        <v>2300</v>
      </c>
      <c r="N345" s="3" t="s">
        <v>2255</v>
      </c>
      <c r="O345" t="s">
        <v>2310</v>
      </c>
    </row>
  </sheetData>
  <autoFilter ref="A1:O345" xr:uid="{04229D81-B36B-441F-9EC2-FC6395B07939}"/>
  <conditionalFormatting sqref="A1:A345">
    <cfRule type="cellIs" dxfId="149" priority="141" operator="equal">
      <formula>"Mare"</formula>
    </cfRule>
    <cfRule type="cellIs" dxfId="148" priority="142" operator="equal">
      <formula>"Axel"</formula>
    </cfRule>
    <cfRule type="cellIs" dxfId="147" priority="143" operator="equal">
      <formula>"Christian"</formula>
    </cfRule>
    <cfRule type="cellIs" dxfId="146" priority="144" operator="equal">
      <formula>"Farid"</formula>
    </cfRule>
    <cfRule type="cellIs" dxfId="145" priority="145" stopIfTrue="1" operator="equal">
      <formula>"Alex"</formula>
    </cfRule>
    <cfRule type="cellIs" dxfId="144" priority="146" operator="equal">
      <formula>"Gaby"</formula>
    </cfRule>
    <cfRule type="cellIs" dxfId="143" priority="147" operator="equal">
      <formula>"Randall"</formula>
    </cfRule>
    <cfRule type="cellIs" dxfId="142" priority="148" operator="equal">
      <formula>"Johan"</formula>
    </cfRule>
    <cfRule type="cellIs" dxfId="141" priority="149" operator="equal">
      <formula>"Eva"</formula>
    </cfRule>
    <cfRule type="cellIs" dxfId="140" priority="150" operator="equal">
      <formula>"Ronald"</formula>
    </cfRule>
  </conditionalFormatting>
  <conditionalFormatting sqref="B1:B345">
    <cfRule type="cellIs" dxfId="139" priority="129" operator="equal">
      <formula>"Mare"</formula>
    </cfRule>
    <cfRule type="cellIs" dxfId="138" priority="130" operator="equal">
      <formula>"Axel"</formula>
    </cfRule>
    <cfRule type="cellIs" dxfId="137" priority="131" operator="equal">
      <formula>"Christian"</formula>
    </cfRule>
    <cfRule type="cellIs" dxfId="136" priority="132" operator="equal">
      <formula>"Farid"</formula>
    </cfRule>
    <cfRule type="cellIs" dxfId="135" priority="133" stopIfTrue="1" operator="equal">
      <formula>"Alex"</formula>
    </cfRule>
    <cfRule type="cellIs" dxfId="134" priority="134" operator="equal">
      <formula>"Gaby"</formula>
    </cfRule>
    <cfRule type="cellIs" dxfId="133" priority="135" operator="equal">
      <formula>"Randall"</formula>
    </cfRule>
    <cfRule type="cellIs" dxfId="132" priority="136" operator="equal">
      <formula>"Johan"</formula>
    </cfRule>
    <cfRule type="cellIs" dxfId="131" priority="137" operator="equal">
      <formula>"Eva"</formula>
    </cfRule>
    <cfRule type="cellIs" dxfId="130" priority="138" operator="equal">
      <formula>"Ronald"</formula>
    </cfRule>
  </conditionalFormatting>
  <conditionalFormatting sqref="B1:B345">
    <cfRule type="cellIs" dxfId="129" priority="139" operator="equal">
      <formula>"Maria"</formula>
    </cfRule>
    <cfRule type="cellIs" dxfId="128" priority="140" operator="equal">
      <formula>"Jason"</formula>
    </cfRule>
  </conditionalFormatting>
  <conditionalFormatting sqref="B2:B345">
    <cfRule type="cellIs" dxfId="127" priority="126" operator="equal">
      <formula>"Jose"</formula>
    </cfRule>
  </conditionalFormatting>
  <conditionalFormatting sqref="B2:B345">
    <cfRule type="cellIs" dxfId="126" priority="127" operator="equal">
      <formula>"David"</formula>
    </cfRule>
    <cfRule type="cellIs" dxfId="125" priority="128" stopIfTrue="1" operator="equal">
      <formula>"Jenny"</formula>
    </cfRule>
  </conditionalFormatting>
  <conditionalFormatting sqref="C1:C345">
    <cfRule type="cellIs" dxfId="124" priority="113" operator="equal">
      <formula>"Mare"</formula>
    </cfRule>
    <cfRule type="cellIs" dxfId="123" priority="114" operator="equal">
      <formula>"Axel"</formula>
    </cfRule>
    <cfRule type="cellIs" dxfId="122" priority="115" operator="equal">
      <formula>"Christian"</formula>
    </cfRule>
    <cfRule type="cellIs" dxfId="121" priority="116" operator="equal">
      <formula>"Farid"</formula>
    </cfRule>
    <cfRule type="cellIs" dxfId="120" priority="118" stopIfTrue="1" operator="equal">
      <formula>"Alex"</formula>
    </cfRule>
    <cfRule type="cellIs" dxfId="119" priority="119" operator="equal">
      <formula>"Gaby"</formula>
    </cfRule>
    <cfRule type="cellIs" dxfId="118" priority="120" operator="equal">
      <formula>"Randall"</formula>
    </cfRule>
    <cfRule type="cellIs" dxfId="117" priority="121" operator="equal">
      <formula>"Johan"</formula>
    </cfRule>
    <cfRule type="cellIs" dxfId="116" priority="122" operator="equal">
      <formula>"Eva"</formula>
    </cfRule>
    <cfRule type="cellIs" dxfId="115" priority="123" operator="equal">
      <formula>"Ronald"</formula>
    </cfRule>
  </conditionalFormatting>
  <conditionalFormatting sqref="C1:C345">
    <cfRule type="cellIs" dxfId="114" priority="117" stopIfTrue="1" operator="equal">
      <formula>"Approved"</formula>
    </cfRule>
    <cfRule type="cellIs" dxfId="113" priority="124" operator="equal">
      <formula>"Done"</formula>
    </cfRule>
    <cfRule type="cellIs" dxfId="112" priority="125" operator="equal">
      <formula>"Pending Review"</formula>
    </cfRule>
  </conditionalFormatting>
  <conditionalFormatting sqref="C2:C345">
    <cfRule type="containsText" dxfId="111" priority="112" operator="containsText" text="Pending Info">
      <formula>NOT(ISERROR(SEARCH("Pending Info",C2)))</formula>
    </cfRule>
  </conditionalFormatting>
  <conditionalFormatting sqref="D1:D345">
    <cfRule type="cellIs" dxfId="110" priority="102" operator="equal">
      <formula>"Mare"</formula>
    </cfRule>
    <cfRule type="cellIs" dxfId="109" priority="103" operator="equal">
      <formula>"Axel"</formula>
    </cfRule>
    <cfRule type="cellIs" dxfId="108" priority="104" operator="equal">
      <formula>"Christian"</formula>
    </cfRule>
    <cfRule type="cellIs" dxfId="107" priority="105" operator="equal">
      <formula>"Farid"</formula>
    </cfRule>
    <cfRule type="cellIs" dxfId="106" priority="106" stopIfTrue="1" operator="equal">
      <formula>"Alex"</formula>
    </cfRule>
    <cfRule type="cellIs" dxfId="105" priority="107" operator="equal">
      <formula>"Gaby"</formula>
    </cfRule>
    <cfRule type="cellIs" dxfId="104" priority="108" operator="equal">
      <formula>"Randall"</formula>
    </cfRule>
    <cfRule type="cellIs" dxfId="103" priority="109" operator="equal">
      <formula>"Johan"</formula>
    </cfRule>
    <cfRule type="cellIs" dxfId="102" priority="110" operator="equal">
      <formula>"Eva"</formula>
    </cfRule>
    <cfRule type="cellIs" dxfId="101" priority="111" operator="equal">
      <formula>"Ronald"</formula>
    </cfRule>
  </conditionalFormatting>
  <conditionalFormatting sqref="E1:E345">
    <cfRule type="cellIs" dxfId="100" priority="92" operator="equal">
      <formula>"Mare"</formula>
    </cfRule>
    <cfRule type="cellIs" dxfId="99" priority="93" operator="equal">
      <formula>"Axel"</formula>
    </cfRule>
    <cfRule type="cellIs" dxfId="98" priority="94" operator="equal">
      <formula>"Christian"</formula>
    </cfRule>
    <cfRule type="cellIs" dxfId="97" priority="95" operator="equal">
      <formula>"Farid"</formula>
    </cfRule>
    <cfRule type="cellIs" dxfId="96" priority="96" stopIfTrue="1" operator="equal">
      <formula>"Alex"</formula>
    </cfRule>
    <cfRule type="cellIs" dxfId="95" priority="97" operator="equal">
      <formula>"Gaby"</formula>
    </cfRule>
    <cfRule type="cellIs" dxfId="94" priority="98" operator="equal">
      <formula>"Randall"</formula>
    </cfRule>
    <cfRule type="cellIs" dxfId="93" priority="99" operator="equal">
      <formula>"Johan"</formula>
    </cfRule>
    <cfRule type="cellIs" dxfId="92" priority="100" operator="equal">
      <formula>"Eva"</formula>
    </cfRule>
    <cfRule type="cellIs" dxfId="91" priority="101" operator="equal">
      <formula>"Ronald"</formula>
    </cfRule>
  </conditionalFormatting>
  <conditionalFormatting sqref="F1:F345">
    <cfRule type="cellIs" dxfId="90" priority="91" operator="equal">
      <formula>"YES"</formula>
    </cfRule>
  </conditionalFormatting>
  <conditionalFormatting sqref="F1:F345">
    <cfRule type="cellIs" dxfId="89" priority="90" operator="equal">
      <formula>"YES"</formula>
    </cfRule>
  </conditionalFormatting>
  <conditionalFormatting sqref="F1:F345">
    <cfRule type="cellIs" dxfId="88" priority="80" operator="equal">
      <formula>"Mare"</formula>
    </cfRule>
    <cfRule type="cellIs" dxfId="87" priority="81" operator="equal">
      <formula>"Axel"</formula>
    </cfRule>
    <cfRule type="cellIs" dxfId="86" priority="82" operator="equal">
      <formula>"Christian"</formula>
    </cfRule>
    <cfRule type="cellIs" dxfId="85" priority="83" operator="equal">
      <formula>"Farid"</formula>
    </cfRule>
    <cfRule type="cellIs" dxfId="84" priority="84" stopIfTrue="1" operator="equal">
      <formula>"Alex"</formula>
    </cfRule>
    <cfRule type="cellIs" dxfId="83" priority="85" operator="equal">
      <formula>"Gaby"</formula>
    </cfRule>
    <cfRule type="cellIs" dxfId="82" priority="86" operator="equal">
      <formula>"Randall"</formula>
    </cfRule>
    <cfRule type="cellIs" dxfId="81" priority="87" operator="equal">
      <formula>"Johan"</formula>
    </cfRule>
    <cfRule type="cellIs" dxfId="80" priority="88" operator="equal">
      <formula>"Eva"</formula>
    </cfRule>
    <cfRule type="cellIs" dxfId="79" priority="89" operator="equal">
      <formula>"Ronald"</formula>
    </cfRule>
  </conditionalFormatting>
  <conditionalFormatting sqref="G1:G345">
    <cfRule type="cellIs" dxfId="78" priority="66" operator="equal">
      <formula>"Mare"</formula>
    </cfRule>
    <cfRule type="cellIs" dxfId="77" priority="67" operator="equal">
      <formula>"Axel"</formula>
    </cfRule>
    <cfRule type="cellIs" dxfId="76" priority="68" operator="equal">
      <formula>"Christian"</formula>
    </cfRule>
    <cfRule type="cellIs" dxfId="75" priority="70" operator="equal">
      <formula>"Farid"</formula>
    </cfRule>
    <cfRule type="cellIs" dxfId="74" priority="71" stopIfTrue="1" operator="equal">
      <formula>"Alex"</formula>
    </cfRule>
    <cfRule type="cellIs" dxfId="73" priority="72" operator="equal">
      <formula>"Gaby"</formula>
    </cfRule>
    <cfRule type="cellIs" dxfId="72" priority="73" operator="equal">
      <formula>"Randall"</formula>
    </cfRule>
    <cfRule type="cellIs" dxfId="71" priority="74" operator="equal">
      <formula>"Johan"</formula>
    </cfRule>
    <cfRule type="cellIs" dxfId="70" priority="75" operator="equal">
      <formula>"Eva"</formula>
    </cfRule>
    <cfRule type="cellIs" dxfId="69" priority="76" operator="equal">
      <formula>"Ronald"</formula>
    </cfRule>
  </conditionalFormatting>
  <conditionalFormatting sqref="G1:G345">
    <cfRule type="cellIs" dxfId="68" priority="69" stopIfTrue="1" operator="equal">
      <formula>"Accessory"</formula>
    </cfRule>
    <cfRule type="cellIs" dxfId="67" priority="77" operator="equal">
      <formula>"Tachy"</formula>
    </cfRule>
    <cfRule type="cellIs" dxfId="66" priority="78" operator="equal">
      <formula>"LEADS"</formula>
    </cfRule>
    <cfRule type="cellIs" dxfId="65" priority="79" stopIfTrue="1" operator="equal">
      <formula>"Brady"</formula>
    </cfRule>
  </conditionalFormatting>
  <conditionalFormatting sqref="H1:H345">
    <cfRule type="cellIs" dxfId="64" priority="56" operator="equal">
      <formula>"Mare"</formula>
    </cfRule>
    <cfRule type="cellIs" dxfId="63" priority="57" operator="equal">
      <formula>"Axel"</formula>
    </cfRule>
    <cfRule type="cellIs" dxfId="62" priority="58" operator="equal">
      <formula>"Christian"</formula>
    </cfRule>
    <cfRule type="cellIs" dxfId="61" priority="59" operator="equal">
      <formula>"Farid"</formula>
    </cfRule>
    <cfRule type="cellIs" dxfId="60" priority="60" stopIfTrue="1" operator="equal">
      <formula>"Alex"</formula>
    </cfRule>
    <cfRule type="cellIs" dxfId="59" priority="61" operator="equal">
      <formula>"Gaby"</formula>
    </cfRule>
    <cfRule type="cellIs" dxfId="58" priority="62" operator="equal">
      <formula>"Randall"</formula>
    </cfRule>
    <cfRule type="cellIs" dxfId="57" priority="63" operator="equal">
      <formula>"Johan"</formula>
    </cfRule>
    <cfRule type="cellIs" dxfId="56" priority="64" operator="equal">
      <formula>"Eva"</formula>
    </cfRule>
    <cfRule type="cellIs" dxfId="55" priority="65" operator="equal">
      <formula>"Ronald"</formula>
    </cfRule>
  </conditionalFormatting>
  <conditionalFormatting sqref="H2:H345">
    <cfRule type="cellIs" dxfId="54" priority="54" stopIfTrue="1" operator="between">
      <formula>20</formula>
      <formula>29</formula>
    </cfRule>
    <cfRule type="cellIs" dxfId="53" priority="55" stopIfTrue="1" operator="greaterThan">
      <formula>29</formula>
    </cfRule>
  </conditionalFormatting>
  <conditionalFormatting sqref="N1:N345">
    <cfRule type="cellIs" dxfId="52" priority="42" operator="equal">
      <formula>"Mare"</formula>
    </cfRule>
    <cfRule type="cellIs" dxfId="51" priority="43" operator="equal">
      <formula>"Axel"</formula>
    </cfRule>
    <cfRule type="cellIs" dxfId="50" priority="44" operator="equal">
      <formula>"Christian"</formula>
    </cfRule>
    <cfRule type="cellIs" dxfId="49" priority="45" operator="equal">
      <formula>"Farid"</formula>
    </cfRule>
    <cfRule type="cellIs" dxfId="48" priority="46" stopIfTrue="1" operator="equal">
      <formula>"Alex"</formula>
    </cfRule>
    <cfRule type="cellIs" dxfId="47" priority="47" operator="equal">
      <formula>"Gaby"</formula>
    </cfRule>
    <cfRule type="cellIs" dxfId="46" priority="48" operator="equal">
      <formula>"Randall"</formula>
    </cfRule>
    <cfRule type="cellIs" dxfId="45" priority="49" operator="equal">
      <formula>"Johan"</formula>
    </cfRule>
    <cfRule type="cellIs" dxfId="44" priority="50" operator="equal">
      <formula>"Eva"</formula>
    </cfRule>
    <cfRule type="cellIs" dxfId="43" priority="51" operator="equal">
      <formula>"Ronald"</formula>
    </cfRule>
  </conditionalFormatting>
  <conditionalFormatting sqref="N1:N345">
    <cfRule type="cellIs" dxfId="42" priority="52" operator="equal">
      <formula>"Insignia, Nexus"</formula>
    </cfRule>
    <cfRule type="cellIs" dxfId="41" priority="53" operator="equal">
      <formula>"Altrua"</formula>
    </cfRule>
  </conditionalFormatting>
  <conditionalFormatting sqref="N2:N345">
    <cfRule type="cellIs" dxfId="40" priority="41" operator="equal">
      <formula>"Subcutaneous ICD"</formula>
    </cfRule>
  </conditionalFormatting>
  <conditionalFormatting sqref="O1:O345">
    <cfRule type="cellIs" dxfId="39" priority="31" operator="equal">
      <formula>"Mare"</formula>
    </cfRule>
    <cfRule type="cellIs" dxfId="38" priority="32" operator="equal">
      <formula>"Axel"</formula>
    </cfRule>
    <cfRule type="cellIs" dxfId="37" priority="33" operator="equal">
      <formula>"Christian"</formula>
    </cfRule>
    <cfRule type="cellIs" dxfId="36" priority="34" operator="equal">
      <formula>"Farid"</formula>
    </cfRule>
    <cfRule type="cellIs" dxfId="35" priority="35" stopIfTrue="1" operator="equal">
      <formula>"Alex"</formula>
    </cfRule>
    <cfRule type="cellIs" dxfId="34" priority="36" operator="equal">
      <formula>"Gaby"</formula>
    </cfRule>
    <cfRule type="cellIs" dxfId="33" priority="37" operator="equal">
      <formula>"Randall"</formula>
    </cfRule>
    <cfRule type="cellIs" dxfId="32" priority="38" operator="equal">
      <formula>"Johan"</formula>
    </cfRule>
    <cfRule type="cellIs" dxfId="31" priority="39" operator="equal">
      <formula>"Eva"</formula>
    </cfRule>
    <cfRule type="cellIs" dxfId="30" priority="40" operator="equal">
      <formula>"Ronald"</formula>
    </cfRule>
  </conditionalFormatting>
  <conditionalFormatting sqref="I1:I345">
    <cfRule type="cellIs" dxfId="29" priority="21" operator="equal">
      <formula>"Mare"</formula>
    </cfRule>
    <cfRule type="cellIs" dxfId="28" priority="22" operator="equal">
      <formula>"Axel"</formula>
    </cfRule>
    <cfRule type="cellIs" dxfId="27" priority="23" operator="equal">
      <formula>"Christian"</formula>
    </cfRule>
    <cfRule type="cellIs" dxfId="26" priority="24" operator="equal">
      <formula>"Farid"</formula>
    </cfRule>
    <cfRule type="cellIs" dxfId="25" priority="25" stopIfTrue="1" operator="equal">
      <formula>"Alex"</formula>
    </cfRule>
    <cfRule type="cellIs" dxfId="24" priority="26" operator="equal">
      <formula>"Gaby"</formula>
    </cfRule>
    <cfRule type="cellIs" dxfId="23" priority="27" operator="equal">
      <formula>"Randall"</formula>
    </cfRule>
    <cfRule type="cellIs" dxfId="22" priority="28" operator="equal">
      <formula>"Johan"</formula>
    </cfRule>
    <cfRule type="cellIs" dxfId="21" priority="29" operator="equal">
      <formula>"Eva"</formula>
    </cfRule>
    <cfRule type="cellIs" dxfId="20" priority="30" operator="equal">
      <formula>"Ronald"</formula>
    </cfRule>
  </conditionalFormatting>
  <conditionalFormatting sqref="M1:M345">
    <cfRule type="cellIs" dxfId="19" priority="11" operator="equal">
      <formula>"Mare"</formula>
    </cfRule>
    <cfRule type="cellIs" dxfId="18" priority="12" operator="equal">
      <formula>"Axel"</formula>
    </cfRule>
    <cfRule type="cellIs" dxfId="17" priority="13" operator="equal">
      <formula>"Christian"</formula>
    </cfRule>
    <cfRule type="cellIs" dxfId="16" priority="14" operator="equal">
      <formula>"Farid"</formula>
    </cfRule>
    <cfRule type="cellIs" dxfId="15" priority="15" stopIfTrue="1" operator="equal">
      <formula>"Alex"</formula>
    </cfRule>
    <cfRule type="cellIs" dxfId="14" priority="16" operator="equal">
      <formula>"Gaby"</formula>
    </cfRule>
    <cfRule type="cellIs" dxfId="13" priority="17" operator="equal">
      <formula>"Randall"</formula>
    </cfRule>
    <cfRule type="cellIs" dxfId="12" priority="18" operator="equal">
      <formula>"Johan"</formula>
    </cfRule>
    <cfRule type="cellIs" dxfId="11" priority="19" operator="equal">
      <formula>"Eva"</formula>
    </cfRule>
    <cfRule type="cellIs" dxfId="10" priority="20" operator="equal">
      <formula>"Ronald"</formula>
    </cfRule>
  </conditionalFormatting>
  <conditionalFormatting sqref="L1">
    <cfRule type="cellIs" dxfId="9" priority="1" operator="equal">
      <formula>"Mare"</formula>
    </cfRule>
    <cfRule type="cellIs" dxfId="8" priority="2" operator="equal">
      <formula>"Axel"</formula>
    </cfRule>
    <cfRule type="cellIs" dxfId="7" priority="3" operator="equal">
      <formula>"Christian"</formula>
    </cfRule>
    <cfRule type="cellIs" dxfId="6" priority="4" operator="equal">
      <formula>"Farid"</formula>
    </cfRule>
    <cfRule type="cellIs" dxfId="5" priority="5" stopIfTrue="1" operator="equal">
      <formula>"Alex"</formula>
    </cfRule>
    <cfRule type="cellIs" dxfId="4" priority="6" operator="equal">
      <formula>"Gaby"</formula>
    </cfRule>
    <cfRule type="cellIs" dxfId="3" priority="7" operator="equal">
      <formula>"Randall"</formula>
    </cfRule>
    <cfRule type="cellIs" dxfId="2" priority="8" operator="equal">
      <formula>"Johan"</formula>
    </cfRule>
    <cfRule type="cellIs" dxfId="1" priority="9" operator="equal">
      <formula>"Eva"</formula>
    </cfRule>
    <cfRule type="cellIs" dxfId="0" priority="10" operator="equal">
      <formula>"Ronald"</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B0C3B-7124-494B-9B53-1DD2B2750A93}">
  <sheetPr codeName="Sheet8"/>
  <dimension ref="B2:AF717"/>
  <sheetViews>
    <sheetView topLeftCell="A4" workbookViewId="0">
      <selection activeCell="H712" sqref="H712"/>
    </sheetView>
  </sheetViews>
  <sheetFormatPr defaultRowHeight="15" x14ac:dyDescent="0.25"/>
  <cols>
    <col min="2" max="2" width="12.85546875" bestFit="1" customWidth="1"/>
    <col min="4" max="5" width="9.85546875" bestFit="1" customWidth="1"/>
    <col min="6" max="6" width="9.7109375" bestFit="1" customWidth="1"/>
    <col min="7" max="7" width="13.140625" bestFit="1" customWidth="1"/>
    <col min="8" max="8" width="12.85546875" bestFit="1" customWidth="1"/>
    <col min="9" max="9" width="12.5703125" bestFit="1" customWidth="1"/>
    <col min="10" max="10" width="25.140625" bestFit="1" customWidth="1"/>
    <col min="11" max="11" width="22.7109375" bestFit="1" customWidth="1"/>
    <col min="12" max="12" width="28.7109375" bestFit="1" customWidth="1"/>
    <col min="13" max="13" width="21.7109375" bestFit="1" customWidth="1"/>
    <col min="14" max="14" width="34.28515625" bestFit="1" customWidth="1"/>
    <col min="15" max="15" width="17.7109375" bestFit="1" customWidth="1"/>
    <col min="16" max="16" width="16.7109375" bestFit="1" customWidth="1"/>
    <col min="17" max="17" width="10.140625" bestFit="1" customWidth="1"/>
    <col min="18" max="18" width="7.5703125" bestFit="1" customWidth="1"/>
    <col min="19" max="19" width="13.140625" bestFit="1" customWidth="1"/>
    <col min="20" max="20" width="12.5703125" bestFit="1" customWidth="1"/>
    <col min="21" max="21" width="15.7109375" bestFit="1" customWidth="1"/>
    <col min="22" max="22" width="14.85546875" bestFit="1" customWidth="1"/>
    <col min="23" max="23" width="16.7109375" bestFit="1" customWidth="1"/>
    <col min="24" max="25" width="16.7109375" customWidth="1"/>
    <col min="26" max="26" width="5.7109375" bestFit="1" customWidth="1"/>
    <col min="27" max="27" width="12.85546875" bestFit="1" customWidth="1"/>
    <col min="28" max="28" width="6.140625" bestFit="1" customWidth="1"/>
    <col min="29" max="29" width="64" bestFit="1" customWidth="1"/>
    <col min="30" max="30" width="17.7109375" bestFit="1" customWidth="1"/>
    <col min="31" max="32" width="6.7109375" bestFit="1" customWidth="1"/>
    <col min="33" max="33" width="18" bestFit="1" customWidth="1"/>
    <col min="34" max="34" width="20.7109375" bestFit="1" customWidth="1"/>
    <col min="35" max="35" width="17.7109375" bestFit="1" customWidth="1"/>
    <col min="36" max="36" width="17.85546875" bestFit="1" customWidth="1"/>
    <col min="37" max="37" width="4.85546875" bestFit="1" customWidth="1"/>
    <col min="38" max="38" width="7.85546875" bestFit="1" customWidth="1"/>
    <col min="39" max="39" width="4.85546875" bestFit="1" customWidth="1"/>
    <col min="40" max="40" width="7.85546875" bestFit="1" customWidth="1"/>
    <col min="41" max="41" width="4.85546875" bestFit="1" customWidth="1"/>
    <col min="42" max="42" width="7.85546875" bestFit="1" customWidth="1"/>
    <col min="43" max="43" width="12.7109375" bestFit="1" customWidth="1"/>
    <col min="44" max="44" width="7.85546875" bestFit="1" customWidth="1"/>
    <col min="45" max="45" width="4.85546875" bestFit="1" customWidth="1"/>
    <col min="46" max="46" width="7.85546875" bestFit="1" customWidth="1"/>
    <col min="47" max="47" width="4.85546875" bestFit="1" customWidth="1"/>
    <col min="48" max="48" width="7.85546875" bestFit="1" customWidth="1"/>
    <col min="49" max="49" width="4.85546875" bestFit="1" customWidth="1"/>
    <col min="50" max="50" width="7.85546875" bestFit="1" customWidth="1"/>
    <col min="51" max="51" width="4.85546875" bestFit="1" customWidth="1"/>
    <col min="52" max="52" width="7.85546875" bestFit="1" customWidth="1"/>
    <col min="53" max="53" width="18" bestFit="1" customWidth="1"/>
    <col min="54" max="54" width="20.7109375" bestFit="1" customWidth="1"/>
    <col min="55" max="55" width="17.7109375" bestFit="1" customWidth="1"/>
    <col min="56" max="56" width="17.85546875" bestFit="1" customWidth="1"/>
  </cols>
  <sheetData>
    <row r="2" spans="2:32" x14ac:dyDescent="0.25">
      <c r="B2" s="8" t="s">
        <v>2230</v>
      </c>
      <c r="C2" s="8"/>
      <c r="D2" s="8"/>
      <c r="E2" s="8"/>
      <c r="F2" s="8"/>
      <c r="H2" s="8" t="s">
        <v>2231</v>
      </c>
      <c r="I2" s="8"/>
      <c r="J2" s="8"/>
      <c r="Q2" s="8" t="s">
        <v>2229</v>
      </c>
      <c r="R2" s="8"/>
      <c r="S2" s="8"/>
      <c r="T2" s="8"/>
      <c r="U2" s="8"/>
      <c r="V2" s="8"/>
      <c r="W2" s="8"/>
      <c r="X2" s="8"/>
      <c r="Y2" s="8"/>
      <c r="AA2" s="8" t="s">
        <v>2232</v>
      </c>
      <c r="AB2" s="8"/>
      <c r="AC2" s="8"/>
      <c r="AD2" s="8"/>
    </row>
    <row r="3" spans="2:32" x14ac:dyDescent="0.25">
      <c r="B3" t="s">
        <v>0</v>
      </c>
      <c r="C3" t="s">
        <v>2228</v>
      </c>
      <c r="D3" t="s">
        <v>2221</v>
      </c>
      <c r="E3" t="s">
        <v>2222</v>
      </c>
      <c r="F3" t="s">
        <v>2223</v>
      </c>
      <c r="H3" t="s">
        <v>0</v>
      </c>
      <c r="I3" t="s">
        <v>2228</v>
      </c>
      <c r="J3" t="s">
        <v>2261</v>
      </c>
      <c r="K3" t="s">
        <v>2262</v>
      </c>
      <c r="Q3" t="s">
        <v>0</v>
      </c>
      <c r="R3" t="s">
        <v>2228</v>
      </c>
      <c r="S3" t="s">
        <v>2224</v>
      </c>
      <c r="T3" t="s">
        <v>2225</v>
      </c>
      <c r="U3" t="s">
        <v>2248</v>
      </c>
      <c r="V3" t="s">
        <v>2234</v>
      </c>
      <c r="W3" t="s">
        <v>2233</v>
      </c>
      <c r="X3" t="s">
        <v>2235</v>
      </c>
      <c r="Y3" t="s">
        <v>2236</v>
      </c>
      <c r="AA3" t="s">
        <v>0</v>
      </c>
      <c r="AB3" t="s">
        <v>2228</v>
      </c>
      <c r="AC3" t="s">
        <v>2227</v>
      </c>
      <c r="AD3" t="s">
        <v>2278</v>
      </c>
      <c r="AE3" t="s">
        <v>2276</v>
      </c>
      <c r="AF3" t="s">
        <v>2277</v>
      </c>
    </row>
    <row r="4" spans="2:32" x14ac:dyDescent="0.25">
      <c r="B4" s="9">
        <v>45082</v>
      </c>
      <c r="C4">
        <f t="shared" ref="C4:C13" ca="1" si="0">WEEKNUM(INDIRECT("B"&amp;ROW()))</f>
        <v>23</v>
      </c>
      <c r="D4">
        <v>361</v>
      </c>
      <c r="E4">
        <v>48</v>
      </c>
      <c r="F4">
        <v>173</v>
      </c>
      <c r="H4" s="9">
        <v>45082</v>
      </c>
      <c r="I4">
        <f t="shared" ref="I4:I33" ca="1" si="1">WEEKNUM(INDIRECT("H"&amp;ROW()))</f>
        <v>23</v>
      </c>
      <c r="J4" t="s">
        <v>2255</v>
      </c>
      <c r="K4">
        <v>267</v>
      </c>
      <c r="Q4" s="9">
        <v>45082</v>
      </c>
      <c r="R4">
        <f ca="1">WEEKNUM(INDIRECT("B"&amp;ROW()))</f>
        <v>23</v>
      </c>
      <c r="S4">
        <v>503</v>
      </c>
      <c r="T4">
        <v>55</v>
      </c>
      <c r="U4">
        <v>17</v>
      </c>
      <c r="V4">
        <v>79</v>
      </c>
      <c r="W4">
        <v>1</v>
      </c>
      <c r="X4">
        <v>26</v>
      </c>
      <c r="Y4">
        <v>0</v>
      </c>
      <c r="AA4" s="9">
        <v>45085</v>
      </c>
      <c r="AB4">
        <f t="shared" ref="AB4:AB13" ca="1" si="2">WEEKNUM(INDIRECT("AA"&amp;ROW()))</f>
        <v>23</v>
      </c>
      <c r="AC4" t="s">
        <v>2266</v>
      </c>
      <c r="AD4">
        <v>106</v>
      </c>
      <c r="AE4" s="17"/>
      <c r="AF4" s="18"/>
    </row>
    <row r="5" spans="2:32" x14ac:dyDescent="0.25">
      <c r="B5" s="9">
        <v>45083</v>
      </c>
      <c r="C5">
        <f t="shared" ca="1" si="0"/>
        <v>23</v>
      </c>
      <c r="D5">
        <v>365</v>
      </c>
      <c r="E5">
        <v>65</v>
      </c>
      <c r="F5">
        <v>161</v>
      </c>
      <c r="H5" s="9">
        <v>45082</v>
      </c>
      <c r="I5">
        <f t="shared" ca="1" si="1"/>
        <v>23</v>
      </c>
      <c r="J5" t="s">
        <v>2259</v>
      </c>
      <c r="K5">
        <v>4</v>
      </c>
      <c r="Q5" s="9">
        <v>45083</v>
      </c>
      <c r="R5">
        <f ca="1">WEEKNUM(INDIRECT("B"&amp;ROW()))</f>
        <v>23</v>
      </c>
      <c r="S5">
        <v>504</v>
      </c>
      <c r="T5">
        <v>60</v>
      </c>
      <c r="U5">
        <v>18</v>
      </c>
      <c r="V5">
        <v>84</v>
      </c>
      <c r="W5">
        <v>1</v>
      </c>
      <c r="X5">
        <v>31</v>
      </c>
      <c r="Y5">
        <v>1</v>
      </c>
      <c r="AA5" s="9">
        <v>45085</v>
      </c>
      <c r="AB5">
        <f t="shared" ca="1" si="2"/>
        <v>23</v>
      </c>
      <c r="AC5" t="s">
        <v>2267</v>
      </c>
      <c r="AD5">
        <v>88</v>
      </c>
      <c r="AE5" s="17"/>
      <c r="AF5" s="18"/>
    </row>
    <row r="6" spans="2:32" x14ac:dyDescent="0.25">
      <c r="B6" s="9">
        <v>45084</v>
      </c>
      <c r="C6">
        <f t="shared" ca="1" si="0"/>
        <v>23</v>
      </c>
      <c r="D6">
        <v>349</v>
      </c>
      <c r="E6">
        <v>61</v>
      </c>
      <c r="F6">
        <v>154</v>
      </c>
      <c r="H6" s="9">
        <v>45082</v>
      </c>
      <c r="I6">
        <f t="shared" ca="1" si="1"/>
        <v>23</v>
      </c>
      <c r="J6" t="s">
        <v>2256</v>
      </c>
      <c r="K6">
        <v>64</v>
      </c>
      <c r="Q6" s="9">
        <v>45084</v>
      </c>
      <c r="R6">
        <f ca="1">WEEKNUM(INDIRECT("B"&amp;ROW()))</f>
        <v>23</v>
      </c>
      <c r="S6">
        <v>505</v>
      </c>
      <c r="T6">
        <v>50</v>
      </c>
      <c r="U6">
        <v>26</v>
      </c>
      <c r="V6">
        <v>86</v>
      </c>
      <c r="W6">
        <v>1</v>
      </c>
      <c r="X6">
        <v>25</v>
      </c>
      <c r="Y6">
        <v>1</v>
      </c>
      <c r="AA6" s="9">
        <v>45085</v>
      </c>
      <c r="AB6">
        <f t="shared" ca="1" si="2"/>
        <v>23</v>
      </c>
      <c r="AC6" t="s">
        <v>2268</v>
      </c>
      <c r="AD6">
        <v>79</v>
      </c>
      <c r="AE6" s="17"/>
      <c r="AF6" s="18"/>
    </row>
    <row r="7" spans="2:32" x14ac:dyDescent="0.25">
      <c r="B7" s="9">
        <v>45085</v>
      </c>
      <c r="C7">
        <f t="shared" ca="1" si="0"/>
        <v>23</v>
      </c>
      <c r="D7">
        <v>356</v>
      </c>
      <c r="E7">
        <v>54</v>
      </c>
      <c r="F7">
        <v>173</v>
      </c>
      <c r="H7" s="9">
        <v>45082</v>
      </c>
      <c r="I7">
        <f t="shared" ca="1" si="1"/>
        <v>23</v>
      </c>
      <c r="J7" t="s">
        <v>2258</v>
      </c>
      <c r="K7">
        <v>14</v>
      </c>
      <c r="Q7" s="9">
        <v>45085</v>
      </c>
      <c r="R7">
        <f ca="1">WEEKNUM(INDIRECT("B"&amp;ROW()))</f>
        <v>23</v>
      </c>
      <c r="S7">
        <v>432</v>
      </c>
      <c r="T7">
        <v>41</v>
      </c>
      <c r="U7">
        <v>28</v>
      </c>
      <c r="V7">
        <v>81</v>
      </c>
      <c r="W7">
        <v>0</v>
      </c>
      <c r="X7">
        <v>30</v>
      </c>
      <c r="Y7">
        <v>0</v>
      </c>
      <c r="AA7" s="9">
        <v>45085</v>
      </c>
      <c r="AB7">
        <f t="shared" ca="1" si="2"/>
        <v>23</v>
      </c>
      <c r="AC7" t="s">
        <v>2269</v>
      </c>
      <c r="AD7">
        <v>73</v>
      </c>
      <c r="AE7" s="17"/>
      <c r="AF7" s="18"/>
    </row>
    <row r="8" spans="2:32" x14ac:dyDescent="0.25">
      <c r="B8" s="9">
        <v>45086</v>
      </c>
      <c r="C8">
        <f t="shared" ca="1" si="0"/>
        <v>23</v>
      </c>
      <c r="D8">
        <v>350</v>
      </c>
      <c r="E8">
        <v>57</v>
      </c>
      <c r="F8">
        <v>177</v>
      </c>
      <c r="H8" s="9">
        <v>45082</v>
      </c>
      <c r="I8">
        <f t="shared" ca="1" si="1"/>
        <v>23</v>
      </c>
      <c r="J8" t="s">
        <v>2257</v>
      </c>
      <c r="K8">
        <v>14</v>
      </c>
      <c r="AA8" s="9">
        <v>45085</v>
      </c>
      <c r="AB8">
        <f t="shared" ca="1" si="2"/>
        <v>23</v>
      </c>
      <c r="AC8" t="s">
        <v>2270</v>
      </c>
      <c r="AD8">
        <v>66</v>
      </c>
      <c r="AE8" s="17"/>
      <c r="AF8" s="18"/>
    </row>
    <row r="9" spans="2:32" x14ac:dyDescent="0.25">
      <c r="B9" s="9">
        <v>45089</v>
      </c>
      <c r="C9">
        <f t="shared" ca="1" si="0"/>
        <v>24</v>
      </c>
      <c r="D9">
        <v>311</v>
      </c>
      <c r="E9">
        <v>70</v>
      </c>
      <c r="F9">
        <v>134</v>
      </c>
      <c r="H9" s="9">
        <v>45082</v>
      </c>
      <c r="I9">
        <f t="shared" ca="1" si="1"/>
        <v>23</v>
      </c>
      <c r="J9" t="s">
        <v>2260</v>
      </c>
      <c r="K9">
        <v>0</v>
      </c>
      <c r="AA9" s="9">
        <v>45085</v>
      </c>
      <c r="AB9">
        <f t="shared" ca="1" si="2"/>
        <v>23</v>
      </c>
      <c r="AC9" t="s">
        <v>2271</v>
      </c>
      <c r="AD9">
        <v>60</v>
      </c>
      <c r="AE9" s="17"/>
      <c r="AF9" s="18"/>
    </row>
    <row r="10" spans="2:32" x14ac:dyDescent="0.25">
      <c r="B10" s="9">
        <v>45090</v>
      </c>
      <c r="C10">
        <f t="shared" ca="1" si="0"/>
        <v>24</v>
      </c>
      <c r="D10">
        <v>314</v>
      </c>
      <c r="E10">
        <v>56</v>
      </c>
      <c r="F10">
        <v>151</v>
      </c>
      <c r="H10" s="9">
        <v>45083</v>
      </c>
      <c r="I10">
        <f t="shared" ca="1" si="1"/>
        <v>23</v>
      </c>
      <c r="J10" t="s">
        <v>2255</v>
      </c>
      <c r="K10">
        <v>276</v>
      </c>
      <c r="AA10" s="9">
        <v>45085</v>
      </c>
      <c r="AB10">
        <f t="shared" ca="1" si="2"/>
        <v>23</v>
      </c>
      <c r="AC10" t="s">
        <v>2272</v>
      </c>
      <c r="AD10">
        <v>21</v>
      </c>
      <c r="AE10" s="17"/>
      <c r="AF10" s="18"/>
    </row>
    <row r="11" spans="2:32" x14ac:dyDescent="0.25">
      <c r="B11" s="9">
        <v>45091</v>
      </c>
      <c r="C11">
        <f t="shared" ca="1" si="0"/>
        <v>24</v>
      </c>
      <c r="D11">
        <v>316</v>
      </c>
      <c r="E11">
        <v>77</v>
      </c>
      <c r="F11">
        <v>122</v>
      </c>
      <c r="H11" s="9">
        <v>45083</v>
      </c>
      <c r="I11">
        <f t="shared" ca="1" si="1"/>
        <v>23</v>
      </c>
      <c r="J11" t="s">
        <v>2259</v>
      </c>
      <c r="K11">
        <v>5</v>
      </c>
      <c r="AA11" s="9">
        <v>45085</v>
      </c>
      <c r="AB11">
        <f t="shared" ca="1" si="2"/>
        <v>23</v>
      </c>
      <c r="AC11" t="s">
        <v>2273</v>
      </c>
      <c r="AD11">
        <v>21</v>
      </c>
      <c r="AE11" s="17"/>
      <c r="AF11" s="18"/>
    </row>
    <row r="12" spans="2:32" x14ac:dyDescent="0.25">
      <c r="B12" s="9">
        <v>45092</v>
      </c>
      <c r="C12">
        <f t="shared" ca="1" si="0"/>
        <v>24</v>
      </c>
      <c r="D12">
        <v>314</v>
      </c>
      <c r="E12">
        <v>72</v>
      </c>
      <c r="F12">
        <v>126</v>
      </c>
      <c r="H12" s="9">
        <v>45083</v>
      </c>
      <c r="I12">
        <f t="shared" ca="1" si="1"/>
        <v>23</v>
      </c>
      <c r="J12" t="s">
        <v>2256</v>
      </c>
      <c r="K12">
        <v>67</v>
      </c>
      <c r="AA12" s="9">
        <v>45085</v>
      </c>
      <c r="AB12">
        <f t="shared" ca="1" si="2"/>
        <v>23</v>
      </c>
      <c r="AC12" t="s">
        <v>2274</v>
      </c>
      <c r="AD12">
        <v>18</v>
      </c>
      <c r="AE12" s="17"/>
      <c r="AF12" s="18"/>
    </row>
    <row r="13" spans="2:32" x14ac:dyDescent="0.25">
      <c r="B13" s="9">
        <v>45093</v>
      </c>
      <c r="C13">
        <f t="shared" ca="1" si="0"/>
        <v>24</v>
      </c>
      <c r="D13">
        <v>314</v>
      </c>
      <c r="E13">
        <v>47</v>
      </c>
      <c r="F13">
        <v>158</v>
      </c>
      <c r="H13" s="9">
        <v>45083</v>
      </c>
      <c r="I13">
        <f t="shared" ca="1" si="1"/>
        <v>23</v>
      </c>
      <c r="J13" t="s">
        <v>2258</v>
      </c>
      <c r="K13">
        <v>15</v>
      </c>
      <c r="AA13" s="9">
        <v>45085</v>
      </c>
      <c r="AB13">
        <f t="shared" ca="1" si="2"/>
        <v>23</v>
      </c>
      <c r="AC13" t="s">
        <v>2275</v>
      </c>
      <c r="AD13">
        <v>18</v>
      </c>
      <c r="AE13" s="17"/>
      <c r="AF13" s="18"/>
    </row>
    <row r="14" spans="2:32" x14ac:dyDescent="0.25">
      <c r="B14" s="9">
        <v>45096</v>
      </c>
      <c r="C14">
        <f t="shared" ref="C14:C19" ca="1" si="3">WEEKNUM(INDIRECT("B"&amp;ROW()))</f>
        <v>25</v>
      </c>
      <c r="D14">
        <v>316</v>
      </c>
      <c r="E14">
        <v>51</v>
      </c>
      <c r="F14">
        <v>150</v>
      </c>
      <c r="H14" s="9">
        <v>45083</v>
      </c>
      <c r="I14">
        <f t="shared" ca="1" si="1"/>
        <v>23</v>
      </c>
      <c r="J14" t="s">
        <v>2257</v>
      </c>
      <c r="K14">
        <v>15</v>
      </c>
      <c r="AA14" s="9"/>
      <c r="AE14" s="18"/>
    </row>
    <row r="15" spans="2:32" x14ac:dyDescent="0.25">
      <c r="B15" s="9">
        <v>45097</v>
      </c>
      <c r="C15">
        <f t="shared" ca="1" si="3"/>
        <v>25</v>
      </c>
      <c r="D15">
        <v>310</v>
      </c>
      <c r="E15">
        <v>55</v>
      </c>
      <c r="F15">
        <v>137</v>
      </c>
      <c r="H15" s="9">
        <v>45083</v>
      </c>
      <c r="I15">
        <f t="shared" ca="1" si="1"/>
        <v>23</v>
      </c>
      <c r="J15" t="s">
        <v>2260</v>
      </c>
      <c r="K15">
        <v>0</v>
      </c>
      <c r="AA15" s="9"/>
    </row>
    <row r="16" spans="2:32" x14ac:dyDescent="0.25">
      <c r="B16" s="9">
        <v>45098</v>
      </c>
      <c r="C16">
        <f t="shared" ca="1" si="3"/>
        <v>25</v>
      </c>
      <c r="D16">
        <v>339</v>
      </c>
      <c r="E16">
        <v>61</v>
      </c>
      <c r="F16">
        <v>154</v>
      </c>
      <c r="H16" s="9">
        <v>45084</v>
      </c>
      <c r="I16">
        <f t="shared" ca="1" si="1"/>
        <v>23</v>
      </c>
      <c r="J16" t="s">
        <v>2255</v>
      </c>
      <c r="K16">
        <v>262</v>
      </c>
      <c r="AA16" s="9"/>
    </row>
    <row r="17" spans="2:27" x14ac:dyDescent="0.25">
      <c r="B17" s="9">
        <v>45099</v>
      </c>
      <c r="C17">
        <f t="shared" ca="1" si="3"/>
        <v>25</v>
      </c>
      <c r="D17">
        <v>330</v>
      </c>
      <c r="E17">
        <v>64</v>
      </c>
      <c r="F17">
        <v>154</v>
      </c>
      <c r="H17" s="9">
        <v>45084</v>
      </c>
      <c r="I17">
        <f t="shared" ca="1" si="1"/>
        <v>23</v>
      </c>
      <c r="J17" t="s">
        <v>2259</v>
      </c>
      <c r="K17">
        <v>6</v>
      </c>
      <c r="AA17" s="9"/>
    </row>
    <row r="18" spans="2:27" x14ac:dyDescent="0.25">
      <c r="B18" s="9">
        <v>45100</v>
      </c>
      <c r="C18">
        <f t="shared" ca="1" si="3"/>
        <v>25</v>
      </c>
      <c r="D18">
        <v>324</v>
      </c>
      <c r="E18">
        <v>46</v>
      </c>
      <c r="F18">
        <v>176</v>
      </c>
      <c r="H18" s="9">
        <v>45084</v>
      </c>
      <c r="I18">
        <f t="shared" ca="1" si="1"/>
        <v>23</v>
      </c>
      <c r="J18" t="s">
        <v>2256</v>
      </c>
      <c r="K18">
        <v>66</v>
      </c>
      <c r="AA18" s="9"/>
    </row>
    <row r="19" spans="2:27" x14ac:dyDescent="0.25">
      <c r="B19" s="9">
        <v>45103</v>
      </c>
      <c r="C19">
        <f t="shared" ca="1" si="3"/>
        <v>26</v>
      </c>
      <c r="D19">
        <v>310</v>
      </c>
      <c r="E19">
        <v>38</v>
      </c>
      <c r="F19">
        <v>172</v>
      </c>
      <c r="H19" s="9">
        <v>45084</v>
      </c>
      <c r="I19">
        <f t="shared" ca="1" si="1"/>
        <v>23</v>
      </c>
      <c r="J19" t="s">
        <v>2258</v>
      </c>
      <c r="K19">
        <v>14</v>
      </c>
      <c r="AA19" s="9"/>
    </row>
    <row r="20" spans="2:27" x14ac:dyDescent="0.25">
      <c r="B20" s="9">
        <v>45104</v>
      </c>
      <c r="C20">
        <f t="shared" ref="C20:C28" ca="1" si="4">WEEKNUM(INDIRECT("B"&amp;ROW()))</f>
        <v>26</v>
      </c>
      <c r="D20">
        <v>336</v>
      </c>
      <c r="E20">
        <v>68</v>
      </c>
      <c r="F20">
        <v>166</v>
      </c>
      <c r="H20" s="9">
        <v>45084</v>
      </c>
      <c r="I20">
        <f t="shared" ca="1" si="1"/>
        <v>23</v>
      </c>
      <c r="J20" t="s">
        <v>2257</v>
      </c>
      <c r="K20">
        <v>13</v>
      </c>
      <c r="AA20" s="9"/>
    </row>
    <row r="21" spans="2:27" x14ac:dyDescent="0.25">
      <c r="B21" s="9">
        <v>45105</v>
      </c>
      <c r="C21">
        <f t="shared" ca="1" si="4"/>
        <v>26</v>
      </c>
      <c r="D21">
        <v>355</v>
      </c>
      <c r="E21">
        <v>79</v>
      </c>
      <c r="F21">
        <v>164</v>
      </c>
      <c r="H21" s="9">
        <v>45084</v>
      </c>
      <c r="I21">
        <f t="shared" ca="1" si="1"/>
        <v>23</v>
      </c>
      <c r="J21" t="s">
        <v>2260</v>
      </c>
      <c r="K21">
        <v>0</v>
      </c>
      <c r="AA21" s="9"/>
    </row>
    <row r="22" spans="2:27" x14ac:dyDescent="0.25">
      <c r="B22" s="9">
        <v>45106</v>
      </c>
      <c r="C22">
        <f t="shared" ca="1" si="4"/>
        <v>26</v>
      </c>
      <c r="D22">
        <v>364</v>
      </c>
      <c r="E22">
        <v>87</v>
      </c>
      <c r="F22">
        <v>159</v>
      </c>
      <c r="H22" s="9">
        <v>45085</v>
      </c>
      <c r="I22">
        <f t="shared" ca="1" si="1"/>
        <v>23</v>
      </c>
      <c r="J22" t="s">
        <v>2255</v>
      </c>
      <c r="K22">
        <v>264</v>
      </c>
      <c r="AA22" s="9"/>
    </row>
    <row r="23" spans="2:27" x14ac:dyDescent="0.25">
      <c r="B23" s="9">
        <v>45107</v>
      </c>
      <c r="C23">
        <f t="shared" ca="1" si="4"/>
        <v>26</v>
      </c>
      <c r="D23">
        <v>362</v>
      </c>
      <c r="E23">
        <v>64</v>
      </c>
      <c r="F23">
        <v>184</v>
      </c>
      <c r="H23" s="9">
        <v>45085</v>
      </c>
      <c r="I23">
        <f t="shared" ca="1" si="1"/>
        <v>23</v>
      </c>
      <c r="J23" t="s">
        <v>2259</v>
      </c>
      <c r="K23">
        <v>7</v>
      </c>
      <c r="AA23" s="9"/>
    </row>
    <row r="24" spans="2:27" x14ac:dyDescent="0.25">
      <c r="B24" s="9">
        <v>45110</v>
      </c>
      <c r="C24">
        <f t="shared" ca="1" si="4"/>
        <v>27</v>
      </c>
      <c r="D24">
        <v>355</v>
      </c>
      <c r="E24">
        <v>73</v>
      </c>
      <c r="F24">
        <v>177</v>
      </c>
      <c r="H24" s="9">
        <v>45085</v>
      </c>
      <c r="I24">
        <f t="shared" ca="1" si="1"/>
        <v>23</v>
      </c>
      <c r="J24" t="s">
        <v>2256</v>
      </c>
      <c r="K24">
        <v>73</v>
      </c>
      <c r="AA24" s="9"/>
    </row>
    <row r="25" spans="2:27" x14ac:dyDescent="0.25">
      <c r="B25" s="9">
        <v>45111</v>
      </c>
      <c r="C25">
        <f t="shared" ca="1" si="4"/>
        <v>27</v>
      </c>
      <c r="D25">
        <v>368</v>
      </c>
      <c r="E25">
        <v>82</v>
      </c>
      <c r="F25">
        <v>174</v>
      </c>
      <c r="H25" s="9">
        <v>45085</v>
      </c>
      <c r="I25">
        <f t="shared" ca="1" si="1"/>
        <v>23</v>
      </c>
      <c r="J25" t="s">
        <v>2258</v>
      </c>
      <c r="K25">
        <v>12</v>
      </c>
      <c r="AA25" s="9"/>
    </row>
    <row r="26" spans="2:27" x14ac:dyDescent="0.25">
      <c r="B26" s="9">
        <v>45112</v>
      </c>
      <c r="C26">
        <f t="shared" ca="1" si="4"/>
        <v>27</v>
      </c>
      <c r="D26">
        <v>349</v>
      </c>
      <c r="E26">
        <v>87</v>
      </c>
      <c r="F26">
        <v>148</v>
      </c>
      <c r="H26" s="9">
        <v>45085</v>
      </c>
      <c r="I26">
        <f t="shared" ca="1" si="1"/>
        <v>23</v>
      </c>
      <c r="J26" t="s">
        <v>2257</v>
      </c>
      <c r="K26">
        <v>11</v>
      </c>
      <c r="AA26" s="9"/>
    </row>
    <row r="27" spans="2:27" x14ac:dyDescent="0.25">
      <c r="B27" s="9">
        <v>45113</v>
      </c>
      <c r="C27">
        <f t="shared" ca="1" si="4"/>
        <v>27</v>
      </c>
      <c r="D27">
        <v>352</v>
      </c>
      <c r="E27">
        <v>94</v>
      </c>
      <c r="F27">
        <v>149</v>
      </c>
      <c r="H27" s="9">
        <v>45085</v>
      </c>
      <c r="I27">
        <f t="shared" ca="1" si="1"/>
        <v>23</v>
      </c>
      <c r="J27" t="s">
        <v>2260</v>
      </c>
      <c r="K27">
        <v>1</v>
      </c>
      <c r="AA27" s="9"/>
    </row>
    <row r="28" spans="2:27" x14ac:dyDescent="0.25">
      <c r="B28" s="9">
        <v>45114</v>
      </c>
      <c r="C28">
        <f t="shared" ca="1" si="4"/>
        <v>27</v>
      </c>
      <c r="D28">
        <v>337</v>
      </c>
      <c r="E28">
        <v>77</v>
      </c>
      <c r="F28">
        <v>150</v>
      </c>
      <c r="H28" s="9">
        <v>45086</v>
      </c>
      <c r="I28">
        <f t="shared" ca="1" si="1"/>
        <v>23</v>
      </c>
      <c r="J28" t="s">
        <v>2255</v>
      </c>
      <c r="K28">
        <v>263</v>
      </c>
      <c r="AA28" s="9"/>
    </row>
    <row r="29" spans="2:27" x14ac:dyDescent="0.25">
      <c r="B29" s="9">
        <v>45117</v>
      </c>
      <c r="C29">
        <f t="shared" ref="C29:C40" ca="1" si="5">WEEKNUM(INDIRECT("B"&amp;ROW()))</f>
        <v>28</v>
      </c>
      <c r="D29">
        <v>320</v>
      </c>
      <c r="E29">
        <v>97</v>
      </c>
      <c r="F29">
        <v>120</v>
      </c>
      <c r="H29" s="9">
        <v>45086</v>
      </c>
      <c r="I29">
        <f t="shared" ca="1" si="1"/>
        <v>23</v>
      </c>
      <c r="J29" t="s">
        <v>2259</v>
      </c>
      <c r="K29">
        <v>7</v>
      </c>
      <c r="AA29" s="9"/>
    </row>
    <row r="30" spans="2:27" x14ac:dyDescent="0.25">
      <c r="B30" s="9">
        <v>45118</v>
      </c>
      <c r="C30">
        <f t="shared" ca="1" si="5"/>
        <v>28</v>
      </c>
      <c r="D30">
        <v>320</v>
      </c>
      <c r="E30">
        <v>75</v>
      </c>
      <c r="F30">
        <v>141</v>
      </c>
      <c r="H30" s="9">
        <v>45086</v>
      </c>
      <c r="I30">
        <f t="shared" ca="1" si="1"/>
        <v>23</v>
      </c>
      <c r="J30" t="s">
        <v>2256</v>
      </c>
      <c r="K30">
        <v>70</v>
      </c>
      <c r="AA30" s="9"/>
    </row>
    <row r="31" spans="2:27" x14ac:dyDescent="0.25">
      <c r="B31" s="9">
        <v>45119</v>
      </c>
      <c r="C31">
        <f t="shared" ca="1" si="5"/>
        <v>28</v>
      </c>
      <c r="D31">
        <v>341</v>
      </c>
      <c r="E31">
        <v>82</v>
      </c>
      <c r="F31">
        <v>155</v>
      </c>
      <c r="H31" s="9">
        <v>45086</v>
      </c>
      <c r="I31">
        <f t="shared" ca="1" si="1"/>
        <v>23</v>
      </c>
      <c r="J31" t="s">
        <v>2258</v>
      </c>
      <c r="K31">
        <v>11</v>
      </c>
      <c r="AA31" s="9"/>
    </row>
    <row r="32" spans="2:27" x14ac:dyDescent="0.25">
      <c r="B32" s="9">
        <v>45120</v>
      </c>
      <c r="C32">
        <f t="shared" ca="1" si="5"/>
        <v>28</v>
      </c>
      <c r="D32">
        <v>346</v>
      </c>
      <c r="E32">
        <v>76</v>
      </c>
      <c r="F32">
        <v>170</v>
      </c>
      <c r="H32" s="9">
        <v>45086</v>
      </c>
      <c r="I32">
        <f t="shared" ca="1" si="1"/>
        <v>23</v>
      </c>
      <c r="J32" t="s">
        <v>2257</v>
      </c>
      <c r="K32">
        <v>11</v>
      </c>
      <c r="AA32" s="9"/>
    </row>
    <row r="33" spans="2:27" x14ac:dyDescent="0.25">
      <c r="B33" s="9">
        <v>45121</v>
      </c>
      <c r="C33">
        <f t="shared" ca="1" si="5"/>
        <v>28</v>
      </c>
      <c r="D33">
        <v>358</v>
      </c>
      <c r="E33">
        <v>65</v>
      </c>
      <c r="F33">
        <v>193</v>
      </c>
      <c r="H33" s="9">
        <v>45086</v>
      </c>
      <c r="I33">
        <f t="shared" ca="1" si="1"/>
        <v>23</v>
      </c>
      <c r="J33" t="s">
        <v>2260</v>
      </c>
      <c r="K33">
        <v>1</v>
      </c>
      <c r="AA33" s="9"/>
    </row>
    <row r="34" spans="2:27" x14ac:dyDescent="0.25">
      <c r="B34" s="9">
        <v>45124</v>
      </c>
      <c r="C34">
        <f t="shared" ca="1" si="5"/>
        <v>29</v>
      </c>
      <c r="D34">
        <v>361</v>
      </c>
      <c r="E34">
        <v>76</v>
      </c>
      <c r="F34">
        <v>186</v>
      </c>
      <c r="H34" s="9">
        <v>45089</v>
      </c>
      <c r="I34">
        <f t="shared" ref="I34:I63" ca="1" si="6">WEEKNUM(INDIRECT("H"&amp;ROW()))</f>
        <v>24</v>
      </c>
      <c r="J34" t="s">
        <v>2255</v>
      </c>
      <c r="K34">
        <v>232</v>
      </c>
      <c r="AA34" s="9"/>
    </row>
    <row r="35" spans="2:27" x14ac:dyDescent="0.25">
      <c r="B35" s="9">
        <v>45125</v>
      </c>
      <c r="C35">
        <f t="shared" ca="1" si="5"/>
        <v>29</v>
      </c>
      <c r="D35">
        <v>388</v>
      </c>
      <c r="E35">
        <v>90</v>
      </c>
      <c r="F35">
        <v>191</v>
      </c>
      <c r="H35" s="9">
        <v>45089</v>
      </c>
      <c r="I35">
        <f t="shared" ca="1" si="6"/>
        <v>24</v>
      </c>
      <c r="J35" t="s">
        <v>2259</v>
      </c>
      <c r="K35">
        <v>7</v>
      </c>
      <c r="AA35" s="9"/>
    </row>
    <row r="36" spans="2:27" x14ac:dyDescent="0.25">
      <c r="B36" s="9">
        <v>45126</v>
      </c>
      <c r="C36">
        <f t="shared" ca="1" si="5"/>
        <v>29</v>
      </c>
      <c r="D36">
        <v>381</v>
      </c>
      <c r="E36">
        <v>93</v>
      </c>
      <c r="F36">
        <v>176</v>
      </c>
      <c r="H36" s="9">
        <v>45089</v>
      </c>
      <c r="I36">
        <f t="shared" ca="1" si="6"/>
        <v>24</v>
      </c>
      <c r="J36" t="s">
        <v>2256</v>
      </c>
      <c r="K36">
        <v>58</v>
      </c>
      <c r="AA36" s="9"/>
    </row>
    <row r="37" spans="2:27" x14ac:dyDescent="0.25">
      <c r="B37" s="9">
        <v>45127</v>
      </c>
      <c r="C37">
        <f t="shared" ca="1" si="5"/>
        <v>29</v>
      </c>
      <c r="D37">
        <v>360</v>
      </c>
      <c r="E37">
        <v>86</v>
      </c>
      <c r="F37">
        <v>175</v>
      </c>
      <c r="H37" s="9">
        <v>45089</v>
      </c>
      <c r="I37">
        <f t="shared" ca="1" si="6"/>
        <v>24</v>
      </c>
      <c r="J37" t="s">
        <v>2258</v>
      </c>
      <c r="K37">
        <v>11</v>
      </c>
      <c r="AA37" s="9"/>
    </row>
    <row r="38" spans="2:27" x14ac:dyDescent="0.25">
      <c r="B38" s="9">
        <v>45128</v>
      </c>
      <c r="C38">
        <f t="shared" ca="1" si="5"/>
        <v>29</v>
      </c>
      <c r="D38">
        <v>343</v>
      </c>
      <c r="E38">
        <v>79</v>
      </c>
      <c r="F38">
        <v>175</v>
      </c>
      <c r="H38" s="9">
        <v>45089</v>
      </c>
      <c r="I38">
        <f t="shared" ca="1" si="6"/>
        <v>24</v>
      </c>
      <c r="J38" t="s">
        <v>2257</v>
      </c>
      <c r="K38">
        <v>11</v>
      </c>
      <c r="AA38" s="9"/>
    </row>
    <row r="39" spans="2:27" x14ac:dyDescent="0.25">
      <c r="B39" s="9">
        <v>45132</v>
      </c>
      <c r="C39">
        <f t="shared" ca="1" si="5"/>
        <v>30</v>
      </c>
      <c r="D39">
        <v>383</v>
      </c>
      <c r="E39">
        <v>162</v>
      </c>
      <c r="F39">
        <v>134</v>
      </c>
      <c r="H39" s="9">
        <v>45089</v>
      </c>
      <c r="I39">
        <f t="shared" ca="1" si="6"/>
        <v>24</v>
      </c>
      <c r="J39" t="s">
        <v>2260</v>
      </c>
      <c r="K39">
        <v>1</v>
      </c>
      <c r="AA39" s="9"/>
    </row>
    <row r="40" spans="2:27" x14ac:dyDescent="0.25">
      <c r="B40" s="9">
        <v>45133</v>
      </c>
      <c r="C40">
        <f t="shared" ca="1" si="5"/>
        <v>30</v>
      </c>
      <c r="D40">
        <v>364</v>
      </c>
      <c r="E40">
        <v>158</v>
      </c>
      <c r="F40">
        <v>121</v>
      </c>
      <c r="H40" s="9">
        <v>45090</v>
      </c>
      <c r="I40">
        <f t="shared" ca="1" si="6"/>
        <v>24</v>
      </c>
      <c r="J40" t="s">
        <v>2255</v>
      </c>
      <c r="K40">
        <v>243</v>
      </c>
      <c r="AA40" s="9"/>
    </row>
    <row r="41" spans="2:27" x14ac:dyDescent="0.25">
      <c r="B41" s="9">
        <v>45134</v>
      </c>
      <c r="C41">
        <f t="shared" ref="C41:C52" ca="1" si="7">WEEKNUM(INDIRECT("B"&amp;ROW()))</f>
        <v>30</v>
      </c>
      <c r="D41">
        <v>373</v>
      </c>
      <c r="E41">
        <v>154</v>
      </c>
      <c r="F41">
        <v>137</v>
      </c>
      <c r="H41" s="9">
        <v>45090</v>
      </c>
      <c r="I41">
        <f t="shared" ca="1" si="6"/>
        <v>24</v>
      </c>
      <c r="J41" t="s">
        <v>2259</v>
      </c>
      <c r="K41">
        <v>5</v>
      </c>
      <c r="AA41" s="9"/>
    </row>
    <row r="42" spans="2:27" x14ac:dyDescent="0.25">
      <c r="B42" s="9">
        <v>45135</v>
      </c>
      <c r="C42">
        <f t="shared" ca="1" si="7"/>
        <v>30</v>
      </c>
      <c r="D42">
        <v>381</v>
      </c>
      <c r="E42">
        <v>151</v>
      </c>
      <c r="F42">
        <v>151</v>
      </c>
      <c r="H42" s="9">
        <v>45090</v>
      </c>
      <c r="I42">
        <f t="shared" ca="1" si="6"/>
        <v>24</v>
      </c>
      <c r="J42" t="s">
        <v>2256</v>
      </c>
      <c r="K42">
        <v>57</v>
      </c>
      <c r="AA42" s="9"/>
    </row>
    <row r="43" spans="2:27" x14ac:dyDescent="0.25">
      <c r="B43" s="9">
        <v>45138</v>
      </c>
      <c r="C43">
        <f t="shared" ca="1" si="7"/>
        <v>31</v>
      </c>
      <c r="D43">
        <v>392</v>
      </c>
      <c r="E43">
        <v>155</v>
      </c>
      <c r="F43">
        <v>152</v>
      </c>
      <c r="H43" s="9">
        <v>45090</v>
      </c>
      <c r="I43">
        <f t="shared" ca="1" si="6"/>
        <v>24</v>
      </c>
      <c r="J43" t="s">
        <v>2258</v>
      </c>
      <c r="K43">
        <v>12</v>
      </c>
      <c r="AA43" s="9"/>
    </row>
    <row r="44" spans="2:27" x14ac:dyDescent="0.25">
      <c r="B44" s="9">
        <v>45139</v>
      </c>
      <c r="C44">
        <f t="shared" ca="1" si="7"/>
        <v>31</v>
      </c>
      <c r="D44">
        <v>402</v>
      </c>
      <c r="E44">
        <v>146</v>
      </c>
      <c r="F44">
        <v>164</v>
      </c>
      <c r="H44" s="9">
        <v>45090</v>
      </c>
      <c r="I44">
        <f t="shared" ca="1" si="6"/>
        <v>24</v>
      </c>
      <c r="J44" t="s">
        <v>2257</v>
      </c>
      <c r="K44">
        <v>11</v>
      </c>
      <c r="AA44" s="9"/>
    </row>
    <row r="45" spans="2:27" x14ac:dyDescent="0.25">
      <c r="B45" s="9">
        <v>45140</v>
      </c>
      <c r="C45">
        <f t="shared" ca="1" si="7"/>
        <v>31</v>
      </c>
      <c r="D45">
        <v>377</v>
      </c>
      <c r="E45">
        <v>138</v>
      </c>
      <c r="F45">
        <v>149</v>
      </c>
      <c r="H45" s="9">
        <v>45090</v>
      </c>
      <c r="I45">
        <f t="shared" ca="1" si="6"/>
        <v>24</v>
      </c>
      <c r="J45" t="s">
        <v>2260</v>
      </c>
      <c r="K45">
        <v>1</v>
      </c>
      <c r="AA45" s="9"/>
    </row>
    <row r="46" spans="2:27" x14ac:dyDescent="0.25">
      <c r="B46" s="9">
        <v>45141</v>
      </c>
      <c r="C46">
        <f t="shared" ca="1" si="7"/>
        <v>31</v>
      </c>
      <c r="D46">
        <v>390</v>
      </c>
      <c r="E46">
        <v>171</v>
      </c>
      <c r="F46">
        <v>139</v>
      </c>
      <c r="H46" s="9">
        <v>45091</v>
      </c>
      <c r="I46">
        <f t="shared" ca="1" si="6"/>
        <v>24</v>
      </c>
      <c r="J46" t="s">
        <v>2255</v>
      </c>
      <c r="K46">
        <v>243</v>
      </c>
      <c r="AA46" s="9"/>
    </row>
    <row r="47" spans="2:27" x14ac:dyDescent="0.25">
      <c r="B47" s="9">
        <v>45142</v>
      </c>
      <c r="C47">
        <f t="shared" ca="1" si="7"/>
        <v>31</v>
      </c>
      <c r="D47">
        <v>383</v>
      </c>
      <c r="E47">
        <v>153</v>
      </c>
      <c r="F47">
        <v>148</v>
      </c>
      <c r="H47" s="9">
        <v>45091</v>
      </c>
      <c r="I47">
        <f t="shared" ca="1" si="6"/>
        <v>24</v>
      </c>
      <c r="J47" t="s">
        <v>2259</v>
      </c>
      <c r="K47">
        <v>6</v>
      </c>
      <c r="AA47" s="9"/>
    </row>
    <row r="48" spans="2:27" x14ac:dyDescent="0.25">
      <c r="B48" s="9">
        <v>45145</v>
      </c>
      <c r="C48">
        <f t="shared" ca="1" si="7"/>
        <v>32</v>
      </c>
      <c r="D48">
        <v>386</v>
      </c>
      <c r="E48">
        <v>166</v>
      </c>
      <c r="F48">
        <v>138</v>
      </c>
      <c r="H48" s="9">
        <v>45091</v>
      </c>
      <c r="I48">
        <f t="shared" ca="1" si="6"/>
        <v>24</v>
      </c>
      <c r="J48" t="s">
        <v>2256</v>
      </c>
      <c r="K48">
        <v>50</v>
      </c>
      <c r="AA48" s="9"/>
    </row>
    <row r="49" spans="2:27" x14ac:dyDescent="0.25">
      <c r="B49" s="9">
        <v>45146</v>
      </c>
      <c r="C49">
        <f t="shared" ca="1" si="7"/>
        <v>32</v>
      </c>
      <c r="D49">
        <v>384</v>
      </c>
      <c r="E49">
        <v>152</v>
      </c>
      <c r="F49">
        <v>147</v>
      </c>
      <c r="H49" s="9">
        <v>45091</v>
      </c>
      <c r="I49">
        <f t="shared" ca="1" si="6"/>
        <v>24</v>
      </c>
      <c r="J49" t="s">
        <v>2258</v>
      </c>
      <c r="K49">
        <v>12</v>
      </c>
      <c r="AA49" s="9"/>
    </row>
    <row r="50" spans="2:27" x14ac:dyDescent="0.25">
      <c r="B50" s="9">
        <v>45147</v>
      </c>
      <c r="C50">
        <f t="shared" ca="1" si="7"/>
        <v>32</v>
      </c>
      <c r="D50">
        <v>367</v>
      </c>
      <c r="E50">
        <v>136</v>
      </c>
      <c r="F50">
        <v>144</v>
      </c>
      <c r="H50" s="9">
        <v>45091</v>
      </c>
      <c r="I50">
        <f t="shared" ca="1" si="6"/>
        <v>24</v>
      </c>
      <c r="J50" t="s">
        <v>2257</v>
      </c>
      <c r="K50">
        <v>11</v>
      </c>
      <c r="AA50" s="9"/>
    </row>
    <row r="51" spans="2:27" x14ac:dyDescent="0.25">
      <c r="B51" s="9">
        <v>45148</v>
      </c>
      <c r="C51">
        <f t="shared" ca="1" si="7"/>
        <v>32</v>
      </c>
      <c r="D51">
        <v>369</v>
      </c>
      <c r="E51">
        <v>135</v>
      </c>
      <c r="F51">
        <v>150</v>
      </c>
      <c r="H51" s="9">
        <v>45091</v>
      </c>
      <c r="I51">
        <f t="shared" ca="1" si="6"/>
        <v>24</v>
      </c>
      <c r="J51" t="s">
        <v>2260</v>
      </c>
      <c r="K51">
        <v>1</v>
      </c>
      <c r="AA51" s="9"/>
    </row>
    <row r="52" spans="2:27" x14ac:dyDescent="0.25">
      <c r="B52" s="9">
        <v>45149</v>
      </c>
      <c r="C52">
        <f t="shared" ca="1" si="7"/>
        <v>32</v>
      </c>
      <c r="D52">
        <v>338</v>
      </c>
      <c r="E52">
        <v>117</v>
      </c>
      <c r="F52">
        <v>150</v>
      </c>
      <c r="H52" s="9">
        <v>45092</v>
      </c>
      <c r="I52">
        <f t="shared" ca="1" si="6"/>
        <v>24</v>
      </c>
      <c r="J52" t="s">
        <v>2255</v>
      </c>
      <c r="K52">
        <v>233</v>
      </c>
      <c r="AA52" s="9"/>
    </row>
    <row r="53" spans="2:27" x14ac:dyDescent="0.25">
      <c r="B53" s="9">
        <v>45153</v>
      </c>
      <c r="C53">
        <f t="shared" ref="C53:C66" ca="1" si="8">WEEKNUM(INDIRECT("B"&amp;ROW()))</f>
        <v>33</v>
      </c>
      <c r="D53">
        <v>370</v>
      </c>
      <c r="E53">
        <v>165</v>
      </c>
      <c r="F53">
        <v>133</v>
      </c>
      <c r="H53" s="9">
        <v>45092</v>
      </c>
      <c r="I53">
        <f t="shared" ca="1" si="6"/>
        <v>24</v>
      </c>
      <c r="J53" t="s">
        <v>2259</v>
      </c>
      <c r="K53">
        <v>7</v>
      </c>
      <c r="AA53" s="9"/>
    </row>
    <row r="54" spans="2:27" x14ac:dyDescent="0.25">
      <c r="B54" s="9">
        <v>45154</v>
      </c>
      <c r="C54">
        <f t="shared" ca="1" si="8"/>
        <v>33</v>
      </c>
      <c r="D54">
        <v>382</v>
      </c>
      <c r="E54">
        <v>172</v>
      </c>
      <c r="F54">
        <v>143</v>
      </c>
      <c r="H54" s="9">
        <v>45092</v>
      </c>
      <c r="I54">
        <f t="shared" ca="1" si="6"/>
        <v>24</v>
      </c>
      <c r="J54" t="s">
        <v>2256</v>
      </c>
      <c r="K54">
        <v>52</v>
      </c>
      <c r="AA54" s="9"/>
    </row>
    <row r="55" spans="2:27" x14ac:dyDescent="0.25">
      <c r="B55" s="9">
        <v>45155</v>
      </c>
      <c r="C55">
        <f t="shared" ca="1" si="8"/>
        <v>33</v>
      </c>
      <c r="D55">
        <v>382</v>
      </c>
      <c r="E55">
        <v>164</v>
      </c>
      <c r="F55">
        <v>150</v>
      </c>
      <c r="H55" s="9">
        <v>45092</v>
      </c>
      <c r="I55">
        <f t="shared" ca="1" si="6"/>
        <v>24</v>
      </c>
      <c r="J55" t="s">
        <v>2258</v>
      </c>
      <c r="K55">
        <v>12</v>
      </c>
      <c r="AA55" s="9"/>
    </row>
    <row r="56" spans="2:27" x14ac:dyDescent="0.25">
      <c r="B56" s="9">
        <v>45156</v>
      </c>
      <c r="C56">
        <f t="shared" ca="1" si="8"/>
        <v>33</v>
      </c>
      <c r="D56">
        <v>376</v>
      </c>
      <c r="E56">
        <v>141</v>
      </c>
      <c r="F56">
        <v>162</v>
      </c>
      <c r="H56" s="9">
        <v>45092</v>
      </c>
      <c r="I56">
        <f t="shared" ca="1" si="6"/>
        <v>24</v>
      </c>
      <c r="J56" t="s">
        <v>2257</v>
      </c>
      <c r="K56">
        <v>13</v>
      </c>
      <c r="AA56" s="9"/>
    </row>
    <row r="57" spans="2:27" x14ac:dyDescent="0.25">
      <c r="B57" s="9">
        <v>45159</v>
      </c>
      <c r="C57">
        <f t="shared" ca="1" si="8"/>
        <v>34</v>
      </c>
      <c r="D57">
        <v>346</v>
      </c>
      <c r="E57">
        <v>117</v>
      </c>
      <c r="F57">
        <v>154</v>
      </c>
      <c r="H57" s="9">
        <v>45092</v>
      </c>
      <c r="I57">
        <f t="shared" ca="1" si="6"/>
        <v>24</v>
      </c>
      <c r="J57" t="s">
        <v>2260</v>
      </c>
      <c r="K57">
        <v>1</v>
      </c>
    </row>
    <row r="58" spans="2:27" x14ac:dyDescent="0.25">
      <c r="B58" s="9">
        <v>45160</v>
      </c>
      <c r="C58">
        <f t="shared" ca="1" si="8"/>
        <v>34</v>
      </c>
      <c r="D58">
        <v>343</v>
      </c>
      <c r="E58">
        <v>122</v>
      </c>
      <c r="F58">
        <v>144</v>
      </c>
      <c r="H58" s="9">
        <v>45093</v>
      </c>
      <c r="I58">
        <f t="shared" ca="1" si="6"/>
        <v>24</v>
      </c>
      <c r="J58" t="s">
        <v>2255</v>
      </c>
      <c r="K58">
        <v>234</v>
      </c>
    </row>
    <row r="59" spans="2:27" x14ac:dyDescent="0.25">
      <c r="B59" s="9">
        <v>45161</v>
      </c>
      <c r="C59">
        <f t="shared" ca="1" si="8"/>
        <v>34</v>
      </c>
      <c r="D59">
        <v>349</v>
      </c>
      <c r="E59">
        <v>118</v>
      </c>
      <c r="F59">
        <v>150</v>
      </c>
      <c r="H59" s="9">
        <v>45093</v>
      </c>
      <c r="I59">
        <f t="shared" ca="1" si="6"/>
        <v>24</v>
      </c>
      <c r="J59" t="s">
        <v>2259</v>
      </c>
      <c r="K59">
        <v>6</v>
      </c>
    </row>
    <row r="60" spans="2:27" x14ac:dyDescent="0.25">
      <c r="B60" s="9">
        <v>45162</v>
      </c>
      <c r="C60">
        <f t="shared" ca="1" si="8"/>
        <v>34</v>
      </c>
      <c r="D60">
        <v>346</v>
      </c>
      <c r="E60">
        <v>110</v>
      </c>
      <c r="F60">
        <v>157</v>
      </c>
      <c r="H60" s="9">
        <v>45093</v>
      </c>
      <c r="I60">
        <f t="shared" ca="1" si="6"/>
        <v>24</v>
      </c>
      <c r="J60" t="s">
        <v>2256</v>
      </c>
      <c r="K60">
        <v>55</v>
      </c>
    </row>
    <row r="61" spans="2:27" x14ac:dyDescent="0.25">
      <c r="B61" s="9">
        <v>45163</v>
      </c>
      <c r="C61">
        <f t="shared" ca="1" si="8"/>
        <v>34</v>
      </c>
      <c r="D61">
        <v>359</v>
      </c>
      <c r="E61">
        <v>98</v>
      </c>
      <c r="F61">
        <v>0</v>
      </c>
      <c r="H61" s="9">
        <v>45093</v>
      </c>
      <c r="I61">
        <f t="shared" ca="1" si="6"/>
        <v>24</v>
      </c>
      <c r="J61" t="s">
        <v>2258</v>
      </c>
      <c r="K61">
        <v>10</v>
      </c>
    </row>
    <row r="62" spans="2:27" x14ac:dyDescent="0.25">
      <c r="B62" s="9">
        <v>45166</v>
      </c>
      <c r="C62">
        <f t="shared" ca="1" si="8"/>
        <v>35</v>
      </c>
      <c r="D62">
        <v>364</v>
      </c>
      <c r="E62">
        <v>110</v>
      </c>
      <c r="F62">
        <v>163</v>
      </c>
      <c r="H62" s="9">
        <v>45093</v>
      </c>
      <c r="I62">
        <f t="shared" ca="1" si="6"/>
        <v>24</v>
      </c>
      <c r="J62" t="s">
        <v>2257</v>
      </c>
      <c r="K62">
        <v>14</v>
      </c>
    </row>
    <row r="63" spans="2:27" x14ac:dyDescent="0.25">
      <c r="B63" s="9">
        <v>45167</v>
      </c>
      <c r="C63">
        <f t="shared" ca="1" si="8"/>
        <v>35</v>
      </c>
      <c r="D63">
        <v>368</v>
      </c>
      <c r="E63">
        <v>126</v>
      </c>
      <c r="F63">
        <v>161</v>
      </c>
      <c r="H63" s="9">
        <v>45093</v>
      </c>
      <c r="I63">
        <f t="shared" ca="1" si="6"/>
        <v>24</v>
      </c>
      <c r="J63" t="s">
        <v>2260</v>
      </c>
      <c r="K63">
        <v>1</v>
      </c>
    </row>
    <row r="64" spans="2:27" x14ac:dyDescent="0.25">
      <c r="B64" s="9">
        <v>45168</v>
      </c>
      <c r="C64">
        <f t="shared" ca="1" si="8"/>
        <v>35</v>
      </c>
      <c r="D64">
        <v>357</v>
      </c>
      <c r="E64">
        <v>111</v>
      </c>
      <c r="F64">
        <v>159</v>
      </c>
      <c r="H64" s="9">
        <v>45096</v>
      </c>
      <c r="I64">
        <f t="shared" ref="I64:I93" ca="1" si="9">WEEKNUM(INDIRECT("H"&amp;ROW()))</f>
        <v>25</v>
      </c>
      <c r="J64" t="s">
        <v>2255</v>
      </c>
      <c r="K64">
        <v>233</v>
      </c>
    </row>
    <row r="65" spans="2:11" x14ac:dyDescent="0.25">
      <c r="B65" s="9">
        <v>45169</v>
      </c>
      <c r="C65">
        <f t="shared" ca="1" si="8"/>
        <v>35</v>
      </c>
      <c r="D65">
        <v>366</v>
      </c>
      <c r="E65">
        <v>120</v>
      </c>
      <c r="F65">
        <v>159</v>
      </c>
      <c r="H65" s="9">
        <v>45096</v>
      </c>
      <c r="I65">
        <f t="shared" ca="1" si="9"/>
        <v>25</v>
      </c>
      <c r="J65" t="s">
        <v>2259</v>
      </c>
      <c r="K65">
        <v>6</v>
      </c>
    </row>
    <row r="66" spans="2:11" x14ac:dyDescent="0.25">
      <c r="B66" s="9">
        <v>45170</v>
      </c>
      <c r="C66">
        <f t="shared" ca="1" si="8"/>
        <v>35</v>
      </c>
      <c r="D66">
        <v>349</v>
      </c>
      <c r="E66">
        <v>105</v>
      </c>
      <c r="F66">
        <v>157</v>
      </c>
      <c r="H66" s="9">
        <v>45096</v>
      </c>
      <c r="I66">
        <f t="shared" ca="1" si="9"/>
        <v>25</v>
      </c>
      <c r="J66" t="s">
        <v>2256</v>
      </c>
      <c r="K66">
        <v>54</v>
      </c>
    </row>
    <row r="67" spans="2:11" x14ac:dyDescent="0.25">
      <c r="B67" s="9">
        <v>45180</v>
      </c>
      <c r="C67">
        <f t="shared" ref="C67:C79" ca="1" si="10">WEEKNUM(INDIRECT("B"&amp;ROW()))</f>
        <v>37</v>
      </c>
      <c r="D67">
        <v>312</v>
      </c>
      <c r="E67">
        <v>55</v>
      </c>
      <c r="F67">
        <v>168</v>
      </c>
      <c r="H67" s="9">
        <v>45096</v>
      </c>
      <c r="I67">
        <f t="shared" ca="1" si="9"/>
        <v>25</v>
      </c>
      <c r="J67" t="s">
        <v>2258</v>
      </c>
      <c r="K67">
        <v>12</v>
      </c>
    </row>
    <row r="68" spans="2:11" x14ac:dyDescent="0.25">
      <c r="B68" s="9">
        <v>45181</v>
      </c>
      <c r="C68">
        <f t="shared" ca="1" si="10"/>
        <v>37</v>
      </c>
      <c r="D68">
        <v>305</v>
      </c>
      <c r="E68">
        <v>66</v>
      </c>
      <c r="F68">
        <v>162</v>
      </c>
      <c r="H68" s="9">
        <v>45096</v>
      </c>
      <c r="I68">
        <f t="shared" ca="1" si="9"/>
        <v>25</v>
      </c>
      <c r="J68" t="s">
        <v>2257</v>
      </c>
      <c r="K68">
        <v>14</v>
      </c>
    </row>
    <row r="69" spans="2:11" x14ac:dyDescent="0.25">
      <c r="B69" s="9">
        <v>45182</v>
      </c>
      <c r="C69">
        <f t="shared" ca="1" si="10"/>
        <v>37</v>
      </c>
      <c r="D69">
        <v>306</v>
      </c>
      <c r="E69">
        <v>73</v>
      </c>
      <c r="F69">
        <v>162</v>
      </c>
      <c r="H69" s="9">
        <v>45096</v>
      </c>
      <c r="I69">
        <f t="shared" ca="1" si="9"/>
        <v>25</v>
      </c>
      <c r="J69" t="s">
        <v>2260</v>
      </c>
      <c r="K69">
        <v>1</v>
      </c>
    </row>
    <row r="70" spans="2:11" x14ac:dyDescent="0.25">
      <c r="B70" s="9">
        <v>45183</v>
      </c>
      <c r="C70">
        <f t="shared" ca="1" si="10"/>
        <v>37</v>
      </c>
      <c r="D70">
        <v>302</v>
      </c>
      <c r="E70">
        <v>81</v>
      </c>
      <c r="F70">
        <v>153</v>
      </c>
      <c r="H70" s="9">
        <v>45097</v>
      </c>
      <c r="I70">
        <f t="shared" ca="1" si="9"/>
        <v>25</v>
      </c>
      <c r="J70" t="s">
        <v>2255</v>
      </c>
      <c r="K70">
        <v>254</v>
      </c>
    </row>
    <row r="71" spans="2:11" x14ac:dyDescent="0.25">
      <c r="B71" s="9">
        <v>45187</v>
      </c>
      <c r="C71">
        <f t="shared" ca="1" si="10"/>
        <v>38</v>
      </c>
      <c r="D71">
        <v>315</v>
      </c>
      <c r="E71">
        <v>126</v>
      </c>
      <c r="F71">
        <v>122</v>
      </c>
      <c r="H71" s="9">
        <v>45097</v>
      </c>
      <c r="I71">
        <f t="shared" ca="1" si="9"/>
        <v>25</v>
      </c>
      <c r="J71" t="s">
        <v>2259</v>
      </c>
      <c r="K71">
        <v>6</v>
      </c>
    </row>
    <row r="72" spans="2:11" x14ac:dyDescent="0.25">
      <c r="B72" s="9">
        <v>45188</v>
      </c>
      <c r="C72">
        <f t="shared" ca="1" si="10"/>
        <v>38</v>
      </c>
      <c r="D72">
        <v>299</v>
      </c>
      <c r="E72">
        <v>115</v>
      </c>
      <c r="F72">
        <v>119</v>
      </c>
      <c r="H72" s="9">
        <v>45097</v>
      </c>
      <c r="I72">
        <f t="shared" ca="1" si="9"/>
        <v>25</v>
      </c>
      <c r="J72" t="s">
        <v>2256</v>
      </c>
      <c r="K72">
        <v>57</v>
      </c>
    </row>
    <row r="73" spans="2:11" x14ac:dyDescent="0.25">
      <c r="B73" s="9">
        <v>45189</v>
      </c>
      <c r="C73">
        <f t="shared" ca="1" si="10"/>
        <v>38</v>
      </c>
      <c r="D73">
        <v>305</v>
      </c>
      <c r="E73">
        <v>104</v>
      </c>
      <c r="F73">
        <v>139</v>
      </c>
      <c r="H73" s="9">
        <v>45097</v>
      </c>
      <c r="I73">
        <f t="shared" ca="1" si="9"/>
        <v>25</v>
      </c>
      <c r="J73" t="s">
        <v>2258</v>
      </c>
      <c r="K73">
        <v>13</v>
      </c>
    </row>
    <row r="74" spans="2:11" x14ac:dyDescent="0.25">
      <c r="B74" s="9">
        <v>45190</v>
      </c>
      <c r="C74">
        <f t="shared" ca="1" si="10"/>
        <v>38</v>
      </c>
      <c r="D74">
        <v>298</v>
      </c>
      <c r="E74">
        <v>91</v>
      </c>
      <c r="F74">
        <v>0</v>
      </c>
      <c r="H74" s="9">
        <v>45097</v>
      </c>
      <c r="I74">
        <f t="shared" ca="1" si="9"/>
        <v>25</v>
      </c>
      <c r="J74" t="s">
        <v>2257</v>
      </c>
      <c r="K74">
        <v>14</v>
      </c>
    </row>
    <row r="75" spans="2:11" x14ac:dyDescent="0.25">
      <c r="B75" s="9">
        <v>45191</v>
      </c>
      <c r="C75">
        <f t="shared" ca="1" si="10"/>
        <v>38</v>
      </c>
      <c r="D75">
        <v>353</v>
      </c>
      <c r="E75">
        <v>91</v>
      </c>
      <c r="F75">
        <v>198</v>
      </c>
      <c r="H75" s="9">
        <v>45097</v>
      </c>
      <c r="I75">
        <f t="shared" ca="1" si="9"/>
        <v>25</v>
      </c>
      <c r="J75" t="s">
        <v>2260</v>
      </c>
      <c r="K75">
        <v>1</v>
      </c>
    </row>
    <row r="76" spans="2:11" x14ac:dyDescent="0.25">
      <c r="B76" s="9">
        <v>45194</v>
      </c>
      <c r="C76">
        <f t="shared" ca="1" si="10"/>
        <v>39</v>
      </c>
      <c r="D76">
        <v>351</v>
      </c>
      <c r="E76">
        <v>97</v>
      </c>
      <c r="F76">
        <v>188</v>
      </c>
      <c r="H76" s="9">
        <v>45098</v>
      </c>
      <c r="I76">
        <f t="shared" ca="1" si="9"/>
        <v>25</v>
      </c>
      <c r="J76" t="s">
        <v>2255</v>
      </c>
      <c r="K76">
        <v>245</v>
      </c>
    </row>
    <row r="77" spans="2:11" x14ac:dyDescent="0.25">
      <c r="B77" s="9">
        <v>45196</v>
      </c>
      <c r="C77">
        <f t="shared" ca="1" si="10"/>
        <v>39</v>
      </c>
      <c r="D77">
        <v>381</v>
      </c>
      <c r="E77">
        <v>118</v>
      </c>
      <c r="F77">
        <v>194</v>
      </c>
      <c r="H77" s="9">
        <v>45098</v>
      </c>
      <c r="I77">
        <f t="shared" ca="1" si="9"/>
        <v>25</v>
      </c>
      <c r="J77" t="s">
        <v>2259</v>
      </c>
      <c r="K77">
        <v>6</v>
      </c>
    </row>
    <row r="78" spans="2:11" x14ac:dyDescent="0.25">
      <c r="B78" s="9">
        <v>45197</v>
      </c>
      <c r="C78">
        <f t="shared" ca="1" si="10"/>
        <v>39</v>
      </c>
      <c r="D78">
        <v>375</v>
      </c>
      <c r="E78">
        <v>142</v>
      </c>
      <c r="F78">
        <v>163</v>
      </c>
      <c r="H78" s="9">
        <v>45098</v>
      </c>
      <c r="I78">
        <f t="shared" ca="1" si="9"/>
        <v>25</v>
      </c>
      <c r="J78" t="s">
        <v>2256</v>
      </c>
      <c r="K78">
        <v>66</v>
      </c>
    </row>
    <row r="79" spans="2:11" x14ac:dyDescent="0.25">
      <c r="B79" s="9">
        <v>45198</v>
      </c>
      <c r="C79">
        <f t="shared" ca="1" si="10"/>
        <v>39</v>
      </c>
      <c r="D79">
        <v>395</v>
      </c>
      <c r="E79">
        <v>153</v>
      </c>
      <c r="F79">
        <v>171</v>
      </c>
      <c r="H79" s="9">
        <v>45098</v>
      </c>
      <c r="I79">
        <f t="shared" ca="1" si="9"/>
        <v>25</v>
      </c>
      <c r="J79" t="s">
        <v>2258</v>
      </c>
      <c r="K79">
        <v>12</v>
      </c>
    </row>
    <row r="80" spans="2:11" x14ac:dyDescent="0.25">
      <c r="B80" s="9">
        <v>45201</v>
      </c>
      <c r="C80">
        <f t="shared" ref="C80:C97" ca="1" si="11">WEEKNUM(INDIRECT("B"&amp;ROW()))</f>
        <v>40</v>
      </c>
      <c r="D80">
        <v>401</v>
      </c>
      <c r="E80">
        <v>168</v>
      </c>
      <c r="F80">
        <v>154</v>
      </c>
      <c r="H80" s="9">
        <v>45098</v>
      </c>
      <c r="I80">
        <f t="shared" ca="1" si="9"/>
        <v>25</v>
      </c>
      <c r="J80" t="s">
        <v>2257</v>
      </c>
      <c r="K80">
        <v>14</v>
      </c>
    </row>
    <row r="81" spans="2:11" x14ac:dyDescent="0.25">
      <c r="B81" s="9">
        <v>45202</v>
      </c>
      <c r="C81">
        <f t="shared" ca="1" si="11"/>
        <v>40</v>
      </c>
      <c r="D81">
        <v>384</v>
      </c>
      <c r="E81">
        <v>163</v>
      </c>
      <c r="F81">
        <v>140</v>
      </c>
      <c r="H81" s="9">
        <v>45098</v>
      </c>
      <c r="I81">
        <f t="shared" ca="1" si="9"/>
        <v>25</v>
      </c>
      <c r="J81" t="s">
        <v>2260</v>
      </c>
      <c r="K81">
        <v>1</v>
      </c>
    </row>
    <row r="82" spans="2:11" x14ac:dyDescent="0.25">
      <c r="B82" s="9">
        <v>45203</v>
      </c>
      <c r="C82">
        <f t="shared" ca="1" si="11"/>
        <v>40</v>
      </c>
      <c r="D82">
        <v>380</v>
      </c>
      <c r="E82">
        <v>156</v>
      </c>
      <c r="F82">
        <v>149</v>
      </c>
      <c r="H82" s="9">
        <v>45099</v>
      </c>
      <c r="I82">
        <f t="shared" ca="1" si="9"/>
        <v>25</v>
      </c>
      <c r="J82" t="s">
        <v>2255</v>
      </c>
      <c r="K82">
        <v>248</v>
      </c>
    </row>
    <row r="83" spans="2:11" x14ac:dyDescent="0.25">
      <c r="B83" s="9">
        <v>45204</v>
      </c>
      <c r="C83">
        <f t="shared" ca="1" si="11"/>
        <v>40</v>
      </c>
      <c r="D83">
        <v>378</v>
      </c>
      <c r="E83">
        <v>166</v>
      </c>
      <c r="F83">
        <v>142</v>
      </c>
      <c r="H83" s="9">
        <v>45099</v>
      </c>
      <c r="I83">
        <f t="shared" ca="1" si="9"/>
        <v>25</v>
      </c>
      <c r="J83" t="s">
        <v>2259</v>
      </c>
      <c r="K83">
        <v>3</v>
      </c>
    </row>
    <row r="84" spans="2:11" x14ac:dyDescent="0.25">
      <c r="B84" s="9">
        <v>45205</v>
      </c>
      <c r="C84">
        <f t="shared" ca="1" si="11"/>
        <v>40</v>
      </c>
      <c r="D84">
        <v>400</v>
      </c>
      <c r="E84">
        <v>145</v>
      </c>
      <c r="F84">
        <v>177</v>
      </c>
      <c r="H84" s="9">
        <v>45099</v>
      </c>
      <c r="I84">
        <f t="shared" ca="1" si="9"/>
        <v>25</v>
      </c>
      <c r="J84" t="s">
        <v>2256</v>
      </c>
      <c r="K84">
        <v>65</v>
      </c>
    </row>
    <row r="85" spans="2:11" x14ac:dyDescent="0.25">
      <c r="B85" s="9">
        <v>45208</v>
      </c>
      <c r="C85">
        <f t="shared" ca="1" si="11"/>
        <v>41</v>
      </c>
      <c r="D85">
        <v>381</v>
      </c>
      <c r="E85">
        <v>120</v>
      </c>
      <c r="F85">
        <v>171</v>
      </c>
      <c r="H85" s="9">
        <v>45099</v>
      </c>
      <c r="I85">
        <f t="shared" ca="1" si="9"/>
        <v>25</v>
      </c>
      <c r="J85" t="s">
        <v>2258</v>
      </c>
      <c r="K85">
        <v>14</v>
      </c>
    </row>
    <row r="86" spans="2:11" x14ac:dyDescent="0.25">
      <c r="B86" s="9">
        <v>45209</v>
      </c>
      <c r="C86">
        <f t="shared" ca="1" si="11"/>
        <v>41</v>
      </c>
      <c r="D86">
        <v>369</v>
      </c>
      <c r="E86">
        <v>117</v>
      </c>
      <c r="F86">
        <v>159</v>
      </c>
      <c r="H86" s="9">
        <v>45099</v>
      </c>
      <c r="I86">
        <f t="shared" ca="1" si="9"/>
        <v>25</v>
      </c>
      <c r="J86" t="s">
        <v>2257</v>
      </c>
      <c r="K86">
        <v>13</v>
      </c>
    </row>
    <row r="87" spans="2:11" x14ac:dyDescent="0.25">
      <c r="B87" s="9">
        <v>45210</v>
      </c>
      <c r="C87">
        <f t="shared" ca="1" si="11"/>
        <v>41</v>
      </c>
      <c r="D87">
        <v>368</v>
      </c>
      <c r="E87">
        <v>123</v>
      </c>
      <c r="F87">
        <v>161</v>
      </c>
      <c r="H87" s="9">
        <v>45099</v>
      </c>
      <c r="I87">
        <f t="shared" ca="1" si="9"/>
        <v>25</v>
      </c>
      <c r="J87" t="s">
        <v>2260</v>
      </c>
      <c r="K87">
        <v>1</v>
      </c>
    </row>
    <row r="88" spans="2:11" x14ac:dyDescent="0.25">
      <c r="B88" s="9">
        <v>45211</v>
      </c>
      <c r="C88">
        <f t="shared" ca="1" si="11"/>
        <v>41</v>
      </c>
      <c r="D88">
        <v>376</v>
      </c>
      <c r="E88">
        <v>142</v>
      </c>
      <c r="F88">
        <v>144</v>
      </c>
      <c r="H88" s="9">
        <v>45100</v>
      </c>
      <c r="I88">
        <f t="shared" ca="1" si="9"/>
        <v>25</v>
      </c>
      <c r="J88" t="s">
        <v>2255</v>
      </c>
      <c r="K88">
        <v>241</v>
      </c>
    </row>
    <row r="89" spans="2:11" x14ac:dyDescent="0.25">
      <c r="B89" s="9">
        <v>45212</v>
      </c>
      <c r="C89">
        <f t="shared" ca="1" si="11"/>
        <v>41</v>
      </c>
      <c r="D89">
        <v>374</v>
      </c>
      <c r="E89">
        <v>136</v>
      </c>
      <c r="F89">
        <v>149</v>
      </c>
      <c r="H89" s="9">
        <v>45100</v>
      </c>
      <c r="I89">
        <f t="shared" ca="1" si="9"/>
        <v>25</v>
      </c>
      <c r="J89" t="s">
        <v>2259</v>
      </c>
      <c r="K89">
        <v>3</v>
      </c>
    </row>
    <row r="90" spans="2:11" x14ac:dyDescent="0.25">
      <c r="B90" s="9">
        <v>45215</v>
      </c>
      <c r="C90">
        <f t="shared" ca="1" si="11"/>
        <v>42</v>
      </c>
      <c r="D90">
        <v>366</v>
      </c>
      <c r="E90">
        <v>120</v>
      </c>
      <c r="F90">
        <v>145</v>
      </c>
      <c r="H90" s="9">
        <v>45100</v>
      </c>
      <c r="I90">
        <f t="shared" ca="1" si="9"/>
        <v>25</v>
      </c>
      <c r="J90" t="s">
        <v>2256</v>
      </c>
      <c r="K90">
        <v>64</v>
      </c>
    </row>
    <row r="91" spans="2:11" x14ac:dyDescent="0.25">
      <c r="B91" s="9">
        <v>45216</v>
      </c>
      <c r="C91">
        <f t="shared" ca="1" si="11"/>
        <v>42</v>
      </c>
      <c r="D91">
        <v>360</v>
      </c>
      <c r="E91">
        <v>111</v>
      </c>
      <c r="F91">
        <v>153</v>
      </c>
      <c r="H91" s="9">
        <v>45100</v>
      </c>
      <c r="I91">
        <f t="shared" ca="1" si="9"/>
        <v>25</v>
      </c>
      <c r="J91" t="s">
        <v>2258</v>
      </c>
      <c r="K91">
        <v>18</v>
      </c>
    </row>
    <row r="92" spans="2:11" x14ac:dyDescent="0.25">
      <c r="B92" s="9">
        <v>45217</v>
      </c>
      <c r="C92">
        <f t="shared" ca="1" si="11"/>
        <v>42</v>
      </c>
      <c r="D92">
        <v>369</v>
      </c>
      <c r="E92">
        <v>81</v>
      </c>
      <c r="F92">
        <v>201</v>
      </c>
      <c r="H92" s="9">
        <v>45100</v>
      </c>
      <c r="I92">
        <f t="shared" ca="1" si="9"/>
        <v>25</v>
      </c>
      <c r="J92" t="s">
        <v>2257</v>
      </c>
      <c r="K92">
        <v>13</v>
      </c>
    </row>
    <row r="93" spans="2:11" x14ac:dyDescent="0.25">
      <c r="B93" s="9">
        <v>45218</v>
      </c>
      <c r="C93">
        <f t="shared" ca="1" si="11"/>
        <v>42</v>
      </c>
      <c r="D93">
        <v>360</v>
      </c>
      <c r="E93">
        <v>42</v>
      </c>
      <c r="F93">
        <v>232</v>
      </c>
      <c r="H93" s="9">
        <v>45100</v>
      </c>
      <c r="I93">
        <f t="shared" ca="1" si="9"/>
        <v>25</v>
      </c>
      <c r="J93" t="s">
        <v>2260</v>
      </c>
      <c r="K93">
        <v>2</v>
      </c>
    </row>
    <row r="94" spans="2:11" x14ac:dyDescent="0.25">
      <c r="B94" s="9">
        <v>45219</v>
      </c>
      <c r="C94">
        <f t="shared" ca="1" si="11"/>
        <v>42</v>
      </c>
      <c r="D94">
        <v>369</v>
      </c>
      <c r="E94">
        <v>116</v>
      </c>
      <c r="F94">
        <v>163</v>
      </c>
      <c r="H94" s="9">
        <v>45103</v>
      </c>
      <c r="I94">
        <f t="shared" ref="I94:I99" ca="1" si="12">WEEKNUM(INDIRECT("H"&amp;ROW()))</f>
        <v>26</v>
      </c>
      <c r="J94" t="s">
        <v>2255</v>
      </c>
      <c r="K94">
        <v>228</v>
      </c>
    </row>
    <row r="95" spans="2:11" x14ac:dyDescent="0.25">
      <c r="B95" s="9">
        <v>45222</v>
      </c>
      <c r="C95">
        <f t="shared" ca="1" si="11"/>
        <v>43</v>
      </c>
      <c r="D95">
        <v>353</v>
      </c>
      <c r="E95">
        <v>117</v>
      </c>
      <c r="F95">
        <v>138</v>
      </c>
      <c r="H95" s="9">
        <v>45103</v>
      </c>
      <c r="I95">
        <f t="shared" ca="1" si="12"/>
        <v>26</v>
      </c>
      <c r="J95" t="s">
        <v>2259</v>
      </c>
      <c r="K95">
        <v>3</v>
      </c>
    </row>
    <row r="96" spans="2:11" x14ac:dyDescent="0.25">
      <c r="B96" s="9">
        <v>45223</v>
      </c>
      <c r="C96">
        <f t="shared" ca="1" si="11"/>
        <v>43</v>
      </c>
      <c r="D96">
        <v>337</v>
      </c>
      <c r="E96">
        <v>112</v>
      </c>
      <c r="F96">
        <v>138</v>
      </c>
      <c r="H96" s="9">
        <v>45103</v>
      </c>
      <c r="I96">
        <f t="shared" ca="1" si="12"/>
        <v>26</v>
      </c>
      <c r="J96" t="s">
        <v>2256</v>
      </c>
      <c r="K96">
        <v>57</v>
      </c>
    </row>
    <row r="97" spans="2:11" x14ac:dyDescent="0.25">
      <c r="B97" s="9">
        <v>45224</v>
      </c>
      <c r="C97">
        <f t="shared" ca="1" si="11"/>
        <v>43</v>
      </c>
      <c r="D97">
        <v>338</v>
      </c>
      <c r="E97">
        <v>113</v>
      </c>
      <c r="F97">
        <v>139</v>
      </c>
      <c r="H97" s="9">
        <v>45103</v>
      </c>
      <c r="I97">
        <f t="shared" ca="1" si="12"/>
        <v>26</v>
      </c>
      <c r="J97" t="s">
        <v>2258</v>
      </c>
      <c r="K97">
        <v>18</v>
      </c>
    </row>
    <row r="98" spans="2:11" x14ac:dyDescent="0.25">
      <c r="B98" s="9">
        <v>45229</v>
      </c>
      <c r="C98">
        <f t="shared" ref="C98:C107" ca="1" si="13">WEEKNUM(INDIRECT("B"&amp;ROW()))</f>
        <v>44</v>
      </c>
      <c r="D98">
        <v>319</v>
      </c>
      <c r="E98">
        <v>121</v>
      </c>
      <c r="F98">
        <v>118</v>
      </c>
      <c r="H98" s="9">
        <v>45103</v>
      </c>
      <c r="I98">
        <f t="shared" ca="1" si="12"/>
        <v>26</v>
      </c>
      <c r="J98" t="s">
        <v>2257</v>
      </c>
      <c r="K98">
        <v>12</v>
      </c>
    </row>
    <row r="99" spans="2:11" x14ac:dyDescent="0.25">
      <c r="B99" s="9">
        <v>45230</v>
      </c>
      <c r="C99">
        <f t="shared" ca="1" si="13"/>
        <v>44</v>
      </c>
      <c r="D99">
        <v>317</v>
      </c>
      <c r="E99">
        <v>122</v>
      </c>
      <c r="F99">
        <v>117</v>
      </c>
      <c r="H99" s="9">
        <v>45103</v>
      </c>
      <c r="I99">
        <f t="shared" ca="1" si="12"/>
        <v>26</v>
      </c>
      <c r="J99" t="s">
        <v>2260</v>
      </c>
      <c r="K99">
        <v>2</v>
      </c>
    </row>
    <row r="100" spans="2:11" x14ac:dyDescent="0.25">
      <c r="B100" s="9">
        <v>45231</v>
      </c>
      <c r="C100">
        <f t="shared" ca="1" si="13"/>
        <v>44</v>
      </c>
      <c r="D100">
        <v>300</v>
      </c>
      <c r="E100">
        <v>81</v>
      </c>
      <c r="F100">
        <v>155</v>
      </c>
      <c r="H100" s="9">
        <v>45104</v>
      </c>
      <c r="I100">
        <f t="shared" ref="I100:I117" ca="1" si="14">WEEKNUM(INDIRECT("H"&amp;ROW()))</f>
        <v>26</v>
      </c>
      <c r="J100" t="s">
        <v>2255</v>
      </c>
      <c r="K100">
        <v>252</v>
      </c>
    </row>
    <row r="101" spans="2:11" x14ac:dyDescent="0.25">
      <c r="B101" s="9">
        <v>45232</v>
      </c>
      <c r="C101">
        <f t="shared" ca="1" si="13"/>
        <v>44</v>
      </c>
      <c r="D101">
        <v>317</v>
      </c>
      <c r="E101">
        <v>112</v>
      </c>
      <c r="F101">
        <v>136</v>
      </c>
      <c r="H101" s="9">
        <v>45104</v>
      </c>
      <c r="I101">
        <f t="shared" ca="1" si="14"/>
        <v>26</v>
      </c>
      <c r="J101" t="s">
        <v>2259</v>
      </c>
      <c r="K101">
        <v>3</v>
      </c>
    </row>
    <row r="102" spans="2:11" x14ac:dyDescent="0.25">
      <c r="B102" s="9">
        <v>45233</v>
      </c>
      <c r="C102">
        <f t="shared" ca="1" si="13"/>
        <v>44</v>
      </c>
      <c r="D102">
        <v>316</v>
      </c>
      <c r="E102">
        <v>101</v>
      </c>
      <c r="F102">
        <v>139</v>
      </c>
      <c r="H102" s="9">
        <v>45104</v>
      </c>
      <c r="I102">
        <f t="shared" ca="1" si="14"/>
        <v>26</v>
      </c>
      <c r="J102" t="s">
        <v>2256</v>
      </c>
      <c r="K102">
        <v>60</v>
      </c>
    </row>
    <row r="103" spans="2:11" x14ac:dyDescent="0.25">
      <c r="B103" s="9">
        <v>45236</v>
      </c>
      <c r="C103">
        <f t="shared" ca="1" si="13"/>
        <v>45</v>
      </c>
      <c r="D103">
        <v>343</v>
      </c>
      <c r="E103">
        <v>120</v>
      </c>
      <c r="F103">
        <v>138</v>
      </c>
      <c r="H103" s="9">
        <v>45104</v>
      </c>
      <c r="I103">
        <f t="shared" ca="1" si="14"/>
        <v>26</v>
      </c>
      <c r="J103" t="s">
        <v>2258</v>
      </c>
      <c r="K103">
        <v>18</v>
      </c>
    </row>
    <row r="104" spans="2:11" x14ac:dyDescent="0.25">
      <c r="B104" s="9">
        <v>45237</v>
      </c>
      <c r="C104">
        <f t="shared" ca="1" si="13"/>
        <v>45</v>
      </c>
      <c r="D104">
        <v>362</v>
      </c>
      <c r="E104">
        <v>132</v>
      </c>
      <c r="F104">
        <v>147</v>
      </c>
      <c r="H104" s="9">
        <v>45104</v>
      </c>
      <c r="I104">
        <f t="shared" ca="1" si="14"/>
        <v>26</v>
      </c>
      <c r="J104" t="s">
        <v>2257</v>
      </c>
      <c r="K104">
        <v>12</v>
      </c>
    </row>
    <row r="105" spans="2:11" x14ac:dyDescent="0.25">
      <c r="B105" s="9">
        <v>45238</v>
      </c>
      <c r="C105">
        <f t="shared" ca="1" si="13"/>
        <v>45</v>
      </c>
      <c r="D105">
        <v>369</v>
      </c>
      <c r="E105">
        <v>117</v>
      </c>
      <c r="F105">
        <v>166</v>
      </c>
      <c r="H105" s="9">
        <v>45104</v>
      </c>
      <c r="I105">
        <f t="shared" ca="1" si="14"/>
        <v>26</v>
      </c>
      <c r="J105" t="s">
        <v>2260</v>
      </c>
      <c r="K105">
        <v>1</v>
      </c>
    </row>
    <row r="106" spans="2:11" x14ac:dyDescent="0.25">
      <c r="B106" s="9">
        <v>45239</v>
      </c>
      <c r="C106">
        <f t="shared" ca="1" si="13"/>
        <v>45</v>
      </c>
      <c r="D106">
        <v>351</v>
      </c>
      <c r="E106">
        <v>93</v>
      </c>
      <c r="F106">
        <v>178</v>
      </c>
      <c r="H106" s="9">
        <v>45105</v>
      </c>
      <c r="I106">
        <f t="shared" ca="1" si="14"/>
        <v>26</v>
      </c>
      <c r="J106" t="s">
        <v>2255</v>
      </c>
      <c r="K106">
        <v>262</v>
      </c>
    </row>
    <row r="107" spans="2:11" x14ac:dyDescent="0.25">
      <c r="B107" s="9">
        <v>45240</v>
      </c>
      <c r="C107">
        <f t="shared" ca="1" si="13"/>
        <v>45</v>
      </c>
      <c r="D107">
        <v>360</v>
      </c>
      <c r="E107">
        <v>118</v>
      </c>
      <c r="F107">
        <v>149</v>
      </c>
      <c r="H107" s="9">
        <v>45105</v>
      </c>
      <c r="I107">
        <f t="shared" ca="1" si="14"/>
        <v>26</v>
      </c>
      <c r="J107" t="s">
        <v>2259</v>
      </c>
      <c r="K107">
        <v>5</v>
      </c>
    </row>
    <row r="108" spans="2:11" x14ac:dyDescent="0.25">
      <c r="B108" s="9">
        <v>45243</v>
      </c>
      <c r="C108">
        <f t="shared" ref="C108:C117" ca="1" si="15">WEEKNUM(INDIRECT("B"&amp;ROW()))</f>
        <v>46</v>
      </c>
      <c r="D108">
        <v>333</v>
      </c>
      <c r="E108">
        <v>134</v>
      </c>
      <c r="F108">
        <v>123</v>
      </c>
      <c r="H108" s="9">
        <v>45105</v>
      </c>
      <c r="I108">
        <f t="shared" ca="1" si="14"/>
        <v>26</v>
      </c>
      <c r="J108" t="s">
        <v>2256</v>
      </c>
      <c r="K108">
        <v>61</v>
      </c>
    </row>
    <row r="109" spans="2:11" x14ac:dyDescent="0.25">
      <c r="B109" s="9">
        <v>45244</v>
      </c>
      <c r="C109">
        <f t="shared" ca="1" si="15"/>
        <v>46</v>
      </c>
      <c r="D109">
        <v>359</v>
      </c>
      <c r="E109">
        <v>139</v>
      </c>
      <c r="F109">
        <v>138</v>
      </c>
      <c r="H109" s="9">
        <v>45105</v>
      </c>
      <c r="I109">
        <f t="shared" ca="1" si="14"/>
        <v>26</v>
      </c>
      <c r="J109" t="s">
        <v>2258</v>
      </c>
      <c r="K109">
        <v>22</v>
      </c>
    </row>
    <row r="110" spans="2:11" x14ac:dyDescent="0.25">
      <c r="B110" s="9">
        <v>45245</v>
      </c>
      <c r="C110">
        <f t="shared" ca="1" si="15"/>
        <v>46</v>
      </c>
      <c r="D110">
        <v>367</v>
      </c>
      <c r="E110">
        <v>116</v>
      </c>
      <c r="F110">
        <v>164</v>
      </c>
      <c r="H110" s="9">
        <v>45105</v>
      </c>
      <c r="I110">
        <f t="shared" ca="1" si="14"/>
        <v>26</v>
      </c>
      <c r="J110" t="s">
        <v>2257</v>
      </c>
      <c r="K110">
        <v>12</v>
      </c>
    </row>
    <row r="111" spans="2:11" x14ac:dyDescent="0.25">
      <c r="B111" s="9">
        <v>45246</v>
      </c>
      <c r="C111">
        <f t="shared" ca="1" si="15"/>
        <v>46</v>
      </c>
      <c r="D111">
        <v>367</v>
      </c>
      <c r="E111">
        <v>94</v>
      </c>
      <c r="F111">
        <v>190</v>
      </c>
      <c r="H111" s="9">
        <v>45105</v>
      </c>
      <c r="I111">
        <f t="shared" ca="1" si="14"/>
        <v>26</v>
      </c>
      <c r="J111" t="s">
        <v>2260</v>
      </c>
      <c r="K111">
        <v>1</v>
      </c>
    </row>
    <row r="112" spans="2:11" x14ac:dyDescent="0.25">
      <c r="B112" s="9">
        <v>45247</v>
      </c>
      <c r="C112">
        <f t="shared" ca="1" si="15"/>
        <v>46</v>
      </c>
      <c r="D112">
        <v>376</v>
      </c>
      <c r="E112">
        <v>90</v>
      </c>
      <c r="F112">
        <v>203</v>
      </c>
      <c r="H112" s="9">
        <v>45106</v>
      </c>
      <c r="I112">
        <f t="shared" ca="1" si="14"/>
        <v>26</v>
      </c>
      <c r="J112" t="s">
        <v>2255</v>
      </c>
      <c r="K112">
        <v>278</v>
      </c>
    </row>
    <row r="113" spans="2:11" x14ac:dyDescent="0.25">
      <c r="B113" s="9">
        <v>45250</v>
      </c>
      <c r="C113">
        <f t="shared" ca="1" si="15"/>
        <v>47</v>
      </c>
      <c r="D113">
        <v>386</v>
      </c>
      <c r="E113">
        <v>135</v>
      </c>
      <c r="F113">
        <v>158</v>
      </c>
      <c r="H113" s="9">
        <v>45106</v>
      </c>
      <c r="I113">
        <f t="shared" ca="1" si="14"/>
        <v>26</v>
      </c>
      <c r="J113" t="s">
        <v>2259</v>
      </c>
      <c r="K113">
        <v>6</v>
      </c>
    </row>
    <row r="114" spans="2:11" x14ac:dyDescent="0.25">
      <c r="B114" s="9">
        <v>45251</v>
      </c>
      <c r="C114">
        <f t="shared" ca="1" si="15"/>
        <v>47</v>
      </c>
      <c r="D114">
        <v>384</v>
      </c>
      <c r="E114">
        <v>140</v>
      </c>
      <c r="F114">
        <v>170</v>
      </c>
      <c r="H114" s="9">
        <v>45106</v>
      </c>
      <c r="I114">
        <f t="shared" ca="1" si="14"/>
        <v>26</v>
      </c>
      <c r="J114" t="s">
        <v>2256</v>
      </c>
      <c r="K114">
        <v>60</v>
      </c>
    </row>
    <row r="115" spans="2:11" x14ac:dyDescent="0.25">
      <c r="B115" s="9">
        <v>45252</v>
      </c>
      <c r="C115">
        <f t="shared" ca="1" si="15"/>
        <v>47</v>
      </c>
      <c r="D115">
        <v>389</v>
      </c>
      <c r="E115">
        <v>119</v>
      </c>
      <c r="F115">
        <v>182</v>
      </c>
      <c r="H115" s="9">
        <v>45106</v>
      </c>
      <c r="I115">
        <f t="shared" ca="1" si="14"/>
        <v>26</v>
      </c>
      <c r="J115" t="s">
        <v>2258</v>
      </c>
      <c r="K115">
        <v>22</v>
      </c>
    </row>
    <row r="116" spans="2:11" x14ac:dyDescent="0.25">
      <c r="B116" s="9">
        <v>45253</v>
      </c>
      <c r="C116">
        <f t="shared" ca="1" si="15"/>
        <v>47</v>
      </c>
      <c r="D116">
        <v>388</v>
      </c>
      <c r="E116">
        <v>118</v>
      </c>
      <c r="F116">
        <v>183</v>
      </c>
      <c r="H116" s="9">
        <v>45106</v>
      </c>
      <c r="I116">
        <f t="shared" ca="1" si="14"/>
        <v>26</v>
      </c>
      <c r="J116" t="s">
        <v>2257</v>
      </c>
      <c r="K116">
        <v>12</v>
      </c>
    </row>
    <row r="117" spans="2:11" x14ac:dyDescent="0.25">
      <c r="B117" s="9">
        <v>45254</v>
      </c>
      <c r="C117">
        <f t="shared" ca="1" si="15"/>
        <v>47</v>
      </c>
      <c r="D117">
        <v>379</v>
      </c>
      <c r="E117">
        <v>139</v>
      </c>
      <c r="F117">
        <v>151</v>
      </c>
      <c r="H117" s="9">
        <v>45106</v>
      </c>
      <c r="I117">
        <f t="shared" ca="1" si="14"/>
        <v>26</v>
      </c>
      <c r="J117" t="s">
        <v>2260</v>
      </c>
      <c r="K117">
        <v>1</v>
      </c>
    </row>
    <row r="118" spans="2:11" x14ac:dyDescent="0.25">
      <c r="B118" s="9">
        <v>45257</v>
      </c>
      <c r="C118">
        <f ca="1">WEEKNUM(INDIRECT("B"&amp;ROW()))</f>
        <v>48</v>
      </c>
      <c r="D118">
        <v>356</v>
      </c>
      <c r="E118">
        <v>159</v>
      </c>
      <c r="F118">
        <v>108</v>
      </c>
      <c r="H118" s="9">
        <v>45107</v>
      </c>
      <c r="I118">
        <f t="shared" ref="I118:I123" ca="1" si="16">WEEKNUM(INDIRECT("H"&amp;ROW()))</f>
        <v>26</v>
      </c>
      <c r="J118" t="s">
        <v>2255</v>
      </c>
      <c r="K118">
        <v>274</v>
      </c>
    </row>
    <row r="119" spans="2:11" x14ac:dyDescent="0.25">
      <c r="B119" s="9">
        <v>45258</v>
      </c>
      <c r="C119">
        <f ca="1">WEEKNUM(INDIRECT("B"&amp;ROW()))</f>
        <v>48</v>
      </c>
      <c r="D119">
        <v>363</v>
      </c>
      <c r="E119">
        <v>161</v>
      </c>
      <c r="F119">
        <v>116</v>
      </c>
      <c r="H119" s="9">
        <v>45107</v>
      </c>
      <c r="I119">
        <f t="shared" ca="1" si="16"/>
        <v>26</v>
      </c>
      <c r="J119" t="s">
        <v>2259</v>
      </c>
      <c r="K119">
        <v>4</v>
      </c>
    </row>
    <row r="120" spans="2:11" x14ac:dyDescent="0.25">
      <c r="B120" s="9">
        <v>45259</v>
      </c>
      <c r="C120">
        <f ca="1">WEEKNUM(INDIRECT("B"&amp;ROW()))</f>
        <v>48</v>
      </c>
      <c r="D120">
        <v>352</v>
      </c>
      <c r="E120">
        <v>134</v>
      </c>
      <c r="F120">
        <v>132</v>
      </c>
      <c r="H120" s="9">
        <v>45107</v>
      </c>
      <c r="I120">
        <f t="shared" ca="1" si="16"/>
        <v>26</v>
      </c>
      <c r="J120" t="s">
        <v>2256</v>
      </c>
      <c r="K120">
        <v>57</v>
      </c>
    </row>
    <row r="121" spans="2:11" x14ac:dyDescent="0.25">
      <c r="B121" s="9">
        <v>45260</v>
      </c>
      <c r="C121">
        <f ca="1">WEEKNUM(INDIRECT("B"&amp;ROW()))</f>
        <v>48</v>
      </c>
      <c r="D121">
        <v>350</v>
      </c>
      <c r="E121">
        <v>149</v>
      </c>
      <c r="F121">
        <v>116</v>
      </c>
      <c r="H121" s="9">
        <v>45107</v>
      </c>
      <c r="I121">
        <f t="shared" ca="1" si="16"/>
        <v>26</v>
      </c>
      <c r="J121" t="s">
        <v>2258</v>
      </c>
      <c r="K121">
        <v>23</v>
      </c>
    </row>
    <row r="122" spans="2:11" x14ac:dyDescent="0.25">
      <c r="B122" s="9">
        <v>45261</v>
      </c>
      <c r="C122">
        <f ca="1">WEEKNUM(INDIRECT("B"&amp;ROW()))</f>
        <v>48</v>
      </c>
      <c r="D122">
        <v>332</v>
      </c>
      <c r="E122">
        <v>123</v>
      </c>
      <c r="F122">
        <v>130</v>
      </c>
      <c r="H122" s="9">
        <v>45107</v>
      </c>
      <c r="I122">
        <f t="shared" ca="1" si="16"/>
        <v>26</v>
      </c>
      <c r="J122" t="s">
        <v>2257</v>
      </c>
      <c r="K122">
        <v>12</v>
      </c>
    </row>
    <row r="123" spans="2:11" x14ac:dyDescent="0.25">
      <c r="H123" s="9">
        <v>45107</v>
      </c>
      <c r="I123">
        <f t="shared" ca="1" si="16"/>
        <v>26</v>
      </c>
      <c r="J123" t="s">
        <v>2260</v>
      </c>
      <c r="K123">
        <v>1</v>
      </c>
    </row>
    <row r="124" spans="2:11" x14ac:dyDescent="0.25">
      <c r="H124" s="9">
        <v>45110</v>
      </c>
      <c r="I124">
        <f t="shared" ref="I124:I153" ca="1" si="17">WEEKNUM(INDIRECT("H"&amp;ROW()))</f>
        <v>27</v>
      </c>
      <c r="J124" t="s">
        <v>2255</v>
      </c>
      <c r="K124">
        <v>275</v>
      </c>
    </row>
    <row r="125" spans="2:11" x14ac:dyDescent="0.25">
      <c r="H125" s="9">
        <v>45110</v>
      </c>
      <c r="I125">
        <f t="shared" ca="1" si="17"/>
        <v>27</v>
      </c>
      <c r="J125" t="s">
        <v>2259</v>
      </c>
      <c r="K125">
        <v>4</v>
      </c>
    </row>
    <row r="126" spans="2:11" x14ac:dyDescent="0.25">
      <c r="H126" s="9">
        <v>45110</v>
      </c>
      <c r="I126">
        <f t="shared" ca="1" si="17"/>
        <v>27</v>
      </c>
      <c r="J126" t="s">
        <v>2256</v>
      </c>
      <c r="K126">
        <v>54</v>
      </c>
    </row>
    <row r="127" spans="2:11" x14ac:dyDescent="0.25">
      <c r="H127" s="9">
        <v>45110</v>
      </c>
      <c r="I127">
        <f t="shared" ca="1" si="17"/>
        <v>27</v>
      </c>
      <c r="J127" t="s">
        <v>2258</v>
      </c>
      <c r="K127">
        <v>19</v>
      </c>
    </row>
    <row r="128" spans="2:11" x14ac:dyDescent="0.25">
      <c r="H128" s="9">
        <v>45110</v>
      </c>
      <c r="I128">
        <f t="shared" ca="1" si="17"/>
        <v>27</v>
      </c>
      <c r="J128" t="s">
        <v>2257</v>
      </c>
      <c r="K128">
        <v>12</v>
      </c>
    </row>
    <row r="129" spans="8:11" x14ac:dyDescent="0.25">
      <c r="H129" s="9">
        <v>45110</v>
      </c>
      <c r="I129">
        <f t="shared" ca="1" si="17"/>
        <v>27</v>
      </c>
      <c r="J129" t="s">
        <v>2260</v>
      </c>
      <c r="K129">
        <v>1</v>
      </c>
    </row>
    <row r="130" spans="8:11" x14ac:dyDescent="0.25">
      <c r="H130" s="9">
        <v>45111</v>
      </c>
      <c r="I130">
        <f t="shared" ca="1" si="17"/>
        <v>27</v>
      </c>
      <c r="J130" t="s">
        <v>2255</v>
      </c>
      <c r="K130">
        <v>281</v>
      </c>
    </row>
    <row r="131" spans="8:11" x14ac:dyDescent="0.25">
      <c r="H131" s="9">
        <v>45111</v>
      </c>
      <c r="I131">
        <f t="shared" ca="1" si="17"/>
        <v>27</v>
      </c>
      <c r="J131" t="s">
        <v>2259</v>
      </c>
      <c r="K131">
        <v>4</v>
      </c>
    </row>
    <row r="132" spans="8:11" x14ac:dyDescent="0.25">
      <c r="H132" s="9">
        <v>45111</v>
      </c>
      <c r="I132">
        <f t="shared" ca="1" si="17"/>
        <v>27</v>
      </c>
      <c r="J132" t="s">
        <v>2256</v>
      </c>
      <c r="K132">
        <v>56</v>
      </c>
    </row>
    <row r="133" spans="8:11" x14ac:dyDescent="0.25">
      <c r="H133" s="9">
        <v>45111</v>
      </c>
      <c r="I133">
        <f t="shared" ca="1" si="17"/>
        <v>27</v>
      </c>
      <c r="J133" t="s">
        <v>2258</v>
      </c>
      <c r="K133">
        <v>17</v>
      </c>
    </row>
    <row r="134" spans="8:11" x14ac:dyDescent="0.25">
      <c r="H134" s="9">
        <v>45111</v>
      </c>
      <c r="I134">
        <f t="shared" ca="1" si="17"/>
        <v>27</v>
      </c>
      <c r="J134" t="s">
        <v>2257</v>
      </c>
      <c r="K134">
        <v>11</v>
      </c>
    </row>
    <row r="135" spans="8:11" x14ac:dyDescent="0.25">
      <c r="H135" s="9">
        <v>45111</v>
      </c>
      <c r="I135">
        <f t="shared" ca="1" si="17"/>
        <v>27</v>
      </c>
      <c r="J135" t="s">
        <v>2260</v>
      </c>
      <c r="K135">
        <v>1</v>
      </c>
    </row>
    <row r="136" spans="8:11" x14ac:dyDescent="0.25">
      <c r="H136" s="9">
        <v>45112</v>
      </c>
      <c r="I136">
        <f t="shared" ca="1" si="17"/>
        <v>27</v>
      </c>
      <c r="J136" t="s">
        <v>2255</v>
      </c>
      <c r="K136">
        <v>300</v>
      </c>
    </row>
    <row r="137" spans="8:11" x14ac:dyDescent="0.25">
      <c r="H137" s="9">
        <v>45112</v>
      </c>
      <c r="I137">
        <f t="shared" ca="1" si="17"/>
        <v>27</v>
      </c>
      <c r="J137" t="s">
        <v>2259</v>
      </c>
      <c r="K137">
        <v>4</v>
      </c>
    </row>
    <row r="138" spans="8:11" x14ac:dyDescent="0.25">
      <c r="H138" s="9">
        <v>45112</v>
      </c>
      <c r="I138">
        <f t="shared" ca="1" si="17"/>
        <v>27</v>
      </c>
      <c r="J138" t="s">
        <v>2256</v>
      </c>
      <c r="K138">
        <v>60</v>
      </c>
    </row>
    <row r="139" spans="8:11" x14ac:dyDescent="0.25">
      <c r="H139" s="9">
        <v>45112</v>
      </c>
      <c r="I139">
        <f t="shared" ca="1" si="17"/>
        <v>27</v>
      </c>
      <c r="J139" t="s">
        <v>2258</v>
      </c>
      <c r="K139">
        <v>18</v>
      </c>
    </row>
    <row r="140" spans="8:11" x14ac:dyDescent="0.25">
      <c r="H140" s="9">
        <v>45112</v>
      </c>
      <c r="I140">
        <f t="shared" ca="1" si="17"/>
        <v>27</v>
      </c>
      <c r="J140" t="s">
        <v>2257</v>
      </c>
      <c r="K140">
        <v>11</v>
      </c>
    </row>
    <row r="141" spans="8:11" x14ac:dyDescent="0.25">
      <c r="H141" s="9">
        <v>45112</v>
      </c>
      <c r="I141">
        <f t="shared" ca="1" si="17"/>
        <v>27</v>
      </c>
      <c r="J141" t="s">
        <v>2260</v>
      </c>
      <c r="K141">
        <v>1</v>
      </c>
    </row>
    <row r="142" spans="8:11" x14ac:dyDescent="0.25">
      <c r="H142" s="9">
        <v>45113</v>
      </c>
      <c r="I142">
        <f t="shared" ca="1" si="17"/>
        <v>27</v>
      </c>
      <c r="J142" t="s">
        <v>2255</v>
      </c>
      <c r="K142">
        <v>267</v>
      </c>
    </row>
    <row r="143" spans="8:11" x14ac:dyDescent="0.25">
      <c r="H143" s="9">
        <v>45113</v>
      </c>
      <c r="I143">
        <f t="shared" ca="1" si="17"/>
        <v>27</v>
      </c>
      <c r="J143" t="s">
        <v>2259</v>
      </c>
      <c r="K143">
        <v>4</v>
      </c>
    </row>
    <row r="144" spans="8:11" x14ac:dyDescent="0.25">
      <c r="H144" s="9">
        <v>45113</v>
      </c>
      <c r="I144">
        <f t="shared" ca="1" si="17"/>
        <v>27</v>
      </c>
      <c r="J144" t="s">
        <v>2256</v>
      </c>
      <c r="K144">
        <v>59</v>
      </c>
    </row>
    <row r="145" spans="8:11" x14ac:dyDescent="0.25">
      <c r="H145" s="9">
        <v>45113</v>
      </c>
      <c r="I145">
        <f t="shared" ca="1" si="17"/>
        <v>27</v>
      </c>
      <c r="J145" t="s">
        <v>2258</v>
      </c>
      <c r="K145">
        <v>17</v>
      </c>
    </row>
    <row r="146" spans="8:11" x14ac:dyDescent="0.25">
      <c r="H146" s="9">
        <v>45113</v>
      </c>
      <c r="I146">
        <f t="shared" ca="1" si="17"/>
        <v>27</v>
      </c>
      <c r="J146" t="s">
        <v>2257</v>
      </c>
      <c r="K146">
        <v>13</v>
      </c>
    </row>
    <row r="147" spans="8:11" x14ac:dyDescent="0.25">
      <c r="H147" s="9">
        <v>45113</v>
      </c>
      <c r="I147">
        <f t="shared" ca="1" si="17"/>
        <v>27</v>
      </c>
      <c r="J147" t="s">
        <v>2260</v>
      </c>
      <c r="K147">
        <v>1</v>
      </c>
    </row>
    <row r="148" spans="8:11" x14ac:dyDescent="0.25">
      <c r="H148" s="9">
        <v>45114</v>
      </c>
      <c r="I148">
        <f t="shared" ca="1" si="17"/>
        <v>27</v>
      </c>
      <c r="J148" t="s">
        <v>2255</v>
      </c>
      <c r="K148">
        <v>253</v>
      </c>
    </row>
    <row r="149" spans="8:11" x14ac:dyDescent="0.25">
      <c r="H149" s="9">
        <v>45114</v>
      </c>
      <c r="I149">
        <f t="shared" ca="1" si="17"/>
        <v>27</v>
      </c>
      <c r="J149" t="s">
        <v>2259</v>
      </c>
      <c r="K149">
        <v>3</v>
      </c>
    </row>
    <row r="150" spans="8:11" x14ac:dyDescent="0.25">
      <c r="H150" s="9">
        <v>45114</v>
      </c>
      <c r="I150">
        <f t="shared" ca="1" si="17"/>
        <v>27</v>
      </c>
      <c r="J150" t="s">
        <v>2256</v>
      </c>
      <c r="K150">
        <v>61</v>
      </c>
    </row>
    <row r="151" spans="8:11" x14ac:dyDescent="0.25">
      <c r="H151" s="9">
        <v>45114</v>
      </c>
      <c r="I151">
        <f t="shared" ca="1" si="17"/>
        <v>27</v>
      </c>
      <c r="J151" t="s">
        <v>2258</v>
      </c>
      <c r="K151">
        <v>13</v>
      </c>
    </row>
    <row r="152" spans="8:11" x14ac:dyDescent="0.25">
      <c r="H152" s="9">
        <v>45114</v>
      </c>
      <c r="I152">
        <f t="shared" ca="1" si="17"/>
        <v>27</v>
      </c>
      <c r="J152" t="s">
        <v>2257</v>
      </c>
      <c r="K152">
        <v>12</v>
      </c>
    </row>
    <row r="153" spans="8:11" x14ac:dyDescent="0.25">
      <c r="H153" s="9">
        <v>45114</v>
      </c>
      <c r="I153">
        <f t="shared" ca="1" si="17"/>
        <v>27</v>
      </c>
      <c r="J153" t="s">
        <v>2260</v>
      </c>
      <c r="K153">
        <v>1</v>
      </c>
    </row>
    <row r="154" spans="8:11" x14ac:dyDescent="0.25">
      <c r="H154" s="9">
        <v>45117</v>
      </c>
      <c r="I154">
        <f t="shared" ref="I154:I185" ca="1" si="18">WEEKNUM(INDIRECT("H"&amp;ROW()))</f>
        <v>28</v>
      </c>
      <c r="J154" t="s">
        <v>2255</v>
      </c>
      <c r="K154">
        <v>237</v>
      </c>
    </row>
    <row r="155" spans="8:11" x14ac:dyDescent="0.25">
      <c r="H155" s="9">
        <v>45117</v>
      </c>
      <c r="I155">
        <f t="shared" ca="1" si="18"/>
        <v>28</v>
      </c>
      <c r="J155" t="s">
        <v>2259</v>
      </c>
      <c r="K155">
        <v>1</v>
      </c>
    </row>
    <row r="156" spans="8:11" x14ac:dyDescent="0.25">
      <c r="H156" s="9">
        <v>45117</v>
      </c>
      <c r="I156">
        <f t="shared" ca="1" si="18"/>
        <v>28</v>
      </c>
      <c r="J156" t="s">
        <v>2256</v>
      </c>
      <c r="K156">
        <v>59</v>
      </c>
    </row>
    <row r="157" spans="8:11" x14ac:dyDescent="0.25">
      <c r="H157" s="9">
        <v>45117</v>
      </c>
      <c r="I157">
        <f t="shared" ca="1" si="18"/>
        <v>28</v>
      </c>
      <c r="J157" t="s">
        <v>2258</v>
      </c>
      <c r="K157">
        <v>13</v>
      </c>
    </row>
    <row r="158" spans="8:11" x14ac:dyDescent="0.25">
      <c r="H158" s="9">
        <v>45117</v>
      </c>
      <c r="I158">
        <f t="shared" ca="1" si="18"/>
        <v>28</v>
      </c>
      <c r="J158" t="s">
        <v>2257</v>
      </c>
      <c r="K158">
        <v>13</v>
      </c>
    </row>
    <row r="159" spans="8:11" x14ac:dyDescent="0.25">
      <c r="H159" s="9">
        <v>45117</v>
      </c>
      <c r="I159">
        <f t="shared" ca="1" si="18"/>
        <v>28</v>
      </c>
      <c r="J159" t="s">
        <v>2260</v>
      </c>
      <c r="K159">
        <v>1</v>
      </c>
    </row>
    <row r="160" spans="8:11" x14ac:dyDescent="0.25">
      <c r="H160" s="9">
        <v>45118</v>
      </c>
      <c r="I160">
        <f t="shared" ca="1" si="18"/>
        <v>28</v>
      </c>
      <c r="J160" t="s">
        <v>2255</v>
      </c>
      <c r="K160">
        <v>238</v>
      </c>
    </row>
    <row r="161" spans="8:11" x14ac:dyDescent="0.25">
      <c r="H161" s="9">
        <v>45118</v>
      </c>
      <c r="I161">
        <f t="shared" ca="1" si="18"/>
        <v>28</v>
      </c>
      <c r="J161" t="s">
        <v>2259</v>
      </c>
      <c r="K161">
        <v>1</v>
      </c>
    </row>
    <row r="162" spans="8:11" x14ac:dyDescent="0.25">
      <c r="H162" s="9">
        <v>45118</v>
      </c>
      <c r="I162">
        <f t="shared" ca="1" si="18"/>
        <v>28</v>
      </c>
      <c r="J162" t="s">
        <v>2256</v>
      </c>
      <c r="K162">
        <v>60</v>
      </c>
    </row>
    <row r="163" spans="8:11" x14ac:dyDescent="0.25">
      <c r="H163" s="9">
        <v>45118</v>
      </c>
      <c r="I163">
        <f t="shared" ca="1" si="18"/>
        <v>28</v>
      </c>
      <c r="J163" t="s">
        <v>2258</v>
      </c>
      <c r="K163">
        <v>13</v>
      </c>
    </row>
    <row r="164" spans="8:11" x14ac:dyDescent="0.25">
      <c r="H164" s="9">
        <v>45118</v>
      </c>
      <c r="I164">
        <f t="shared" ca="1" si="18"/>
        <v>28</v>
      </c>
      <c r="J164" t="s">
        <v>2257</v>
      </c>
      <c r="K164">
        <v>13</v>
      </c>
    </row>
    <row r="165" spans="8:11" x14ac:dyDescent="0.25">
      <c r="H165" s="9">
        <v>45118</v>
      </c>
      <c r="I165">
        <f t="shared" ca="1" si="18"/>
        <v>28</v>
      </c>
      <c r="J165" t="s">
        <v>2260</v>
      </c>
      <c r="K165">
        <v>0</v>
      </c>
    </row>
    <row r="166" spans="8:11" x14ac:dyDescent="0.25">
      <c r="H166" s="9">
        <v>45119</v>
      </c>
      <c r="I166">
        <f t="shared" ca="1" si="18"/>
        <v>28</v>
      </c>
      <c r="J166" t="s">
        <v>2255</v>
      </c>
      <c r="K166">
        <v>256</v>
      </c>
    </row>
    <row r="167" spans="8:11" x14ac:dyDescent="0.25">
      <c r="H167" s="9">
        <v>45119</v>
      </c>
      <c r="I167">
        <f t="shared" ca="1" si="18"/>
        <v>28</v>
      </c>
      <c r="J167" t="s">
        <v>2259</v>
      </c>
      <c r="K167">
        <v>1</v>
      </c>
    </row>
    <row r="168" spans="8:11" x14ac:dyDescent="0.25">
      <c r="H168" s="9">
        <v>45119</v>
      </c>
      <c r="I168">
        <f t="shared" ca="1" si="18"/>
        <v>28</v>
      </c>
      <c r="J168" t="s">
        <v>2256</v>
      </c>
      <c r="K168">
        <v>66</v>
      </c>
    </row>
    <row r="169" spans="8:11" x14ac:dyDescent="0.25">
      <c r="H169" s="9">
        <v>45119</v>
      </c>
      <c r="I169">
        <f t="shared" ca="1" si="18"/>
        <v>28</v>
      </c>
      <c r="J169" t="s">
        <v>2258</v>
      </c>
      <c r="K169">
        <v>14</v>
      </c>
    </row>
    <row r="170" spans="8:11" x14ac:dyDescent="0.25">
      <c r="H170" s="9">
        <v>45119</v>
      </c>
      <c r="I170">
        <f t="shared" ca="1" si="18"/>
        <v>28</v>
      </c>
      <c r="J170" t="s">
        <v>2257</v>
      </c>
      <c r="K170">
        <v>13</v>
      </c>
    </row>
    <row r="171" spans="8:11" x14ac:dyDescent="0.25">
      <c r="H171" s="9">
        <v>45119</v>
      </c>
      <c r="I171">
        <f t="shared" ca="1" si="18"/>
        <v>28</v>
      </c>
      <c r="J171" t="s">
        <v>2260</v>
      </c>
      <c r="K171">
        <v>0</v>
      </c>
    </row>
    <row r="172" spans="8:11" x14ac:dyDescent="0.25">
      <c r="H172" s="9">
        <v>45120</v>
      </c>
      <c r="I172">
        <f t="shared" ca="1" si="18"/>
        <v>28</v>
      </c>
      <c r="J172" t="s">
        <v>2255</v>
      </c>
      <c r="K172">
        <v>255</v>
      </c>
    </row>
    <row r="173" spans="8:11" x14ac:dyDescent="0.25">
      <c r="H173" s="9">
        <v>45120</v>
      </c>
      <c r="I173">
        <f t="shared" ca="1" si="18"/>
        <v>28</v>
      </c>
      <c r="J173" t="s">
        <v>2259</v>
      </c>
      <c r="K173">
        <v>1</v>
      </c>
    </row>
    <row r="174" spans="8:11" x14ac:dyDescent="0.25">
      <c r="H174" s="9">
        <v>45120</v>
      </c>
      <c r="I174">
        <f t="shared" ca="1" si="18"/>
        <v>28</v>
      </c>
      <c r="J174" t="s">
        <v>2256</v>
      </c>
      <c r="K174">
        <v>68</v>
      </c>
    </row>
    <row r="175" spans="8:11" x14ac:dyDescent="0.25">
      <c r="H175" s="9">
        <v>45120</v>
      </c>
      <c r="I175">
        <f t="shared" ca="1" si="18"/>
        <v>28</v>
      </c>
      <c r="J175" t="s">
        <v>2258</v>
      </c>
      <c r="K175">
        <v>14</v>
      </c>
    </row>
    <row r="176" spans="8:11" x14ac:dyDescent="0.25">
      <c r="H176" s="9">
        <v>45120</v>
      </c>
      <c r="I176">
        <f t="shared" ca="1" si="18"/>
        <v>28</v>
      </c>
      <c r="J176" t="s">
        <v>2257</v>
      </c>
      <c r="K176">
        <v>13</v>
      </c>
    </row>
    <row r="177" spans="8:11" x14ac:dyDescent="0.25">
      <c r="H177" s="9">
        <v>45120</v>
      </c>
      <c r="I177">
        <f t="shared" ca="1" si="18"/>
        <v>28</v>
      </c>
      <c r="J177" t="s">
        <v>2260</v>
      </c>
      <c r="K177">
        <v>0</v>
      </c>
    </row>
    <row r="178" spans="8:11" x14ac:dyDescent="0.25">
      <c r="H178" s="9">
        <v>45121</v>
      </c>
      <c r="I178">
        <f t="shared" ca="1" si="18"/>
        <v>28</v>
      </c>
      <c r="J178" t="s">
        <v>2255</v>
      </c>
      <c r="K178">
        <v>268</v>
      </c>
    </row>
    <row r="179" spans="8:11" x14ac:dyDescent="0.25">
      <c r="H179" s="9">
        <v>45121</v>
      </c>
      <c r="I179">
        <f t="shared" ca="1" si="18"/>
        <v>28</v>
      </c>
      <c r="J179" t="s">
        <v>2259</v>
      </c>
      <c r="K179">
        <v>1</v>
      </c>
    </row>
    <row r="180" spans="8:11" x14ac:dyDescent="0.25">
      <c r="H180" s="9">
        <v>45121</v>
      </c>
      <c r="I180">
        <f t="shared" ca="1" si="18"/>
        <v>28</v>
      </c>
      <c r="J180" t="s">
        <v>2256</v>
      </c>
      <c r="K180">
        <v>68</v>
      </c>
    </row>
    <row r="181" spans="8:11" x14ac:dyDescent="0.25">
      <c r="H181" s="9">
        <v>45121</v>
      </c>
      <c r="I181">
        <f t="shared" ca="1" si="18"/>
        <v>28</v>
      </c>
      <c r="J181" t="s">
        <v>2258</v>
      </c>
      <c r="K181">
        <v>14</v>
      </c>
    </row>
    <row r="182" spans="8:11" x14ac:dyDescent="0.25">
      <c r="H182" s="9">
        <v>45121</v>
      </c>
      <c r="I182">
        <f t="shared" ca="1" si="18"/>
        <v>28</v>
      </c>
      <c r="J182" t="s">
        <v>2257</v>
      </c>
      <c r="K182">
        <v>12</v>
      </c>
    </row>
    <row r="183" spans="8:11" x14ac:dyDescent="0.25">
      <c r="H183" s="9">
        <v>45121</v>
      </c>
      <c r="I183">
        <f t="shared" ca="1" si="18"/>
        <v>28</v>
      </c>
      <c r="J183" t="s">
        <v>2260</v>
      </c>
      <c r="K183">
        <v>0</v>
      </c>
    </row>
    <row r="184" spans="8:11" x14ac:dyDescent="0.25">
      <c r="H184" s="9">
        <v>45124</v>
      </c>
      <c r="I184">
        <f t="shared" ca="1" si="18"/>
        <v>29</v>
      </c>
      <c r="J184" t="s">
        <v>2255</v>
      </c>
      <c r="K184">
        <v>273</v>
      </c>
    </row>
    <row r="185" spans="8:11" x14ac:dyDescent="0.25">
      <c r="H185" s="9">
        <v>45124</v>
      </c>
      <c r="I185">
        <f t="shared" ca="1" si="18"/>
        <v>29</v>
      </c>
      <c r="J185" t="s">
        <v>2259</v>
      </c>
      <c r="K185">
        <v>1</v>
      </c>
    </row>
    <row r="186" spans="8:11" x14ac:dyDescent="0.25">
      <c r="H186" s="9">
        <v>45124</v>
      </c>
      <c r="I186">
        <f t="shared" ref="I186:I217" ca="1" si="19">WEEKNUM(INDIRECT("H"&amp;ROW()))</f>
        <v>29</v>
      </c>
      <c r="J186" t="s">
        <v>2256</v>
      </c>
      <c r="K186">
        <v>68</v>
      </c>
    </row>
    <row r="187" spans="8:11" x14ac:dyDescent="0.25">
      <c r="H187" s="9">
        <v>45124</v>
      </c>
      <c r="I187">
        <f t="shared" ca="1" si="19"/>
        <v>29</v>
      </c>
      <c r="J187" t="s">
        <v>2258</v>
      </c>
      <c r="K187">
        <v>13</v>
      </c>
    </row>
    <row r="188" spans="8:11" x14ac:dyDescent="0.25">
      <c r="H188" s="9">
        <v>45124</v>
      </c>
      <c r="I188">
        <f t="shared" ca="1" si="19"/>
        <v>29</v>
      </c>
      <c r="J188" t="s">
        <v>2257</v>
      </c>
      <c r="K188">
        <v>11</v>
      </c>
    </row>
    <row r="189" spans="8:11" x14ac:dyDescent="0.25">
      <c r="H189" s="9">
        <v>45124</v>
      </c>
      <c r="I189">
        <f t="shared" ca="1" si="19"/>
        <v>29</v>
      </c>
      <c r="J189" t="s">
        <v>2260</v>
      </c>
      <c r="K189">
        <v>0</v>
      </c>
    </row>
    <row r="190" spans="8:11" x14ac:dyDescent="0.25">
      <c r="H190" s="9">
        <v>45125</v>
      </c>
      <c r="I190">
        <f t="shared" ca="1" si="19"/>
        <v>29</v>
      </c>
      <c r="J190" t="s">
        <v>2255</v>
      </c>
      <c r="K190">
        <v>287</v>
      </c>
    </row>
    <row r="191" spans="8:11" x14ac:dyDescent="0.25">
      <c r="H191" s="9">
        <v>45125</v>
      </c>
      <c r="I191">
        <f t="shared" ca="1" si="19"/>
        <v>29</v>
      </c>
      <c r="J191" t="s">
        <v>2259</v>
      </c>
      <c r="K191">
        <v>1</v>
      </c>
    </row>
    <row r="192" spans="8:11" x14ac:dyDescent="0.25">
      <c r="H192" s="9">
        <v>45125</v>
      </c>
      <c r="I192">
        <f t="shared" ca="1" si="19"/>
        <v>29</v>
      </c>
      <c r="J192" t="s">
        <v>2256</v>
      </c>
      <c r="K192">
        <v>80</v>
      </c>
    </row>
    <row r="193" spans="8:11" x14ac:dyDescent="0.25">
      <c r="H193" s="9">
        <v>45125</v>
      </c>
      <c r="I193">
        <f t="shared" ca="1" si="19"/>
        <v>29</v>
      </c>
      <c r="J193" t="s">
        <v>2258</v>
      </c>
      <c r="K193">
        <v>15</v>
      </c>
    </row>
    <row r="194" spans="8:11" x14ac:dyDescent="0.25">
      <c r="H194" s="9">
        <v>45125</v>
      </c>
      <c r="I194">
        <f t="shared" ca="1" si="19"/>
        <v>29</v>
      </c>
      <c r="J194" t="s">
        <v>2257</v>
      </c>
      <c r="K194">
        <v>11</v>
      </c>
    </row>
    <row r="195" spans="8:11" x14ac:dyDescent="0.25">
      <c r="H195" s="9">
        <v>45125</v>
      </c>
      <c r="I195">
        <f t="shared" ca="1" si="19"/>
        <v>29</v>
      </c>
      <c r="J195" t="s">
        <v>2260</v>
      </c>
      <c r="K195">
        <v>1</v>
      </c>
    </row>
    <row r="196" spans="8:11" x14ac:dyDescent="0.25">
      <c r="H196" s="9">
        <v>45126</v>
      </c>
      <c r="I196">
        <f t="shared" ca="1" si="19"/>
        <v>29</v>
      </c>
      <c r="J196" t="s">
        <v>2255</v>
      </c>
      <c r="K196">
        <v>276</v>
      </c>
    </row>
    <row r="197" spans="8:11" x14ac:dyDescent="0.25">
      <c r="H197" s="9">
        <v>45126</v>
      </c>
      <c r="I197">
        <f t="shared" ca="1" si="19"/>
        <v>29</v>
      </c>
      <c r="J197" t="s">
        <v>2259</v>
      </c>
      <c r="K197">
        <v>1</v>
      </c>
    </row>
    <row r="198" spans="8:11" x14ac:dyDescent="0.25">
      <c r="H198" s="9">
        <v>45126</v>
      </c>
      <c r="I198">
        <f t="shared" ca="1" si="19"/>
        <v>29</v>
      </c>
      <c r="J198" t="s">
        <v>2256</v>
      </c>
      <c r="K198">
        <v>80</v>
      </c>
    </row>
    <row r="199" spans="8:11" x14ac:dyDescent="0.25">
      <c r="H199" s="9">
        <v>45126</v>
      </c>
      <c r="I199">
        <f t="shared" ca="1" si="19"/>
        <v>29</v>
      </c>
      <c r="J199" t="s">
        <v>2258</v>
      </c>
      <c r="K199">
        <v>14</v>
      </c>
    </row>
    <row r="200" spans="8:11" x14ac:dyDescent="0.25">
      <c r="H200" s="9">
        <v>45126</v>
      </c>
      <c r="I200">
        <f t="shared" ca="1" si="19"/>
        <v>29</v>
      </c>
      <c r="J200" t="s">
        <v>2257</v>
      </c>
      <c r="K200">
        <v>11</v>
      </c>
    </row>
    <row r="201" spans="8:11" x14ac:dyDescent="0.25">
      <c r="H201" s="9">
        <v>45126</v>
      </c>
      <c r="I201">
        <f t="shared" ca="1" si="19"/>
        <v>29</v>
      </c>
      <c r="J201" t="s">
        <v>2260</v>
      </c>
      <c r="K201">
        <v>1</v>
      </c>
    </row>
    <row r="202" spans="8:11" x14ac:dyDescent="0.25">
      <c r="H202" s="9">
        <v>45127</v>
      </c>
      <c r="I202">
        <f t="shared" ca="1" si="19"/>
        <v>29</v>
      </c>
      <c r="J202" t="s">
        <v>2255</v>
      </c>
      <c r="K202">
        <v>253</v>
      </c>
    </row>
    <row r="203" spans="8:11" x14ac:dyDescent="0.25">
      <c r="H203" s="9">
        <v>45127</v>
      </c>
      <c r="I203">
        <f t="shared" ca="1" si="19"/>
        <v>29</v>
      </c>
      <c r="J203" t="s">
        <v>2259</v>
      </c>
      <c r="K203">
        <v>1</v>
      </c>
    </row>
    <row r="204" spans="8:11" x14ac:dyDescent="0.25">
      <c r="H204" s="9">
        <v>45127</v>
      </c>
      <c r="I204">
        <f t="shared" ca="1" si="19"/>
        <v>29</v>
      </c>
      <c r="J204" t="s">
        <v>2256</v>
      </c>
      <c r="K204">
        <v>85</v>
      </c>
    </row>
    <row r="205" spans="8:11" x14ac:dyDescent="0.25">
      <c r="H205" s="9">
        <v>45127</v>
      </c>
      <c r="I205">
        <f t="shared" ca="1" si="19"/>
        <v>29</v>
      </c>
      <c r="J205" t="s">
        <v>2258</v>
      </c>
      <c r="K205">
        <v>15</v>
      </c>
    </row>
    <row r="206" spans="8:11" x14ac:dyDescent="0.25">
      <c r="H206" s="9">
        <v>45127</v>
      </c>
      <c r="I206">
        <f t="shared" ca="1" si="19"/>
        <v>29</v>
      </c>
      <c r="J206" t="s">
        <v>2257</v>
      </c>
      <c r="K206">
        <v>8</v>
      </c>
    </row>
    <row r="207" spans="8:11" x14ac:dyDescent="0.25">
      <c r="H207" s="9">
        <v>45127</v>
      </c>
      <c r="I207">
        <f t="shared" ca="1" si="19"/>
        <v>29</v>
      </c>
      <c r="J207" t="s">
        <v>2260</v>
      </c>
      <c r="K207">
        <v>1</v>
      </c>
    </row>
    <row r="208" spans="8:11" x14ac:dyDescent="0.25">
      <c r="H208" s="9">
        <v>45128</v>
      </c>
      <c r="I208">
        <f t="shared" ca="1" si="19"/>
        <v>29</v>
      </c>
      <c r="J208" t="s">
        <v>2255</v>
      </c>
      <c r="K208">
        <v>253</v>
      </c>
    </row>
    <row r="209" spans="8:11" x14ac:dyDescent="0.25">
      <c r="H209" s="9">
        <v>45128</v>
      </c>
      <c r="I209">
        <f t="shared" ca="1" si="19"/>
        <v>29</v>
      </c>
      <c r="J209" t="s">
        <v>2259</v>
      </c>
      <c r="K209">
        <v>1</v>
      </c>
    </row>
    <row r="210" spans="8:11" x14ac:dyDescent="0.25">
      <c r="H210" s="9">
        <v>45128</v>
      </c>
      <c r="I210">
        <f t="shared" ca="1" si="19"/>
        <v>29</v>
      </c>
      <c r="J210" t="s">
        <v>2256</v>
      </c>
      <c r="K210">
        <v>72</v>
      </c>
    </row>
    <row r="211" spans="8:11" x14ac:dyDescent="0.25">
      <c r="H211" s="9">
        <v>45128</v>
      </c>
      <c r="I211">
        <f t="shared" ca="1" si="19"/>
        <v>29</v>
      </c>
      <c r="J211" t="s">
        <v>2258</v>
      </c>
      <c r="K211">
        <v>16</v>
      </c>
    </row>
    <row r="212" spans="8:11" x14ac:dyDescent="0.25">
      <c r="H212" s="9">
        <v>45128</v>
      </c>
      <c r="I212">
        <f t="shared" ca="1" si="19"/>
        <v>29</v>
      </c>
      <c r="J212" t="s">
        <v>2257</v>
      </c>
      <c r="K212">
        <v>7</v>
      </c>
    </row>
    <row r="213" spans="8:11" x14ac:dyDescent="0.25">
      <c r="H213" s="9">
        <v>45128</v>
      </c>
      <c r="I213">
        <f t="shared" ca="1" si="19"/>
        <v>29</v>
      </c>
      <c r="J213" t="s">
        <v>2260</v>
      </c>
      <c r="K213">
        <v>1</v>
      </c>
    </row>
    <row r="214" spans="8:11" x14ac:dyDescent="0.25">
      <c r="H214" s="9">
        <v>45132</v>
      </c>
      <c r="I214">
        <f t="shared" ca="1" si="19"/>
        <v>30</v>
      </c>
      <c r="J214" t="s">
        <v>2255</v>
      </c>
      <c r="K214">
        <v>274</v>
      </c>
    </row>
    <row r="215" spans="8:11" x14ac:dyDescent="0.25">
      <c r="H215" s="9">
        <v>45132</v>
      </c>
      <c r="I215">
        <f t="shared" ca="1" si="19"/>
        <v>30</v>
      </c>
      <c r="J215" t="s">
        <v>2259</v>
      </c>
      <c r="K215">
        <v>1</v>
      </c>
    </row>
    <row r="216" spans="8:11" x14ac:dyDescent="0.25">
      <c r="H216" s="9">
        <v>45132</v>
      </c>
      <c r="I216">
        <f t="shared" ca="1" si="19"/>
        <v>30</v>
      </c>
      <c r="J216" t="s">
        <v>2256</v>
      </c>
      <c r="K216">
        <v>82</v>
      </c>
    </row>
    <row r="217" spans="8:11" x14ac:dyDescent="0.25">
      <c r="H217" s="9">
        <v>45132</v>
      </c>
      <c r="I217">
        <f t="shared" ca="1" si="19"/>
        <v>30</v>
      </c>
      <c r="J217" t="s">
        <v>2258</v>
      </c>
      <c r="K217">
        <v>20</v>
      </c>
    </row>
    <row r="218" spans="8:11" x14ac:dyDescent="0.25">
      <c r="H218" s="9">
        <v>45132</v>
      </c>
      <c r="I218">
        <f t="shared" ref="I218:I225" ca="1" si="20">WEEKNUM(INDIRECT("H"&amp;ROW()))</f>
        <v>30</v>
      </c>
      <c r="J218" t="s">
        <v>2257</v>
      </c>
      <c r="K218">
        <v>8</v>
      </c>
    </row>
    <row r="219" spans="8:11" x14ac:dyDescent="0.25">
      <c r="H219" s="9">
        <v>45132</v>
      </c>
      <c r="I219">
        <f t="shared" ca="1" si="20"/>
        <v>30</v>
      </c>
      <c r="J219" t="s">
        <v>2260</v>
      </c>
      <c r="K219">
        <v>1</v>
      </c>
    </row>
    <row r="220" spans="8:11" x14ac:dyDescent="0.25">
      <c r="H220" s="9">
        <v>45133</v>
      </c>
      <c r="I220">
        <f t="shared" ca="1" si="20"/>
        <v>30</v>
      </c>
      <c r="J220" t="s">
        <v>2255</v>
      </c>
      <c r="K220">
        <v>276</v>
      </c>
    </row>
    <row r="221" spans="8:11" x14ac:dyDescent="0.25">
      <c r="H221" s="9">
        <v>45133</v>
      </c>
      <c r="I221">
        <f t="shared" ca="1" si="20"/>
        <v>30</v>
      </c>
      <c r="J221" t="s">
        <v>2259</v>
      </c>
      <c r="K221">
        <v>1</v>
      </c>
    </row>
    <row r="222" spans="8:11" x14ac:dyDescent="0.25">
      <c r="H222" s="9">
        <v>45133</v>
      </c>
      <c r="I222">
        <f t="shared" ca="1" si="20"/>
        <v>30</v>
      </c>
      <c r="J222" t="s">
        <v>2256</v>
      </c>
      <c r="K222">
        <v>78</v>
      </c>
    </row>
    <row r="223" spans="8:11" x14ac:dyDescent="0.25">
      <c r="H223" s="9">
        <v>45133</v>
      </c>
      <c r="I223">
        <f t="shared" ca="1" si="20"/>
        <v>30</v>
      </c>
      <c r="J223" t="s">
        <v>2258</v>
      </c>
      <c r="K223">
        <v>17</v>
      </c>
    </row>
    <row r="224" spans="8:11" x14ac:dyDescent="0.25">
      <c r="H224" s="9">
        <v>45133</v>
      </c>
      <c r="I224">
        <f t="shared" ca="1" si="20"/>
        <v>30</v>
      </c>
      <c r="J224" t="s">
        <v>2257</v>
      </c>
      <c r="K224">
        <v>9</v>
      </c>
    </row>
    <row r="225" spans="8:11" x14ac:dyDescent="0.25">
      <c r="H225" s="9">
        <v>45133</v>
      </c>
      <c r="I225">
        <f t="shared" ca="1" si="20"/>
        <v>30</v>
      </c>
      <c r="J225" t="s">
        <v>2260</v>
      </c>
      <c r="K225">
        <v>1</v>
      </c>
    </row>
    <row r="226" spans="8:11" x14ac:dyDescent="0.25">
      <c r="H226" s="9">
        <v>45134</v>
      </c>
      <c r="I226">
        <f t="shared" ref="I226:I237" ca="1" si="21">WEEKNUM(INDIRECT("H"&amp;ROW()))</f>
        <v>30</v>
      </c>
      <c r="J226" t="s">
        <v>2255</v>
      </c>
      <c r="K226">
        <v>278</v>
      </c>
    </row>
    <row r="227" spans="8:11" x14ac:dyDescent="0.25">
      <c r="H227" s="9">
        <v>45134</v>
      </c>
      <c r="I227">
        <f t="shared" ca="1" si="21"/>
        <v>30</v>
      </c>
      <c r="J227" t="s">
        <v>2259</v>
      </c>
      <c r="K227">
        <v>0</v>
      </c>
    </row>
    <row r="228" spans="8:11" x14ac:dyDescent="0.25">
      <c r="H228" s="9">
        <v>45134</v>
      </c>
      <c r="I228">
        <f t="shared" ca="1" si="21"/>
        <v>30</v>
      </c>
      <c r="J228" t="s">
        <v>2256</v>
      </c>
      <c r="K228">
        <v>81</v>
      </c>
    </row>
    <row r="229" spans="8:11" x14ac:dyDescent="0.25">
      <c r="H229" s="9">
        <v>45134</v>
      </c>
      <c r="I229">
        <f t="shared" ca="1" si="21"/>
        <v>30</v>
      </c>
      <c r="J229" t="s">
        <v>2258</v>
      </c>
      <c r="K229">
        <v>18</v>
      </c>
    </row>
    <row r="230" spans="8:11" x14ac:dyDescent="0.25">
      <c r="H230" s="9">
        <v>45134</v>
      </c>
      <c r="I230">
        <f t="shared" ca="1" si="21"/>
        <v>30</v>
      </c>
      <c r="J230" t="s">
        <v>2257</v>
      </c>
      <c r="K230">
        <v>8</v>
      </c>
    </row>
    <row r="231" spans="8:11" x14ac:dyDescent="0.25">
      <c r="H231" s="9">
        <v>45134</v>
      </c>
      <c r="I231">
        <f t="shared" ca="1" si="21"/>
        <v>30</v>
      </c>
      <c r="J231" t="s">
        <v>2260</v>
      </c>
      <c r="K231">
        <v>1</v>
      </c>
    </row>
    <row r="232" spans="8:11" x14ac:dyDescent="0.25">
      <c r="H232" s="9">
        <v>45135</v>
      </c>
      <c r="I232">
        <f t="shared" ca="1" si="21"/>
        <v>30</v>
      </c>
      <c r="J232" t="s">
        <v>2255</v>
      </c>
      <c r="K232">
        <v>285</v>
      </c>
    </row>
    <row r="233" spans="8:11" x14ac:dyDescent="0.25">
      <c r="H233" s="9">
        <v>45135</v>
      </c>
      <c r="I233">
        <f t="shared" ca="1" si="21"/>
        <v>30</v>
      </c>
      <c r="J233" t="s">
        <v>2259</v>
      </c>
      <c r="K233">
        <v>0</v>
      </c>
    </row>
    <row r="234" spans="8:11" x14ac:dyDescent="0.25">
      <c r="H234" s="9">
        <v>45135</v>
      </c>
      <c r="I234">
        <f t="shared" ca="1" si="21"/>
        <v>30</v>
      </c>
      <c r="J234" t="s">
        <v>2256</v>
      </c>
      <c r="K234">
        <v>76</v>
      </c>
    </row>
    <row r="235" spans="8:11" x14ac:dyDescent="0.25">
      <c r="H235" s="9">
        <v>45135</v>
      </c>
      <c r="I235">
        <f t="shared" ca="1" si="21"/>
        <v>30</v>
      </c>
      <c r="J235" t="s">
        <v>2258</v>
      </c>
      <c r="K235">
        <v>18</v>
      </c>
    </row>
    <row r="236" spans="8:11" x14ac:dyDescent="0.25">
      <c r="H236" s="9">
        <v>45135</v>
      </c>
      <c r="I236">
        <f t="shared" ca="1" si="21"/>
        <v>30</v>
      </c>
      <c r="J236" t="s">
        <v>2257</v>
      </c>
      <c r="K236">
        <v>6</v>
      </c>
    </row>
    <row r="237" spans="8:11" x14ac:dyDescent="0.25">
      <c r="H237" s="9">
        <v>45135</v>
      </c>
      <c r="I237">
        <f t="shared" ca="1" si="21"/>
        <v>30</v>
      </c>
      <c r="J237" t="s">
        <v>2260</v>
      </c>
      <c r="K237">
        <v>1</v>
      </c>
    </row>
    <row r="238" spans="8:11" x14ac:dyDescent="0.25">
      <c r="H238" s="9">
        <v>45138</v>
      </c>
      <c r="I238">
        <f t="shared" ref="I238:I269" ca="1" si="22">WEEKNUM(INDIRECT("H"&amp;ROW()))</f>
        <v>31</v>
      </c>
      <c r="J238" t="s">
        <v>2255</v>
      </c>
      <c r="K238">
        <v>290</v>
      </c>
    </row>
    <row r="239" spans="8:11" x14ac:dyDescent="0.25">
      <c r="H239" s="9">
        <v>45138</v>
      </c>
      <c r="I239">
        <f t="shared" ca="1" si="22"/>
        <v>31</v>
      </c>
      <c r="J239" t="s">
        <v>2259</v>
      </c>
      <c r="K239">
        <v>0</v>
      </c>
    </row>
    <row r="240" spans="8:11" x14ac:dyDescent="0.25">
      <c r="H240" s="9">
        <v>45138</v>
      </c>
      <c r="I240">
        <f t="shared" ca="1" si="22"/>
        <v>31</v>
      </c>
      <c r="J240" t="s">
        <v>2256</v>
      </c>
      <c r="K240">
        <v>81</v>
      </c>
    </row>
    <row r="241" spans="8:11" x14ac:dyDescent="0.25">
      <c r="H241" s="9">
        <v>45138</v>
      </c>
      <c r="I241">
        <f t="shared" ca="1" si="22"/>
        <v>31</v>
      </c>
      <c r="J241" t="s">
        <v>2258</v>
      </c>
      <c r="K241">
        <v>18</v>
      </c>
    </row>
    <row r="242" spans="8:11" x14ac:dyDescent="0.25">
      <c r="H242" s="9">
        <v>45138</v>
      </c>
      <c r="I242">
        <f t="shared" ca="1" si="22"/>
        <v>31</v>
      </c>
      <c r="J242" t="s">
        <v>2257</v>
      </c>
      <c r="K242">
        <v>6</v>
      </c>
    </row>
    <row r="243" spans="8:11" x14ac:dyDescent="0.25">
      <c r="H243" s="9">
        <v>45138</v>
      </c>
      <c r="I243">
        <f t="shared" ca="1" si="22"/>
        <v>31</v>
      </c>
      <c r="J243" t="s">
        <v>2260</v>
      </c>
      <c r="K243">
        <v>0</v>
      </c>
    </row>
    <row r="244" spans="8:11" x14ac:dyDescent="0.25">
      <c r="H244" s="9">
        <v>45139</v>
      </c>
      <c r="I244">
        <f t="shared" ca="1" si="22"/>
        <v>31</v>
      </c>
      <c r="J244" t="s">
        <v>2255</v>
      </c>
      <c r="K244">
        <v>309</v>
      </c>
    </row>
    <row r="245" spans="8:11" x14ac:dyDescent="0.25">
      <c r="H245" s="9">
        <v>45139</v>
      </c>
      <c r="I245">
        <f t="shared" ca="1" si="22"/>
        <v>31</v>
      </c>
      <c r="J245" t="s">
        <v>2259</v>
      </c>
      <c r="K245">
        <v>0</v>
      </c>
    </row>
    <row r="246" spans="8:11" x14ac:dyDescent="0.25">
      <c r="H246" s="9">
        <v>45139</v>
      </c>
      <c r="I246">
        <f t="shared" ca="1" si="22"/>
        <v>31</v>
      </c>
      <c r="J246" t="s">
        <v>2256</v>
      </c>
      <c r="K246">
        <v>81</v>
      </c>
    </row>
    <row r="247" spans="8:11" x14ac:dyDescent="0.25">
      <c r="H247" s="9">
        <v>45139</v>
      </c>
      <c r="I247">
        <f t="shared" ca="1" si="22"/>
        <v>31</v>
      </c>
      <c r="J247" t="s">
        <v>2258</v>
      </c>
      <c r="K247">
        <v>17</v>
      </c>
    </row>
    <row r="248" spans="8:11" x14ac:dyDescent="0.25">
      <c r="H248" s="9">
        <v>45139</v>
      </c>
      <c r="I248">
        <f t="shared" ca="1" si="22"/>
        <v>31</v>
      </c>
      <c r="J248" t="s">
        <v>2257</v>
      </c>
      <c r="K248">
        <v>8</v>
      </c>
    </row>
    <row r="249" spans="8:11" x14ac:dyDescent="0.25">
      <c r="H249" s="9">
        <v>45139</v>
      </c>
      <c r="I249">
        <f t="shared" ca="1" si="22"/>
        <v>31</v>
      </c>
      <c r="J249" t="s">
        <v>2260</v>
      </c>
      <c r="K249">
        <v>0</v>
      </c>
    </row>
    <row r="250" spans="8:11" x14ac:dyDescent="0.25">
      <c r="H250" s="9">
        <v>45140</v>
      </c>
      <c r="I250">
        <f t="shared" ca="1" si="22"/>
        <v>31</v>
      </c>
      <c r="J250" t="s">
        <v>2255</v>
      </c>
      <c r="K250">
        <v>278</v>
      </c>
    </row>
    <row r="251" spans="8:11" x14ac:dyDescent="0.25">
      <c r="H251" s="9">
        <v>45140</v>
      </c>
      <c r="I251">
        <f t="shared" ca="1" si="22"/>
        <v>31</v>
      </c>
      <c r="J251" t="s">
        <v>2259</v>
      </c>
      <c r="K251">
        <v>1</v>
      </c>
    </row>
    <row r="252" spans="8:11" x14ac:dyDescent="0.25">
      <c r="H252" s="9">
        <v>45140</v>
      </c>
      <c r="I252">
        <f t="shared" ca="1" si="22"/>
        <v>31</v>
      </c>
      <c r="J252" t="s">
        <v>2256</v>
      </c>
      <c r="K252">
        <v>77</v>
      </c>
    </row>
    <row r="253" spans="8:11" x14ac:dyDescent="0.25">
      <c r="H253" s="9">
        <v>45140</v>
      </c>
      <c r="I253">
        <f t="shared" ca="1" si="22"/>
        <v>31</v>
      </c>
      <c r="J253" t="s">
        <v>2258</v>
      </c>
      <c r="K253">
        <v>16</v>
      </c>
    </row>
    <row r="254" spans="8:11" x14ac:dyDescent="0.25">
      <c r="H254" s="9">
        <v>45140</v>
      </c>
      <c r="I254">
        <f t="shared" ca="1" si="22"/>
        <v>31</v>
      </c>
      <c r="J254" t="s">
        <v>2257</v>
      </c>
      <c r="K254">
        <v>10</v>
      </c>
    </row>
    <row r="255" spans="8:11" x14ac:dyDescent="0.25">
      <c r="H255" s="9">
        <v>45140</v>
      </c>
      <c r="I255">
        <f t="shared" ca="1" si="22"/>
        <v>31</v>
      </c>
      <c r="J255" t="s">
        <v>2260</v>
      </c>
      <c r="K255">
        <v>0</v>
      </c>
    </row>
    <row r="256" spans="8:11" x14ac:dyDescent="0.25">
      <c r="H256" s="9">
        <v>45141</v>
      </c>
      <c r="I256">
        <f t="shared" ca="1" si="22"/>
        <v>31</v>
      </c>
      <c r="J256" t="s">
        <v>2255</v>
      </c>
      <c r="K256">
        <v>282</v>
      </c>
    </row>
    <row r="257" spans="8:11" x14ac:dyDescent="0.25">
      <c r="H257" s="9">
        <v>45141</v>
      </c>
      <c r="I257">
        <f t="shared" ca="1" si="22"/>
        <v>31</v>
      </c>
      <c r="J257" t="s">
        <v>2259</v>
      </c>
      <c r="K257">
        <v>1</v>
      </c>
    </row>
    <row r="258" spans="8:11" x14ac:dyDescent="0.25">
      <c r="H258" s="9">
        <v>45141</v>
      </c>
      <c r="I258">
        <f t="shared" ca="1" si="22"/>
        <v>31</v>
      </c>
      <c r="J258" t="s">
        <v>2256</v>
      </c>
      <c r="K258">
        <v>80</v>
      </c>
    </row>
    <row r="259" spans="8:11" x14ac:dyDescent="0.25">
      <c r="H259" s="9">
        <v>45141</v>
      </c>
      <c r="I259">
        <f t="shared" ca="1" si="22"/>
        <v>31</v>
      </c>
      <c r="J259" t="s">
        <v>2258</v>
      </c>
      <c r="K259">
        <v>17</v>
      </c>
    </row>
    <row r="260" spans="8:11" x14ac:dyDescent="0.25">
      <c r="H260" s="9">
        <v>45141</v>
      </c>
      <c r="I260">
        <f t="shared" ca="1" si="22"/>
        <v>31</v>
      </c>
      <c r="J260" t="s">
        <v>2257</v>
      </c>
      <c r="K260">
        <v>10</v>
      </c>
    </row>
    <row r="261" spans="8:11" x14ac:dyDescent="0.25">
      <c r="H261" s="9">
        <v>45141</v>
      </c>
      <c r="I261">
        <f t="shared" ca="1" si="22"/>
        <v>31</v>
      </c>
      <c r="J261" t="s">
        <v>2260</v>
      </c>
      <c r="K261">
        <v>0</v>
      </c>
    </row>
    <row r="262" spans="8:11" x14ac:dyDescent="0.25">
      <c r="H262" s="9">
        <v>45142</v>
      </c>
      <c r="I262">
        <f t="shared" ca="1" si="22"/>
        <v>31</v>
      </c>
      <c r="J262" t="s">
        <v>2255</v>
      </c>
      <c r="K262">
        <v>280</v>
      </c>
    </row>
    <row r="263" spans="8:11" x14ac:dyDescent="0.25">
      <c r="H263" s="9">
        <v>45142</v>
      </c>
      <c r="I263">
        <f t="shared" ca="1" si="22"/>
        <v>31</v>
      </c>
      <c r="J263" t="s">
        <v>2259</v>
      </c>
      <c r="K263">
        <v>1</v>
      </c>
    </row>
    <row r="264" spans="8:11" x14ac:dyDescent="0.25">
      <c r="H264" s="9">
        <v>45142</v>
      </c>
      <c r="I264">
        <f t="shared" ca="1" si="22"/>
        <v>31</v>
      </c>
      <c r="J264" t="s">
        <v>2256</v>
      </c>
      <c r="K264">
        <v>80</v>
      </c>
    </row>
    <row r="265" spans="8:11" x14ac:dyDescent="0.25">
      <c r="H265" s="9">
        <v>45142</v>
      </c>
      <c r="I265">
        <f t="shared" ca="1" si="22"/>
        <v>31</v>
      </c>
      <c r="J265" t="s">
        <v>2258</v>
      </c>
      <c r="K265">
        <v>16</v>
      </c>
    </row>
    <row r="266" spans="8:11" x14ac:dyDescent="0.25">
      <c r="H266" s="9">
        <v>45142</v>
      </c>
      <c r="I266">
        <f t="shared" ca="1" si="22"/>
        <v>31</v>
      </c>
      <c r="J266" t="s">
        <v>2257</v>
      </c>
      <c r="K266">
        <v>9</v>
      </c>
    </row>
    <row r="267" spans="8:11" x14ac:dyDescent="0.25">
      <c r="H267" s="9">
        <v>45142</v>
      </c>
      <c r="I267">
        <f t="shared" ca="1" si="22"/>
        <v>31</v>
      </c>
      <c r="J267" t="s">
        <v>2260</v>
      </c>
      <c r="K267">
        <v>0</v>
      </c>
    </row>
    <row r="268" spans="8:11" x14ac:dyDescent="0.25">
      <c r="H268" s="9">
        <v>45145</v>
      </c>
      <c r="I268">
        <f t="shared" ca="1" si="22"/>
        <v>32</v>
      </c>
      <c r="J268" t="s">
        <v>2255</v>
      </c>
      <c r="K268">
        <v>291</v>
      </c>
    </row>
    <row r="269" spans="8:11" x14ac:dyDescent="0.25">
      <c r="H269" s="9">
        <v>45145</v>
      </c>
      <c r="I269">
        <f t="shared" ca="1" si="22"/>
        <v>32</v>
      </c>
      <c r="J269" t="s">
        <v>2259</v>
      </c>
      <c r="K269">
        <v>1</v>
      </c>
    </row>
    <row r="270" spans="8:11" x14ac:dyDescent="0.25">
      <c r="H270" s="9">
        <v>45145</v>
      </c>
      <c r="I270">
        <f t="shared" ref="I270:I297" ca="1" si="23">WEEKNUM(INDIRECT("H"&amp;ROW()))</f>
        <v>32</v>
      </c>
      <c r="J270" t="s">
        <v>2256</v>
      </c>
      <c r="K270">
        <v>80</v>
      </c>
    </row>
    <row r="271" spans="8:11" x14ac:dyDescent="0.25">
      <c r="H271" s="9">
        <v>45145</v>
      </c>
      <c r="I271">
        <f t="shared" ca="1" si="23"/>
        <v>32</v>
      </c>
      <c r="J271" t="s">
        <v>2258</v>
      </c>
      <c r="K271">
        <v>19</v>
      </c>
    </row>
    <row r="272" spans="8:11" x14ac:dyDescent="0.25">
      <c r="H272" s="9">
        <v>45145</v>
      </c>
      <c r="I272">
        <f t="shared" ca="1" si="23"/>
        <v>32</v>
      </c>
      <c r="J272" t="s">
        <v>2257</v>
      </c>
      <c r="K272">
        <v>8</v>
      </c>
    </row>
    <row r="273" spans="8:11" x14ac:dyDescent="0.25">
      <c r="H273" s="9">
        <v>45145</v>
      </c>
      <c r="I273">
        <f t="shared" ca="1" si="23"/>
        <v>32</v>
      </c>
      <c r="J273" t="s">
        <v>2260</v>
      </c>
      <c r="K273">
        <v>0</v>
      </c>
    </row>
    <row r="274" spans="8:11" x14ac:dyDescent="0.25">
      <c r="H274" s="9">
        <v>45146</v>
      </c>
      <c r="I274">
        <f t="shared" ca="1" si="23"/>
        <v>32</v>
      </c>
      <c r="J274" t="s">
        <v>2255</v>
      </c>
      <c r="K274">
        <v>282</v>
      </c>
    </row>
    <row r="275" spans="8:11" x14ac:dyDescent="0.25">
      <c r="H275" s="9">
        <v>45146</v>
      </c>
      <c r="I275">
        <f t="shared" ca="1" si="23"/>
        <v>32</v>
      </c>
      <c r="J275" t="s">
        <v>2259</v>
      </c>
      <c r="K275">
        <v>1</v>
      </c>
    </row>
    <row r="276" spans="8:11" x14ac:dyDescent="0.25">
      <c r="H276" s="9">
        <v>45146</v>
      </c>
      <c r="I276">
        <f t="shared" ca="1" si="23"/>
        <v>32</v>
      </c>
      <c r="J276" t="s">
        <v>2256</v>
      </c>
      <c r="K276">
        <v>81</v>
      </c>
    </row>
    <row r="277" spans="8:11" x14ac:dyDescent="0.25">
      <c r="H277" s="9">
        <v>45146</v>
      </c>
      <c r="I277">
        <f t="shared" ca="1" si="23"/>
        <v>32</v>
      </c>
      <c r="J277" t="s">
        <v>2258</v>
      </c>
      <c r="K277">
        <v>18</v>
      </c>
    </row>
    <row r="278" spans="8:11" x14ac:dyDescent="0.25">
      <c r="H278" s="9">
        <v>45146</v>
      </c>
      <c r="I278">
        <f t="shared" ca="1" si="23"/>
        <v>32</v>
      </c>
      <c r="J278" t="s">
        <v>2257</v>
      </c>
      <c r="K278">
        <v>9</v>
      </c>
    </row>
    <row r="279" spans="8:11" x14ac:dyDescent="0.25">
      <c r="H279" s="9">
        <v>45146</v>
      </c>
      <c r="I279">
        <f t="shared" ca="1" si="23"/>
        <v>32</v>
      </c>
      <c r="J279" t="s">
        <v>2260</v>
      </c>
      <c r="K279">
        <v>0</v>
      </c>
    </row>
    <row r="280" spans="8:11" x14ac:dyDescent="0.25">
      <c r="H280" s="9">
        <v>45147</v>
      </c>
      <c r="I280">
        <f t="shared" ca="1" si="23"/>
        <v>32</v>
      </c>
      <c r="J280" t="s">
        <v>2255</v>
      </c>
      <c r="K280">
        <v>269</v>
      </c>
    </row>
    <row r="281" spans="8:11" x14ac:dyDescent="0.25">
      <c r="H281" s="9">
        <v>45147</v>
      </c>
      <c r="I281">
        <f t="shared" ca="1" si="23"/>
        <v>32</v>
      </c>
      <c r="J281" t="s">
        <v>2259</v>
      </c>
      <c r="K281">
        <v>1</v>
      </c>
    </row>
    <row r="282" spans="8:11" x14ac:dyDescent="0.25">
      <c r="H282" s="9">
        <v>45147</v>
      </c>
      <c r="I282">
        <f t="shared" ca="1" si="23"/>
        <v>32</v>
      </c>
      <c r="J282" t="s">
        <v>2256</v>
      </c>
      <c r="K282">
        <v>77</v>
      </c>
    </row>
    <row r="283" spans="8:11" x14ac:dyDescent="0.25">
      <c r="H283" s="9">
        <v>45147</v>
      </c>
      <c r="I283">
        <f t="shared" ca="1" si="23"/>
        <v>32</v>
      </c>
      <c r="J283" t="s">
        <v>2258</v>
      </c>
      <c r="K283">
        <v>19</v>
      </c>
    </row>
    <row r="284" spans="8:11" x14ac:dyDescent="0.25">
      <c r="H284" s="9">
        <v>45147</v>
      </c>
      <c r="I284">
        <f t="shared" ca="1" si="23"/>
        <v>32</v>
      </c>
      <c r="J284" t="s">
        <v>2257</v>
      </c>
      <c r="K284">
        <v>7</v>
      </c>
    </row>
    <row r="285" spans="8:11" x14ac:dyDescent="0.25">
      <c r="H285" s="9">
        <v>45147</v>
      </c>
      <c r="I285">
        <f t="shared" ca="1" si="23"/>
        <v>32</v>
      </c>
      <c r="J285" t="s">
        <v>2260</v>
      </c>
      <c r="K285">
        <v>0</v>
      </c>
    </row>
    <row r="286" spans="8:11" x14ac:dyDescent="0.25">
      <c r="H286" s="9">
        <v>45148</v>
      </c>
      <c r="I286">
        <f t="shared" ca="1" si="23"/>
        <v>32</v>
      </c>
      <c r="J286" t="s">
        <v>2255</v>
      </c>
      <c r="K286">
        <v>271</v>
      </c>
    </row>
    <row r="287" spans="8:11" x14ac:dyDescent="0.25">
      <c r="H287" s="9">
        <v>45148</v>
      </c>
      <c r="I287">
        <f t="shared" ca="1" si="23"/>
        <v>32</v>
      </c>
      <c r="J287" t="s">
        <v>2259</v>
      </c>
      <c r="K287">
        <v>1</v>
      </c>
    </row>
    <row r="288" spans="8:11" x14ac:dyDescent="0.25">
      <c r="H288" s="9">
        <v>45148</v>
      </c>
      <c r="I288">
        <f t="shared" ca="1" si="23"/>
        <v>32</v>
      </c>
      <c r="J288" t="s">
        <v>2256</v>
      </c>
      <c r="K288">
        <v>77</v>
      </c>
    </row>
    <row r="289" spans="8:11" x14ac:dyDescent="0.25">
      <c r="H289" s="9">
        <v>45148</v>
      </c>
      <c r="I289">
        <f t="shared" ca="1" si="23"/>
        <v>32</v>
      </c>
      <c r="J289" t="s">
        <v>2258</v>
      </c>
      <c r="K289">
        <v>20</v>
      </c>
    </row>
    <row r="290" spans="8:11" x14ac:dyDescent="0.25">
      <c r="H290" s="9">
        <v>45148</v>
      </c>
      <c r="I290">
        <f t="shared" ca="1" si="23"/>
        <v>32</v>
      </c>
      <c r="J290" t="s">
        <v>2257</v>
      </c>
      <c r="K290">
        <v>8</v>
      </c>
    </row>
    <row r="291" spans="8:11" x14ac:dyDescent="0.25">
      <c r="H291" s="9">
        <v>45148</v>
      </c>
      <c r="I291">
        <f t="shared" ca="1" si="23"/>
        <v>32</v>
      </c>
      <c r="J291" t="s">
        <v>2260</v>
      </c>
      <c r="K291">
        <v>0</v>
      </c>
    </row>
    <row r="292" spans="8:11" x14ac:dyDescent="0.25">
      <c r="H292" s="9">
        <v>45149</v>
      </c>
      <c r="I292">
        <f t="shared" ca="1" si="23"/>
        <v>32</v>
      </c>
      <c r="J292" t="s">
        <v>2255</v>
      </c>
      <c r="K292">
        <v>269</v>
      </c>
    </row>
    <row r="293" spans="8:11" x14ac:dyDescent="0.25">
      <c r="H293" s="9">
        <v>45149</v>
      </c>
      <c r="I293">
        <f t="shared" ca="1" si="23"/>
        <v>32</v>
      </c>
      <c r="J293" t="s">
        <v>2259</v>
      </c>
      <c r="K293">
        <v>2</v>
      </c>
    </row>
    <row r="294" spans="8:11" x14ac:dyDescent="0.25">
      <c r="H294" s="9">
        <v>45149</v>
      </c>
      <c r="I294">
        <f t="shared" ca="1" si="23"/>
        <v>32</v>
      </c>
      <c r="J294" t="s">
        <v>2256</v>
      </c>
      <c r="K294">
        <v>64</v>
      </c>
    </row>
    <row r="295" spans="8:11" x14ac:dyDescent="0.25">
      <c r="H295" s="9">
        <v>45149</v>
      </c>
      <c r="I295">
        <f t="shared" ca="1" si="23"/>
        <v>32</v>
      </c>
      <c r="J295" t="s">
        <v>2258</v>
      </c>
      <c r="K295">
        <v>20</v>
      </c>
    </row>
    <row r="296" spans="8:11" x14ac:dyDescent="0.25">
      <c r="H296" s="9">
        <v>45149</v>
      </c>
      <c r="I296">
        <f t="shared" ca="1" si="23"/>
        <v>32</v>
      </c>
      <c r="J296" t="s">
        <v>2257</v>
      </c>
      <c r="K296">
        <v>9</v>
      </c>
    </row>
    <row r="297" spans="8:11" x14ac:dyDescent="0.25">
      <c r="H297" s="9">
        <v>45149</v>
      </c>
      <c r="I297">
        <f t="shared" ca="1" si="23"/>
        <v>32</v>
      </c>
      <c r="J297" t="s">
        <v>2260</v>
      </c>
      <c r="K297">
        <v>0</v>
      </c>
    </row>
    <row r="298" spans="8:11" x14ac:dyDescent="0.25">
      <c r="H298" s="9">
        <v>45153</v>
      </c>
      <c r="I298">
        <f t="shared" ref="I298:I329" ca="1" si="24">WEEKNUM(INDIRECT("H"&amp;ROW()))</f>
        <v>33</v>
      </c>
      <c r="J298" t="s">
        <v>2255</v>
      </c>
      <c r="K298">
        <v>275</v>
      </c>
    </row>
    <row r="299" spans="8:11" x14ac:dyDescent="0.25">
      <c r="H299" s="9">
        <v>45153</v>
      </c>
      <c r="I299">
        <f t="shared" ca="1" si="24"/>
        <v>33</v>
      </c>
      <c r="J299" t="s">
        <v>2259</v>
      </c>
      <c r="K299">
        <v>3</v>
      </c>
    </row>
    <row r="300" spans="8:11" x14ac:dyDescent="0.25">
      <c r="H300" s="9">
        <v>45153</v>
      </c>
      <c r="I300">
        <f t="shared" ca="1" si="24"/>
        <v>33</v>
      </c>
      <c r="J300" t="s">
        <v>2256</v>
      </c>
      <c r="K300">
        <v>64</v>
      </c>
    </row>
    <row r="301" spans="8:11" x14ac:dyDescent="0.25">
      <c r="H301" s="9">
        <v>45153</v>
      </c>
      <c r="I301">
        <f t="shared" ca="1" si="24"/>
        <v>33</v>
      </c>
      <c r="J301" t="s">
        <v>2258</v>
      </c>
      <c r="K301">
        <v>22</v>
      </c>
    </row>
    <row r="302" spans="8:11" x14ac:dyDescent="0.25">
      <c r="H302" s="9">
        <v>45153</v>
      </c>
      <c r="I302">
        <f t="shared" ca="1" si="24"/>
        <v>33</v>
      </c>
      <c r="J302" t="s">
        <v>2257</v>
      </c>
      <c r="K302">
        <v>11</v>
      </c>
    </row>
    <row r="303" spans="8:11" x14ac:dyDescent="0.25">
      <c r="H303" s="9">
        <v>45153</v>
      </c>
      <c r="I303">
        <f t="shared" ca="1" si="24"/>
        <v>33</v>
      </c>
      <c r="J303" t="s">
        <v>2260</v>
      </c>
      <c r="K303">
        <v>0</v>
      </c>
    </row>
    <row r="304" spans="8:11" x14ac:dyDescent="0.25">
      <c r="H304" s="9">
        <v>45154</v>
      </c>
      <c r="I304">
        <f t="shared" ca="1" si="24"/>
        <v>33</v>
      </c>
      <c r="J304" t="s">
        <v>2255</v>
      </c>
      <c r="K304">
        <v>300</v>
      </c>
    </row>
    <row r="305" spans="8:11" x14ac:dyDescent="0.25">
      <c r="H305" s="9">
        <v>45154</v>
      </c>
      <c r="I305">
        <f t="shared" ca="1" si="24"/>
        <v>33</v>
      </c>
      <c r="J305" t="s">
        <v>2259</v>
      </c>
      <c r="K305">
        <v>3</v>
      </c>
    </row>
    <row r="306" spans="8:11" x14ac:dyDescent="0.25">
      <c r="H306" s="9">
        <v>45154</v>
      </c>
      <c r="I306">
        <f t="shared" ca="1" si="24"/>
        <v>33</v>
      </c>
      <c r="J306" t="s">
        <v>2256</v>
      </c>
      <c r="K306">
        <v>71</v>
      </c>
    </row>
    <row r="307" spans="8:11" x14ac:dyDescent="0.25">
      <c r="H307" s="9">
        <v>45154</v>
      </c>
      <c r="I307">
        <f t="shared" ca="1" si="24"/>
        <v>33</v>
      </c>
      <c r="J307" t="s">
        <v>2258</v>
      </c>
      <c r="K307">
        <v>24</v>
      </c>
    </row>
    <row r="308" spans="8:11" x14ac:dyDescent="0.25">
      <c r="H308" s="9">
        <v>45154</v>
      </c>
      <c r="I308">
        <f t="shared" ca="1" si="24"/>
        <v>33</v>
      </c>
      <c r="J308" t="s">
        <v>2257</v>
      </c>
      <c r="K308">
        <v>12</v>
      </c>
    </row>
    <row r="309" spans="8:11" x14ac:dyDescent="0.25">
      <c r="H309" s="9">
        <v>45154</v>
      </c>
      <c r="I309">
        <f t="shared" ca="1" si="24"/>
        <v>33</v>
      </c>
      <c r="J309" t="s">
        <v>2260</v>
      </c>
      <c r="K309">
        <v>0</v>
      </c>
    </row>
    <row r="310" spans="8:11" x14ac:dyDescent="0.25">
      <c r="H310" s="9">
        <v>45155</v>
      </c>
      <c r="I310">
        <f t="shared" ca="1" si="24"/>
        <v>33</v>
      </c>
      <c r="J310" t="s">
        <v>2255</v>
      </c>
      <c r="K310">
        <v>288</v>
      </c>
    </row>
    <row r="311" spans="8:11" x14ac:dyDescent="0.25">
      <c r="H311" s="9">
        <v>45155</v>
      </c>
      <c r="I311">
        <f t="shared" ca="1" si="24"/>
        <v>33</v>
      </c>
      <c r="J311" t="s">
        <v>2259</v>
      </c>
      <c r="K311">
        <v>3</v>
      </c>
    </row>
    <row r="312" spans="8:11" x14ac:dyDescent="0.25">
      <c r="H312" s="9">
        <v>45155</v>
      </c>
      <c r="I312">
        <f t="shared" ca="1" si="24"/>
        <v>33</v>
      </c>
      <c r="J312" t="s">
        <v>2256</v>
      </c>
      <c r="K312">
        <v>64</v>
      </c>
    </row>
    <row r="313" spans="8:11" x14ac:dyDescent="0.25">
      <c r="H313" s="9">
        <v>45155</v>
      </c>
      <c r="I313">
        <f t="shared" ca="1" si="24"/>
        <v>33</v>
      </c>
      <c r="J313" t="s">
        <v>2258</v>
      </c>
      <c r="K313">
        <v>21</v>
      </c>
    </row>
    <row r="314" spans="8:11" x14ac:dyDescent="0.25">
      <c r="H314" s="9">
        <v>45155</v>
      </c>
      <c r="I314">
        <f t="shared" ca="1" si="24"/>
        <v>33</v>
      </c>
      <c r="J314" t="s">
        <v>2257</v>
      </c>
      <c r="K314">
        <v>9</v>
      </c>
    </row>
    <row r="315" spans="8:11" x14ac:dyDescent="0.25">
      <c r="H315" s="9">
        <v>45155</v>
      </c>
      <c r="I315">
        <f t="shared" ca="1" si="24"/>
        <v>33</v>
      </c>
      <c r="J315" t="s">
        <v>2260</v>
      </c>
      <c r="K315">
        <v>0</v>
      </c>
    </row>
    <row r="316" spans="8:11" x14ac:dyDescent="0.25">
      <c r="H316" s="9">
        <v>45156</v>
      </c>
      <c r="I316">
        <f t="shared" ca="1" si="24"/>
        <v>33</v>
      </c>
      <c r="J316" t="s">
        <v>2255</v>
      </c>
      <c r="K316">
        <v>277</v>
      </c>
    </row>
    <row r="317" spans="8:11" x14ac:dyDescent="0.25">
      <c r="H317" s="9">
        <v>45156</v>
      </c>
      <c r="I317">
        <f t="shared" ca="1" si="24"/>
        <v>33</v>
      </c>
      <c r="J317" t="s">
        <v>2259</v>
      </c>
      <c r="K317">
        <v>4</v>
      </c>
    </row>
    <row r="318" spans="8:11" x14ac:dyDescent="0.25">
      <c r="H318" s="9">
        <v>45156</v>
      </c>
      <c r="I318">
        <f t="shared" ca="1" si="24"/>
        <v>33</v>
      </c>
      <c r="J318" t="s">
        <v>2256</v>
      </c>
      <c r="K318">
        <v>73</v>
      </c>
    </row>
    <row r="319" spans="8:11" x14ac:dyDescent="0.25">
      <c r="H319" s="9">
        <v>45156</v>
      </c>
      <c r="I319">
        <f t="shared" ca="1" si="24"/>
        <v>33</v>
      </c>
      <c r="J319" t="s">
        <v>2258</v>
      </c>
      <c r="K319">
        <v>21</v>
      </c>
    </row>
    <row r="320" spans="8:11" x14ac:dyDescent="0.25">
      <c r="H320" s="9">
        <v>45156</v>
      </c>
      <c r="I320">
        <f t="shared" ca="1" si="24"/>
        <v>33</v>
      </c>
      <c r="J320" t="s">
        <v>2257</v>
      </c>
      <c r="K320">
        <v>8</v>
      </c>
    </row>
    <row r="321" spans="8:11" x14ac:dyDescent="0.25">
      <c r="H321" s="9">
        <v>45156</v>
      </c>
      <c r="I321">
        <f t="shared" ca="1" si="24"/>
        <v>33</v>
      </c>
      <c r="J321" t="s">
        <v>2260</v>
      </c>
      <c r="K321">
        <v>0</v>
      </c>
    </row>
    <row r="322" spans="8:11" x14ac:dyDescent="0.25">
      <c r="H322" s="9">
        <v>45159</v>
      </c>
      <c r="I322">
        <f t="shared" ca="1" si="24"/>
        <v>34</v>
      </c>
      <c r="J322" t="s">
        <v>2255</v>
      </c>
      <c r="K322">
        <v>253</v>
      </c>
    </row>
    <row r="323" spans="8:11" x14ac:dyDescent="0.25">
      <c r="H323" s="9">
        <v>45159</v>
      </c>
      <c r="I323">
        <f t="shared" ca="1" si="24"/>
        <v>34</v>
      </c>
      <c r="J323" t="s">
        <v>2259</v>
      </c>
      <c r="K323">
        <v>3</v>
      </c>
    </row>
    <row r="324" spans="8:11" x14ac:dyDescent="0.25">
      <c r="H324" s="9">
        <v>45159</v>
      </c>
      <c r="I324">
        <f t="shared" ca="1" si="24"/>
        <v>34</v>
      </c>
      <c r="J324" t="s">
        <v>2256</v>
      </c>
      <c r="K324">
        <v>68</v>
      </c>
    </row>
    <row r="325" spans="8:11" x14ac:dyDescent="0.25">
      <c r="H325" s="9">
        <v>45159</v>
      </c>
      <c r="I325">
        <f t="shared" ca="1" si="24"/>
        <v>34</v>
      </c>
      <c r="J325" t="s">
        <v>2258</v>
      </c>
      <c r="K325">
        <v>21</v>
      </c>
    </row>
    <row r="326" spans="8:11" x14ac:dyDescent="0.25">
      <c r="H326" s="9">
        <v>45159</v>
      </c>
      <c r="I326">
        <f t="shared" ca="1" si="24"/>
        <v>34</v>
      </c>
      <c r="J326" t="s">
        <v>2257</v>
      </c>
      <c r="K326">
        <v>8</v>
      </c>
    </row>
    <row r="327" spans="8:11" x14ac:dyDescent="0.25">
      <c r="H327" s="9">
        <v>45159</v>
      </c>
      <c r="I327">
        <f t="shared" ca="1" si="24"/>
        <v>34</v>
      </c>
      <c r="J327" t="s">
        <v>2260</v>
      </c>
      <c r="K327">
        <v>0</v>
      </c>
    </row>
    <row r="328" spans="8:11" x14ac:dyDescent="0.25">
      <c r="H328" s="9">
        <v>45160</v>
      </c>
      <c r="I328">
        <f t="shared" ca="1" si="24"/>
        <v>34</v>
      </c>
      <c r="J328" t="s">
        <v>2255</v>
      </c>
      <c r="K328">
        <v>254</v>
      </c>
    </row>
    <row r="329" spans="8:11" x14ac:dyDescent="0.25">
      <c r="H329" s="9">
        <v>45160</v>
      </c>
      <c r="I329">
        <f t="shared" ca="1" si="24"/>
        <v>34</v>
      </c>
      <c r="J329" t="s">
        <v>2259</v>
      </c>
      <c r="K329">
        <v>2</v>
      </c>
    </row>
    <row r="330" spans="8:11" x14ac:dyDescent="0.25">
      <c r="H330" s="9">
        <v>45160</v>
      </c>
      <c r="I330">
        <f t="shared" ref="I330:I361" ca="1" si="25">WEEKNUM(INDIRECT("H"&amp;ROW()))</f>
        <v>34</v>
      </c>
      <c r="J330" t="s">
        <v>2256</v>
      </c>
      <c r="K330">
        <v>72</v>
      </c>
    </row>
    <row r="331" spans="8:11" x14ac:dyDescent="0.25">
      <c r="H331" s="9">
        <v>45160</v>
      </c>
      <c r="I331">
        <f t="shared" ca="1" si="25"/>
        <v>34</v>
      </c>
      <c r="J331" t="s">
        <v>2258</v>
      </c>
      <c r="K331">
        <v>20</v>
      </c>
    </row>
    <row r="332" spans="8:11" x14ac:dyDescent="0.25">
      <c r="H332" s="9">
        <v>45160</v>
      </c>
      <c r="I332">
        <f t="shared" ca="1" si="25"/>
        <v>34</v>
      </c>
      <c r="J332" t="s">
        <v>2257</v>
      </c>
      <c r="K332">
        <v>8</v>
      </c>
    </row>
    <row r="333" spans="8:11" x14ac:dyDescent="0.25">
      <c r="H333" s="9">
        <v>45160</v>
      </c>
      <c r="I333">
        <f t="shared" ca="1" si="25"/>
        <v>34</v>
      </c>
      <c r="J333" t="s">
        <v>2260</v>
      </c>
      <c r="K333">
        <v>0</v>
      </c>
    </row>
    <row r="334" spans="8:11" x14ac:dyDescent="0.25">
      <c r="H334" s="9">
        <v>45161</v>
      </c>
      <c r="I334">
        <f t="shared" ca="1" si="25"/>
        <v>34</v>
      </c>
      <c r="J334" t="s">
        <v>2255</v>
      </c>
      <c r="K334">
        <v>253</v>
      </c>
    </row>
    <row r="335" spans="8:11" x14ac:dyDescent="0.25">
      <c r="H335" s="9">
        <v>45161</v>
      </c>
      <c r="I335">
        <f t="shared" ca="1" si="25"/>
        <v>34</v>
      </c>
      <c r="J335" t="s">
        <v>2259</v>
      </c>
      <c r="K335">
        <v>4</v>
      </c>
    </row>
    <row r="336" spans="8:11" x14ac:dyDescent="0.25">
      <c r="H336" s="9">
        <v>45161</v>
      </c>
      <c r="I336">
        <f t="shared" ca="1" si="25"/>
        <v>34</v>
      </c>
      <c r="J336" t="s">
        <v>2256</v>
      </c>
      <c r="K336">
        <v>71</v>
      </c>
    </row>
    <row r="337" spans="8:11" x14ac:dyDescent="0.25">
      <c r="H337" s="9">
        <v>45161</v>
      </c>
      <c r="I337">
        <f t="shared" ca="1" si="25"/>
        <v>34</v>
      </c>
      <c r="J337" t="s">
        <v>2258</v>
      </c>
      <c r="K337">
        <v>19</v>
      </c>
    </row>
    <row r="338" spans="8:11" x14ac:dyDescent="0.25">
      <c r="H338" s="9">
        <v>45161</v>
      </c>
      <c r="I338">
        <f t="shared" ca="1" si="25"/>
        <v>34</v>
      </c>
      <c r="J338" t="s">
        <v>2257</v>
      </c>
      <c r="K338">
        <v>6</v>
      </c>
    </row>
    <row r="339" spans="8:11" x14ac:dyDescent="0.25">
      <c r="H339" s="9">
        <v>45161</v>
      </c>
      <c r="I339">
        <f t="shared" ca="1" si="25"/>
        <v>34</v>
      </c>
      <c r="J339" t="s">
        <v>2260</v>
      </c>
      <c r="K339">
        <v>0</v>
      </c>
    </row>
    <row r="340" spans="8:11" x14ac:dyDescent="0.25">
      <c r="H340" s="9">
        <v>45162</v>
      </c>
      <c r="I340">
        <f t="shared" ca="1" si="25"/>
        <v>34</v>
      </c>
      <c r="J340" t="s">
        <v>2255</v>
      </c>
      <c r="K340">
        <v>264</v>
      </c>
    </row>
    <row r="341" spans="8:11" x14ac:dyDescent="0.25">
      <c r="H341" s="9">
        <v>45162</v>
      </c>
      <c r="I341">
        <f t="shared" ca="1" si="25"/>
        <v>34</v>
      </c>
      <c r="J341" t="s">
        <v>2259</v>
      </c>
      <c r="K341">
        <v>2</v>
      </c>
    </row>
    <row r="342" spans="8:11" x14ac:dyDescent="0.25">
      <c r="H342" s="9">
        <v>45162</v>
      </c>
      <c r="I342">
        <f t="shared" ca="1" si="25"/>
        <v>34</v>
      </c>
      <c r="J342" t="s">
        <v>2256</v>
      </c>
      <c r="K342">
        <v>63</v>
      </c>
    </row>
    <row r="343" spans="8:11" x14ac:dyDescent="0.25">
      <c r="H343" s="9">
        <v>45162</v>
      </c>
      <c r="I343">
        <f t="shared" ca="1" si="25"/>
        <v>34</v>
      </c>
      <c r="J343" t="s">
        <v>2258</v>
      </c>
      <c r="K343">
        <v>20</v>
      </c>
    </row>
    <row r="344" spans="8:11" x14ac:dyDescent="0.25">
      <c r="H344" s="9">
        <v>45162</v>
      </c>
      <c r="I344">
        <f t="shared" ca="1" si="25"/>
        <v>34</v>
      </c>
      <c r="J344" t="s">
        <v>2257</v>
      </c>
      <c r="K344">
        <v>5</v>
      </c>
    </row>
    <row r="345" spans="8:11" x14ac:dyDescent="0.25">
      <c r="H345" s="9">
        <v>45162</v>
      </c>
      <c r="I345">
        <f t="shared" ca="1" si="25"/>
        <v>34</v>
      </c>
      <c r="J345" t="s">
        <v>2260</v>
      </c>
      <c r="K345">
        <v>0</v>
      </c>
    </row>
    <row r="346" spans="8:11" x14ac:dyDescent="0.25">
      <c r="H346" s="9">
        <v>45163</v>
      </c>
      <c r="I346">
        <f t="shared" ca="1" si="25"/>
        <v>34</v>
      </c>
      <c r="J346" t="s">
        <v>2255</v>
      </c>
      <c r="K346">
        <v>272</v>
      </c>
    </row>
    <row r="347" spans="8:11" x14ac:dyDescent="0.25">
      <c r="H347" s="9">
        <v>45163</v>
      </c>
      <c r="I347">
        <f t="shared" ca="1" si="25"/>
        <v>34</v>
      </c>
      <c r="J347" t="s">
        <v>2259</v>
      </c>
      <c r="K347">
        <v>2</v>
      </c>
    </row>
    <row r="348" spans="8:11" x14ac:dyDescent="0.25">
      <c r="H348" s="9">
        <v>45163</v>
      </c>
      <c r="I348">
        <f t="shared" ca="1" si="25"/>
        <v>34</v>
      </c>
      <c r="J348" t="s">
        <v>2256</v>
      </c>
      <c r="K348">
        <v>69</v>
      </c>
    </row>
    <row r="349" spans="8:11" x14ac:dyDescent="0.25">
      <c r="H349" s="9">
        <v>45163</v>
      </c>
      <c r="I349">
        <f t="shared" ca="1" si="25"/>
        <v>34</v>
      </c>
      <c r="J349" t="s">
        <v>2258</v>
      </c>
      <c r="K349">
        <v>19</v>
      </c>
    </row>
    <row r="350" spans="8:11" x14ac:dyDescent="0.25">
      <c r="H350" s="9">
        <v>45163</v>
      </c>
      <c r="I350">
        <f t="shared" ca="1" si="25"/>
        <v>34</v>
      </c>
      <c r="J350" t="s">
        <v>2257</v>
      </c>
      <c r="K350">
        <v>5</v>
      </c>
    </row>
    <row r="351" spans="8:11" x14ac:dyDescent="0.25">
      <c r="H351" s="9">
        <v>45163</v>
      </c>
      <c r="I351">
        <f t="shared" ca="1" si="25"/>
        <v>34</v>
      </c>
      <c r="J351" t="s">
        <v>2260</v>
      </c>
      <c r="K351">
        <v>0</v>
      </c>
    </row>
    <row r="352" spans="8:11" x14ac:dyDescent="0.25">
      <c r="H352" s="9">
        <v>45166</v>
      </c>
      <c r="I352">
        <f t="shared" ca="1" si="25"/>
        <v>35</v>
      </c>
      <c r="J352" t="s">
        <v>2255</v>
      </c>
      <c r="K352">
        <v>267</v>
      </c>
    </row>
    <row r="353" spans="8:11" x14ac:dyDescent="0.25">
      <c r="H353" s="9">
        <v>45166</v>
      </c>
      <c r="I353">
        <f t="shared" ca="1" si="25"/>
        <v>35</v>
      </c>
      <c r="J353" t="s">
        <v>2259</v>
      </c>
      <c r="K353">
        <v>2</v>
      </c>
    </row>
    <row r="354" spans="8:11" x14ac:dyDescent="0.25">
      <c r="H354" s="9">
        <v>45166</v>
      </c>
      <c r="I354">
        <f t="shared" ca="1" si="25"/>
        <v>35</v>
      </c>
      <c r="J354" t="s">
        <v>2256</v>
      </c>
      <c r="K354">
        <v>72</v>
      </c>
    </row>
    <row r="355" spans="8:11" x14ac:dyDescent="0.25">
      <c r="H355" s="9">
        <v>45166</v>
      </c>
      <c r="I355">
        <f t="shared" ca="1" si="25"/>
        <v>35</v>
      </c>
      <c r="J355" t="s">
        <v>2258</v>
      </c>
      <c r="K355">
        <v>19</v>
      </c>
    </row>
    <row r="356" spans="8:11" x14ac:dyDescent="0.25">
      <c r="H356" s="9">
        <v>45166</v>
      </c>
      <c r="I356">
        <f t="shared" ca="1" si="25"/>
        <v>35</v>
      </c>
      <c r="J356" t="s">
        <v>2257</v>
      </c>
      <c r="K356">
        <v>5</v>
      </c>
    </row>
    <row r="357" spans="8:11" x14ac:dyDescent="0.25">
      <c r="H357" s="9">
        <v>45166</v>
      </c>
      <c r="I357">
        <f t="shared" ca="1" si="25"/>
        <v>35</v>
      </c>
      <c r="J357" t="s">
        <v>2260</v>
      </c>
      <c r="K357">
        <v>0</v>
      </c>
    </row>
    <row r="358" spans="8:11" x14ac:dyDescent="0.25">
      <c r="H358" s="9">
        <v>45167</v>
      </c>
      <c r="I358">
        <f t="shared" ca="1" si="25"/>
        <v>35</v>
      </c>
      <c r="J358" t="s">
        <v>2255</v>
      </c>
      <c r="K358">
        <v>267</v>
      </c>
    </row>
    <row r="359" spans="8:11" x14ac:dyDescent="0.25">
      <c r="H359" s="9">
        <v>45167</v>
      </c>
      <c r="I359">
        <f t="shared" ca="1" si="25"/>
        <v>35</v>
      </c>
      <c r="J359" t="s">
        <v>2259</v>
      </c>
      <c r="K359">
        <v>2</v>
      </c>
    </row>
    <row r="360" spans="8:11" x14ac:dyDescent="0.25">
      <c r="H360" s="9">
        <v>45167</v>
      </c>
      <c r="I360">
        <f t="shared" ca="1" si="25"/>
        <v>35</v>
      </c>
      <c r="J360" t="s">
        <v>2256</v>
      </c>
      <c r="K360">
        <v>74</v>
      </c>
    </row>
    <row r="361" spans="8:11" x14ac:dyDescent="0.25">
      <c r="H361" s="9">
        <v>45167</v>
      </c>
      <c r="I361">
        <f t="shared" ca="1" si="25"/>
        <v>35</v>
      </c>
      <c r="J361" t="s">
        <v>2258</v>
      </c>
      <c r="K361">
        <v>22</v>
      </c>
    </row>
    <row r="362" spans="8:11" x14ac:dyDescent="0.25">
      <c r="H362" s="9">
        <v>45167</v>
      </c>
      <c r="I362">
        <f t="shared" ref="I362:I381" ca="1" si="26">WEEKNUM(INDIRECT("H"&amp;ROW()))</f>
        <v>35</v>
      </c>
      <c r="J362" t="s">
        <v>2257</v>
      </c>
      <c r="K362">
        <v>6</v>
      </c>
    </row>
    <row r="363" spans="8:11" x14ac:dyDescent="0.25">
      <c r="H363" s="9">
        <v>45167</v>
      </c>
      <c r="I363">
        <f t="shared" ca="1" si="26"/>
        <v>35</v>
      </c>
      <c r="J363" t="s">
        <v>2260</v>
      </c>
      <c r="K363">
        <v>0</v>
      </c>
    </row>
    <row r="364" spans="8:11" x14ac:dyDescent="0.25">
      <c r="H364" s="9">
        <v>45168</v>
      </c>
      <c r="I364">
        <f t="shared" ca="1" si="26"/>
        <v>35</v>
      </c>
      <c r="J364" t="s">
        <v>2255</v>
      </c>
      <c r="K364">
        <v>260</v>
      </c>
    </row>
    <row r="365" spans="8:11" x14ac:dyDescent="0.25">
      <c r="H365" s="9">
        <v>45168</v>
      </c>
      <c r="I365">
        <f t="shared" ca="1" si="26"/>
        <v>35</v>
      </c>
      <c r="J365" t="s">
        <v>2259</v>
      </c>
      <c r="K365">
        <v>4</v>
      </c>
    </row>
    <row r="366" spans="8:11" x14ac:dyDescent="0.25">
      <c r="H366" s="9">
        <v>45168</v>
      </c>
      <c r="I366">
        <f t="shared" ca="1" si="26"/>
        <v>35</v>
      </c>
      <c r="J366" t="s">
        <v>2256</v>
      </c>
      <c r="K366">
        <v>70</v>
      </c>
    </row>
    <row r="367" spans="8:11" x14ac:dyDescent="0.25">
      <c r="H367" s="9">
        <v>45168</v>
      </c>
      <c r="I367">
        <f t="shared" ca="1" si="26"/>
        <v>35</v>
      </c>
      <c r="J367" t="s">
        <v>2258</v>
      </c>
      <c r="K367">
        <v>21</v>
      </c>
    </row>
    <row r="368" spans="8:11" x14ac:dyDescent="0.25">
      <c r="H368" s="9">
        <v>45168</v>
      </c>
      <c r="I368">
        <f t="shared" ca="1" si="26"/>
        <v>35</v>
      </c>
      <c r="J368" t="s">
        <v>2257</v>
      </c>
      <c r="K368">
        <v>7</v>
      </c>
    </row>
    <row r="369" spans="8:11" x14ac:dyDescent="0.25">
      <c r="H369" s="9">
        <v>45168</v>
      </c>
      <c r="I369">
        <f t="shared" ca="1" si="26"/>
        <v>35</v>
      </c>
      <c r="J369" t="s">
        <v>2260</v>
      </c>
      <c r="K369">
        <v>0</v>
      </c>
    </row>
    <row r="370" spans="8:11" x14ac:dyDescent="0.25">
      <c r="H370" s="9">
        <v>45169</v>
      </c>
      <c r="I370">
        <f t="shared" ca="1" si="26"/>
        <v>35</v>
      </c>
      <c r="J370" t="s">
        <v>2255</v>
      </c>
      <c r="K370">
        <v>267</v>
      </c>
    </row>
    <row r="371" spans="8:11" x14ac:dyDescent="0.25">
      <c r="H371" s="9">
        <v>45169</v>
      </c>
      <c r="I371">
        <f t="shared" ca="1" si="26"/>
        <v>35</v>
      </c>
      <c r="J371" t="s">
        <v>2259</v>
      </c>
      <c r="K371">
        <v>4</v>
      </c>
    </row>
    <row r="372" spans="8:11" x14ac:dyDescent="0.25">
      <c r="H372" s="9">
        <v>45169</v>
      </c>
      <c r="I372">
        <f t="shared" ca="1" si="26"/>
        <v>35</v>
      </c>
      <c r="J372" t="s">
        <v>2256</v>
      </c>
      <c r="K372">
        <v>63</v>
      </c>
    </row>
    <row r="373" spans="8:11" x14ac:dyDescent="0.25">
      <c r="H373" s="9">
        <v>45169</v>
      </c>
      <c r="I373">
        <f t="shared" ca="1" si="26"/>
        <v>35</v>
      </c>
      <c r="J373" t="s">
        <v>2258</v>
      </c>
      <c r="K373">
        <v>25</v>
      </c>
    </row>
    <row r="374" spans="8:11" x14ac:dyDescent="0.25">
      <c r="H374" s="9">
        <v>45169</v>
      </c>
      <c r="I374">
        <f t="shared" ca="1" si="26"/>
        <v>35</v>
      </c>
      <c r="J374" t="s">
        <v>2257</v>
      </c>
      <c r="K374">
        <v>8</v>
      </c>
    </row>
    <row r="375" spans="8:11" x14ac:dyDescent="0.25">
      <c r="H375" s="9">
        <v>45169</v>
      </c>
      <c r="I375">
        <f t="shared" ca="1" si="26"/>
        <v>35</v>
      </c>
      <c r="J375" t="s">
        <v>2260</v>
      </c>
      <c r="K375">
        <v>0</v>
      </c>
    </row>
    <row r="376" spans="8:11" x14ac:dyDescent="0.25">
      <c r="H376" s="9">
        <v>45170</v>
      </c>
      <c r="I376">
        <f t="shared" ca="1" si="26"/>
        <v>35</v>
      </c>
      <c r="J376" t="s">
        <v>2255</v>
      </c>
      <c r="K376">
        <v>255</v>
      </c>
    </row>
    <row r="377" spans="8:11" x14ac:dyDescent="0.25">
      <c r="H377" s="9">
        <v>45170</v>
      </c>
      <c r="I377">
        <f t="shared" ca="1" si="26"/>
        <v>35</v>
      </c>
      <c r="J377" t="s">
        <v>2259</v>
      </c>
      <c r="K377">
        <v>4</v>
      </c>
    </row>
    <row r="378" spans="8:11" x14ac:dyDescent="0.25">
      <c r="H378" s="9">
        <v>45170</v>
      </c>
      <c r="I378">
        <f t="shared" ca="1" si="26"/>
        <v>35</v>
      </c>
      <c r="J378" t="s">
        <v>2256</v>
      </c>
      <c r="K378">
        <v>60</v>
      </c>
    </row>
    <row r="379" spans="8:11" x14ac:dyDescent="0.25">
      <c r="H379" s="9">
        <v>45170</v>
      </c>
      <c r="I379">
        <f t="shared" ca="1" si="26"/>
        <v>35</v>
      </c>
      <c r="J379" t="s">
        <v>2258</v>
      </c>
      <c r="K379">
        <v>24</v>
      </c>
    </row>
    <row r="380" spans="8:11" x14ac:dyDescent="0.25">
      <c r="H380" s="9">
        <v>45170</v>
      </c>
      <c r="I380">
        <f t="shared" ca="1" si="26"/>
        <v>35</v>
      </c>
      <c r="J380" t="s">
        <v>2257</v>
      </c>
      <c r="K380">
        <v>8</v>
      </c>
    </row>
    <row r="381" spans="8:11" x14ac:dyDescent="0.25">
      <c r="H381" s="9">
        <v>45170</v>
      </c>
      <c r="I381">
        <f t="shared" ca="1" si="26"/>
        <v>35</v>
      </c>
      <c r="J381" t="s">
        <v>2260</v>
      </c>
      <c r="K381">
        <v>0</v>
      </c>
    </row>
    <row r="382" spans="8:11" x14ac:dyDescent="0.25">
      <c r="H382" s="9">
        <v>45180</v>
      </c>
      <c r="I382">
        <f t="shared" ref="I382:I405" ca="1" si="27">WEEKNUM(INDIRECT("H"&amp;ROW()))</f>
        <v>37</v>
      </c>
      <c r="J382" t="s">
        <v>2255</v>
      </c>
      <c r="K382">
        <v>266</v>
      </c>
    </row>
    <row r="383" spans="8:11" x14ac:dyDescent="0.25">
      <c r="H383" s="9">
        <v>45180</v>
      </c>
      <c r="I383">
        <f t="shared" ca="1" si="27"/>
        <v>37</v>
      </c>
      <c r="J383" t="s">
        <v>2259</v>
      </c>
      <c r="K383">
        <v>1</v>
      </c>
    </row>
    <row r="384" spans="8:11" x14ac:dyDescent="0.25">
      <c r="H384" s="9">
        <v>45180</v>
      </c>
      <c r="I384">
        <f t="shared" ca="1" si="27"/>
        <v>37</v>
      </c>
      <c r="J384" t="s">
        <v>2256</v>
      </c>
      <c r="K384">
        <v>50</v>
      </c>
    </row>
    <row r="385" spans="8:11" x14ac:dyDescent="0.25">
      <c r="H385" s="9">
        <v>45180</v>
      </c>
      <c r="I385">
        <f t="shared" ca="1" si="27"/>
        <v>37</v>
      </c>
      <c r="J385" t="s">
        <v>2258</v>
      </c>
      <c r="K385">
        <v>18</v>
      </c>
    </row>
    <row r="386" spans="8:11" x14ac:dyDescent="0.25">
      <c r="H386" s="9">
        <v>45180</v>
      </c>
      <c r="I386">
        <f t="shared" ca="1" si="27"/>
        <v>37</v>
      </c>
      <c r="J386" t="s">
        <v>2257</v>
      </c>
      <c r="K386">
        <v>7</v>
      </c>
    </row>
    <row r="387" spans="8:11" x14ac:dyDescent="0.25">
      <c r="H387" s="9">
        <v>45180</v>
      </c>
      <c r="I387">
        <f t="shared" ca="1" si="27"/>
        <v>37</v>
      </c>
      <c r="J387" t="s">
        <v>2260</v>
      </c>
      <c r="K387">
        <v>1</v>
      </c>
    </row>
    <row r="388" spans="8:11" x14ac:dyDescent="0.25">
      <c r="H388" s="9">
        <v>45181</v>
      </c>
      <c r="I388">
        <f t="shared" ca="1" si="27"/>
        <v>37</v>
      </c>
      <c r="J388" t="s">
        <v>2255</v>
      </c>
      <c r="K388">
        <v>234</v>
      </c>
    </row>
    <row r="389" spans="8:11" x14ac:dyDescent="0.25">
      <c r="H389" s="9">
        <v>45181</v>
      </c>
      <c r="I389">
        <f t="shared" ca="1" si="27"/>
        <v>37</v>
      </c>
      <c r="J389" t="s">
        <v>2259</v>
      </c>
      <c r="K389">
        <v>2</v>
      </c>
    </row>
    <row r="390" spans="8:11" x14ac:dyDescent="0.25">
      <c r="H390" s="9">
        <v>45181</v>
      </c>
      <c r="I390">
        <f t="shared" ca="1" si="27"/>
        <v>37</v>
      </c>
      <c r="J390" t="s">
        <v>2256</v>
      </c>
      <c r="K390">
        <v>48</v>
      </c>
    </row>
    <row r="391" spans="8:11" x14ac:dyDescent="0.25">
      <c r="H391" s="9">
        <v>45181</v>
      </c>
      <c r="I391">
        <f t="shared" ca="1" si="27"/>
        <v>37</v>
      </c>
      <c r="J391" t="s">
        <v>2258</v>
      </c>
      <c r="K391">
        <v>19</v>
      </c>
    </row>
    <row r="392" spans="8:11" x14ac:dyDescent="0.25">
      <c r="H392" s="9">
        <v>45181</v>
      </c>
      <c r="I392">
        <f t="shared" ca="1" si="27"/>
        <v>37</v>
      </c>
      <c r="J392" t="s">
        <v>2257</v>
      </c>
      <c r="K392">
        <v>8</v>
      </c>
    </row>
    <row r="393" spans="8:11" x14ac:dyDescent="0.25">
      <c r="H393" s="9">
        <v>45181</v>
      </c>
      <c r="I393">
        <f t="shared" ca="1" si="27"/>
        <v>37</v>
      </c>
      <c r="J393" t="s">
        <v>2260</v>
      </c>
      <c r="K393">
        <v>1</v>
      </c>
    </row>
    <row r="394" spans="8:11" x14ac:dyDescent="0.25">
      <c r="H394" s="9">
        <v>45182</v>
      </c>
      <c r="I394">
        <f t="shared" ca="1" si="27"/>
        <v>37</v>
      </c>
      <c r="J394" t="s">
        <v>2255</v>
      </c>
      <c r="K394">
        <v>233</v>
      </c>
    </row>
    <row r="395" spans="8:11" x14ac:dyDescent="0.25">
      <c r="H395" s="9">
        <v>45182</v>
      </c>
      <c r="I395">
        <f t="shared" ca="1" si="27"/>
        <v>37</v>
      </c>
      <c r="J395" t="s">
        <v>2259</v>
      </c>
      <c r="K395">
        <v>2</v>
      </c>
    </row>
    <row r="396" spans="8:11" x14ac:dyDescent="0.25">
      <c r="H396" s="9">
        <v>45182</v>
      </c>
      <c r="I396">
        <f t="shared" ca="1" si="27"/>
        <v>37</v>
      </c>
      <c r="J396" t="s">
        <v>2256</v>
      </c>
      <c r="K396">
        <v>45</v>
      </c>
    </row>
    <row r="397" spans="8:11" x14ac:dyDescent="0.25">
      <c r="H397" s="9">
        <v>45182</v>
      </c>
      <c r="I397">
        <f t="shared" ca="1" si="27"/>
        <v>37</v>
      </c>
      <c r="J397" t="s">
        <v>2258</v>
      </c>
      <c r="K397">
        <v>19</v>
      </c>
    </row>
    <row r="398" spans="8:11" x14ac:dyDescent="0.25">
      <c r="H398" s="9">
        <v>45182</v>
      </c>
      <c r="I398">
        <f t="shared" ca="1" si="27"/>
        <v>37</v>
      </c>
      <c r="J398" t="s">
        <v>2257</v>
      </c>
      <c r="K398">
        <v>9</v>
      </c>
    </row>
    <row r="399" spans="8:11" x14ac:dyDescent="0.25">
      <c r="H399" s="9">
        <v>45182</v>
      </c>
      <c r="I399">
        <f t="shared" ca="1" si="27"/>
        <v>37</v>
      </c>
      <c r="J399" t="s">
        <v>2260</v>
      </c>
      <c r="K399">
        <v>0</v>
      </c>
    </row>
    <row r="400" spans="8:11" x14ac:dyDescent="0.25">
      <c r="H400" s="9">
        <v>45183</v>
      </c>
      <c r="I400">
        <f t="shared" ca="1" si="27"/>
        <v>37</v>
      </c>
      <c r="J400" t="s">
        <v>2255</v>
      </c>
      <c r="K400">
        <v>232</v>
      </c>
    </row>
    <row r="401" spans="8:11" x14ac:dyDescent="0.25">
      <c r="H401" s="9">
        <v>45183</v>
      </c>
      <c r="I401">
        <f t="shared" ca="1" si="27"/>
        <v>37</v>
      </c>
      <c r="J401" t="s">
        <v>2259</v>
      </c>
      <c r="K401">
        <v>2</v>
      </c>
    </row>
    <row r="402" spans="8:11" x14ac:dyDescent="0.25">
      <c r="H402" s="9">
        <v>45183</v>
      </c>
      <c r="I402">
        <f t="shared" ca="1" si="27"/>
        <v>37</v>
      </c>
      <c r="J402" t="s">
        <v>2256</v>
      </c>
      <c r="K402">
        <v>42</v>
      </c>
    </row>
    <row r="403" spans="8:11" x14ac:dyDescent="0.25">
      <c r="H403" s="9">
        <v>45183</v>
      </c>
      <c r="I403">
        <f t="shared" ca="1" si="27"/>
        <v>37</v>
      </c>
      <c r="J403" t="s">
        <v>2258</v>
      </c>
      <c r="K403">
        <v>19</v>
      </c>
    </row>
    <row r="404" spans="8:11" x14ac:dyDescent="0.25">
      <c r="H404" s="9">
        <v>45183</v>
      </c>
      <c r="I404">
        <f t="shared" ca="1" si="27"/>
        <v>37</v>
      </c>
      <c r="J404" t="s">
        <v>2257</v>
      </c>
      <c r="K404">
        <v>9</v>
      </c>
    </row>
    <row r="405" spans="8:11" x14ac:dyDescent="0.25">
      <c r="H405" s="9">
        <v>45183</v>
      </c>
      <c r="I405">
        <f t="shared" ca="1" si="27"/>
        <v>37</v>
      </c>
      <c r="J405" t="s">
        <v>2260</v>
      </c>
      <c r="K405">
        <v>0</v>
      </c>
    </row>
    <row r="406" spans="8:11" x14ac:dyDescent="0.25">
      <c r="H406" s="9">
        <v>45187</v>
      </c>
      <c r="I406">
        <f t="shared" ref="I406:I437" ca="1" si="28">WEEKNUM(INDIRECT("H"&amp;ROW()))</f>
        <v>38</v>
      </c>
      <c r="J406" t="s">
        <v>2255</v>
      </c>
      <c r="K406">
        <v>239</v>
      </c>
    </row>
    <row r="407" spans="8:11" x14ac:dyDescent="0.25">
      <c r="H407" s="9">
        <v>45187</v>
      </c>
      <c r="I407">
        <f t="shared" ca="1" si="28"/>
        <v>38</v>
      </c>
      <c r="J407" t="s">
        <v>2259</v>
      </c>
      <c r="K407">
        <v>2</v>
      </c>
    </row>
    <row r="408" spans="8:11" x14ac:dyDescent="0.25">
      <c r="H408" s="9">
        <v>45187</v>
      </c>
      <c r="I408">
        <f t="shared" ca="1" si="28"/>
        <v>38</v>
      </c>
      <c r="J408" t="s">
        <v>2256</v>
      </c>
      <c r="K408">
        <v>49</v>
      </c>
    </row>
    <row r="409" spans="8:11" x14ac:dyDescent="0.25">
      <c r="H409" s="9">
        <v>45187</v>
      </c>
      <c r="I409">
        <f t="shared" ca="1" si="28"/>
        <v>38</v>
      </c>
      <c r="J409" t="s">
        <v>2258</v>
      </c>
      <c r="K409">
        <v>21</v>
      </c>
    </row>
    <row r="410" spans="8:11" x14ac:dyDescent="0.25">
      <c r="H410" s="9">
        <v>45187</v>
      </c>
      <c r="I410">
        <f t="shared" ca="1" si="28"/>
        <v>38</v>
      </c>
      <c r="J410" t="s">
        <v>2257</v>
      </c>
      <c r="K410">
        <v>13</v>
      </c>
    </row>
    <row r="411" spans="8:11" x14ac:dyDescent="0.25">
      <c r="H411" s="9">
        <v>45187</v>
      </c>
      <c r="I411">
        <f t="shared" ca="1" si="28"/>
        <v>38</v>
      </c>
      <c r="J411" t="s">
        <v>2260</v>
      </c>
      <c r="K411">
        <v>0</v>
      </c>
    </row>
    <row r="412" spans="8:11" x14ac:dyDescent="0.25">
      <c r="H412" s="9">
        <v>45188</v>
      </c>
      <c r="I412">
        <f t="shared" ca="1" si="28"/>
        <v>38</v>
      </c>
      <c r="J412" t="s">
        <v>2255</v>
      </c>
      <c r="K412">
        <v>231</v>
      </c>
    </row>
    <row r="413" spans="8:11" x14ac:dyDescent="0.25">
      <c r="H413" s="9">
        <v>45188</v>
      </c>
      <c r="I413">
        <f t="shared" ca="1" si="28"/>
        <v>38</v>
      </c>
      <c r="J413" t="s">
        <v>2259</v>
      </c>
      <c r="K413">
        <v>2</v>
      </c>
    </row>
    <row r="414" spans="8:11" x14ac:dyDescent="0.25">
      <c r="H414" s="9">
        <v>45188</v>
      </c>
      <c r="I414">
        <f t="shared" ca="1" si="28"/>
        <v>38</v>
      </c>
      <c r="J414" t="s">
        <v>2256</v>
      </c>
      <c r="K414">
        <v>44</v>
      </c>
    </row>
    <row r="415" spans="8:11" x14ac:dyDescent="0.25">
      <c r="H415" s="9">
        <v>45188</v>
      </c>
      <c r="I415">
        <f t="shared" ca="1" si="28"/>
        <v>38</v>
      </c>
      <c r="J415" t="s">
        <v>2258</v>
      </c>
      <c r="K415">
        <v>20</v>
      </c>
    </row>
    <row r="416" spans="8:11" x14ac:dyDescent="0.25">
      <c r="H416" s="9">
        <v>45188</v>
      </c>
      <c r="I416">
        <f t="shared" ca="1" si="28"/>
        <v>38</v>
      </c>
      <c r="J416" t="s">
        <v>2257</v>
      </c>
      <c r="K416">
        <v>14</v>
      </c>
    </row>
    <row r="417" spans="8:11" x14ac:dyDescent="0.25">
      <c r="H417" s="9">
        <v>45188</v>
      </c>
      <c r="I417">
        <f t="shared" ca="1" si="28"/>
        <v>38</v>
      </c>
      <c r="J417" t="s">
        <v>2260</v>
      </c>
      <c r="K417">
        <v>0</v>
      </c>
    </row>
    <row r="418" spans="8:11" x14ac:dyDescent="0.25">
      <c r="H418" s="9">
        <v>45189</v>
      </c>
      <c r="I418">
        <f t="shared" ca="1" si="28"/>
        <v>38</v>
      </c>
      <c r="J418" t="s">
        <v>2255</v>
      </c>
      <c r="K418">
        <v>232</v>
      </c>
    </row>
    <row r="419" spans="8:11" x14ac:dyDescent="0.25">
      <c r="H419" s="9">
        <v>45189</v>
      </c>
      <c r="I419">
        <f t="shared" ca="1" si="28"/>
        <v>38</v>
      </c>
      <c r="J419" t="s">
        <v>2259</v>
      </c>
      <c r="K419">
        <v>2</v>
      </c>
    </row>
    <row r="420" spans="8:11" x14ac:dyDescent="0.25">
      <c r="H420" s="9">
        <v>45189</v>
      </c>
      <c r="I420">
        <f t="shared" ca="1" si="28"/>
        <v>38</v>
      </c>
      <c r="J420" t="s">
        <v>2256</v>
      </c>
      <c r="K420">
        <v>43</v>
      </c>
    </row>
    <row r="421" spans="8:11" x14ac:dyDescent="0.25">
      <c r="H421" s="9">
        <v>45189</v>
      </c>
      <c r="I421">
        <f t="shared" ca="1" si="28"/>
        <v>38</v>
      </c>
      <c r="J421" t="s">
        <v>2258</v>
      </c>
      <c r="K421">
        <v>22</v>
      </c>
    </row>
    <row r="422" spans="8:11" x14ac:dyDescent="0.25">
      <c r="H422" s="9">
        <v>45189</v>
      </c>
      <c r="I422">
        <f t="shared" ca="1" si="28"/>
        <v>38</v>
      </c>
      <c r="J422" t="s">
        <v>2257</v>
      </c>
      <c r="K422">
        <v>11</v>
      </c>
    </row>
    <row r="423" spans="8:11" x14ac:dyDescent="0.25">
      <c r="H423" s="9">
        <v>45189</v>
      </c>
      <c r="I423">
        <f t="shared" ca="1" si="28"/>
        <v>38</v>
      </c>
      <c r="J423" t="s">
        <v>2260</v>
      </c>
      <c r="K423">
        <v>0</v>
      </c>
    </row>
    <row r="424" spans="8:11" x14ac:dyDescent="0.25">
      <c r="H424" s="9">
        <v>45190</v>
      </c>
      <c r="I424">
        <f t="shared" ca="1" si="28"/>
        <v>38</v>
      </c>
      <c r="J424" t="s">
        <v>2255</v>
      </c>
      <c r="K424">
        <v>222</v>
      </c>
    </row>
    <row r="425" spans="8:11" x14ac:dyDescent="0.25">
      <c r="H425" s="9">
        <v>45190</v>
      </c>
      <c r="I425">
        <f t="shared" ca="1" si="28"/>
        <v>38</v>
      </c>
      <c r="J425" t="s">
        <v>2259</v>
      </c>
      <c r="K425">
        <v>2</v>
      </c>
    </row>
    <row r="426" spans="8:11" x14ac:dyDescent="0.25">
      <c r="H426" s="9">
        <v>45190</v>
      </c>
      <c r="I426">
        <f t="shared" ca="1" si="28"/>
        <v>38</v>
      </c>
      <c r="J426" t="s">
        <v>2256</v>
      </c>
      <c r="K426">
        <v>42</v>
      </c>
    </row>
    <row r="427" spans="8:11" x14ac:dyDescent="0.25">
      <c r="H427" s="9">
        <v>45190</v>
      </c>
      <c r="I427">
        <f t="shared" ca="1" si="28"/>
        <v>38</v>
      </c>
      <c r="J427" t="s">
        <v>2258</v>
      </c>
      <c r="K427">
        <v>24</v>
      </c>
    </row>
    <row r="428" spans="8:11" x14ac:dyDescent="0.25">
      <c r="H428" s="9">
        <v>45190</v>
      </c>
      <c r="I428">
        <f t="shared" ca="1" si="28"/>
        <v>38</v>
      </c>
      <c r="J428" t="s">
        <v>2257</v>
      </c>
      <c r="K428">
        <v>10</v>
      </c>
    </row>
    <row r="429" spans="8:11" x14ac:dyDescent="0.25">
      <c r="H429" s="9">
        <v>45190</v>
      </c>
      <c r="I429">
        <f t="shared" ca="1" si="28"/>
        <v>38</v>
      </c>
      <c r="J429" t="s">
        <v>2260</v>
      </c>
      <c r="K429">
        <v>0</v>
      </c>
    </row>
    <row r="430" spans="8:11" x14ac:dyDescent="0.25">
      <c r="H430" s="9">
        <v>45191</v>
      </c>
      <c r="I430">
        <f t="shared" ca="1" si="28"/>
        <v>38</v>
      </c>
      <c r="J430" t="s">
        <v>2255</v>
      </c>
      <c r="K430">
        <v>238</v>
      </c>
    </row>
    <row r="431" spans="8:11" x14ac:dyDescent="0.25">
      <c r="H431" s="9">
        <v>45191</v>
      </c>
      <c r="I431">
        <f t="shared" ca="1" si="28"/>
        <v>38</v>
      </c>
      <c r="J431" t="s">
        <v>2259</v>
      </c>
      <c r="K431">
        <v>32</v>
      </c>
    </row>
    <row r="432" spans="8:11" x14ac:dyDescent="0.25">
      <c r="H432" s="9">
        <v>45191</v>
      </c>
      <c r="I432">
        <f t="shared" ca="1" si="28"/>
        <v>38</v>
      </c>
      <c r="J432" t="s">
        <v>2256</v>
      </c>
      <c r="K432">
        <v>49</v>
      </c>
    </row>
    <row r="433" spans="8:11" x14ac:dyDescent="0.25">
      <c r="H433" s="9">
        <v>45191</v>
      </c>
      <c r="I433">
        <f t="shared" ca="1" si="28"/>
        <v>38</v>
      </c>
      <c r="J433" t="s">
        <v>2258</v>
      </c>
      <c r="K433">
        <v>23</v>
      </c>
    </row>
    <row r="434" spans="8:11" x14ac:dyDescent="0.25">
      <c r="H434" s="9">
        <v>45191</v>
      </c>
      <c r="I434">
        <f t="shared" ca="1" si="28"/>
        <v>38</v>
      </c>
      <c r="J434" t="s">
        <v>2257</v>
      </c>
      <c r="K434">
        <v>12</v>
      </c>
    </row>
    <row r="435" spans="8:11" x14ac:dyDescent="0.25">
      <c r="H435" s="9">
        <v>45191</v>
      </c>
      <c r="I435">
        <f t="shared" ca="1" si="28"/>
        <v>38</v>
      </c>
      <c r="J435" t="s">
        <v>2260</v>
      </c>
      <c r="K435">
        <v>0</v>
      </c>
    </row>
    <row r="436" spans="8:11" x14ac:dyDescent="0.25">
      <c r="H436" s="9">
        <v>45194</v>
      </c>
      <c r="I436">
        <f t="shared" ca="1" si="28"/>
        <v>39</v>
      </c>
      <c r="J436" t="s">
        <v>2255</v>
      </c>
      <c r="K436">
        <v>239</v>
      </c>
    </row>
    <row r="437" spans="8:11" x14ac:dyDescent="0.25">
      <c r="H437" s="9">
        <v>45194</v>
      </c>
      <c r="I437">
        <f t="shared" ca="1" si="28"/>
        <v>39</v>
      </c>
      <c r="J437" t="s">
        <v>2259</v>
      </c>
      <c r="K437">
        <v>33</v>
      </c>
    </row>
    <row r="438" spans="8:11" x14ac:dyDescent="0.25">
      <c r="H438" s="9">
        <v>45194</v>
      </c>
      <c r="I438">
        <f t="shared" ref="I438:I459" ca="1" si="29">WEEKNUM(INDIRECT("H"&amp;ROW()))</f>
        <v>39</v>
      </c>
      <c r="J438" t="s">
        <v>2256</v>
      </c>
      <c r="K438">
        <v>46</v>
      </c>
    </row>
    <row r="439" spans="8:11" x14ac:dyDescent="0.25">
      <c r="H439" s="9">
        <v>45194</v>
      </c>
      <c r="I439">
        <f t="shared" ca="1" si="29"/>
        <v>39</v>
      </c>
      <c r="J439" t="s">
        <v>2258</v>
      </c>
      <c r="K439">
        <v>22</v>
      </c>
    </row>
    <row r="440" spans="8:11" x14ac:dyDescent="0.25">
      <c r="H440" s="9">
        <v>45194</v>
      </c>
      <c r="I440">
        <f t="shared" ca="1" si="29"/>
        <v>39</v>
      </c>
      <c r="J440" t="s">
        <v>2257</v>
      </c>
      <c r="K440">
        <v>12</v>
      </c>
    </row>
    <row r="441" spans="8:11" x14ac:dyDescent="0.25">
      <c r="H441" s="9">
        <v>45194</v>
      </c>
      <c r="I441">
        <f t="shared" ca="1" si="29"/>
        <v>39</v>
      </c>
      <c r="J441" t="s">
        <v>2260</v>
      </c>
      <c r="K441">
        <v>0</v>
      </c>
    </row>
    <row r="442" spans="8:11" x14ac:dyDescent="0.25">
      <c r="H442" s="9">
        <v>45196</v>
      </c>
      <c r="I442">
        <f t="shared" ca="1" si="29"/>
        <v>39</v>
      </c>
      <c r="J442" t="s">
        <v>2255</v>
      </c>
      <c r="K442">
        <v>263</v>
      </c>
    </row>
    <row r="443" spans="8:11" x14ac:dyDescent="0.25">
      <c r="H443" s="9">
        <v>45196</v>
      </c>
      <c r="I443">
        <f t="shared" ca="1" si="29"/>
        <v>39</v>
      </c>
      <c r="J443" t="s">
        <v>2259</v>
      </c>
      <c r="K443">
        <v>33</v>
      </c>
    </row>
    <row r="444" spans="8:11" x14ac:dyDescent="0.25">
      <c r="H444" s="9">
        <v>45196</v>
      </c>
      <c r="I444">
        <f t="shared" ca="1" si="29"/>
        <v>39</v>
      </c>
      <c r="J444" t="s">
        <v>2256</v>
      </c>
      <c r="K444">
        <v>51</v>
      </c>
    </row>
    <row r="445" spans="8:11" x14ac:dyDescent="0.25">
      <c r="H445" s="9">
        <v>45196</v>
      </c>
      <c r="I445">
        <f t="shared" ca="1" si="29"/>
        <v>39</v>
      </c>
      <c r="J445" t="s">
        <v>2258</v>
      </c>
      <c r="K445">
        <v>23</v>
      </c>
    </row>
    <row r="446" spans="8:11" x14ac:dyDescent="0.25">
      <c r="H446" s="9">
        <v>45196</v>
      </c>
      <c r="I446">
        <f t="shared" ca="1" si="29"/>
        <v>39</v>
      </c>
      <c r="J446" t="s">
        <v>2257</v>
      </c>
      <c r="K446">
        <v>11</v>
      </c>
    </row>
    <row r="447" spans="8:11" x14ac:dyDescent="0.25">
      <c r="H447" s="9">
        <v>45196</v>
      </c>
      <c r="I447">
        <f t="shared" ca="1" si="29"/>
        <v>39</v>
      </c>
      <c r="J447" t="s">
        <v>2260</v>
      </c>
      <c r="K447">
        <v>0</v>
      </c>
    </row>
    <row r="448" spans="8:11" x14ac:dyDescent="0.25">
      <c r="H448" s="9">
        <v>45197</v>
      </c>
      <c r="I448">
        <f t="shared" ca="1" si="29"/>
        <v>39</v>
      </c>
      <c r="J448" t="s">
        <v>2255</v>
      </c>
      <c r="K448">
        <v>260</v>
      </c>
    </row>
    <row r="449" spans="8:11" x14ac:dyDescent="0.25">
      <c r="H449" s="9">
        <v>45197</v>
      </c>
      <c r="I449">
        <f t="shared" ca="1" si="29"/>
        <v>39</v>
      </c>
      <c r="J449" t="s">
        <v>2259</v>
      </c>
      <c r="K449">
        <v>33</v>
      </c>
    </row>
    <row r="450" spans="8:11" x14ac:dyDescent="0.25">
      <c r="H450" s="9">
        <v>45197</v>
      </c>
      <c r="I450">
        <f t="shared" ca="1" si="29"/>
        <v>39</v>
      </c>
      <c r="J450" t="s">
        <v>2256</v>
      </c>
      <c r="K450">
        <v>51</v>
      </c>
    </row>
    <row r="451" spans="8:11" x14ac:dyDescent="0.25">
      <c r="H451" s="9">
        <v>45197</v>
      </c>
      <c r="I451">
        <f t="shared" ca="1" si="29"/>
        <v>39</v>
      </c>
      <c r="J451" t="s">
        <v>2258</v>
      </c>
      <c r="K451">
        <v>23</v>
      </c>
    </row>
    <row r="452" spans="8:11" x14ac:dyDescent="0.25">
      <c r="H452" s="9">
        <v>45197</v>
      </c>
      <c r="I452">
        <f t="shared" ca="1" si="29"/>
        <v>39</v>
      </c>
      <c r="J452" t="s">
        <v>2257</v>
      </c>
      <c r="K452">
        <v>10</v>
      </c>
    </row>
    <row r="453" spans="8:11" x14ac:dyDescent="0.25">
      <c r="H453" s="9">
        <v>45197</v>
      </c>
      <c r="I453">
        <f t="shared" ca="1" si="29"/>
        <v>39</v>
      </c>
      <c r="J453" t="s">
        <v>2260</v>
      </c>
      <c r="K453">
        <v>0</v>
      </c>
    </row>
    <row r="454" spans="8:11" x14ac:dyDescent="0.25">
      <c r="H454" s="9">
        <v>45198</v>
      </c>
      <c r="I454">
        <f t="shared" ca="1" si="29"/>
        <v>39</v>
      </c>
      <c r="J454" t="s">
        <v>2255</v>
      </c>
      <c r="K454">
        <v>274</v>
      </c>
    </row>
    <row r="455" spans="8:11" x14ac:dyDescent="0.25">
      <c r="H455" s="9">
        <v>45198</v>
      </c>
      <c r="I455">
        <f t="shared" ca="1" si="29"/>
        <v>39</v>
      </c>
      <c r="J455" t="s">
        <v>2259</v>
      </c>
      <c r="K455">
        <v>33</v>
      </c>
    </row>
    <row r="456" spans="8:11" x14ac:dyDescent="0.25">
      <c r="H456" s="9">
        <v>45198</v>
      </c>
      <c r="I456">
        <f t="shared" ca="1" si="29"/>
        <v>39</v>
      </c>
      <c r="J456" t="s">
        <v>2256</v>
      </c>
      <c r="K456">
        <v>53</v>
      </c>
    </row>
    <row r="457" spans="8:11" x14ac:dyDescent="0.25">
      <c r="H457" s="9">
        <v>45198</v>
      </c>
      <c r="I457">
        <f t="shared" ca="1" si="29"/>
        <v>39</v>
      </c>
      <c r="J457" t="s">
        <v>2258</v>
      </c>
      <c r="K457">
        <v>24</v>
      </c>
    </row>
    <row r="458" spans="8:11" x14ac:dyDescent="0.25">
      <c r="H458" s="9">
        <v>45198</v>
      </c>
      <c r="I458">
        <f t="shared" ca="1" si="29"/>
        <v>39</v>
      </c>
      <c r="J458" t="s">
        <v>2257</v>
      </c>
      <c r="K458">
        <v>11</v>
      </c>
    </row>
    <row r="459" spans="8:11" x14ac:dyDescent="0.25">
      <c r="H459" s="9">
        <v>45198</v>
      </c>
      <c r="I459">
        <f t="shared" ca="1" si="29"/>
        <v>39</v>
      </c>
      <c r="J459" t="s">
        <v>2260</v>
      </c>
      <c r="K459">
        <v>0</v>
      </c>
    </row>
    <row r="460" spans="8:11" x14ac:dyDescent="0.25">
      <c r="H460" s="9">
        <v>45201</v>
      </c>
      <c r="I460">
        <f t="shared" ref="I460:I491" ca="1" si="30">WEEKNUM(INDIRECT("H"&amp;ROW()))</f>
        <v>40</v>
      </c>
      <c r="J460" t="s">
        <v>2255</v>
      </c>
      <c r="K460">
        <v>275</v>
      </c>
    </row>
    <row r="461" spans="8:11" x14ac:dyDescent="0.25">
      <c r="H461" s="9">
        <v>45201</v>
      </c>
      <c r="I461">
        <f t="shared" ca="1" si="30"/>
        <v>40</v>
      </c>
      <c r="J461" t="s">
        <v>2259</v>
      </c>
      <c r="K461">
        <v>34</v>
      </c>
    </row>
    <row r="462" spans="8:11" x14ac:dyDescent="0.25">
      <c r="H462" s="9">
        <v>45201</v>
      </c>
      <c r="I462">
        <f t="shared" ca="1" si="30"/>
        <v>40</v>
      </c>
      <c r="J462" t="s">
        <v>2256</v>
      </c>
      <c r="K462">
        <v>57</v>
      </c>
    </row>
    <row r="463" spans="8:11" x14ac:dyDescent="0.25">
      <c r="H463" s="9">
        <v>45201</v>
      </c>
      <c r="I463">
        <f t="shared" ca="1" si="30"/>
        <v>40</v>
      </c>
      <c r="J463" t="s">
        <v>2258</v>
      </c>
      <c r="K463">
        <v>23</v>
      </c>
    </row>
    <row r="464" spans="8:11" x14ac:dyDescent="0.25">
      <c r="H464" s="9">
        <v>45201</v>
      </c>
      <c r="I464">
        <f t="shared" ca="1" si="30"/>
        <v>40</v>
      </c>
      <c r="J464" t="s">
        <v>2257</v>
      </c>
      <c r="K464">
        <v>12</v>
      </c>
    </row>
    <row r="465" spans="8:11" x14ac:dyDescent="0.25">
      <c r="H465" s="9">
        <v>45201</v>
      </c>
      <c r="I465">
        <f t="shared" ca="1" si="30"/>
        <v>40</v>
      </c>
      <c r="J465" t="s">
        <v>2260</v>
      </c>
      <c r="K465">
        <v>0</v>
      </c>
    </row>
    <row r="466" spans="8:11" x14ac:dyDescent="0.25">
      <c r="H466" s="9">
        <v>45202</v>
      </c>
      <c r="I466">
        <f t="shared" ca="1" si="30"/>
        <v>40</v>
      </c>
      <c r="J466" t="s">
        <v>2255</v>
      </c>
      <c r="K466">
        <v>307</v>
      </c>
    </row>
    <row r="467" spans="8:11" x14ac:dyDescent="0.25">
      <c r="H467" s="9">
        <v>45202</v>
      </c>
      <c r="I467">
        <f t="shared" ca="1" si="30"/>
        <v>40</v>
      </c>
      <c r="J467" t="s">
        <v>2259</v>
      </c>
      <c r="K467">
        <v>35</v>
      </c>
    </row>
    <row r="468" spans="8:11" x14ac:dyDescent="0.25">
      <c r="H468" s="9">
        <v>45202</v>
      </c>
      <c r="I468">
        <f t="shared" ca="1" si="30"/>
        <v>40</v>
      </c>
      <c r="J468" t="s">
        <v>2256</v>
      </c>
      <c r="K468">
        <v>64</v>
      </c>
    </row>
    <row r="469" spans="8:11" x14ac:dyDescent="0.25">
      <c r="H469" s="9">
        <v>45202</v>
      </c>
      <c r="I469">
        <f t="shared" ca="1" si="30"/>
        <v>40</v>
      </c>
      <c r="J469" t="s">
        <v>2258</v>
      </c>
      <c r="K469">
        <v>23</v>
      </c>
    </row>
    <row r="470" spans="8:11" x14ac:dyDescent="0.25">
      <c r="H470" s="9">
        <v>45202</v>
      </c>
      <c r="I470">
        <f t="shared" ca="1" si="30"/>
        <v>40</v>
      </c>
      <c r="J470" t="s">
        <v>2257</v>
      </c>
      <c r="K470">
        <v>12</v>
      </c>
    </row>
    <row r="471" spans="8:11" x14ac:dyDescent="0.25">
      <c r="H471" s="9">
        <v>45202</v>
      </c>
      <c r="I471">
        <f t="shared" ca="1" si="30"/>
        <v>40</v>
      </c>
      <c r="J471" t="s">
        <v>2260</v>
      </c>
      <c r="K471">
        <v>0</v>
      </c>
    </row>
    <row r="472" spans="8:11" x14ac:dyDescent="0.25">
      <c r="H472" s="9">
        <v>45203</v>
      </c>
      <c r="I472">
        <f t="shared" ca="1" si="30"/>
        <v>40</v>
      </c>
      <c r="J472" t="s">
        <v>2255</v>
      </c>
      <c r="K472">
        <v>259</v>
      </c>
    </row>
    <row r="473" spans="8:11" x14ac:dyDescent="0.25">
      <c r="H473" s="9">
        <v>45203</v>
      </c>
      <c r="I473">
        <f t="shared" ca="1" si="30"/>
        <v>40</v>
      </c>
      <c r="J473" t="s">
        <v>2259</v>
      </c>
      <c r="K473">
        <v>31</v>
      </c>
    </row>
    <row r="474" spans="8:11" x14ac:dyDescent="0.25">
      <c r="H474" s="9">
        <v>45203</v>
      </c>
      <c r="I474">
        <f t="shared" ca="1" si="30"/>
        <v>40</v>
      </c>
      <c r="J474" t="s">
        <v>2256</v>
      </c>
      <c r="K474">
        <v>59</v>
      </c>
    </row>
    <row r="475" spans="8:11" x14ac:dyDescent="0.25">
      <c r="H475" s="9">
        <v>45203</v>
      </c>
      <c r="I475">
        <f t="shared" ca="1" si="30"/>
        <v>40</v>
      </c>
      <c r="J475" t="s">
        <v>2258</v>
      </c>
      <c r="K475">
        <v>21</v>
      </c>
    </row>
    <row r="476" spans="8:11" x14ac:dyDescent="0.25">
      <c r="H476" s="9">
        <v>45203</v>
      </c>
      <c r="I476">
        <f t="shared" ca="1" si="30"/>
        <v>40</v>
      </c>
      <c r="J476" t="s">
        <v>2257</v>
      </c>
      <c r="K476">
        <v>10</v>
      </c>
    </row>
    <row r="477" spans="8:11" x14ac:dyDescent="0.25">
      <c r="H477" s="9">
        <v>45203</v>
      </c>
      <c r="I477">
        <f t="shared" ca="1" si="30"/>
        <v>40</v>
      </c>
      <c r="J477" t="s">
        <v>2260</v>
      </c>
      <c r="K477">
        <v>0</v>
      </c>
    </row>
    <row r="478" spans="8:11" x14ac:dyDescent="0.25">
      <c r="H478" s="9">
        <v>45204</v>
      </c>
      <c r="I478">
        <f t="shared" ca="1" si="30"/>
        <v>40</v>
      </c>
      <c r="J478" t="s">
        <v>2255</v>
      </c>
      <c r="K478">
        <v>266</v>
      </c>
    </row>
    <row r="479" spans="8:11" x14ac:dyDescent="0.25">
      <c r="H479" s="9">
        <v>45204</v>
      </c>
      <c r="I479">
        <f t="shared" ca="1" si="30"/>
        <v>40</v>
      </c>
      <c r="J479" t="s">
        <v>2259</v>
      </c>
      <c r="K479">
        <v>19</v>
      </c>
    </row>
    <row r="480" spans="8:11" x14ac:dyDescent="0.25">
      <c r="H480" s="9">
        <v>45204</v>
      </c>
      <c r="I480">
        <f t="shared" ca="1" si="30"/>
        <v>40</v>
      </c>
      <c r="J480" t="s">
        <v>2256</v>
      </c>
      <c r="K480">
        <v>65</v>
      </c>
    </row>
    <row r="481" spans="8:11" x14ac:dyDescent="0.25">
      <c r="H481" s="9">
        <v>45204</v>
      </c>
      <c r="I481">
        <f t="shared" ca="1" si="30"/>
        <v>40</v>
      </c>
      <c r="J481" t="s">
        <v>2258</v>
      </c>
      <c r="K481">
        <v>21</v>
      </c>
    </row>
    <row r="482" spans="8:11" x14ac:dyDescent="0.25">
      <c r="H482" s="9">
        <v>45204</v>
      </c>
      <c r="I482">
        <f t="shared" ca="1" si="30"/>
        <v>40</v>
      </c>
      <c r="J482" t="s">
        <v>2257</v>
      </c>
      <c r="K482">
        <v>10</v>
      </c>
    </row>
    <row r="483" spans="8:11" x14ac:dyDescent="0.25">
      <c r="H483" s="9">
        <v>45204</v>
      </c>
      <c r="I483">
        <f t="shared" ca="1" si="30"/>
        <v>40</v>
      </c>
      <c r="J483" t="s">
        <v>2260</v>
      </c>
      <c r="K483">
        <v>0</v>
      </c>
    </row>
    <row r="484" spans="8:11" x14ac:dyDescent="0.25">
      <c r="H484" s="9">
        <v>45205</v>
      </c>
      <c r="I484">
        <f t="shared" ca="1" si="30"/>
        <v>40</v>
      </c>
      <c r="J484" t="s">
        <v>2255</v>
      </c>
      <c r="K484">
        <v>284</v>
      </c>
    </row>
    <row r="485" spans="8:11" x14ac:dyDescent="0.25">
      <c r="H485" s="9">
        <v>45205</v>
      </c>
      <c r="I485">
        <f t="shared" ca="1" si="30"/>
        <v>40</v>
      </c>
      <c r="J485" t="s">
        <v>2259</v>
      </c>
      <c r="K485">
        <v>13</v>
      </c>
    </row>
    <row r="486" spans="8:11" x14ac:dyDescent="0.25">
      <c r="H486" s="9">
        <v>45205</v>
      </c>
      <c r="I486">
        <f t="shared" ca="1" si="30"/>
        <v>40</v>
      </c>
      <c r="J486" t="s">
        <v>2256</v>
      </c>
      <c r="K486">
        <v>67</v>
      </c>
    </row>
    <row r="487" spans="8:11" x14ac:dyDescent="0.25">
      <c r="H487" s="9">
        <v>45205</v>
      </c>
      <c r="I487">
        <f t="shared" ca="1" si="30"/>
        <v>40</v>
      </c>
      <c r="J487" t="s">
        <v>2258</v>
      </c>
      <c r="K487">
        <v>25</v>
      </c>
    </row>
    <row r="488" spans="8:11" x14ac:dyDescent="0.25">
      <c r="H488" s="9">
        <v>45205</v>
      </c>
      <c r="I488">
        <f t="shared" ca="1" si="30"/>
        <v>40</v>
      </c>
      <c r="J488" t="s">
        <v>2257</v>
      </c>
      <c r="K488">
        <v>11</v>
      </c>
    </row>
    <row r="489" spans="8:11" x14ac:dyDescent="0.25">
      <c r="H489" s="9">
        <v>45205</v>
      </c>
      <c r="I489">
        <f t="shared" ca="1" si="30"/>
        <v>40</v>
      </c>
      <c r="J489" t="s">
        <v>2260</v>
      </c>
      <c r="K489">
        <v>0</v>
      </c>
    </row>
    <row r="490" spans="8:11" x14ac:dyDescent="0.25">
      <c r="H490" s="9">
        <v>45208</v>
      </c>
      <c r="I490">
        <f t="shared" ca="1" si="30"/>
        <v>41</v>
      </c>
      <c r="J490" t="s">
        <v>2255</v>
      </c>
      <c r="K490">
        <v>274</v>
      </c>
    </row>
    <row r="491" spans="8:11" x14ac:dyDescent="0.25">
      <c r="H491" s="9">
        <v>45208</v>
      </c>
      <c r="I491">
        <f t="shared" ca="1" si="30"/>
        <v>41</v>
      </c>
      <c r="J491" t="s">
        <v>2259</v>
      </c>
      <c r="K491">
        <v>11</v>
      </c>
    </row>
    <row r="492" spans="8:11" x14ac:dyDescent="0.25">
      <c r="H492" s="9">
        <v>45208</v>
      </c>
      <c r="I492">
        <f t="shared" ref="I492:I523" ca="1" si="31">WEEKNUM(INDIRECT("H"&amp;ROW()))</f>
        <v>41</v>
      </c>
      <c r="J492" t="s">
        <v>2256</v>
      </c>
      <c r="K492">
        <v>65</v>
      </c>
    </row>
    <row r="493" spans="8:11" x14ac:dyDescent="0.25">
      <c r="H493" s="9">
        <v>45208</v>
      </c>
      <c r="I493">
        <f t="shared" ca="1" si="31"/>
        <v>41</v>
      </c>
      <c r="J493" t="s">
        <v>2258</v>
      </c>
      <c r="K493">
        <v>25</v>
      </c>
    </row>
    <row r="494" spans="8:11" x14ac:dyDescent="0.25">
      <c r="H494" s="9">
        <v>45208</v>
      </c>
      <c r="I494">
        <f t="shared" ca="1" si="31"/>
        <v>41</v>
      </c>
      <c r="J494" t="s">
        <v>2257</v>
      </c>
      <c r="K494">
        <v>10</v>
      </c>
    </row>
    <row r="495" spans="8:11" x14ac:dyDescent="0.25">
      <c r="H495" s="9">
        <v>45208</v>
      </c>
      <c r="I495">
        <f t="shared" ca="1" si="31"/>
        <v>41</v>
      </c>
      <c r="J495" t="s">
        <v>2260</v>
      </c>
      <c r="K495">
        <v>0</v>
      </c>
    </row>
    <row r="496" spans="8:11" x14ac:dyDescent="0.25">
      <c r="H496" s="9">
        <v>45209</v>
      </c>
      <c r="I496">
        <f t="shared" ca="1" si="31"/>
        <v>41</v>
      </c>
      <c r="J496" t="s">
        <v>2255</v>
      </c>
      <c r="K496">
        <v>270</v>
      </c>
    </row>
    <row r="497" spans="8:11" x14ac:dyDescent="0.25">
      <c r="H497" s="9">
        <v>45209</v>
      </c>
      <c r="I497">
        <f t="shared" ca="1" si="31"/>
        <v>41</v>
      </c>
      <c r="J497" t="s">
        <v>2259</v>
      </c>
      <c r="K497">
        <v>12</v>
      </c>
    </row>
    <row r="498" spans="8:11" x14ac:dyDescent="0.25">
      <c r="H498" s="9">
        <v>45209</v>
      </c>
      <c r="I498">
        <f t="shared" ca="1" si="31"/>
        <v>41</v>
      </c>
      <c r="J498" t="s">
        <v>2256</v>
      </c>
      <c r="K498">
        <v>61</v>
      </c>
    </row>
    <row r="499" spans="8:11" x14ac:dyDescent="0.25">
      <c r="H499" s="9">
        <v>45209</v>
      </c>
      <c r="I499">
        <f t="shared" ca="1" si="31"/>
        <v>41</v>
      </c>
      <c r="J499" t="s">
        <v>2258</v>
      </c>
      <c r="K499">
        <v>22</v>
      </c>
    </row>
    <row r="500" spans="8:11" x14ac:dyDescent="0.25">
      <c r="H500" s="9">
        <v>45209</v>
      </c>
      <c r="I500">
        <f t="shared" ca="1" si="31"/>
        <v>41</v>
      </c>
      <c r="J500" t="s">
        <v>2257</v>
      </c>
      <c r="K500">
        <v>11</v>
      </c>
    </row>
    <row r="501" spans="8:11" x14ac:dyDescent="0.25">
      <c r="H501" s="9">
        <v>45209</v>
      </c>
      <c r="I501">
        <f t="shared" ca="1" si="31"/>
        <v>41</v>
      </c>
      <c r="J501" t="s">
        <v>2260</v>
      </c>
      <c r="K501">
        <v>0</v>
      </c>
    </row>
    <row r="502" spans="8:11" x14ac:dyDescent="0.25">
      <c r="H502" s="9">
        <v>45210</v>
      </c>
      <c r="I502">
        <f t="shared" ca="1" si="31"/>
        <v>41</v>
      </c>
      <c r="J502" t="s">
        <v>2255</v>
      </c>
      <c r="K502">
        <v>273</v>
      </c>
    </row>
    <row r="503" spans="8:11" x14ac:dyDescent="0.25">
      <c r="H503" s="9">
        <v>45210</v>
      </c>
      <c r="I503">
        <f t="shared" ca="1" si="31"/>
        <v>41</v>
      </c>
      <c r="J503" t="s">
        <v>2259</v>
      </c>
      <c r="K503">
        <v>6</v>
      </c>
    </row>
    <row r="504" spans="8:11" x14ac:dyDescent="0.25">
      <c r="H504" s="9">
        <v>45210</v>
      </c>
      <c r="I504">
        <f t="shared" ca="1" si="31"/>
        <v>41</v>
      </c>
      <c r="J504" t="s">
        <v>2256</v>
      </c>
      <c r="K504">
        <v>57</v>
      </c>
    </row>
    <row r="505" spans="8:11" x14ac:dyDescent="0.25">
      <c r="H505" s="9">
        <v>45210</v>
      </c>
      <c r="I505">
        <f t="shared" ca="1" si="31"/>
        <v>41</v>
      </c>
      <c r="J505" t="s">
        <v>2258</v>
      </c>
      <c r="K505">
        <v>22</v>
      </c>
    </row>
    <row r="506" spans="8:11" x14ac:dyDescent="0.25">
      <c r="H506" s="9">
        <v>45210</v>
      </c>
      <c r="I506">
        <f t="shared" ca="1" si="31"/>
        <v>41</v>
      </c>
      <c r="J506" t="s">
        <v>2257</v>
      </c>
      <c r="K506">
        <v>14</v>
      </c>
    </row>
    <row r="507" spans="8:11" x14ac:dyDescent="0.25">
      <c r="H507" s="9">
        <v>45210</v>
      </c>
      <c r="I507">
        <f t="shared" ca="1" si="31"/>
        <v>41</v>
      </c>
      <c r="J507" t="s">
        <v>2260</v>
      </c>
      <c r="K507">
        <v>0</v>
      </c>
    </row>
    <row r="508" spans="8:11" x14ac:dyDescent="0.25">
      <c r="H508" s="9">
        <v>45211</v>
      </c>
      <c r="I508">
        <f t="shared" ca="1" si="31"/>
        <v>41</v>
      </c>
      <c r="J508" t="s">
        <v>2255</v>
      </c>
      <c r="K508">
        <v>278</v>
      </c>
    </row>
    <row r="509" spans="8:11" x14ac:dyDescent="0.25">
      <c r="H509" s="9">
        <v>45211</v>
      </c>
      <c r="I509">
        <f t="shared" ca="1" si="31"/>
        <v>41</v>
      </c>
      <c r="J509" t="s">
        <v>2259</v>
      </c>
      <c r="K509">
        <v>6</v>
      </c>
    </row>
    <row r="510" spans="8:11" x14ac:dyDescent="0.25">
      <c r="H510" s="9">
        <v>45211</v>
      </c>
      <c r="I510">
        <f t="shared" ca="1" si="31"/>
        <v>41</v>
      </c>
      <c r="J510" t="s">
        <v>2256</v>
      </c>
      <c r="K510">
        <v>58</v>
      </c>
    </row>
    <row r="511" spans="8:11" x14ac:dyDescent="0.25">
      <c r="H511" s="9">
        <v>45211</v>
      </c>
      <c r="I511">
        <f t="shared" ca="1" si="31"/>
        <v>41</v>
      </c>
      <c r="J511" t="s">
        <v>2258</v>
      </c>
      <c r="K511">
        <v>21</v>
      </c>
    </row>
    <row r="512" spans="8:11" x14ac:dyDescent="0.25">
      <c r="H512" s="9">
        <v>45211</v>
      </c>
      <c r="I512">
        <f t="shared" ca="1" si="31"/>
        <v>41</v>
      </c>
      <c r="J512" t="s">
        <v>2257</v>
      </c>
      <c r="K512">
        <v>14</v>
      </c>
    </row>
    <row r="513" spans="8:11" x14ac:dyDescent="0.25">
      <c r="H513" s="9">
        <v>45211</v>
      </c>
      <c r="I513">
        <f t="shared" ca="1" si="31"/>
        <v>41</v>
      </c>
      <c r="J513" t="s">
        <v>2260</v>
      </c>
      <c r="K513">
        <v>1</v>
      </c>
    </row>
    <row r="514" spans="8:11" x14ac:dyDescent="0.25">
      <c r="H514" s="9">
        <v>45212</v>
      </c>
      <c r="I514">
        <f t="shared" ca="1" si="31"/>
        <v>41</v>
      </c>
      <c r="J514" t="s">
        <v>2255</v>
      </c>
      <c r="K514">
        <v>272</v>
      </c>
    </row>
    <row r="515" spans="8:11" x14ac:dyDescent="0.25">
      <c r="H515" s="9">
        <v>45212</v>
      </c>
      <c r="I515">
        <f t="shared" ca="1" si="31"/>
        <v>41</v>
      </c>
      <c r="J515" t="s">
        <v>2259</v>
      </c>
      <c r="K515">
        <v>6</v>
      </c>
    </row>
    <row r="516" spans="8:11" x14ac:dyDescent="0.25">
      <c r="H516" s="9">
        <v>45212</v>
      </c>
      <c r="I516">
        <f t="shared" ca="1" si="31"/>
        <v>41</v>
      </c>
      <c r="J516" t="s">
        <v>2256</v>
      </c>
      <c r="K516">
        <v>62</v>
      </c>
    </row>
    <row r="517" spans="8:11" x14ac:dyDescent="0.25">
      <c r="H517" s="9">
        <v>45212</v>
      </c>
      <c r="I517">
        <f t="shared" ca="1" si="31"/>
        <v>41</v>
      </c>
      <c r="J517" t="s">
        <v>2258</v>
      </c>
      <c r="K517">
        <v>21</v>
      </c>
    </row>
    <row r="518" spans="8:11" x14ac:dyDescent="0.25">
      <c r="H518" s="9">
        <v>45212</v>
      </c>
      <c r="I518">
        <f t="shared" ca="1" si="31"/>
        <v>41</v>
      </c>
      <c r="J518" t="s">
        <v>2257</v>
      </c>
      <c r="K518">
        <v>14</v>
      </c>
    </row>
    <row r="519" spans="8:11" x14ac:dyDescent="0.25">
      <c r="H519" s="9">
        <v>45212</v>
      </c>
      <c r="I519">
        <f t="shared" ca="1" si="31"/>
        <v>41</v>
      </c>
      <c r="J519" t="s">
        <v>2260</v>
      </c>
      <c r="K519">
        <v>1</v>
      </c>
    </row>
    <row r="520" spans="8:11" x14ac:dyDescent="0.25">
      <c r="H520" s="9">
        <v>45215</v>
      </c>
      <c r="I520">
        <f t="shared" ca="1" si="31"/>
        <v>42</v>
      </c>
      <c r="J520" t="s">
        <v>2255</v>
      </c>
      <c r="K520">
        <v>271</v>
      </c>
    </row>
    <row r="521" spans="8:11" x14ac:dyDescent="0.25">
      <c r="H521" s="9">
        <v>45215</v>
      </c>
      <c r="I521">
        <f t="shared" ca="1" si="31"/>
        <v>42</v>
      </c>
      <c r="J521" t="s">
        <v>2259</v>
      </c>
      <c r="K521">
        <v>6</v>
      </c>
    </row>
    <row r="522" spans="8:11" x14ac:dyDescent="0.25">
      <c r="H522" s="9">
        <v>45215</v>
      </c>
      <c r="I522">
        <f t="shared" ca="1" si="31"/>
        <v>42</v>
      </c>
      <c r="J522" t="s">
        <v>2256</v>
      </c>
      <c r="K522">
        <v>58</v>
      </c>
    </row>
    <row r="523" spans="8:11" x14ac:dyDescent="0.25">
      <c r="H523" s="9">
        <v>45215</v>
      </c>
      <c r="I523">
        <f t="shared" ca="1" si="31"/>
        <v>42</v>
      </c>
      <c r="J523" t="s">
        <v>2258</v>
      </c>
      <c r="K523">
        <v>21</v>
      </c>
    </row>
    <row r="524" spans="8:11" x14ac:dyDescent="0.25">
      <c r="H524" s="9">
        <v>45215</v>
      </c>
      <c r="I524">
        <f t="shared" ref="I524:I555" ca="1" si="32">WEEKNUM(INDIRECT("H"&amp;ROW()))</f>
        <v>42</v>
      </c>
      <c r="J524" t="s">
        <v>2257</v>
      </c>
      <c r="K524">
        <v>13</v>
      </c>
    </row>
    <row r="525" spans="8:11" x14ac:dyDescent="0.25">
      <c r="H525" s="9">
        <v>45215</v>
      </c>
      <c r="I525">
        <f t="shared" ca="1" si="32"/>
        <v>42</v>
      </c>
      <c r="J525" t="s">
        <v>2260</v>
      </c>
      <c r="K525">
        <v>1</v>
      </c>
    </row>
    <row r="526" spans="8:11" x14ac:dyDescent="0.25">
      <c r="H526" s="9">
        <v>45216</v>
      </c>
      <c r="I526">
        <f t="shared" ca="1" si="32"/>
        <v>42</v>
      </c>
      <c r="J526" t="s">
        <v>2255</v>
      </c>
      <c r="K526">
        <v>267</v>
      </c>
    </row>
    <row r="527" spans="8:11" x14ac:dyDescent="0.25">
      <c r="H527" s="9">
        <v>45216</v>
      </c>
      <c r="I527">
        <f t="shared" ca="1" si="32"/>
        <v>42</v>
      </c>
      <c r="J527" t="s">
        <v>2259</v>
      </c>
      <c r="K527">
        <v>6</v>
      </c>
    </row>
    <row r="528" spans="8:11" x14ac:dyDescent="0.25">
      <c r="H528" s="9">
        <v>45216</v>
      </c>
      <c r="I528">
        <f t="shared" ca="1" si="32"/>
        <v>42</v>
      </c>
      <c r="J528" t="s">
        <v>2256</v>
      </c>
      <c r="K528">
        <v>61</v>
      </c>
    </row>
    <row r="529" spans="8:11" x14ac:dyDescent="0.25">
      <c r="H529" s="9">
        <v>45216</v>
      </c>
      <c r="I529">
        <f t="shared" ca="1" si="32"/>
        <v>42</v>
      </c>
      <c r="J529" t="s">
        <v>2258</v>
      </c>
      <c r="K529">
        <v>19</v>
      </c>
    </row>
    <row r="530" spans="8:11" x14ac:dyDescent="0.25">
      <c r="H530" s="9">
        <v>45216</v>
      </c>
      <c r="I530">
        <f t="shared" ca="1" si="32"/>
        <v>42</v>
      </c>
      <c r="J530" t="s">
        <v>2257</v>
      </c>
      <c r="K530">
        <v>11</v>
      </c>
    </row>
    <row r="531" spans="8:11" x14ac:dyDescent="0.25">
      <c r="H531" s="9">
        <v>45216</v>
      </c>
      <c r="I531">
        <f t="shared" ca="1" si="32"/>
        <v>42</v>
      </c>
      <c r="J531" t="s">
        <v>2260</v>
      </c>
      <c r="K531">
        <v>1</v>
      </c>
    </row>
    <row r="532" spans="8:11" x14ac:dyDescent="0.25">
      <c r="H532" s="9">
        <v>45217</v>
      </c>
      <c r="I532">
        <f t="shared" ca="1" si="32"/>
        <v>42</v>
      </c>
      <c r="J532" t="s">
        <v>2255</v>
      </c>
      <c r="K532">
        <v>268</v>
      </c>
    </row>
    <row r="533" spans="8:11" x14ac:dyDescent="0.25">
      <c r="H533" s="9">
        <v>45217</v>
      </c>
      <c r="I533">
        <f t="shared" ca="1" si="32"/>
        <v>42</v>
      </c>
      <c r="J533" t="s">
        <v>2259</v>
      </c>
      <c r="K533">
        <v>6</v>
      </c>
    </row>
    <row r="534" spans="8:11" x14ac:dyDescent="0.25">
      <c r="H534" s="9">
        <v>45217</v>
      </c>
      <c r="I534">
        <f t="shared" ca="1" si="32"/>
        <v>42</v>
      </c>
      <c r="J534" t="s">
        <v>2256</v>
      </c>
      <c r="K534">
        <v>65</v>
      </c>
    </row>
    <row r="535" spans="8:11" x14ac:dyDescent="0.25">
      <c r="H535" s="9">
        <v>45217</v>
      </c>
      <c r="I535">
        <f t="shared" ca="1" si="32"/>
        <v>42</v>
      </c>
      <c r="J535" t="s">
        <v>2258</v>
      </c>
      <c r="K535">
        <v>19</v>
      </c>
    </row>
    <row r="536" spans="8:11" x14ac:dyDescent="0.25">
      <c r="H536" s="9">
        <v>45217</v>
      </c>
      <c r="I536">
        <f t="shared" ca="1" si="32"/>
        <v>42</v>
      </c>
      <c r="J536" t="s">
        <v>2257</v>
      </c>
      <c r="K536">
        <v>12</v>
      </c>
    </row>
    <row r="537" spans="8:11" x14ac:dyDescent="0.25">
      <c r="H537" s="9">
        <v>45217</v>
      </c>
      <c r="I537">
        <f t="shared" ca="1" si="32"/>
        <v>42</v>
      </c>
      <c r="J537" t="s">
        <v>2260</v>
      </c>
      <c r="K537">
        <v>1</v>
      </c>
    </row>
    <row r="538" spans="8:11" x14ac:dyDescent="0.25">
      <c r="H538" s="9">
        <v>45218</v>
      </c>
      <c r="I538">
        <f t="shared" ca="1" si="32"/>
        <v>42</v>
      </c>
      <c r="J538" t="s">
        <v>2255</v>
      </c>
      <c r="K538">
        <v>265</v>
      </c>
    </row>
    <row r="539" spans="8:11" x14ac:dyDescent="0.25">
      <c r="H539" s="9">
        <v>45218</v>
      </c>
      <c r="I539">
        <f t="shared" ca="1" si="32"/>
        <v>42</v>
      </c>
      <c r="J539" t="s">
        <v>2259</v>
      </c>
      <c r="K539">
        <v>5</v>
      </c>
    </row>
    <row r="540" spans="8:11" x14ac:dyDescent="0.25">
      <c r="H540" s="9">
        <v>45218</v>
      </c>
      <c r="I540">
        <f t="shared" ca="1" si="32"/>
        <v>42</v>
      </c>
      <c r="J540" t="s">
        <v>2256</v>
      </c>
      <c r="K540">
        <v>59</v>
      </c>
    </row>
    <row r="541" spans="8:11" x14ac:dyDescent="0.25">
      <c r="H541" s="9">
        <v>45218</v>
      </c>
      <c r="I541">
        <f t="shared" ca="1" si="32"/>
        <v>42</v>
      </c>
      <c r="J541" t="s">
        <v>2258</v>
      </c>
      <c r="K541">
        <v>18</v>
      </c>
    </row>
    <row r="542" spans="8:11" x14ac:dyDescent="0.25">
      <c r="H542" s="9">
        <v>45218</v>
      </c>
      <c r="I542">
        <f t="shared" ca="1" si="32"/>
        <v>42</v>
      </c>
      <c r="J542" t="s">
        <v>2257</v>
      </c>
      <c r="K542">
        <v>13</v>
      </c>
    </row>
    <row r="543" spans="8:11" x14ac:dyDescent="0.25">
      <c r="H543" s="9">
        <v>45218</v>
      </c>
      <c r="I543">
        <f t="shared" ca="1" si="32"/>
        <v>42</v>
      </c>
      <c r="J543" t="s">
        <v>2260</v>
      </c>
      <c r="K543">
        <v>1</v>
      </c>
    </row>
    <row r="544" spans="8:11" x14ac:dyDescent="0.25">
      <c r="H544" s="9">
        <v>45219</v>
      </c>
      <c r="I544">
        <f t="shared" ca="1" si="32"/>
        <v>42</v>
      </c>
      <c r="J544" t="s">
        <v>2255</v>
      </c>
      <c r="K544">
        <v>276</v>
      </c>
    </row>
    <row r="545" spans="8:11" x14ac:dyDescent="0.25">
      <c r="H545" s="9">
        <v>45219</v>
      </c>
      <c r="I545">
        <f t="shared" ca="1" si="32"/>
        <v>42</v>
      </c>
      <c r="J545" t="s">
        <v>2259</v>
      </c>
      <c r="K545">
        <v>4</v>
      </c>
    </row>
    <row r="546" spans="8:11" x14ac:dyDescent="0.25">
      <c r="H546" s="9">
        <v>45219</v>
      </c>
      <c r="I546">
        <f t="shared" ca="1" si="32"/>
        <v>42</v>
      </c>
      <c r="J546" t="s">
        <v>2256</v>
      </c>
      <c r="K546">
        <v>60</v>
      </c>
    </row>
    <row r="547" spans="8:11" x14ac:dyDescent="0.25">
      <c r="H547" s="9">
        <v>45219</v>
      </c>
      <c r="I547">
        <f t="shared" ca="1" si="32"/>
        <v>42</v>
      </c>
      <c r="J547" t="s">
        <v>2258</v>
      </c>
      <c r="K547">
        <v>18</v>
      </c>
    </row>
    <row r="548" spans="8:11" x14ac:dyDescent="0.25">
      <c r="H548" s="9">
        <v>45219</v>
      </c>
      <c r="I548">
        <f t="shared" ca="1" si="32"/>
        <v>42</v>
      </c>
      <c r="J548" t="s">
        <v>2257</v>
      </c>
      <c r="K548">
        <v>14</v>
      </c>
    </row>
    <row r="549" spans="8:11" x14ac:dyDescent="0.25">
      <c r="H549" s="9">
        <v>45219</v>
      </c>
      <c r="I549">
        <f t="shared" ca="1" si="32"/>
        <v>42</v>
      </c>
      <c r="J549" t="s">
        <v>2260</v>
      </c>
      <c r="K549">
        <v>1</v>
      </c>
    </row>
    <row r="550" spans="8:11" x14ac:dyDescent="0.25">
      <c r="H550" s="9">
        <v>45222</v>
      </c>
      <c r="I550">
        <f t="shared" ca="1" si="32"/>
        <v>43</v>
      </c>
      <c r="J550" t="s">
        <v>2255</v>
      </c>
      <c r="K550">
        <v>267</v>
      </c>
    </row>
    <row r="551" spans="8:11" x14ac:dyDescent="0.25">
      <c r="H551" s="9">
        <v>45222</v>
      </c>
      <c r="I551">
        <f t="shared" ca="1" si="32"/>
        <v>43</v>
      </c>
      <c r="J551" t="s">
        <v>2259</v>
      </c>
      <c r="K551">
        <v>4</v>
      </c>
    </row>
    <row r="552" spans="8:11" x14ac:dyDescent="0.25">
      <c r="H552" s="9">
        <v>45222</v>
      </c>
      <c r="I552">
        <f t="shared" ca="1" si="32"/>
        <v>43</v>
      </c>
      <c r="J552" t="s">
        <v>2256</v>
      </c>
      <c r="K552">
        <v>56</v>
      </c>
    </row>
    <row r="553" spans="8:11" x14ac:dyDescent="0.25">
      <c r="H553" s="9">
        <v>45222</v>
      </c>
      <c r="I553">
        <f t="shared" ca="1" si="32"/>
        <v>43</v>
      </c>
      <c r="J553" t="s">
        <v>2258</v>
      </c>
      <c r="K553">
        <v>19</v>
      </c>
    </row>
    <row r="554" spans="8:11" x14ac:dyDescent="0.25">
      <c r="H554" s="9">
        <v>45222</v>
      </c>
      <c r="I554">
        <f t="shared" ca="1" si="32"/>
        <v>43</v>
      </c>
      <c r="J554" t="s">
        <v>2257</v>
      </c>
      <c r="K554">
        <v>10</v>
      </c>
    </row>
    <row r="555" spans="8:11" x14ac:dyDescent="0.25">
      <c r="H555" s="9">
        <v>45222</v>
      </c>
      <c r="I555">
        <f t="shared" ca="1" si="32"/>
        <v>43</v>
      </c>
      <c r="J555" t="s">
        <v>2260</v>
      </c>
      <c r="K555">
        <v>1</v>
      </c>
    </row>
    <row r="556" spans="8:11" x14ac:dyDescent="0.25">
      <c r="H556" s="9">
        <v>45223</v>
      </c>
      <c r="I556">
        <f t="shared" ref="I556:I567" ca="1" si="33">WEEKNUM(INDIRECT("H"&amp;ROW()))</f>
        <v>43</v>
      </c>
      <c r="J556" t="s">
        <v>2255</v>
      </c>
      <c r="K556">
        <v>252</v>
      </c>
    </row>
    <row r="557" spans="8:11" x14ac:dyDescent="0.25">
      <c r="H557" s="9">
        <v>45223</v>
      </c>
      <c r="I557">
        <f t="shared" ca="1" si="33"/>
        <v>43</v>
      </c>
      <c r="J557" t="s">
        <v>2259</v>
      </c>
      <c r="K557">
        <v>3</v>
      </c>
    </row>
    <row r="558" spans="8:11" x14ac:dyDescent="0.25">
      <c r="H558" s="9">
        <v>45223</v>
      </c>
      <c r="I558">
        <f t="shared" ca="1" si="33"/>
        <v>43</v>
      </c>
      <c r="J558" t="s">
        <v>2256</v>
      </c>
      <c r="K558">
        <v>60</v>
      </c>
    </row>
    <row r="559" spans="8:11" x14ac:dyDescent="0.25">
      <c r="H559" s="9">
        <v>45223</v>
      </c>
      <c r="I559">
        <f t="shared" ca="1" si="33"/>
        <v>43</v>
      </c>
      <c r="J559" t="s">
        <v>2258</v>
      </c>
      <c r="K559">
        <v>18</v>
      </c>
    </row>
    <row r="560" spans="8:11" x14ac:dyDescent="0.25">
      <c r="H560" s="9">
        <v>45223</v>
      </c>
      <c r="I560">
        <f t="shared" ca="1" si="33"/>
        <v>43</v>
      </c>
      <c r="J560" t="s">
        <v>2257</v>
      </c>
      <c r="K560">
        <v>11</v>
      </c>
    </row>
    <row r="561" spans="8:11" x14ac:dyDescent="0.25">
      <c r="H561" s="9">
        <v>45223</v>
      </c>
      <c r="I561">
        <f t="shared" ca="1" si="33"/>
        <v>43</v>
      </c>
      <c r="J561" t="s">
        <v>2260</v>
      </c>
      <c r="K561">
        <v>1</v>
      </c>
    </row>
    <row r="562" spans="8:11" x14ac:dyDescent="0.25">
      <c r="H562" s="9">
        <v>45224</v>
      </c>
      <c r="I562">
        <f t="shared" ca="1" si="33"/>
        <v>43</v>
      </c>
      <c r="J562" t="s">
        <v>2255</v>
      </c>
      <c r="K562">
        <v>280</v>
      </c>
    </row>
    <row r="563" spans="8:11" x14ac:dyDescent="0.25">
      <c r="H563" s="9">
        <v>45224</v>
      </c>
      <c r="I563">
        <f t="shared" ca="1" si="33"/>
        <v>43</v>
      </c>
      <c r="J563" t="s">
        <v>2259</v>
      </c>
      <c r="K563">
        <v>2</v>
      </c>
    </row>
    <row r="564" spans="8:11" x14ac:dyDescent="0.25">
      <c r="H564" s="9">
        <v>45224</v>
      </c>
      <c r="I564">
        <f t="shared" ca="1" si="33"/>
        <v>43</v>
      </c>
      <c r="J564" t="s">
        <v>2256</v>
      </c>
      <c r="K564">
        <v>60</v>
      </c>
    </row>
    <row r="565" spans="8:11" x14ac:dyDescent="0.25">
      <c r="H565" s="9">
        <v>45224</v>
      </c>
      <c r="I565">
        <f t="shared" ca="1" si="33"/>
        <v>43</v>
      </c>
      <c r="J565" t="s">
        <v>2258</v>
      </c>
      <c r="K565">
        <v>18</v>
      </c>
    </row>
    <row r="566" spans="8:11" x14ac:dyDescent="0.25">
      <c r="H566" s="9">
        <v>45224</v>
      </c>
      <c r="I566">
        <f t="shared" ca="1" si="33"/>
        <v>43</v>
      </c>
      <c r="J566" t="s">
        <v>2257</v>
      </c>
      <c r="K566">
        <v>11</v>
      </c>
    </row>
    <row r="567" spans="8:11" x14ac:dyDescent="0.25">
      <c r="H567" s="9">
        <v>45224</v>
      </c>
      <c r="I567">
        <f t="shared" ca="1" si="33"/>
        <v>43</v>
      </c>
      <c r="J567" t="s">
        <v>2260</v>
      </c>
      <c r="K567">
        <v>1</v>
      </c>
    </row>
    <row r="568" spans="8:11" x14ac:dyDescent="0.25">
      <c r="H568" s="9">
        <v>45229</v>
      </c>
      <c r="I568">
        <f t="shared" ref="I568:I599" ca="1" si="34">WEEKNUM(INDIRECT("H"&amp;ROW()))</f>
        <v>44</v>
      </c>
      <c r="J568" t="s">
        <v>2255</v>
      </c>
      <c r="K568">
        <v>237</v>
      </c>
    </row>
    <row r="569" spans="8:11" x14ac:dyDescent="0.25">
      <c r="H569" s="9">
        <v>45229</v>
      </c>
      <c r="I569">
        <f t="shared" ca="1" si="34"/>
        <v>44</v>
      </c>
      <c r="J569" t="s">
        <v>2259</v>
      </c>
      <c r="K569">
        <v>1</v>
      </c>
    </row>
    <row r="570" spans="8:11" x14ac:dyDescent="0.25">
      <c r="H570" s="9">
        <v>45229</v>
      </c>
      <c r="I570">
        <f t="shared" ca="1" si="34"/>
        <v>44</v>
      </c>
      <c r="J570" t="s">
        <v>2256</v>
      </c>
      <c r="K570">
        <v>52</v>
      </c>
    </row>
    <row r="571" spans="8:11" x14ac:dyDescent="0.25">
      <c r="H571" s="9">
        <v>45229</v>
      </c>
      <c r="I571">
        <f t="shared" ca="1" si="34"/>
        <v>44</v>
      </c>
      <c r="J571" t="s">
        <v>2258</v>
      </c>
      <c r="K571">
        <v>20</v>
      </c>
    </row>
    <row r="572" spans="8:11" x14ac:dyDescent="0.25">
      <c r="H572" s="9">
        <v>45229</v>
      </c>
      <c r="I572">
        <f t="shared" ca="1" si="34"/>
        <v>44</v>
      </c>
      <c r="J572" t="s">
        <v>2257</v>
      </c>
      <c r="K572">
        <v>14</v>
      </c>
    </row>
    <row r="573" spans="8:11" x14ac:dyDescent="0.25">
      <c r="H573" s="9">
        <v>45229</v>
      </c>
      <c r="I573">
        <f t="shared" ca="1" si="34"/>
        <v>44</v>
      </c>
      <c r="J573" t="s">
        <v>2260</v>
      </c>
      <c r="K573">
        <v>1</v>
      </c>
    </row>
    <row r="574" spans="8:11" x14ac:dyDescent="0.25">
      <c r="H574" s="9">
        <v>45230</v>
      </c>
      <c r="I574">
        <f t="shared" ca="1" si="34"/>
        <v>44</v>
      </c>
      <c r="J574" t="s">
        <v>2255</v>
      </c>
      <c r="K574">
        <v>232</v>
      </c>
    </row>
    <row r="575" spans="8:11" x14ac:dyDescent="0.25">
      <c r="H575" s="9">
        <v>45230</v>
      </c>
      <c r="I575">
        <f t="shared" ca="1" si="34"/>
        <v>44</v>
      </c>
      <c r="J575" t="s">
        <v>2259</v>
      </c>
      <c r="K575">
        <v>0</v>
      </c>
    </row>
    <row r="576" spans="8:11" x14ac:dyDescent="0.25">
      <c r="H576" s="9">
        <v>45230</v>
      </c>
      <c r="I576">
        <f t="shared" ca="1" si="34"/>
        <v>44</v>
      </c>
      <c r="J576" t="s">
        <v>2256</v>
      </c>
      <c r="K576">
        <v>56</v>
      </c>
    </row>
    <row r="577" spans="8:11" x14ac:dyDescent="0.25">
      <c r="H577" s="9">
        <v>45230</v>
      </c>
      <c r="I577">
        <f t="shared" ca="1" si="34"/>
        <v>44</v>
      </c>
      <c r="J577" t="s">
        <v>2258</v>
      </c>
      <c r="K577">
        <v>19</v>
      </c>
    </row>
    <row r="578" spans="8:11" x14ac:dyDescent="0.25">
      <c r="H578" s="9">
        <v>45230</v>
      </c>
      <c r="I578">
        <f t="shared" ca="1" si="34"/>
        <v>44</v>
      </c>
      <c r="J578" t="s">
        <v>2257</v>
      </c>
      <c r="K578">
        <v>13</v>
      </c>
    </row>
    <row r="579" spans="8:11" x14ac:dyDescent="0.25">
      <c r="H579" s="9">
        <v>45230</v>
      </c>
      <c r="I579">
        <f t="shared" ca="1" si="34"/>
        <v>44</v>
      </c>
      <c r="J579" t="s">
        <v>2260</v>
      </c>
      <c r="K579">
        <v>1</v>
      </c>
    </row>
    <row r="580" spans="8:11" x14ac:dyDescent="0.25">
      <c r="H580" s="9">
        <v>45231</v>
      </c>
      <c r="I580">
        <f t="shared" ca="1" si="34"/>
        <v>44</v>
      </c>
      <c r="J580" t="s">
        <v>2255</v>
      </c>
      <c r="K580">
        <v>222</v>
      </c>
    </row>
    <row r="581" spans="8:11" x14ac:dyDescent="0.25">
      <c r="H581" s="9">
        <v>45231</v>
      </c>
      <c r="I581">
        <f t="shared" ca="1" si="34"/>
        <v>44</v>
      </c>
      <c r="J581" t="s">
        <v>2259</v>
      </c>
      <c r="K581">
        <v>0</v>
      </c>
    </row>
    <row r="582" spans="8:11" x14ac:dyDescent="0.25">
      <c r="H582" s="9">
        <v>45231</v>
      </c>
      <c r="I582">
        <f t="shared" ca="1" si="34"/>
        <v>44</v>
      </c>
      <c r="J582" t="s">
        <v>2256</v>
      </c>
      <c r="K582">
        <v>55</v>
      </c>
    </row>
    <row r="583" spans="8:11" x14ac:dyDescent="0.25">
      <c r="H583" s="9">
        <v>45231</v>
      </c>
      <c r="I583">
        <f t="shared" ca="1" si="34"/>
        <v>44</v>
      </c>
      <c r="J583" t="s">
        <v>2258</v>
      </c>
      <c r="K583">
        <v>18</v>
      </c>
    </row>
    <row r="584" spans="8:11" x14ac:dyDescent="0.25">
      <c r="H584" s="9">
        <v>45231</v>
      </c>
      <c r="I584">
        <f t="shared" ca="1" si="34"/>
        <v>44</v>
      </c>
      <c r="J584" t="s">
        <v>2257</v>
      </c>
      <c r="K584">
        <v>13</v>
      </c>
    </row>
    <row r="585" spans="8:11" x14ac:dyDescent="0.25">
      <c r="H585" s="9">
        <v>45231</v>
      </c>
      <c r="I585">
        <f t="shared" ca="1" si="34"/>
        <v>44</v>
      </c>
      <c r="J585" t="s">
        <v>2260</v>
      </c>
      <c r="K585">
        <v>1</v>
      </c>
    </row>
    <row r="586" spans="8:11" x14ac:dyDescent="0.25">
      <c r="H586" s="9">
        <v>45232</v>
      </c>
      <c r="I586">
        <f t="shared" ca="1" si="34"/>
        <v>44</v>
      </c>
      <c r="J586" t="s">
        <v>2255</v>
      </c>
      <c r="K586">
        <v>234</v>
      </c>
    </row>
    <row r="587" spans="8:11" x14ac:dyDescent="0.25">
      <c r="H587" s="9">
        <v>45232</v>
      </c>
      <c r="I587">
        <f t="shared" ca="1" si="34"/>
        <v>44</v>
      </c>
      <c r="J587" t="s">
        <v>2259</v>
      </c>
      <c r="K587">
        <v>1</v>
      </c>
    </row>
    <row r="588" spans="8:11" x14ac:dyDescent="0.25">
      <c r="H588" s="9">
        <v>45232</v>
      </c>
      <c r="I588">
        <f t="shared" ca="1" si="34"/>
        <v>44</v>
      </c>
      <c r="J588" t="s">
        <v>2256</v>
      </c>
      <c r="K588">
        <v>58</v>
      </c>
    </row>
    <row r="589" spans="8:11" x14ac:dyDescent="0.25">
      <c r="H589" s="9">
        <v>45232</v>
      </c>
      <c r="I589">
        <f t="shared" ca="1" si="34"/>
        <v>44</v>
      </c>
      <c r="J589" t="s">
        <v>2258</v>
      </c>
      <c r="K589">
        <v>17</v>
      </c>
    </row>
    <row r="590" spans="8:11" x14ac:dyDescent="0.25">
      <c r="H590" s="9">
        <v>45232</v>
      </c>
      <c r="I590">
        <f t="shared" ca="1" si="34"/>
        <v>44</v>
      </c>
      <c r="J590" t="s">
        <v>2257</v>
      </c>
      <c r="K590">
        <v>13</v>
      </c>
    </row>
    <row r="591" spans="8:11" x14ac:dyDescent="0.25">
      <c r="H591" s="9">
        <v>45232</v>
      </c>
      <c r="I591">
        <f t="shared" ca="1" si="34"/>
        <v>44</v>
      </c>
      <c r="J591" t="s">
        <v>2260</v>
      </c>
      <c r="K591">
        <v>1</v>
      </c>
    </row>
    <row r="592" spans="8:11" x14ac:dyDescent="0.25">
      <c r="H592" s="9">
        <v>45233</v>
      </c>
      <c r="I592">
        <f t="shared" ca="1" si="34"/>
        <v>44</v>
      </c>
      <c r="J592" t="s">
        <v>2255</v>
      </c>
      <c r="K592">
        <v>226</v>
      </c>
    </row>
    <row r="593" spans="8:11" x14ac:dyDescent="0.25">
      <c r="H593" s="9">
        <v>45233</v>
      </c>
      <c r="I593">
        <f t="shared" ca="1" si="34"/>
        <v>44</v>
      </c>
      <c r="J593" t="s">
        <v>2259</v>
      </c>
      <c r="K593">
        <v>1</v>
      </c>
    </row>
    <row r="594" spans="8:11" x14ac:dyDescent="0.25">
      <c r="H594" s="9">
        <v>45233</v>
      </c>
      <c r="I594">
        <f t="shared" ca="1" si="34"/>
        <v>44</v>
      </c>
      <c r="J594" t="s">
        <v>2256</v>
      </c>
      <c r="K594">
        <v>60</v>
      </c>
    </row>
    <row r="595" spans="8:11" x14ac:dyDescent="0.25">
      <c r="H595" s="9">
        <v>45233</v>
      </c>
      <c r="I595">
        <f t="shared" ca="1" si="34"/>
        <v>44</v>
      </c>
      <c r="J595" t="s">
        <v>2258</v>
      </c>
      <c r="K595">
        <v>18</v>
      </c>
    </row>
    <row r="596" spans="8:11" x14ac:dyDescent="0.25">
      <c r="H596" s="9">
        <v>45233</v>
      </c>
      <c r="I596">
        <f t="shared" ca="1" si="34"/>
        <v>44</v>
      </c>
      <c r="J596" t="s">
        <v>2257</v>
      </c>
      <c r="K596">
        <v>13</v>
      </c>
    </row>
    <row r="597" spans="8:11" x14ac:dyDescent="0.25">
      <c r="H597" s="9">
        <v>45233</v>
      </c>
      <c r="I597">
        <f t="shared" ca="1" si="34"/>
        <v>44</v>
      </c>
      <c r="J597" t="s">
        <v>2260</v>
      </c>
      <c r="K597">
        <v>1</v>
      </c>
    </row>
    <row r="598" spans="8:11" x14ac:dyDescent="0.25">
      <c r="H598" s="9">
        <v>45236</v>
      </c>
      <c r="I598">
        <f t="shared" ca="1" si="34"/>
        <v>45</v>
      </c>
      <c r="J598" t="s">
        <v>2255</v>
      </c>
      <c r="K598">
        <v>247</v>
      </c>
    </row>
    <row r="599" spans="8:11" x14ac:dyDescent="0.25">
      <c r="H599" s="9">
        <v>45236</v>
      </c>
      <c r="I599">
        <f t="shared" ca="1" si="34"/>
        <v>45</v>
      </c>
      <c r="J599" t="s">
        <v>2259</v>
      </c>
      <c r="K599">
        <v>1</v>
      </c>
    </row>
    <row r="600" spans="8:11" x14ac:dyDescent="0.25">
      <c r="H600" s="9">
        <v>45236</v>
      </c>
      <c r="I600">
        <f t="shared" ref="I600:I627" ca="1" si="35">WEEKNUM(INDIRECT("H"&amp;ROW()))</f>
        <v>45</v>
      </c>
      <c r="J600" t="s">
        <v>2256</v>
      </c>
      <c r="K600">
        <v>66</v>
      </c>
    </row>
    <row r="601" spans="8:11" x14ac:dyDescent="0.25">
      <c r="H601" s="9">
        <v>45236</v>
      </c>
      <c r="I601">
        <f t="shared" ca="1" si="35"/>
        <v>45</v>
      </c>
      <c r="J601" t="s">
        <v>2258</v>
      </c>
      <c r="K601">
        <v>19</v>
      </c>
    </row>
    <row r="602" spans="8:11" x14ac:dyDescent="0.25">
      <c r="H602" s="9">
        <v>45236</v>
      </c>
      <c r="I602">
        <f t="shared" ca="1" si="35"/>
        <v>45</v>
      </c>
      <c r="J602" t="s">
        <v>2257</v>
      </c>
      <c r="K602">
        <v>13</v>
      </c>
    </row>
    <row r="603" spans="8:11" x14ac:dyDescent="0.25">
      <c r="H603" s="9">
        <v>45236</v>
      </c>
      <c r="I603">
        <f t="shared" ca="1" si="35"/>
        <v>45</v>
      </c>
      <c r="J603" t="s">
        <v>2260</v>
      </c>
      <c r="K603">
        <v>1</v>
      </c>
    </row>
    <row r="604" spans="8:11" x14ac:dyDescent="0.25">
      <c r="H604" s="9">
        <v>45237</v>
      </c>
      <c r="I604">
        <f t="shared" ca="1" si="35"/>
        <v>45</v>
      </c>
      <c r="J604" t="s">
        <v>2255</v>
      </c>
      <c r="K604">
        <v>268</v>
      </c>
    </row>
    <row r="605" spans="8:11" x14ac:dyDescent="0.25">
      <c r="H605" s="9">
        <v>45237</v>
      </c>
      <c r="I605">
        <f t="shared" ca="1" si="35"/>
        <v>45</v>
      </c>
      <c r="J605" t="s">
        <v>2259</v>
      </c>
      <c r="K605">
        <v>1</v>
      </c>
    </row>
    <row r="606" spans="8:11" x14ac:dyDescent="0.25">
      <c r="H606" s="9">
        <v>45237</v>
      </c>
      <c r="I606">
        <f t="shared" ca="1" si="35"/>
        <v>45</v>
      </c>
      <c r="J606" t="s">
        <v>2256</v>
      </c>
      <c r="K606">
        <v>64</v>
      </c>
    </row>
    <row r="607" spans="8:11" x14ac:dyDescent="0.25">
      <c r="H607" s="9">
        <v>45237</v>
      </c>
      <c r="I607">
        <f t="shared" ca="1" si="35"/>
        <v>45</v>
      </c>
      <c r="J607" t="s">
        <v>2258</v>
      </c>
      <c r="K607">
        <v>18</v>
      </c>
    </row>
    <row r="608" spans="8:11" x14ac:dyDescent="0.25">
      <c r="H608" s="9">
        <v>45237</v>
      </c>
      <c r="I608">
        <f t="shared" ca="1" si="35"/>
        <v>45</v>
      </c>
      <c r="J608" t="s">
        <v>2257</v>
      </c>
      <c r="K608">
        <v>14</v>
      </c>
    </row>
    <row r="609" spans="8:11" x14ac:dyDescent="0.25">
      <c r="H609" s="9">
        <v>45237</v>
      </c>
      <c r="I609">
        <f t="shared" ca="1" si="35"/>
        <v>45</v>
      </c>
      <c r="J609" t="s">
        <v>2260</v>
      </c>
      <c r="K609">
        <v>0</v>
      </c>
    </row>
    <row r="610" spans="8:11" x14ac:dyDescent="0.25">
      <c r="H610" s="9">
        <v>45238</v>
      </c>
      <c r="I610">
        <f t="shared" ca="1" si="35"/>
        <v>45</v>
      </c>
      <c r="J610" t="s">
        <v>2255</v>
      </c>
      <c r="K610">
        <v>273</v>
      </c>
    </row>
    <row r="611" spans="8:11" x14ac:dyDescent="0.25">
      <c r="H611" s="9">
        <v>45238</v>
      </c>
      <c r="I611">
        <f t="shared" ca="1" si="35"/>
        <v>45</v>
      </c>
      <c r="J611" t="s">
        <v>2259</v>
      </c>
      <c r="K611">
        <v>1</v>
      </c>
    </row>
    <row r="612" spans="8:11" x14ac:dyDescent="0.25">
      <c r="H612" s="9">
        <v>45238</v>
      </c>
      <c r="I612">
        <f t="shared" ca="1" si="35"/>
        <v>45</v>
      </c>
      <c r="J612" t="s">
        <v>2256</v>
      </c>
      <c r="K612">
        <v>69</v>
      </c>
    </row>
    <row r="613" spans="8:11" x14ac:dyDescent="0.25">
      <c r="H613" s="9">
        <v>45238</v>
      </c>
      <c r="I613">
        <f t="shared" ca="1" si="35"/>
        <v>45</v>
      </c>
      <c r="J613" t="s">
        <v>2258</v>
      </c>
      <c r="K613">
        <v>18</v>
      </c>
    </row>
    <row r="614" spans="8:11" x14ac:dyDescent="0.25">
      <c r="H614" s="9">
        <v>45238</v>
      </c>
      <c r="I614">
        <f t="shared" ca="1" si="35"/>
        <v>45</v>
      </c>
      <c r="J614" t="s">
        <v>2257</v>
      </c>
      <c r="K614">
        <v>10</v>
      </c>
    </row>
    <row r="615" spans="8:11" x14ac:dyDescent="0.25">
      <c r="H615" s="9">
        <v>45238</v>
      </c>
      <c r="I615">
        <f t="shared" ca="1" si="35"/>
        <v>45</v>
      </c>
      <c r="J615" t="s">
        <v>2260</v>
      </c>
      <c r="K615">
        <v>0</v>
      </c>
    </row>
    <row r="616" spans="8:11" x14ac:dyDescent="0.25">
      <c r="H616" s="9">
        <v>45239</v>
      </c>
      <c r="I616">
        <f t="shared" ca="1" si="35"/>
        <v>45</v>
      </c>
      <c r="J616" t="s">
        <v>2255</v>
      </c>
      <c r="K616">
        <v>262</v>
      </c>
    </row>
    <row r="617" spans="8:11" x14ac:dyDescent="0.25">
      <c r="H617" s="9">
        <v>45239</v>
      </c>
      <c r="I617">
        <f t="shared" ca="1" si="35"/>
        <v>45</v>
      </c>
      <c r="J617" t="s">
        <v>2259</v>
      </c>
      <c r="K617">
        <v>1</v>
      </c>
    </row>
    <row r="618" spans="8:11" x14ac:dyDescent="0.25">
      <c r="H618" s="9">
        <v>45239</v>
      </c>
      <c r="I618">
        <f t="shared" ca="1" si="35"/>
        <v>45</v>
      </c>
      <c r="J618" t="s">
        <v>2256</v>
      </c>
      <c r="K618">
        <v>69</v>
      </c>
    </row>
    <row r="619" spans="8:11" x14ac:dyDescent="0.25">
      <c r="H619" s="9">
        <v>45239</v>
      </c>
      <c r="I619">
        <f t="shared" ca="1" si="35"/>
        <v>45</v>
      </c>
      <c r="J619" t="s">
        <v>2258</v>
      </c>
      <c r="K619">
        <v>17</v>
      </c>
    </row>
    <row r="620" spans="8:11" x14ac:dyDescent="0.25">
      <c r="H620" s="9">
        <v>45239</v>
      </c>
      <c r="I620">
        <f t="shared" ca="1" si="35"/>
        <v>45</v>
      </c>
      <c r="J620" t="s">
        <v>2257</v>
      </c>
      <c r="K620">
        <v>9</v>
      </c>
    </row>
    <row r="621" spans="8:11" x14ac:dyDescent="0.25">
      <c r="H621" s="9">
        <v>45239</v>
      </c>
      <c r="I621">
        <f t="shared" ca="1" si="35"/>
        <v>45</v>
      </c>
      <c r="J621" t="s">
        <v>2260</v>
      </c>
      <c r="K621">
        <v>0</v>
      </c>
    </row>
    <row r="622" spans="8:11" x14ac:dyDescent="0.25">
      <c r="H622" s="9">
        <v>45240</v>
      </c>
      <c r="I622">
        <f t="shared" ca="1" si="35"/>
        <v>45</v>
      </c>
      <c r="J622" t="s">
        <v>2255</v>
      </c>
      <c r="K622">
        <v>266</v>
      </c>
    </row>
    <row r="623" spans="8:11" x14ac:dyDescent="0.25">
      <c r="H623" s="9">
        <v>45240</v>
      </c>
      <c r="I623">
        <f t="shared" ca="1" si="35"/>
        <v>45</v>
      </c>
      <c r="J623" t="s">
        <v>2259</v>
      </c>
      <c r="K623">
        <v>2</v>
      </c>
    </row>
    <row r="624" spans="8:11" x14ac:dyDescent="0.25">
      <c r="H624" s="9">
        <v>45240</v>
      </c>
      <c r="I624">
        <f t="shared" ca="1" si="35"/>
        <v>45</v>
      </c>
      <c r="J624" t="s">
        <v>2256</v>
      </c>
      <c r="K624">
        <v>68</v>
      </c>
    </row>
    <row r="625" spans="8:11" x14ac:dyDescent="0.25">
      <c r="H625" s="9">
        <v>45240</v>
      </c>
      <c r="I625">
        <f t="shared" ca="1" si="35"/>
        <v>45</v>
      </c>
      <c r="J625" t="s">
        <v>2258</v>
      </c>
      <c r="K625">
        <v>18</v>
      </c>
    </row>
    <row r="626" spans="8:11" x14ac:dyDescent="0.25">
      <c r="H626" s="9">
        <v>45240</v>
      </c>
      <c r="I626">
        <f t="shared" ca="1" si="35"/>
        <v>45</v>
      </c>
      <c r="J626" t="s">
        <v>2257</v>
      </c>
      <c r="K626">
        <v>7</v>
      </c>
    </row>
    <row r="627" spans="8:11" x14ac:dyDescent="0.25">
      <c r="H627" s="9">
        <v>45240</v>
      </c>
      <c r="I627">
        <f t="shared" ca="1" si="35"/>
        <v>45</v>
      </c>
      <c r="J627" t="s">
        <v>2260</v>
      </c>
      <c r="K627">
        <v>0</v>
      </c>
    </row>
    <row r="628" spans="8:11" x14ac:dyDescent="0.25">
      <c r="H628" s="9">
        <v>45243</v>
      </c>
      <c r="I628">
        <f t="shared" ref="I628:I659" ca="1" si="36">WEEKNUM(INDIRECT("H"&amp;ROW()))</f>
        <v>46</v>
      </c>
      <c r="J628" t="s">
        <v>2255</v>
      </c>
      <c r="K628">
        <v>285</v>
      </c>
    </row>
    <row r="629" spans="8:11" x14ac:dyDescent="0.25">
      <c r="H629" s="9">
        <v>45243</v>
      </c>
      <c r="I629">
        <f t="shared" ca="1" si="36"/>
        <v>46</v>
      </c>
      <c r="J629" t="s">
        <v>2259</v>
      </c>
      <c r="K629">
        <v>2</v>
      </c>
    </row>
    <row r="630" spans="8:11" x14ac:dyDescent="0.25">
      <c r="H630" s="9">
        <v>45243</v>
      </c>
      <c r="I630">
        <f t="shared" ca="1" si="36"/>
        <v>46</v>
      </c>
      <c r="J630" t="s">
        <v>2256</v>
      </c>
      <c r="K630">
        <v>72</v>
      </c>
    </row>
    <row r="631" spans="8:11" x14ac:dyDescent="0.25">
      <c r="H631" s="9">
        <v>45243</v>
      </c>
      <c r="I631">
        <f t="shared" ca="1" si="36"/>
        <v>46</v>
      </c>
      <c r="J631" t="s">
        <v>2258</v>
      </c>
      <c r="K631">
        <v>18</v>
      </c>
    </row>
    <row r="632" spans="8:11" x14ac:dyDescent="0.25">
      <c r="H632" s="9">
        <v>45243</v>
      </c>
      <c r="I632">
        <f t="shared" ca="1" si="36"/>
        <v>46</v>
      </c>
      <c r="J632" t="s">
        <v>2257</v>
      </c>
      <c r="K632">
        <v>7</v>
      </c>
    </row>
    <row r="633" spans="8:11" x14ac:dyDescent="0.25">
      <c r="H633" s="9">
        <v>45243</v>
      </c>
      <c r="I633">
        <f t="shared" ca="1" si="36"/>
        <v>46</v>
      </c>
      <c r="J633" t="s">
        <v>2260</v>
      </c>
      <c r="K633">
        <v>0</v>
      </c>
    </row>
    <row r="634" spans="8:11" x14ac:dyDescent="0.25">
      <c r="H634" s="9">
        <v>45244</v>
      </c>
      <c r="I634">
        <f t="shared" ca="1" si="36"/>
        <v>46</v>
      </c>
      <c r="J634" t="s">
        <v>2255</v>
      </c>
      <c r="K634">
        <v>266</v>
      </c>
    </row>
    <row r="635" spans="8:11" x14ac:dyDescent="0.25">
      <c r="H635" s="9">
        <v>45244</v>
      </c>
      <c r="I635">
        <f t="shared" ca="1" si="36"/>
        <v>46</v>
      </c>
      <c r="J635" t="s">
        <v>2259</v>
      </c>
      <c r="K635">
        <v>2</v>
      </c>
    </row>
    <row r="636" spans="8:11" x14ac:dyDescent="0.25">
      <c r="H636" s="9">
        <v>45244</v>
      </c>
      <c r="I636">
        <f t="shared" ca="1" si="36"/>
        <v>46</v>
      </c>
      <c r="J636" t="s">
        <v>2256</v>
      </c>
      <c r="K636">
        <v>69</v>
      </c>
    </row>
    <row r="637" spans="8:11" x14ac:dyDescent="0.25">
      <c r="H637" s="9">
        <v>45244</v>
      </c>
      <c r="I637">
        <f t="shared" ca="1" si="36"/>
        <v>46</v>
      </c>
      <c r="J637" t="s">
        <v>2258</v>
      </c>
      <c r="K637">
        <v>17</v>
      </c>
    </row>
    <row r="638" spans="8:11" x14ac:dyDescent="0.25">
      <c r="H638" s="9">
        <v>45244</v>
      </c>
      <c r="I638">
        <f t="shared" ca="1" si="36"/>
        <v>46</v>
      </c>
      <c r="J638" t="s">
        <v>2257</v>
      </c>
      <c r="K638">
        <v>7</v>
      </c>
    </row>
    <row r="639" spans="8:11" x14ac:dyDescent="0.25">
      <c r="H639" s="9">
        <v>45244</v>
      </c>
      <c r="I639">
        <f t="shared" ca="1" si="36"/>
        <v>46</v>
      </c>
      <c r="J639" t="s">
        <v>2260</v>
      </c>
      <c r="K639">
        <v>0</v>
      </c>
    </row>
    <row r="640" spans="8:11" x14ac:dyDescent="0.25">
      <c r="H640" s="9">
        <v>45245</v>
      </c>
      <c r="I640">
        <f t="shared" ca="1" si="36"/>
        <v>46</v>
      </c>
      <c r="J640" t="s">
        <v>2255</v>
      </c>
      <c r="K640">
        <v>280</v>
      </c>
    </row>
    <row r="641" spans="8:11" x14ac:dyDescent="0.25">
      <c r="H641" s="9">
        <v>45245</v>
      </c>
      <c r="I641">
        <f t="shared" ca="1" si="36"/>
        <v>46</v>
      </c>
      <c r="J641" t="s">
        <v>2259</v>
      </c>
      <c r="K641">
        <v>1</v>
      </c>
    </row>
    <row r="642" spans="8:11" x14ac:dyDescent="0.25">
      <c r="H642" s="9">
        <v>45245</v>
      </c>
      <c r="I642">
        <f t="shared" ca="1" si="36"/>
        <v>46</v>
      </c>
      <c r="J642" t="s">
        <v>2256</v>
      </c>
      <c r="K642">
        <v>65</v>
      </c>
    </row>
    <row r="643" spans="8:11" x14ac:dyDescent="0.25">
      <c r="H643" s="9">
        <v>45245</v>
      </c>
      <c r="I643">
        <f t="shared" ca="1" si="36"/>
        <v>46</v>
      </c>
      <c r="J643" t="s">
        <v>2258</v>
      </c>
      <c r="K643">
        <v>16</v>
      </c>
    </row>
    <row r="644" spans="8:11" x14ac:dyDescent="0.25">
      <c r="H644" s="9">
        <v>45245</v>
      </c>
      <c r="I644">
        <f t="shared" ca="1" si="36"/>
        <v>46</v>
      </c>
      <c r="J644" t="s">
        <v>2257</v>
      </c>
      <c r="K644">
        <v>8</v>
      </c>
    </row>
    <row r="645" spans="8:11" x14ac:dyDescent="0.25">
      <c r="H645" s="9">
        <v>45245</v>
      </c>
      <c r="I645">
        <f t="shared" ca="1" si="36"/>
        <v>46</v>
      </c>
      <c r="J645" t="s">
        <v>2260</v>
      </c>
      <c r="K645">
        <v>0</v>
      </c>
    </row>
    <row r="646" spans="8:11" x14ac:dyDescent="0.25">
      <c r="H646" s="9">
        <v>45246</v>
      </c>
      <c r="I646">
        <f t="shared" ca="1" si="36"/>
        <v>46</v>
      </c>
      <c r="J646" t="s">
        <v>2255</v>
      </c>
      <c r="K646">
        <v>279</v>
      </c>
    </row>
    <row r="647" spans="8:11" x14ac:dyDescent="0.25">
      <c r="H647" s="9">
        <v>45246</v>
      </c>
      <c r="I647">
        <f t="shared" ca="1" si="36"/>
        <v>46</v>
      </c>
      <c r="J647" t="s">
        <v>2259</v>
      </c>
      <c r="K647">
        <v>2</v>
      </c>
    </row>
    <row r="648" spans="8:11" x14ac:dyDescent="0.25">
      <c r="H648" s="9">
        <v>45246</v>
      </c>
      <c r="I648">
        <f t="shared" ca="1" si="36"/>
        <v>46</v>
      </c>
      <c r="J648" t="s">
        <v>2256</v>
      </c>
      <c r="K648">
        <v>64</v>
      </c>
    </row>
    <row r="649" spans="8:11" x14ac:dyDescent="0.25">
      <c r="H649" s="9">
        <v>45246</v>
      </c>
      <c r="I649">
        <f t="shared" ca="1" si="36"/>
        <v>46</v>
      </c>
      <c r="J649" t="s">
        <v>2258</v>
      </c>
      <c r="K649">
        <v>16</v>
      </c>
    </row>
    <row r="650" spans="8:11" x14ac:dyDescent="0.25">
      <c r="H650" s="9">
        <v>45246</v>
      </c>
      <c r="I650">
        <f t="shared" ca="1" si="36"/>
        <v>46</v>
      </c>
      <c r="J650" t="s">
        <v>2257</v>
      </c>
      <c r="K650">
        <v>7</v>
      </c>
    </row>
    <row r="651" spans="8:11" x14ac:dyDescent="0.25">
      <c r="H651" s="9">
        <v>45246</v>
      </c>
      <c r="I651">
        <f t="shared" ca="1" si="36"/>
        <v>46</v>
      </c>
      <c r="J651" t="s">
        <v>2260</v>
      </c>
      <c r="K651">
        <v>0</v>
      </c>
    </row>
    <row r="652" spans="8:11" x14ac:dyDescent="0.25">
      <c r="H652" s="9">
        <v>45247</v>
      </c>
      <c r="I652">
        <f t="shared" ca="1" si="36"/>
        <v>46</v>
      </c>
      <c r="J652" t="s">
        <v>2255</v>
      </c>
      <c r="K652">
        <v>290</v>
      </c>
    </row>
    <row r="653" spans="8:11" x14ac:dyDescent="0.25">
      <c r="H653" s="9">
        <v>45247</v>
      </c>
      <c r="I653">
        <f t="shared" ca="1" si="36"/>
        <v>46</v>
      </c>
      <c r="J653" t="s">
        <v>2259</v>
      </c>
      <c r="K653">
        <v>2</v>
      </c>
    </row>
    <row r="654" spans="8:11" x14ac:dyDescent="0.25">
      <c r="H654" s="9">
        <v>45247</v>
      </c>
      <c r="I654">
        <f t="shared" ca="1" si="36"/>
        <v>46</v>
      </c>
      <c r="J654" t="s">
        <v>2256</v>
      </c>
      <c r="K654">
        <v>64</v>
      </c>
    </row>
    <row r="655" spans="8:11" x14ac:dyDescent="0.25">
      <c r="H655" s="9">
        <v>45247</v>
      </c>
      <c r="I655">
        <f t="shared" ca="1" si="36"/>
        <v>46</v>
      </c>
      <c r="J655" t="s">
        <v>2258</v>
      </c>
      <c r="K655">
        <v>15</v>
      </c>
    </row>
    <row r="656" spans="8:11" x14ac:dyDescent="0.25">
      <c r="H656" s="9">
        <v>45247</v>
      </c>
      <c r="I656">
        <f t="shared" ca="1" si="36"/>
        <v>46</v>
      </c>
      <c r="J656" t="s">
        <v>2257</v>
      </c>
      <c r="K656">
        <v>7</v>
      </c>
    </row>
    <row r="657" spans="8:11" x14ac:dyDescent="0.25">
      <c r="H657" s="9">
        <v>45247</v>
      </c>
      <c r="I657">
        <f t="shared" ca="1" si="36"/>
        <v>46</v>
      </c>
      <c r="J657" t="s">
        <v>2260</v>
      </c>
      <c r="K657">
        <v>0</v>
      </c>
    </row>
    <row r="658" spans="8:11" x14ac:dyDescent="0.25">
      <c r="H658" s="9">
        <v>45250</v>
      </c>
      <c r="I658">
        <f t="shared" ca="1" si="36"/>
        <v>47</v>
      </c>
      <c r="J658" t="s">
        <v>2255</v>
      </c>
      <c r="K658">
        <v>302</v>
      </c>
    </row>
    <row r="659" spans="8:11" x14ac:dyDescent="0.25">
      <c r="H659" s="9">
        <v>45250</v>
      </c>
      <c r="I659">
        <f t="shared" ca="1" si="36"/>
        <v>47</v>
      </c>
      <c r="J659" t="s">
        <v>2259</v>
      </c>
      <c r="K659">
        <v>2</v>
      </c>
    </row>
    <row r="660" spans="8:11" x14ac:dyDescent="0.25">
      <c r="H660" s="9">
        <v>45250</v>
      </c>
      <c r="I660">
        <f t="shared" ref="I660:I687" ca="1" si="37">WEEKNUM(INDIRECT("H"&amp;ROW()))</f>
        <v>47</v>
      </c>
      <c r="J660" t="s">
        <v>2256</v>
      </c>
      <c r="K660">
        <v>65</v>
      </c>
    </row>
    <row r="661" spans="8:11" x14ac:dyDescent="0.25">
      <c r="H661" s="9">
        <v>45250</v>
      </c>
      <c r="I661">
        <f t="shared" ca="1" si="37"/>
        <v>47</v>
      </c>
      <c r="J661" t="s">
        <v>2258</v>
      </c>
      <c r="K661">
        <v>15</v>
      </c>
    </row>
    <row r="662" spans="8:11" x14ac:dyDescent="0.25">
      <c r="H662" s="9">
        <v>45250</v>
      </c>
      <c r="I662">
        <f t="shared" ca="1" si="37"/>
        <v>47</v>
      </c>
      <c r="J662" t="s">
        <v>2257</v>
      </c>
      <c r="K662">
        <v>6</v>
      </c>
    </row>
    <row r="663" spans="8:11" x14ac:dyDescent="0.25">
      <c r="H663" s="9">
        <v>45250</v>
      </c>
      <c r="I663">
        <f t="shared" ca="1" si="37"/>
        <v>47</v>
      </c>
      <c r="J663" t="s">
        <v>2260</v>
      </c>
      <c r="K663">
        <v>0</v>
      </c>
    </row>
    <row r="664" spans="8:11" x14ac:dyDescent="0.25">
      <c r="H664" s="9">
        <v>45251</v>
      </c>
      <c r="I664">
        <f t="shared" ca="1" si="37"/>
        <v>47</v>
      </c>
      <c r="J664" t="s">
        <v>2255</v>
      </c>
      <c r="K664">
        <v>306</v>
      </c>
    </row>
    <row r="665" spans="8:11" x14ac:dyDescent="0.25">
      <c r="H665" s="9">
        <v>45251</v>
      </c>
      <c r="I665">
        <f t="shared" ca="1" si="37"/>
        <v>47</v>
      </c>
      <c r="J665" t="s">
        <v>2259</v>
      </c>
      <c r="K665">
        <v>2</v>
      </c>
    </row>
    <row r="666" spans="8:11" x14ac:dyDescent="0.25">
      <c r="H666" s="9">
        <v>45251</v>
      </c>
      <c r="I666">
        <f t="shared" ca="1" si="37"/>
        <v>47</v>
      </c>
      <c r="J666" t="s">
        <v>2256</v>
      </c>
      <c r="K666">
        <v>60</v>
      </c>
    </row>
    <row r="667" spans="8:11" x14ac:dyDescent="0.25">
      <c r="H667" s="9">
        <v>45251</v>
      </c>
      <c r="I667">
        <f t="shared" ca="1" si="37"/>
        <v>47</v>
      </c>
      <c r="J667" t="s">
        <v>2258</v>
      </c>
      <c r="K667">
        <v>15</v>
      </c>
    </row>
    <row r="668" spans="8:11" x14ac:dyDescent="0.25">
      <c r="H668" s="9">
        <v>45251</v>
      </c>
      <c r="I668">
        <f t="shared" ca="1" si="37"/>
        <v>47</v>
      </c>
      <c r="J668" t="s">
        <v>2257</v>
      </c>
      <c r="K668">
        <v>6</v>
      </c>
    </row>
    <row r="669" spans="8:11" x14ac:dyDescent="0.25">
      <c r="H669" s="9">
        <v>45251</v>
      </c>
      <c r="I669">
        <f t="shared" ca="1" si="37"/>
        <v>47</v>
      </c>
      <c r="J669" t="s">
        <v>2260</v>
      </c>
      <c r="K669">
        <v>0</v>
      </c>
    </row>
    <row r="670" spans="8:11" x14ac:dyDescent="0.25">
      <c r="H670" s="9">
        <v>45252</v>
      </c>
      <c r="I670">
        <f t="shared" ca="1" si="37"/>
        <v>47</v>
      </c>
      <c r="J670" t="s">
        <v>2255</v>
      </c>
      <c r="K670">
        <v>319</v>
      </c>
    </row>
    <row r="671" spans="8:11" x14ac:dyDescent="0.25">
      <c r="H671" s="9">
        <v>45252</v>
      </c>
      <c r="I671">
        <f t="shared" ca="1" si="37"/>
        <v>47</v>
      </c>
      <c r="J671" t="s">
        <v>2259</v>
      </c>
      <c r="K671">
        <v>2</v>
      </c>
    </row>
    <row r="672" spans="8:11" x14ac:dyDescent="0.25">
      <c r="H672" s="9">
        <v>45252</v>
      </c>
      <c r="I672">
        <f t="shared" ca="1" si="37"/>
        <v>47</v>
      </c>
      <c r="J672" t="s">
        <v>2256</v>
      </c>
      <c r="K672">
        <v>60</v>
      </c>
    </row>
    <row r="673" spans="8:11" x14ac:dyDescent="0.25">
      <c r="H673" s="9">
        <v>45252</v>
      </c>
      <c r="I673">
        <f t="shared" ca="1" si="37"/>
        <v>47</v>
      </c>
      <c r="J673" t="s">
        <v>2258</v>
      </c>
      <c r="K673">
        <v>17</v>
      </c>
    </row>
    <row r="674" spans="8:11" x14ac:dyDescent="0.25">
      <c r="H674" s="9">
        <v>45252</v>
      </c>
      <c r="I674">
        <f t="shared" ca="1" si="37"/>
        <v>47</v>
      </c>
      <c r="J674" t="s">
        <v>2257</v>
      </c>
      <c r="K674">
        <v>7</v>
      </c>
    </row>
    <row r="675" spans="8:11" x14ac:dyDescent="0.25">
      <c r="H675" s="9">
        <v>45252</v>
      </c>
      <c r="I675">
        <f t="shared" ca="1" si="37"/>
        <v>47</v>
      </c>
      <c r="J675" t="s">
        <v>2260</v>
      </c>
      <c r="K675">
        <v>0</v>
      </c>
    </row>
    <row r="676" spans="8:11" x14ac:dyDescent="0.25">
      <c r="H676" s="9">
        <v>45253</v>
      </c>
      <c r="I676">
        <f t="shared" ca="1" si="37"/>
        <v>47</v>
      </c>
      <c r="J676" t="s">
        <v>2255</v>
      </c>
      <c r="K676">
        <v>343</v>
      </c>
    </row>
    <row r="677" spans="8:11" x14ac:dyDescent="0.25">
      <c r="H677" s="9">
        <v>45253</v>
      </c>
      <c r="I677">
        <f t="shared" ca="1" si="37"/>
        <v>47</v>
      </c>
      <c r="J677" t="s">
        <v>2259</v>
      </c>
      <c r="K677">
        <v>2</v>
      </c>
    </row>
    <row r="678" spans="8:11" x14ac:dyDescent="0.25">
      <c r="H678" s="9">
        <v>45253</v>
      </c>
      <c r="I678">
        <f t="shared" ca="1" si="37"/>
        <v>47</v>
      </c>
      <c r="J678" t="s">
        <v>2256</v>
      </c>
      <c r="K678">
        <v>65</v>
      </c>
    </row>
    <row r="679" spans="8:11" x14ac:dyDescent="0.25">
      <c r="H679" s="9">
        <v>45253</v>
      </c>
      <c r="I679">
        <f t="shared" ca="1" si="37"/>
        <v>47</v>
      </c>
      <c r="J679" t="s">
        <v>2258</v>
      </c>
      <c r="K679">
        <v>19</v>
      </c>
    </row>
    <row r="680" spans="8:11" x14ac:dyDescent="0.25">
      <c r="H680" s="9">
        <v>45253</v>
      </c>
      <c r="I680">
        <f t="shared" ca="1" si="37"/>
        <v>47</v>
      </c>
      <c r="J680" t="s">
        <v>2257</v>
      </c>
      <c r="K680">
        <v>7</v>
      </c>
    </row>
    <row r="681" spans="8:11" x14ac:dyDescent="0.25">
      <c r="H681" s="9">
        <v>45253</v>
      </c>
      <c r="I681">
        <f t="shared" ca="1" si="37"/>
        <v>47</v>
      </c>
      <c r="J681" t="s">
        <v>2260</v>
      </c>
      <c r="K681">
        <v>0</v>
      </c>
    </row>
    <row r="682" spans="8:11" x14ac:dyDescent="0.25">
      <c r="H682" s="9">
        <v>45254</v>
      </c>
      <c r="I682">
        <f t="shared" ca="1" si="37"/>
        <v>47</v>
      </c>
      <c r="J682" t="s">
        <v>2255</v>
      </c>
      <c r="K682">
        <v>361</v>
      </c>
    </row>
    <row r="683" spans="8:11" x14ac:dyDescent="0.25">
      <c r="H683" s="9">
        <v>45254</v>
      </c>
      <c r="I683">
        <f t="shared" ca="1" si="37"/>
        <v>47</v>
      </c>
      <c r="J683" t="s">
        <v>2259</v>
      </c>
      <c r="K683">
        <v>2</v>
      </c>
    </row>
    <row r="684" spans="8:11" x14ac:dyDescent="0.25">
      <c r="H684" s="9">
        <v>45254</v>
      </c>
      <c r="I684">
        <f t="shared" ca="1" si="37"/>
        <v>47</v>
      </c>
      <c r="J684" t="s">
        <v>2256</v>
      </c>
      <c r="K684">
        <v>68</v>
      </c>
    </row>
    <row r="685" spans="8:11" x14ac:dyDescent="0.25">
      <c r="H685" s="9">
        <v>45254</v>
      </c>
      <c r="I685">
        <f t="shared" ca="1" si="37"/>
        <v>47</v>
      </c>
      <c r="J685" t="s">
        <v>2258</v>
      </c>
      <c r="K685">
        <v>20</v>
      </c>
    </row>
    <row r="686" spans="8:11" x14ac:dyDescent="0.25">
      <c r="H686" s="9">
        <v>45254</v>
      </c>
      <c r="I686">
        <f t="shared" ca="1" si="37"/>
        <v>47</v>
      </c>
      <c r="J686" t="s">
        <v>2257</v>
      </c>
      <c r="K686">
        <v>10</v>
      </c>
    </row>
    <row r="687" spans="8:11" x14ac:dyDescent="0.25">
      <c r="H687" s="9">
        <v>45254</v>
      </c>
      <c r="I687">
        <f t="shared" ca="1" si="37"/>
        <v>47</v>
      </c>
      <c r="J687" t="s">
        <v>2260</v>
      </c>
      <c r="K687">
        <v>0</v>
      </c>
    </row>
    <row r="688" spans="8:11" x14ac:dyDescent="0.25">
      <c r="H688" s="9">
        <v>45257</v>
      </c>
      <c r="I688">
        <f ca="1">WEEKNUM(INDIRECT("H"&amp;ROW()))</f>
        <v>48</v>
      </c>
      <c r="J688" t="s">
        <v>2255</v>
      </c>
      <c r="K688">
        <v>370</v>
      </c>
    </row>
    <row r="689" spans="8:11" x14ac:dyDescent="0.25">
      <c r="H689" s="9">
        <v>45257</v>
      </c>
      <c r="I689">
        <f ca="1">WEEKNUM(INDIRECT("H"&amp;ROW()))</f>
        <v>48</v>
      </c>
      <c r="J689" t="s">
        <v>2259</v>
      </c>
      <c r="K689">
        <v>2</v>
      </c>
    </row>
    <row r="690" spans="8:11" x14ac:dyDescent="0.25">
      <c r="H690" s="9">
        <v>45257</v>
      </c>
      <c r="I690">
        <f ca="1">WEEKNUM(INDIRECT("H"&amp;ROW()))</f>
        <v>48</v>
      </c>
      <c r="J690" t="s">
        <v>2256</v>
      </c>
      <c r="K690">
        <v>70</v>
      </c>
    </row>
    <row r="691" spans="8:11" x14ac:dyDescent="0.25">
      <c r="H691" s="9">
        <v>45257</v>
      </c>
      <c r="I691">
        <f ca="1">WEEKNUM(INDIRECT("H"&amp;ROW()))</f>
        <v>48</v>
      </c>
      <c r="J691" t="s">
        <v>2258</v>
      </c>
      <c r="K691">
        <v>20</v>
      </c>
    </row>
    <row r="692" spans="8:11" x14ac:dyDescent="0.25">
      <c r="H692" s="9">
        <v>45257</v>
      </c>
      <c r="I692">
        <f ca="1">WEEKNUM(INDIRECT("H"&amp;ROW()))</f>
        <v>48</v>
      </c>
      <c r="J692" t="s">
        <v>2257</v>
      </c>
      <c r="K692">
        <v>10</v>
      </c>
    </row>
    <row r="693" spans="8:11" x14ac:dyDescent="0.25">
      <c r="H693" s="9">
        <v>45257</v>
      </c>
      <c r="I693">
        <f ca="1">WEEKNUM(INDIRECT("H"&amp;ROW()))</f>
        <v>48</v>
      </c>
      <c r="J693" t="s">
        <v>2260</v>
      </c>
      <c r="K693">
        <v>0</v>
      </c>
    </row>
    <row r="694" spans="8:11" x14ac:dyDescent="0.25">
      <c r="H694" s="9">
        <v>45258</v>
      </c>
      <c r="I694">
        <f ca="1">WEEKNUM(INDIRECT("H"&amp;ROW()))</f>
        <v>48</v>
      </c>
      <c r="J694" t="s">
        <v>2255</v>
      </c>
      <c r="K694">
        <v>285</v>
      </c>
    </row>
    <row r="695" spans="8:11" x14ac:dyDescent="0.25">
      <c r="H695" s="9">
        <v>45258</v>
      </c>
      <c r="I695">
        <f ca="1">WEEKNUM(INDIRECT("H"&amp;ROW()))</f>
        <v>48</v>
      </c>
      <c r="J695" t="s">
        <v>2259</v>
      </c>
      <c r="K695">
        <v>2</v>
      </c>
    </row>
    <row r="696" spans="8:11" x14ac:dyDescent="0.25">
      <c r="H696" s="9">
        <v>45258</v>
      </c>
      <c r="I696">
        <f ca="1">WEEKNUM(INDIRECT("H"&amp;ROW()))</f>
        <v>48</v>
      </c>
      <c r="J696" t="s">
        <v>2256</v>
      </c>
      <c r="K696">
        <v>56</v>
      </c>
    </row>
    <row r="697" spans="8:11" x14ac:dyDescent="0.25">
      <c r="H697" s="9">
        <v>45258</v>
      </c>
      <c r="I697">
        <f ca="1">WEEKNUM(INDIRECT("H"&amp;ROW()))</f>
        <v>48</v>
      </c>
      <c r="J697" t="s">
        <v>2258</v>
      </c>
      <c r="K697">
        <v>20</v>
      </c>
    </row>
    <row r="698" spans="8:11" x14ac:dyDescent="0.25">
      <c r="H698" s="9">
        <v>45258</v>
      </c>
      <c r="I698">
        <f ca="1">WEEKNUM(INDIRECT("H"&amp;ROW()))</f>
        <v>48</v>
      </c>
      <c r="J698" t="s">
        <v>2257</v>
      </c>
      <c r="K698">
        <v>7</v>
      </c>
    </row>
    <row r="699" spans="8:11" x14ac:dyDescent="0.25">
      <c r="H699" s="9">
        <v>45258</v>
      </c>
      <c r="I699">
        <f ca="1">WEEKNUM(INDIRECT("H"&amp;ROW()))</f>
        <v>48</v>
      </c>
      <c r="J699" t="s">
        <v>2260</v>
      </c>
      <c r="K699">
        <v>0</v>
      </c>
    </row>
    <row r="700" spans="8:11" x14ac:dyDescent="0.25">
      <c r="H700" s="9">
        <v>45259</v>
      </c>
      <c r="I700">
        <f ca="1">WEEKNUM(INDIRECT("H"&amp;ROW()))</f>
        <v>48</v>
      </c>
      <c r="J700" t="s">
        <v>2255</v>
      </c>
      <c r="K700">
        <v>276</v>
      </c>
    </row>
    <row r="701" spans="8:11" x14ac:dyDescent="0.25">
      <c r="H701" s="9">
        <v>45259</v>
      </c>
      <c r="I701">
        <f ca="1">WEEKNUM(INDIRECT("H"&amp;ROW()))</f>
        <v>48</v>
      </c>
      <c r="J701" t="s">
        <v>2259</v>
      </c>
      <c r="K701">
        <v>2</v>
      </c>
    </row>
    <row r="702" spans="8:11" x14ac:dyDescent="0.25">
      <c r="H702" s="9">
        <v>45259</v>
      </c>
      <c r="I702">
        <f ca="1">WEEKNUM(INDIRECT("H"&amp;ROW()))</f>
        <v>48</v>
      </c>
      <c r="J702" t="s">
        <v>2256</v>
      </c>
      <c r="K702">
        <v>52</v>
      </c>
    </row>
    <row r="703" spans="8:11" x14ac:dyDescent="0.25">
      <c r="H703" s="9">
        <v>45259</v>
      </c>
      <c r="I703">
        <f ca="1">WEEKNUM(INDIRECT("H"&amp;ROW()))</f>
        <v>48</v>
      </c>
      <c r="J703" t="s">
        <v>2258</v>
      </c>
      <c r="K703">
        <v>18</v>
      </c>
    </row>
    <row r="704" spans="8:11" x14ac:dyDescent="0.25">
      <c r="H704" s="9">
        <v>45259</v>
      </c>
      <c r="I704">
        <f ca="1">WEEKNUM(INDIRECT("H"&amp;ROW()))</f>
        <v>48</v>
      </c>
      <c r="J704" t="s">
        <v>2257</v>
      </c>
      <c r="K704">
        <v>7</v>
      </c>
    </row>
    <row r="705" spans="8:11" x14ac:dyDescent="0.25">
      <c r="H705" s="9">
        <v>45259</v>
      </c>
      <c r="I705">
        <f ca="1">WEEKNUM(INDIRECT("H"&amp;ROW()))</f>
        <v>48</v>
      </c>
      <c r="J705" t="s">
        <v>2260</v>
      </c>
      <c r="K705">
        <v>0</v>
      </c>
    </row>
    <row r="706" spans="8:11" x14ac:dyDescent="0.25">
      <c r="H706" s="9">
        <v>45260</v>
      </c>
      <c r="I706">
        <f ca="1">WEEKNUM(INDIRECT("H"&amp;ROW()))</f>
        <v>48</v>
      </c>
      <c r="J706" t="s">
        <v>2255</v>
      </c>
      <c r="K706">
        <v>303</v>
      </c>
    </row>
    <row r="707" spans="8:11" x14ac:dyDescent="0.25">
      <c r="H707" s="9">
        <v>45260</v>
      </c>
      <c r="I707">
        <f ca="1">WEEKNUM(INDIRECT("H"&amp;ROW()))</f>
        <v>48</v>
      </c>
      <c r="J707" t="s">
        <v>2259</v>
      </c>
      <c r="K707">
        <v>2</v>
      </c>
    </row>
    <row r="708" spans="8:11" x14ac:dyDescent="0.25">
      <c r="H708" s="9">
        <v>45260</v>
      </c>
      <c r="I708">
        <f ca="1">WEEKNUM(INDIRECT("H"&amp;ROW()))</f>
        <v>48</v>
      </c>
      <c r="J708" t="s">
        <v>2256</v>
      </c>
      <c r="K708">
        <v>58</v>
      </c>
    </row>
    <row r="709" spans="8:11" x14ac:dyDescent="0.25">
      <c r="H709" s="9">
        <v>45260</v>
      </c>
      <c r="I709">
        <f ca="1">WEEKNUM(INDIRECT("H"&amp;ROW()))</f>
        <v>48</v>
      </c>
      <c r="J709" t="s">
        <v>2258</v>
      </c>
      <c r="K709">
        <v>19</v>
      </c>
    </row>
    <row r="710" spans="8:11" x14ac:dyDescent="0.25">
      <c r="H710" s="9">
        <v>45260</v>
      </c>
      <c r="I710">
        <f ca="1">WEEKNUM(INDIRECT("H"&amp;ROW()))</f>
        <v>48</v>
      </c>
      <c r="J710" t="s">
        <v>2257</v>
      </c>
      <c r="K710">
        <v>8</v>
      </c>
    </row>
    <row r="711" spans="8:11" x14ac:dyDescent="0.25">
      <c r="H711" s="9">
        <v>45260</v>
      </c>
      <c r="I711">
        <f ca="1">WEEKNUM(INDIRECT("H"&amp;ROW()))</f>
        <v>48</v>
      </c>
      <c r="J711" t="s">
        <v>2260</v>
      </c>
      <c r="K711">
        <v>0</v>
      </c>
    </row>
    <row r="712" spans="8:11" x14ac:dyDescent="0.25">
      <c r="H712" s="9">
        <v>45261</v>
      </c>
      <c r="I712">
        <f ca="1">WEEKNUM(INDIRECT("H"&amp;ROW()))</f>
        <v>48</v>
      </c>
      <c r="J712" t="s">
        <v>2255</v>
      </c>
      <c r="K712">
        <v>264</v>
      </c>
    </row>
    <row r="713" spans="8:11" x14ac:dyDescent="0.25">
      <c r="H713" s="9">
        <v>45261</v>
      </c>
      <c r="I713">
        <f ca="1">WEEKNUM(INDIRECT("H"&amp;ROW()))</f>
        <v>48</v>
      </c>
      <c r="J713" t="s">
        <v>2259</v>
      </c>
      <c r="K713">
        <v>0</v>
      </c>
    </row>
    <row r="714" spans="8:11" x14ac:dyDescent="0.25">
      <c r="H714" s="9">
        <v>45261</v>
      </c>
      <c r="I714">
        <f ca="1">WEEKNUM(INDIRECT("H"&amp;ROW()))</f>
        <v>48</v>
      </c>
      <c r="J714" t="s">
        <v>2256</v>
      </c>
      <c r="K714">
        <v>53</v>
      </c>
    </row>
    <row r="715" spans="8:11" x14ac:dyDescent="0.25">
      <c r="H715" s="9">
        <v>45261</v>
      </c>
      <c r="I715">
        <f ca="1">WEEKNUM(INDIRECT("H"&amp;ROW()))</f>
        <v>48</v>
      </c>
      <c r="J715" t="s">
        <v>2258</v>
      </c>
      <c r="K715">
        <v>19</v>
      </c>
    </row>
    <row r="716" spans="8:11" x14ac:dyDescent="0.25">
      <c r="H716" s="9">
        <v>45261</v>
      </c>
      <c r="I716">
        <f ca="1">WEEKNUM(INDIRECT("H"&amp;ROW()))</f>
        <v>48</v>
      </c>
      <c r="J716" t="s">
        <v>2257</v>
      </c>
      <c r="K716">
        <v>8</v>
      </c>
    </row>
    <row r="717" spans="8:11" x14ac:dyDescent="0.25">
      <c r="H717" s="9">
        <v>45261</v>
      </c>
      <c r="I717">
        <f ca="1">WEEKNUM(INDIRECT("H"&amp;ROW()))</f>
        <v>48</v>
      </c>
      <c r="J717" t="s">
        <v>2260</v>
      </c>
      <c r="K717">
        <v>0</v>
      </c>
    </row>
  </sheetData>
  <autoFilter ref="AA3:AD3" xr:uid="{0FDB0C3B-7124-494B-9B53-1DD2B2750A9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30691-F8C3-4C70-9DB1-ECAF6FD6817B}">
  <sheetPr codeName="Sheet9"/>
  <dimension ref="C6:BJ89"/>
  <sheetViews>
    <sheetView topLeftCell="A34" workbookViewId="0">
      <selection activeCell="H59" sqref="H59"/>
    </sheetView>
  </sheetViews>
  <sheetFormatPr defaultRowHeight="15" x14ac:dyDescent="0.25"/>
  <cols>
    <col min="2" max="2" width="18.5703125" bestFit="1" customWidth="1"/>
    <col min="3" max="3" width="13.140625" bestFit="1" customWidth="1"/>
    <col min="4" max="4" width="12.42578125" bestFit="1" customWidth="1"/>
    <col min="5" max="5" width="16.7109375" bestFit="1" customWidth="1"/>
    <col min="6" max="6" width="16.42578125" bestFit="1" customWidth="1"/>
    <col min="7" max="7" width="12.85546875" bestFit="1" customWidth="1"/>
    <col min="8" max="8" width="28.42578125" bestFit="1" customWidth="1"/>
    <col min="9" max="9" width="41" bestFit="1" customWidth="1"/>
    <col min="10" max="11" width="24.42578125" bestFit="1" customWidth="1"/>
    <col min="12" max="12" width="14.42578125" bestFit="1" customWidth="1"/>
    <col min="13" max="15" width="5.7109375" bestFit="1" customWidth="1"/>
    <col min="16" max="16" width="23.28515625" bestFit="1" customWidth="1"/>
    <col min="17" max="19" width="5.7109375" bestFit="1" customWidth="1"/>
    <col min="20" max="20" width="28.140625" bestFit="1" customWidth="1"/>
    <col min="21" max="21" width="16.28515625" bestFit="1" customWidth="1"/>
    <col min="22" max="22" width="4" bestFit="1" customWidth="1"/>
    <col min="23" max="27" width="3" bestFit="1" customWidth="1"/>
    <col min="28" max="28" width="4" bestFit="1" customWidth="1"/>
    <col min="29" max="42" width="3" bestFit="1" customWidth="1"/>
    <col min="43" max="51" width="4" bestFit="1" customWidth="1"/>
    <col min="52" max="52" width="7.28515625" bestFit="1" customWidth="1"/>
    <col min="53" max="53" width="11.28515625" bestFit="1" customWidth="1"/>
    <col min="54" max="54" width="15.140625" bestFit="1" customWidth="1"/>
    <col min="55" max="55" width="18.5703125" bestFit="1" customWidth="1"/>
    <col min="56" max="56" width="38.85546875" bestFit="1" customWidth="1"/>
    <col min="57" max="57" width="33.42578125" bestFit="1" customWidth="1"/>
    <col min="58" max="58" width="17.85546875" bestFit="1" customWidth="1"/>
    <col min="59" max="59" width="34.7109375" bestFit="1" customWidth="1"/>
    <col min="60" max="60" width="24.140625" bestFit="1" customWidth="1"/>
    <col min="61" max="61" width="31.42578125" bestFit="1" customWidth="1"/>
    <col min="62" max="63" width="12" bestFit="1" customWidth="1"/>
  </cols>
  <sheetData>
    <row r="6" spans="3:62" x14ac:dyDescent="0.25">
      <c r="C6" s="10" t="s">
        <v>2237</v>
      </c>
      <c r="D6" t="s">
        <v>2240</v>
      </c>
      <c r="E6" t="s">
        <v>2241</v>
      </c>
      <c r="F6" t="s">
        <v>2242</v>
      </c>
    </row>
    <row r="7" spans="3:62" x14ac:dyDescent="0.25">
      <c r="C7" s="16">
        <v>45229</v>
      </c>
      <c r="D7" s="13">
        <v>319</v>
      </c>
      <c r="E7" s="13">
        <v>121</v>
      </c>
      <c r="F7" s="13">
        <v>118</v>
      </c>
    </row>
    <row r="8" spans="3:62" x14ac:dyDescent="0.25">
      <c r="C8" s="12">
        <v>44</v>
      </c>
      <c r="D8" s="13">
        <v>319</v>
      </c>
      <c r="E8" s="13">
        <v>121</v>
      </c>
      <c r="F8" s="13">
        <v>118</v>
      </c>
    </row>
    <row r="9" spans="3:62" x14ac:dyDescent="0.25">
      <c r="C9" s="16">
        <v>45230</v>
      </c>
      <c r="D9" s="13">
        <v>317</v>
      </c>
      <c r="E9" s="13">
        <v>122</v>
      </c>
      <c r="F9" s="13">
        <v>117</v>
      </c>
    </row>
    <row r="10" spans="3:62" x14ac:dyDescent="0.25">
      <c r="C10" s="12">
        <v>44</v>
      </c>
      <c r="D10" s="13">
        <v>317</v>
      </c>
      <c r="E10" s="13">
        <v>122</v>
      </c>
      <c r="F10" s="13">
        <v>117</v>
      </c>
    </row>
    <row r="11" spans="3:62" x14ac:dyDescent="0.25">
      <c r="C11" s="16">
        <v>45231</v>
      </c>
      <c r="D11" s="13">
        <v>300</v>
      </c>
      <c r="E11" s="13">
        <v>81</v>
      </c>
      <c r="F11" s="13">
        <v>155</v>
      </c>
      <c r="BI11" s="10" t="s">
        <v>2237</v>
      </c>
      <c r="BJ11" t="s">
        <v>2263</v>
      </c>
    </row>
    <row r="12" spans="3:62" x14ac:dyDescent="0.25">
      <c r="C12" s="12">
        <v>44</v>
      </c>
      <c r="D12" s="13">
        <v>300</v>
      </c>
      <c r="E12" s="13">
        <v>81</v>
      </c>
      <c r="F12" s="13">
        <v>155</v>
      </c>
      <c r="BI12" s="16">
        <v>45229</v>
      </c>
      <c r="BJ12" s="13">
        <v>20</v>
      </c>
    </row>
    <row r="13" spans="3:62" x14ac:dyDescent="0.25">
      <c r="C13" s="16">
        <v>45232</v>
      </c>
      <c r="D13" s="13">
        <v>317</v>
      </c>
      <c r="E13" s="13">
        <v>112</v>
      </c>
      <c r="F13" s="13">
        <v>136</v>
      </c>
      <c r="BI13" s="12" t="s">
        <v>2258</v>
      </c>
      <c r="BJ13" s="13">
        <v>20</v>
      </c>
    </row>
    <row r="14" spans="3:62" x14ac:dyDescent="0.25">
      <c r="C14" s="12">
        <v>44</v>
      </c>
      <c r="D14" s="13">
        <v>317</v>
      </c>
      <c r="E14" s="13">
        <v>112</v>
      </c>
      <c r="F14" s="13">
        <v>136</v>
      </c>
      <c r="BI14" s="16">
        <v>45230</v>
      </c>
      <c r="BJ14" s="13">
        <v>19</v>
      </c>
    </row>
    <row r="15" spans="3:62" x14ac:dyDescent="0.25">
      <c r="C15" s="16">
        <v>45233</v>
      </c>
      <c r="D15" s="13">
        <v>316</v>
      </c>
      <c r="E15" s="13">
        <v>101</v>
      </c>
      <c r="F15" s="13">
        <v>139</v>
      </c>
      <c r="BI15" s="12" t="s">
        <v>2258</v>
      </c>
      <c r="BJ15" s="13">
        <v>19</v>
      </c>
    </row>
    <row r="16" spans="3:62" x14ac:dyDescent="0.25">
      <c r="C16" s="12">
        <v>44</v>
      </c>
      <c r="D16" s="13">
        <v>316</v>
      </c>
      <c r="E16" s="13">
        <v>101</v>
      </c>
      <c r="F16" s="13">
        <v>139</v>
      </c>
      <c r="BI16" s="16">
        <v>45231</v>
      </c>
      <c r="BJ16" s="13">
        <v>18</v>
      </c>
    </row>
    <row r="17" spans="3:62" x14ac:dyDescent="0.25">
      <c r="C17" s="16">
        <v>45236</v>
      </c>
      <c r="D17" s="13">
        <v>343</v>
      </c>
      <c r="E17" s="13">
        <v>120</v>
      </c>
      <c r="F17" s="13">
        <v>138</v>
      </c>
      <c r="BI17" s="12" t="s">
        <v>2258</v>
      </c>
      <c r="BJ17" s="13">
        <v>18</v>
      </c>
    </row>
    <row r="18" spans="3:62" x14ac:dyDescent="0.25">
      <c r="C18" s="12">
        <v>45</v>
      </c>
      <c r="D18" s="13">
        <v>343</v>
      </c>
      <c r="E18" s="13">
        <v>120</v>
      </c>
      <c r="F18" s="13">
        <v>138</v>
      </c>
      <c r="BI18" s="16">
        <v>45232</v>
      </c>
      <c r="BJ18" s="13">
        <v>17</v>
      </c>
    </row>
    <row r="19" spans="3:62" x14ac:dyDescent="0.25">
      <c r="C19" s="16">
        <v>45237</v>
      </c>
      <c r="D19" s="13">
        <v>362</v>
      </c>
      <c r="E19" s="13">
        <v>132</v>
      </c>
      <c r="F19" s="13">
        <v>147</v>
      </c>
      <c r="BI19" s="12" t="s">
        <v>2258</v>
      </c>
      <c r="BJ19" s="13">
        <v>17</v>
      </c>
    </row>
    <row r="20" spans="3:62" x14ac:dyDescent="0.25">
      <c r="C20" s="12">
        <v>45</v>
      </c>
      <c r="D20" s="13">
        <v>362</v>
      </c>
      <c r="E20" s="13">
        <v>132</v>
      </c>
      <c r="F20" s="13">
        <v>147</v>
      </c>
      <c r="BI20" s="16">
        <v>45233</v>
      </c>
      <c r="BJ20" s="13">
        <v>18</v>
      </c>
    </row>
    <row r="21" spans="3:62" x14ac:dyDescent="0.25">
      <c r="C21" s="16">
        <v>45238</v>
      </c>
      <c r="D21" s="13">
        <v>369</v>
      </c>
      <c r="E21" s="13">
        <v>117</v>
      </c>
      <c r="F21" s="13">
        <v>166</v>
      </c>
      <c r="BI21" s="12" t="s">
        <v>2258</v>
      </c>
      <c r="BJ21" s="13">
        <v>18</v>
      </c>
    </row>
    <row r="22" spans="3:62" x14ac:dyDescent="0.25">
      <c r="C22" s="12">
        <v>45</v>
      </c>
      <c r="D22" s="13">
        <v>369</v>
      </c>
      <c r="E22" s="13">
        <v>117</v>
      </c>
      <c r="F22" s="13">
        <v>166</v>
      </c>
      <c r="BI22" s="16">
        <v>45236</v>
      </c>
      <c r="BJ22" s="13">
        <v>19</v>
      </c>
    </row>
    <row r="23" spans="3:62" x14ac:dyDescent="0.25">
      <c r="C23" s="16">
        <v>45239</v>
      </c>
      <c r="D23" s="13">
        <v>351</v>
      </c>
      <c r="E23" s="13">
        <v>93</v>
      </c>
      <c r="F23" s="13">
        <v>178</v>
      </c>
      <c r="BI23" s="12" t="s">
        <v>2258</v>
      </c>
      <c r="BJ23" s="13">
        <v>19</v>
      </c>
    </row>
    <row r="24" spans="3:62" x14ac:dyDescent="0.25">
      <c r="C24" s="12">
        <v>45</v>
      </c>
      <c r="D24" s="13">
        <v>351</v>
      </c>
      <c r="E24" s="13">
        <v>93</v>
      </c>
      <c r="F24" s="13">
        <v>178</v>
      </c>
      <c r="BI24" s="16">
        <v>45237</v>
      </c>
      <c r="BJ24" s="13">
        <v>18</v>
      </c>
    </row>
    <row r="25" spans="3:62" x14ac:dyDescent="0.25">
      <c r="C25" s="16">
        <v>45240</v>
      </c>
      <c r="D25" s="13">
        <v>360</v>
      </c>
      <c r="E25" s="13">
        <v>118</v>
      </c>
      <c r="F25" s="13">
        <v>149</v>
      </c>
      <c r="BI25" s="12" t="s">
        <v>2258</v>
      </c>
      <c r="BJ25" s="13">
        <v>18</v>
      </c>
    </row>
    <row r="26" spans="3:62" x14ac:dyDescent="0.25">
      <c r="C26" s="12">
        <v>45</v>
      </c>
      <c r="D26" s="13">
        <v>360</v>
      </c>
      <c r="E26" s="13">
        <v>118</v>
      </c>
      <c r="F26" s="13">
        <v>149</v>
      </c>
      <c r="BI26" s="16">
        <v>45238</v>
      </c>
      <c r="BJ26" s="13">
        <v>18</v>
      </c>
    </row>
    <row r="27" spans="3:62" x14ac:dyDescent="0.25">
      <c r="C27" s="16">
        <v>45243</v>
      </c>
      <c r="D27" s="13">
        <v>333</v>
      </c>
      <c r="E27" s="13">
        <v>134</v>
      </c>
      <c r="F27" s="13">
        <v>123</v>
      </c>
      <c r="BI27" s="12" t="s">
        <v>2258</v>
      </c>
      <c r="BJ27" s="13">
        <v>18</v>
      </c>
    </row>
    <row r="28" spans="3:62" x14ac:dyDescent="0.25">
      <c r="C28" s="12">
        <v>46</v>
      </c>
      <c r="D28" s="13">
        <v>333</v>
      </c>
      <c r="E28" s="13">
        <v>134</v>
      </c>
      <c r="F28" s="13">
        <v>123</v>
      </c>
      <c r="BI28" s="16">
        <v>45239</v>
      </c>
      <c r="BJ28" s="13">
        <v>17</v>
      </c>
    </row>
    <row r="29" spans="3:62" x14ac:dyDescent="0.25">
      <c r="C29" s="16">
        <v>45244</v>
      </c>
      <c r="D29" s="13">
        <v>359</v>
      </c>
      <c r="E29" s="13">
        <v>139</v>
      </c>
      <c r="F29" s="13">
        <v>138</v>
      </c>
      <c r="BI29" s="12" t="s">
        <v>2258</v>
      </c>
      <c r="BJ29" s="13">
        <v>17</v>
      </c>
    </row>
    <row r="30" spans="3:62" x14ac:dyDescent="0.25">
      <c r="C30" s="12">
        <v>46</v>
      </c>
      <c r="D30" s="13">
        <v>359</v>
      </c>
      <c r="E30" s="13">
        <v>139</v>
      </c>
      <c r="F30" s="13">
        <v>138</v>
      </c>
      <c r="BI30" s="16">
        <v>45240</v>
      </c>
      <c r="BJ30" s="13">
        <v>18</v>
      </c>
    </row>
    <row r="31" spans="3:62" x14ac:dyDescent="0.25">
      <c r="C31" s="16">
        <v>45245</v>
      </c>
      <c r="D31" s="13">
        <v>367</v>
      </c>
      <c r="E31" s="13">
        <v>116</v>
      </c>
      <c r="F31" s="13">
        <v>164</v>
      </c>
      <c r="BI31" s="12" t="s">
        <v>2258</v>
      </c>
      <c r="BJ31" s="13">
        <v>18</v>
      </c>
    </row>
    <row r="32" spans="3:62" x14ac:dyDescent="0.25">
      <c r="C32" s="12">
        <v>46</v>
      </c>
      <c r="D32" s="13">
        <v>367</v>
      </c>
      <c r="E32" s="13">
        <v>116</v>
      </c>
      <c r="F32" s="13">
        <v>164</v>
      </c>
      <c r="BI32" s="16">
        <v>45243</v>
      </c>
      <c r="BJ32" s="13">
        <v>18</v>
      </c>
    </row>
    <row r="33" spans="3:62" x14ac:dyDescent="0.25">
      <c r="C33" s="16">
        <v>45246</v>
      </c>
      <c r="D33" s="13">
        <v>367</v>
      </c>
      <c r="E33" s="13">
        <v>94</v>
      </c>
      <c r="F33" s="13">
        <v>190</v>
      </c>
      <c r="BI33" s="12" t="s">
        <v>2258</v>
      </c>
      <c r="BJ33" s="13">
        <v>18</v>
      </c>
    </row>
    <row r="34" spans="3:62" x14ac:dyDescent="0.25">
      <c r="C34" s="12">
        <v>46</v>
      </c>
      <c r="D34" s="13">
        <v>367</v>
      </c>
      <c r="E34" s="13">
        <v>94</v>
      </c>
      <c r="F34" s="13">
        <v>190</v>
      </c>
      <c r="BI34" s="16">
        <v>45244</v>
      </c>
      <c r="BJ34" s="13">
        <v>17</v>
      </c>
    </row>
    <row r="35" spans="3:62" x14ac:dyDescent="0.25">
      <c r="C35" s="16">
        <v>45247</v>
      </c>
      <c r="D35" s="13">
        <v>376</v>
      </c>
      <c r="E35" s="13">
        <v>90</v>
      </c>
      <c r="F35" s="13">
        <v>203</v>
      </c>
      <c r="BI35" s="12" t="s">
        <v>2258</v>
      </c>
      <c r="BJ35" s="13">
        <v>17</v>
      </c>
    </row>
    <row r="36" spans="3:62" x14ac:dyDescent="0.25">
      <c r="C36" s="12">
        <v>46</v>
      </c>
      <c r="D36" s="13">
        <v>376</v>
      </c>
      <c r="E36" s="13">
        <v>90</v>
      </c>
      <c r="F36" s="13">
        <v>203</v>
      </c>
      <c r="BI36" s="16">
        <v>45245</v>
      </c>
      <c r="BJ36" s="13">
        <v>16</v>
      </c>
    </row>
    <row r="37" spans="3:62" x14ac:dyDescent="0.25">
      <c r="C37" s="16">
        <v>45250</v>
      </c>
      <c r="D37" s="13">
        <v>386</v>
      </c>
      <c r="E37" s="13">
        <v>135</v>
      </c>
      <c r="F37" s="13">
        <v>158</v>
      </c>
      <c r="BI37" s="12" t="s">
        <v>2258</v>
      </c>
      <c r="BJ37" s="13">
        <v>16</v>
      </c>
    </row>
    <row r="38" spans="3:62" x14ac:dyDescent="0.25">
      <c r="C38" s="12">
        <v>47</v>
      </c>
      <c r="D38" s="13">
        <v>386</v>
      </c>
      <c r="E38" s="13">
        <v>135</v>
      </c>
      <c r="F38" s="13">
        <v>158</v>
      </c>
      <c r="BI38" s="16">
        <v>45246</v>
      </c>
      <c r="BJ38" s="13">
        <v>16</v>
      </c>
    </row>
    <row r="39" spans="3:62" x14ac:dyDescent="0.25">
      <c r="C39" s="16">
        <v>45251</v>
      </c>
      <c r="D39" s="13">
        <v>384</v>
      </c>
      <c r="E39" s="13">
        <v>140</v>
      </c>
      <c r="F39" s="13">
        <v>170</v>
      </c>
      <c r="BI39" s="12" t="s">
        <v>2258</v>
      </c>
      <c r="BJ39" s="13">
        <v>16</v>
      </c>
    </row>
    <row r="40" spans="3:62" x14ac:dyDescent="0.25">
      <c r="C40" s="12">
        <v>47</v>
      </c>
      <c r="D40" s="13">
        <v>384</v>
      </c>
      <c r="E40" s="13">
        <v>140</v>
      </c>
      <c r="F40" s="13">
        <v>170</v>
      </c>
      <c r="BI40" s="16">
        <v>45247</v>
      </c>
      <c r="BJ40" s="13">
        <v>15</v>
      </c>
    </row>
    <row r="41" spans="3:62" x14ac:dyDescent="0.25">
      <c r="C41" s="16">
        <v>45252</v>
      </c>
      <c r="D41" s="13">
        <v>389</v>
      </c>
      <c r="E41" s="13">
        <v>119</v>
      </c>
      <c r="F41" s="13">
        <v>182</v>
      </c>
      <c r="BI41" s="12" t="s">
        <v>2258</v>
      </c>
      <c r="BJ41" s="13">
        <v>15</v>
      </c>
    </row>
    <row r="42" spans="3:62" x14ac:dyDescent="0.25">
      <c r="C42" s="12">
        <v>47</v>
      </c>
      <c r="D42" s="13">
        <v>389</v>
      </c>
      <c r="E42" s="13">
        <v>119</v>
      </c>
      <c r="F42" s="13">
        <v>182</v>
      </c>
      <c r="BI42" s="16">
        <v>45250</v>
      </c>
      <c r="BJ42" s="13">
        <v>15</v>
      </c>
    </row>
    <row r="43" spans="3:62" x14ac:dyDescent="0.25">
      <c r="C43" s="16">
        <v>45253</v>
      </c>
      <c r="D43" s="13">
        <v>388</v>
      </c>
      <c r="E43" s="13">
        <v>118</v>
      </c>
      <c r="F43" s="13">
        <v>183</v>
      </c>
      <c r="BI43" s="12" t="s">
        <v>2258</v>
      </c>
      <c r="BJ43" s="13">
        <v>15</v>
      </c>
    </row>
    <row r="44" spans="3:62" x14ac:dyDescent="0.25">
      <c r="C44" s="12">
        <v>47</v>
      </c>
      <c r="D44" s="13">
        <v>388</v>
      </c>
      <c r="E44" s="13">
        <v>118</v>
      </c>
      <c r="F44" s="13">
        <v>183</v>
      </c>
      <c r="BI44" s="16">
        <v>45251</v>
      </c>
      <c r="BJ44" s="13">
        <v>15</v>
      </c>
    </row>
    <row r="45" spans="3:62" x14ac:dyDescent="0.25">
      <c r="C45" s="16">
        <v>45254</v>
      </c>
      <c r="D45" s="13">
        <v>379</v>
      </c>
      <c r="E45" s="13">
        <v>139</v>
      </c>
      <c r="F45" s="13">
        <v>151</v>
      </c>
      <c r="BI45" s="12" t="s">
        <v>2258</v>
      </c>
      <c r="BJ45" s="13">
        <v>15</v>
      </c>
    </row>
    <row r="46" spans="3:62" x14ac:dyDescent="0.25">
      <c r="C46" s="12">
        <v>47</v>
      </c>
      <c r="D46" s="13">
        <v>379</v>
      </c>
      <c r="E46" s="13">
        <v>139</v>
      </c>
      <c r="F46" s="13">
        <v>151</v>
      </c>
      <c r="BI46" s="16">
        <v>45252</v>
      </c>
      <c r="BJ46" s="13">
        <v>17</v>
      </c>
    </row>
    <row r="47" spans="3:62" x14ac:dyDescent="0.25">
      <c r="C47" s="16">
        <v>45257</v>
      </c>
      <c r="D47" s="13">
        <v>356</v>
      </c>
      <c r="E47" s="13">
        <v>159</v>
      </c>
      <c r="F47" s="13">
        <v>108</v>
      </c>
      <c r="BI47" s="12" t="s">
        <v>2258</v>
      </c>
      <c r="BJ47" s="13">
        <v>17</v>
      </c>
    </row>
    <row r="48" spans="3:62" x14ac:dyDescent="0.25">
      <c r="C48" s="12">
        <v>48</v>
      </c>
      <c r="D48" s="13">
        <v>356</v>
      </c>
      <c r="E48" s="13">
        <v>159</v>
      </c>
      <c r="F48" s="13">
        <v>108</v>
      </c>
      <c r="BI48" s="16">
        <v>45253</v>
      </c>
      <c r="BJ48" s="13">
        <v>19</v>
      </c>
    </row>
    <row r="49" spans="3:62" x14ac:dyDescent="0.25">
      <c r="C49" s="16">
        <v>45258</v>
      </c>
      <c r="D49" s="13">
        <v>363</v>
      </c>
      <c r="E49" s="13">
        <v>161</v>
      </c>
      <c r="F49" s="13">
        <v>116</v>
      </c>
      <c r="BI49" s="12" t="s">
        <v>2258</v>
      </c>
      <c r="BJ49" s="13">
        <v>19</v>
      </c>
    </row>
    <row r="50" spans="3:62" x14ac:dyDescent="0.25">
      <c r="C50" s="12">
        <v>48</v>
      </c>
      <c r="D50" s="13">
        <v>363</v>
      </c>
      <c r="E50" s="13">
        <v>161</v>
      </c>
      <c r="F50" s="13">
        <v>116</v>
      </c>
      <c r="BI50" s="16">
        <v>45254</v>
      </c>
      <c r="BJ50" s="13">
        <v>20</v>
      </c>
    </row>
    <row r="51" spans="3:62" x14ac:dyDescent="0.25">
      <c r="C51" s="16">
        <v>45259</v>
      </c>
      <c r="D51" s="13">
        <v>352</v>
      </c>
      <c r="E51" s="13">
        <v>134</v>
      </c>
      <c r="F51" s="13">
        <v>132</v>
      </c>
      <c r="T51" s="10" t="s">
        <v>2264</v>
      </c>
      <c r="U51" s="10" t="s">
        <v>2265</v>
      </c>
      <c r="BI51" s="12" t="s">
        <v>2258</v>
      </c>
      <c r="BJ51" s="13">
        <v>20</v>
      </c>
    </row>
    <row r="52" spans="3:62" x14ac:dyDescent="0.25">
      <c r="C52" s="12">
        <v>48</v>
      </c>
      <c r="D52" s="13">
        <v>352</v>
      </c>
      <c r="E52" s="13">
        <v>134</v>
      </c>
      <c r="F52" s="13">
        <v>132</v>
      </c>
      <c r="T52" s="10" t="s">
        <v>2237</v>
      </c>
      <c r="U52">
        <v>0</v>
      </c>
      <c r="V52">
        <v>1</v>
      </c>
      <c r="W52">
        <v>4</v>
      </c>
      <c r="X52">
        <v>5</v>
      </c>
      <c r="Y52">
        <v>6</v>
      </c>
      <c r="Z52">
        <v>7</v>
      </c>
      <c r="AA52">
        <v>10</v>
      </c>
      <c r="AB52">
        <v>11</v>
      </c>
      <c r="AC52">
        <v>12</v>
      </c>
      <c r="AD52">
        <v>13</v>
      </c>
      <c r="AE52">
        <v>14</v>
      </c>
      <c r="AF52">
        <v>15</v>
      </c>
      <c r="AG52">
        <v>50</v>
      </c>
      <c r="AH52">
        <v>52</v>
      </c>
      <c r="AI52">
        <v>55</v>
      </c>
      <c r="AJ52">
        <v>57</v>
      </c>
      <c r="AK52">
        <v>58</v>
      </c>
      <c r="AL52">
        <v>64</v>
      </c>
      <c r="AM52">
        <v>66</v>
      </c>
      <c r="AN52">
        <v>67</v>
      </c>
      <c r="AO52">
        <v>70</v>
      </c>
      <c r="AP52">
        <v>73</v>
      </c>
      <c r="AQ52">
        <v>232</v>
      </c>
      <c r="AR52">
        <v>233</v>
      </c>
      <c r="AS52">
        <v>234</v>
      </c>
      <c r="AT52">
        <v>243</v>
      </c>
      <c r="AU52">
        <v>262</v>
      </c>
      <c r="AV52">
        <v>263</v>
      </c>
      <c r="AW52">
        <v>264</v>
      </c>
      <c r="AX52">
        <v>267</v>
      </c>
      <c r="AY52">
        <v>276</v>
      </c>
      <c r="AZ52" t="s">
        <v>2254</v>
      </c>
      <c r="BA52" t="s">
        <v>2238</v>
      </c>
      <c r="BI52" s="16">
        <v>45257</v>
      </c>
      <c r="BJ52" s="13">
        <v>20</v>
      </c>
    </row>
    <row r="53" spans="3:62" x14ac:dyDescent="0.25">
      <c r="C53" s="16">
        <v>45260</v>
      </c>
      <c r="D53" s="13">
        <v>350</v>
      </c>
      <c r="E53" s="13">
        <v>149</v>
      </c>
      <c r="F53" s="13">
        <v>116</v>
      </c>
      <c r="T53" s="11" t="s">
        <v>2258</v>
      </c>
      <c r="U53" s="13"/>
      <c r="V53" s="13"/>
      <c r="W53" s="13"/>
      <c r="X53" s="13"/>
      <c r="Y53" s="13"/>
      <c r="Z53" s="13"/>
      <c r="AA53" s="13">
        <v>24</v>
      </c>
      <c r="AB53" s="13">
        <v>47</v>
      </c>
      <c r="AC53" s="13">
        <v>95</v>
      </c>
      <c r="AD53" s="13"/>
      <c r="AE53" s="13">
        <v>46</v>
      </c>
      <c r="AF53" s="13">
        <v>23</v>
      </c>
      <c r="AG53" s="13"/>
      <c r="AH53" s="13"/>
      <c r="AI53" s="13"/>
      <c r="AJ53" s="13"/>
      <c r="AK53" s="13"/>
      <c r="AL53" s="13"/>
      <c r="AM53" s="13"/>
      <c r="AN53" s="13"/>
      <c r="AO53" s="13"/>
      <c r="AP53" s="13"/>
      <c r="AQ53" s="13"/>
      <c r="AR53" s="13"/>
      <c r="AS53" s="13"/>
      <c r="AT53" s="13"/>
      <c r="AU53" s="13"/>
      <c r="AV53" s="13"/>
      <c r="AW53" s="13"/>
      <c r="AX53" s="13"/>
      <c r="AY53" s="13"/>
      <c r="AZ53" s="13"/>
      <c r="BA53" s="13">
        <v>235</v>
      </c>
      <c r="BI53" s="12" t="s">
        <v>2258</v>
      </c>
      <c r="BJ53" s="13">
        <v>20</v>
      </c>
    </row>
    <row r="54" spans="3:62" x14ac:dyDescent="0.25">
      <c r="C54" s="12">
        <v>48</v>
      </c>
      <c r="D54" s="13">
        <v>350</v>
      </c>
      <c r="E54" s="13">
        <v>149</v>
      </c>
      <c r="F54" s="13">
        <v>116</v>
      </c>
      <c r="T54" s="11" t="s">
        <v>2255</v>
      </c>
      <c r="U54" s="13"/>
      <c r="V54" s="13"/>
      <c r="W54" s="13"/>
      <c r="X54" s="13"/>
      <c r="Y54" s="13"/>
      <c r="Z54" s="13"/>
      <c r="AA54" s="13"/>
      <c r="AB54" s="13"/>
      <c r="AC54" s="13"/>
      <c r="AD54" s="13"/>
      <c r="AE54" s="13"/>
      <c r="AF54" s="13"/>
      <c r="AG54" s="13"/>
      <c r="AH54" s="13"/>
      <c r="AI54" s="13"/>
      <c r="AJ54" s="13"/>
      <c r="AK54" s="13"/>
      <c r="AL54" s="13"/>
      <c r="AM54" s="13"/>
      <c r="AN54" s="13"/>
      <c r="AO54" s="13"/>
      <c r="AP54" s="13"/>
      <c r="AQ54" s="13">
        <v>24</v>
      </c>
      <c r="AR54" s="13">
        <v>24</v>
      </c>
      <c r="AS54" s="13">
        <v>24</v>
      </c>
      <c r="AT54" s="13">
        <v>48</v>
      </c>
      <c r="AU54" s="13">
        <v>23</v>
      </c>
      <c r="AV54" s="13">
        <v>23</v>
      </c>
      <c r="AW54" s="13">
        <v>23</v>
      </c>
      <c r="AX54" s="13">
        <v>23</v>
      </c>
      <c r="AY54" s="13">
        <v>23</v>
      </c>
      <c r="AZ54" s="13"/>
      <c r="BA54" s="13">
        <v>235</v>
      </c>
      <c r="BI54" s="16">
        <v>45258</v>
      </c>
      <c r="BJ54" s="13">
        <v>20</v>
      </c>
    </row>
    <row r="55" spans="3:62" x14ac:dyDescent="0.25">
      <c r="C55" s="16">
        <v>45261</v>
      </c>
      <c r="D55" s="13">
        <v>332</v>
      </c>
      <c r="E55" s="13">
        <v>123</v>
      </c>
      <c r="F55" s="13">
        <v>130</v>
      </c>
      <c r="T55" s="11" t="s">
        <v>2256</v>
      </c>
      <c r="U55" s="13"/>
      <c r="V55" s="13"/>
      <c r="W55" s="13"/>
      <c r="X55" s="13"/>
      <c r="Y55" s="13"/>
      <c r="Z55" s="13"/>
      <c r="AA55" s="13"/>
      <c r="AB55" s="13"/>
      <c r="AC55" s="13"/>
      <c r="AD55" s="13"/>
      <c r="AE55" s="13"/>
      <c r="AF55" s="13"/>
      <c r="AG55" s="13">
        <v>24</v>
      </c>
      <c r="AH55" s="13">
        <v>24</v>
      </c>
      <c r="AI55" s="13">
        <v>24</v>
      </c>
      <c r="AJ55" s="13">
        <v>24</v>
      </c>
      <c r="AK55" s="13">
        <v>24</v>
      </c>
      <c r="AL55" s="13">
        <v>23</v>
      </c>
      <c r="AM55" s="13">
        <v>23</v>
      </c>
      <c r="AN55" s="13">
        <v>23</v>
      </c>
      <c r="AO55" s="13">
        <v>23</v>
      </c>
      <c r="AP55" s="13">
        <v>23</v>
      </c>
      <c r="AQ55" s="13"/>
      <c r="AR55" s="13"/>
      <c r="AS55" s="13"/>
      <c r="AT55" s="13"/>
      <c r="AU55" s="13"/>
      <c r="AV55" s="13"/>
      <c r="AW55" s="13"/>
      <c r="AX55" s="13"/>
      <c r="AY55" s="13"/>
      <c r="AZ55" s="13"/>
      <c r="BA55" s="13">
        <v>235</v>
      </c>
      <c r="BI55" s="12" t="s">
        <v>2258</v>
      </c>
      <c r="BJ55" s="13">
        <v>20</v>
      </c>
    </row>
    <row r="56" spans="3:62" x14ac:dyDescent="0.25">
      <c r="C56" s="12">
        <v>48</v>
      </c>
      <c r="D56" s="13">
        <v>332</v>
      </c>
      <c r="E56" s="13">
        <v>123</v>
      </c>
      <c r="F56" s="13">
        <v>130</v>
      </c>
      <c r="T56" s="11" t="s">
        <v>2257</v>
      </c>
      <c r="U56" s="13"/>
      <c r="V56" s="13"/>
      <c r="W56" s="13"/>
      <c r="X56" s="13"/>
      <c r="Y56" s="13"/>
      <c r="Z56" s="13"/>
      <c r="AA56" s="13"/>
      <c r="AB56" s="13">
        <v>118</v>
      </c>
      <c r="AC56" s="13"/>
      <c r="AD56" s="13">
        <v>47</v>
      </c>
      <c r="AE56" s="13">
        <v>47</v>
      </c>
      <c r="AF56" s="13">
        <v>23</v>
      </c>
      <c r="AG56" s="13"/>
      <c r="AH56" s="13"/>
      <c r="AI56" s="13"/>
      <c r="AJ56" s="13"/>
      <c r="AK56" s="13"/>
      <c r="AL56" s="13"/>
      <c r="AM56" s="13"/>
      <c r="AN56" s="13"/>
      <c r="AO56" s="13"/>
      <c r="AP56" s="13"/>
      <c r="AQ56" s="13"/>
      <c r="AR56" s="13"/>
      <c r="AS56" s="13"/>
      <c r="AT56" s="13"/>
      <c r="AU56" s="13"/>
      <c r="AV56" s="13"/>
      <c r="AW56" s="13"/>
      <c r="AX56" s="13"/>
      <c r="AY56" s="13"/>
      <c r="AZ56" s="13"/>
      <c r="BA56" s="13">
        <v>235</v>
      </c>
      <c r="BI56" s="16">
        <v>45259</v>
      </c>
      <c r="BJ56" s="13">
        <v>18</v>
      </c>
    </row>
    <row r="57" spans="3:62" x14ac:dyDescent="0.25">
      <c r="C57" s="11" t="s">
        <v>2238</v>
      </c>
      <c r="D57" s="13">
        <v>8835</v>
      </c>
      <c r="E57" s="13">
        <v>3067</v>
      </c>
      <c r="F57" s="13">
        <v>3707</v>
      </c>
      <c r="T57" s="11" t="s">
        <v>2259</v>
      </c>
      <c r="U57" s="13"/>
      <c r="V57" s="13"/>
      <c r="W57" s="13">
        <v>23</v>
      </c>
      <c r="X57" s="13">
        <v>47</v>
      </c>
      <c r="Y57" s="13">
        <v>71</v>
      </c>
      <c r="Z57" s="13">
        <v>94</v>
      </c>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v>235</v>
      </c>
      <c r="BI57" s="12" t="s">
        <v>2258</v>
      </c>
      <c r="BJ57" s="13">
        <v>18</v>
      </c>
    </row>
    <row r="58" spans="3:62" x14ac:dyDescent="0.25">
      <c r="T58" s="11" t="s">
        <v>2260</v>
      </c>
      <c r="U58" s="13">
        <v>69</v>
      </c>
      <c r="V58" s="13">
        <v>166</v>
      </c>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v>235</v>
      </c>
      <c r="BI58" s="16">
        <v>45260</v>
      </c>
      <c r="BJ58" s="13">
        <v>19</v>
      </c>
    </row>
    <row r="59" spans="3:62" x14ac:dyDescent="0.25">
      <c r="T59" s="11" t="s">
        <v>2254</v>
      </c>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I59" s="12" t="s">
        <v>2258</v>
      </c>
      <c r="BJ59" s="13">
        <v>19</v>
      </c>
    </row>
    <row r="60" spans="3:62" x14ac:dyDescent="0.25">
      <c r="T60" s="11" t="s">
        <v>2238</v>
      </c>
      <c r="U60" s="13">
        <v>69</v>
      </c>
      <c r="V60" s="13">
        <v>166</v>
      </c>
      <c r="W60" s="13">
        <v>23</v>
      </c>
      <c r="X60" s="13">
        <v>47</v>
      </c>
      <c r="Y60" s="13">
        <v>71</v>
      </c>
      <c r="Z60" s="13">
        <v>94</v>
      </c>
      <c r="AA60" s="13">
        <v>24</v>
      </c>
      <c r="AB60" s="13">
        <v>165</v>
      </c>
      <c r="AC60" s="13">
        <v>95</v>
      </c>
      <c r="AD60" s="13">
        <v>47</v>
      </c>
      <c r="AE60" s="13">
        <v>93</v>
      </c>
      <c r="AF60" s="13">
        <v>46</v>
      </c>
      <c r="AG60" s="13">
        <v>24</v>
      </c>
      <c r="AH60" s="13">
        <v>24</v>
      </c>
      <c r="AI60" s="13">
        <v>24</v>
      </c>
      <c r="AJ60" s="13">
        <v>24</v>
      </c>
      <c r="AK60" s="13">
        <v>24</v>
      </c>
      <c r="AL60" s="13">
        <v>23</v>
      </c>
      <c r="AM60" s="13">
        <v>23</v>
      </c>
      <c r="AN60" s="13">
        <v>23</v>
      </c>
      <c r="AO60" s="13">
        <v>23</v>
      </c>
      <c r="AP60" s="13">
        <v>23</v>
      </c>
      <c r="AQ60" s="13">
        <v>24</v>
      </c>
      <c r="AR60" s="13">
        <v>24</v>
      </c>
      <c r="AS60" s="13">
        <v>24</v>
      </c>
      <c r="AT60" s="13">
        <v>48</v>
      </c>
      <c r="AU60" s="13">
        <v>23</v>
      </c>
      <c r="AV60" s="13">
        <v>23</v>
      </c>
      <c r="AW60" s="13">
        <v>23</v>
      </c>
      <c r="AX60" s="13">
        <v>23</v>
      </c>
      <c r="AY60" s="13">
        <v>23</v>
      </c>
      <c r="AZ60" s="13"/>
      <c r="BA60" s="13">
        <v>1410</v>
      </c>
      <c r="BI60" s="16">
        <v>45261</v>
      </c>
      <c r="BJ60" s="13">
        <v>19</v>
      </c>
    </row>
    <row r="61" spans="3:62" x14ac:dyDescent="0.25">
      <c r="BI61" s="12" t="s">
        <v>2258</v>
      </c>
      <c r="BJ61" s="13">
        <v>19</v>
      </c>
    </row>
    <row r="62" spans="3:62" x14ac:dyDescent="0.25">
      <c r="BI62" s="11" t="s">
        <v>2238</v>
      </c>
      <c r="BJ62" s="13">
        <v>446</v>
      </c>
    </row>
    <row r="82" spans="3:9" x14ac:dyDescent="0.25">
      <c r="C82" s="10" t="s">
        <v>2237</v>
      </c>
      <c r="D82" t="s">
        <v>2244</v>
      </c>
      <c r="E82" t="s">
        <v>2245</v>
      </c>
      <c r="F82" t="s">
        <v>2246</v>
      </c>
      <c r="G82" t="s">
        <v>2247</v>
      </c>
      <c r="H82" t="s">
        <v>2249</v>
      </c>
      <c r="I82" t="s">
        <v>2243</v>
      </c>
    </row>
    <row r="83" spans="3:9" x14ac:dyDescent="0.25">
      <c r="C83" s="11" t="s">
        <v>2239</v>
      </c>
      <c r="D83" s="13">
        <v>330</v>
      </c>
      <c r="E83" s="13">
        <v>3</v>
      </c>
      <c r="F83" s="13">
        <v>112</v>
      </c>
      <c r="G83" s="13">
        <v>2</v>
      </c>
      <c r="H83" s="13">
        <v>89</v>
      </c>
      <c r="I83" s="13">
        <v>206</v>
      </c>
    </row>
    <row r="84" spans="3:9" x14ac:dyDescent="0.25">
      <c r="C84" s="12">
        <v>23</v>
      </c>
      <c r="D84" s="13">
        <v>330</v>
      </c>
      <c r="E84" s="13">
        <v>3</v>
      </c>
      <c r="F84" s="13">
        <v>112</v>
      </c>
      <c r="G84" s="13">
        <v>2</v>
      </c>
      <c r="H84" s="13">
        <v>89</v>
      </c>
      <c r="I84" s="13">
        <v>206</v>
      </c>
    </row>
    <row r="85" spans="3:9" x14ac:dyDescent="0.25">
      <c r="C85" s="15" t="s">
        <v>2250</v>
      </c>
      <c r="D85" s="13">
        <v>79</v>
      </c>
      <c r="E85" s="13">
        <v>1</v>
      </c>
      <c r="F85" s="13">
        <v>26</v>
      </c>
      <c r="G85" s="13">
        <v>0</v>
      </c>
      <c r="H85" s="13">
        <v>17</v>
      </c>
      <c r="I85" s="13">
        <v>55</v>
      </c>
    </row>
    <row r="86" spans="3:9" x14ac:dyDescent="0.25">
      <c r="C86" s="15" t="s">
        <v>2251</v>
      </c>
      <c r="D86" s="13">
        <v>84</v>
      </c>
      <c r="E86" s="13">
        <v>1</v>
      </c>
      <c r="F86" s="13">
        <v>31</v>
      </c>
      <c r="G86" s="13">
        <v>1</v>
      </c>
      <c r="H86" s="13">
        <v>18</v>
      </c>
      <c r="I86" s="13">
        <v>60</v>
      </c>
    </row>
    <row r="87" spans="3:9" x14ac:dyDescent="0.25">
      <c r="C87" s="15" t="s">
        <v>2252</v>
      </c>
      <c r="D87" s="13">
        <v>86</v>
      </c>
      <c r="E87" s="13">
        <v>1</v>
      </c>
      <c r="F87" s="13">
        <v>25</v>
      </c>
      <c r="G87" s="13">
        <v>1</v>
      </c>
      <c r="H87" s="13">
        <v>26</v>
      </c>
      <c r="I87" s="13">
        <v>50</v>
      </c>
    </row>
    <row r="88" spans="3:9" x14ac:dyDescent="0.25">
      <c r="C88" s="15" t="s">
        <v>2253</v>
      </c>
      <c r="D88" s="13">
        <v>81</v>
      </c>
      <c r="E88" s="13">
        <v>0</v>
      </c>
      <c r="F88" s="13">
        <v>30</v>
      </c>
      <c r="G88" s="13">
        <v>0</v>
      </c>
      <c r="H88" s="13">
        <v>28</v>
      </c>
      <c r="I88" s="13">
        <v>41</v>
      </c>
    </row>
    <row r="89" spans="3:9" x14ac:dyDescent="0.25">
      <c r="C89" s="11" t="s">
        <v>2238</v>
      </c>
      <c r="D89" s="13">
        <v>330</v>
      </c>
      <c r="E89" s="13">
        <v>3</v>
      </c>
      <c r="F89" s="13">
        <v>112</v>
      </c>
      <c r="G89" s="13">
        <v>2</v>
      </c>
      <c r="H89" s="13">
        <v>89</v>
      </c>
      <c r="I89" s="13">
        <v>206</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Open WIP</vt:lpstr>
      <vt:lpstr>Device Status</vt:lpstr>
      <vt:lpstr>Device Codes</vt:lpstr>
      <vt:lpstr>Device Codes Data</vt:lpstr>
      <vt:lpstr>Monday</vt:lpstr>
      <vt:lpstr>Tuesday</vt:lpstr>
      <vt:lpstr>Wednesday</vt:lpstr>
      <vt:lpstr>Thursday</vt:lpstr>
      <vt:lpstr>Friday</vt:lpstr>
      <vt:lpstr>Metrics Tables</vt:lpstr>
      <vt:lpstr>Pivots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Acosta Navarro, Randall</dc:creator>
  <cp:lastModifiedBy>Acosta Navarro, Randall</cp:lastModifiedBy>
  <dcterms:created xsi:type="dcterms:W3CDTF">2023-06-01T19:29:03Z</dcterms:created>
  <dcterms:modified xsi:type="dcterms:W3CDTF">2023-12-07T20:28:48Z</dcterms:modified>
</cp:coreProperties>
</file>