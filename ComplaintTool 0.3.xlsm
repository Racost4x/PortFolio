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bostonscientific-my.sharepoint.com/personal/randall_acostanavarro_bsci_com/Documents/Desktop/Documentos/IDEAS/Macro UserForm Safe/"/>
    </mc:Choice>
  </mc:AlternateContent>
  <xr:revisionPtr revIDLastSave="5" documentId="14_{908AC357-C315-4FC9-BE4C-0D20ED72222B}" xr6:coauthVersionLast="47" xr6:coauthVersionMax="47" xr10:uidLastSave="{9B1AEBB6-0C93-43D8-80C4-3AAFAC206E57}"/>
  <bookViews>
    <workbookView xWindow="-28920" yWindow="-120" windowWidth="29040" windowHeight="15840" xr2:uid="{A33D8442-6DE3-4A19-AD1B-023F998050D0}"/>
  </bookViews>
  <sheets>
    <sheet name="User Interface" sheetId="6" r:id="rId1"/>
    <sheet name="CheatSheetData" sheetId="1" r:id="rId2"/>
    <sheet name="PRRDATA" sheetId="2" r:id="rId3"/>
    <sheet name="RiskReviewData" sheetId="3" r:id="rId4"/>
    <sheet name="ATCODESDATA" sheetId="4" r:id="rId5"/>
    <sheet name="MISCDATA" sheetId="7" r:id="rId6"/>
  </sheets>
  <functionGroups builtInGroupCount="19"/>
  <definedNames>
    <definedName name="_xlnm._FilterDatabase" localSheetId="4" hidden="1">ATCODESDATA!$A$1:$G$63</definedName>
    <definedName name="_xlnm._FilterDatabase" localSheetId="3" hidden="1">RiskReviewData!$A$1:$E$430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3" l="1"/>
  <c r="AD2" i="6" l="1"/>
  <c r="I7" i="6" l="1"/>
  <c r="M410" i="3" a="1"/>
  <c r="M462" i="3" a="1"/>
  <c r="M551" i="3" a="1"/>
  <c r="M104" i="3" a="1"/>
  <c r="M135" i="3" a="1"/>
  <c r="M47" i="3" a="1"/>
  <c r="M369" i="3" a="1"/>
  <c r="M16" i="3" a="1"/>
  <c r="M422" i="3" a="1"/>
  <c r="M487" i="3" a="1"/>
  <c r="M585" i="3" a="1"/>
  <c r="M149" i="3" a="1"/>
  <c r="M128" i="3" a="1"/>
  <c r="M411" i="3" a="1"/>
  <c r="M349" i="3" a="1"/>
  <c r="M178" i="3" a="1"/>
  <c r="M444" i="3" a="1"/>
  <c r="M633" i="3" a="1"/>
  <c r="M217" i="3" a="1"/>
  <c r="M265" i="3" a="1"/>
  <c r="M300" i="3" a="1"/>
  <c r="M136" i="3" a="1"/>
  <c r="M372" i="3" a="1"/>
  <c r="M572" i="3" a="1"/>
  <c r="M84" i="3" a="1"/>
  <c r="M116" i="3" a="1"/>
  <c r="M546" i="3" a="1"/>
  <c r="M453" i="3" a="1"/>
  <c r="M586" i="3" a="1"/>
  <c r="M172" i="3" a="1"/>
  <c r="M390" i="3" a="1"/>
  <c r="M600" i="3" a="1"/>
  <c r="M129" i="3" a="1"/>
  <c r="M564" i="3" a="1"/>
  <c r="M496" i="3" a="1"/>
  <c r="M655" i="3" a="1"/>
  <c r="M615" i="3" a="1"/>
  <c r="M40" i="3" a="1"/>
  <c r="M580" i="3" a="1"/>
  <c r="M697" i="3" a="1"/>
  <c r="M374" i="3" a="1"/>
  <c r="M197" i="3" a="1"/>
  <c r="M180" i="3" a="1"/>
  <c r="M204" i="3" a="1"/>
  <c r="M506" i="3" a="1"/>
  <c r="M43" i="3" a="1"/>
  <c r="M106" i="3" a="1"/>
  <c r="M182" i="3" a="1"/>
  <c r="M545" i="3" a="1"/>
  <c r="M665" i="3" a="1"/>
  <c r="M198" i="3" a="1"/>
  <c r="M244" i="3" a="1"/>
  <c r="M556" i="3" a="1"/>
  <c r="M133" i="3" a="1"/>
  <c r="M209" i="3" a="1"/>
  <c r="M563" i="3" a="1"/>
  <c r="M683" i="3" a="1"/>
  <c r="M423" i="3" a="1"/>
  <c r="M624" i="3" a="1"/>
  <c r="M384" i="3" a="1"/>
  <c r="M507" i="3" a="1"/>
  <c r="M188" i="3" a="1"/>
  <c r="M246" i="3" a="1"/>
  <c r="M45" i="3" a="1"/>
  <c r="M157" i="3" a="1"/>
  <c r="M663" i="3" a="1"/>
  <c r="M254" i="3" a="1"/>
  <c r="M341" i="3" a="1"/>
  <c r="M362" i="3" a="1"/>
  <c r="M169" i="3" a="1"/>
  <c r="M270" i="3" a="1"/>
  <c r="M63" i="3" a="1"/>
  <c r="M193" i="3" a="1"/>
  <c r="M688" i="3" a="1"/>
  <c r="M376" i="3" a="1"/>
  <c r="M371" i="3" a="1"/>
  <c r="M196" i="3" a="1"/>
  <c r="M351" i="3" a="1"/>
  <c r="M24" i="3" a="1"/>
  <c r="M620" i="3" a="1"/>
  <c r="M163" i="3" a="1"/>
  <c r="M684" i="3" a="1"/>
  <c r="M603" i="3" a="1"/>
  <c r="M50" i="3" a="1"/>
  <c r="M463" i="3" a="1"/>
  <c r="M689" i="3" a="1"/>
  <c r="M451" i="3" a="1"/>
  <c r="M443" i="3" a="1"/>
  <c r="M385" i="3" a="1"/>
  <c r="M662" i="3" a="1"/>
  <c r="M398" i="3" a="1"/>
  <c r="M73" i="3" a="1"/>
  <c r="M419" i="3" a="1"/>
  <c r="M467" i="3" a="1"/>
  <c r="M147" i="3" a="1"/>
  <c r="M13" i="3" a="1"/>
  <c r="M512" i="3" a="1"/>
  <c r="M309" i="3" a="1"/>
  <c r="M456" i="3" a="1"/>
  <c r="M667" i="3" a="1"/>
  <c r="M660" i="3" a="1"/>
  <c r="M471" i="3" a="1"/>
  <c r="M194" i="3" a="1"/>
  <c r="M574" i="3" a="1"/>
  <c r="M386" i="3" a="1"/>
  <c r="M579" i="3" a="1"/>
  <c r="M297" i="3" a="1"/>
  <c r="M474" i="3" a="1"/>
  <c r="M285" i="3" a="1"/>
  <c r="M281" i="3" a="1"/>
  <c r="M445" i="3" a="1"/>
  <c r="M519" i="3" a="1"/>
  <c r="M192" i="3" a="1"/>
  <c r="M312" i="3" a="1"/>
  <c r="M361" i="3" a="1"/>
  <c r="M389" i="3" a="1"/>
  <c r="M80" i="3" a="1"/>
  <c r="M499" i="3" a="1"/>
  <c r="M306" i="3" a="1"/>
  <c r="M621" i="3" a="1"/>
  <c r="M37" i="3" a="1"/>
  <c r="M100" i="3" a="1"/>
  <c r="M354" i="3" a="1"/>
  <c r="M514" i="3" a="1"/>
  <c r="M98" i="3" a="1"/>
  <c r="M521" i="3" a="1"/>
  <c r="M393" i="3" a="1"/>
  <c r="M676" i="3" a="1"/>
  <c r="M127" i="3" a="1"/>
  <c r="M367" i="3" a="1"/>
  <c r="M550" i="3" a="1"/>
  <c r="M86" i="3" a="1"/>
  <c r="M32" i="3" a="1"/>
  <c r="M83" i="3" a="1"/>
  <c r="M517" i="3" a="1"/>
  <c r="M583" i="3" a="1"/>
  <c r="M222" i="3" a="1"/>
  <c r="M337" i="3" a="1"/>
  <c r="M320" i="3" a="1"/>
  <c r="M573" i="3" a="1"/>
  <c r="M680" i="3" a="1"/>
  <c r="M76" i="3" a="1"/>
  <c r="M139" i="3" a="1"/>
  <c r="M357" i="3" a="1"/>
  <c r="M582" i="3" a="1"/>
  <c r="M66" i="3" a="1"/>
  <c r="M332" i="3" a="1"/>
  <c r="M598" i="3" a="1"/>
  <c r="M592" i="3" a="1"/>
  <c r="M14" i="3" a="1"/>
  <c r="M370" i="3" a="1"/>
  <c r="M614" i="3" a="1"/>
  <c r="M223" i="3" a="1"/>
  <c r="M677" i="3" a="1"/>
  <c r="M307" i="3" a="1"/>
  <c r="M236" i="3" a="1"/>
  <c r="M588" i="3" a="1"/>
  <c r="M210" i="3" a="1"/>
  <c r="M438" i="3" a="1"/>
  <c r="M190" i="3" a="1"/>
  <c r="M399" i="3" a="1"/>
  <c r="M611" i="3" a="1"/>
  <c r="M111" i="3" a="1"/>
  <c r="M143" i="3" a="1"/>
  <c r="M11" i="3" a="1"/>
  <c r="M532" i="3" a="1"/>
  <c r="M691" i="3" a="1"/>
  <c r="M226" i="3" a="1"/>
  <c r="M417" i="3" a="1"/>
  <c r="M641" i="3" a="1"/>
  <c r="M156" i="3" a="1"/>
  <c r="M92" i="3" a="1"/>
  <c r="M626" i="3" a="1"/>
  <c r="M413" i="3" a="1"/>
  <c r="M466" i="3" a="1"/>
  <c r="M113" i="3" a="1"/>
  <c r="M613" i="3" a="1"/>
  <c r="M638" i="3" a="1"/>
  <c r="M266" i="3" a="1"/>
  <c r="M249" i="3" a="1"/>
  <c r="M207" i="3" a="1"/>
  <c r="M264" i="3" a="1"/>
  <c r="M604" i="3" a="1"/>
  <c r="M97" i="3" a="1"/>
  <c r="M8" i="3" a="1"/>
  <c r="M228" i="3" a="1"/>
  <c r="M581" i="3" a="1"/>
  <c r="M245" i="3" a="1"/>
  <c r="M225" i="3" a="1"/>
  <c r="M282" i="3" a="1"/>
  <c r="M671" i="3" a="1"/>
  <c r="M21" i="3" a="1"/>
  <c r="M247" i="3" a="1"/>
  <c r="M599" i="3" a="1"/>
  <c r="M328" i="3" a="1"/>
  <c r="M622" i="3" a="1"/>
  <c r="M627" i="3" a="1"/>
  <c r="M668" i="3" a="1"/>
  <c r="M657" i="3" a="1"/>
  <c r="M26" i="3" a="1"/>
  <c r="M35" i="3" a="1"/>
  <c r="M642" i="3" a="1"/>
  <c r="M493" i="3" a="1"/>
  <c r="M261" i="3" a="1"/>
  <c r="M455" i="3" a="1"/>
  <c r="M257" i="3" a="1"/>
  <c r="M274" i="3" a="1"/>
  <c r="M448" i="3" a="1"/>
  <c r="M340" i="3" a="1"/>
  <c r="M435" i="3" a="1"/>
  <c r="M442" i="3" a="1"/>
  <c r="M237" i="3" a="1"/>
  <c r="M294" i="3" a="1"/>
  <c r="M319" i="3" a="1"/>
  <c r="M631" i="3" a="1"/>
  <c r="M313" i="3" a="1"/>
  <c r="M647" i="3" a="1"/>
  <c r="M377" i="3" a="1"/>
  <c r="M75" i="3" a="1"/>
  <c r="M240" i="3" a="1"/>
  <c r="M661" i="3" a="1"/>
  <c r="M428" i="3" a="1"/>
  <c r="M77" i="3" a="1"/>
  <c r="M28" i="3" a="1"/>
  <c r="M29" i="3" a="1"/>
  <c r="M490" i="3" a="1"/>
  <c r="M289" i="3" a="1"/>
  <c r="M486" i="3" a="1"/>
  <c r="M329" i="3" a="1"/>
  <c r="M31" i="3" a="1"/>
  <c r="M560" i="3" a="1"/>
  <c r="M426" i="3" a="1"/>
  <c r="M457" i="3" a="1"/>
  <c r="M126" i="3" a="1"/>
  <c r="M450" i="3" a="1"/>
  <c r="M315" i="3" a="1"/>
  <c r="M508" i="3" a="1"/>
  <c r="M2" i="3" a="1"/>
  <c r="M416" i="3" a="1"/>
  <c r="M473" i="3" a="1"/>
  <c r="M565" i="3" a="1"/>
  <c r="M144" i="3" a="1"/>
  <c r="M101" i="3" a="1"/>
  <c r="M397" i="3" a="1"/>
  <c r="M25" i="3" a="1"/>
  <c r="M6" i="3" a="1"/>
  <c r="M491" i="3" a="1"/>
  <c r="M590" i="3" a="1"/>
  <c r="M649" i="3" a="1"/>
  <c r="M252" i="3" a="1"/>
  <c r="M480" i="3" a="1"/>
  <c r="M342" i="3" a="1"/>
  <c r="M72" i="3" a="1"/>
  <c r="M359" i="3" a="1"/>
  <c r="M107" i="3" a="1"/>
  <c r="M535" i="3" a="1"/>
  <c r="M420" i="3" a="1"/>
  <c r="M698" i="3" a="1"/>
  <c r="M91" i="3" a="1"/>
  <c r="M154" i="3" a="1"/>
  <c r="M381" i="3" a="1"/>
  <c r="M589" i="3" a="1"/>
  <c r="M125" i="3" a="1"/>
  <c r="M557" i="3" a="1"/>
  <c r="M482" i="3" a="1"/>
  <c r="M634" i="3" a="1"/>
  <c r="M181" i="3" a="1"/>
  <c r="M394" i="3" a="1"/>
  <c r="M605" i="3" a="1"/>
  <c r="M253" i="3" a="1"/>
  <c r="M347" i="3" a="1"/>
  <c r="M542" i="3" a="1"/>
  <c r="M334" i="3" a="1"/>
  <c r="M388" i="3" a="1"/>
  <c r="M686" i="3" a="1"/>
  <c r="M88" i="3" a="1"/>
  <c r="M164" i="3" a="1"/>
  <c r="M534" i="3" a="1"/>
  <c r="M654" i="3" a="1"/>
  <c r="M158" i="3" a="1"/>
  <c r="M189" i="3" a="1"/>
  <c r="M232" i="3" a="1"/>
  <c r="M520" i="3" a="1"/>
  <c r="M124" i="3" a="1"/>
  <c r="M200" i="3" a="1"/>
  <c r="M559" i="3" a="1"/>
  <c r="M679" i="3" a="1"/>
  <c r="M203" i="3" a="1"/>
  <c r="M259" i="3" a="1"/>
  <c r="M578" i="3" a="1"/>
  <c r="M184" i="3" a="1"/>
  <c r="M681" i="3" a="1"/>
  <c r="M214" i="3" a="1"/>
  <c r="M140" i="3" a="1"/>
  <c r="M238" i="3" a="1"/>
  <c r="M283" i="3" a="1"/>
  <c r="M219" i="3" a="1"/>
  <c r="M356" i="3" a="1"/>
  <c r="M150" i="3" a="1"/>
  <c r="M137" i="3" a="1"/>
  <c r="M23" i="3" a="1"/>
  <c r="M54" i="3" a="1"/>
  <c r="M175" i="3" a="1"/>
  <c r="M674" i="3" a="1"/>
  <c r="M120" i="3" a="1"/>
  <c r="M368" i="3" a="1"/>
  <c r="M187" i="3" a="1"/>
  <c r="M324" i="3" a="1"/>
  <c r="M68" i="3" a="1"/>
  <c r="M202" i="3" a="1"/>
  <c r="M692" i="3" a="1"/>
  <c r="M352" i="3" a="1"/>
  <c r="M5" i="3" a="1"/>
  <c r="M331" i="3" a="1"/>
  <c r="M516" i="3" a="1"/>
  <c r="M640" i="3" a="1"/>
  <c r="M465" i="3" a="1"/>
  <c r="M224" i="3" a="1"/>
  <c r="M242" i="3" a="1"/>
  <c r="M117" i="3" a="1"/>
  <c r="M544" i="3" a="1"/>
  <c r="M529" i="3" a="1"/>
  <c r="M177" i="3" a="1"/>
  <c r="M310" i="3" a="1"/>
  <c r="M485" i="3" a="1"/>
  <c r="M612" i="3" a="1"/>
  <c r="M468" i="3" a="1"/>
  <c r="M227" i="3" a="1"/>
  <c r="M255" i="3" a="1"/>
  <c r="M503" i="3" a="1"/>
  <c r="M44" i="3" a="1"/>
  <c r="M459" i="3" a="1"/>
  <c r="M387" i="3" a="1"/>
  <c r="M461" i="3" a="1"/>
  <c r="M538" i="3" a="1"/>
  <c r="M279" i="3" a="1"/>
  <c r="M526" i="3" a="1"/>
  <c r="M160" i="3" a="1"/>
  <c r="M653" i="3" a="1"/>
  <c r="M243" i="3" a="1"/>
  <c r="M400" i="3" a="1"/>
  <c r="M115" i="3" a="1"/>
  <c r="M405" i="3" a="1"/>
  <c r="M396" i="3" a="1"/>
  <c r="M293" i="3" a="1"/>
  <c r="M284" i="3" a="1"/>
  <c r="M434" i="3" a="1"/>
  <c r="M475" i="3" a="1"/>
  <c r="M402" i="3" a="1"/>
  <c r="M504" i="3" a="1"/>
  <c r="M269" i="3" a="1"/>
  <c r="M10" i="3" a="1"/>
  <c r="M48" i="3" a="1"/>
  <c r="M488" i="3" a="1"/>
  <c r="M311" i="3" a="1"/>
  <c r="M64" i="3" a="1"/>
  <c r="M201" i="3" a="1"/>
  <c r="M159" i="3" a="1"/>
  <c r="M392" i="3" a="1"/>
  <c r="M553" i="3" a="1"/>
  <c r="M82" i="3" a="1"/>
  <c r="M345" i="3" a="1"/>
  <c r="M500" i="3" a="1"/>
  <c r="M57" i="3" a="1"/>
  <c r="M89" i="3" a="1"/>
  <c r="M510" i="3" a="1"/>
  <c r="M360" i="3" a="1"/>
  <c r="M651" i="3" a="1"/>
  <c r="M118" i="3" a="1"/>
  <c r="M363" i="3" a="1"/>
  <c r="M543" i="3" a="1"/>
  <c r="M102" i="3" a="1"/>
  <c r="M528" i="3" a="1"/>
  <c r="M406" i="3" a="1"/>
  <c r="M687" i="3" a="1"/>
  <c r="M414" i="3" a="1"/>
  <c r="M441" i="3" a="1"/>
  <c r="M96" i="3" a="1"/>
  <c r="M558" i="3" a="1"/>
  <c r="M427" i="3" a="1"/>
  <c r="M81" i="3" a="1"/>
  <c r="M121" i="3" a="1"/>
  <c r="M348" i="3" a="1"/>
  <c r="M569" i="3" a="1"/>
  <c r="M325" i="3" a="1"/>
  <c r="M305" i="3" a="1"/>
  <c r="M326" i="3" a="1"/>
  <c r="M584" i="3" a="1"/>
  <c r="M489" i="3" a="1"/>
  <c r="M9" i="3" a="1"/>
  <c r="M366" i="3" a="1"/>
  <c r="M593" i="3" a="1"/>
  <c r="M268" i="3" a="1"/>
  <c r="M335" i="3" a="1"/>
  <c r="M602" i="3" a="1"/>
  <c r="M608" i="3" a="1"/>
  <c r="M304" i="3" a="1"/>
  <c r="M292" i="3" a="1"/>
  <c r="M672" i="3" a="1"/>
  <c r="M577" i="3" a="1"/>
  <c r="M470" i="3" a="1"/>
  <c r="M295" i="3" a="1"/>
  <c r="M134" i="3" a="1"/>
  <c r="M571" i="3" a="1"/>
  <c r="M518" i="3" a="1"/>
  <c r="M666" i="3" a="1"/>
  <c r="M145" i="3" a="1"/>
  <c r="M208" i="3" a="1"/>
  <c r="M408" i="3" a="1"/>
  <c r="M619" i="3" a="1"/>
  <c r="M152" i="3" a="1"/>
  <c r="M65" i="3" a="1"/>
  <c r="M597" i="3" a="1"/>
  <c r="M60" i="3" a="1"/>
  <c r="M235" i="3" a="1"/>
  <c r="M421" i="3" a="1"/>
  <c r="M645" i="3" a="1"/>
  <c r="M275" i="3" a="1"/>
  <c r="M38" i="3" a="1"/>
  <c r="M464" i="3" a="1"/>
  <c r="M74" i="3" a="1"/>
  <c r="M59" i="3" a="1"/>
  <c r="M375" i="3" a="1"/>
  <c r="M142" i="3" a="1"/>
  <c r="M215" i="3" a="1"/>
  <c r="M570" i="3" a="1"/>
  <c r="M690" i="3" a="1"/>
  <c r="M185" i="3" a="1"/>
  <c r="M216" i="3" a="1"/>
  <c r="M273" i="3" a="1"/>
  <c r="M632" i="3" a="1"/>
  <c r="M17" i="3" a="1"/>
  <c r="M241" i="3" a="1"/>
  <c r="M595" i="3" a="1"/>
  <c r="M301" i="3" a="1"/>
  <c r="M230" i="3" a="1"/>
  <c r="M286" i="3" a="1"/>
  <c r="M110" i="3" a="1"/>
  <c r="M364" i="3" a="1"/>
  <c r="M536" i="3" a="1"/>
  <c r="M568" i="3" a="1"/>
  <c r="M109" i="3" a="1"/>
  <c r="M505" i="3" a="1"/>
  <c r="M699" i="3" a="1"/>
  <c r="M617" i="3" a="1"/>
  <c r="M46" i="3" a="1"/>
  <c r="M404" i="3" a="1"/>
  <c r="M122" i="3" a="1"/>
  <c r="M20" i="3" a="1"/>
  <c r="M594" i="3" a="1"/>
  <c r="M248" i="3" a="1"/>
  <c r="M251" i="3" a="1"/>
  <c r="M513" i="3" a="1"/>
  <c r="M58" i="3" a="1"/>
  <c r="M479" i="3" a="1"/>
  <c r="M166" i="3" a="1"/>
  <c r="M67" i="3" a="1"/>
  <c r="M575" i="3" a="1"/>
  <c r="M548" i="3" a="1"/>
  <c r="M339" i="3" a="1"/>
  <c r="M317" i="3" a="1"/>
  <c r="M231" i="3" a="1"/>
  <c r="M469" i="3" a="1"/>
  <c r="M34" i="3" a="1"/>
  <c r="M596" i="3" a="1"/>
  <c r="M168" i="3" a="1"/>
  <c r="M141" i="3" a="1"/>
  <c r="M176" i="3" a="1"/>
  <c r="M174" i="3" a="1"/>
  <c r="M94" i="3" a="1"/>
  <c r="M476" i="3" a="1"/>
  <c r="M630" i="3" a="1"/>
  <c r="M69" i="3" a="1"/>
  <c r="M350" i="3" a="1"/>
  <c r="M41" i="3" a="1"/>
  <c r="M271" i="3" a="1"/>
  <c r="M436" i="3" a="1"/>
  <c r="M276" i="3" a="1"/>
  <c r="M650" i="3" a="1"/>
  <c r="M229" i="3" a="1"/>
  <c r="M260" i="3" a="1"/>
  <c r="M183" i="3" a="1"/>
  <c r="M173" i="3" a="1"/>
  <c r="M549" i="3" a="1"/>
  <c r="M272" i="3" a="1"/>
  <c r="M522" i="3" a="1"/>
  <c r="M616" i="3" a="1"/>
  <c r="M296" i="3" a="1"/>
  <c r="M409" i="3" a="1"/>
  <c r="M635" i="3" a="1"/>
  <c r="M492" i="3" a="1"/>
  <c r="M95" i="3" a="1"/>
  <c r="M30" i="3" a="1"/>
  <c r="M218" i="3" a="1"/>
  <c r="M531" i="3" a="1"/>
  <c r="M495" i="3" a="1"/>
  <c r="M90" i="3" a="1"/>
  <c r="M287" i="3" a="1"/>
  <c r="M625" i="3" a="1"/>
  <c r="M566" i="3" a="1"/>
  <c r="M460" i="3" a="1"/>
  <c r="M131" i="3" a="1"/>
  <c r="M523" i="3" a="1"/>
  <c r="M379" i="3" a="1"/>
  <c r="M338" i="3" a="1"/>
  <c r="M644" i="3" a="1"/>
  <c r="M146" i="3" a="1"/>
  <c r="M533" i="3" a="1"/>
  <c r="M138" i="3" a="1"/>
  <c r="M454" i="3" a="1"/>
  <c r="M643" i="3" a="1"/>
  <c r="M502" i="3" a="1"/>
  <c r="M71" i="3" a="1"/>
  <c r="M418" i="3" a="1"/>
  <c r="M12" i="3" a="1"/>
  <c r="M700" i="3" a="1"/>
  <c r="M277" i="3" a="1"/>
  <c r="M554" i="3" a="1"/>
  <c r="M302" i="3" a="1"/>
  <c r="M22" i="3" a="1"/>
  <c r="M511" i="3" a="1"/>
  <c r="M562" i="3" a="1"/>
  <c r="M343" i="3" a="1"/>
  <c r="M524" i="3" a="1"/>
  <c r="M555" i="3" a="1"/>
  <c r="M153" i="3" a="1"/>
  <c r="M4" i="3" a="1"/>
  <c r="M509" i="3" a="1"/>
  <c r="M186" i="3" a="1"/>
  <c r="M155" i="3" a="1"/>
  <c r="M525" i="3" a="1"/>
  <c r="M623" i="3" a="1"/>
  <c r="M18" i="3" a="1"/>
  <c r="M42" i="3" a="1"/>
  <c r="M51" i="3" a="1"/>
  <c r="M123" i="3" a="1"/>
  <c r="M353" i="3" a="1"/>
  <c r="M447" i="3" a="1"/>
  <c r="M333" i="3" a="1"/>
  <c r="M161" i="3" a="1"/>
  <c r="M395" i="3" a="1"/>
  <c r="M440" i="3" a="1"/>
  <c r="M258" i="3" a="1"/>
  <c r="M263" i="3" a="1"/>
  <c r="M383" i="3" a="1"/>
  <c r="M358" i="3" a="1"/>
  <c r="M53" i="3" a="1"/>
  <c r="M407" i="3" a="1"/>
  <c r="M403" i="3" a="1"/>
  <c r="M530" i="3" a="1"/>
  <c r="M290" i="3" a="1"/>
  <c r="M415" i="3" a="1"/>
  <c r="M355" i="3" a="1"/>
  <c r="M587" i="3" a="1"/>
  <c r="M62" i="3" a="1"/>
  <c r="M3" i="3" a="1"/>
  <c r="M693" i="3" a="1"/>
  <c r="M49" i="3" a="1"/>
  <c r="M636" i="3" a="1"/>
  <c r="M321" i="3" a="1"/>
  <c r="M540" i="3" a="1"/>
  <c r="M576" i="3" a="1"/>
  <c r="M33" i="3" a="1"/>
  <c r="M446" i="3" a="1"/>
  <c r="M195" i="3" a="1"/>
  <c r="M191" i="3" a="1"/>
  <c r="M130" i="3" a="1"/>
  <c r="M105" i="3" a="1"/>
  <c r="M567" i="3" a="1"/>
  <c r="M239" i="3" a="1"/>
  <c r="M678" i="3" a="1"/>
  <c r="M262" i="3" a="1"/>
  <c r="M167" i="3" a="1"/>
  <c r="M288" i="3" a="1"/>
  <c r="M391" i="3" a="1"/>
  <c r="M346" i="3" a="1"/>
  <c r="M233" i="3" a="1"/>
  <c r="M494" i="3" a="1"/>
  <c r="M299" i="3" a="1"/>
  <c r="M537" i="3" a="1"/>
  <c r="M85" i="3" a="1"/>
  <c r="M39" i="3" a="1"/>
  <c r="M658" i="3" a="1"/>
  <c r="M547" i="3" a="1"/>
  <c r="M481" i="3" a="1"/>
  <c r="M205" i="3" a="1"/>
  <c r="M148" i="3" a="1"/>
  <c r="M52" i="3" a="1"/>
  <c r="M629" i="3" a="1"/>
  <c r="M477" i="3" a="1"/>
  <c r="M527" i="3" a="1"/>
  <c r="M591" i="3" a="1"/>
  <c r="M234" i="3" a="1"/>
  <c r="M15" i="3" a="1"/>
  <c r="M323" i="3" a="1"/>
  <c r="M659" i="3" a="1"/>
  <c r="M652" i="3" a="1"/>
  <c r="M132" i="3" a="1"/>
  <c r="M694" i="3" a="1"/>
  <c r="M561" i="3" a="1"/>
  <c r="M119" i="3" a="1"/>
  <c r="M199" i="3" a="1"/>
  <c r="M664" i="3" a="1"/>
  <c r="M220" i="3" a="1"/>
  <c r="M458" i="3" a="1"/>
  <c r="M412" i="3" a="1"/>
  <c r="M365" i="3" a="1"/>
  <c r="M327" i="3" a="1"/>
  <c r="M541" i="3" a="1"/>
  <c r="M601" i="3" a="1"/>
  <c r="M425" i="3" a="1"/>
  <c r="M449" i="3" a="1"/>
  <c r="M99" i="3" a="1"/>
  <c r="M316" i="3" a="1"/>
  <c r="M433" i="3" a="1"/>
  <c r="M206" i="3" a="1"/>
  <c r="M430" i="3" a="1"/>
  <c r="M501" i="3" a="1"/>
  <c r="M280" i="3" a="1"/>
  <c r="M330" i="3" a="1"/>
  <c r="M314" i="3" a="1"/>
  <c r="M539" i="3" a="1"/>
  <c r="M380" i="3" a="1"/>
  <c r="M87" i="3" a="1"/>
  <c r="M646" i="3" a="1"/>
  <c r="M212" i="3" a="1"/>
  <c r="M344" i="3" a="1"/>
  <c r="M322" i="3" a="1"/>
  <c r="M685" i="3" a="1"/>
  <c r="M639" i="3" a="1"/>
  <c r="M179" i="3" a="1"/>
  <c r="M682" i="3" a="1"/>
  <c r="M378" i="3" a="1"/>
  <c r="M670" i="3" a="1"/>
  <c r="M483" i="3" a="1"/>
  <c r="M336" i="3" a="1"/>
  <c r="M318" i="3" a="1"/>
  <c r="M213" i="3" a="1"/>
  <c r="M108" i="3" a="1"/>
  <c r="M497" i="3" a="1"/>
  <c r="M308" i="3" a="1"/>
  <c r="M103" i="3" a="1"/>
  <c r="M211" i="3" a="1"/>
  <c r="M669" i="3" a="1"/>
  <c r="M515" i="3" a="1"/>
  <c r="M165" i="3" a="1"/>
  <c r="M498" i="3" a="1"/>
  <c r="M162" i="3" a="1"/>
  <c r="M70" i="3" a="1"/>
  <c r="M637" i="3" a="1"/>
  <c r="M484" i="3" a="1"/>
  <c r="M552" i="3" a="1"/>
  <c r="M606" i="3" a="1"/>
  <c r="M609" i="3" a="1"/>
  <c r="M27" i="3" a="1"/>
  <c r="M93" i="3" a="1"/>
  <c r="M695" i="3" a="1"/>
  <c r="M656" i="3" a="1"/>
  <c r="M432" i="3" a="1"/>
  <c r="M291" i="3" a="1"/>
  <c r="M429" i="3" a="1"/>
  <c r="M170" i="3" a="1"/>
  <c r="M61" i="3" a="1"/>
  <c r="M675" i="3" a="1"/>
  <c r="M256" i="3" a="1"/>
  <c r="M55" i="3" a="1"/>
  <c r="M267" i="3" a="1"/>
  <c r="M7" i="3" a="1"/>
  <c r="M78" i="3" a="1"/>
  <c r="M478" i="3" a="1"/>
  <c r="M472" i="3" a="1"/>
  <c r="M373" i="3" a="1"/>
  <c r="M437" i="3" a="1"/>
  <c r="M401" i="3" a="1"/>
  <c r="M114" i="3" a="1"/>
  <c r="M278" i="3" a="1"/>
  <c r="M431" i="3" a="1"/>
  <c r="M452" i="3" a="1"/>
  <c r="M673" i="3" a="1"/>
  <c r="M607" i="3" a="1"/>
  <c r="M112" i="3" a="1"/>
  <c r="M221" i="3" a="1"/>
  <c r="M424" i="3" a="1"/>
  <c r="M171" i="3" a="1"/>
  <c r="M79" i="3" a="1"/>
  <c r="M56" i="3" a="1"/>
  <c r="M618" i="3" a="1"/>
  <c r="M36" i="3" a="1"/>
  <c r="M696" i="3" a="1"/>
  <c r="M151" i="3" a="1"/>
  <c r="M250" i="3" a="1"/>
  <c r="M298" i="3" a="1"/>
  <c r="M628" i="3" a="1"/>
  <c r="M439" i="3" a="1"/>
  <c r="M648" i="3" a="1"/>
  <c r="M19" i="3" a="1"/>
  <c r="M610" i="3" a="1"/>
  <c r="M382" i="3" a="1"/>
  <c r="M303" i="3" a="1"/>
  <c r="M303" i="3" l="1"/>
  <c r="M382" i="3"/>
  <c r="M610" i="3"/>
  <c r="M19" i="3"/>
  <c r="M648" i="3"/>
  <c r="M439" i="3"/>
  <c r="M628" i="3"/>
  <c r="M298" i="3"/>
  <c r="M250" i="3"/>
  <c r="M151" i="3"/>
  <c r="M696" i="3"/>
  <c r="M36" i="3"/>
  <c r="M618" i="3"/>
  <c r="M56" i="3"/>
  <c r="M79" i="3"/>
  <c r="M171" i="3"/>
  <c r="M424" i="3"/>
  <c r="M221" i="3"/>
  <c r="M112" i="3"/>
  <c r="M607" i="3"/>
  <c r="M673" i="3"/>
  <c r="M452" i="3"/>
  <c r="M431" i="3"/>
  <c r="M278" i="3"/>
  <c r="M114" i="3"/>
  <c r="M401" i="3"/>
  <c r="M437" i="3"/>
  <c r="M373" i="3"/>
  <c r="M472" i="3"/>
  <c r="M478" i="3"/>
  <c r="M78" i="3"/>
  <c r="M7" i="3"/>
  <c r="M267" i="3"/>
  <c r="M55" i="3"/>
  <c r="M256" i="3"/>
  <c r="M675" i="3"/>
  <c r="M61" i="3"/>
  <c r="M170" i="3"/>
  <c r="M429" i="3"/>
  <c r="M291" i="3"/>
  <c r="M432" i="3"/>
  <c r="M656" i="3"/>
  <c r="M695" i="3"/>
  <c r="M93" i="3"/>
  <c r="M27" i="3"/>
  <c r="M609" i="3"/>
  <c r="M606" i="3"/>
  <c r="M552" i="3"/>
  <c r="M484" i="3"/>
  <c r="M637" i="3"/>
  <c r="M70" i="3"/>
  <c r="M162" i="3"/>
  <c r="M498" i="3"/>
  <c r="M165" i="3"/>
  <c r="M515" i="3"/>
  <c r="M669" i="3"/>
  <c r="M211" i="3"/>
  <c r="M103" i="3"/>
  <c r="M308" i="3"/>
  <c r="M497" i="3"/>
  <c r="M108" i="3"/>
  <c r="M213" i="3"/>
  <c r="M318" i="3"/>
  <c r="M336" i="3"/>
  <c r="M483" i="3"/>
  <c r="M670" i="3"/>
  <c r="M378" i="3"/>
  <c r="M682" i="3"/>
  <c r="M179" i="3"/>
  <c r="M639" i="3"/>
  <c r="M685" i="3"/>
  <c r="M322" i="3"/>
  <c r="M344" i="3"/>
  <c r="M212" i="3"/>
  <c r="M646" i="3"/>
  <c r="M87" i="3"/>
  <c r="M380" i="3"/>
  <c r="M539" i="3"/>
  <c r="M314" i="3"/>
  <c r="M330" i="3"/>
  <c r="M280" i="3"/>
  <c r="M501" i="3"/>
  <c r="M430" i="3"/>
  <c r="M206" i="3"/>
  <c r="M433" i="3"/>
  <c r="M316" i="3"/>
  <c r="M99" i="3"/>
  <c r="M449" i="3"/>
  <c r="M425" i="3"/>
  <c r="M601" i="3"/>
  <c r="M541" i="3"/>
  <c r="M327" i="3"/>
  <c r="M365" i="3"/>
  <c r="M412" i="3"/>
  <c r="M458" i="3"/>
  <c r="M220" i="3"/>
  <c r="M664" i="3"/>
  <c r="M199" i="3"/>
  <c r="M119" i="3"/>
  <c r="M561" i="3"/>
  <c r="M694" i="3"/>
  <c r="M132" i="3"/>
  <c r="M652" i="3"/>
  <c r="M659" i="3"/>
  <c r="M323" i="3"/>
  <c r="M15" i="3"/>
  <c r="M234" i="3"/>
  <c r="M591" i="3"/>
  <c r="M527" i="3"/>
  <c r="M477" i="3"/>
  <c r="M629" i="3"/>
  <c r="M52" i="3"/>
  <c r="M148" i="3"/>
  <c r="M205" i="3"/>
  <c r="M481" i="3"/>
  <c r="M547" i="3"/>
  <c r="M658" i="3"/>
  <c r="M39" i="3"/>
  <c r="M85" i="3"/>
  <c r="M537" i="3"/>
  <c r="M299" i="3"/>
  <c r="M494" i="3"/>
  <c r="M233" i="3"/>
  <c r="M346" i="3"/>
  <c r="M391" i="3"/>
  <c r="M288" i="3"/>
  <c r="M167" i="3"/>
  <c r="M262" i="3"/>
  <c r="M678" i="3"/>
  <c r="M239" i="3"/>
  <c r="M567" i="3"/>
  <c r="M105" i="3"/>
  <c r="M130" i="3"/>
  <c r="M191" i="3"/>
  <c r="M195" i="3"/>
  <c r="M446" i="3"/>
  <c r="M33" i="3"/>
  <c r="M576" i="3"/>
  <c r="M540" i="3"/>
  <c r="M321" i="3"/>
  <c r="M636" i="3"/>
  <c r="M49" i="3"/>
  <c r="M693" i="3"/>
  <c r="M3" i="3"/>
  <c r="M62" i="3"/>
  <c r="M587" i="3"/>
  <c r="M355" i="3"/>
  <c r="M415" i="3"/>
  <c r="M290" i="3"/>
  <c r="M530" i="3"/>
  <c r="M403" i="3"/>
  <c r="M407" i="3"/>
  <c r="M53" i="3"/>
  <c r="M358" i="3"/>
  <c r="M383" i="3"/>
  <c r="M263" i="3"/>
  <c r="M258" i="3"/>
  <c r="M440" i="3"/>
  <c r="M395" i="3"/>
  <c r="M161" i="3"/>
  <c r="M333" i="3"/>
  <c r="M447" i="3"/>
  <c r="M353" i="3"/>
  <c r="M123" i="3"/>
  <c r="M51" i="3"/>
  <c r="M42" i="3"/>
  <c r="M18" i="3"/>
  <c r="M623" i="3"/>
  <c r="M525" i="3"/>
  <c r="M155" i="3"/>
  <c r="M186" i="3"/>
  <c r="M509" i="3"/>
  <c r="M4" i="3"/>
  <c r="M153" i="3"/>
  <c r="M555" i="3"/>
  <c r="M524" i="3"/>
  <c r="M343" i="3"/>
  <c r="M562" i="3"/>
  <c r="M511" i="3"/>
  <c r="M22" i="3"/>
  <c r="M302" i="3"/>
  <c r="M554" i="3"/>
  <c r="M277" i="3"/>
  <c r="M700" i="3"/>
  <c r="M12" i="3"/>
  <c r="M418" i="3"/>
  <c r="M71" i="3"/>
  <c r="M502" i="3"/>
  <c r="M643" i="3"/>
  <c r="M454" i="3"/>
  <c r="M138" i="3"/>
  <c r="M533" i="3"/>
  <c r="M146" i="3"/>
  <c r="M644" i="3"/>
  <c r="M338" i="3"/>
  <c r="M379" i="3"/>
  <c r="M523" i="3"/>
  <c r="M131" i="3"/>
  <c r="M460" i="3"/>
  <c r="M566" i="3"/>
  <c r="M625" i="3"/>
  <c r="M287" i="3"/>
  <c r="M90" i="3"/>
  <c r="M495" i="3"/>
  <c r="M531" i="3"/>
  <c r="M218" i="3"/>
  <c r="M30" i="3"/>
  <c r="M95" i="3"/>
  <c r="M492" i="3"/>
  <c r="M635" i="3"/>
  <c r="M409" i="3"/>
  <c r="M296" i="3"/>
  <c r="M616" i="3"/>
  <c r="M522" i="3"/>
  <c r="M272" i="3"/>
  <c r="M549" i="3"/>
  <c r="M173" i="3"/>
  <c r="M183" i="3"/>
  <c r="M260" i="3"/>
  <c r="M229" i="3"/>
  <c r="M650" i="3"/>
  <c r="M276" i="3"/>
  <c r="M436" i="3"/>
  <c r="M271" i="3"/>
  <c r="M41" i="3"/>
  <c r="M350" i="3"/>
  <c r="M69" i="3"/>
  <c r="M630" i="3"/>
  <c r="M476" i="3"/>
  <c r="M94" i="3"/>
  <c r="M174" i="3"/>
  <c r="M176" i="3"/>
  <c r="M141" i="3"/>
  <c r="M168" i="3"/>
  <c r="M596" i="3"/>
  <c r="M34" i="3"/>
  <c r="M469" i="3"/>
  <c r="M231" i="3"/>
  <c r="M317" i="3"/>
  <c r="M339" i="3"/>
  <c r="M548" i="3"/>
  <c r="M575" i="3"/>
  <c r="M67" i="3"/>
  <c r="M166" i="3"/>
  <c r="M479" i="3"/>
  <c r="M58" i="3"/>
  <c r="M513" i="3"/>
  <c r="M251" i="3"/>
  <c r="M248" i="3"/>
  <c r="M594" i="3"/>
  <c r="M20" i="3"/>
  <c r="M122" i="3"/>
  <c r="M404" i="3"/>
  <c r="M46" i="3"/>
  <c r="M617" i="3"/>
  <c r="M699" i="3"/>
  <c r="M505" i="3"/>
  <c r="M109" i="3"/>
  <c r="M568" i="3"/>
  <c r="M536" i="3"/>
  <c r="M364" i="3"/>
  <c r="M110" i="3"/>
  <c r="M286" i="3"/>
  <c r="M230" i="3"/>
  <c r="M301" i="3"/>
  <c r="M595" i="3"/>
  <c r="M241" i="3"/>
  <c r="M17" i="3"/>
  <c r="M632" i="3"/>
  <c r="M273" i="3"/>
  <c r="M216" i="3"/>
  <c r="M185" i="3"/>
  <c r="M690" i="3"/>
  <c r="M570" i="3"/>
  <c r="M215" i="3"/>
  <c r="M142" i="3"/>
  <c r="M375" i="3"/>
  <c r="M59" i="3"/>
  <c r="M74" i="3"/>
  <c r="M464" i="3"/>
  <c r="M38" i="3"/>
  <c r="M275" i="3"/>
  <c r="M645" i="3"/>
  <c r="M421" i="3"/>
  <c r="M235" i="3"/>
  <c r="M60" i="3"/>
  <c r="M597" i="3"/>
  <c r="M65" i="3"/>
  <c r="M152" i="3"/>
  <c r="M619" i="3"/>
  <c r="M408" i="3"/>
  <c r="M208" i="3"/>
  <c r="M145" i="3"/>
  <c r="M666" i="3"/>
  <c r="M518" i="3"/>
  <c r="M571" i="3"/>
  <c r="M134" i="3"/>
  <c r="M295" i="3"/>
  <c r="M470" i="3"/>
  <c r="M577" i="3"/>
  <c r="M672" i="3"/>
  <c r="M292" i="3"/>
  <c r="M304" i="3"/>
  <c r="M608" i="3"/>
  <c r="M602" i="3"/>
  <c r="M335" i="3"/>
  <c r="M268" i="3"/>
  <c r="M593" i="3"/>
  <c r="M366" i="3"/>
  <c r="M9" i="3"/>
  <c r="M489" i="3"/>
  <c r="M584" i="3"/>
  <c r="M326" i="3"/>
  <c r="M305" i="3"/>
  <c r="M325" i="3"/>
  <c r="M569" i="3"/>
  <c r="M348" i="3"/>
  <c r="M121" i="3"/>
  <c r="M81" i="3"/>
  <c r="M427" i="3"/>
  <c r="M558" i="3"/>
  <c r="M96" i="3"/>
  <c r="M441" i="3"/>
  <c r="M414" i="3"/>
  <c r="M687" i="3"/>
  <c r="M406" i="3"/>
  <c r="M528" i="3"/>
  <c r="M102" i="3"/>
  <c r="M543" i="3"/>
  <c r="M363" i="3"/>
  <c r="M118" i="3"/>
  <c r="M651" i="3"/>
  <c r="M360" i="3"/>
  <c r="M510" i="3"/>
  <c r="M89" i="3"/>
  <c r="M57" i="3"/>
  <c r="M500" i="3"/>
  <c r="M345" i="3"/>
  <c r="M82" i="3"/>
  <c r="M553" i="3"/>
  <c r="M392" i="3"/>
  <c r="M159" i="3"/>
  <c r="M201" i="3"/>
  <c r="M64" i="3"/>
  <c r="M311" i="3"/>
  <c r="M488" i="3"/>
  <c r="M48" i="3"/>
  <c r="M10" i="3"/>
  <c r="M269" i="3"/>
  <c r="M504" i="3"/>
  <c r="M402" i="3"/>
  <c r="M475" i="3"/>
  <c r="M434" i="3"/>
  <c r="M284" i="3"/>
  <c r="M293" i="3"/>
  <c r="M396" i="3"/>
  <c r="M405" i="3"/>
  <c r="M115" i="3"/>
  <c r="M400" i="3"/>
  <c r="M243" i="3"/>
  <c r="M653" i="3"/>
  <c r="M160" i="3"/>
  <c r="M526" i="3"/>
  <c r="M279" i="3"/>
  <c r="M538" i="3"/>
  <c r="M461" i="3"/>
  <c r="M387" i="3"/>
  <c r="M459" i="3"/>
  <c r="M44" i="3"/>
  <c r="M503" i="3"/>
  <c r="M255" i="3"/>
  <c r="M227" i="3"/>
  <c r="M468" i="3"/>
  <c r="M612" i="3"/>
  <c r="M485" i="3"/>
  <c r="M310" i="3"/>
  <c r="M177" i="3"/>
  <c r="M529" i="3"/>
  <c r="M544" i="3"/>
  <c r="M117" i="3"/>
  <c r="M242" i="3"/>
  <c r="M224" i="3"/>
  <c r="M465" i="3"/>
  <c r="M640" i="3"/>
  <c r="M516" i="3"/>
  <c r="M331" i="3"/>
  <c r="M5" i="3"/>
  <c r="M352" i="3"/>
  <c r="M692" i="3"/>
  <c r="M202" i="3"/>
  <c r="M68" i="3"/>
  <c r="M324" i="3"/>
  <c r="M187" i="3"/>
  <c r="M368" i="3"/>
  <c r="M120" i="3"/>
  <c r="M674" i="3"/>
  <c r="M175" i="3"/>
  <c r="M54" i="3"/>
  <c r="M23" i="3"/>
  <c r="M137" i="3"/>
  <c r="M150" i="3"/>
  <c r="M356" i="3"/>
  <c r="M219" i="3"/>
  <c r="M283" i="3"/>
  <c r="M238" i="3"/>
  <c r="M140" i="3"/>
  <c r="M214" i="3"/>
  <c r="M681" i="3"/>
  <c r="M184" i="3"/>
  <c r="M578" i="3"/>
  <c r="M259" i="3"/>
  <c r="M203" i="3"/>
  <c r="M679" i="3"/>
  <c r="M559" i="3"/>
  <c r="M200" i="3"/>
  <c r="M124" i="3"/>
  <c r="M520" i="3"/>
  <c r="M232" i="3"/>
  <c r="M189" i="3"/>
  <c r="M158" i="3"/>
  <c r="M654" i="3"/>
  <c r="M534" i="3"/>
  <c r="M164" i="3"/>
  <c r="M88" i="3"/>
  <c r="M686" i="3"/>
  <c r="M388" i="3"/>
  <c r="M334" i="3"/>
  <c r="M542" i="3"/>
  <c r="M347" i="3"/>
  <c r="M253" i="3"/>
  <c r="M605" i="3"/>
  <c r="M394" i="3"/>
  <c r="M181" i="3"/>
  <c r="M634" i="3"/>
  <c r="M482" i="3"/>
  <c r="M557" i="3"/>
  <c r="M125" i="3"/>
  <c r="M589" i="3"/>
  <c r="M381" i="3"/>
  <c r="M154" i="3"/>
  <c r="M91" i="3"/>
  <c r="M698" i="3"/>
  <c r="M420" i="3"/>
  <c r="M535" i="3"/>
  <c r="M107" i="3"/>
  <c r="M359" i="3"/>
  <c r="M72" i="3"/>
  <c r="M342" i="3"/>
  <c r="M480" i="3"/>
  <c r="M252" i="3"/>
  <c r="M649" i="3"/>
  <c r="M590" i="3"/>
  <c r="M491" i="3"/>
  <c r="M6" i="3"/>
  <c r="M25" i="3"/>
  <c r="M397" i="3"/>
  <c r="M101" i="3"/>
  <c r="M144" i="3"/>
  <c r="M565" i="3"/>
  <c r="M473" i="3"/>
  <c r="M416" i="3"/>
  <c r="M2" i="3"/>
  <c r="M508" i="3"/>
  <c r="M315" i="3"/>
  <c r="M450" i="3"/>
  <c r="M126" i="3"/>
  <c r="M457" i="3"/>
  <c r="M426" i="3"/>
  <c r="M560" i="3"/>
  <c r="M31" i="3"/>
  <c r="M329" i="3"/>
  <c r="M486" i="3"/>
  <c r="M289" i="3"/>
  <c r="M490" i="3"/>
  <c r="M29" i="3"/>
  <c r="M28" i="3"/>
  <c r="M77" i="3"/>
  <c r="M428" i="3"/>
  <c r="M661" i="3"/>
  <c r="M240" i="3"/>
  <c r="M75" i="3"/>
  <c r="M377" i="3"/>
  <c r="M647" i="3"/>
  <c r="M313" i="3"/>
  <c r="M631" i="3"/>
  <c r="M319" i="3"/>
  <c r="M294" i="3"/>
  <c r="M237" i="3"/>
  <c r="M442" i="3"/>
  <c r="M435" i="3"/>
  <c r="M340" i="3"/>
  <c r="M448" i="3"/>
  <c r="M274" i="3"/>
  <c r="M257" i="3"/>
  <c r="M455" i="3"/>
  <c r="M261" i="3"/>
  <c r="M493" i="3"/>
  <c r="M642" i="3"/>
  <c r="M35" i="3"/>
  <c r="M26" i="3"/>
  <c r="M657" i="3"/>
  <c r="M668" i="3"/>
  <c r="M627" i="3"/>
  <c r="M622" i="3"/>
  <c r="M328" i="3"/>
  <c r="M599" i="3"/>
  <c r="M247" i="3"/>
  <c r="M21" i="3"/>
  <c r="M671" i="3"/>
  <c r="M282" i="3"/>
  <c r="M225" i="3"/>
  <c r="M245" i="3"/>
  <c r="M581" i="3"/>
  <c r="M228" i="3"/>
  <c r="M8" i="3"/>
  <c r="M97" i="3"/>
  <c r="M604" i="3"/>
  <c r="M264" i="3"/>
  <c r="M207" i="3"/>
  <c r="M249" i="3"/>
  <c r="M266" i="3"/>
  <c r="M638" i="3"/>
  <c r="M613" i="3"/>
  <c r="M113" i="3"/>
  <c r="M466" i="3"/>
  <c r="M413" i="3"/>
  <c r="M626" i="3"/>
  <c r="M92" i="3"/>
  <c r="M156" i="3"/>
  <c r="M641" i="3"/>
  <c r="M417" i="3"/>
  <c r="M226" i="3"/>
  <c r="M691" i="3"/>
  <c r="M532" i="3"/>
  <c r="M11" i="3"/>
  <c r="M143" i="3"/>
  <c r="M111" i="3"/>
  <c r="M611" i="3"/>
  <c r="M399" i="3"/>
  <c r="M190" i="3"/>
  <c r="M438" i="3"/>
  <c r="M210" i="3"/>
  <c r="M588" i="3"/>
  <c r="M236" i="3"/>
  <c r="M307" i="3"/>
  <c r="M677" i="3"/>
  <c r="M223" i="3"/>
  <c r="M614" i="3"/>
  <c r="M370" i="3"/>
  <c r="M14" i="3"/>
  <c r="M592" i="3"/>
  <c r="M598" i="3"/>
  <c r="M332" i="3"/>
  <c r="M66" i="3"/>
  <c r="M582" i="3"/>
  <c r="M357" i="3"/>
  <c r="M139" i="3"/>
  <c r="M76" i="3"/>
  <c r="M680" i="3"/>
  <c r="M573" i="3"/>
  <c r="M320" i="3"/>
  <c r="M337" i="3"/>
  <c r="M222" i="3"/>
  <c r="M583" i="3"/>
  <c r="M517" i="3"/>
  <c r="M83" i="3"/>
  <c r="M32" i="3"/>
  <c r="M86" i="3"/>
  <c r="M550" i="3"/>
  <c r="M367" i="3"/>
  <c r="M127" i="3"/>
  <c r="M676" i="3"/>
  <c r="M393" i="3"/>
  <c r="M521" i="3"/>
  <c r="M98" i="3"/>
  <c r="M514" i="3"/>
  <c r="M354" i="3"/>
  <c r="M100" i="3"/>
  <c r="M37" i="3"/>
  <c r="M621" i="3"/>
  <c r="M306" i="3"/>
  <c r="M499" i="3"/>
  <c r="M80" i="3"/>
  <c r="M389" i="3"/>
  <c r="M361" i="3"/>
  <c r="M312" i="3"/>
  <c r="M192" i="3"/>
  <c r="M519" i="3"/>
  <c r="M445" i="3"/>
  <c r="M281" i="3"/>
  <c r="M285" i="3"/>
  <c r="M474" i="3"/>
  <c r="M297" i="3"/>
  <c r="M579" i="3"/>
  <c r="M386" i="3"/>
  <c r="M574" i="3"/>
  <c r="M194" i="3"/>
  <c r="M471" i="3"/>
  <c r="M660" i="3"/>
  <c r="M667" i="3"/>
  <c r="M456" i="3"/>
  <c r="M309" i="3"/>
  <c r="M512" i="3"/>
  <c r="M13" i="3"/>
  <c r="M147" i="3"/>
  <c r="M467" i="3"/>
  <c r="M419" i="3"/>
  <c r="M73" i="3"/>
  <c r="M398" i="3"/>
  <c r="M662" i="3"/>
  <c r="M385" i="3"/>
  <c r="M443" i="3"/>
  <c r="M451" i="3"/>
  <c r="M689" i="3"/>
  <c r="M463" i="3"/>
  <c r="M50" i="3"/>
  <c r="M603" i="3"/>
  <c r="M684" i="3"/>
  <c r="M163" i="3"/>
  <c r="M620" i="3"/>
  <c r="M24" i="3"/>
  <c r="M351" i="3"/>
  <c r="M196" i="3"/>
  <c r="M371" i="3"/>
  <c r="M376" i="3"/>
  <c r="M688" i="3"/>
  <c r="M193" i="3"/>
  <c r="M63" i="3"/>
  <c r="M270" i="3"/>
  <c r="M169" i="3"/>
  <c r="M362" i="3"/>
  <c r="M341" i="3"/>
  <c r="M254" i="3"/>
  <c r="M663" i="3"/>
  <c r="M157" i="3"/>
  <c r="M45" i="3"/>
  <c r="M246" i="3"/>
  <c r="M188" i="3"/>
  <c r="M507" i="3"/>
  <c r="M384" i="3"/>
  <c r="M624" i="3"/>
  <c r="M423" i="3"/>
  <c r="M683" i="3"/>
  <c r="M563" i="3"/>
  <c r="M209" i="3"/>
  <c r="M133" i="3"/>
  <c r="M556" i="3"/>
  <c r="M244" i="3"/>
  <c r="M198" i="3"/>
  <c r="M665" i="3"/>
  <c r="M545" i="3"/>
  <c r="M182" i="3"/>
  <c r="M106" i="3"/>
  <c r="M43" i="3"/>
  <c r="M506" i="3"/>
  <c r="M204" i="3"/>
  <c r="M180" i="3"/>
  <c r="M197" i="3"/>
  <c r="M374" i="3"/>
  <c r="M697" i="3"/>
  <c r="M580" i="3"/>
  <c r="M40" i="3"/>
  <c r="M615" i="3"/>
  <c r="M655" i="3"/>
  <c r="M496" i="3"/>
  <c r="M564" i="3"/>
  <c r="M129" i="3"/>
  <c r="M600" i="3"/>
  <c r="M390" i="3"/>
  <c r="M172" i="3"/>
  <c r="M586" i="3"/>
  <c r="M453" i="3"/>
  <c r="M546" i="3"/>
  <c r="M116" i="3"/>
  <c r="M84" i="3"/>
  <c r="M572" i="3"/>
  <c r="M372" i="3"/>
  <c r="M136" i="3"/>
  <c r="M300" i="3"/>
  <c r="M265" i="3"/>
  <c r="M217" i="3"/>
  <c r="M633" i="3"/>
  <c r="M444" i="3"/>
  <c r="M178" i="3"/>
  <c r="M349" i="3"/>
  <c r="M411" i="3"/>
  <c r="M128" i="3"/>
  <c r="M149" i="3"/>
  <c r="M585" i="3"/>
  <c r="M487" i="3"/>
  <c r="M422" i="3"/>
  <c r="M16" i="3"/>
  <c r="M369" i="3"/>
  <c r="M47" i="3"/>
  <c r="M135" i="3"/>
  <c r="M104" i="3"/>
  <c r="M551" i="3"/>
  <c r="M462" i="3"/>
  <c r="M41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<sst xmlns="http://schemas.openxmlformats.org/spreadsheetml/2006/main" count="2694" uniqueCount="526">
  <si>
    <t>Update Date:</t>
  </si>
  <si>
    <t>Today's Date:</t>
  </si>
  <si>
    <t>The information below reflects the complaint investigation.</t>
  </si>
  <si>
    <t># Event Recap</t>
  </si>
  <si>
    <t># Event Recap </t>
  </si>
  <si>
    <t>#---------------------------------------</t>
  </si>
  <si>
    <t>#--------------------------------------- </t>
  </si>
  <si>
    <t># Response To Allegations</t>
  </si>
  <si>
    <t># Response To Allegations </t>
  </si>
  <si>
    <t>The allegation(s) in this complaint have not been confirmed as there was not enough information provided in the complaint and the product has not been returned for analysis.</t>
  </si>
  <si>
    <t>The complaint device was not returned to BSC therefore product analysis could not be performed. The primary reported observation is addressed in product labeling (e.g. Instructions For Use). Therefore, well-understood factors likely contributed to the event.</t>
  </si>
  <si>
    <t>The allegation in this complaint has not been confirmed by testing or analysis, however the probable cause was determined based on the complaint meeting CAPA/Trend criteria.</t>
  </si>
  <si>
    <t># Conclusion Code Rationale</t>
  </si>
  <si>
    <t>The allegation(s) in this complaint have been confirmed because analysis of device data.</t>
  </si>
  <si>
    <t xml:space="preserve">The "Failure to Follow Instructions" conclusion code was selected because: </t>
  </si>
  <si>
    <t>1) The complaint device was not returned to BSC - product analysis could not be performed.</t>
  </si>
  <si>
    <t># Conclusion Code Rationale </t>
  </si>
  <si>
    <t>Investigation Conclusion Rationale:</t>
  </si>
  <si>
    <t xml:space="preserve">The Cause Traced to Device Design was selected because the information in the complaint meets criteria for TR16002.  </t>
  </si>
  <si>
    <t>2) Product record reviews did not identify a product quality issue or new patient harm.</t>
  </si>
  <si>
    <t>Device data analysis noted the depletion was due to normal device behavior.</t>
  </si>
  <si>
    <t xml:space="preserve">The "Known Inherent Risk of Device" conclusion code was selected because: </t>
  </si>
  <si>
    <t>Objective evidence was provided by the customer, suggesting that the cause of the [insert shock impedance code description] was the result of [state conclusion]. Therefore, no further actions are considered necessary and the complaint investigation conclusion code is Unintended Use Error Caused or Contributed to Event.</t>
  </si>
  <si>
    <t>3) The primary reported observation is addressed in product labeling (i.e. Instructions For Use).</t>
  </si>
  <si>
    <t>The "Unintended Use Error caused or contributed to event" conclusion code was selected based on the event description of &lt;insert description of the cause issue&gt; which was likely attributed to &lt;insert complaint issue&gt;.</t>
  </si>
  <si>
    <t>The "Cause Not Established" conclusion was selected because analysis of device data found higher-than-expected power consumption, consistent with premature battery depletion. However, available information was not sufficient to determine probable cause.</t>
  </si>
  <si>
    <t xml:space="preserve">The " No Problem Detected " conclusion code was selected because the reason for the alleged observation(s) could not be determined. That is, </t>
  </si>
  <si>
    <t>The "No Problem Detected" conclusion code was selected based on lack of objective evidence of a device defect/malfunction and passing product record reviews. That is:</t>
  </si>
  <si>
    <t xml:space="preserve">The "Adverse Event Related to Patient Condition" conclusion code was selected because: </t>
  </si>
  <si>
    <t xml:space="preserve">The Cause Traced to Device Design was selected because the information in the complaint meets criteria for TR15014.  </t>
  </si>
  <si>
    <t xml:space="preserve">The Cause Traced to Device Design was selected because the information in the complaint meets criteria for TR18003.  </t>
  </si>
  <si>
    <t xml:space="preserve">1) The complaint device was not returned to BSC - product analysis could not be performed. </t>
  </si>
  <si>
    <t>Since the reported issues are covered by the Instructions For Use, it can be concluded that expected or well-understood factors most probably contributed to the event.</t>
  </si>
  <si>
    <t xml:space="preserve">The "Manufacturing Deficiency" conclusion code was selected because the information in the complaint meets criteria for CAPA-00007101. </t>
  </si>
  <si>
    <t xml:space="preserve">1) The complaint device was not returned to BSC - therefore, product analysis could not be performed. </t>
  </si>
  <si>
    <t>1) The complaint device was not returned to BSC - product analysis could not be performed</t>
  </si>
  <si>
    <t># Product Record Review</t>
  </si>
  <si>
    <t># Product Record Review </t>
  </si>
  <si>
    <t>2) Product record reviews did not identify a potential product quality issue or new patient harm.</t>
  </si>
  <si>
    <t>At this point, it can be concluded that a known CAPA/Trend issue most probably contributed to the event.</t>
  </si>
  <si>
    <t>DHR REVIEW </t>
  </si>
  <si>
    <t>Review of labeling determined the complaint situation was listed in the manual. There was no indication in the complaint that the product was not used in accordance to labeling. The manual was unlikely to be the cause of the reported complaint; translation, wording, or graphics does not require further review.</t>
  </si>
  <si>
    <t xml:space="preserve">3) Analysis of available information did not identify a specific complaint cause. </t>
  </si>
  <si>
    <t>3) Available information did not contain objective evidence of device defect/malfunction.</t>
  </si>
  <si>
    <t>3) At this point, it can be concluded that a patient condition or disease most probably contributed to the event.</t>
  </si>
  <si>
    <t>The device was not able to be found in the MES system as it is a Cameron Health Device and therefore DHR could not be performed. </t>
  </si>
  <si>
    <t>At this point, it can be concluded that unknown factors most probably contributed to the event.</t>
  </si>
  <si>
    <t>At this point, it can be concluded that unknown factors most probably contributed to the event</t>
  </si>
  <si>
    <t xml:space="preserve">It can be concluded that the reported observation is mainly a result of the patient's pre-existing condition. </t>
  </si>
  <si>
    <t>LABELING REVIEW </t>
  </si>
  <si>
    <t>Labeling Review is Not Required - There is no evidence the device was used improperly + BSC is not responsible for training + The event did not occur in an EMEA country + None of the AR-d codes are against labeling.</t>
  </si>
  <si>
    <t>A review of the Device History Record (DHR) was performed. The review of the DHR identified that there were no process related non-conformances, scrap, or rework performed during the production that could explain the event. The reviews ensure each device meets specification prior to release for use. There is no indication the device manufacturing process contributed to the reported complaint.</t>
  </si>
  <si>
    <t>This device was manufactured prior to full integration of the Cameron Health quality system into the BSC quality system. No DHR review will be performed.</t>
  </si>
  <si>
    <t>The manufacturing process for this electrode model included extensive inspections to ensure that the finished product met specifications prior to distribution, including validation of sterility and a series of visual, functional, and electrical tests. There is no indication that the referenced event was related to the manufacturing process.</t>
  </si>
  <si>
    <t>Risk Review is Not Required - A new hazard was not identified + BSC is not responsible for training + The event did not occur in an EEA country + Not a 'new' product family.</t>
  </si>
  <si>
    <t>No Serial/lot number was provided, therefore a DHR Review cannot be performed. If the applicable information becomes available, the investigation record will be re-opened and updated accordingly with the results of the Device History Record (DHR) Review.</t>
  </si>
  <si>
    <t>Product Family</t>
  </si>
  <si>
    <t>As Reported Device Code</t>
  </si>
  <si>
    <t>As Reported Patient Code</t>
  </si>
  <si>
    <t>As Reported Impact Code</t>
  </si>
  <si>
    <t>Risk Document</t>
  </si>
  <si>
    <t>Risk Review</t>
  </si>
  <si>
    <t>Device Displays Error Message</t>
  </si>
  <si>
    <t>Emblem S-ICD Electrode</t>
  </si>
  <si>
    <t>Emblem Q-TRAK SQ Electrode</t>
  </si>
  <si>
    <t>F1901: Additional Surgery</t>
  </si>
  <si>
    <t>1106262RMP HAZ ANAL EMBLEM S-ICD ELECT 3401 EIT 4711</t>
  </si>
  <si>
    <t>A Risk Review was completed and confirmed that the event of Additional Surgery was defined in the risk documentation. This event type has been accounted for during product risk analysis to support acceptable risk benefit for the product.</t>
  </si>
  <si>
    <t>Allergic Reaction</t>
  </si>
  <si>
    <t>A Risk Review was completed and confirmed that the event of Allergic Reaction was defined in the risk documentation. This event type has been accounted for during product risk analysis to support acceptable risk benefit for the product.</t>
  </si>
  <si>
    <t>Anxiety</t>
  </si>
  <si>
    <t>A Risk Review was completed and confirmed that the event of Anxiety was defined in the risk documentation. This event type has been accounted for during product risk analysis to support acceptable risk benefit for the product.</t>
  </si>
  <si>
    <t>Atrial Fibrillation</t>
  </si>
  <si>
    <t>A Risk Review was completed and confirmed that the event of Atrial Fibrillation was defined in the risk documentation. This event type has been accounted for during product risk analysis to support acceptable risk benefit for the product.</t>
  </si>
  <si>
    <t>F2302: Blood Transfusion</t>
  </si>
  <si>
    <t>A Risk Review was completed and confirmed that the event of Blood Transfusion was defined in the risk documentation. This event type has been accounted for during product risk analysis to support acceptable risk benefit for the product.</t>
  </si>
  <si>
    <t>Burning Sensation</t>
  </si>
  <si>
    <t>A Risk Review was completed and confirmed that the event of Burning Sensation was defined in the risk documentation. This event type has been accounted for during product risk analysis to support acceptable risk benefit for the product.</t>
  </si>
  <si>
    <t>Chest Pain</t>
  </si>
  <si>
    <t>A Risk Review was completed and confirmed that the event of Chest Pain was defined in the risk documentation. This event type has been accounted for during product risk analysis to support acceptable risk benefit for the product.</t>
  </si>
  <si>
    <t>Connection Issue</t>
  </si>
  <si>
    <t>A Risk Review was completed and confirmed that the event of Connection Issue was defined in the risk documentation. This event type has been accounted for during product risk analysis to support acceptable risk benefit for the product.</t>
  </si>
  <si>
    <t>Damaged/Defective</t>
  </si>
  <si>
    <t>A Risk Review was completed and confirmed that the event of Damaged/Defective was defined in the risk documentation. This event type has been accounted for during product risk analysis to support acceptable risk benefit for the product.</t>
  </si>
  <si>
    <t>F02: Death</t>
  </si>
  <si>
    <t>A Risk Review was completed and confirmed that the event of Death was defined in the risk documentation. This event type has been accounted for during product risk analysis to support acceptable risk benefit for the product.</t>
  </si>
  <si>
    <t>A Risk Review was completed and confirmed that the event of Device Displays Error Message was defined in the risk documentation. This event type has been accounted for during product risk analysis to support acceptable risk benefit for the product.</t>
  </si>
  <si>
    <t>F1903: Device Explantation</t>
  </si>
  <si>
    <t>A Risk Review was completed and confirmed that the event of Device Explantation was defined in the risk documentation. This event type has been accounted for during product risk analysis to support acceptable risk benefit for the product.</t>
  </si>
  <si>
    <t>Device Operates Differently Than Expected</t>
  </si>
  <si>
    <t>A Risk Review was completed and confirmed that the event of Device Operates Differently Than Expected was defined in the risk documentation. This event type has been accounted for during product risk analysis to support acceptable risk benefit for the product.</t>
  </si>
  <si>
    <t>F1904: Device Repositioning</t>
  </si>
  <si>
    <t>A Risk Review was completed and confirmed that the event of Device Repositioning was defined in the risk documentation. This event type has been accounted for during product risk analysis to support acceptable risk benefit for the product.</t>
  </si>
  <si>
    <t>F1905: Device Revision or Replacement</t>
  </si>
  <si>
    <t>A Risk Review was completed and confirmed that the event of Device Revision or Replacement was defined in the risk documentation. This event type has been accounted for during product risk analysis to support acceptable risk benefit for the product.</t>
  </si>
  <si>
    <t>Difficult To Position</t>
  </si>
  <si>
    <t>A Risk Review was completed and confirmed that the event of Difficult To Position was defined in the risk documentation. This event type has been accounted for during product risk analysis to support acceptable risk benefit for the product.</t>
  </si>
  <si>
    <t>Difficult To Remove</t>
  </si>
  <si>
    <t>A Risk Review was completed and confirmed that the event of Difficult To Remove was defined in the risk documentation. This event type has been accounted for during product risk analysis to support acceptable risk benefit for the product.</t>
  </si>
  <si>
    <t>Difficulty Converting Rhythm (Ambulatory)</t>
  </si>
  <si>
    <t>A Risk Review was completed and confirmed that the event of Difficulty Converting Rhythm (Ambulatory) was defined in the risk documentation. This event type has been accounted for during product risk analysis to support acceptable risk benefit for the product.</t>
  </si>
  <si>
    <t>Difficulty Converting Rhythm (Induced)</t>
  </si>
  <si>
    <t>A Risk Review was completed and confirmed that the event of Difficulty Converting Rhythm (Induced) was defined in the risk documentation. This event type has been accounted for during product risk analysis to support acceptable risk benefit for the product.</t>
  </si>
  <si>
    <t>Discomfort</t>
  </si>
  <si>
    <t>A Risk Review was completed and confirmed that the event of Discomfort was defined in the risk documentation. This event type has been accounted for during product risk analysis to support acceptable risk benefit for the product.</t>
  </si>
  <si>
    <t>Dislodged Or Dislocated</t>
  </si>
  <si>
    <t>A Risk Review was completed and confirmed that the event of Dislodged Or Dislocated was defined in the risk documentation. This event type has been accounted for during product risk analysis to support acceptable risk benefit for the product.</t>
  </si>
  <si>
    <t>Electric Shock</t>
  </si>
  <si>
    <t>A Risk Review was completed and confirmed that the event of Electric Shock was defined in the risk documentation. This event type has been accounted for during product risk analysis to support acceptable risk benefit for the product.</t>
  </si>
  <si>
    <t>Erosion</t>
  </si>
  <si>
    <t>A Risk Review was completed and confirmed that the event of Erosion was defined in the risk documentation. This event type has been accounted for during product risk analysis to support acceptable risk benefit for the product.</t>
  </si>
  <si>
    <t>Erosion, Pocket</t>
  </si>
  <si>
    <t>A Risk Review was completed and confirmed that the event of Erosion, Pocket was defined in the risk documentation. This event type has been accounted for during product risk analysis to support acceptable risk benefit for the product.</t>
  </si>
  <si>
    <t>Failure To Convert Rhythm</t>
  </si>
  <si>
    <t>A Risk Review was completed and confirmed that the event of Failure To Convert Rhythm was defined in the risk documentation. This event type has been accounted for during product risk analysis to support acceptable risk benefit for the product.</t>
  </si>
  <si>
    <t>Failure to Sense</t>
  </si>
  <si>
    <t>A Risk Review was completed and confirmed that the event of Failure to Sense was defined in the risk documentation. This event type has been accounted for during product risk analysis to support acceptable risk benefit for the product.</t>
  </si>
  <si>
    <t>Failure To Shock Or Properly Shock</t>
  </si>
  <si>
    <t>A Risk Review was completed and confirmed that the event of Failure To Shock Or Properly Shock was defined in the risk documentation. This event type has been accounted for during product risk analysis to support acceptable risk benefit for the product.</t>
  </si>
  <si>
    <t>Fall</t>
  </si>
  <si>
    <t>A Risk Review was completed and confirmed that the event of Fall was defined in the risk documentation. This event type has been accounted for during product risk analysis to support acceptable risk benefit for the product.</t>
  </si>
  <si>
    <t>Fracture</t>
  </si>
  <si>
    <t>A Risk Review was completed and confirmed that the event of Fracture was defined in the risk documentation. This event type has been accounted for during product risk analysis to support acceptable risk benefit for the product.</t>
  </si>
  <si>
    <t>Hematoma</t>
  </si>
  <si>
    <t>A Risk Review was completed and confirmed that the event of Hematoma was defined in the risk documentation. This event type has been accounted for during product risk analysis to support acceptable risk benefit for the product.</t>
  </si>
  <si>
    <t>High Capture Threshold</t>
  </si>
  <si>
    <t>A Risk Review was completed and confirmed that the event of High Capture Threshold was defined in the risk documentation. This event type has been accounted for during product risk analysis to support acceptable risk benefit for the product.</t>
  </si>
  <si>
    <t>F08: Hospitalization or Prolonged Hospitalization</t>
  </si>
  <si>
    <t>A Risk Review was completed and confirmed that the event of Hospitalization or Prolonged Hospitalization was defined in the risk documentation. This event type has been accounted for during product risk analysis to support acceptable risk benefit for the product.</t>
  </si>
  <si>
    <t>Implant Pain</t>
  </si>
  <si>
    <t>A Risk Review was completed and confirmed that the event of Implant Pain was defined in the risk documentation. This event type has been accounted for during product risk analysis to support acceptable risk benefit for the product.</t>
  </si>
  <si>
    <t>F10: Inadequate/Inappropriate Treatment or Diagnostic Exposure</t>
  </si>
  <si>
    <t>A Risk Review was completed and confirmed that the event of Inadequate/Inappropriate Treatment or Diagnostic Exposure was defined in the risk documentation. This event type has been accounted for during product risk analysis to support acceptable risk benefit for the product.</t>
  </si>
  <si>
    <t>Inappropriate Shock</t>
  </si>
  <si>
    <t>A Risk Review was completed and confirmed that the event of Inappropriate Shock was defined in the risk documentation. This event type has been accounted for during product risk analysis to support acceptable risk benefit for the product.</t>
  </si>
  <si>
    <t>Infection</t>
  </si>
  <si>
    <t>A Risk Review was completed and confirmed that the event of Infection was defined in the risk documentation. This event type has been accounted for during product risk analysis to support acceptable risk benefit for the product.</t>
  </si>
  <si>
    <t>Infection, Bacterial</t>
  </si>
  <si>
    <t>A Risk Review was completed and confirmed that the event of Infection, Bacterial was defined in the risk documentation. This event type has been accounted for during product risk analysis to support acceptable risk benefit for the product.</t>
  </si>
  <si>
    <t>Irritation, Skin</t>
  </si>
  <si>
    <t>A Risk Review was completed and confirmed that the event of Irritation, Skin was defined in the risk documentation. This event type has been accounted for during product risk analysis to support acceptable risk benefit for the product.</t>
  </si>
  <si>
    <t>Low Amplitude Or Poor Morphology</t>
  </si>
  <si>
    <t>A Risk Review was completed and confirmed that the event of Low Amplitude Or Poor Morphology was defined in the risk documentation. This event type has been accounted for during product risk analysis to support acceptable risk benefit for the product.</t>
  </si>
  <si>
    <t>F2303: Medication Required</t>
  </si>
  <si>
    <t>A Risk Review was completed and confirmed that the event of Medication Required was defined in the risk documentation. This event type has been accounted for during product risk analysis to support acceptable risk benefit for the product.</t>
  </si>
  <si>
    <t>Migration</t>
  </si>
  <si>
    <t>A Risk Review was completed and confirmed that the event of Migration was defined in the risk documentation. This event type has been accounted for during product risk analysis to support acceptable risk benefit for the product.</t>
  </si>
  <si>
    <t>F1906: Modified Surgical Procedure</t>
  </si>
  <si>
    <t>A Risk Review was completed and confirmed that the event of Modified Surgical Procedure was defined in the risk documentation. This event type has been accounted for during product risk analysis to support acceptable risk benefit for the product.</t>
  </si>
  <si>
    <t>F1907: More Complex Surgery</t>
  </si>
  <si>
    <t>A Risk Review was completed and confirmed that the event of More Complex Surgery was defined in the risk documentation. This event type has been accounted for during product risk analysis to support acceptable risk benefit for the product.</t>
  </si>
  <si>
    <t>Necrosis</t>
  </si>
  <si>
    <t>A Risk Review was completed and confirmed that the event of Necrosis was defined in the risk documentation. This event type has been accounted for during product risk analysis to support acceptable risk benefit for the product.</t>
  </si>
  <si>
    <t>Noisy Signals</t>
  </si>
  <si>
    <t>A Risk Review was completed and confirmed that the event of Noisy Signals was defined in the risk documentation. This event type has been accounted for during product risk analysis to support acceptable risk benefit for the product.</t>
  </si>
  <si>
    <t>Oversensing</t>
  </si>
  <si>
    <t>A Risk Review was completed and confirmed that the event of Oversensing was defined in the risk documentation. This event type has been accounted for during product risk analysis to support acceptable risk benefit for the product.</t>
  </si>
  <si>
    <t>Pain</t>
  </si>
  <si>
    <t>A Risk Review was completed and confirmed that the event of Pain was defined in the risk documentation. This event type has been accounted for during product risk analysis to support acceptable risk benefit for the product.</t>
  </si>
  <si>
    <t>Perforation</t>
  </si>
  <si>
    <t>A Risk Review was completed and confirmed that the event of Perforation was defined in the risk documentation. This event type has been accounted for during product risk analysis to support acceptable risk benefit for the product.</t>
  </si>
  <si>
    <t>Perforation, Cardiac</t>
  </si>
  <si>
    <t>A Risk Review was completed and confirmed that the event of Perforation, Cardiac was defined in the risk documentation. This event type has been accounted for during product risk analysis to support acceptable risk benefit for the product.</t>
  </si>
  <si>
    <t>Pericardial Effusion</t>
  </si>
  <si>
    <t>A Risk Review was completed and confirmed that the event of Pericardial Effusion was defined in the risk documentation. This event type has been accounted for during product risk analysis to support acceptable risk benefit for the product.</t>
  </si>
  <si>
    <t>Pneumothorax</t>
  </si>
  <si>
    <t>A Risk Review was completed and confirmed that the event of Pneumothorax was defined in the risk documentation. This event type has been accounted for during product risk analysis to support acceptable risk benefit for the product.</t>
  </si>
  <si>
    <t>F1908: Prolonged surgery</t>
  </si>
  <si>
    <t>A Risk Review was completed and confirmed that the event of Prolonged surgery was defined in the risk documentation. This event type has been accounted for during product risk analysis to support acceptable risk benefit for the product.</t>
  </si>
  <si>
    <t>F2304: Prophylactic Treatment</t>
  </si>
  <si>
    <t>A Risk Review was completed and confirmed that the event of Prophylactic Treatment was defined in the risk documentation. This event type has been accounted for during product risk analysis to support acceptable risk benefit for the product.</t>
  </si>
  <si>
    <t>F2306: Resuscitation</t>
  </si>
  <si>
    <t>A Risk Review was completed and confirmed that the event of Resuscitation was defined in the risk documentation. This event type has been accounted for during product risk analysis to support acceptable risk benefit for the product.</t>
  </si>
  <si>
    <t>Rhythm Acceleration</t>
  </si>
  <si>
    <t>A Risk Review was completed and confirmed that the event of Rhythm Acceleration was defined in the risk documentation. This event type has been accounted for during product risk analysis to support acceptable risk benefit for the product.</t>
  </si>
  <si>
    <t>Scar Tissue (Cicatrix)</t>
  </si>
  <si>
    <t>A Risk Review was completed and confirmed that the event of Scar Tissue (Cicatrix) was defined in the risk documentation. This event type has been accounted for during product risk analysis to support acceptable risk benefit for the product.</t>
  </si>
  <si>
    <t>Shock Impedance High Out Of Range</t>
  </si>
  <si>
    <t>A Risk Review was completed and confirmed that the event of Shock Impedance High Out Of Range was defined in the risk documentation. This event type has been accounted for during product risk analysis to support acceptable risk benefit for the product.</t>
  </si>
  <si>
    <t>Shock Impedance High</t>
  </si>
  <si>
    <t>A Risk Review was completed and confirmed that the event of Shock Impedance High was defined in the risk documentation. This event type has been accounted for during product risk analysis to support acceptable risk benefit for the product.</t>
  </si>
  <si>
    <t>Shock Impedance High Within Normal Limits</t>
  </si>
  <si>
    <t>A Risk Review was completed and confirmed that the event of Shock Impedance High Within Normal Limits was defined in the risk documentation. This event type has been accounted for during product risk analysis to support acceptable risk benefit for the product.</t>
  </si>
  <si>
    <t>Shock Impedance Low Out Of Range</t>
  </si>
  <si>
    <t>A Risk Review was completed and confirmed that the event of Shock Impedance Low Out Of Range was defined in the risk documentation. This event type has been accounted for during product risk analysis to support acceptable risk benefit for the product.</t>
  </si>
  <si>
    <t>Shock Impedance Low</t>
  </si>
  <si>
    <t>A Risk Review was completed and confirmed that the event of Shock Impedance Low was defined in the risk documentation. This event type has been accounted for during product risk analysis to support acceptable risk benefit for the product.</t>
  </si>
  <si>
    <t>Shock Impedance Low Within Normal Limits</t>
  </si>
  <si>
    <t>A Risk Review was completed and confirmed that the event of Shock Impedance Low Within Normal Limits was defined in the risk documentation. This event type has been accounted for during product risk analysis to support acceptable risk benefit for the product.</t>
  </si>
  <si>
    <t>Surgery</t>
  </si>
  <si>
    <t>A Risk Review was completed and confirmed that the event of Surgery was defined in the risk documentation. This event type has been accounted for during product risk analysis to support acceptable risk benefit for the product.</t>
  </si>
  <si>
    <t>F19: Surgical Intervention</t>
  </si>
  <si>
    <t>A Risk Review was completed and confirmed that the event of Surgical Intervention was defined in the risk documentation. This event type has been accounted for during product risk analysis to support acceptable risk benefit for the product.</t>
  </si>
  <si>
    <t>F1909: Surgical Procedure Delayed</t>
  </si>
  <si>
    <t>A Risk Review was completed and confirmed that the event of Surgical Procedure Delayed was defined in the risk documentation. This event type has been accounted for during product risk analysis to support acceptable risk benefit for the product.</t>
  </si>
  <si>
    <t>Swelling</t>
  </si>
  <si>
    <t>A Risk Review was completed and confirmed that the event of Swelling was defined in the risk documentation. This event type has been accounted for during product risk analysis to support acceptable risk benefit for the product.</t>
  </si>
  <si>
    <t>Syncope</t>
  </si>
  <si>
    <t>A Risk Review was completed and confirmed that the event of Syncope was defined in the risk documentation. This event type has been accounted for during product risk analysis to support acceptable risk benefit for the product.</t>
  </si>
  <si>
    <t>System To Patient Interface Issue</t>
  </si>
  <si>
    <t>A Risk Review was completed and confirmed that the event of System To Patient Interface Issue was defined in the risk documentation. This event type has been accounted for during product risk analysis to support acceptable risk benefit for the product.</t>
  </si>
  <si>
    <t>Therapy Delivery/Effectiveness Problem</t>
  </si>
  <si>
    <t>A Risk Review was completed and confirmed that the event of Therapy Delivery/Effectiveness Problem was defined in the risk documentation. This event type has been accounted for during product risk analysis to support acceptable risk benefit for the product.</t>
  </si>
  <si>
    <t>Therapy Induced Arrhythmia</t>
  </si>
  <si>
    <t>A Risk Review was completed and confirmed that the event of Therapy Induced Arrhythmia was defined in the risk documentation. This event type has been accounted for during product risk analysis to support acceptable risk benefit for the product.</t>
  </si>
  <si>
    <t>Twiddlers Syndrome</t>
  </si>
  <si>
    <t>A Risk Review was completed and confirmed that the event of Twiddlers Syndrome was defined in the risk documentation. This event type has been accounted for during product risk analysis to support acceptable risk benefit for the product.</t>
  </si>
  <si>
    <t>Undersensing</t>
  </si>
  <si>
    <t>A Risk Review was completed and confirmed that the event of Undersensing was defined in the risk documentation. This event type has been accounted for during product risk analysis to support acceptable risk benefit for the product.</t>
  </si>
  <si>
    <t>Ventricular Fibrillation</t>
  </si>
  <si>
    <t>A Risk Review was completed and confirmed that the event of Ventricular Fibrillation was defined in the risk documentation. This event type has been accounted for during product risk analysis to support acceptable risk benefit for the product.</t>
  </si>
  <si>
    <t>Ventricular Tachycardia</t>
  </si>
  <si>
    <t>A Risk Review was completed and confirmed that the event of Ventricular Tachycardia was defined in the risk documentation. This event type has been accounted for during product risk analysis to support acceptable risk benefit for the product.</t>
  </si>
  <si>
    <t>Product Returned For Unknown Reason</t>
  </si>
  <si>
    <t>A Risk Review was completed and the event of Product Returned For Unknown Reason is a non-hazard/non-harm that is not required to be present in the risk documentation. This event type has no impact on the risk benefit for the product (risk remains acceptable).</t>
  </si>
  <si>
    <t>Emblem S-ICD</t>
  </si>
  <si>
    <t>Additional Intervention Required</t>
  </si>
  <si>
    <t>1101174RMP Hazard Analysis Report - S-ICD Gen2</t>
  </si>
  <si>
    <t>A Risk Review was completed and confirmed that the event of Additional Intervention Required was defined in the risk documentation. This event type has been accounted for during product risk analysis to support acceptable risk benefit for the product.</t>
  </si>
  <si>
    <t>Air Bubble Noise Or Oversensing</t>
  </si>
  <si>
    <t>A Risk Review was completed and confirmed that the event of Air Bubble Noise Or Oversensing was defined in the risk documentation. This event type has been accounted for during product risk analysis to support acceptable risk benefit for the product.</t>
  </si>
  <si>
    <t>F1902: Amputation</t>
  </si>
  <si>
    <t>A Risk Review was completed and confirmed that the event of Amputation was defined in the risk documentation. This event type has been accounted for during product risk analysis to support acceptable risk benefit for the product.</t>
  </si>
  <si>
    <t>Arrhythmia</t>
  </si>
  <si>
    <t>A Risk Review was completed and confirmed that the event of Arrhythmia was defined in the risk documentation. This event type has been accounted for during product risk analysis to support acceptable risk benefit for the product.</t>
  </si>
  <si>
    <t>Atrial Flutter</t>
  </si>
  <si>
    <t>A Risk Review was completed and confirmed that the event of Atrial Flutter was defined in the risk documentation. This event type has been accounted for during product risk analysis to support acceptable risk benefit for the product.</t>
  </si>
  <si>
    <t>Brady Pacing Delivered When Not Required</t>
  </si>
  <si>
    <t>A Risk Review was completed and confirmed that the event of Brady Pacing Delivered When Not Required was defined in the risk documentation. This event type has been accounted for during product risk analysis to support acceptable risk benefit for the product.</t>
  </si>
  <si>
    <t>Brady Pacing Not Delivered When Required</t>
  </si>
  <si>
    <t>A Risk Review was completed and confirmed that the event of Brady Pacing Not Delivered When Required was defined in the risk documentation. This event type has been accounted for during product risk analysis to support acceptable risk benefit for the product.</t>
  </si>
  <si>
    <t>F03: Brain Death</t>
  </si>
  <si>
    <t>A Risk Review was completed and confirmed that the event of Brain Death was defined in the risk documentation. This event type has been accounted for during product risk analysis to support acceptable risk benefit for the product.</t>
  </si>
  <si>
    <t>Communication - RF Interference</t>
  </si>
  <si>
    <t>A Risk Review was completed and confirmed that the event of Communication - RF Interference was defined in the risk documentation. This event type has been accounted for during product risk analysis to support acceptable risk benefit for the product.</t>
  </si>
  <si>
    <t>Communication Or Transmission Issue</t>
  </si>
  <si>
    <t>A Risk Review was completed and confirmed that the event of Communication Or Transmission Issue was defined in the risk documentation. This event type has been accounted for during product risk analysis to support acceptable risk benefit for the product.</t>
  </si>
  <si>
    <t>Complete Heart Block</t>
  </si>
  <si>
    <t>A Risk Review was completed and confirmed that the event of Complete Heart Block was defined in the risk documentation. This event type has been accounted for during product risk analysis to support acceptable risk benefit for the product.</t>
  </si>
  <si>
    <t>Data Issue</t>
  </si>
  <si>
    <t>A Risk Review was completed and confirmed that the event of Data Issue was defined in the risk documentation. This event type has been accounted for during product risk analysis to support acceptable risk benefit for the product.</t>
  </si>
  <si>
    <t>Death</t>
  </si>
  <si>
    <t>Delayed Charge Time</t>
  </si>
  <si>
    <t>A Risk Review was completed and confirmed that the event of Delayed Charge Time was defined in the risk documentation. This event type has been accounted for during product risk analysis to support acceptable risk benefit for the product.</t>
  </si>
  <si>
    <t>Device Sensing Issue</t>
  </si>
  <si>
    <t>A Risk Review was completed and confirmed that the event of Device Sensing Issue was defined in the risk documentation. This event type has been accounted for during product risk analysis to support acceptable risk benefit for the product.</t>
  </si>
  <si>
    <t>Difficult To Induce An Arrhythmia During Induction/DFT Testing.</t>
  </si>
  <si>
    <t>A Risk Review was completed and confirmed that the event of Difficult To Induce An Arrhythmia During Induction/DFT Testing. was defined in the risk documentation. This event type has been accounted for during product risk analysis to support acceptable risk benefit for the product.</t>
  </si>
  <si>
    <t>Difficult To Interrogate/Telemetry (RF)</t>
  </si>
  <si>
    <t>A Risk Review was completed and confirmed that the event of Difficult To Interrogate/Telemetry (RF) was defined in the risk documentation. This event type has been accounted for during product risk analysis to support acceptable risk benefit for the product.</t>
  </si>
  <si>
    <t>Difficult To Interrogate/Telemetry (Wand)</t>
  </si>
  <si>
    <t>A Risk Review was completed and confirmed that the event of Difficult To Interrogate/Telemetry (Wand) was defined in the risk documentation. This event type has been accounted for during product risk analysis to support acceptable risk benefit for the product.</t>
  </si>
  <si>
    <t>F1202: Disability</t>
  </si>
  <si>
    <t>A Risk Review was completed and confirmed that the event of Disability was defined in the risk documentation. This event type has been accounted for during product risk analysis to support acceptable risk benefit for the product.</t>
  </si>
  <si>
    <t>Dyspnea</t>
  </si>
  <si>
    <t>A Risk Review was completed and confirmed that the event of Dyspnea was defined in the risk documentation. This event type has been accounted for during product risk analysis to support acceptable risk benefit for the product.</t>
  </si>
  <si>
    <t>EGM Issue</t>
  </si>
  <si>
    <t>A Risk Review was completed and confirmed that the event of EGM Issue was defined in the risk documentation. This event type has been accounted for during product risk analysis to support acceptable risk benefit for the product.</t>
  </si>
  <si>
    <t>Emotional Reactivity</t>
  </si>
  <si>
    <t>A Risk Review was completed and confirmed that the event of Emotional Reactivity was defined in the risk documentation. This event type has been accounted for during product risk analysis to support acceptable risk benefit for the product.</t>
  </si>
  <si>
    <t>Failure To Charge</t>
  </si>
  <si>
    <t>A Risk Review was completed and confirmed that the event of Failure To Charge was defined in the risk documentation. This event type has been accounted for during product risk analysis to support acceptable risk benefit for the product.</t>
  </si>
  <si>
    <t>Failure To Sense</t>
  </si>
  <si>
    <t>A Risk Review was completed and confirmed that the event of Failure To Sense was defined in the risk documentation. This event type has been accounted for during product risk analysis to support acceptable risk benefit for the product.</t>
  </si>
  <si>
    <t>Feature Unavailable Or Intermittent</t>
  </si>
  <si>
    <t>A Risk Review was completed and confirmed that the event of Feature Unavailable Or Intermittent was defined in the risk documentation. This event type has been accounted for during product risk analysis to support acceptable risk benefit for the product.</t>
  </si>
  <si>
    <t>Gas Gauge/Longevity Not As Expected</t>
  </si>
  <si>
    <t>A Risk Review was completed and confirmed that the event of Gas Gauge/Longevity Not As Expected was defined in the risk documentation. This event type has been accounted for during product risk analysis to support acceptable risk benefit for the product.</t>
  </si>
  <si>
    <t>Head Injury</t>
  </si>
  <si>
    <t>A Risk Review was completed and confirmed that the event of Head Injury was defined in the risk documentation. This event type has been accounted for during product risk analysis to support acceptable risk benefit for the product.</t>
  </si>
  <si>
    <t>Heart Block</t>
  </si>
  <si>
    <t>A Risk Review was completed and confirmed that the event of Heart Block was defined in the risk documentation. This event type has been accounted for during product risk analysis to support acceptable risk benefit for the product.</t>
  </si>
  <si>
    <t>Idioventricular Rhythm</t>
  </si>
  <si>
    <t>A Risk Review was completed and confirmed that the event of Idioventricular Rhythm was defined in the risk documentation. This event type has been accounted for during product risk analysis to support acceptable risk benefit for the product.</t>
  </si>
  <si>
    <t>Improper Or Incorrect Procedure Or Method</t>
  </si>
  <si>
    <t>A Risk Review was completed and confirmed that the event of Improper Or Incorrect Procedure Or Method was defined in the risk documentation. This event type has been accounted for during product risk analysis to support acceptable risk benefit for the product.</t>
  </si>
  <si>
    <t>Inappropriate Or Unexpected Reset</t>
  </si>
  <si>
    <t>A Risk Review was completed and confirmed that the event of Inappropriate Or Unexpected Reset was defined in the risk documentation. This event type has been accounted for during product risk analysis to support acceptable risk benefit for the product.</t>
  </si>
  <si>
    <t>Infection, Staphylococcus Aureus</t>
  </si>
  <si>
    <t>A Risk Review was completed and confirmed that the event of Infection, Staphylococcus Aureus was defined in the risk documentation. This event type has been accounted for during product risk analysis to support acceptable risk benefit for the product.</t>
  </si>
  <si>
    <t>Interpretation Of Device Behavior Indicates Performance Anomaly</t>
  </si>
  <si>
    <t>A Risk Review was completed and confirmed that the event of Interpretation Of Device Behavior Indicates Performance Anomaly was defined in the risk documentation. This event type has been accounted for during product risk analysis to support acceptable risk benefit for the product.</t>
  </si>
  <si>
    <t>F0201: Intrauterine Fetal Death</t>
  </si>
  <si>
    <t>A Risk Review was completed and confirmed that the event of Intrauterine Fetal Death was defined in the risk documentation. This event type has been accounted for during product risk analysis to support acceptable risk benefit for the product.</t>
  </si>
  <si>
    <t>No Tones When Expected</t>
  </si>
  <si>
    <t>A Risk Review was completed and confirmed that the event of No Tones When Expected was defined in the risk documentation. This event type has been accounted for during product risk analysis to support acceptable risk benefit for the product.</t>
  </si>
  <si>
    <t>Pacing Impedance Low</t>
  </si>
  <si>
    <t>A Risk Review was completed and confirmed that the event of Pacing Impedance Low was defined in the risk documentation. This event type has been accounted for during product risk analysis to support acceptable risk benefit for the product.</t>
  </si>
  <si>
    <t>Pacing Impedance Low Within Normal Limits</t>
  </si>
  <si>
    <t>A Risk Review was completed and confirmed that the event of Pacing Impedance Low Within Normal Limits was defined in the risk documentation. This event type has been accounted for during product risk analysis to support acceptable risk benefit for the product.</t>
  </si>
  <si>
    <t>Palpitations</t>
  </si>
  <si>
    <t>A Risk Review was completed and confirmed that the event of Palpitations was defined in the risk documentation. This event type has been accounted for during product risk analysis to support acceptable risk benefit for the product.</t>
  </si>
  <si>
    <t>Pneumonia</t>
  </si>
  <si>
    <t>A Risk Review was completed and confirmed that the event of Pneumonia was defined in the risk documentation. This event type has been accounted for during product risk analysis to support acceptable risk benefit for the product.</t>
  </si>
  <si>
    <t>Premature Discharge Of Battery</t>
  </si>
  <si>
    <t>A Risk Review was completed and confirmed that the event of Premature Discharge Of Battery was defined in the risk documentation. This event type has been accounted for during product risk analysis to support acceptable risk benefit for the product.</t>
  </si>
  <si>
    <t>Programmed Parameters Different Than Expected</t>
  </si>
  <si>
    <t>A Risk Review was completed and confirmed that the event of Programmed Parameters Different Than Expected was defined in the risk documentation. This event type has been accounted for during product risk analysis to support acceptable risk benefit for the product.</t>
  </si>
  <si>
    <t>F14: Prolonged Episode of Care</t>
  </si>
  <si>
    <t>A Risk Review was completed and confirmed that the event of Prolonged Episode of Care was defined in the risk documentation. This event type has been accounted for during product risk analysis to support acceptable risk benefit for the product.</t>
  </si>
  <si>
    <t>Prolonged Procedure</t>
  </si>
  <si>
    <t>A Risk Review was completed and confirmed that the event of Prolonged Procedure was defined in the risk documentation. This event type has been accounted for during product risk analysis to support acceptable risk benefit for the product.</t>
  </si>
  <si>
    <t>F2305: Radiation Therapy</t>
  </si>
  <si>
    <t>A Risk Review was completed and confirmed that the event of Radiation Therapy was defined in the risk documentation. This event type has been accounted for during product risk analysis to support acceptable risk benefit for the product.</t>
  </si>
  <si>
    <t>F17: Sedation</t>
  </si>
  <si>
    <t>A Risk Review was completed and confirmed that the event of Sedation was defined in the risk documentation. This event type has been accounted for during product risk analysis to support acceptable risk benefit for the product.</t>
  </si>
  <si>
    <t>Sense B Artifact Noise</t>
  </si>
  <si>
    <t>A Risk Review was completed and confirmed that the event of Sense B Artifact Noise was defined in the risk documentation. This event type has been accounted for during product risk analysis to support acceptable risk benefit for the product.</t>
  </si>
  <si>
    <t>Sepsis</t>
  </si>
  <si>
    <t>A Risk Review was completed and confirmed that the event of Sepsis was defined in the risk documentation. This event type has been accounted for during product risk analysis to support acceptable risk benefit for the product.</t>
  </si>
  <si>
    <t>Shelf Life Exceeded</t>
  </si>
  <si>
    <t>A Risk Review was completed and confirmed that the event of Shelf Life Exceeded was defined in the risk documentation. This event type has been accounted for during product risk analysis to support acceptable risk benefit for the product.</t>
  </si>
  <si>
    <t>101: Suicide</t>
  </si>
  <si>
    <t>A Risk Review was completed and confirmed that the event of Suicide was defined in the risk documentation. This event type has been accounted for during product risk analysis to support acceptable risk benefit for the product.</t>
  </si>
  <si>
    <t>Tone Pattern As Expected</t>
  </si>
  <si>
    <t>A Risk Review was completed and confirmed that the event of Tone Pattern As Expected was defined in the risk documentation. This event type has been accounted for during product risk analysis to support acceptable risk benefit for the product.</t>
  </si>
  <si>
    <t>Tone Pattern Not As Expected</t>
  </si>
  <si>
    <t>A Risk Review was completed and confirmed that the event of Tone Pattern Not As Expected was defined in the risk documentation. This event type has been accounted for during product risk analysis to support acceptable risk benefit for the product.</t>
  </si>
  <si>
    <t>F23: Unexpected Medical Intervention</t>
  </si>
  <si>
    <t>A Risk Review was completed and confirmed that the event of Unexpected Medical Intervention was defined in the risk documentation. This event type has been accounted for during product risk analysis to support acceptable risk benefit for the product.</t>
  </si>
  <si>
    <t>Use Of Device Issue - User Error</t>
  </si>
  <si>
    <t>A Risk Review was completed and confirmed that the event of Use Of Device Issue - User Error was defined in the risk documentation. This event type has been accounted for during product risk analysis to support acceptable risk benefit for the product.</t>
  </si>
  <si>
    <t>User Used Incorrect Product For Intended Use</t>
  </si>
  <si>
    <t>A Risk Review was completed and confirmed that the event of User Used Incorrect Product For Intended Use was defined in the risk documentation. This event type has been accounted for during product risk analysis to support acceptable risk benefit for the product.</t>
  </si>
  <si>
    <t>170974-203 HAZ ANAL LD EMBLEM ELECTRODE 3501</t>
  </si>
  <si>
    <t>Subcutaneous defib electrode</t>
  </si>
  <si>
    <t>Subcutaneous ICD</t>
  </si>
  <si>
    <t>1103048 SQ-RX Gen1 Hazard Analysis</t>
  </si>
  <si>
    <t>Atrial Tachycardia</t>
  </si>
  <si>
    <t>A Risk Review was completed and confirmed that the event of Atrial Tachycardia was defined in the risk documentation. This event type has been accounted for during product risk analysis to support acceptable risk benefit for the product.</t>
  </si>
  <si>
    <t>Cerebral Vascular Accident (CVA)</t>
  </si>
  <si>
    <t>A Risk Review was completed and confirmed that the event of Cerebral Vascular Accident (CVA) was defined in the risk documentation. This event type has been accounted for during product risk analysis to support acceptable risk benefit for the product.</t>
  </si>
  <si>
    <t>Ischemic Heart Disease</t>
  </si>
  <si>
    <t>A Risk Review was completed and confirmed that the event of Ischemic Heart Disease was defined in the risk documentation. This event type has been accounted for during product risk analysis to support acceptable risk benefit for the product.</t>
  </si>
  <si>
    <t>Subcutaneous ICD Accessory &gt; EDS</t>
  </si>
  <si>
    <t>180810-203 HAZ ANAL SICD ELECT DEL SYS EDS 4712</t>
  </si>
  <si>
    <t>Subcutaneous ICD Accessory &gt; EIT</t>
  </si>
  <si>
    <t>Status</t>
  </si>
  <si>
    <t>Division</t>
  </si>
  <si>
    <t>Product Family List</t>
  </si>
  <si>
    <t>As Trended Code</t>
  </si>
  <si>
    <t>Inclusion Criteria</t>
  </si>
  <si>
    <t>Vintage AT Code</t>
  </si>
  <si>
    <t>Revision</t>
  </si>
  <si>
    <t>Active</t>
  </si>
  <si>
    <t>Rhythm Management</t>
  </si>
  <si>
    <t>COMP</t>
  </si>
  <si>
    <t>Component (lab confirmed) (review for more specific codes first)</t>
  </si>
  <si>
    <t>A</t>
  </si>
  <si>
    <t>COMP_ACCELEROMETER</t>
  </si>
  <si>
    <t>Accelerometer issues (lab confirmed)</t>
  </si>
  <si>
    <t>COMP--ACCELEROMETER</t>
  </si>
  <si>
    <t>B</t>
  </si>
  <si>
    <t>COMP_ARCING</t>
  </si>
  <si>
    <t>Arcing inside PG (lab confirmed)</t>
  </si>
  <si>
    <t>COMP--ARCING</t>
  </si>
  <si>
    <t>COMP_ASIC/ANALOG</t>
  </si>
  <si>
    <t>Issues with analog ASIC/MMIC chips in the PG. (lab confirmed) when a more granular code cannot be applied</t>
  </si>
  <si>
    <t>COMP--ASIC/ANALOG</t>
  </si>
  <si>
    <t>COMP_ASIC/DIGITAL</t>
  </si>
  <si>
    <t>Issues with digital ASIC/MMIC chips in the PG. (lab confirmed)</t>
  </si>
  <si>
    <t>COMP--ASIC/DIGITAL</t>
  </si>
  <si>
    <t>COMP_BEEPER</t>
  </si>
  <si>
    <t>Allegations where the beeper component is damaged. (lab confirmed)</t>
  </si>
  <si>
    <t>COMP--BEEPER</t>
  </si>
  <si>
    <t>COMP_CAP/HV</t>
  </si>
  <si>
    <t>High voltage capacitors issues (lab confirmed)</t>
  </si>
  <si>
    <t>COMP--CAP/HV</t>
  </si>
  <si>
    <t>C</t>
  </si>
  <si>
    <t>COMP_CAP/LV/CER</t>
  </si>
  <si>
    <t>Use for low voltage ceramic capacitors (lab confirmed)</t>
  </si>
  <si>
    <t>COMP--CAP/LV/CER</t>
  </si>
  <si>
    <t>COMP_DUMP RESISTOR</t>
  </si>
  <si>
    <t>Dump Resistor (lab confirmed)</t>
  </si>
  <si>
    <t>COMP_FEEDTHRU WIRE</t>
  </si>
  <si>
    <t>Feedthrough wire issues (lab confirmed)</t>
  </si>
  <si>
    <t>COMP--FEEDTHRU WIRE</t>
  </si>
  <si>
    <t>COMP_REED SWITCH</t>
  </si>
  <si>
    <t>Lab/Memory dump confirmed stuck reed switch</t>
  </si>
  <si>
    <t>COMP--REED SWITCH</t>
  </si>
  <si>
    <t>COMP_REGISTER</t>
  </si>
  <si>
    <t>Issues with hardware registers in device memory (lab confirmed)</t>
  </si>
  <si>
    <t>COMP--REGISTER</t>
  </si>
  <si>
    <t>COMP_RESISTOR</t>
  </si>
  <si>
    <t>Resistor issues (lab confirmed)</t>
  </si>
  <si>
    <t>COMP--RESISTOR</t>
  </si>
  <si>
    <t>COMP_SOLDER</t>
  </si>
  <si>
    <t>Solder issues within the device. (lab confirmed)</t>
  </si>
  <si>
    <t>COMP--SOLDER</t>
  </si>
  <si>
    <t>COMP_TRANSFORMER</t>
  </si>
  <si>
    <t>Transformer issues (lab confirmed)</t>
  </si>
  <si>
    <t>COMP--TRANSFORMER</t>
  </si>
  <si>
    <t>CORR/RESET</t>
  </si>
  <si>
    <t>Corruptions/Reset not covered by more granular CORR/RESET AT code</t>
  </si>
  <si>
    <t>CORR/RESET_HDW</t>
  </si>
  <si>
    <t>Lab confirmed corruptions/resets caused by a hardware problem</t>
  </si>
  <si>
    <t>CORR/RESET--HDW</t>
  </si>
  <si>
    <t>CORR/RESET_RDA/MEM</t>
  </si>
  <si>
    <t>Corruptions/Reset confirmed by the via Memory Analysis that aren't covered by more specific AT code.  Memory analysis can refer to either PG memory dump data or Latitude data.</t>
  </si>
  <si>
    <t>CORR/RESET--RDA/MEM</t>
  </si>
  <si>
    <t>CORR/RESET_SEU</t>
  </si>
  <si>
    <t>Lab/memory dump confirmed single/multi bit upsets</t>
  </si>
  <si>
    <t>CORR/RESET--SEU</t>
  </si>
  <si>
    <t>CORR/RESET_WATCHDOG</t>
  </si>
  <si>
    <t>Lab/memory dump confirmed Watchdog timer resets</t>
  </si>
  <si>
    <t>CORR/RESET--WATCHDOG</t>
  </si>
  <si>
    <t>DEPL_PBD</t>
  </si>
  <si>
    <t>Use for: Explicit allegation of premature depletion, high power consumption allegations, statements about unexpected longevity decreases</t>
  </si>
  <si>
    <t>DEPL--PBD</t>
  </si>
  <si>
    <t>J</t>
  </si>
  <si>
    <t>GG/LONGEV_EVAL</t>
  </si>
  <si>
    <t>Use for: Calls questioning if longevity is correct, Asking to confirm the longevity, Requests to update longevity estimate, Questions about the gas gauge</t>
  </si>
  <si>
    <t>LABEL</t>
  </si>
  <si>
    <t>SS</t>
  </si>
  <si>
    <t>Use for general or vague setscrew complaints when a more granular setscrew code cannot be applied (don't apply for cases attributed to user error)</t>
  </si>
  <si>
    <t>WARN</t>
  </si>
  <si>
    <t>Error messages that don't include red/yellow alerts (that don't fit somewhere else or specific error code is unknown)</t>
  </si>
  <si>
    <t>BENT</t>
  </si>
  <si>
    <t>Any bent or kinked complaints where location is not specified</t>
  </si>
  <si>
    <t>CONN</t>
  </si>
  <si>
    <t>Unspecified or other connection issue to PG header</t>
  </si>
  <si>
    <t>DMG</t>
  </si>
  <si>
    <t>Non-specific physical damage (review more specific DMG codes first)</t>
  </si>
  <si>
    <t>FX</t>
  </si>
  <si>
    <t>Fracture of lead conductor (review more specific FX codes first)</t>
  </si>
  <si>
    <t>Any labeling issue</t>
  </si>
  <si>
    <t>PERF</t>
  </si>
  <si>
    <t>Perforations</t>
  </si>
  <si>
    <t>PLACE</t>
  </si>
  <si>
    <t>Placement difficulty</t>
  </si>
  <si>
    <t>SUTSL</t>
  </si>
  <si>
    <t>Complaint regarding suture sleeve (review more specific codes if possible)</t>
  </si>
  <si>
    <t>GG/LONGEV--EVAL</t>
  </si>
  <si>
    <t>A Product Advisory communication was delivered to physicians in October 2022 regarding a subset of EMBLEM S-ICD devices that exhibited inaccurate battery status at implant and displays inaccurate battery status while implanted.</t>
  </si>
  <si>
    <t>92346911-002</t>
  </si>
  <si>
    <t>Work Instructions</t>
  </si>
  <si>
    <t>SFMD</t>
  </si>
  <si>
    <t>DOCs QA# 100000010647</t>
  </si>
  <si>
    <t>Germany Risk Review statement for 2233 code successfully created.</t>
  </si>
  <si>
    <t>S-ICD_Electrode</t>
  </si>
  <si>
    <t>92346951-002</t>
  </si>
  <si>
    <t>SFMD CIS Complaints</t>
  </si>
  <si>
    <t>S-ICD 1010</t>
  </si>
  <si>
    <t>Device was manufactured previous to Cameron Health adquisition</t>
  </si>
  <si>
    <t>_BD error displayed_Beeping tones_Device included in advisoryPBD Alleg_No TSR_Device EXPL and REPL_Device at ERI_Device at EOL_Power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t>
  </si>
  <si>
    <t>102098-212</t>
  </si>
  <si>
    <t>General Action WI</t>
  </si>
  <si>
    <t>No Serial Number</t>
  </si>
  <si>
    <t>Device unable to find in MES/MATT system</t>
  </si>
  <si>
    <t>Subcutaneous Electrode</t>
  </si>
  <si>
    <t>Coding complaints in GCMS</t>
  </si>
  <si>
    <t>SFMD/GA</t>
  </si>
  <si>
    <t>DOCs QA# 100000010647/See GA</t>
  </si>
  <si>
    <t>Q-TRAK Electrode</t>
  </si>
  <si>
    <t>As Reported - Device Codes</t>
  </si>
  <si>
    <t>SFMD/Summary</t>
  </si>
  <si>
    <t>DOCs QA# 100000010647/See summary</t>
  </si>
  <si>
    <t>No Consequence or Impact to Patient</t>
  </si>
  <si>
    <t>SFMD/Summary/GA</t>
  </si>
  <si>
    <t>DOCs QA# 100000010647/See summary/GA</t>
  </si>
  <si>
    <t>Tachy Leads Monitored in Aggregate PIP</t>
  </si>
  <si>
    <t>Germany Statement for GA</t>
  </si>
  <si>
    <t>Germany Risk Review statement for  code successfully created. RAN</t>
  </si>
  <si>
    <t>Not Attributable To Product Performance PIP</t>
  </si>
  <si>
    <t>Unknown RM Device PIP</t>
  </si>
  <si>
    <t>Risk Review KSD</t>
  </si>
  <si>
    <t>AR-As Trended codes</t>
  </si>
  <si>
    <t>AR-Impact Codes</t>
  </si>
  <si>
    <t>AR-Patient code</t>
  </si>
  <si>
    <t>Cause Not Established</t>
  </si>
  <si>
    <t>No Problem Detected</t>
  </si>
  <si>
    <t>Known Inherent Risk</t>
  </si>
  <si>
    <t>Cause Traced To Device Design</t>
  </si>
  <si>
    <t>Adverse Event Related to Patient Condition</t>
  </si>
  <si>
    <t>O</t>
  </si>
  <si>
    <t>SEVERITY 4</t>
  </si>
  <si>
    <t xml:space="preserve">Used to flag severity 4 harm events for ESE Monitoring </t>
  </si>
  <si>
    <t>SEVERITY 5</t>
  </si>
  <si>
    <t xml:space="preserve">Used to flag severity 5 harm events for ESE Monitoring </t>
  </si>
  <si>
    <t>Auto-PIP</t>
  </si>
  <si>
    <t>DEPL_UNKN PBD</t>
  </si>
  <si>
    <t>This code is only for Lab-analyzed devices coded for PBD with unknown cause, for other premature battery depletion use PBD. If RDA confirmed high VCC current, note high VCC current in AT comments</t>
  </si>
  <si>
    <t>DEPL--UNKN PBD</t>
  </si>
  <si>
    <t>EGM_MISA</t>
  </si>
  <si>
    <t>Misaligned markers on EGM</t>
  </si>
  <si>
    <t>EGM--MISA</t>
  </si>
  <si>
    <t>HDR_DMG</t>
  </si>
  <si>
    <t>Any allegation of PG header damage</t>
  </si>
  <si>
    <t>HDR--DMG</t>
  </si>
  <si>
    <t>Any allegation regarding physical labeling included with device (e.g. issue with labeling on packaging)</t>
  </si>
  <si>
    <t>LIT</t>
  </si>
  <si>
    <t>Any allegation regarding literature (e.g. Instructions for Use or Reference Guide)</t>
  </si>
  <si>
    <t>PG_COLD</t>
  </si>
  <si>
    <t>Generally for use associated with observations about the PG monitoring voltage being low due the the device being in a cold environment.</t>
  </si>
  <si>
    <t>PG--COLD</t>
  </si>
  <si>
    <t>POST_CA</t>
  </si>
  <si>
    <t>Designates a device as Post corrective action  for ESE Monitoring</t>
  </si>
  <si>
    <t>PROG_SP/DISABLE</t>
  </si>
  <si>
    <t>Disabling of SmartPass due to induction, MRI mode, All Vector Capture or PVCs.</t>
  </si>
  <si>
    <t>PROG--SP/DISABLE</t>
  </si>
  <si>
    <t>It was reported that this subcutaneous implantable cardioverter defibrillator (S-ICD) displayed a premature battery depletion error and exhibited noise in Secondary and Alternate vectors. The presenting subcutaneous electrocardiogram (SECG) revealed suboptimal R wave amplitude in those vectors. Imaging x rays revealed appropriate electrode position however revealed an acute bend near the device around the can. Technical Services (TS) discussed this was a possible pocket fracture however no confirmation at this time. The field representative discussed with the physician to consider a new electrode at the time of device changeout. At this time, the electrode remains in service. No adverse patient effects were reported.</t>
  </si>
  <si>
    <t>359468-003</t>
  </si>
  <si>
    <t>PROG_SP/PTCOND</t>
  </si>
  <si>
    <t>Disabling of SmartPass due to intrinsic low amplitudes</t>
  </si>
  <si>
    <t>PROG--SP/PTCOND</t>
  </si>
  <si>
    <t>RF_EXT SESSION</t>
  </si>
  <si>
    <t>Issues with longer than expected telemetry sessions between PG and Latitude Communicator</t>
  </si>
  <si>
    <t>RF--EXT SESSION</t>
  </si>
  <si>
    <t>SLPLG</t>
  </si>
  <si>
    <t>Any seal plug issue not covered by a more specific SLPLG AT code</t>
  </si>
  <si>
    <t>WARN_FC</t>
  </si>
  <si>
    <t>Allegations of fault codes excluding FC1003 (write specific fault code #, if known, in the AT comments)</t>
  </si>
  <si>
    <t>WARN--FC</t>
  </si>
  <si>
    <t>WARN_FCBD</t>
  </si>
  <si>
    <t>S-ICD Fault Code for Battery Depletion</t>
  </si>
  <si>
    <t>WARN--FCBD</t>
  </si>
  <si>
    <t>WARN_FCDA</t>
  </si>
  <si>
    <t>S-ICD fault code for data anomaly (bit flip in the firmware operating code)</t>
  </si>
  <si>
    <t>WARN--FCDA</t>
  </si>
  <si>
    <t>WARN_FCPD</t>
  </si>
  <si>
    <t>S-ICD Fault Code for Patient Data</t>
  </si>
  <si>
    <t>WARN--FCPD</t>
  </si>
  <si>
    <t>A Risk Review was completed and confirmed that the event of Dislodged Or Dislocated was defined in the risk documentation. This event type has been accounted for during product risk analysis to support acceptable risk benefit for the product. Product risk benefit includes consideration of risk severity and rate, and the overall residual risk of the device is acceptable</t>
  </si>
  <si>
    <t>It was reported that, the patient with the subcutaneous implantable cardioverter defibrillator (S-ICD) system received five inappropriate shocks. Subsequently, the system was reprogrammed. This S-ICD remains in service. No additional adverse patient effects were reported.</t>
  </si>
  <si>
    <t>It was reported that this subcutaneous implantable cardioverter defibrillator (S-ICD) exhibited an error code. Subsequently, a revision procedure was performed and the S-ICD was explanted and replaced. No additional adverse patient effects were reported.</t>
  </si>
  <si>
    <t>It was reported that an alert was triggered due to a battery depletion error with it comes to this subcutaneous implantable cardioverter defibrillator (S-ICD). Technical Services (TS) confirmed that there was sufficient capacity to deliver six shocks with a charge time less then fifteen seconds if replaced within ninety days from November 2023. No adverse patient effects were reported. The device remains implanted.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</si>
</sst>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wrapText="1"/>
    </xf>
    <xf numFmtId="0" fontId="1" fillId="0" borderId="0" xfId="0" applyFont="1"/>
    <xf numFmtId="14" fontId="0" fillId="0" borderId="0" xfId="0" applyNumberFormat="1"/>
    <xf numFmtId="0" fontId="0" fillId="0" borderId="1" xfId="0" applyBorder="1"/>
    <xf numFmtId="0" fontId="0" fillId="0" borderId="0" xfId="0" applyNumberFormat="1"/>
    <xf numFmtId="164" fontId="0" fillId="0" borderId="0" xfId="0" applyNumberFormat="1"/>
  </cellXfs>
  <cellStyles count="1">
    <cellStyle name="Normal" xfId="0" builtinId="0"/>
  </cellStyles>
  <dxfs count="0"/>
  <tableStyles count="1" defaultTableStyle="TableStyleMedium2" defaultPivotStyle="PivotStyleLight16">
    <tableStyle name="Invisible" pivot="0" table="0" count="0" xr9:uid="{42CE4940-6E08-4480-9AA4-86CB8E21725A}"/>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161926</xdr:rowOff>
    </xdr:from>
    <xdr:to>
      <xdr:col>5</xdr:col>
      <xdr:colOff>600075</xdr:colOff>
      <xdr:row>4</xdr:row>
      <xdr:rowOff>85726</xdr:rowOff>
    </xdr:to>
    <xdr:grpSp>
      <xdr:nvGrpSpPr>
        <xdr:cNvPr id="8" name="Group 7">
          <a:extLst>
            <a:ext uri="{FF2B5EF4-FFF2-40B4-BE49-F238E27FC236}">
              <a16:creationId xmlns:a16="http://schemas.microsoft.com/office/drawing/2014/main" id="{BC98E8E4-F8AD-4A18-98A0-168CA66E55F6}"/>
            </a:ext>
          </a:extLst>
        </xdr:cNvPr>
        <xdr:cNvGrpSpPr/>
      </xdr:nvGrpSpPr>
      <xdr:grpSpPr>
        <a:xfrm>
          <a:off x="1219200" y="352426"/>
          <a:ext cx="2428875" cy="495300"/>
          <a:chOff x="1219200" y="352426"/>
          <a:chExt cx="2428875" cy="495300"/>
        </a:xfrm>
      </xdr:grpSpPr>
      <xdr:sp macro="[0]!CopyData" textlink="">
        <xdr:nvSpPr>
          <xdr:cNvPr id="2" name="Rectangle 1">
            <a:extLst>
              <a:ext uri="{FF2B5EF4-FFF2-40B4-BE49-F238E27FC236}">
                <a16:creationId xmlns:a16="http://schemas.microsoft.com/office/drawing/2014/main" id="{05618137-2F24-40E3-95C4-3F400A0361E8}"/>
              </a:ext>
            </a:extLst>
          </xdr:cNvPr>
          <xdr:cNvSpPr/>
        </xdr:nvSpPr>
        <xdr:spPr>
          <a:xfrm>
            <a:off x="1219200" y="390525"/>
            <a:ext cx="2428875" cy="381000"/>
          </a:xfrm>
          <a:prstGeom prst="rect">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800" b="1">
                <a:latin typeface="72 Black" panose="020B0A04030603020204" pitchFamily="34" charset="0"/>
                <a:cs typeface="72 Black" panose="020B0A04030603020204" pitchFamily="34" charset="0"/>
              </a:rPr>
              <a:t>Update</a:t>
            </a:r>
            <a:r>
              <a:rPr lang="en-US" sz="1800" b="1" baseline="0">
                <a:latin typeface="72 Black" panose="020B0A04030603020204" pitchFamily="34" charset="0"/>
                <a:cs typeface="72 Black" panose="020B0A04030603020204" pitchFamily="34" charset="0"/>
              </a:rPr>
              <a:t> Data</a:t>
            </a:r>
            <a:endParaRPr lang="en-US" sz="1800" b="1">
              <a:latin typeface="72 Black" panose="020B0A04030603020204" pitchFamily="34" charset="0"/>
              <a:cs typeface="72 Black" panose="020B0A04030603020204" pitchFamily="34" charset="0"/>
            </a:endParaRPr>
          </a:p>
        </xdr:txBody>
      </xdr:sp>
      <xdr:pic macro="[0]!CopyData">
        <xdr:nvPicPr>
          <xdr:cNvPr id="5" name="Graphic 4" descr="Broken Heart with solid fill">
            <a:extLst>
              <a:ext uri="{FF2B5EF4-FFF2-40B4-BE49-F238E27FC236}">
                <a16:creationId xmlns:a16="http://schemas.microsoft.com/office/drawing/2014/main" id="{99503247-5016-4156-842A-771593E1C1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66851" y="352426"/>
            <a:ext cx="495300" cy="495300"/>
          </a:xfrm>
          <a:prstGeom prst="rect">
            <a:avLst/>
          </a:prstGeom>
        </xdr:spPr>
      </xdr:pic>
      <xdr:pic macro="[0]!CopyData">
        <xdr:nvPicPr>
          <xdr:cNvPr id="7" name="Graphic 6" descr="Adhesive Bandage with solid fill">
            <a:extLst>
              <a:ext uri="{FF2B5EF4-FFF2-40B4-BE49-F238E27FC236}">
                <a16:creationId xmlns:a16="http://schemas.microsoft.com/office/drawing/2014/main" id="{D9CCEDA3-20FF-4016-AA6B-55FEFDEF96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28775" y="457201"/>
            <a:ext cx="247650" cy="247650"/>
          </a:xfrm>
          <a:prstGeom prst="rect">
            <a:avLst/>
          </a:prstGeom>
        </xdr:spPr>
      </xdr:pic>
    </xdr:grpSp>
    <xdr:clientData/>
  </xdr:twoCellAnchor>
  <xdr:twoCellAnchor>
    <xdr:from>
      <xdr:col>2</xdr:col>
      <xdr:colOff>9524</xdr:colOff>
      <xdr:row>5</xdr:row>
      <xdr:rowOff>114300</xdr:rowOff>
    </xdr:from>
    <xdr:to>
      <xdr:col>6</xdr:col>
      <xdr:colOff>9525</xdr:colOff>
      <xdr:row>8</xdr:row>
      <xdr:rowOff>66675</xdr:rowOff>
    </xdr:to>
    <xdr:grpSp>
      <xdr:nvGrpSpPr>
        <xdr:cNvPr id="11" name="Group 10">
          <a:extLst>
            <a:ext uri="{FF2B5EF4-FFF2-40B4-BE49-F238E27FC236}">
              <a16:creationId xmlns:a16="http://schemas.microsoft.com/office/drawing/2014/main" id="{7559B22F-E486-4E56-AAF8-659780ADDA21}"/>
            </a:ext>
          </a:extLst>
        </xdr:cNvPr>
        <xdr:cNvGrpSpPr/>
      </xdr:nvGrpSpPr>
      <xdr:grpSpPr>
        <a:xfrm>
          <a:off x="1228724" y="1066800"/>
          <a:ext cx="2438401" cy="523875"/>
          <a:chOff x="1228724" y="1114424"/>
          <a:chExt cx="2428876" cy="466725"/>
        </a:xfrm>
      </xdr:grpSpPr>
      <xdr:sp macro="[0]!Complaint_Tool" textlink="">
        <xdr:nvSpPr>
          <xdr:cNvPr id="3" name="Rectangle 2">
            <a:extLst>
              <a:ext uri="{FF2B5EF4-FFF2-40B4-BE49-F238E27FC236}">
                <a16:creationId xmlns:a16="http://schemas.microsoft.com/office/drawing/2014/main" id="{955117EE-A083-40DE-830A-2E765CD62FD3}"/>
              </a:ext>
            </a:extLst>
          </xdr:cNvPr>
          <xdr:cNvSpPr/>
        </xdr:nvSpPr>
        <xdr:spPr>
          <a:xfrm>
            <a:off x="1228725" y="1152525"/>
            <a:ext cx="2428875" cy="381000"/>
          </a:xfrm>
          <a:prstGeom prst="rect">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latin typeface="72 Black" panose="020B0A04030603020204" pitchFamily="34" charset="0"/>
                <a:cs typeface="72 Black" panose="020B0A04030603020204" pitchFamily="34" charset="0"/>
              </a:rPr>
              <a:t>Open Complaint</a:t>
            </a:r>
            <a:r>
              <a:rPr lang="en-US" sz="1400" baseline="0">
                <a:latin typeface="72 Black" panose="020B0A04030603020204" pitchFamily="34" charset="0"/>
                <a:cs typeface="72 Black" panose="020B0A04030603020204" pitchFamily="34" charset="0"/>
              </a:rPr>
              <a:t> Tool</a:t>
            </a:r>
            <a:endParaRPr lang="en-US" sz="1400">
              <a:latin typeface="72 Black" panose="020B0A04030603020204" pitchFamily="34" charset="0"/>
              <a:cs typeface="72 Black" panose="020B0A04030603020204" pitchFamily="34" charset="0"/>
            </a:endParaRPr>
          </a:p>
        </xdr:txBody>
      </xdr:sp>
      <xdr:pic macro="[0]!Complaint_Tool">
        <xdr:nvPicPr>
          <xdr:cNvPr id="10" name="Graphic 9" descr="Heart with pulse with solid fill">
            <a:extLst>
              <a:ext uri="{FF2B5EF4-FFF2-40B4-BE49-F238E27FC236}">
                <a16:creationId xmlns:a16="http://schemas.microsoft.com/office/drawing/2014/main" id="{A1E826FD-995E-457C-83F1-ECA115462FF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28724" y="1114424"/>
            <a:ext cx="466725" cy="466725"/>
          </a:xfrm>
          <a:prstGeom prst="rect">
            <a:avLst/>
          </a:prstGeom>
        </xdr:spPr>
      </xdr:pic>
    </xdr:grpSp>
    <xdr:clientData/>
  </xdr:twoCellAnchor>
  <xdr:twoCellAnchor>
    <xdr:from>
      <xdr:col>1</xdr:col>
      <xdr:colOff>600074</xdr:colOff>
      <xdr:row>9</xdr:row>
      <xdr:rowOff>123825</xdr:rowOff>
    </xdr:from>
    <xdr:to>
      <xdr:col>5</xdr:col>
      <xdr:colOff>600075</xdr:colOff>
      <xdr:row>13</xdr:row>
      <xdr:rowOff>76200</xdr:rowOff>
    </xdr:to>
    <xdr:grpSp>
      <xdr:nvGrpSpPr>
        <xdr:cNvPr id="12" name="Group 11">
          <a:extLst>
            <a:ext uri="{FF2B5EF4-FFF2-40B4-BE49-F238E27FC236}">
              <a16:creationId xmlns:a16="http://schemas.microsoft.com/office/drawing/2014/main" id="{6FCD6AB9-B91A-45EE-AF23-0CC0D3EB726D}"/>
            </a:ext>
          </a:extLst>
        </xdr:cNvPr>
        <xdr:cNvGrpSpPr/>
      </xdr:nvGrpSpPr>
      <xdr:grpSpPr>
        <a:xfrm>
          <a:off x="1209674" y="1838325"/>
          <a:ext cx="2438401" cy="714375"/>
          <a:chOff x="1228724" y="1114424"/>
          <a:chExt cx="2428876" cy="466725"/>
        </a:xfrm>
      </xdr:grpSpPr>
      <xdr:sp macro="[0]!Complaint_ToolLaptop" textlink="">
        <xdr:nvSpPr>
          <xdr:cNvPr id="13" name="Rectangle 12">
            <a:extLst>
              <a:ext uri="{FF2B5EF4-FFF2-40B4-BE49-F238E27FC236}">
                <a16:creationId xmlns:a16="http://schemas.microsoft.com/office/drawing/2014/main" id="{65F461AD-FCD6-C4AF-8C59-B2AD686B95F3}"/>
              </a:ext>
            </a:extLst>
          </xdr:cNvPr>
          <xdr:cNvSpPr/>
        </xdr:nvSpPr>
        <xdr:spPr>
          <a:xfrm>
            <a:off x="1228725" y="1152525"/>
            <a:ext cx="2428875" cy="381000"/>
          </a:xfrm>
          <a:prstGeom prst="rect">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latin typeface="72 Black" panose="020B0A04030603020204" pitchFamily="34" charset="0"/>
                <a:cs typeface="72 Black" panose="020B0A04030603020204" pitchFamily="34" charset="0"/>
              </a:rPr>
              <a:t>Open Complaint</a:t>
            </a:r>
            <a:r>
              <a:rPr lang="en-US" sz="1400" baseline="0">
                <a:latin typeface="72 Black" panose="020B0A04030603020204" pitchFamily="34" charset="0"/>
                <a:cs typeface="72 Black" panose="020B0A04030603020204" pitchFamily="34" charset="0"/>
              </a:rPr>
              <a:t> Tool Lite</a:t>
            </a:r>
            <a:endParaRPr lang="en-US" sz="1400">
              <a:latin typeface="72 Black" panose="020B0A04030603020204" pitchFamily="34" charset="0"/>
              <a:cs typeface="72 Black" panose="020B0A04030603020204" pitchFamily="34" charset="0"/>
            </a:endParaRPr>
          </a:p>
        </xdr:txBody>
      </xdr:sp>
      <xdr:pic macro="[0]!Complaint_ToolLaptop">
        <xdr:nvPicPr>
          <xdr:cNvPr id="14" name="Graphic 13" descr="Heart with pulse with solid fill">
            <a:extLst>
              <a:ext uri="{FF2B5EF4-FFF2-40B4-BE49-F238E27FC236}">
                <a16:creationId xmlns:a16="http://schemas.microsoft.com/office/drawing/2014/main" id="{2EA18964-2B09-2415-0907-F560CC76132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28724" y="1114424"/>
            <a:ext cx="466725" cy="466725"/>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AD7D5-ED55-4159-A504-F27C91643B42}">
  <sheetPr codeName="Sheet6"/>
  <dimension ref="H2:AD7"/>
  <sheetViews>
    <sheetView tabSelected="1" workbookViewId="0">
      <selection activeCell="O19" sqref="O19"/>
    </sheetView>
  </sheetViews>
  <sheetFormatPr defaultRowHeight="15" x14ac:dyDescent="0.25"/>
  <cols>
    <col min="8" max="8" width="12.140625" bestFit="1" customWidth="1"/>
    <col min="9" max="9" width="10.7109375" bestFit="1" customWidth="1"/>
    <col min="30" max="30" width="9.7109375" bestFit="1" customWidth="1"/>
  </cols>
  <sheetData>
    <row r="2" spans="8:30" x14ac:dyDescent="0.25">
      <c r="AB2" s="5"/>
      <c r="AD2" s="6">
        <f ca="1">WEEKDAY(TODAY())</f>
        <v>4</v>
      </c>
    </row>
    <row r="3" spans="8:30" x14ac:dyDescent="0.25">
      <c r="H3" s="2" t="s">
        <v>0</v>
      </c>
      <c r="I3" s="3">
        <v>45264</v>
      </c>
    </row>
    <row r="7" spans="8:30" x14ac:dyDescent="0.25">
      <c r="H7" s="2" t="s">
        <v>1</v>
      </c>
      <c r="I7" s="3">
        <f ca="1">TODAY()</f>
        <v>45266</v>
      </c>
      <c r="K7" s="3"/>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07753-A288-4985-8B5C-70495D22A6E1}">
  <sheetPr codeName="Sheet1"/>
  <dimension ref="A1:AM24"/>
  <sheetViews>
    <sheetView topLeftCell="B1" zoomScale="85" zoomScaleNormal="85" workbookViewId="0">
      <selection activeCell="K2" sqref="K2:K22"/>
    </sheetView>
  </sheetViews>
  <sheetFormatPr defaultRowHeight="15" x14ac:dyDescent="0.25"/>
  <sheetData>
    <row r="1" spans="1:39" x14ac:dyDescent="0.25">
      <c r="M1" t="s">
        <v>2</v>
      </c>
      <c r="AM1" t="s">
        <v>2</v>
      </c>
    </row>
    <row r="2" spans="1:39" x14ac:dyDescent="0.25">
      <c r="A2" t="s">
        <v>2</v>
      </c>
      <c r="B2" t="s">
        <v>2</v>
      </c>
      <c r="C2" t="s">
        <v>2</v>
      </c>
      <c r="D2" t="s">
        <v>2</v>
      </c>
      <c r="E2" t="s">
        <v>2</v>
      </c>
      <c r="F2" t="s">
        <v>2</v>
      </c>
      <c r="G2" t="s">
        <v>2</v>
      </c>
      <c r="H2" t="s">
        <v>2</v>
      </c>
      <c r="I2" t="s">
        <v>2</v>
      </c>
      <c r="J2" t="s">
        <v>2</v>
      </c>
      <c r="K2" t="s">
        <v>2</v>
      </c>
      <c r="L2" t="s">
        <v>2</v>
      </c>
      <c r="M2" t="s">
        <v>3</v>
      </c>
      <c r="AA2" t="s">
        <v>2</v>
      </c>
      <c r="AB2" t="s">
        <v>2</v>
      </c>
      <c r="AC2" t="s">
        <v>2</v>
      </c>
      <c r="AE2" t="s">
        <v>2</v>
      </c>
      <c r="AF2" t="s">
        <v>2</v>
      </c>
      <c r="AG2" t="s">
        <v>2</v>
      </c>
      <c r="AH2" t="s">
        <v>2</v>
      </c>
      <c r="AI2" t="s">
        <v>2</v>
      </c>
      <c r="AK2" t="s">
        <v>2</v>
      </c>
      <c r="AL2" t="s">
        <v>2</v>
      </c>
      <c r="AM2" t="s">
        <v>4</v>
      </c>
    </row>
    <row r="3" spans="1:39" x14ac:dyDescent="0.25">
      <c r="A3" t="s">
        <v>5</v>
      </c>
      <c r="B3" t="s">
        <v>5</v>
      </c>
      <c r="C3" t="s">
        <v>3</v>
      </c>
      <c r="D3" t="s">
        <v>3</v>
      </c>
      <c r="E3" t="s">
        <v>3</v>
      </c>
      <c r="F3" t="s">
        <v>3</v>
      </c>
      <c r="G3" t="s">
        <v>3</v>
      </c>
      <c r="H3" t="s">
        <v>3</v>
      </c>
      <c r="I3" t="s">
        <v>3</v>
      </c>
      <c r="J3" t="s">
        <v>3</v>
      </c>
      <c r="K3" t="s">
        <v>5</v>
      </c>
      <c r="M3" s="1"/>
      <c r="AA3" t="s">
        <v>5</v>
      </c>
      <c r="AB3" t="s">
        <v>5</v>
      </c>
      <c r="AC3" t="s">
        <v>3</v>
      </c>
      <c r="AE3" t="s">
        <v>3</v>
      </c>
      <c r="AF3" t="s">
        <v>3</v>
      </c>
      <c r="AG3" t="s">
        <v>3</v>
      </c>
      <c r="AH3" t="s">
        <v>3</v>
      </c>
      <c r="AI3" t="s">
        <v>3</v>
      </c>
      <c r="AK3" t="s">
        <v>5</v>
      </c>
      <c r="AM3" s="1"/>
    </row>
    <row r="4" spans="1:39" ht="409.5" x14ac:dyDescent="0.25">
      <c r="A4" t="s">
        <v>3</v>
      </c>
      <c r="B4" t="s">
        <v>3</v>
      </c>
      <c r="C4" s="1"/>
      <c r="D4" s="1" t="s">
        <v>523</v>
      </c>
      <c r="E4" s="1"/>
      <c r="F4" s="1"/>
      <c r="G4" s="1"/>
      <c r="I4" s="1"/>
      <c r="K4" t="s">
        <v>3</v>
      </c>
      <c r="L4" t="s">
        <v>5</v>
      </c>
      <c r="AA4" t="s">
        <v>3</v>
      </c>
      <c r="AB4" t="s">
        <v>3</v>
      </c>
      <c r="AE4" s="1"/>
      <c r="AK4" t="s">
        <v>3</v>
      </c>
      <c r="AL4" t="s">
        <v>5</v>
      </c>
    </row>
    <row r="5" spans="1:39" ht="409.5" x14ac:dyDescent="0.25">
      <c r="A5" s="1"/>
      <c r="B5" s="1" t="s">
        <v>524</v>
      </c>
      <c r="E5" t="s">
        <v>5</v>
      </c>
      <c r="J5" t="s">
        <v>5</v>
      </c>
      <c r="K5" s="1" t="s">
        <v>525</v>
      </c>
      <c r="L5" t="s">
        <v>3</v>
      </c>
      <c r="M5" t="s">
        <v>6</v>
      </c>
      <c r="AA5" s="1"/>
      <c r="AB5" s="1"/>
      <c r="AE5" t="s">
        <v>5</v>
      </c>
      <c r="AL5" t="s">
        <v>3</v>
      </c>
      <c r="AM5" t="s">
        <v>6</v>
      </c>
    </row>
    <row r="6" spans="1:39" ht="409.5" x14ac:dyDescent="0.25">
      <c r="C6" t="s">
        <v>5</v>
      </c>
      <c r="D6" t="s">
        <v>5</v>
      </c>
      <c r="E6" t="s">
        <v>7</v>
      </c>
      <c r="F6" t="s">
        <v>5</v>
      </c>
      <c r="G6" t="s">
        <v>5</v>
      </c>
      <c r="H6" t="s">
        <v>5</v>
      </c>
      <c r="I6" t="s">
        <v>5</v>
      </c>
      <c r="J6" t="s">
        <v>7</v>
      </c>
      <c r="L6" s="1" t="s">
        <v>500</v>
      </c>
      <c r="M6" t="s">
        <v>8</v>
      </c>
      <c r="AC6" t="s">
        <v>5</v>
      </c>
      <c r="AE6" t="s">
        <v>7</v>
      </c>
      <c r="AF6" t="s">
        <v>5</v>
      </c>
      <c r="AG6" t="s">
        <v>5</v>
      </c>
      <c r="AH6" t="s">
        <v>5</v>
      </c>
      <c r="AI6" t="s">
        <v>5</v>
      </c>
      <c r="AL6" t="s">
        <v>500</v>
      </c>
      <c r="AM6" t="s">
        <v>8</v>
      </c>
    </row>
    <row r="7" spans="1:39" x14ac:dyDescent="0.25">
      <c r="A7" t="s">
        <v>5</v>
      </c>
      <c r="B7" t="s">
        <v>5</v>
      </c>
      <c r="C7" t="s">
        <v>7</v>
      </c>
      <c r="D7" t="s">
        <v>7</v>
      </c>
      <c r="F7" t="s">
        <v>7</v>
      </c>
      <c r="G7" t="s">
        <v>7</v>
      </c>
      <c r="H7" t="s">
        <v>7</v>
      </c>
      <c r="I7" t="s">
        <v>7</v>
      </c>
      <c r="J7" t="s">
        <v>9</v>
      </c>
      <c r="K7" t="s">
        <v>5</v>
      </c>
      <c r="AA7" t="s">
        <v>5</v>
      </c>
      <c r="AB7" t="s">
        <v>5</v>
      </c>
      <c r="AC7" t="s">
        <v>7</v>
      </c>
      <c r="AF7" t="s">
        <v>7</v>
      </c>
      <c r="AG7" t="s">
        <v>7</v>
      </c>
      <c r="AH7" t="s">
        <v>7</v>
      </c>
      <c r="AI7" t="s">
        <v>7</v>
      </c>
      <c r="AK7" t="s">
        <v>5</v>
      </c>
    </row>
    <row r="8" spans="1:39" x14ac:dyDescent="0.25">
      <c r="A8" t="s">
        <v>7</v>
      </c>
      <c r="B8" t="s">
        <v>7</v>
      </c>
      <c r="E8" t="s">
        <v>9</v>
      </c>
      <c r="I8" t="s">
        <v>9</v>
      </c>
      <c r="J8" t="s">
        <v>5</v>
      </c>
      <c r="K8" t="s">
        <v>7</v>
      </c>
      <c r="L8" t="s">
        <v>5</v>
      </c>
      <c r="M8" s="1"/>
      <c r="AA8" t="s">
        <v>7</v>
      </c>
      <c r="AB8" t="s">
        <v>7</v>
      </c>
      <c r="AE8" t="s">
        <v>9</v>
      </c>
      <c r="AI8" t="s">
        <v>9</v>
      </c>
      <c r="AK8" t="s">
        <v>7</v>
      </c>
      <c r="AL8" t="s">
        <v>5</v>
      </c>
      <c r="AM8" s="1"/>
    </row>
    <row r="9" spans="1:39" x14ac:dyDescent="0.25">
      <c r="C9" t="s">
        <v>9</v>
      </c>
      <c r="D9" t="s">
        <v>10</v>
      </c>
      <c r="F9" t="s">
        <v>11</v>
      </c>
      <c r="G9" t="s">
        <v>11</v>
      </c>
      <c r="H9" t="s">
        <v>11</v>
      </c>
      <c r="J9" t="s">
        <v>12</v>
      </c>
      <c r="L9" t="s">
        <v>7</v>
      </c>
      <c r="AC9" t="s">
        <v>9</v>
      </c>
      <c r="AF9" t="s">
        <v>11</v>
      </c>
      <c r="AG9" t="s">
        <v>11</v>
      </c>
      <c r="AH9" t="s">
        <v>11</v>
      </c>
      <c r="AL9" t="s">
        <v>7</v>
      </c>
    </row>
    <row r="10" spans="1:39" x14ac:dyDescent="0.25">
      <c r="A10" t="s">
        <v>13</v>
      </c>
      <c r="B10" t="s">
        <v>9</v>
      </c>
      <c r="E10" t="s">
        <v>5</v>
      </c>
      <c r="H10" t="s">
        <v>5</v>
      </c>
      <c r="I10" t="s">
        <v>5</v>
      </c>
      <c r="J10" t="s">
        <v>14</v>
      </c>
      <c r="K10" t="s">
        <v>13</v>
      </c>
      <c r="L10" t="s">
        <v>9</v>
      </c>
      <c r="M10" t="s">
        <v>6</v>
      </c>
      <c r="AA10" t="s">
        <v>13</v>
      </c>
      <c r="AB10" t="s">
        <v>9</v>
      </c>
      <c r="AE10" t="s">
        <v>5</v>
      </c>
      <c r="AH10" t="s">
        <v>5</v>
      </c>
      <c r="AI10" t="s">
        <v>5</v>
      </c>
      <c r="AK10" t="s">
        <v>13</v>
      </c>
      <c r="AL10" t="s">
        <v>9</v>
      </c>
      <c r="AM10" t="s">
        <v>6</v>
      </c>
    </row>
    <row r="11" spans="1:39" x14ac:dyDescent="0.25">
      <c r="C11" t="s">
        <v>5</v>
      </c>
      <c r="D11" t="s">
        <v>5</v>
      </c>
      <c r="E11" t="s">
        <v>12</v>
      </c>
      <c r="F11" t="s">
        <v>5</v>
      </c>
      <c r="G11" t="s">
        <v>5</v>
      </c>
      <c r="H11" t="s">
        <v>12</v>
      </c>
      <c r="I11" t="s">
        <v>12</v>
      </c>
      <c r="J11" t="s">
        <v>15</v>
      </c>
      <c r="M11" t="s">
        <v>16</v>
      </c>
      <c r="AC11" t="s">
        <v>5</v>
      </c>
      <c r="AE11" t="s">
        <v>12</v>
      </c>
      <c r="AF11" t="s">
        <v>5</v>
      </c>
      <c r="AG11" t="s">
        <v>5</v>
      </c>
      <c r="AH11" t="s">
        <v>12</v>
      </c>
      <c r="AI11" t="s">
        <v>12</v>
      </c>
      <c r="AM11" t="s">
        <v>16</v>
      </c>
    </row>
    <row r="12" spans="1:39" x14ac:dyDescent="0.25">
      <c r="A12" t="s">
        <v>5</v>
      </c>
      <c r="B12" t="s">
        <v>5</v>
      </c>
      <c r="C12" t="s">
        <v>12</v>
      </c>
      <c r="D12" t="s">
        <v>12</v>
      </c>
      <c r="E12" t="s">
        <v>17</v>
      </c>
      <c r="F12" t="s">
        <v>12</v>
      </c>
      <c r="G12" t="s">
        <v>12</v>
      </c>
      <c r="H12" t="s">
        <v>18</v>
      </c>
      <c r="J12" t="s">
        <v>19</v>
      </c>
      <c r="K12" t="s">
        <v>5</v>
      </c>
      <c r="L12" t="s">
        <v>5</v>
      </c>
      <c r="AA12" t="s">
        <v>5</v>
      </c>
      <c r="AB12" t="s">
        <v>5</v>
      </c>
      <c r="AC12" t="s">
        <v>12</v>
      </c>
      <c r="AE12" t="s">
        <v>17</v>
      </c>
      <c r="AF12" t="s">
        <v>12</v>
      </c>
      <c r="AG12" t="s">
        <v>12</v>
      </c>
      <c r="AH12" t="s">
        <v>18</v>
      </c>
      <c r="AK12" t="s">
        <v>5</v>
      </c>
      <c r="AL12" t="s">
        <v>5</v>
      </c>
    </row>
    <row r="13" spans="1:39" ht="409.5" x14ac:dyDescent="0.25">
      <c r="A13" t="s">
        <v>12</v>
      </c>
      <c r="B13" t="s">
        <v>12</v>
      </c>
      <c r="C13" t="s">
        <v>20</v>
      </c>
      <c r="D13" t="s">
        <v>21</v>
      </c>
      <c r="I13" t="s">
        <v>22</v>
      </c>
      <c r="J13" t="s">
        <v>23</v>
      </c>
      <c r="K13" t="s">
        <v>12</v>
      </c>
      <c r="L13" t="s">
        <v>12</v>
      </c>
      <c r="AA13" t="s">
        <v>12</v>
      </c>
      <c r="AB13" t="s">
        <v>12</v>
      </c>
      <c r="AC13" t="s">
        <v>20</v>
      </c>
      <c r="AI13" t="s">
        <v>22</v>
      </c>
      <c r="AK13" t="s">
        <v>12</v>
      </c>
      <c r="AL13" t="s">
        <v>12</v>
      </c>
      <c r="AM13" s="1" t="s">
        <v>24</v>
      </c>
    </row>
    <row r="14" spans="1:39" x14ac:dyDescent="0.25">
      <c r="A14" t="s">
        <v>25</v>
      </c>
      <c r="B14" t="s">
        <v>26</v>
      </c>
      <c r="C14" t="s">
        <v>27</v>
      </c>
      <c r="D14" t="s">
        <v>15</v>
      </c>
      <c r="E14" t="s">
        <v>28</v>
      </c>
      <c r="F14" t="s">
        <v>29</v>
      </c>
      <c r="G14" t="s">
        <v>30</v>
      </c>
      <c r="H14" t="s">
        <v>31</v>
      </c>
      <c r="J14" t="s">
        <v>32</v>
      </c>
      <c r="K14" t="s">
        <v>25</v>
      </c>
      <c r="L14" t="s">
        <v>33</v>
      </c>
      <c r="AA14" t="s">
        <v>25</v>
      </c>
      <c r="AB14" t="s">
        <v>26</v>
      </c>
      <c r="AC14" t="s">
        <v>27</v>
      </c>
      <c r="AE14" t="s">
        <v>28</v>
      </c>
      <c r="AF14" t="s">
        <v>29</v>
      </c>
      <c r="AG14" t="s">
        <v>30</v>
      </c>
      <c r="AH14" t="s">
        <v>31</v>
      </c>
      <c r="AK14" t="s">
        <v>25</v>
      </c>
      <c r="AL14" t="s">
        <v>33</v>
      </c>
    </row>
    <row r="15" spans="1:39" x14ac:dyDescent="0.25">
      <c r="D15" t="s">
        <v>19</v>
      </c>
      <c r="H15" t="s">
        <v>19</v>
      </c>
      <c r="I15" t="s">
        <v>5</v>
      </c>
      <c r="J15" t="s">
        <v>5</v>
      </c>
      <c r="M15" t="s">
        <v>6</v>
      </c>
      <c r="AH15" t="s">
        <v>19</v>
      </c>
      <c r="AI15" t="s">
        <v>5</v>
      </c>
      <c r="AM15" t="s">
        <v>6</v>
      </c>
    </row>
    <row r="16" spans="1:39" x14ac:dyDescent="0.25">
      <c r="A16" t="s">
        <v>34</v>
      </c>
      <c r="B16" t="s">
        <v>35</v>
      </c>
      <c r="C16" t="s">
        <v>35</v>
      </c>
      <c r="D16" t="s">
        <v>23</v>
      </c>
      <c r="E16" t="s">
        <v>15</v>
      </c>
      <c r="F16" t="s">
        <v>31</v>
      </c>
      <c r="G16" t="s">
        <v>31</v>
      </c>
      <c r="I16" t="s">
        <v>36</v>
      </c>
      <c r="J16" t="s">
        <v>36</v>
      </c>
      <c r="K16" t="s">
        <v>34</v>
      </c>
      <c r="L16" t="s">
        <v>31</v>
      </c>
      <c r="M16" t="s">
        <v>37</v>
      </c>
      <c r="AA16" t="s">
        <v>34</v>
      </c>
      <c r="AB16" t="s">
        <v>35</v>
      </c>
      <c r="AC16" t="s">
        <v>35</v>
      </c>
      <c r="AE16" t="s">
        <v>15</v>
      </c>
      <c r="AF16" t="s">
        <v>31</v>
      </c>
      <c r="AG16" t="s">
        <v>31</v>
      </c>
      <c r="AI16" t="s">
        <v>36</v>
      </c>
      <c r="AK16" t="s">
        <v>34</v>
      </c>
      <c r="AL16" t="s">
        <v>31</v>
      </c>
      <c r="AM16" t="s">
        <v>37</v>
      </c>
    </row>
    <row r="17" spans="1:39" x14ac:dyDescent="0.25">
      <c r="A17" t="s">
        <v>38</v>
      </c>
      <c r="B17" t="s">
        <v>19</v>
      </c>
      <c r="C17" t="s">
        <v>19</v>
      </c>
      <c r="D17" t="s">
        <v>32</v>
      </c>
      <c r="E17" t="s">
        <v>19</v>
      </c>
      <c r="F17" t="s">
        <v>19</v>
      </c>
      <c r="G17" t="s">
        <v>19</v>
      </c>
      <c r="H17" t="s">
        <v>39</v>
      </c>
      <c r="K17" t="s">
        <v>38</v>
      </c>
      <c r="L17" t="s">
        <v>19</v>
      </c>
      <c r="M17" t="s">
        <v>40</v>
      </c>
      <c r="AA17" t="s">
        <v>38</v>
      </c>
      <c r="AB17" t="s">
        <v>19</v>
      </c>
      <c r="AC17" t="s">
        <v>19</v>
      </c>
      <c r="AE17" t="s">
        <v>19</v>
      </c>
      <c r="AF17" t="s">
        <v>19</v>
      </c>
      <c r="AG17" t="s">
        <v>19</v>
      </c>
      <c r="AH17" t="s">
        <v>39</v>
      </c>
      <c r="AI17" t="s">
        <v>41</v>
      </c>
      <c r="AK17" t="s">
        <v>38</v>
      </c>
      <c r="AL17" t="s">
        <v>19</v>
      </c>
      <c r="AM17" t="s">
        <v>40</v>
      </c>
    </row>
    <row r="18" spans="1:39" x14ac:dyDescent="0.25">
      <c r="B18" t="s">
        <v>42</v>
      </c>
      <c r="C18" t="s">
        <v>43</v>
      </c>
      <c r="D18" t="s">
        <v>5</v>
      </c>
      <c r="E18" t="s">
        <v>44</v>
      </c>
      <c r="M18" t="s">
        <v>45</v>
      </c>
      <c r="AB18" t="s">
        <v>42</v>
      </c>
      <c r="AC18" t="s">
        <v>43</v>
      </c>
      <c r="AE18" t="s">
        <v>44</v>
      </c>
      <c r="AM18" t="s">
        <v>45</v>
      </c>
    </row>
    <row r="19" spans="1:39" x14ac:dyDescent="0.25">
      <c r="A19" t="s">
        <v>46</v>
      </c>
      <c r="B19" t="s">
        <v>46</v>
      </c>
      <c r="D19" t="s">
        <v>36</v>
      </c>
      <c r="F19" t="s">
        <v>39</v>
      </c>
      <c r="G19" t="s">
        <v>39</v>
      </c>
      <c r="K19" t="s">
        <v>46</v>
      </c>
      <c r="L19" t="s">
        <v>39</v>
      </c>
      <c r="AA19" t="s">
        <v>46</v>
      </c>
      <c r="AB19" t="s">
        <v>46</v>
      </c>
      <c r="AF19" t="s">
        <v>39</v>
      </c>
      <c r="AG19" t="s">
        <v>39</v>
      </c>
      <c r="AK19" t="s">
        <v>46</v>
      </c>
      <c r="AL19" t="s">
        <v>39</v>
      </c>
    </row>
    <row r="20" spans="1:39" x14ac:dyDescent="0.25">
      <c r="C20" t="s">
        <v>47</v>
      </c>
      <c r="D20" t="s">
        <v>41</v>
      </c>
      <c r="E20" t="s">
        <v>48</v>
      </c>
      <c r="H20" t="s">
        <v>5</v>
      </c>
      <c r="AC20" t="s">
        <v>47</v>
      </c>
      <c r="AE20" t="s">
        <v>48</v>
      </c>
      <c r="AH20" t="s">
        <v>5</v>
      </c>
      <c r="AM20" t="s">
        <v>49</v>
      </c>
    </row>
    <row r="21" spans="1:39" x14ac:dyDescent="0.25">
      <c r="A21" t="s">
        <v>5</v>
      </c>
      <c r="B21" t="s">
        <v>5</v>
      </c>
      <c r="F21" t="s">
        <v>5</v>
      </c>
      <c r="G21" t="s">
        <v>5</v>
      </c>
      <c r="H21" t="s">
        <v>36</v>
      </c>
      <c r="K21" t="s">
        <v>5</v>
      </c>
      <c r="L21" t="s">
        <v>5</v>
      </c>
      <c r="AA21" t="s">
        <v>5</v>
      </c>
      <c r="AB21" t="s">
        <v>5</v>
      </c>
      <c r="AF21" t="s">
        <v>5</v>
      </c>
      <c r="AG21" t="s">
        <v>5</v>
      </c>
      <c r="AH21" t="s">
        <v>36</v>
      </c>
      <c r="AK21" t="s">
        <v>5</v>
      </c>
      <c r="AL21" t="s">
        <v>5</v>
      </c>
      <c r="AM21" t="s">
        <v>41</v>
      </c>
    </row>
    <row r="22" spans="1:39" x14ac:dyDescent="0.25">
      <c r="A22" t="s">
        <v>36</v>
      </c>
      <c r="B22" t="s">
        <v>36</v>
      </c>
      <c r="C22" t="s">
        <v>5</v>
      </c>
      <c r="E22" t="s">
        <v>5</v>
      </c>
      <c r="F22" t="s">
        <v>36</v>
      </c>
      <c r="G22" t="s">
        <v>36</v>
      </c>
      <c r="K22" t="s">
        <v>36</v>
      </c>
      <c r="L22" t="s">
        <v>36</v>
      </c>
      <c r="AA22" t="s">
        <v>36</v>
      </c>
      <c r="AB22" t="s">
        <v>36</v>
      </c>
      <c r="AC22" t="s">
        <v>5</v>
      </c>
      <c r="AE22" t="s">
        <v>5</v>
      </c>
      <c r="AF22" t="s">
        <v>36</v>
      </c>
      <c r="AG22" t="s">
        <v>36</v>
      </c>
      <c r="AH22" t="s">
        <v>41</v>
      </c>
      <c r="AK22" t="s">
        <v>36</v>
      </c>
      <c r="AL22" t="s">
        <v>36</v>
      </c>
    </row>
    <row r="23" spans="1:39" x14ac:dyDescent="0.25">
      <c r="C23" t="s">
        <v>36</v>
      </c>
      <c r="E23" t="s">
        <v>36</v>
      </c>
      <c r="AA23" t="s">
        <v>41</v>
      </c>
      <c r="AB23" t="s">
        <v>41</v>
      </c>
      <c r="AC23" t="s">
        <v>36</v>
      </c>
      <c r="AE23" t="s">
        <v>36</v>
      </c>
      <c r="AF23" t="s">
        <v>41</v>
      </c>
      <c r="AG23" t="s">
        <v>41</v>
      </c>
      <c r="AK23" t="s">
        <v>41</v>
      </c>
      <c r="AL23" t="s">
        <v>41</v>
      </c>
    </row>
    <row r="24" spans="1:39" x14ac:dyDescent="0.25">
      <c r="AC24" t="s">
        <v>41</v>
      </c>
      <c r="AE24" t="s">
        <v>41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4245A-7F12-4AD5-B1D3-EAE8F2283521}">
  <sheetPr codeName="Sheet2"/>
  <dimension ref="A2:G2"/>
  <sheetViews>
    <sheetView workbookViewId="0">
      <selection activeCell="C2" sqref="C2"/>
    </sheetView>
  </sheetViews>
  <sheetFormatPr defaultRowHeight="15" x14ac:dyDescent="0.25"/>
  <sheetData>
    <row r="2" spans="1:7" x14ac:dyDescent="0.25">
      <c r="A2" t="s">
        <v>41</v>
      </c>
      <c r="B2" t="s">
        <v>50</v>
      </c>
      <c r="C2" t="s">
        <v>51</v>
      </c>
      <c r="D2" t="s">
        <v>52</v>
      </c>
      <c r="E2" t="s">
        <v>53</v>
      </c>
      <c r="F2" t="s">
        <v>54</v>
      </c>
      <c r="G2" t="s">
        <v>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E67D7-A828-4D63-BFE6-E916F295DCAC}">
  <sheetPr codeName="Sheet3"/>
  <dimension ref="A1:N700"/>
  <sheetViews>
    <sheetView workbookViewId="0">
      <selection activeCell="C2" sqref="C2:C700"/>
    </sheetView>
  </sheetViews>
  <sheetFormatPr defaultRowHeight="15" x14ac:dyDescent="0.25"/>
  <sheetData>
    <row r="1" spans="1:14" x14ac:dyDescent="0.25">
      <c r="A1" t="s">
        <v>56</v>
      </c>
      <c r="B1" t="s">
        <v>57</v>
      </c>
      <c r="C1" t="s">
        <v>58</v>
      </c>
      <c r="D1" t="s">
        <v>59</v>
      </c>
      <c r="E1" t="s">
        <v>60</v>
      </c>
      <c r="F1" t="s">
        <v>61</v>
      </c>
      <c r="H1" t="s">
        <v>105</v>
      </c>
      <c r="I1" t="str">
        <f>SUBSTITUTE(H1, ":", "")</f>
        <v>Dislodged Or Dislocated</v>
      </c>
      <c r="J1" t="s">
        <v>105</v>
      </c>
      <c r="K1" t="s">
        <v>522</v>
      </c>
    </row>
    <row r="2" spans="1:14" x14ac:dyDescent="0.25">
      <c r="A2" t="s">
        <v>64</v>
      </c>
      <c r="D2" t="s">
        <v>65</v>
      </c>
      <c r="E2" t="s">
        <v>66</v>
      </c>
      <c r="F2" t="s">
        <v>67</v>
      </c>
      <c r="M2" t="str" cm="1">
        <f t="array" aca="1" ref="M2" ca="1">SUBSTITUTE(INDIRECT("C"&amp;ROW()), ":", "")</f>
        <v/>
      </c>
    </row>
    <row r="3" spans="1:14" x14ac:dyDescent="0.25">
      <c r="A3" t="s">
        <v>64</v>
      </c>
      <c r="C3" t="s" cm="1">
        <v>68</v>
      </c>
      <c r="E3" t="s">
        <v>66</v>
      </c>
      <c r="F3" t="s">
        <v>69</v>
      </c>
      <c r="M3" t="str" cm="1">
        <f t="array" aca="1" ref="M3" ca="1">SUBSTITUTE(INDIRECT("C"&amp;ROW()), ":", "")</f>
        <v>Allergic Reaction</v>
      </c>
      <c r="N3" t="s" cm="1">
        <v>68</v>
      </c>
    </row>
    <row r="4" spans="1:14" x14ac:dyDescent="0.25">
      <c r="A4" t="s">
        <v>64</v>
      </c>
      <c r="C4" t="s" cm="1">
        <v>70</v>
      </c>
      <c r="E4" t="s">
        <v>66</v>
      </c>
      <c r="F4" t="s">
        <v>71</v>
      </c>
      <c r="M4" t="str" cm="1">
        <f t="array" aca="1" ref="M4" ca="1">SUBSTITUTE(INDIRECT("C"&amp;ROW()), ":", "")</f>
        <v>Anxiety</v>
      </c>
      <c r="N4" t="s" cm="1">
        <v>70</v>
      </c>
    </row>
    <row r="5" spans="1:14" x14ac:dyDescent="0.25">
      <c r="A5" t="s">
        <v>64</v>
      </c>
      <c r="C5" t="s" cm="1">
        <v>72</v>
      </c>
      <c r="E5" t="s">
        <v>66</v>
      </c>
      <c r="F5" t="s">
        <v>73</v>
      </c>
      <c r="M5" t="str" cm="1">
        <f t="array" aca="1" ref="M5" ca="1">SUBSTITUTE(INDIRECT("C"&amp;ROW()), ":", "")</f>
        <v>Atrial Fibrillation</v>
      </c>
      <c r="N5" t="s" cm="1">
        <v>72</v>
      </c>
    </row>
    <row r="6" spans="1:14" x14ac:dyDescent="0.25">
      <c r="A6" t="s">
        <v>64</v>
      </c>
      <c r="D6" t="s">
        <v>74</v>
      </c>
      <c r="E6" t="s">
        <v>66</v>
      </c>
      <c r="F6" t="s">
        <v>75</v>
      </c>
      <c r="M6" t="str" cm="1">
        <f t="array" aca="1" ref="M6" ca="1">SUBSTITUTE(INDIRECT("C"&amp;ROW()), ":", "")</f>
        <v/>
      </c>
    </row>
    <row r="7" spans="1:14" x14ac:dyDescent="0.25">
      <c r="A7" t="s">
        <v>64</v>
      </c>
      <c r="C7" t="s" cm="1">
        <v>76</v>
      </c>
      <c r="E7" t="s">
        <v>66</v>
      </c>
      <c r="F7" t="s">
        <v>77</v>
      </c>
      <c r="M7" t="str" cm="1">
        <f t="array" aca="1" ref="M7" ca="1">SUBSTITUTE(INDIRECT("C"&amp;ROW()), ":", "")</f>
        <v>Burning Sensation</v>
      </c>
      <c r="N7" t="s" cm="1">
        <v>76</v>
      </c>
    </row>
    <row r="8" spans="1:14" x14ac:dyDescent="0.25">
      <c r="A8" t="s">
        <v>64</v>
      </c>
      <c r="C8" t="s" cm="1">
        <v>78</v>
      </c>
      <c r="E8" t="s">
        <v>66</v>
      </c>
      <c r="F8" t="s">
        <v>79</v>
      </c>
      <c r="M8" t="str" cm="1">
        <f t="array" aca="1" ref="M8" ca="1">SUBSTITUTE(INDIRECT("C"&amp;ROW()), ":", "")</f>
        <v>Chest Pain</v>
      </c>
      <c r="N8" t="s" cm="1">
        <v>78</v>
      </c>
    </row>
    <row r="9" spans="1:14" x14ac:dyDescent="0.25">
      <c r="A9" t="s">
        <v>64</v>
      </c>
      <c r="B9" t="s" cm="1">
        <v>80</v>
      </c>
      <c r="E9" t="s">
        <v>66</v>
      </c>
      <c r="F9" t="s">
        <v>81</v>
      </c>
      <c r="M9" t="str" cm="1">
        <f t="array" aca="1" ref="M9" ca="1">SUBSTITUTE(INDIRECT("C"&amp;ROW()), ":", "")</f>
        <v/>
      </c>
    </row>
    <row r="10" spans="1:14" x14ac:dyDescent="0.25">
      <c r="A10" t="s">
        <v>64</v>
      </c>
      <c r="B10" t="s" cm="1">
        <v>82</v>
      </c>
      <c r="E10" t="s">
        <v>66</v>
      </c>
      <c r="F10" t="s">
        <v>83</v>
      </c>
      <c r="M10" t="str" cm="1">
        <f t="array" aca="1" ref="M10" ca="1">SUBSTITUTE(INDIRECT("C"&amp;ROW()), ":", "")</f>
        <v/>
      </c>
    </row>
    <row r="11" spans="1:14" x14ac:dyDescent="0.25">
      <c r="A11" t="s">
        <v>64</v>
      </c>
      <c r="D11" t="s">
        <v>84</v>
      </c>
      <c r="E11" t="s">
        <v>66</v>
      </c>
      <c r="F11" t="s">
        <v>85</v>
      </c>
      <c r="M11" t="str" cm="1">
        <f t="array" aca="1" ref="M11" ca="1">SUBSTITUTE(INDIRECT("C"&amp;ROW()), ":", "")</f>
        <v/>
      </c>
    </row>
    <row r="12" spans="1:14" x14ac:dyDescent="0.25">
      <c r="A12" t="s">
        <v>64</v>
      </c>
      <c r="B12" t="s" cm="1">
        <v>62</v>
      </c>
      <c r="E12" t="s">
        <v>66</v>
      </c>
      <c r="F12" t="s">
        <v>86</v>
      </c>
      <c r="M12" t="str" cm="1">
        <f t="array" aca="1" ref="M12" ca="1">SUBSTITUTE(INDIRECT("C"&amp;ROW()), ":", "")</f>
        <v/>
      </c>
    </row>
    <row r="13" spans="1:14" x14ac:dyDescent="0.25">
      <c r="A13" t="s">
        <v>64</v>
      </c>
      <c r="D13" t="s">
        <v>87</v>
      </c>
      <c r="E13" t="s">
        <v>66</v>
      </c>
      <c r="F13" t="s">
        <v>88</v>
      </c>
      <c r="M13" t="str" cm="1">
        <f t="array" aca="1" ref="M13" ca="1">SUBSTITUTE(INDIRECT("C"&amp;ROW()), ":", "")</f>
        <v/>
      </c>
    </row>
    <row r="14" spans="1:14" x14ac:dyDescent="0.25">
      <c r="A14" t="s">
        <v>64</v>
      </c>
      <c r="B14" t="s" cm="1">
        <v>89</v>
      </c>
      <c r="E14" t="s">
        <v>66</v>
      </c>
      <c r="F14" t="s">
        <v>90</v>
      </c>
      <c r="M14" t="str" cm="1">
        <f t="array" aca="1" ref="M14" ca="1">SUBSTITUTE(INDIRECT("C"&amp;ROW()), ":", "")</f>
        <v/>
      </c>
    </row>
    <row r="15" spans="1:14" x14ac:dyDescent="0.25">
      <c r="A15" t="s">
        <v>64</v>
      </c>
      <c r="D15" t="s">
        <v>91</v>
      </c>
      <c r="E15" t="s">
        <v>66</v>
      </c>
      <c r="F15" t="s">
        <v>92</v>
      </c>
      <c r="M15" t="str" cm="1">
        <f t="array" aca="1" ref="M15" ca="1">SUBSTITUTE(INDIRECT("C"&amp;ROW()), ":", "")</f>
        <v/>
      </c>
    </row>
    <row r="16" spans="1:14" x14ac:dyDescent="0.25">
      <c r="A16" t="s">
        <v>64</v>
      </c>
      <c r="D16" t="s">
        <v>93</v>
      </c>
      <c r="E16" t="s">
        <v>66</v>
      </c>
      <c r="F16" t="s">
        <v>94</v>
      </c>
      <c r="M16" t="str" cm="1">
        <f t="array" aca="1" ref="M16" ca="1">SUBSTITUTE(INDIRECT("C"&amp;ROW()), ":", "")</f>
        <v/>
      </c>
    </row>
    <row r="17" spans="1:14" x14ac:dyDescent="0.25">
      <c r="A17" t="s">
        <v>64</v>
      </c>
      <c r="B17" t="s" cm="1">
        <v>95</v>
      </c>
      <c r="E17" t="s">
        <v>66</v>
      </c>
      <c r="F17" t="s">
        <v>96</v>
      </c>
      <c r="M17" t="str" cm="1">
        <f t="array" aca="1" ref="M17" ca="1">SUBSTITUTE(INDIRECT("C"&amp;ROW()), ":", "")</f>
        <v/>
      </c>
    </row>
    <row r="18" spans="1:14" x14ac:dyDescent="0.25">
      <c r="A18" t="s">
        <v>64</v>
      </c>
      <c r="B18" t="s" cm="1">
        <v>97</v>
      </c>
      <c r="E18" t="s">
        <v>66</v>
      </c>
      <c r="F18" t="s">
        <v>98</v>
      </c>
      <c r="M18" t="str" cm="1">
        <f t="array" aca="1" ref="M18" ca="1">SUBSTITUTE(INDIRECT("C"&amp;ROW()), ":", "")</f>
        <v/>
      </c>
    </row>
    <row r="19" spans="1:14" x14ac:dyDescent="0.25">
      <c r="A19" t="s">
        <v>64</v>
      </c>
      <c r="B19" t="s" cm="1">
        <v>99</v>
      </c>
      <c r="E19" t="s">
        <v>66</v>
      </c>
      <c r="F19" t="s">
        <v>100</v>
      </c>
      <c r="M19" t="str" cm="1">
        <f t="array" aca="1" ref="M19" ca="1">SUBSTITUTE(INDIRECT("C"&amp;ROW()), ":", "")</f>
        <v/>
      </c>
    </row>
    <row r="20" spans="1:14" x14ac:dyDescent="0.25">
      <c r="A20" t="s">
        <v>64</v>
      </c>
      <c r="B20" t="s" cm="1">
        <v>101</v>
      </c>
      <c r="E20" t="s">
        <v>66</v>
      </c>
      <c r="F20" t="s">
        <v>102</v>
      </c>
      <c r="M20" t="str" cm="1">
        <f t="array" aca="1" ref="M20" ca="1">SUBSTITUTE(INDIRECT("C"&amp;ROW()), ":", "")</f>
        <v/>
      </c>
    </row>
    <row r="21" spans="1:14" x14ac:dyDescent="0.25">
      <c r="A21" t="s">
        <v>64</v>
      </c>
      <c r="C21" t="s" cm="1">
        <v>103</v>
      </c>
      <c r="E21" t="s">
        <v>66</v>
      </c>
      <c r="F21" t="s">
        <v>104</v>
      </c>
      <c r="M21" t="str" cm="1">
        <f t="array" aca="1" ref="M21" ca="1">SUBSTITUTE(INDIRECT("C"&amp;ROW()), ":", "")</f>
        <v>Discomfort</v>
      </c>
      <c r="N21" t="s" cm="1">
        <v>103</v>
      </c>
    </row>
    <row r="22" spans="1:14" x14ac:dyDescent="0.25">
      <c r="A22" t="s">
        <v>64</v>
      </c>
      <c r="B22" t="s" cm="1">
        <v>105</v>
      </c>
      <c r="E22" t="s">
        <v>66</v>
      </c>
      <c r="F22" t="s">
        <v>106</v>
      </c>
      <c r="M22" t="str" cm="1">
        <f t="array" aca="1" ref="M22" ca="1">SUBSTITUTE(INDIRECT("C"&amp;ROW()), ":", "")</f>
        <v/>
      </c>
    </row>
    <row r="23" spans="1:14" x14ac:dyDescent="0.25">
      <c r="A23" t="s">
        <v>64</v>
      </c>
      <c r="C23" t="s" cm="1">
        <v>107</v>
      </c>
      <c r="E23" t="s">
        <v>66</v>
      </c>
      <c r="F23" t="s">
        <v>108</v>
      </c>
      <c r="M23" t="str" cm="1">
        <f t="array" aca="1" ref="M23" ca="1">SUBSTITUTE(INDIRECT("C"&amp;ROW()), ":", "")</f>
        <v>Electric Shock</v>
      </c>
      <c r="N23" t="s" cm="1">
        <v>107</v>
      </c>
    </row>
    <row r="24" spans="1:14" x14ac:dyDescent="0.25">
      <c r="A24" t="s">
        <v>64</v>
      </c>
      <c r="C24" t="s" cm="1">
        <v>109</v>
      </c>
      <c r="E24" t="s">
        <v>66</v>
      </c>
      <c r="F24" t="s">
        <v>110</v>
      </c>
      <c r="M24" t="str" cm="1">
        <f t="array" aca="1" ref="M24" ca="1">SUBSTITUTE(INDIRECT("C"&amp;ROW()), ":", "")</f>
        <v>Erosion</v>
      </c>
      <c r="N24" t="s" cm="1">
        <v>109</v>
      </c>
    </row>
    <row r="25" spans="1:14" x14ac:dyDescent="0.25">
      <c r="A25" t="s">
        <v>64</v>
      </c>
      <c r="C25" t="s" cm="1">
        <v>111</v>
      </c>
      <c r="E25" t="s">
        <v>66</v>
      </c>
      <c r="F25" t="s">
        <v>112</v>
      </c>
      <c r="M25" t="str" cm="1">
        <f t="array" aca="1" ref="M25" ca="1">SUBSTITUTE(INDIRECT("C"&amp;ROW()), ":", "")</f>
        <v>Erosion, Pocket</v>
      </c>
      <c r="N25" t="s" cm="1">
        <v>111</v>
      </c>
    </row>
    <row r="26" spans="1:14" x14ac:dyDescent="0.25">
      <c r="A26" t="s">
        <v>64</v>
      </c>
      <c r="B26" t="s" cm="1">
        <v>113</v>
      </c>
      <c r="E26" t="s">
        <v>66</v>
      </c>
      <c r="F26" t="s">
        <v>114</v>
      </c>
      <c r="M26" t="str" cm="1">
        <f t="array" aca="1" ref="M26" ca="1">SUBSTITUTE(INDIRECT("C"&amp;ROW()), ":", "")</f>
        <v/>
      </c>
    </row>
    <row r="27" spans="1:14" x14ac:dyDescent="0.25">
      <c r="A27" t="s">
        <v>64</v>
      </c>
      <c r="B27" t="s" cm="1">
        <v>115</v>
      </c>
      <c r="E27" t="s">
        <v>66</v>
      </c>
      <c r="F27" t="s">
        <v>116</v>
      </c>
      <c r="M27" t="str" cm="1">
        <f t="array" aca="1" ref="M27" ca="1">SUBSTITUTE(INDIRECT("C"&amp;ROW()), ":", "")</f>
        <v/>
      </c>
    </row>
    <row r="28" spans="1:14" x14ac:dyDescent="0.25">
      <c r="A28" t="s">
        <v>64</v>
      </c>
      <c r="B28" t="s" cm="1">
        <v>117</v>
      </c>
      <c r="E28" t="s">
        <v>66</v>
      </c>
      <c r="F28" t="s">
        <v>118</v>
      </c>
      <c r="M28" t="str" cm="1">
        <f t="array" aca="1" ref="M28" ca="1">SUBSTITUTE(INDIRECT("C"&amp;ROW()), ":", "")</f>
        <v/>
      </c>
    </row>
    <row r="29" spans="1:14" x14ac:dyDescent="0.25">
      <c r="A29" t="s">
        <v>64</v>
      </c>
      <c r="C29" t="s" cm="1">
        <v>119</v>
      </c>
      <c r="E29" t="s">
        <v>66</v>
      </c>
      <c r="F29" t="s">
        <v>120</v>
      </c>
      <c r="M29" t="str" cm="1">
        <f t="array" aca="1" ref="M29" ca="1">SUBSTITUTE(INDIRECT("C"&amp;ROW()), ":", "")</f>
        <v>Fall</v>
      </c>
      <c r="N29" t="s" cm="1">
        <v>119</v>
      </c>
    </row>
    <row r="30" spans="1:14" x14ac:dyDescent="0.25">
      <c r="A30" t="s">
        <v>64</v>
      </c>
      <c r="B30" t="s" cm="1">
        <v>121</v>
      </c>
      <c r="E30" t="s">
        <v>66</v>
      </c>
      <c r="F30" t="s">
        <v>122</v>
      </c>
      <c r="M30" t="str" cm="1">
        <f t="array" aca="1" ref="M30" ca="1">SUBSTITUTE(INDIRECT("C"&amp;ROW()), ":", "")</f>
        <v/>
      </c>
    </row>
    <row r="31" spans="1:14" x14ac:dyDescent="0.25">
      <c r="A31" t="s">
        <v>64</v>
      </c>
      <c r="C31" t="s" cm="1">
        <v>123</v>
      </c>
      <c r="E31" t="s">
        <v>66</v>
      </c>
      <c r="F31" t="s">
        <v>124</v>
      </c>
      <c r="M31" t="str" cm="1">
        <f t="array" aca="1" ref="M31" ca="1">SUBSTITUTE(INDIRECT("C"&amp;ROW()), ":", "")</f>
        <v>Hematoma</v>
      </c>
      <c r="N31" t="s" cm="1">
        <v>123</v>
      </c>
    </row>
    <row r="32" spans="1:14" x14ac:dyDescent="0.25">
      <c r="A32" t="s">
        <v>64</v>
      </c>
      <c r="B32" t="s" cm="1">
        <v>125</v>
      </c>
      <c r="E32" t="s">
        <v>66</v>
      </c>
      <c r="F32" t="s">
        <v>126</v>
      </c>
      <c r="M32" t="str" cm="1">
        <f t="array" aca="1" ref="M32" ca="1">SUBSTITUTE(INDIRECT("C"&amp;ROW()), ":", "")</f>
        <v/>
      </c>
    </row>
    <row r="33" spans="1:14" x14ac:dyDescent="0.25">
      <c r="A33" t="s">
        <v>64</v>
      </c>
      <c r="D33" t="s">
        <v>127</v>
      </c>
      <c r="E33" t="s">
        <v>66</v>
      </c>
      <c r="F33" t="s">
        <v>128</v>
      </c>
      <c r="M33" t="str" cm="1">
        <f t="array" aca="1" ref="M33" ca="1">SUBSTITUTE(INDIRECT("C"&amp;ROW()), ":", "")</f>
        <v/>
      </c>
    </row>
    <row r="34" spans="1:14" x14ac:dyDescent="0.25">
      <c r="A34" t="s">
        <v>64</v>
      </c>
      <c r="C34" t="s" cm="1">
        <v>129</v>
      </c>
      <c r="E34" t="s">
        <v>66</v>
      </c>
      <c r="F34" t="s">
        <v>130</v>
      </c>
      <c r="M34" t="str" cm="1">
        <f t="array" aca="1" ref="M34" ca="1">SUBSTITUTE(INDIRECT("C"&amp;ROW()), ":", "")</f>
        <v>Implant Pain</v>
      </c>
      <c r="N34" t="s" cm="1">
        <v>129</v>
      </c>
    </row>
    <row r="35" spans="1:14" x14ac:dyDescent="0.25">
      <c r="A35" t="s">
        <v>64</v>
      </c>
      <c r="D35" t="s">
        <v>131</v>
      </c>
      <c r="E35" t="s">
        <v>66</v>
      </c>
      <c r="F35" t="s">
        <v>132</v>
      </c>
      <c r="M35" t="str" cm="1">
        <f t="array" aca="1" ref="M35" ca="1">SUBSTITUTE(INDIRECT("C"&amp;ROW()), ":", "")</f>
        <v/>
      </c>
    </row>
    <row r="36" spans="1:14" x14ac:dyDescent="0.25">
      <c r="A36" t="s">
        <v>64</v>
      </c>
      <c r="B36" t="s" cm="1">
        <v>133</v>
      </c>
      <c r="E36" t="s">
        <v>66</v>
      </c>
      <c r="F36" t="s">
        <v>134</v>
      </c>
      <c r="M36" t="str" cm="1">
        <f t="array" aca="1" ref="M36" ca="1">SUBSTITUTE(INDIRECT("C"&amp;ROW()), ":", "")</f>
        <v/>
      </c>
    </row>
    <row r="37" spans="1:14" x14ac:dyDescent="0.25">
      <c r="A37" t="s">
        <v>64</v>
      </c>
      <c r="C37" t="s" cm="1">
        <v>135</v>
      </c>
      <c r="E37" t="s">
        <v>66</v>
      </c>
      <c r="F37" t="s">
        <v>136</v>
      </c>
      <c r="M37" t="str" cm="1">
        <f t="array" aca="1" ref="M37" ca="1">SUBSTITUTE(INDIRECT("C"&amp;ROW()), ":", "")</f>
        <v>Infection</v>
      </c>
      <c r="N37" t="s" cm="1">
        <v>135</v>
      </c>
    </row>
    <row r="38" spans="1:14" x14ac:dyDescent="0.25">
      <c r="A38" t="s">
        <v>64</v>
      </c>
      <c r="C38" t="s" cm="1">
        <v>137</v>
      </c>
      <c r="E38" t="s">
        <v>66</v>
      </c>
      <c r="F38" t="s">
        <v>138</v>
      </c>
      <c r="M38" t="str" cm="1">
        <f t="array" aca="1" ref="M38" ca="1">SUBSTITUTE(INDIRECT("C"&amp;ROW()), ":", "")</f>
        <v>Infection, Bacterial</v>
      </c>
      <c r="N38" t="s" cm="1">
        <v>137</v>
      </c>
    </row>
    <row r="39" spans="1:14" x14ac:dyDescent="0.25">
      <c r="A39" t="s">
        <v>64</v>
      </c>
      <c r="C39" t="s" cm="1">
        <v>139</v>
      </c>
      <c r="E39" t="s">
        <v>66</v>
      </c>
      <c r="F39" t="s">
        <v>140</v>
      </c>
      <c r="M39" t="str" cm="1">
        <f t="array" aca="1" ref="M39" ca="1">SUBSTITUTE(INDIRECT("C"&amp;ROW()), ":", "")</f>
        <v>Irritation, Skin</v>
      </c>
      <c r="N39" t="s" cm="1">
        <v>139</v>
      </c>
    </row>
    <row r="40" spans="1:14" x14ac:dyDescent="0.25">
      <c r="A40" t="s">
        <v>64</v>
      </c>
      <c r="B40" t="s" cm="1">
        <v>141</v>
      </c>
      <c r="E40" t="s">
        <v>66</v>
      </c>
      <c r="F40" t="s">
        <v>142</v>
      </c>
      <c r="M40" t="str" cm="1">
        <f t="array" aca="1" ref="M40" ca="1">SUBSTITUTE(INDIRECT("C"&amp;ROW()), ":", "")</f>
        <v/>
      </c>
    </row>
    <row r="41" spans="1:14" x14ac:dyDescent="0.25">
      <c r="A41" t="s">
        <v>64</v>
      </c>
      <c r="D41" t="s">
        <v>143</v>
      </c>
      <c r="E41" t="s">
        <v>66</v>
      </c>
      <c r="F41" t="s">
        <v>144</v>
      </c>
      <c r="M41" t="str" cm="1">
        <f t="array" aca="1" ref="M41" ca="1">SUBSTITUTE(INDIRECT("C"&amp;ROW()), ":", "")</f>
        <v/>
      </c>
    </row>
    <row r="42" spans="1:14" x14ac:dyDescent="0.25">
      <c r="A42" t="s">
        <v>64</v>
      </c>
      <c r="B42" t="s" cm="1">
        <v>145</v>
      </c>
      <c r="E42" t="s">
        <v>66</v>
      </c>
      <c r="F42" t="s">
        <v>146</v>
      </c>
      <c r="M42" t="str" cm="1">
        <f t="array" aca="1" ref="M42" ca="1">SUBSTITUTE(INDIRECT("C"&amp;ROW()), ":", "")</f>
        <v/>
      </c>
    </row>
    <row r="43" spans="1:14" x14ac:dyDescent="0.25">
      <c r="A43" t="s">
        <v>64</v>
      </c>
      <c r="D43" t="s">
        <v>147</v>
      </c>
      <c r="E43" t="s">
        <v>66</v>
      </c>
      <c r="F43" t="s">
        <v>148</v>
      </c>
      <c r="M43" t="str" cm="1">
        <f t="array" aca="1" ref="M43" ca="1">SUBSTITUTE(INDIRECT("C"&amp;ROW()), ":", "")</f>
        <v/>
      </c>
    </row>
    <row r="44" spans="1:14" x14ac:dyDescent="0.25">
      <c r="A44" t="s">
        <v>64</v>
      </c>
      <c r="D44" t="s">
        <v>149</v>
      </c>
      <c r="E44" t="s">
        <v>66</v>
      </c>
      <c r="F44" t="s">
        <v>150</v>
      </c>
      <c r="M44" t="str" cm="1">
        <f t="array" aca="1" ref="M44" ca="1">SUBSTITUTE(INDIRECT("C"&amp;ROW()), ":", "")</f>
        <v/>
      </c>
    </row>
    <row r="45" spans="1:14" x14ac:dyDescent="0.25">
      <c r="A45" t="s">
        <v>64</v>
      </c>
      <c r="C45" t="s" cm="1">
        <v>151</v>
      </c>
      <c r="E45" t="s">
        <v>66</v>
      </c>
      <c r="F45" t="s">
        <v>152</v>
      </c>
      <c r="M45" t="str" cm="1">
        <f t="array" aca="1" ref="M45" ca="1">SUBSTITUTE(INDIRECT("C"&amp;ROW()), ":", "")</f>
        <v>Necrosis</v>
      </c>
      <c r="N45" t="s" cm="1">
        <v>151</v>
      </c>
    </row>
    <row r="46" spans="1:14" x14ac:dyDescent="0.25">
      <c r="A46" t="s">
        <v>64</v>
      </c>
      <c r="B46" t="s" cm="1">
        <v>153</v>
      </c>
      <c r="E46" t="s">
        <v>66</v>
      </c>
      <c r="F46" t="s">
        <v>154</v>
      </c>
      <c r="M46" t="str" cm="1">
        <f t="array" aca="1" ref="M46" ca="1">SUBSTITUTE(INDIRECT("C"&amp;ROW()), ":", "")</f>
        <v/>
      </c>
    </row>
    <row r="47" spans="1:14" x14ac:dyDescent="0.25">
      <c r="A47" t="s">
        <v>64</v>
      </c>
      <c r="B47" t="s" cm="1">
        <v>155</v>
      </c>
      <c r="E47" t="s">
        <v>66</v>
      </c>
      <c r="F47" t="s">
        <v>156</v>
      </c>
      <c r="M47" t="str" cm="1">
        <f t="array" aca="1" ref="M47" ca="1">SUBSTITUTE(INDIRECT("C"&amp;ROW()), ":", "")</f>
        <v/>
      </c>
    </row>
    <row r="48" spans="1:14" x14ac:dyDescent="0.25">
      <c r="A48" t="s">
        <v>64</v>
      </c>
      <c r="C48" t="s" cm="1">
        <v>157</v>
      </c>
      <c r="E48" t="s">
        <v>66</v>
      </c>
      <c r="F48" t="s">
        <v>158</v>
      </c>
      <c r="M48" t="str" cm="1">
        <f t="array" aca="1" ref="M48" ca="1">SUBSTITUTE(INDIRECT("C"&amp;ROW()), ":", "")</f>
        <v>Pain</v>
      </c>
      <c r="N48" t="s" cm="1">
        <v>157</v>
      </c>
    </row>
    <row r="49" spans="1:14" x14ac:dyDescent="0.25">
      <c r="A49" t="s">
        <v>64</v>
      </c>
      <c r="C49" t="s" cm="1">
        <v>159</v>
      </c>
      <c r="E49" t="s">
        <v>66</v>
      </c>
      <c r="F49" t="s">
        <v>160</v>
      </c>
      <c r="M49" t="str" cm="1">
        <f t="array" aca="1" ref="M49" ca="1">SUBSTITUTE(INDIRECT("C"&amp;ROW()), ":", "")</f>
        <v>Perforation</v>
      </c>
      <c r="N49" t="s" cm="1">
        <v>159</v>
      </c>
    </row>
    <row r="50" spans="1:14" x14ac:dyDescent="0.25">
      <c r="A50" t="s">
        <v>64</v>
      </c>
      <c r="C50" t="s" cm="1">
        <v>161</v>
      </c>
      <c r="E50" t="s">
        <v>66</v>
      </c>
      <c r="F50" t="s">
        <v>162</v>
      </c>
      <c r="M50" t="str" cm="1">
        <f t="array" aca="1" ref="M50" ca="1">SUBSTITUTE(INDIRECT("C"&amp;ROW()), ":", "")</f>
        <v>Perforation, Cardiac</v>
      </c>
      <c r="N50" t="s" cm="1">
        <v>161</v>
      </c>
    </row>
    <row r="51" spans="1:14" x14ac:dyDescent="0.25">
      <c r="A51" t="s">
        <v>64</v>
      </c>
      <c r="C51" t="s" cm="1">
        <v>163</v>
      </c>
      <c r="E51" t="s">
        <v>66</v>
      </c>
      <c r="F51" t="s">
        <v>164</v>
      </c>
      <c r="M51" t="str" cm="1">
        <f t="array" aca="1" ref="M51" ca="1">SUBSTITUTE(INDIRECT("C"&amp;ROW()), ":", "")</f>
        <v>Pericardial Effusion</v>
      </c>
      <c r="N51" t="s" cm="1">
        <v>163</v>
      </c>
    </row>
    <row r="52" spans="1:14" x14ac:dyDescent="0.25">
      <c r="A52" t="s">
        <v>64</v>
      </c>
      <c r="C52" t="s" cm="1">
        <v>165</v>
      </c>
      <c r="E52" t="s">
        <v>66</v>
      </c>
      <c r="F52" t="s">
        <v>166</v>
      </c>
      <c r="M52" t="str" cm="1">
        <f t="array" aca="1" ref="M52" ca="1">SUBSTITUTE(INDIRECT("C"&amp;ROW()), ":", "")</f>
        <v>Pneumothorax</v>
      </c>
      <c r="N52" t="s" cm="1">
        <v>165</v>
      </c>
    </row>
    <row r="53" spans="1:14" x14ac:dyDescent="0.25">
      <c r="A53" t="s">
        <v>64</v>
      </c>
      <c r="D53" t="s">
        <v>167</v>
      </c>
      <c r="E53" t="s">
        <v>66</v>
      </c>
      <c r="F53" t="s">
        <v>168</v>
      </c>
      <c r="M53" t="str" cm="1">
        <f t="array" aca="1" ref="M53" ca="1">SUBSTITUTE(INDIRECT("C"&amp;ROW()), ":", "")</f>
        <v/>
      </c>
    </row>
    <row r="54" spans="1:14" x14ac:dyDescent="0.25">
      <c r="A54" t="s">
        <v>64</v>
      </c>
      <c r="D54" t="s">
        <v>169</v>
      </c>
      <c r="E54" t="s">
        <v>66</v>
      </c>
      <c r="F54" t="s">
        <v>170</v>
      </c>
      <c r="M54" t="str" cm="1">
        <f t="array" aca="1" ref="M54" ca="1">SUBSTITUTE(INDIRECT("C"&amp;ROW()), ":", "")</f>
        <v/>
      </c>
    </row>
    <row r="55" spans="1:14" x14ac:dyDescent="0.25">
      <c r="A55" t="s">
        <v>64</v>
      </c>
      <c r="D55" t="s">
        <v>171</v>
      </c>
      <c r="E55" t="s">
        <v>66</v>
      </c>
      <c r="F55" t="s">
        <v>172</v>
      </c>
      <c r="M55" t="str" cm="1">
        <f t="array" aca="1" ref="M55" ca="1">SUBSTITUTE(INDIRECT("C"&amp;ROW()), ":", "")</f>
        <v/>
      </c>
    </row>
    <row r="56" spans="1:14" x14ac:dyDescent="0.25">
      <c r="A56" t="s">
        <v>64</v>
      </c>
      <c r="B56" t="s" cm="1">
        <v>173</v>
      </c>
      <c r="E56" t="s">
        <v>66</v>
      </c>
      <c r="F56" t="s">
        <v>174</v>
      </c>
      <c r="M56" t="str" cm="1">
        <f t="array" aca="1" ref="M56" ca="1">SUBSTITUTE(INDIRECT("C"&amp;ROW()), ":", "")</f>
        <v/>
      </c>
    </row>
    <row r="57" spans="1:14" x14ac:dyDescent="0.25">
      <c r="A57" t="s">
        <v>64</v>
      </c>
      <c r="C57" t="s" cm="1">
        <v>175</v>
      </c>
      <c r="E57" t="s">
        <v>66</v>
      </c>
      <c r="F57" t="s">
        <v>176</v>
      </c>
      <c r="M57" t="str" cm="1">
        <f t="array" aca="1" ref="M57" ca="1">SUBSTITUTE(INDIRECT("C"&amp;ROW()), ":", "")</f>
        <v>Scar Tissue (Cicatrix)</v>
      </c>
      <c r="N57" t="s" cm="1">
        <v>175</v>
      </c>
    </row>
    <row r="58" spans="1:14" x14ac:dyDescent="0.25">
      <c r="A58" t="s">
        <v>64</v>
      </c>
      <c r="B58" t="s" cm="1">
        <v>177</v>
      </c>
      <c r="E58" t="s">
        <v>66</v>
      </c>
      <c r="F58" t="s">
        <v>178</v>
      </c>
      <c r="M58" t="str" cm="1">
        <f t="array" aca="1" ref="M58" ca="1">SUBSTITUTE(INDIRECT("C"&amp;ROW()), ":", "")</f>
        <v/>
      </c>
    </row>
    <row r="59" spans="1:14" x14ac:dyDescent="0.25">
      <c r="A59" t="s">
        <v>64</v>
      </c>
      <c r="B59" t="s" cm="1">
        <v>179</v>
      </c>
      <c r="E59" t="s">
        <v>66</v>
      </c>
      <c r="F59" t="s">
        <v>180</v>
      </c>
      <c r="M59" t="str" cm="1">
        <f t="array" aca="1" ref="M59" ca="1">SUBSTITUTE(INDIRECT("C"&amp;ROW()), ":", "")</f>
        <v/>
      </c>
    </row>
    <row r="60" spans="1:14" x14ac:dyDescent="0.25">
      <c r="A60" t="s">
        <v>64</v>
      </c>
      <c r="B60" t="s" cm="1">
        <v>181</v>
      </c>
      <c r="E60" t="s">
        <v>66</v>
      </c>
      <c r="F60" t="s">
        <v>182</v>
      </c>
      <c r="M60" t="str" cm="1">
        <f t="array" aca="1" ref="M60" ca="1">SUBSTITUTE(INDIRECT("C"&amp;ROW()), ":", "")</f>
        <v/>
      </c>
    </row>
    <row r="61" spans="1:14" x14ac:dyDescent="0.25">
      <c r="A61" t="s">
        <v>64</v>
      </c>
      <c r="B61" t="s" cm="1">
        <v>183</v>
      </c>
      <c r="E61" t="s">
        <v>66</v>
      </c>
      <c r="F61" t="s">
        <v>184</v>
      </c>
      <c r="M61" t="str" cm="1">
        <f t="array" aca="1" ref="M61" ca="1">SUBSTITUTE(INDIRECT("C"&amp;ROW()), ":", "")</f>
        <v/>
      </c>
    </row>
    <row r="62" spans="1:14" x14ac:dyDescent="0.25">
      <c r="A62" t="s">
        <v>64</v>
      </c>
      <c r="B62" t="s" cm="1">
        <v>185</v>
      </c>
      <c r="E62" t="s">
        <v>66</v>
      </c>
      <c r="F62" t="s">
        <v>186</v>
      </c>
      <c r="M62" t="str" cm="1">
        <f t="array" aca="1" ref="M62" ca="1">SUBSTITUTE(INDIRECT("C"&amp;ROW()), ":", "")</f>
        <v/>
      </c>
    </row>
    <row r="63" spans="1:14" x14ac:dyDescent="0.25">
      <c r="A63" t="s">
        <v>64</v>
      </c>
      <c r="B63" t="s" cm="1">
        <v>187</v>
      </c>
      <c r="E63" t="s">
        <v>66</v>
      </c>
      <c r="F63" t="s">
        <v>188</v>
      </c>
      <c r="M63" t="str" cm="1">
        <f t="array" aca="1" ref="M63" ca="1">SUBSTITUTE(INDIRECT("C"&amp;ROW()), ":", "")</f>
        <v/>
      </c>
    </row>
    <row r="64" spans="1:14" x14ac:dyDescent="0.25">
      <c r="A64" t="s">
        <v>64</v>
      </c>
      <c r="C64" t="s" cm="1">
        <v>189</v>
      </c>
      <c r="E64" t="s">
        <v>66</v>
      </c>
      <c r="F64" t="s">
        <v>190</v>
      </c>
      <c r="M64" t="str" cm="1">
        <f t="array" aca="1" ref="M64" ca="1">SUBSTITUTE(INDIRECT("C"&amp;ROW()), ":", "")</f>
        <v>Surgery</v>
      </c>
      <c r="N64" t="s" cm="1">
        <v>189</v>
      </c>
    </row>
    <row r="65" spans="1:14" x14ac:dyDescent="0.25">
      <c r="A65" t="s">
        <v>64</v>
      </c>
      <c r="D65" t="s">
        <v>191</v>
      </c>
      <c r="E65" t="s">
        <v>66</v>
      </c>
      <c r="F65" t="s">
        <v>192</v>
      </c>
      <c r="M65" t="str" cm="1">
        <f t="array" aca="1" ref="M65" ca="1">SUBSTITUTE(INDIRECT("C"&amp;ROW()), ":", "")</f>
        <v/>
      </c>
    </row>
    <row r="66" spans="1:14" x14ac:dyDescent="0.25">
      <c r="A66" t="s">
        <v>64</v>
      </c>
      <c r="D66" t="s">
        <v>193</v>
      </c>
      <c r="E66" t="s">
        <v>66</v>
      </c>
      <c r="F66" t="s">
        <v>194</v>
      </c>
      <c r="M66" t="str" cm="1">
        <f t="array" aca="1" ref="M66" ca="1">SUBSTITUTE(INDIRECT("C"&amp;ROW()), ":", "")</f>
        <v/>
      </c>
    </row>
    <row r="67" spans="1:14" x14ac:dyDescent="0.25">
      <c r="A67" t="s">
        <v>64</v>
      </c>
      <c r="C67" t="s" cm="1">
        <v>195</v>
      </c>
      <c r="E67" t="s">
        <v>66</v>
      </c>
      <c r="F67" t="s">
        <v>196</v>
      </c>
      <c r="M67" t="str" cm="1">
        <f t="array" aca="1" ref="M67" ca="1">SUBSTITUTE(INDIRECT("C"&amp;ROW()), ":", "")</f>
        <v>Swelling</v>
      </c>
      <c r="N67" t="s" cm="1">
        <v>195</v>
      </c>
    </row>
    <row r="68" spans="1:14" x14ac:dyDescent="0.25">
      <c r="A68" t="s">
        <v>64</v>
      </c>
      <c r="C68" t="s" cm="1">
        <v>197</v>
      </c>
      <c r="E68" t="s">
        <v>66</v>
      </c>
      <c r="F68" t="s">
        <v>198</v>
      </c>
      <c r="M68" t="str" cm="1">
        <f t="array" aca="1" ref="M68" ca="1">SUBSTITUTE(INDIRECT("C"&amp;ROW()), ":", "")</f>
        <v>Syncope</v>
      </c>
      <c r="N68" t="s" cm="1">
        <v>197</v>
      </c>
    </row>
    <row r="69" spans="1:14" x14ac:dyDescent="0.25">
      <c r="A69" t="s">
        <v>64</v>
      </c>
      <c r="B69" t="s" cm="1">
        <v>199</v>
      </c>
      <c r="E69" t="s">
        <v>66</v>
      </c>
      <c r="F69" t="s">
        <v>200</v>
      </c>
      <c r="M69" t="str" cm="1">
        <f t="array" aca="1" ref="M69" ca="1">SUBSTITUTE(INDIRECT("C"&amp;ROW()), ":", "")</f>
        <v/>
      </c>
    </row>
    <row r="70" spans="1:14" x14ac:dyDescent="0.25">
      <c r="A70" t="s">
        <v>64</v>
      </c>
      <c r="B70" t="s" cm="1">
        <v>201</v>
      </c>
      <c r="E70" t="s">
        <v>66</v>
      </c>
      <c r="F70" t="s">
        <v>202</v>
      </c>
      <c r="M70" t="str" cm="1">
        <f t="array" aca="1" ref="M70" ca="1">SUBSTITUTE(INDIRECT("C"&amp;ROW()), ":", "")</f>
        <v/>
      </c>
    </row>
    <row r="71" spans="1:14" x14ac:dyDescent="0.25">
      <c r="A71" t="s">
        <v>64</v>
      </c>
      <c r="B71" t="s" cm="1">
        <v>203</v>
      </c>
      <c r="E71" t="s">
        <v>66</v>
      </c>
      <c r="F71" t="s">
        <v>204</v>
      </c>
      <c r="M71" t="str" cm="1">
        <f t="array" aca="1" ref="M71" ca="1">SUBSTITUTE(INDIRECT("C"&amp;ROW()), ":", "")</f>
        <v/>
      </c>
    </row>
    <row r="72" spans="1:14" x14ac:dyDescent="0.25">
      <c r="A72" t="s">
        <v>64</v>
      </c>
      <c r="C72" t="s" cm="1">
        <v>205</v>
      </c>
      <c r="E72" t="s">
        <v>66</v>
      </c>
      <c r="F72" t="s">
        <v>206</v>
      </c>
      <c r="M72" t="str" cm="1">
        <f t="array" aca="1" ref="M72" ca="1">SUBSTITUTE(INDIRECT("C"&amp;ROW()), ":", "")</f>
        <v>Twiddlers Syndrome</v>
      </c>
      <c r="N72" t="s" cm="1">
        <v>205</v>
      </c>
    </row>
    <row r="73" spans="1:14" x14ac:dyDescent="0.25">
      <c r="A73" t="s">
        <v>64</v>
      </c>
      <c r="B73" t="s" cm="1">
        <v>207</v>
      </c>
      <c r="E73" t="s">
        <v>66</v>
      </c>
      <c r="F73" t="s">
        <v>208</v>
      </c>
      <c r="M73" t="str" cm="1">
        <f t="array" aca="1" ref="M73" ca="1">SUBSTITUTE(INDIRECT("C"&amp;ROW()), ":", "")</f>
        <v/>
      </c>
    </row>
    <row r="74" spans="1:14" x14ac:dyDescent="0.25">
      <c r="A74" t="s">
        <v>64</v>
      </c>
      <c r="C74" t="s" cm="1">
        <v>209</v>
      </c>
      <c r="E74" t="s">
        <v>66</v>
      </c>
      <c r="F74" t="s">
        <v>210</v>
      </c>
      <c r="M74" t="str" cm="1">
        <f t="array" aca="1" ref="M74" ca="1">SUBSTITUTE(INDIRECT("C"&amp;ROW()), ":", "")</f>
        <v>Ventricular Fibrillation</v>
      </c>
      <c r="N74" t="s" cm="1">
        <v>209</v>
      </c>
    </row>
    <row r="75" spans="1:14" x14ac:dyDescent="0.25">
      <c r="A75" t="s">
        <v>64</v>
      </c>
      <c r="C75" t="s" cm="1">
        <v>211</v>
      </c>
      <c r="E75" t="s">
        <v>66</v>
      </c>
      <c r="F75" t="s">
        <v>212</v>
      </c>
      <c r="M75" t="str" cm="1">
        <f t="array" aca="1" ref="M75" ca="1">SUBSTITUTE(INDIRECT("C"&amp;ROW()), ":", "")</f>
        <v>Ventricular Tachycardia</v>
      </c>
      <c r="N75" t="s" cm="1">
        <v>211</v>
      </c>
    </row>
    <row r="76" spans="1:14" x14ac:dyDescent="0.25">
      <c r="A76" t="s">
        <v>64</v>
      </c>
      <c r="B76" t="s" cm="1">
        <v>213</v>
      </c>
      <c r="E76" t="s">
        <v>66</v>
      </c>
      <c r="F76" t="s">
        <v>214</v>
      </c>
      <c r="M76" t="str" cm="1">
        <f t="array" aca="1" ref="M76" ca="1">SUBSTITUTE(INDIRECT("C"&amp;ROW()), ":", "")</f>
        <v/>
      </c>
    </row>
    <row r="77" spans="1:14" x14ac:dyDescent="0.25">
      <c r="A77" t="s">
        <v>215</v>
      </c>
      <c r="C77" t="s" cm="1">
        <v>216</v>
      </c>
      <c r="E77" t="s">
        <v>217</v>
      </c>
      <c r="F77" t="s">
        <v>218</v>
      </c>
      <c r="M77" t="str" cm="1">
        <f t="array" aca="1" ref="M77" ca="1">SUBSTITUTE(INDIRECT("C"&amp;ROW()), ":", "")</f>
        <v>Additional Intervention Required</v>
      </c>
      <c r="N77" t="s" cm="1">
        <v>216</v>
      </c>
    </row>
    <row r="78" spans="1:14" x14ac:dyDescent="0.25">
      <c r="A78" t="s">
        <v>215</v>
      </c>
      <c r="D78" t="s">
        <v>65</v>
      </c>
      <c r="E78" t="s">
        <v>217</v>
      </c>
      <c r="F78" t="s">
        <v>67</v>
      </c>
      <c r="M78" t="str" cm="1">
        <f t="array" aca="1" ref="M78" ca="1">SUBSTITUTE(INDIRECT("C"&amp;ROW()), ":", "")</f>
        <v/>
      </c>
    </row>
    <row r="79" spans="1:14" x14ac:dyDescent="0.25">
      <c r="A79" t="s">
        <v>215</v>
      </c>
      <c r="B79" t="s" cm="1">
        <v>219</v>
      </c>
      <c r="E79" t="s">
        <v>217</v>
      </c>
      <c r="F79" t="s">
        <v>220</v>
      </c>
      <c r="M79" t="str" cm="1">
        <f t="array" aca="1" ref="M79" ca="1">SUBSTITUTE(INDIRECT("C"&amp;ROW()), ":", "")</f>
        <v/>
      </c>
    </row>
    <row r="80" spans="1:14" x14ac:dyDescent="0.25">
      <c r="A80" t="s">
        <v>215</v>
      </c>
      <c r="C80" t="s" cm="1">
        <v>68</v>
      </c>
      <c r="E80" t="s">
        <v>217</v>
      </c>
      <c r="F80" t="s">
        <v>69</v>
      </c>
      <c r="M80" t="str" cm="1">
        <f t="array" aca="1" ref="M80" ca="1">SUBSTITUTE(INDIRECT("C"&amp;ROW()), ":", "")</f>
        <v>Allergic Reaction</v>
      </c>
      <c r="N80" t="s" cm="1">
        <v>68</v>
      </c>
    </row>
    <row r="81" spans="1:14" x14ac:dyDescent="0.25">
      <c r="A81" t="s">
        <v>215</v>
      </c>
      <c r="D81" t="s">
        <v>221</v>
      </c>
      <c r="E81" t="s">
        <v>217</v>
      </c>
      <c r="F81" t="s">
        <v>222</v>
      </c>
      <c r="M81" t="str" cm="1">
        <f t="array" aca="1" ref="M81" ca="1">SUBSTITUTE(INDIRECT("C"&amp;ROW()), ":", "")</f>
        <v/>
      </c>
    </row>
    <row r="82" spans="1:14" x14ac:dyDescent="0.25">
      <c r="A82" t="s">
        <v>215</v>
      </c>
      <c r="C82" t="s" cm="1">
        <v>70</v>
      </c>
      <c r="E82" t="s">
        <v>217</v>
      </c>
      <c r="F82" t="s">
        <v>71</v>
      </c>
      <c r="M82" t="str" cm="1">
        <f t="array" aca="1" ref="M82" ca="1">SUBSTITUTE(INDIRECT("C"&amp;ROW()), ":", "")</f>
        <v>Anxiety</v>
      </c>
      <c r="N82" t="s" cm="1">
        <v>70</v>
      </c>
    </row>
    <row r="83" spans="1:14" x14ac:dyDescent="0.25">
      <c r="A83" t="s">
        <v>215</v>
      </c>
      <c r="C83" t="s" cm="1">
        <v>223</v>
      </c>
      <c r="E83" t="s">
        <v>217</v>
      </c>
      <c r="F83" t="s">
        <v>224</v>
      </c>
      <c r="M83" t="str" cm="1">
        <f t="array" aca="1" ref="M83" ca="1">SUBSTITUTE(INDIRECT("C"&amp;ROW()), ":", "")</f>
        <v>Arrhythmia</v>
      </c>
      <c r="N83" t="s" cm="1">
        <v>223</v>
      </c>
    </row>
    <row r="84" spans="1:14" x14ac:dyDescent="0.25">
      <c r="A84" t="s">
        <v>215</v>
      </c>
      <c r="C84" t="s" cm="1">
        <v>72</v>
      </c>
      <c r="E84" t="s">
        <v>217</v>
      </c>
      <c r="F84" t="s">
        <v>73</v>
      </c>
      <c r="M84" t="str" cm="1">
        <f t="array" aca="1" ref="M84" ca="1">SUBSTITUTE(INDIRECT("C"&amp;ROW()), ":", "")</f>
        <v>Atrial Fibrillation</v>
      </c>
      <c r="N84" t="s" cm="1">
        <v>72</v>
      </c>
    </row>
    <row r="85" spans="1:14" x14ac:dyDescent="0.25">
      <c r="A85" t="s">
        <v>215</v>
      </c>
      <c r="C85" t="s" cm="1">
        <v>225</v>
      </c>
      <c r="E85" t="s">
        <v>217</v>
      </c>
      <c r="F85" t="s">
        <v>226</v>
      </c>
      <c r="M85" t="str" cm="1">
        <f t="array" aca="1" ref="M85" ca="1">SUBSTITUTE(INDIRECT("C"&amp;ROW()), ":", "")</f>
        <v>Atrial Flutter</v>
      </c>
      <c r="N85" t="s" cm="1">
        <v>225</v>
      </c>
    </row>
    <row r="86" spans="1:14" x14ac:dyDescent="0.25">
      <c r="A86" t="s">
        <v>215</v>
      </c>
      <c r="D86" t="s">
        <v>74</v>
      </c>
      <c r="E86" t="s">
        <v>217</v>
      </c>
      <c r="F86" t="s">
        <v>75</v>
      </c>
      <c r="M86" t="str" cm="1">
        <f t="array" aca="1" ref="M86" ca="1">SUBSTITUTE(INDIRECT("C"&amp;ROW()), ":", "")</f>
        <v/>
      </c>
    </row>
    <row r="87" spans="1:14" x14ac:dyDescent="0.25">
      <c r="A87" t="s">
        <v>215</v>
      </c>
      <c r="B87" t="s" cm="1">
        <v>227</v>
      </c>
      <c r="E87" t="s">
        <v>217</v>
      </c>
      <c r="F87" t="s">
        <v>228</v>
      </c>
      <c r="M87" t="str" cm="1">
        <f t="array" aca="1" ref="M87" ca="1">SUBSTITUTE(INDIRECT("C"&amp;ROW()), ":", "")</f>
        <v/>
      </c>
    </row>
    <row r="88" spans="1:14" x14ac:dyDescent="0.25">
      <c r="A88" t="s">
        <v>215</v>
      </c>
      <c r="B88" t="s" cm="1">
        <v>229</v>
      </c>
      <c r="E88" t="s">
        <v>217</v>
      </c>
      <c r="F88" t="s">
        <v>230</v>
      </c>
      <c r="M88" t="str" cm="1">
        <f t="array" aca="1" ref="M88" ca="1">SUBSTITUTE(INDIRECT("C"&amp;ROW()), ":", "")</f>
        <v/>
      </c>
    </row>
    <row r="89" spans="1:14" x14ac:dyDescent="0.25">
      <c r="A89" t="s">
        <v>215</v>
      </c>
      <c r="D89" t="s">
        <v>231</v>
      </c>
      <c r="E89" t="s">
        <v>217</v>
      </c>
      <c r="F89" t="s">
        <v>232</v>
      </c>
      <c r="M89" t="str" cm="1">
        <f t="array" aca="1" ref="M89" ca="1">SUBSTITUTE(INDIRECT("C"&amp;ROW()), ":", "")</f>
        <v/>
      </c>
    </row>
    <row r="90" spans="1:14" x14ac:dyDescent="0.25">
      <c r="A90" t="s">
        <v>215</v>
      </c>
      <c r="C90" t="s" cm="1">
        <v>76</v>
      </c>
      <c r="E90" t="s">
        <v>217</v>
      </c>
      <c r="F90" t="s">
        <v>77</v>
      </c>
      <c r="M90" t="str" cm="1">
        <f t="array" aca="1" ref="M90" ca="1">SUBSTITUTE(INDIRECT("C"&amp;ROW()), ":", "")</f>
        <v>Burning Sensation</v>
      </c>
      <c r="N90" t="s" cm="1">
        <v>76</v>
      </c>
    </row>
    <row r="91" spans="1:14" x14ac:dyDescent="0.25">
      <c r="A91" t="s">
        <v>215</v>
      </c>
      <c r="B91" t="s" cm="1">
        <v>233</v>
      </c>
      <c r="E91" t="s">
        <v>217</v>
      </c>
      <c r="F91" t="s">
        <v>234</v>
      </c>
      <c r="M91" t="str" cm="1">
        <f t="array" aca="1" ref="M91" ca="1">SUBSTITUTE(INDIRECT("C"&amp;ROW()), ":", "")</f>
        <v/>
      </c>
    </row>
    <row r="92" spans="1:14" x14ac:dyDescent="0.25">
      <c r="A92" t="s">
        <v>215</v>
      </c>
      <c r="B92" t="s" cm="1">
        <v>235</v>
      </c>
      <c r="E92" t="s">
        <v>217</v>
      </c>
      <c r="F92" t="s">
        <v>236</v>
      </c>
      <c r="M92" t="str" cm="1">
        <f t="array" aca="1" ref="M92" ca="1">SUBSTITUTE(INDIRECT("C"&amp;ROW()), ":", "")</f>
        <v/>
      </c>
    </row>
    <row r="93" spans="1:14" x14ac:dyDescent="0.25">
      <c r="A93" t="s">
        <v>215</v>
      </c>
      <c r="C93" t="s" cm="1">
        <v>237</v>
      </c>
      <c r="E93" t="s">
        <v>217</v>
      </c>
      <c r="F93" t="s">
        <v>238</v>
      </c>
      <c r="M93" t="str" cm="1">
        <f t="array" aca="1" ref="M93" ca="1">SUBSTITUTE(INDIRECT("C"&amp;ROW()), ":", "")</f>
        <v>Complete Heart Block</v>
      </c>
      <c r="N93" t="s" cm="1">
        <v>237</v>
      </c>
    </row>
    <row r="94" spans="1:14" x14ac:dyDescent="0.25">
      <c r="A94" t="s">
        <v>215</v>
      </c>
      <c r="B94" t="s" cm="1">
        <v>80</v>
      </c>
      <c r="E94" t="s">
        <v>217</v>
      </c>
      <c r="F94" t="s">
        <v>81</v>
      </c>
      <c r="M94" t="str" cm="1">
        <f t="array" aca="1" ref="M94" ca="1">SUBSTITUTE(INDIRECT("C"&amp;ROW()), ":", "")</f>
        <v/>
      </c>
    </row>
    <row r="95" spans="1:14" x14ac:dyDescent="0.25">
      <c r="A95" t="s">
        <v>215</v>
      </c>
      <c r="B95" t="s" cm="1">
        <v>82</v>
      </c>
      <c r="E95" t="s">
        <v>217</v>
      </c>
      <c r="F95" t="s">
        <v>83</v>
      </c>
      <c r="M95" t="str" cm="1">
        <f t="array" aca="1" ref="M95" ca="1">SUBSTITUTE(INDIRECT("C"&amp;ROW()), ":", "")</f>
        <v/>
      </c>
    </row>
    <row r="96" spans="1:14" x14ac:dyDescent="0.25">
      <c r="A96" t="s">
        <v>215</v>
      </c>
      <c r="B96" t="s" cm="1">
        <v>239</v>
      </c>
      <c r="E96" t="s">
        <v>217</v>
      </c>
      <c r="F96" t="s">
        <v>240</v>
      </c>
      <c r="M96" t="str" cm="1">
        <f t="array" aca="1" ref="M96" ca="1">SUBSTITUTE(INDIRECT("C"&amp;ROW()), ":", "")</f>
        <v/>
      </c>
    </row>
    <row r="97" spans="1:14" x14ac:dyDescent="0.25">
      <c r="A97" t="s">
        <v>215</v>
      </c>
      <c r="C97" t="s" cm="1">
        <v>241</v>
      </c>
      <c r="E97" t="s">
        <v>217</v>
      </c>
      <c r="F97" t="s">
        <v>85</v>
      </c>
      <c r="M97" t="str" cm="1">
        <f t="array" aca="1" ref="M97" ca="1">SUBSTITUTE(INDIRECT("C"&amp;ROW()), ":", "")</f>
        <v>Death</v>
      </c>
      <c r="N97" t="s" cm="1">
        <v>241</v>
      </c>
    </row>
    <row r="98" spans="1:14" x14ac:dyDescent="0.25">
      <c r="A98" t="s">
        <v>215</v>
      </c>
      <c r="D98" t="s">
        <v>84</v>
      </c>
      <c r="E98" t="s">
        <v>217</v>
      </c>
      <c r="F98" t="s">
        <v>85</v>
      </c>
      <c r="M98" t="str" cm="1">
        <f t="array" aca="1" ref="M98" ca="1">SUBSTITUTE(INDIRECT("C"&amp;ROW()), ":", "")</f>
        <v/>
      </c>
    </row>
    <row r="99" spans="1:14" x14ac:dyDescent="0.25">
      <c r="A99" t="s">
        <v>215</v>
      </c>
      <c r="B99" t="s" cm="1">
        <v>242</v>
      </c>
      <c r="E99" t="s">
        <v>217</v>
      </c>
      <c r="F99" t="s">
        <v>243</v>
      </c>
      <c r="M99" t="str" cm="1">
        <f t="array" aca="1" ref="M99" ca="1">SUBSTITUTE(INDIRECT("C"&amp;ROW()), ":", "")</f>
        <v/>
      </c>
    </row>
    <row r="100" spans="1:14" x14ac:dyDescent="0.25">
      <c r="A100" t="s">
        <v>215</v>
      </c>
      <c r="B100" t="s" cm="1">
        <v>62</v>
      </c>
      <c r="E100" t="s">
        <v>217</v>
      </c>
      <c r="F100" t="s">
        <v>86</v>
      </c>
      <c r="M100" t="str" cm="1">
        <f t="array" aca="1" ref="M100" ca="1">SUBSTITUTE(INDIRECT("C"&amp;ROW()), ":", "")</f>
        <v/>
      </c>
    </row>
    <row r="101" spans="1:14" x14ac:dyDescent="0.25">
      <c r="A101" t="s">
        <v>215</v>
      </c>
      <c r="D101" t="s">
        <v>87</v>
      </c>
      <c r="E101" t="s">
        <v>217</v>
      </c>
      <c r="F101" t="s">
        <v>88</v>
      </c>
      <c r="M101" t="str" cm="1">
        <f t="array" aca="1" ref="M101" ca="1">SUBSTITUTE(INDIRECT("C"&amp;ROW()), ":", "")</f>
        <v/>
      </c>
    </row>
    <row r="102" spans="1:14" x14ac:dyDescent="0.25">
      <c r="A102" t="s">
        <v>215</v>
      </c>
      <c r="B102" t="s" cm="1">
        <v>89</v>
      </c>
      <c r="E102" t="s">
        <v>217</v>
      </c>
      <c r="F102" t="s">
        <v>90</v>
      </c>
      <c r="M102" t="str" cm="1">
        <f t="array" aca="1" ref="M102" ca="1">SUBSTITUTE(INDIRECT("C"&amp;ROW()), ":", "")</f>
        <v/>
      </c>
    </row>
    <row r="103" spans="1:14" x14ac:dyDescent="0.25">
      <c r="A103" t="s">
        <v>215</v>
      </c>
      <c r="D103" t="s">
        <v>91</v>
      </c>
      <c r="E103" t="s">
        <v>217</v>
      </c>
      <c r="F103" t="s">
        <v>92</v>
      </c>
      <c r="M103" t="str" cm="1">
        <f t="array" aca="1" ref="M103" ca="1">SUBSTITUTE(INDIRECT("C"&amp;ROW()), ":", "")</f>
        <v/>
      </c>
    </row>
    <row r="104" spans="1:14" x14ac:dyDescent="0.25">
      <c r="A104" t="s">
        <v>215</v>
      </c>
      <c r="D104" t="s">
        <v>93</v>
      </c>
      <c r="E104" t="s">
        <v>217</v>
      </c>
      <c r="F104" t="s">
        <v>94</v>
      </c>
      <c r="M104" t="str" cm="1">
        <f t="array" aca="1" ref="M104" ca="1">SUBSTITUTE(INDIRECT("C"&amp;ROW()), ":", "")</f>
        <v/>
      </c>
    </row>
    <row r="105" spans="1:14" x14ac:dyDescent="0.25">
      <c r="A105" t="s">
        <v>215</v>
      </c>
      <c r="B105" t="s" cm="1">
        <v>244</v>
      </c>
      <c r="E105" t="s">
        <v>217</v>
      </c>
      <c r="F105" t="s">
        <v>245</v>
      </c>
      <c r="M105" t="str" cm="1">
        <f t="array" aca="1" ref="M105" ca="1">SUBSTITUTE(INDIRECT("C"&amp;ROW()), ":", "")</f>
        <v/>
      </c>
    </row>
    <row r="106" spans="1:14" x14ac:dyDescent="0.25">
      <c r="A106" t="s">
        <v>215</v>
      </c>
      <c r="B106" t="s" cm="1">
        <v>246</v>
      </c>
      <c r="E106" t="s">
        <v>217</v>
      </c>
      <c r="F106" t="s">
        <v>247</v>
      </c>
      <c r="M106" t="str" cm="1">
        <f t="array" aca="1" ref="M106" ca="1">SUBSTITUTE(INDIRECT("C"&amp;ROW()), ":", "")</f>
        <v/>
      </c>
    </row>
    <row r="107" spans="1:14" x14ac:dyDescent="0.25">
      <c r="A107" t="s">
        <v>215</v>
      </c>
      <c r="B107" t="s" cm="1">
        <v>248</v>
      </c>
      <c r="E107" t="s">
        <v>217</v>
      </c>
      <c r="F107" t="s">
        <v>249</v>
      </c>
      <c r="M107" t="str" cm="1">
        <f t="array" aca="1" ref="M107" ca="1">SUBSTITUTE(INDIRECT("C"&amp;ROW()), ":", "")</f>
        <v/>
      </c>
    </row>
    <row r="108" spans="1:14" x14ac:dyDescent="0.25">
      <c r="A108" t="s">
        <v>215</v>
      </c>
      <c r="B108" t="s" cm="1">
        <v>250</v>
      </c>
      <c r="E108" t="s">
        <v>217</v>
      </c>
      <c r="F108" t="s">
        <v>251</v>
      </c>
      <c r="M108" t="str" cm="1">
        <f t="array" aca="1" ref="M108" ca="1">SUBSTITUTE(INDIRECT("C"&amp;ROW()), ":", "")</f>
        <v/>
      </c>
    </row>
    <row r="109" spans="1:14" x14ac:dyDescent="0.25">
      <c r="A109" t="s">
        <v>215</v>
      </c>
      <c r="B109" t="s" cm="1">
        <v>99</v>
      </c>
      <c r="E109" t="s">
        <v>217</v>
      </c>
      <c r="F109" t="s">
        <v>100</v>
      </c>
      <c r="M109" t="str" cm="1">
        <f t="array" aca="1" ref="M109" ca="1">SUBSTITUTE(INDIRECT("C"&amp;ROW()), ":", "")</f>
        <v/>
      </c>
    </row>
    <row r="110" spans="1:14" x14ac:dyDescent="0.25">
      <c r="A110" t="s">
        <v>215</v>
      </c>
      <c r="B110" t="s" cm="1">
        <v>101</v>
      </c>
      <c r="E110" t="s">
        <v>217</v>
      </c>
      <c r="F110" t="s">
        <v>102</v>
      </c>
      <c r="M110" t="str" cm="1">
        <f t="array" aca="1" ref="M110" ca="1">SUBSTITUTE(INDIRECT("C"&amp;ROW()), ":", "")</f>
        <v/>
      </c>
    </row>
    <row r="111" spans="1:14" x14ac:dyDescent="0.25">
      <c r="A111" t="s">
        <v>215</v>
      </c>
      <c r="D111" t="s">
        <v>252</v>
      </c>
      <c r="E111" t="s">
        <v>217</v>
      </c>
      <c r="F111" t="s">
        <v>253</v>
      </c>
      <c r="M111" t="str" cm="1">
        <f t="array" aca="1" ref="M111" ca="1">SUBSTITUTE(INDIRECT("C"&amp;ROW()), ":", "")</f>
        <v/>
      </c>
    </row>
    <row r="112" spans="1:14" x14ac:dyDescent="0.25">
      <c r="A112" t="s">
        <v>215</v>
      </c>
      <c r="C112" t="s" cm="1">
        <v>103</v>
      </c>
      <c r="E112" t="s">
        <v>217</v>
      </c>
      <c r="F112" t="s">
        <v>104</v>
      </c>
      <c r="M112" t="str" cm="1">
        <f t="array" aca="1" ref="M112" ca="1">SUBSTITUTE(INDIRECT("C"&amp;ROW()), ":", "")</f>
        <v>Discomfort</v>
      </c>
      <c r="N112" t="s" cm="1">
        <v>103</v>
      </c>
    </row>
    <row r="113" spans="1:14" x14ac:dyDescent="0.25">
      <c r="A113" t="s">
        <v>215</v>
      </c>
      <c r="C113" t="s" cm="1">
        <v>254</v>
      </c>
      <c r="E113" t="s">
        <v>217</v>
      </c>
      <c r="F113" t="s">
        <v>255</v>
      </c>
      <c r="M113" t="str" cm="1">
        <f t="array" aca="1" ref="M113" ca="1">SUBSTITUTE(INDIRECT("C"&amp;ROW()), ":", "")</f>
        <v>Dyspnea</v>
      </c>
      <c r="N113" t="s" cm="1">
        <v>254</v>
      </c>
    </row>
    <row r="114" spans="1:14" x14ac:dyDescent="0.25">
      <c r="A114" t="s">
        <v>215</v>
      </c>
      <c r="B114" t="s" cm="1">
        <v>256</v>
      </c>
      <c r="E114" t="s">
        <v>217</v>
      </c>
      <c r="F114" t="s">
        <v>257</v>
      </c>
      <c r="M114" t="str" cm="1">
        <f t="array" aca="1" ref="M114" ca="1">SUBSTITUTE(INDIRECT("C"&amp;ROW()), ":", "")</f>
        <v/>
      </c>
    </row>
    <row r="115" spans="1:14" x14ac:dyDescent="0.25">
      <c r="A115" t="s">
        <v>215</v>
      </c>
      <c r="C115" t="s" cm="1">
        <v>107</v>
      </c>
      <c r="E115" t="s">
        <v>217</v>
      </c>
      <c r="F115" t="s">
        <v>108</v>
      </c>
      <c r="M115" t="str" cm="1">
        <f t="array" aca="1" ref="M115" ca="1">SUBSTITUTE(INDIRECT("C"&amp;ROW()), ":", "")</f>
        <v>Electric Shock</v>
      </c>
      <c r="N115" t="s" cm="1">
        <v>107</v>
      </c>
    </row>
    <row r="116" spans="1:14" x14ac:dyDescent="0.25">
      <c r="A116" t="s">
        <v>215</v>
      </c>
      <c r="C116" t="s" cm="1">
        <v>258</v>
      </c>
      <c r="E116" t="s">
        <v>217</v>
      </c>
      <c r="F116" t="s">
        <v>259</v>
      </c>
      <c r="M116" t="str" cm="1">
        <f t="array" aca="1" ref="M116" ca="1">SUBSTITUTE(INDIRECT("C"&amp;ROW()), ":", "")</f>
        <v>Emotional Reactivity</v>
      </c>
      <c r="N116" t="s" cm="1">
        <v>258</v>
      </c>
    </row>
    <row r="117" spans="1:14" x14ac:dyDescent="0.25">
      <c r="A117" t="s">
        <v>215</v>
      </c>
      <c r="C117" t="s" cm="1">
        <v>109</v>
      </c>
      <c r="E117" t="s">
        <v>217</v>
      </c>
      <c r="F117" t="s">
        <v>110</v>
      </c>
      <c r="M117" t="str" cm="1">
        <f t="array" aca="1" ref="M117" ca="1">SUBSTITUTE(INDIRECT("C"&amp;ROW()), ":", "")</f>
        <v>Erosion</v>
      </c>
      <c r="N117" t="s" cm="1">
        <v>109</v>
      </c>
    </row>
    <row r="118" spans="1:14" x14ac:dyDescent="0.25">
      <c r="A118" t="s">
        <v>215</v>
      </c>
      <c r="C118" t="s" cm="1">
        <v>111</v>
      </c>
      <c r="E118" t="s">
        <v>217</v>
      </c>
      <c r="F118" t="s">
        <v>112</v>
      </c>
      <c r="M118" t="str" cm="1">
        <f t="array" aca="1" ref="M118" ca="1">SUBSTITUTE(INDIRECT("C"&amp;ROW()), ":", "")</f>
        <v>Erosion, Pocket</v>
      </c>
      <c r="N118" t="s" cm="1">
        <v>111</v>
      </c>
    </row>
    <row r="119" spans="1:14" x14ac:dyDescent="0.25">
      <c r="A119" t="s">
        <v>215</v>
      </c>
      <c r="B119" t="s" cm="1">
        <v>260</v>
      </c>
      <c r="E119" t="s">
        <v>217</v>
      </c>
      <c r="F119" t="s">
        <v>261</v>
      </c>
      <c r="M119" t="str" cm="1">
        <f t="array" aca="1" ref="M119" ca="1">SUBSTITUTE(INDIRECT("C"&amp;ROW()), ":", "")</f>
        <v/>
      </c>
    </row>
    <row r="120" spans="1:14" x14ac:dyDescent="0.25">
      <c r="A120" t="s">
        <v>215</v>
      </c>
      <c r="B120" t="s" cm="1">
        <v>113</v>
      </c>
      <c r="E120" t="s">
        <v>217</v>
      </c>
      <c r="F120" t="s">
        <v>114</v>
      </c>
      <c r="M120" t="str" cm="1">
        <f t="array" aca="1" ref="M120" ca="1">SUBSTITUTE(INDIRECT("C"&amp;ROW()), ":", "")</f>
        <v/>
      </c>
    </row>
    <row r="121" spans="1:14" x14ac:dyDescent="0.25">
      <c r="A121" t="s">
        <v>215</v>
      </c>
      <c r="B121" t="s" cm="1">
        <v>262</v>
      </c>
      <c r="E121" t="s">
        <v>217</v>
      </c>
      <c r="F121" t="s">
        <v>263</v>
      </c>
      <c r="M121" t="str" cm="1">
        <f t="array" aca="1" ref="M121" ca="1">SUBSTITUTE(INDIRECT("C"&amp;ROW()), ":", "")</f>
        <v/>
      </c>
    </row>
    <row r="122" spans="1:14" x14ac:dyDescent="0.25">
      <c r="A122" t="s">
        <v>215</v>
      </c>
      <c r="B122" t="s" cm="1">
        <v>117</v>
      </c>
      <c r="E122" t="s">
        <v>217</v>
      </c>
      <c r="F122" t="s">
        <v>118</v>
      </c>
      <c r="M122" t="str" cm="1">
        <f t="array" aca="1" ref="M122" ca="1">SUBSTITUTE(INDIRECT("C"&amp;ROW()), ":", "")</f>
        <v/>
      </c>
    </row>
    <row r="123" spans="1:14" x14ac:dyDescent="0.25">
      <c r="A123" t="s">
        <v>215</v>
      </c>
      <c r="C123" t="s" cm="1">
        <v>119</v>
      </c>
      <c r="E123" t="s">
        <v>217</v>
      </c>
      <c r="F123" t="s">
        <v>120</v>
      </c>
      <c r="M123" t="str" cm="1">
        <f t="array" aca="1" ref="M123" ca="1">SUBSTITUTE(INDIRECT("C"&amp;ROW()), ":", "")</f>
        <v>Fall</v>
      </c>
      <c r="N123" t="s" cm="1">
        <v>119</v>
      </c>
    </row>
    <row r="124" spans="1:14" x14ac:dyDescent="0.25">
      <c r="A124" t="s">
        <v>215</v>
      </c>
      <c r="B124" t="s" cm="1">
        <v>264</v>
      </c>
      <c r="E124" t="s">
        <v>217</v>
      </c>
      <c r="F124" t="s">
        <v>265</v>
      </c>
      <c r="M124" t="str" cm="1">
        <f t="array" aca="1" ref="M124" ca="1">SUBSTITUTE(INDIRECT("C"&amp;ROW()), ":", "")</f>
        <v/>
      </c>
    </row>
    <row r="125" spans="1:14" x14ac:dyDescent="0.25">
      <c r="A125" t="s">
        <v>215</v>
      </c>
      <c r="B125" t="s" cm="1">
        <v>266</v>
      </c>
      <c r="E125" t="s">
        <v>217</v>
      </c>
      <c r="F125" t="s">
        <v>267</v>
      </c>
      <c r="M125" t="str" cm="1">
        <f t="array" aca="1" ref="M125" ca="1">SUBSTITUTE(INDIRECT("C"&amp;ROW()), ":", "")</f>
        <v/>
      </c>
    </row>
    <row r="126" spans="1:14" x14ac:dyDescent="0.25">
      <c r="A126" t="s">
        <v>215</v>
      </c>
      <c r="C126" t="s" cm="1">
        <v>268</v>
      </c>
      <c r="E126" t="s">
        <v>217</v>
      </c>
      <c r="F126" t="s">
        <v>269</v>
      </c>
      <c r="M126" t="str" cm="1">
        <f t="array" aca="1" ref="M126" ca="1">SUBSTITUTE(INDIRECT("C"&amp;ROW()), ":", "")</f>
        <v>Head Injury</v>
      </c>
      <c r="N126" t="s" cm="1">
        <v>268</v>
      </c>
    </row>
    <row r="127" spans="1:14" x14ac:dyDescent="0.25">
      <c r="A127" t="s">
        <v>215</v>
      </c>
      <c r="C127" t="s" cm="1">
        <v>270</v>
      </c>
      <c r="E127" t="s">
        <v>217</v>
      </c>
      <c r="F127" t="s">
        <v>271</v>
      </c>
      <c r="M127" t="str" cm="1">
        <f t="array" aca="1" ref="M127" ca="1">SUBSTITUTE(INDIRECT("C"&amp;ROW()), ":", "")</f>
        <v>Heart Block</v>
      </c>
      <c r="N127" t="s" cm="1">
        <v>270</v>
      </c>
    </row>
    <row r="128" spans="1:14" x14ac:dyDescent="0.25">
      <c r="A128" t="s">
        <v>215</v>
      </c>
      <c r="C128" t="s" cm="1">
        <v>123</v>
      </c>
      <c r="E128" t="s">
        <v>217</v>
      </c>
      <c r="F128" t="s">
        <v>124</v>
      </c>
      <c r="M128" t="str" cm="1">
        <f t="array" aca="1" ref="M128" ca="1">SUBSTITUTE(INDIRECT("C"&amp;ROW()), ":", "")</f>
        <v>Hematoma</v>
      </c>
      <c r="N128" t="s" cm="1">
        <v>123</v>
      </c>
    </row>
    <row r="129" spans="1:14" x14ac:dyDescent="0.25">
      <c r="A129" t="s">
        <v>215</v>
      </c>
      <c r="B129" t="s" cm="1">
        <v>125</v>
      </c>
      <c r="E129" t="s">
        <v>217</v>
      </c>
      <c r="F129" t="s">
        <v>126</v>
      </c>
      <c r="M129" t="str" cm="1">
        <f t="array" aca="1" ref="M129" ca="1">SUBSTITUTE(INDIRECT("C"&amp;ROW()), ":", "")</f>
        <v/>
      </c>
    </row>
    <row r="130" spans="1:14" x14ac:dyDescent="0.25">
      <c r="A130" t="s">
        <v>215</v>
      </c>
      <c r="D130" t="s">
        <v>127</v>
      </c>
      <c r="E130" t="s">
        <v>217</v>
      </c>
      <c r="F130" t="s">
        <v>128</v>
      </c>
      <c r="M130" t="str" cm="1">
        <f t="array" aca="1" ref="M130" ca="1">SUBSTITUTE(INDIRECT("C"&amp;ROW()), ":", "")</f>
        <v/>
      </c>
    </row>
    <row r="131" spans="1:14" x14ac:dyDescent="0.25">
      <c r="A131" t="s">
        <v>215</v>
      </c>
      <c r="C131" t="s" cm="1">
        <v>272</v>
      </c>
      <c r="E131" t="s">
        <v>217</v>
      </c>
      <c r="F131" t="s">
        <v>273</v>
      </c>
      <c r="M131" t="str" cm="1">
        <f t="array" aca="1" ref="M131" ca="1">SUBSTITUTE(INDIRECT("C"&amp;ROW()), ":", "")</f>
        <v>Idioventricular Rhythm</v>
      </c>
      <c r="N131" t="s" cm="1">
        <v>272</v>
      </c>
    </row>
    <row r="132" spans="1:14" x14ac:dyDescent="0.25">
      <c r="A132" t="s">
        <v>215</v>
      </c>
      <c r="C132" t="s" cm="1">
        <v>129</v>
      </c>
      <c r="E132" t="s">
        <v>217</v>
      </c>
      <c r="F132" t="s">
        <v>130</v>
      </c>
      <c r="M132" t="str" cm="1">
        <f t="array" aca="1" ref="M132" ca="1">SUBSTITUTE(INDIRECT("C"&amp;ROW()), ":", "")</f>
        <v>Implant Pain</v>
      </c>
      <c r="N132" t="s" cm="1">
        <v>129</v>
      </c>
    </row>
    <row r="133" spans="1:14" x14ac:dyDescent="0.25">
      <c r="A133" t="s">
        <v>215</v>
      </c>
      <c r="B133" t="s" cm="1">
        <v>274</v>
      </c>
      <c r="E133" t="s">
        <v>217</v>
      </c>
      <c r="F133" t="s">
        <v>275</v>
      </c>
      <c r="M133" t="str" cm="1">
        <f t="array" aca="1" ref="M133" ca="1">SUBSTITUTE(INDIRECT("C"&amp;ROW()), ":", "")</f>
        <v/>
      </c>
    </row>
    <row r="134" spans="1:14" x14ac:dyDescent="0.25">
      <c r="A134" t="s">
        <v>215</v>
      </c>
      <c r="D134" t="s">
        <v>131</v>
      </c>
      <c r="E134" t="s">
        <v>217</v>
      </c>
      <c r="F134" t="s">
        <v>132</v>
      </c>
      <c r="M134" t="str" cm="1">
        <f t="array" aca="1" ref="M134" ca="1">SUBSTITUTE(INDIRECT("C"&amp;ROW()), ":", "")</f>
        <v/>
      </c>
    </row>
    <row r="135" spans="1:14" x14ac:dyDescent="0.25">
      <c r="A135" t="s">
        <v>215</v>
      </c>
      <c r="B135" t="s" cm="1">
        <v>276</v>
      </c>
      <c r="E135" t="s">
        <v>217</v>
      </c>
      <c r="F135" t="s">
        <v>277</v>
      </c>
      <c r="M135" t="str" cm="1">
        <f t="array" aca="1" ref="M135" ca="1">SUBSTITUTE(INDIRECT("C"&amp;ROW()), ":", "")</f>
        <v/>
      </c>
    </row>
    <row r="136" spans="1:14" x14ac:dyDescent="0.25">
      <c r="A136" t="s">
        <v>215</v>
      </c>
      <c r="B136" t="s" cm="1">
        <v>133</v>
      </c>
      <c r="E136" t="s">
        <v>217</v>
      </c>
      <c r="F136" t="s">
        <v>134</v>
      </c>
      <c r="M136" t="str" cm="1">
        <f t="array" aca="1" ref="M136" ca="1">SUBSTITUTE(INDIRECT("C"&amp;ROW()), ":", "")</f>
        <v/>
      </c>
    </row>
    <row r="137" spans="1:14" x14ac:dyDescent="0.25">
      <c r="A137" t="s">
        <v>215</v>
      </c>
      <c r="C137" t="s" cm="1">
        <v>135</v>
      </c>
      <c r="E137" t="s">
        <v>217</v>
      </c>
      <c r="F137" t="s">
        <v>136</v>
      </c>
      <c r="M137" t="str" cm="1">
        <f t="array" aca="1" ref="M137" ca="1">SUBSTITUTE(INDIRECT("C"&amp;ROW()), ":", "")</f>
        <v>Infection</v>
      </c>
      <c r="N137" t="s" cm="1">
        <v>135</v>
      </c>
    </row>
    <row r="138" spans="1:14" x14ac:dyDescent="0.25">
      <c r="A138" t="s">
        <v>215</v>
      </c>
      <c r="C138" t="s" cm="1">
        <v>137</v>
      </c>
      <c r="E138" t="s">
        <v>217</v>
      </c>
      <c r="F138" t="s">
        <v>138</v>
      </c>
      <c r="M138" t="str" cm="1">
        <f t="array" aca="1" ref="M138" ca="1">SUBSTITUTE(INDIRECT("C"&amp;ROW()), ":", "")</f>
        <v>Infection, Bacterial</v>
      </c>
      <c r="N138" t="s" cm="1">
        <v>137</v>
      </c>
    </row>
    <row r="139" spans="1:14" x14ac:dyDescent="0.25">
      <c r="A139" t="s">
        <v>215</v>
      </c>
      <c r="C139" t="s" cm="1">
        <v>278</v>
      </c>
      <c r="E139" t="s">
        <v>217</v>
      </c>
      <c r="F139" t="s">
        <v>279</v>
      </c>
      <c r="M139" t="str" cm="1">
        <f t="array" aca="1" ref="M139" ca="1">SUBSTITUTE(INDIRECT("C"&amp;ROW()), ":", "")</f>
        <v>Infection, Staphylococcus Aureus</v>
      </c>
      <c r="N139" t="s" cm="1">
        <v>278</v>
      </c>
    </row>
    <row r="140" spans="1:14" x14ac:dyDescent="0.25">
      <c r="A140" t="s">
        <v>215</v>
      </c>
      <c r="B140" t="s" cm="1">
        <v>280</v>
      </c>
      <c r="E140" t="s">
        <v>217</v>
      </c>
      <c r="F140" t="s">
        <v>281</v>
      </c>
      <c r="M140" t="str" cm="1">
        <f t="array" aca="1" ref="M140" ca="1">SUBSTITUTE(INDIRECT("C"&amp;ROW()), ":", "")</f>
        <v/>
      </c>
    </row>
    <row r="141" spans="1:14" x14ac:dyDescent="0.25">
      <c r="A141" t="s">
        <v>215</v>
      </c>
      <c r="D141" t="s">
        <v>282</v>
      </c>
      <c r="E141" t="s">
        <v>217</v>
      </c>
      <c r="F141" t="s">
        <v>283</v>
      </c>
      <c r="M141" t="str" cm="1">
        <f t="array" aca="1" ref="M141" ca="1">SUBSTITUTE(INDIRECT("C"&amp;ROW()), ":", "")</f>
        <v/>
      </c>
    </row>
    <row r="142" spans="1:14" x14ac:dyDescent="0.25">
      <c r="A142" t="s">
        <v>215</v>
      </c>
      <c r="C142" t="s" cm="1">
        <v>139</v>
      </c>
      <c r="E142" t="s">
        <v>217</v>
      </c>
      <c r="F142" t="s">
        <v>140</v>
      </c>
      <c r="M142" t="str" cm="1">
        <f t="array" aca="1" ref="M142" ca="1">SUBSTITUTE(INDIRECT("C"&amp;ROW()), ":", "")</f>
        <v>Irritation, Skin</v>
      </c>
      <c r="N142" t="s" cm="1">
        <v>139</v>
      </c>
    </row>
    <row r="143" spans="1:14" x14ac:dyDescent="0.25">
      <c r="A143" t="s">
        <v>215</v>
      </c>
      <c r="B143" t="s" cm="1">
        <v>141</v>
      </c>
      <c r="E143" t="s">
        <v>217</v>
      </c>
      <c r="F143" t="s">
        <v>142</v>
      </c>
      <c r="M143" t="str" cm="1">
        <f t="array" aca="1" ref="M143" ca="1">SUBSTITUTE(INDIRECT("C"&amp;ROW()), ":", "")</f>
        <v/>
      </c>
    </row>
    <row r="144" spans="1:14" x14ac:dyDescent="0.25">
      <c r="A144" t="s">
        <v>215</v>
      </c>
      <c r="D144" t="s">
        <v>143</v>
      </c>
      <c r="E144" t="s">
        <v>217</v>
      </c>
      <c r="F144" t="s">
        <v>144</v>
      </c>
      <c r="M144" t="str" cm="1">
        <f t="array" aca="1" ref="M144" ca="1">SUBSTITUTE(INDIRECT("C"&amp;ROW()), ":", "")</f>
        <v/>
      </c>
    </row>
    <row r="145" spans="1:14" x14ac:dyDescent="0.25">
      <c r="A145" t="s">
        <v>215</v>
      </c>
      <c r="B145" t="s" cm="1">
        <v>145</v>
      </c>
      <c r="E145" t="s">
        <v>217</v>
      </c>
      <c r="F145" t="s">
        <v>146</v>
      </c>
      <c r="M145" t="str" cm="1">
        <f t="array" aca="1" ref="M145" ca="1">SUBSTITUTE(INDIRECT("C"&amp;ROW()), ":", "")</f>
        <v/>
      </c>
    </row>
    <row r="146" spans="1:14" x14ac:dyDescent="0.25">
      <c r="A146" t="s">
        <v>215</v>
      </c>
      <c r="D146" t="s">
        <v>147</v>
      </c>
      <c r="E146" t="s">
        <v>217</v>
      </c>
      <c r="F146" t="s">
        <v>148</v>
      </c>
      <c r="M146" t="str" cm="1">
        <f t="array" aca="1" ref="M146" ca="1">SUBSTITUTE(INDIRECT("C"&amp;ROW()), ":", "")</f>
        <v/>
      </c>
    </row>
    <row r="147" spans="1:14" x14ac:dyDescent="0.25">
      <c r="A147" t="s">
        <v>215</v>
      </c>
      <c r="D147" t="s">
        <v>149</v>
      </c>
      <c r="E147" t="s">
        <v>217</v>
      </c>
      <c r="F147" t="s">
        <v>150</v>
      </c>
      <c r="M147" t="str" cm="1">
        <f t="array" aca="1" ref="M147" ca="1">SUBSTITUTE(INDIRECT("C"&amp;ROW()), ":", "")</f>
        <v/>
      </c>
    </row>
    <row r="148" spans="1:14" x14ac:dyDescent="0.25">
      <c r="A148" t="s">
        <v>215</v>
      </c>
      <c r="C148" t="s" cm="1">
        <v>151</v>
      </c>
      <c r="E148" t="s">
        <v>217</v>
      </c>
      <c r="F148" t="s">
        <v>152</v>
      </c>
      <c r="M148" t="str" cm="1">
        <f t="array" aca="1" ref="M148" ca="1">SUBSTITUTE(INDIRECT("C"&amp;ROW()), ":", "")</f>
        <v>Necrosis</v>
      </c>
      <c r="N148" t="s" cm="1">
        <v>151</v>
      </c>
    </row>
    <row r="149" spans="1:14" x14ac:dyDescent="0.25">
      <c r="A149" t="s">
        <v>215</v>
      </c>
      <c r="B149" t="s" cm="1">
        <v>284</v>
      </c>
      <c r="E149" t="s">
        <v>217</v>
      </c>
      <c r="F149" t="s">
        <v>285</v>
      </c>
      <c r="M149" t="str" cm="1">
        <f t="array" aca="1" ref="M149" ca="1">SUBSTITUTE(INDIRECT("C"&amp;ROW()), ":", "")</f>
        <v/>
      </c>
    </row>
    <row r="150" spans="1:14" x14ac:dyDescent="0.25">
      <c r="A150" t="s">
        <v>215</v>
      </c>
      <c r="B150" t="s" cm="1">
        <v>153</v>
      </c>
      <c r="E150" t="s">
        <v>217</v>
      </c>
      <c r="F150" t="s">
        <v>154</v>
      </c>
      <c r="M150" t="str" cm="1">
        <f t="array" aca="1" ref="M150" ca="1">SUBSTITUTE(INDIRECT("C"&amp;ROW()), ":", "")</f>
        <v/>
      </c>
    </row>
    <row r="151" spans="1:14" x14ac:dyDescent="0.25">
      <c r="A151" t="s">
        <v>215</v>
      </c>
      <c r="B151" t="s" cm="1">
        <v>155</v>
      </c>
      <c r="E151" t="s">
        <v>217</v>
      </c>
      <c r="F151" t="s">
        <v>156</v>
      </c>
      <c r="M151" t="str" cm="1">
        <f t="array" aca="1" ref="M151" ca="1">SUBSTITUTE(INDIRECT("C"&amp;ROW()), ":", "")</f>
        <v/>
      </c>
    </row>
    <row r="152" spans="1:14" x14ac:dyDescent="0.25">
      <c r="A152" t="s">
        <v>215</v>
      </c>
      <c r="B152" t="s" cm="1">
        <v>286</v>
      </c>
      <c r="E152" t="s">
        <v>217</v>
      </c>
      <c r="F152" t="s">
        <v>287</v>
      </c>
      <c r="M152" t="str" cm="1">
        <f t="array" aca="1" ref="M152" ca="1">SUBSTITUTE(INDIRECT("C"&amp;ROW()), ":", "")</f>
        <v/>
      </c>
    </row>
    <row r="153" spans="1:14" x14ac:dyDescent="0.25">
      <c r="A153" t="s">
        <v>215</v>
      </c>
      <c r="B153" t="s" cm="1">
        <v>288</v>
      </c>
      <c r="E153" t="s">
        <v>217</v>
      </c>
      <c r="F153" t="s">
        <v>289</v>
      </c>
      <c r="M153" t="str" cm="1">
        <f t="array" aca="1" ref="M153" ca="1">SUBSTITUTE(INDIRECT("C"&amp;ROW()), ":", "")</f>
        <v/>
      </c>
    </row>
    <row r="154" spans="1:14" x14ac:dyDescent="0.25">
      <c r="A154" t="s">
        <v>215</v>
      </c>
      <c r="C154" t="s" cm="1">
        <v>157</v>
      </c>
      <c r="E154" t="s">
        <v>217</v>
      </c>
      <c r="F154" t="s">
        <v>158</v>
      </c>
      <c r="M154" t="str" cm="1">
        <f t="array" aca="1" ref="M154" ca="1">SUBSTITUTE(INDIRECT("C"&amp;ROW()), ":", "")</f>
        <v>Pain</v>
      </c>
      <c r="N154" t="s" cm="1">
        <v>157</v>
      </c>
    </row>
    <row r="155" spans="1:14" x14ac:dyDescent="0.25">
      <c r="A155" t="s">
        <v>215</v>
      </c>
      <c r="C155" t="s" cm="1">
        <v>290</v>
      </c>
      <c r="E155" t="s">
        <v>217</v>
      </c>
      <c r="F155" t="s">
        <v>291</v>
      </c>
      <c r="M155" t="str" cm="1">
        <f t="array" aca="1" ref="M155" ca="1">SUBSTITUTE(INDIRECT("C"&amp;ROW()), ":", "")</f>
        <v>Palpitations</v>
      </c>
      <c r="N155" t="s" cm="1">
        <v>290</v>
      </c>
    </row>
    <row r="156" spans="1:14" x14ac:dyDescent="0.25">
      <c r="A156" t="s">
        <v>215</v>
      </c>
      <c r="C156" t="s" cm="1">
        <v>292</v>
      </c>
      <c r="E156" t="s">
        <v>217</v>
      </c>
      <c r="F156" t="s">
        <v>293</v>
      </c>
      <c r="M156" t="str" cm="1">
        <f t="array" aca="1" ref="M156" ca="1">SUBSTITUTE(INDIRECT("C"&amp;ROW()), ":", "")</f>
        <v>Pneumonia</v>
      </c>
      <c r="N156" t="s" cm="1">
        <v>292</v>
      </c>
    </row>
    <row r="157" spans="1:14" x14ac:dyDescent="0.25">
      <c r="A157" t="s">
        <v>215</v>
      </c>
      <c r="C157" t="s" cm="1">
        <v>165</v>
      </c>
      <c r="E157" t="s">
        <v>217</v>
      </c>
      <c r="F157" t="s">
        <v>166</v>
      </c>
      <c r="M157" t="str" cm="1">
        <f t="array" aca="1" ref="M157" ca="1">SUBSTITUTE(INDIRECT("C"&amp;ROW()), ":", "")</f>
        <v>Pneumothorax</v>
      </c>
      <c r="N157" t="s" cm="1">
        <v>165</v>
      </c>
    </row>
    <row r="158" spans="1:14" x14ac:dyDescent="0.25">
      <c r="A158" t="s">
        <v>215</v>
      </c>
      <c r="B158" t="s" cm="1">
        <v>294</v>
      </c>
      <c r="E158" t="s">
        <v>217</v>
      </c>
      <c r="F158" t="s">
        <v>295</v>
      </c>
      <c r="M158" t="str" cm="1">
        <f t="array" aca="1" ref="M158" ca="1">SUBSTITUTE(INDIRECT("C"&amp;ROW()), ":", "")</f>
        <v/>
      </c>
    </row>
    <row r="159" spans="1:14" x14ac:dyDescent="0.25">
      <c r="A159" t="s">
        <v>215</v>
      </c>
      <c r="B159" t="s" cm="1">
        <v>296</v>
      </c>
      <c r="E159" t="s">
        <v>217</v>
      </c>
      <c r="F159" t="s">
        <v>297</v>
      </c>
      <c r="M159" t="str" cm="1">
        <f t="array" aca="1" ref="M159" ca="1">SUBSTITUTE(INDIRECT("C"&amp;ROW()), ":", "")</f>
        <v/>
      </c>
    </row>
    <row r="160" spans="1:14" x14ac:dyDescent="0.25">
      <c r="A160" t="s">
        <v>215</v>
      </c>
      <c r="D160" t="s">
        <v>298</v>
      </c>
      <c r="E160" t="s">
        <v>217</v>
      </c>
      <c r="F160" t="s">
        <v>299</v>
      </c>
      <c r="M160" t="str" cm="1">
        <f t="array" aca="1" ref="M160" ca="1">SUBSTITUTE(INDIRECT("C"&amp;ROW()), ":", "")</f>
        <v/>
      </c>
    </row>
    <row r="161" spans="1:14" x14ac:dyDescent="0.25">
      <c r="A161" t="s">
        <v>215</v>
      </c>
      <c r="C161" t="s" cm="1">
        <v>300</v>
      </c>
      <c r="E161" t="s">
        <v>217</v>
      </c>
      <c r="F161" t="s">
        <v>301</v>
      </c>
      <c r="M161" t="str" cm="1">
        <f t="array" aca="1" ref="M161" ca="1">SUBSTITUTE(INDIRECT("C"&amp;ROW()), ":", "")</f>
        <v>Prolonged Procedure</v>
      </c>
      <c r="N161" t="s" cm="1">
        <v>300</v>
      </c>
    </row>
    <row r="162" spans="1:14" x14ac:dyDescent="0.25">
      <c r="A162" t="s">
        <v>215</v>
      </c>
      <c r="D162" t="s">
        <v>167</v>
      </c>
      <c r="E162" t="s">
        <v>217</v>
      </c>
      <c r="F162" t="s">
        <v>168</v>
      </c>
      <c r="M162" t="str" cm="1">
        <f t="array" aca="1" ref="M162" ca="1">SUBSTITUTE(INDIRECT("C"&amp;ROW()), ":", "")</f>
        <v/>
      </c>
    </row>
    <row r="163" spans="1:14" x14ac:dyDescent="0.25">
      <c r="A163" t="s">
        <v>215</v>
      </c>
      <c r="D163" t="s">
        <v>169</v>
      </c>
      <c r="E163" t="s">
        <v>217</v>
      </c>
      <c r="F163" t="s">
        <v>170</v>
      </c>
      <c r="M163" t="str" cm="1">
        <f t="array" aca="1" ref="M163" ca="1">SUBSTITUTE(INDIRECT("C"&amp;ROW()), ":", "")</f>
        <v/>
      </c>
    </row>
    <row r="164" spans="1:14" x14ac:dyDescent="0.25">
      <c r="A164" t="s">
        <v>215</v>
      </c>
      <c r="D164" t="s">
        <v>302</v>
      </c>
      <c r="E164" t="s">
        <v>217</v>
      </c>
      <c r="F164" t="s">
        <v>303</v>
      </c>
      <c r="M164" t="str" cm="1">
        <f t="array" aca="1" ref="M164" ca="1">SUBSTITUTE(INDIRECT("C"&amp;ROW()), ":", "")</f>
        <v/>
      </c>
    </row>
    <row r="165" spans="1:14" x14ac:dyDescent="0.25">
      <c r="A165" t="s">
        <v>215</v>
      </c>
      <c r="D165" t="s">
        <v>171</v>
      </c>
      <c r="E165" t="s">
        <v>217</v>
      </c>
      <c r="F165" t="s">
        <v>172</v>
      </c>
      <c r="M165" t="str" cm="1">
        <f t="array" aca="1" ref="M165" ca="1">SUBSTITUTE(INDIRECT("C"&amp;ROW()), ":", "")</f>
        <v/>
      </c>
    </row>
    <row r="166" spans="1:14" x14ac:dyDescent="0.25">
      <c r="A166" t="s">
        <v>215</v>
      </c>
      <c r="B166" t="s" cm="1">
        <v>173</v>
      </c>
      <c r="E166" t="s">
        <v>217</v>
      </c>
      <c r="F166" t="s">
        <v>174</v>
      </c>
      <c r="M166" t="str" cm="1">
        <f t="array" aca="1" ref="M166" ca="1">SUBSTITUTE(INDIRECT("C"&amp;ROW()), ":", "")</f>
        <v/>
      </c>
    </row>
    <row r="167" spans="1:14" x14ac:dyDescent="0.25">
      <c r="A167" t="s">
        <v>215</v>
      </c>
      <c r="C167" t="s" cm="1">
        <v>175</v>
      </c>
      <c r="E167" t="s">
        <v>217</v>
      </c>
      <c r="F167" t="s">
        <v>176</v>
      </c>
      <c r="M167" t="str" cm="1">
        <f t="array" aca="1" ref="M167" ca="1">SUBSTITUTE(INDIRECT("C"&amp;ROW()), ":", "")</f>
        <v>Scar Tissue (Cicatrix)</v>
      </c>
      <c r="N167" t="s" cm="1">
        <v>175</v>
      </c>
    </row>
    <row r="168" spans="1:14" x14ac:dyDescent="0.25">
      <c r="A168" t="s">
        <v>215</v>
      </c>
      <c r="D168" t="s">
        <v>304</v>
      </c>
      <c r="E168" t="s">
        <v>217</v>
      </c>
      <c r="F168" t="s">
        <v>305</v>
      </c>
      <c r="M168" t="str" cm="1">
        <f t="array" aca="1" ref="M168" ca="1">SUBSTITUTE(INDIRECT("C"&amp;ROW()), ":", "")</f>
        <v/>
      </c>
    </row>
    <row r="169" spans="1:14" x14ac:dyDescent="0.25">
      <c r="A169" t="s">
        <v>215</v>
      </c>
      <c r="B169" t="s" cm="1">
        <v>306</v>
      </c>
      <c r="E169" t="s">
        <v>217</v>
      </c>
      <c r="F169" t="s">
        <v>307</v>
      </c>
      <c r="M169" t="str" cm="1">
        <f t="array" aca="1" ref="M169" ca="1">SUBSTITUTE(INDIRECT("C"&amp;ROW()), ":", "")</f>
        <v/>
      </c>
    </row>
    <row r="170" spans="1:14" x14ac:dyDescent="0.25">
      <c r="A170" t="s">
        <v>215</v>
      </c>
      <c r="C170" t="s" cm="1">
        <v>308</v>
      </c>
      <c r="E170" t="s">
        <v>217</v>
      </c>
      <c r="F170" t="s">
        <v>309</v>
      </c>
      <c r="M170" t="str" cm="1">
        <f t="array" aca="1" ref="M170" ca="1">SUBSTITUTE(INDIRECT("C"&amp;ROW()), ":", "")</f>
        <v>Sepsis</v>
      </c>
      <c r="N170" t="s" cm="1">
        <v>308</v>
      </c>
    </row>
    <row r="171" spans="1:14" x14ac:dyDescent="0.25">
      <c r="A171" t="s">
        <v>215</v>
      </c>
      <c r="B171" t="s" cm="1">
        <v>310</v>
      </c>
      <c r="E171" t="s">
        <v>217</v>
      </c>
      <c r="F171" t="s">
        <v>311</v>
      </c>
      <c r="M171" t="str" cm="1">
        <f t="array" aca="1" ref="M171" ca="1">SUBSTITUTE(INDIRECT("C"&amp;ROW()), ":", "")</f>
        <v/>
      </c>
    </row>
    <row r="172" spans="1:14" x14ac:dyDescent="0.25">
      <c r="A172" t="s">
        <v>215</v>
      </c>
      <c r="B172" t="s" cm="1">
        <v>177</v>
      </c>
      <c r="E172" t="s">
        <v>217</v>
      </c>
      <c r="F172" t="s">
        <v>178</v>
      </c>
      <c r="M172" t="str" cm="1">
        <f t="array" aca="1" ref="M172" ca="1">SUBSTITUTE(INDIRECT("C"&amp;ROW()), ":", "")</f>
        <v/>
      </c>
    </row>
    <row r="173" spans="1:14" x14ac:dyDescent="0.25">
      <c r="A173" t="s">
        <v>215</v>
      </c>
      <c r="B173" t="s" cm="1">
        <v>179</v>
      </c>
      <c r="E173" t="s">
        <v>217</v>
      </c>
      <c r="F173" t="s">
        <v>180</v>
      </c>
      <c r="M173" t="str" cm="1">
        <f t="array" aca="1" ref="M173" ca="1">SUBSTITUTE(INDIRECT("C"&amp;ROW()), ":", "")</f>
        <v/>
      </c>
    </row>
    <row r="174" spans="1:14" x14ac:dyDescent="0.25">
      <c r="A174" t="s">
        <v>215</v>
      </c>
      <c r="B174" t="s" cm="1">
        <v>181</v>
      </c>
      <c r="E174" t="s">
        <v>217</v>
      </c>
      <c r="F174" t="s">
        <v>182</v>
      </c>
      <c r="M174" t="str" cm="1">
        <f t="array" aca="1" ref="M174" ca="1">SUBSTITUTE(INDIRECT("C"&amp;ROW()), ":", "")</f>
        <v/>
      </c>
    </row>
    <row r="175" spans="1:14" x14ac:dyDescent="0.25">
      <c r="A175" t="s">
        <v>215</v>
      </c>
      <c r="B175" t="s" cm="1">
        <v>183</v>
      </c>
      <c r="E175" t="s">
        <v>217</v>
      </c>
      <c r="F175" t="s">
        <v>184</v>
      </c>
      <c r="M175" t="str" cm="1">
        <f t="array" aca="1" ref="M175" ca="1">SUBSTITUTE(INDIRECT("C"&amp;ROW()), ":", "")</f>
        <v/>
      </c>
    </row>
    <row r="176" spans="1:14" x14ac:dyDescent="0.25">
      <c r="A176" t="s">
        <v>215</v>
      </c>
      <c r="B176" t="s" cm="1">
        <v>185</v>
      </c>
      <c r="E176" t="s">
        <v>217</v>
      </c>
      <c r="F176" t="s">
        <v>186</v>
      </c>
      <c r="M176" t="str" cm="1">
        <f t="array" aca="1" ref="M176" ca="1">SUBSTITUTE(INDIRECT("C"&amp;ROW()), ":", "")</f>
        <v/>
      </c>
    </row>
    <row r="177" spans="1:14" x14ac:dyDescent="0.25">
      <c r="A177" t="s">
        <v>215</v>
      </c>
      <c r="B177" t="s" cm="1">
        <v>187</v>
      </c>
      <c r="E177" t="s">
        <v>217</v>
      </c>
      <c r="F177" t="s">
        <v>188</v>
      </c>
      <c r="M177" t="str" cm="1">
        <f t="array" aca="1" ref="M177" ca="1">SUBSTITUTE(INDIRECT("C"&amp;ROW()), ":", "")</f>
        <v/>
      </c>
    </row>
    <row r="178" spans="1:14" x14ac:dyDescent="0.25">
      <c r="A178" t="s">
        <v>215</v>
      </c>
      <c r="D178" t="s">
        <v>312</v>
      </c>
      <c r="E178" t="s">
        <v>217</v>
      </c>
      <c r="F178" t="s">
        <v>313</v>
      </c>
      <c r="M178" t="str" cm="1">
        <f t="array" aca="1" ref="M178" ca="1">SUBSTITUTE(INDIRECT("C"&amp;ROW()), ":", "")</f>
        <v/>
      </c>
    </row>
    <row r="179" spans="1:14" x14ac:dyDescent="0.25">
      <c r="A179" t="s">
        <v>215</v>
      </c>
      <c r="C179" t="s" cm="1">
        <v>189</v>
      </c>
      <c r="E179" t="s">
        <v>217</v>
      </c>
      <c r="F179" t="s">
        <v>190</v>
      </c>
      <c r="M179" t="str" cm="1">
        <f t="array" aca="1" ref="M179" ca="1">SUBSTITUTE(INDIRECT("C"&amp;ROW()), ":", "")</f>
        <v>Surgery</v>
      </c>
      <c r="N179" t="s" cm="1">
        <v>189</v>
      </c>
    </row>
    <row r="180" spans="1:14" x14ac:dyDescent="0.25">
      <c r="A180" t="s">
        <v>215</v>
      </c>
      <c r="D180" t="s">
        <v>191</v>
      </c>
      <c r="E180" t="s">
        <v>217</v>
      </c>
      <c r="F180" t="s">
        <v>192</v>
      </c>
      <c r="M180" t="str" cm="1">
        <f t="array" aca="1" ref="M180" ca="1">SUBSTITUTE(INDIRECT("C"&amp;ROW()), ":", "")</f>
        <v/>
      </c>
    </row>
    <row r="181" spans="1:14" x14ac:dyDescent="0.25">
      <c r="A181" t="s">
        <v>215</v>
      </c>
      <c r="D181" t="s">
        <v>193</v>
      </c>
      <c r="E181" t="s">
        <v>217</v>
      </c>
      <c r="F181" t="s">
        <v>194</v>
      </c>
      <c r="M181" t="str" cm="1">
        <f t="array" aca="1" ref="M181" ca="1">SUBSTITUTE(INDIRECT("C"&amp;ROW()), ":", "")</f>
        <v/>
      </c>
    </row>
    <row r="182" spans="1:14" x14ac:dyDescent="0.25">
      <c r="A182" t="s">
        <v>215</v>
      </c>
      <c r="C182" t="s" cm="1">
        <v>195</v>
      </c>
      <c r="E182" t="s">
        <v>217</v>
      </c>
      <c r="F182" t="s">
        <v>196</v>
      </c>
      <c r="M182" t="str" cm="1">
        <f t="array" aca="1" ref="M182" ca="1">SUBSTITUTE(INDIRECT("C"&amp;ROW()), ":", "")</f>
        <v>Swelling</v>
      </c>
      <c r="N182" t="s" cm="1">
        <v>195</v>
      </c>
    </row>
    <row r="183" spans="1:14" x14ac:dyDescent="0.25">
      <c r="A183" t="s">
        <v>215</v>
      </c>
      <c r="C183" t="s" cm="1">
        <v>197</v>
      </c>
      <c r="E183" t="s">
        <v>217</v>
      </c>
      <c r="F183" t="s">
        <v>198</v>
      </c>
      <c r="M183" t="str" cm="1">
        <f t="array" aca="1" ref="M183" ca="1">SUBSTITUTE(INDIRECT("C"&amp;ROW()), ":", "")</f>
        <v>Syncope</v>
      </c>
      <c r="N183" t="s" cm="1">
        <v>197</v>
      </c>
    </row>
    <row r="184" spans="1:14" x14ac:dyDescent="0.25">
      <c r="A184" t="s">
        <v>215</v>
      </c>
      <c r="B184" t="s" cm="1">
        <v>199</v>
      </c>
      <c r="E184" t="s">
        <v>217</v>
      </c>
      <c r="F184" t="s">
        <v>200</v>
      </c>
      <c r="M184" t="str" cm="1">
        <f t="array" aca="1" ref="M184" ca="1">SUBSTITUTE(INDIRECT("C"&amp;ROW()), ":", "")</f>
        <v/>
      </c>
    </row>
    <row r="185" spans="1:14" x14ac:dyDescent="0.25">
      <c r="A185" t="s">
        <v>215</v>
      </c>
      <c r="B185" t="s" cm="1">
        <v>201</v>
      </c>
      <c r="E185" t="s">
        <v>217</v>
      </c>
      <c r="F185" t="s">
        <v>202</v>
      </c>
      <c r="M185" t="str" cm="1">
        <f t="array" aca="1" ref="M185" ca="1">SUBSTITUTE(INDIRECT("C"&amp;ROW()), ":", "")</f>
        <v/>
      </c>
    </row>
    <row r="186" spans="1:14" x14ac:dyDescent="0.25">
      <c r="A186" t="s">
        <v>215</v>
      </c>
      <c r="B186" t="s" cm="1">
        <v>203</v>
      </c>
      <c r="E186" t="s">
        <v>217</v>
      </c>
      <c r="F186" t="s">
        <v>204</v>
      </c>
      <c r="M186" t="str" cm="1">
        <f t="array" aca="1" ref="M186" ca="1">SUBSTITUTE(INDIRECT("C"&amp;ROW()), ":", "")</f>
        <v/>
      </c>
    </row>
    <row r="187" spans="1:14" x14ac:dyDescent="0.25">
      <c r="A187" t="s">
        <v>215</v>
      </c>
      <c r="B187" t="s" cm="1">
        <v>314</v>
      </c>
      <c r="E187" t="s">
        <v>217</v>
      </c>
      <c r="F187" t="s">
        <v>315</v>
      </c>
      <c r="M187" t="str" cm="1">
        <f t="array" aca="1" ref="M187" ca="1">SUBSTITUTE(INDIRECT("C"&amp;ROW()), ":", "")</f>
        <v/>
      </c>
    </row>
    <row r="188" spans="1:14" x14ac:dyDescent="0.25">
      <c r="A188" t="s">
        <v>215</v>
      </c>
      <c r="B188" t="s" cm="1">
        <v>316</v>
      </c>
      <c r="E188" t="s">
        <v>217</v>
      </c>
      <c r="F188" t="s">
        <v>317</v>
      </c>
      <c r="M188" t="str" cm="1">
        <f t="array" aca="1" ref="M188" ca="1">SUBSTITUTE(INDIRECT("C"&amp;ROW()), ":", "")</f>
        <v/>
      </c>
    </row>
    <row r="189" spans="1:14" x14ac:dyDescent="0.25">
      <c r="A189" t="s">
        <v>215</v>
      </c>
      <c r="C189" t="s" cm="1">
        <v>205</v>
      </c>
      <c r="E189" t="s">
        <v>217</v>
      </c>
      <c r="F189" t="s">
        <v>206</v>
      </c>
      <c r="M189" t="str" cm="1">
        <f t="array" aca="1" ref="M189" ca="1">SUBSTITUTE(INDIRECT("C"&amp;ROW()), ":", "")</f>
        <v>Twiddlers Syndrome</v>
      </c>
      <c r="N189" t="s" cm="1">
        <v>205</v>
      </c>
    </row>
    <row r="190" spans="1:14" x14ac:dyDescent="0.25">
      <c r="A190" t="s">
        <v>215</v>
      </c>
      <c r="B190" t="s" cm="1">
        <v>207</v>
      </c>
      <c r="E190" t="s">
        <v>217</v>
      </c>
      <c r="F190" t="s">
        <v>208</v>
      </c>
      <c r="M190" t="str" cm="1">
        <f t="array" aca="1" ref="M190" ca="1">SUBSTITUTE(INDIRECT("C"&amp;ROW()), ":", "")</f>
        <v/>
      </c>
    </row>
    <row r="191" spans="1:14" x14ac:dyDescent="0.25">
      <c r="A191" t="s">
        <v>215</v>
      </c>
      <c r="D191" t="s">
        <v>318</v>
      </c>
      <c r="E191" t="s">
        <v>217</v>
      </c>
      <c r="F191" t="s">
        <v>319</v>
      </c>
      <c r="M191" t="str" cm="1">
        <f t="array" aca="1" ref="M191" ca="1">SUBSTITUTE(INDIRECT("C"&amp;ROW()), ":", "")</f>
        <v/>
      </c>
    </row>
    <row r="192" spans="1:14" x14ac:dyDescent="0.25">
      <c r="A192" t="s">
        <v>215</v>
      </c>
      <c r="B192" t="s" cm="1">
        <v>320</v>
      </c>
      <c r="E192" t="s">
        <v>217</v>
      </c>
      <c r="F192" t="s">
        <v>321</v>
      </c>
      <c r="M192" t="str" cm="1">
        <f t="array" aca="1" ref="M192" ca="1">SUBSTITUTE(INDIRECT("C"&amp;ROW()), ":", "")</f>
        <v/>
      </c>
    </row>
    <row r="193" spans="1:14" x14ac:dyDescent="0.25">
      <c r="A193" t="s">
        <v>215</v>
      </c>
      <c r="B193" t="s" cm="1">
        <v>322</v>
      </c>
      <c r="E193" t="s">
        <v>217</v>
      </c>
      <c r="F193" t="s">
        <v>323</v>
      </c>
      <c r="M193" t="str" cm="1">
        <f t="array" aca="1" ref="M193" ca="1">SUBSTITUTE(INDIRECT("C"&amp;ROW()), ":", "")</f>
        <v/>
      </c>
    </row>
    <row r="194" spans="1:14" x14ac:dyDescent="0.25">
      <c r="A194" t="s">
        <v>215</v>
      </c>
      <c r="C194" t="s" cm="1">
        <v>209</v>
      </c>
      <c r="E194" t="s">
        <v>217</v>
      </c>
      <c r="F194" t="s">
        <v>210</v>
      </c>
      <c r="M194" t="str" cm="1">
        <f t="array" aca="1" ref="M194" ca="1">SUBSTITUTE(INDIRECT("C"&amp;ROW()), ":", "")</f>
        <v>Ventricular Fibrillation</v>
      </c>
      <c r="N194" t="s" cm="1">
        <v>209</v>
      </c>
    </row>
    <row r="195" spans="1:14" x14ac:dyDescent="0.25">
      <c r="A195" t="s">
        <v>215</v>
      </c>
      <c r="C195" t="s" cm="1">
        <v>211</v>
      </c>
      <c r="E195" t="s">
        <v>217</v>
      </c>
      <c r="F195" t="s">
        <v>212</v>
      </c>
      <c r="M195" t="str" cm="1">
        <f t="array" aca="1" ref="M195" ca="1">SUBSTITUTE(INDIRECT("C"&amp;ROW()), ":", "")</f>
        <v>Ventricular Tachycardia</v>
      </c>
      <c r="N195" t="s" cm="1">
        <v>211</v>
      </c>
    </row>
    <row r="196" spans="1:14" x14ac:dyDescent="0.25">
      <c r="A196" t="s">
        <v>63</v>
      </c>
      <c r="D196" t="s">
        <v>65</v>
      </c>
      <c r="E196" t="s">
        <v>324</v>
      </c>
      <c r="F196" t="s">
        <v>67</v>
      </c>
      <c r="M196" t="str" cm="1">
        <f t="array" aca="1" ref="M196" ca="1">SUBSTITUTE(INDIRECT("C"&amp;ROW()), ":", "")</f>
        <v/>
      </c>
    </row>
    <row r="197" spans="1:14" x14ac:dyDescent="0.25">
      <c r="A197" t="s">
        <v>63</v>
      </c>
      <c r="B197" t="s" cm="1">
        <v>219</v>
      </c>
      <c r="E197" t="s">
        <v>324</v>
      </c>
      <c r="F197" t="s">
        <v>220</v>
      </c>
      <c r="M197" t="str" cm="1">
        <f t="array" aca="1" ref="M197" ca="1">SUBSTITUTE(INDIRECT("C"&amp;ROW()), ":", "")</f>
        <v/>
      </c>
    </row>
    <row r="198" spans="1:14" x14ac:dyDescent="0.25">
      <c r="A198" t="s">
        <v>63</v>
      </c>
      <c r="C198" t="s" cm="1">
        <v>68</v>
      </c>
      <c r="E198" t="s">
        <v>324</v>
      </c>
      <c r="F198" t="s">
        <v>69</v>
      </c>
      <c r="M198" t="str" cm="1">
        <f t="array" aca="1" ref="M198" ca="1">SUBSTITUTE(INDIRECT("C"&amp;ROW()), ":", "")</f>
        <v>Allergic Reaction</v>
      </c>
      <c r="N198" t="s" cm="1">
        <v>68</v>
      </c>
    </row>
    <row r="199" spans="1:14" x14ac:dyDescent="0.25">
      <c r="A199" t="s">
        <v>63</v>
      </c>
      <c r="C199" t="s" cm="1">
        <v>70</v>
      </c>
      <c r="E199" t="s">
        <v>324</v>
      </c>
      <c r="F199" t="s">
        <v>71</v>
      </c>
      <c r="M199" t="str" cm="1">
        <f t="array" aca="1" ref="M199" ca="1">SUBSTITUTE(INDIRECT("C"&amp;ROW()), ":", "")</f>
        <v>Anxiety</v>
      </c>
      <c r="N199" t="s" cm="1">
        <v>70</v>
      </c>
    </row>
    <row r="200" spans="1:14" x14ac:dyDescent="0.25">
      <c r="A200" t="s">
        <v>63</v>
      </c>
      <c r="C200" t="s" cm="1">
        <v>72</v>
      </c>
      <c r="E200" t="s">
        <v>324</v>
      </c>
      <c r="F200" t="s">
        <v>73</v>
      </c>
      <c r="M200" t="str" cm="1">
        <f t="array" aca="1" ref="M200" ca="1">SUBSTITUTE(INDIRECT("C"&amp;ROW()), ":", "")</f>
        <v>Atrial Fibrillation</v>
      </c>
      <c r="N200" t="s" cm="1">
        <v>72</v>
      </c>
    </row>
    <row r="201" spans="1:14" x14ac:dyDescent="0.25">
      <c r="A201" t="s">
        <v>63</v>
      </c>
      <c r="D201" t="s">
        <v>74</v>
      </c>
      <c r="E201" t="s">
        <v>324</v>
      </c>
      <c r="F201" t="s">
        <v>75</v>
      </c>
      <c r="M201" t="str" cm="1">
        <f t="array" aca="1" ref="M201" ca="1">SUBSTITUTE(INDIRECT("C"&amp;ROW()), ":", "")</f>
        <v/>
      </c>
    </row>
    <row r="202" spans="1:14" x14ac:dyDescent="0.25">
      <c r="A202" t="s">
        <v>63</v>
      </c>
      <c r="C202" t="s" cm="1">
        <v>76</v>
      </c>
      <c r="E202" t="s">
        <v>324</v>
      </c>
      <c r="F202" t="s">
        <v>77</v>
      </c>
      <c r="M202" t="str" cm="1">
        <f t="array" aca="1" ref="M202" ca="1">SUBSTITUTE(INDIRECT("C"&amp;ROW()), ":", "")</f>
        <v>Burning Sensation</v>
      </c>
      <c r="N202" t="s" cm="1">
        <v>76</v>
      </c>
    </row>
    <row r="203" spans="1:14" x14ac:dyDescent="0.25">
      <c r="A203" t="s">
        <v>63</v>
      </c>
      <c r="C203" t="s" cm="1">
        <v>78</v>
      </c>
      <c r="E203" t="s">
        <v>324</v>
      </c>
      <c r="F203" t="s">
        <v>79</v>
      </c>
      <c r="M203" t="str" cm="1">
        <f t="array" aca="1" ref="M203" ca="1">SUBSTITUTE(INDIRECT("C"&amp;ROW()), ":", "")</f>
        <v>Chest Pain</v>
      </c>
      <c r="N203" t="s" cm="1">
        <v>78</v>
      </c>
    </row>
    <row r="204" spans="1:14" x14ac:dyDescent="0.25">
      <c r="A204" t="s">
        <v>63</v>
      </c>
      <c r="B204" t="s" cm="1">
        <v>80</v>
      </c>
      <c r="E204" t="s">
        <v>324</v>
      </c>
      <c r="F204" t="s">
        <v>81</v>
      </c>
      <c r="M204" t="str" cm="1">
        <f t="array" aca="1" ref="M204" ca="1">SUBSTITUTE(INDIRECT("C"&amp;ROW()), ":", "")</f>
        <v/>
      </c>
    </row>
    <row r="205" spans="1:14" x14ac:dyDescent="0.25">
      <c r="A205" t="s">
        <v>63</v>
      </c>
      <c r="B205" t="s" cm="1">
        <v>82</v>
      </c>
      <c r="E205" t="s">
        <v>324</v>
      </c>
      <c r="F205" t="s">
        <v>83</v>
      </c>
      <c r="M205" t="str" cm="1">
        <f t="array" aca="1" ref="M205" ca="1">SUBSTITUTE(INDIRECT("C"&amp;ROW()), ":", "")</f>
        <v/>
      </c>
    </row>
    <row r="206" spans="1:14" x14ac:dyDescent="0.25">
      <c r="A206" t="s">
        <v>63</v>
      </c>
      <c r="C206" t="s" cm="1">
        <v>241</v>
      </c>
      <c r="E206" t="s">
        <v>324</v>
      </c>
      <c r="F206" t="s">
        <v>85</v>
      </c>
      <c r="M206" t="str" cm="1">
        <f t="array" aca="1" ref="M206" ca="1">SUBSTITUTE(INDIRECT("C"&amp;ROW()), ":", "")</f>
        <v>Death</v>
      </c>
      <c r="N206" t="s" cm="1">
        <v>241</v>
      </c>
    </row>
    <row r="207" spans="1:14" x14ac:dyDescent="0.25">
      <c r="A207" t="s">
        <v>63</v>
      </c>
      <c r="D207" t="s">
        <v>84</v>
      </c>
      <c r="E207" t="s">
        <v>324</v>
      </c>
      <c r="F207" t="s">
        <v>85</v>
      </c>
      <c r="M207" t="str" cm="1">
        <f t="array" aca="1" ref="M207" ca="1">SUBSTITUTE(INDIRECT("C"&amp;ROW()), ":", "")</f>
        <v/>
      </c>
    </row>
    <row r="208" spans="1:14" x14ac:dyDescent="0.25">
      <c r="A208" t="s">
        <v>63</v>
      </c>
      <c r="D208" t="s">
        <v>87</v>
      </c>
      <c r="E208" t="s">
        <v>324</v>
      </c>
      <c r="F208" t="s">
        <v>88</v>
      </c>
      <c r="M208" t="str" cm="1">
        <f t="array" aca="1" ref="M208" ca="1">SUBSTITUTE(INDIRECT("C"&amp;ROW()), ":", "")</f>
        <v/>
      </c>
    </row>
    <row r="209" spans="1:14" x14ac:dyDescent="0.25">
      <c r="A209" t="s">
        <v>63</v>
      </c>
      <c r="B209" t="s" cm="1">
        <v>89</v>
      </c>
      <c r="E209" t="s">
        <v>324</v>
      </c>
      <c r="F209" t="s">
        <v>90</v>
      </c>
      <c r="M209" t="str" cm="1">
        <f t="array" aca="1" ref="M209" ca="1">SUBSTITUTE(INDIRECT("C"&amp;ROW()), ":", "")</f>
        <v/>
      </c>
    </row>
    <row r="210" spans="1:14" x14ac:dyDescent="0.25">
      <c r="A210" t="s">
        <v>63</v>
      </c>
      <c r="D210" t="s">
        <v>91</v>
      </c>
      <c r="E210" t="s">
        <v>324</v>
      </c>
      <c r="F210" t="s">
        <v>92</v>
      </c>
      <c r="M210" t="str" cm="1">
        <f t="array" aca="1" ref="M210" ca="1">SUBSTITUTE(INDIRECT("C"&amp;ROW()), ":", "")</f>
        <v/>
      </c>
    </row>
    <row r="211" spans="1:14" x14ac:dyDescent="0.25">
      <c r="A211" t="s">
        <v>63</v>
      </c>
      <c r="D211" t="s">
        <v>93</v>
      </c>
      <c r="E211" t="s">
        <v>324</v>
      </c>
      <c r="F211" t="s">
        <v>94</v>
      </c>
      <c r="M211" t="str" cm="1">
        <f t="array" aca="1" ref="M211" ca="1">SUBSTITUTE(INDIRECT("C"&amp;ROW()), ":", "")</f>
        <v/>
      </c>
    </row>
    <row r="212" spans="1:14" x14ac:dyDescent="0.25">
      <c r="A212" t="s">
        <v>63</v>
      </c>
      <c r="B212" t="s" cm="1">
        <v>244</v>
      </c>
      <c r="E212" t="s">
        <v>324</v>
      </c>
      <c r="F212" t="s">
        <v>245</v>
      </c>
      <c r="M212" t="str" cm="1">
        <f t="array" aca="1" ref="M212" ca="1">SUBSTITUTE(INDIRECT("C"&amp;ROW()), ":", "")</f>
        <v/>
      </c>
    </row>
    <row r="213" spans="1:14" x14ac:dyDescent="0.25">
      <c r="A213" t="s">
        <v>63</v>
      </c>
      <c r="B213" t="s" cm="1">
        <v>248</v>
      </c>
      <c r="E213" t="s">
        <v>324</v>
      </c>
      <c r="F213" t="s">
        <v>249</v>
      </c>
      <c r="M213" t="str" cm="1">
        <f t="array" aca="1" ref="M213" ca="1">SUBSTITUTE(INDIRECT("C"&amp;ROW()), ":", "")</f>
        <v/>
      </c>
    </row>
    <row r="214" spans="1:14" x14ac:dyDescent="0.25">
      <c r="A214" t="s">
        <v>63</v>
      </c>
      <c r="B214" t="s" cm="1">
        <v>95</v>
      </c>
      <c r="E214" t="s">
        <v>324</v>
      </c>
      <c r="F214" t="s">
        <v>96</v>
      </c>
      <c r="M214" t="str" cm="1">
        <f t="array" aca="1" ref="M214" ca="1">SUBSTITUTE(INDIRECT("C"&amp;ROW()), ":", "")</f>
        <v/>
      </c>
    </row>
    <row r="215" spans="1:14" x14ac:dyDescent="0.25">
      <c r="A215" t="s">
        <v>63</v>
      </c>
      <c r="B215" t="s" cm="1">
        <v>97</v>
      </c>
      <c r="E215" t="s">
        <v>324</v>
      </c>
      <c r="F215" t="s">
        <v>98</v>
      </c>
      <c r="M215" t="str" cm="1">
        <f t="array" aca="1" ref="M215" ca="1">SUBSTITUTE(INDIRECT("C"&amp;ROW()), ":", "")</f>
        <v/>
      </c>
    </row>
    <row r="216" spans="1:14" x14ac:dyDescent="0.25">
      <c r="A216" t="s">
        <v>63</v>
      </c>
      <c r="B216" t="s" cm="1">
        <v>99</v>
      </c>
      <c r="E216" t="s">
        <v>324</v>
      </c>
      <c r="F216" t="s">
        <v>100</v>
      </c>
      <c r="M216" t="str" cm="1">
        <f t="array" aca="1" ref="M216" ca="1">SUBSTITUTE(INDIRECT("C"&amp;ROW()), ":", "")</f>
        <v/>
      </c>
    </row>
    <row r="217" spans="1:14" x14ac:dyDescent="0.25">
      <c r="A217" t="s">
        <v>63</v>
      </c>
      <c r="B217" t="s" cm="1">
        <v>101</v>
      </c>
      <c r="E217" t="s">
        <v>324</v>
      </c>
      <c r="F217" t="s">
        <v>102</v>
      </c>
      <c r="M217" t="str" cm="1">
        <f t="array" aca="1" ref="M217" ca="1">SUBSTITUTE(INDIRECT("C"&amp;ROW()), ":", "")</f>
        <v/>
      </c>
    </row>
    <row r="218" spans="1:14" x14ac:dyDescent="0.25">
      <c r="A218" t="s">
        <v>63</v>
      </c>
      <c r="C218" t="s" cm="1">
        <v>103</v>
      </c>
      <c r="E218" t="s">
        <v>324</v>
      </c>
      <c r="F218" t="s">
        <v>104</v>
      </c>
      <c r="M218" t="str" cm="1">
        <f t="array" aca="1" ref="M218" ca="1">SUBSTITUTE(INDIRECT("C"&amp;ROW()), ":", "")</f>
        <v>Discomfort</v>
      </c>
      <c r="N218" t="s" cm="1">
        <v>103</v>
      </c>
    </row>
    <row r="219" spans="1:14" x14ac:dyDescent="0.25">
      <c r="A219" t="s">
        <v>63</v>
      </c>
      <c r="B219" t="s" cm="1">
        <v>105</v>
      </c>
      <c r="E219" t="s">
        <v>324</v>
      </c>
      <c r="F219" t="s">
        <v>106</v>
      </c>
      <c r="M219" t="str" cm="1">
        <f t="array" aca="1" ref="M219" ca="1">SUBSTITUTE(INDIRECT("C"&amp;ROW()), ":", "")</f>
        <v/>
      </c>
    </row>
    <row r="220" spans="1:14" x14ac:dyDescent="0.25">
      <c r="A220" t="s">
        <v>63</v>
      </c>
      <c r="C220" t="s" cm="1">
        <v>107</v>
      </c>
      <c r="E220" t="s">
        <v>324</v>
      </c>
      <c r="F220" t="s">
        <v>108</v>
      </c>
      <c r="M220" t="str" cm="1">
        <f t="array" aca="1" ref="M220" ca="1">SUBSTITUTE(INDIRECT("C"&amp;ROW()), ":", "")</f>
        <v>Electric Shock</v>
      </c>
      <c r="N220" t="s" cm="1">
        <v>107</v>
      </c>
    </row>
    <row r="221" spans="1:14" x14ac:dyDescent="0.25">
      <c r="A221" t="s">
        <v>63</v>
      </c>
      <c r="C221" t="s" cm="1">
        <v>109</v>
      </c>
      <c r="E221" t="s">
        <v>324</v>
      </c>
      <c r="F221" t="s">
        <v>110</v>
      </c>
      <c r="M221" t="str" cm="1">
        <f t="array" aca="1" ref="M221" ca="1">SUBSTITUTE(INDIRECT("C"&amp;ROW()), ":", "")</f>
        <v>Erosion</v>
      </c>
      <c r="N221" t="s" cm="1">
        <v>109</v>
      </c>
    </row>
    <row r="222" spans="1:14" x14ac:dyDescent="0.25">
      <c r="A222" t="s">
        <v>63</v>
      </c>
      <c r="C222" t="s" cm="1">
        <v>111</v>
      </c>
      <c r="E222" t="s">
        <v>324</v>
      </c>
      <c r="F222" t="s">
        <v>112</v>
      </c>
      <c r="M222" t="str" cm="1">
        <f t="array" aca="1" ref="M222" ca="1">SUBSTITUTE(INDIRECT("C"&amp;ROW()), ":", "")</f>
        <v>Erosion, Pocket</v>
      </c>
      <c r="N222" t="s" cm="1">
        <v>111</v>
      </c>
    </row>
    <row r="223" spans="1:14" x14ac:dyDescent="0.25">
      <c r="A223" t="s">
        <v>63</v>
      </c>
      <c r="B223" t="s" cm="1">
        <v>113</v>
      </c>
      <c r="E223" t="s">
        <v>324</v>
      </c>
      <c r="F223" t="s">
        <v>114</v>
      </c>
      <c r="M223" t="str" cm="1">
        <f t="array" aca="1" ref="M223" ca="1">SUBSTITUTE(INDIRECT("C"&amp;ROW()), ":", "")</f>
        <v/>
      </c>
    </row>
    <row r="224" spans="1:14" x14ac:dyDescent="0.25">
      <c r="A224" t="s">
        <v>63</v>
      </c>
      <c r="B224" t="s" cm="1">
        <v>115</v>
      </c>
      <c r="E224" t="s">
        <v>324</v>
      </c>
      <c r="F224" t="s">
        <v>116</v>
      </c>
      <c r="M224" t="str" cm="1">
        <f t="array" aca="1" ref="M224" ca="1">SUBSTITUTE(INDIRECT("C"&amp;ROW()), ":", "")</f>
        <v/>
      </c>
    </row>
    <row r="225" spans="1:14" x14ac:dyDescent="0.25">
      <c r="A225" t="s">
        <v>63</v>
      </c>
      <c r="B225" t="s" cm="1">
        <v>117</v>
      </c>
      <c r="E225" t="s">
        <v>324</v>
      </c>
      <c r="F225" t="s">
        <v>118</v>
      </c>
      <c r="M225" t="str" cm="1">
        <f t="array" aca="1" ref="M225" ca="1">SUBSTITUTE(INDIRECT("C"&amp;ROW()), ":", "")</f>
        <v/>
      </c>
    </row>
    <row r="226" spans="1:14" x14ac:dyDescent="0.25">
      <c r="A226" t="s">
        <v>63</v>
      </c>
      <c r="C226" t="s" cm="1">
        <v>119</v>
      </c>
      <c r="E226" t="s">
        <v>324</v>
      </c>
      <c r="F226" t="s">
        <v>120</v>
      </c>
      <c r="M226" t="str" cm="1">
        <f t="array" aca="1" ref="M226" ca="1">SUBSTITUTE(INDIRECT("C"&amp;ROW()), ":", "")</f>
        <v>Fall</v>
      </c>
      <c r="N226" t="s" cm="1">
        <v>119</v>
      </c>
    </row>
    <row r="227" spans="1:14" x14ac:dyDescent="0.25">
      <c r="A227" t="s">
        <v>63</v>
      </c>
      <c r="B227" t="s" cm="1">
        <v>121</v>
      </c>
      <c r="E227" t="s">
        <v>324</v>
      </c>
      <c r="F227" t="s">
        <v>122</v>
      </c>
      <c r="M227" t="str" cm="1">
        <f t="array" aca="1" ref="M227" ca="1">SUBSTITUTE(INDIRECT("C"&amp;ROW()), ":", "")</f>
        <v/>
      </c>
    </row>
    <row r="228" spans="1:14" x14ac:dyDescent="0.25">
      <c r="A228" t="s">
        <v>63</v>
      </c>
      <c r="C228" t="s" cm="1">
        <v>123</v>
      </c>
      <c r="E228" t="s">
        <v>324</v>
      </c>
      <c r="F228" t="s">
        <v>124</v>
      </c>
      <c r="M228" t="str" cm="1">
        <f t="array" aca="1" ref="M228" ca="1">SUBSTITUTE(INDIRECT("C"&amp;ROW()), ":", "")</f>
        <v>Hematoma</v>
      </c>
      <c r="N228" t="s" cm="1">
        <v>123</v>
      </c>
    </row>
    <row r="229" spans="1:14" x14ac:dyDescent="0.25">
      <c r="A229" t="s">
        <v>63</v>
      </c>
      <c r="B229" t="s" cm="1">
        <v>125</v>
      </c>
      <c r="E229" t="s">
        <v>324</v>
      </c>
      <c r="F229" t="s">
        <v>126</v>
      </c>
      <c r="M229" t="str" cm="1">
        <f t="array" aca="1" ref="M229" ca="1">SUBSTITUTE(INDIRECT("C"&amp;ROW()), ":", "")</f>
        <v/>
      </c>
    </row>
    <row r="230" spans="1:14" x14ac:dyDescent="0.25">
      <c r="A230" t="s">
        <v>63</v>
      </c>
      <c r="D230" t="s">
        <v>127</v>
      </c>
      <c r="E230" t="s">
        <v>324</v>
      </c>
      <c r="F230" t="s">
        <v>128</v>
      </c>
      <c r="M230" t="str" cm="1">
        <f t="array" aca="1" ref="M230" ca="1">SUBSTITUTE(INDIRECT("C"&amp;ROW()), ":", "")</f>
        <v/>
      </c>
    </row>
    <row r="231" spans="1:14" x14ac:dyDescent="0.25">
      <c r="A231" t="s">
        <v>63</v>
      </c>
      <c r="C231" t="s" cm="1">
        <v>129</v>
      </c>
      <c r="E231" t="s">
        <v>324</v>
      </c>
      <c r="F231" t="s">
        <v>130</v>
      </c>
      <c r="M231" t="str" cm="1">
        <f t="array" aca="1" ref="M231" ca="1">SUBSTITUTE(INDIRECT("C"&amp;ROW()), ":", "")</f>
        <v>Implant Pain</v>
      </c>
      <c r="N231" t="s" cm="1">
        <v>129</v>
      </c>
    </row>
    <row r="232" spans="1:14" x14ac:dyDescent="0.25">
      <c r="A232" t="s">
        <v>63</v>
      </c>
      <c r="B232" t="s" cm="1">
        <v>274</v>
      </c>
      <c r="E232" t="s">
        <v>324</v>
      </c>
      <c r="F232" t="s">
        <v>275</v>
      </c>
      <c r="M232" t="str" cm="1">
        <f t="array" aca="1" ref="M232" ca="1">SUBSTITUTE(INDIRECT("C"&amp;ROW()), ":", "")</f>
        <v/>
      </c>
    </row>
    <row r="233" spans="1:14" x14ac:dyDescent="0.25">
      <c r="A233" t="s">
        <v>63</v>
      </c>
      <c r="D233" t="s">
        <v>131</v>
      </c>
      <c r="E233" t="s">
        <v>324</v>
      </c>
      <c r="F233" t="s">
        <v>132</v>
      </c>
      <c r="M233" t="str" cm="1">
        <f t="array" aca="1" ref="M233" ca="1">SUBSTITUTE(INDIRECT("C"&amp;ROW()), ":", "")</f>
        <v/>
      </c>
    </row>
    <row r="234" spans="1:14" x14ac:dyDescent="0.25">
      <c r="A234" t="s">
        <v>63</v>
      </c>
      <c r="B234" t="s" cm="1">
        <v>133</v>
      </c>
      <c r="E234" t="s">
        <v>324</v>
      </c>
      <c r="F234" t="s">
        <v>134</v>
      </c>
      <c r="M234" t="str" cm="1">
        <f t="array" aca="1" ref="M234" ca="1">SUBSTITUTE(INDIRECT("C"&amp;ROW()), ":", "")</f>
        <v/>
      </c>
    </row>
    <row r="235" spans="1:14" x14ac:dyDescent="0.25">
      <c r="A235" t="s">
        <v>63</v>
      </c>
      <c r="C235" t="s" cm="1">
        <v>135</v>
      </c>
      <c r="E235" t="s">
        <v>324</v>
      </c>
      <c r="F235" t="s">
        <v>136</v>
      </c>
      <c r="M235" t="str" cm="1">
        <f t="array" aca="1" ref="M235" ca="1">SUBSTITUTE(INDIRECT("C"&amp;ROW()), ":", "")</f>
        <v>Infection</v>
      </c>
      <c r="N235" t="s" cm="1">
        <v>135</v>
      </c>
    </row>
    <row r="236" spans="1:14" x14ac:dyDescent="0.25">
      <c r="A236" t="s">
        <v>63</v>
      </c>
      <c r="C236" t="s" cm="1">
        <v>137</v>
      </c>
      <c r="E236" t="s">
        <v>324</v>
      </c>
      <c r="F236" t="s">
        <v>138</v>
      </c>
      <c r="M236" t="str" cm="1">
        <f t="array" aca="1" ref="M236" ca="1">SUBSTITUTE(INDIRECT("C"&amp;ROW()), ":", "")</f>
        <v>Infection, Bacterial</v>
      </c>
      <c r="N236" t="s" cm="1">
        <v>137</v>
      </c>
    </row>
    <row r="237" spans="1:14" x14ac:dyDescent="0.25">
      <c r="A237" t="s">
        <v>63</v>
      </c>
      <c r="C237" t="s" cm="1">
        <v>278</v>
      </c>
      <c r="E237" t="s">
        <v>324</v>
      </c>
      <c r="F237" t="s">
        <v>279</v>
      </c>
      <c r="M237" t="str" cm="1">
        <f t="array" aca="1" ref="M237" ca="1">SUBSTITUTE(INDIRECT("C"&amp;ROW()), ":", "")</f>
        <v>Infection, Staphylococcus Aureus</v>
      </c>
      <c r="N237" t="s" cm="1">
        <v>278</v>
      </c>
    </row>
    <row r="238" spans="1:14" x14ac:dyDescent="0.25">
      <c r="A238" t="s">
        <v>63</v>
      </c>
      <c r="C238" t="s" cm="1">
        <v>139</v>
      </c>
      <c r="E238" t="s">
        <v>324</v>
      </c>
      <c r="F238" t="s">
        <v>140</v>
      </c>
      <c r="M238" t="str" cm="1">
        <f t="array" aca="1" ref="M238" ca="1">SUBSTITUTE(INDIRECT("C"&amp;ROW()), ":", "")</f>
        <v>Irritation, Skin</v>
      </c>
      <c r="N238" t="s" cm="1">
        <v>139</v>
      </c>
    </row>
    <row r="239" spans="1:14" x14ac:dyDescent="0.25">
      <c r="A239" t="s">
        <v>63</v>
      </c>
      <c r="B239" t="s" cm="1">
        <v>141</v>
      </c>
      <c r="E239" t="s">
        <v>324</v>
      </c>
      <c r="F239" t="s">
        <v>142</v>
      </c>
      <c r="M239" t="str" cm="1">
        <f t="array" aca="1" ref="M239" ca="1">SUBSTITUTE(INDIRECT("C"&amp;ROW()), ":", "")</f>
        <v/>
      </c>
    </row>
    <row r="240" spans="1:14" x14ac:dyDescent="0.25">
      <c r="A240" t="s">
        <v>63</v>
      </c>
      <c r="D240" t="s">
        <v>143</v>
      </c>
      <c r="E240" t="s">
        <v>324</v>
      </c>
      <c r="F240" t="s">
        <v>144</v>
      </c>
      <c r="M240" t="str" cm="1">
        <f t="array" aca="1" ref="M240" ca="1">SUBSTITUTE(INDIRECT("C"&amp;ROW()), ":", "")</f>
        <v/>
      </c>
    </row>
    <row r="241" spans="1:14" x14ac:dyDescent="0.25">
      <c r="A241" t="s">
        <v>63</v>
      </c>
      <c r="B241" t="s" cm="1">
        <v>145</v>
      </c>
      <c r="E241" t="s">
        <v>324</v>
      </c>
      <c r="F241" t="s">
        <v>146</v>
      </c>
      <c r="M241" t="str" cm="1">
        <f t="array" aca="1" ref="M241" ca="1">SUBSTITUTE(INDIRECT("C"&amp;ROW()), ":", "")</f>
        <v/>
      </c>
    </row>
    <row r="242" spans="1:14" x14ac:dyDescent="0.25">
      <c r="A242" t="s">
        <v>63</v>
      </c>
      <c r="D242" t="s">
        <v>147</v>
      </c>
      <c r="E242" t="s">
        <v>324</v>
      </c>
      <c r="F242" t="s">
        <v>148</v>
      </c>
      <c r="M242" t="str" cm="1">
        <f t="array" aca="1" ref="M242" ca="1">SUBSTITUTE(INDIRECT("C"&amp;ROW()), ":", "")</f>
        <v/>
      </c>
    </row>
    <row r="243" spans="1:14" x14ac:dyDescent="0.25">
      <c r="A243" t="s">
        <v>63</v>
      </c>
      <c r="D243" t="s">
        <v>149</v>
      </c>
      <c r="E243" t="s">
        <v>324</v>
      </c>
      <c r="F243" t="s">
        <v>150</v>
      </c>
      <c r="M243" t="str" cm="1">
        <f t="array" aca="1" ref="M243" ca="1">SUBSTITUTE(INDIRECT("C"&amp;ROW()), ":", "")</f>
        <v/>
      </c>
    </row>
    <row r="244" spans="1:14" x14ac:dyDescent="0.25">
      <c r="A244" t="s">
        <v>63</v>
      </c>
      <c r="C244" t="s" cm="1">
        <v>151</v>
      </c>
      <c r="E244" t="s">
        <v>324</v>
      </c>
      <c r="F244" t="s">
        <v>152</v>
      </c>
      <c r="M244" t="str" cm="1">
        <f t="array" aca="1" ref="M244" ca="1">SUBSTITUTE(INDIRECT("C"&amp;ROW()), ":", "")</f>
        <v>Necrosis</v>
      </c>
      <c r="N244" t="s" cm="1">
        <v>151</v>
      </c>
    </row>
    <row r="245" spans="1:14" x14ac:dyDescent="0.25">
      <c r="A245" t="s">
        <v>63</v>
      </c>
      <c r="B245" t="s" cm="1">
        <v>153</v>
      </c>
      <c r="E245" t="s">
        <v>324</v>
      </c>
      <c r="F245" t="s">
        <v>154</v>
      </c>
      <c r="M245" t="str" cm="1">
        <f t="array" aca="1" ref="M245" ca="1">SUBSTITUTE(INDIRECT("C"&amp;ROW()), ":", "")</f>
        <v/>
      </c>
    </row>
    <row r="246" spans="1:14" x14ac:dyDescent="0.25">
      <c r="A246" t="s">
        <v>63</v>
      </c>
      <c r="B246" t="s" cm="1">
        <v>155</v>
      </c>
      <c r="E246" t="s">
        <v>324</v>
      </c>
      <c r="F246" t="s">
        <v>156</v>
      </c>
      <c r="M246" t="str" cm="1">
        <f t="array" aca="1" ref="M246" ca="1">SUBSTITUTE(INDIRECT("C"&amp;ROW()), ":", "")</f>
        <v/>
      </c>
    </row>
    <row r="247" spans="1:14" x14ac:dyDescent="0.25">
      <c r="A247" t="s">
        <v>63</v>
      </c>
      <c r="B247" t="s" cm="1">
        <v>286</v>
      </c>
      <c r="E247" t="s">
        <v>324</v>
      </c>
      <c r="F247" t="s">
        <v>287</v>
      </c>
      <c r="M247" t="str" cm="1">
        <f t="array" aca="1" ref="M247" ca="1">SUBSTITUTE(INDIRECT("C"&amp;ROW()), ":", "")</f>
        <v/>
      </c>
    </row>
    <row r="248" spans="1:14" x14ac:dyDescent="0.25">
      <c r="A248" t="s">
        <v>63</v>
      </c>
      <c r="C248" t="s" cm="1">
        <v>157</v>
      </c>
      <c r="E248" t="s">
        <v>324</v>
      </c>
      <c r="F248" t="s">
        <v>158</v>
      </c>
      <c r="M248" t="str" cm="1">
        <f t="array" aca="1" ref="M248" ca="1">SUBSTITUTE(INDIRECT("C"&amp;ROW()), ":", "")</f>
        <v>Pain</v>
      </c>
      <c r="N248" t="s" cm="1">
        <v>157</v>
      </c>
    </row>
    <row r="249" spans="1:14" x14ac:dyDescent="0.25">
      <c r="A249" t="s">
        <v>63</v>
      </c>
      <c r="C249" t="s" cm="1">
        <v>159</v>
      </c>
      <c r="E249" t="s">
        <v>324</v>
      </c>
      <c r="F249" t="s">
        <v>160</v>
      </c>
      <c r="M249" t="str" cm="1">
        <f t="array" aca="1" ref="M249" ca="1">SUBSTITUTE(INDIRECT("C"&amp;ROW()), ":", "")</f>
        <v>Perforation</v>
      </c>
      <c r="N249" t="s" cm="1">
        <v>159</v>
      </c>
    </row>
    <row r="250" spans="1:14" x14ac:dyDescent="0.25">
      <c r="A250" t="s">
        <v>63</v>
      </c>
      <c r="C250" t="s" cm="1">
        <v>161</v>
      </c>
      <c r="E250" t="s">
        <v>324</v>
      </c>
      <c r="F250" t="s">
        <v>162</v>
      </c>
      <c r="M250" t="str" cm="1">
        <f t="array" aca="1" ref="M250" ca="1">SUBSTITUTE(INDIRECT("C"&amp;ROW()), ":", "")</f>
        <v>Perforation, Cardiac</v>
      </c>
      <c r="N250" t="s" cm="1">
        <v>161</v>
      </c>
    </row>
    <row r="251" spans="1:14" x14ac:dyDescent="0.25">
      <c r="A251" t="s">
        <v>63</v>
      </c>
      <c r="C251" t="s" cm="1">
        <v>163</v>
      </c>
      <c r="E251" t="s">
        <v>324</v>
      </c>
      <c r="F251" t="s">
        <v>164</v>
      </c>
      <c r="M251" t="str" cm="1">
        <f t="array" aca="1" ref="M251" ca="1">SUBSTITUTE(INDIRECT("C"&amp;ROW()), ":", "")</f>
        <v>Pericardial Effusion</v>
      </c>
      <c r="N251" t="s" cm="1">
        <v>163</v>
      </c>
    </row>
    <row r="252" spans="1:14" x14ac:dyDescent="0.25">
      <c r="A252" t="s">
        <v>63</v>
      </c>
      <c r="C252" t="s" cm="1">
        <v>165</v>
      </c>
      <c r="E252" t="s">
        <v>324</v>
      </c>
      <c r="F252" t="s">
        <v>166</v>
      </c>
      <c r="M252" t="str" cm="1">
        <f t="array" aca="1" ref="M252" ca="1">SUBSTITUTE(INDIRECT("C"&amp;ROW()), ":", "")</f>
        <v>Pneumothorax</v>
      </c>
      <c r="N252" t="s" cm="1">
        <v>165</v>
      </c>
    </row>
    <row r="253" spans="1:14" x14ac:dyDescent="0.25">
      <c r="A253" t="s">
        <v>63</v>
      </c>
      <c r="D253" t="s">
        <v>167</v>
      </c>
      <c r="E253" t="s">
        <v>324</v>
      </c>
      <c r="F253" t="s">
        <v>168</v>
      </c>
      <c r="M253" t="str" cm="1">
        <f t="array" aca="1" ref="M253" ca="1">SUBSTITUTE(INDIRECT("C"&amp;ROW()), ":", "")</f>
        <v/>
      </c>
    </row>
    <row r="254" spans="1:14" x14ac:dyDescent="0.25">
      <c r="A254" t="s">
        <v>63</v>
      </c>
      <c r="D254" t="s">
        <v>169</v>
      </c>
      <c r="E254" t="s">
        <v>324</v>
      </c>
      <c r="F254" t="s">
        <v>170</v>
      </c>
      <c r="M254" t="str" cm="1">
        <f t="array" aca="1" ref="M254" ca="1">SUBSTITUTE(INDIRECT("C"&amp;ROW()), ":", "")</f>
        <v/>
      </c>
    </row>
    <row r="255" spans="1:14" x14ac:dyDescent="0.25">
      <c r="A255" t="s">
        <v>63</v>
      </c>
      <c r="D255" t="s">
        <v>171</v>
      </c>
      <c r="E255" t="s">
        <v>324</v>
      </c>
      <c r="F255" t="s">
        <v>172</v>
      </c>
      <c r="M255" t="str" cm="1">
        <f t="array" aca="1" ref="M255" ca="1">SUBSTITUTE(INDIRECT("C"&amp;ROW()), ":", "")</f>
        <v/>
      </c>
    </row>
    <row r="256" spans="1:14" x14ac:dyDescent="0.25">
      <c r="A256" t="s">
        <v>63</v>
      </c>
      <c r="B256" t="s" cm="1">
        <v>173</v>
      </c>
      <c r="E256" t="s">
        <v>324</v>
      </c>
      <c r="F256" t="s">
        <v>174</v>
      </c>
      <c r="M256" t="str" cm="1">
        <f t="array" aca="1" ref="M256" ca="1">SUBSTITUTE(INDIRECT("C"&amp;ROW()), ":", "")</f>
        <v/>
      </c>
    </row>
    <row r="257" spans="1:14" x14ac:dyDescent="0.25">
      <c r="A257" t="s">
        <v>63</v>
      </c>
      <c r="C257" t="s" cm="1">
        <v>175</v>
      </c>
      <c r="E257" t="s">
        <v>324</v>
      </c>
      <c r="F257" t="s">
        <v>176</v>
      </c>
      <c r="M257" t="str" cm="1">
        <f t="array" aca="1" ref="M257" ca="1">SUBSTITUTE(INDIRECT("C"&amp;ROW()), ":", "")</f>
        <v>Scar Tissue (Cicatrix)</v>
      </c>
      <c r="N257" t="s" cm="1">
        <v>175</v>
      </c>
    </row>
    <row r="258" spans="1:14" x14ac:dyDescent="0.25">
      <c r="A258" t="s">
        <v>63</v>
      </c>
      <c r="B258" t="s" cm="1">
        <v>306</v>
      </c>
      <c r="E258" t="s">
        <v>324</v>
      </c>
      <c r="F258" t="s">
        <v>307</v>
      </c>
      <c r="M258" t="str" cm="1">
        <f t="array" aca="1" ref="M258" ca="1">SUBSTITUTE(INDIRECT("C"&amp;ROW()), ":", "")</f>
        <v/>
      </c>
    </row>
    <row r="259" spans="1:14" x14ac:dyDescent="0.25">
      <c r="A259" t="s">
        <v>63</v>
      </c>
      <c r="C259" t="s" cm="1">
        <v>308</v>
      </c>
      <c r="E259" t="s">
        <v>324</v>
      </c>
      <c r="F259" t="s">
        <v>309</v>
      </c>
      <c r="M259" t="str" cm="1">
        <f t="array" aca="1" ref="M259" ca="1">SUBSTITUTE(INDIRECT("C"&amp;ROW()), ":", "")</f>
        <v>Sepsis</v>
      </c>
      <c r="N259" t="s" cm="1">
        <v>308</v>
      </c>
    </row>
    <row r="260" spans="1:14" x14ac:dyDescent="0.25">
      <c r="A260" t="s">
        <v>63</v>
      </c>
      <c r="B260" t="s" cm="1">
        <v>310</v>
      </c>
      <c r="E260" t="s">
        <v>324</v>
      </c>
      <c r="F260" t="s">
        <v>311</v>
      </c>
      <c r="M260" t="str" cm="1">
        <f t="array" aca="1" ref="M260" ca="1">SUBSTITUTE(INDIRECT("C"&amp;ROW()), ":", "")</f>
        <v/>
      </c>
    </row>
    <row r="261" spans="1:14" x14ac:dyDescent="0.25">
      <c r="A261" t="s">
        <v>63</v>
      </c>
      <c r="B261" t="s" cm="1">
        <v>177</v>
      </c>
      <c r="E261" t="s">
        <v>324</v>
      </c>
      <c r="F261" t="s">
        <v>178</v>
      </c>
      <c r="M261" t="str" cm="1">
        <f t="array" aca="1" ref="M261" ca="1">SUBSTITUTE(INDIRECT("C"&amp;ROW()), ":", "")</f>
        <v/>
      </c>
    </row>
    <row r="262" spans="1:14" x14ac:dyDescent="0.25">
      <c r="A262" t="s">
        <v>63</v>
      </c>
      <c r="B262" t="s" cm="1">
        <v>179</v>
      </c>
      <c r="E262" t="s">
        <v>324</v>
      </c>
      <c r="F262" t="s">
        <v>180</v>
      </c>
      <c r="M262" t="str" cm="1">
        <f t="array" aca="1" ref="M262" ca="1">SUBSTITUTE(INDIRECT("C"&amp;ROW()), ":", "")</f>
        <v/>
      </c>
    </row>
    <row r="263" spans="1:14" x14ac:dyDescent="0.25">
      <c r="A263" t="s">
        <v>63</v>
      </c>
      <c r="B263" t="s" cm="1">
        <v>181</v>
      </c>
      <c r="E263" t="s">
        <v>324</v>
      </c>
      <c r="F263" t="s">
        <v>182</v>
      </c>
      <c r="M263" t="str" cm="1">
        <f t="array" aca="1" ref="M263" ca="1">SUBSTITUTE(INDIRECT("C"&amp;ROW()), ":", "")</f>
        <v/>
      </c>
    </row>
    <row r="264" spans="1:14" x14ac:dyDescent="0.25">
      <c r="A264" t="s">
        <v>63</v>
      </c>
      <c r="B264" t="s" cm="1">
        <v>183</v>
      </c>
      <c r="E264" t="s">
        <v>324</v>
      </c>
      <c r="F264" t="s">
        <v>184</v>
      </c>
      <c r="M264" t="str" cm="1">
        <f t="array" aca="1" ref="M264" ca="1">SUBSTITUTE(INDIRECT("C"&amp;ROW()), ":", "")</f>
        <v/>
      </c>
    </row>
    <row r="265" spans="1:14" x14ac:dyDescent="0.25">
      <c r="A265" t="s">
        <v>63</v>
      </c>
      <c r="B265" t="s" cm="1">
        <v>185</v>
      </c>
      <c r="E265" t="s">
        <v>324</v>
      </c>
      <c r="F265" t="s">
        <v>186</v>
      </c>
      <c r="M265" t="str" cm="1">
        <f t="array" aca="1" ref="M265" ca="1">SUBSTITUTE(INDIRECT("C"&amp;ROW()), ":", "")</f>
        <v/>
      </c>
    </row>
    <row r="266" spans="1:14" x14ac:dyDescent="0.25">
      <c r="A266" t="s">
        <v>63</v>
      </c>
      <c r="B266" t="s" cm="1">
        <v>187</v>
      </c>
      <c r="E266" t="s">
        <v>324</v>
      </c>
      <c r="F266" t="s">
        <v>188</v>
      </c>
      <c r="M266" t="str" cm="1">
        <f t="array" aca="1" ref="M266" ca="1">SUBSTITUTE(INDIRECT("C"&amp;ROW()), ":", "")</f>
        <v/>
      </c>
    </row>
    <row r="267" spans="1:14" x14ac:dyDescent="0.25">
      <c r="A267" t="s">
        <v>63</v>
      </c>
      <c r="C267" t="s" cm="1">
        <v>189</v>
      </c>
      <c r="E267" t="s">
        <v>324</v>
      </c>
      <c r="F267" t="s">
        <v>190</v>
      </c>
      <c r="M267" t="str" cm="1">
        <f t="array" aca="1" ref="M267" ca="1">SUBSTITUTE(INDIRECT("C"&amp;ROW()), ":", "")</f>
        <v>Surgery</v>
      </c>
      <c r="N267" t="s" cm="1">
        <v>189</v>
      </c>
    </row>
    <row r="268" spans="1:14" x14ac:dyDescent="0.25">
      <c r="A268" t="s">
        <v>63</v>
      </c>
      <c r="D268" t="s">
        <v>191</v>
      </c>
      <c r="E268" t="s">
        <v>324</v>
      </c>
      <c r="F268" t="s">
        <v>192</v>
      </c>
      <c r="M268" t="str" cm="1">
        <f t="array" aca="1" ref="M268" ca="1">SUBSTITUTE(INDIRECT("C"&amp;ROW()), ":", "")</f>
        <v/>
      </c>
    </row>
    <row r="269" spans="1:14" x14ac:dyDescent="0.25">
      <c r="A269" t="s">
        <v>63</v>
      </c>
      <c r="D269" t="s">
        <v>193</v>
      </c>
      <c r="E269" t="s">
        <v>324</v>
      </c>
      <c r="F269" t="s">
        <v>194</v>
      </c>
      <c r="M269" t="str" cm="1">
        <f t="array" aca="1" ref="M269" ca="1">SUBSTITUTE(INDIRECT("C"&amp;ROW()), ":", "")</f>
        <v/>
      </c>
    </row>
    <row r="270" spans="1:14" x14ac:dyDescent="0.25">
      <c r="A270" t="s">
        <v>63</v>
      </c>
      <c r="C270" t="s" cm="1">
        <v>195</v>
      </c>
      <c r="E270" t="s">
        <v>324</v>
      </c>
      <c r="F270" t="s">
        <v>196</v>
      </c>
      <c r="M270" t="str" cm="1">
        <f t="array" aca="1" ref="M270" ca="1">SUBSTITUTE(INDIRECT("C"&amp;ROW()), ":", "")</f>
        <v>Swelling</v>
      </c>
      <c r="N270" t="s" cm="1">
        <v>195</v>
      </c>
    </row>
    <row r="271" spans="1:14" x14ac:dyDescent="0.25">
      <c r="A271" t="s">
        <v>63</v>
      </c>
      <c r="C271" t="s" cm="1">
        <v>197</v>
      </c>
      <c r="E271" t="s">
        <v>324</v>
      </c>
      <c r="F271" t="s">
        <v>198</v>
      </c>
      <c r="M271" t="str" cm="1">
        <f t="array" aca="1" ref="M271" ca="1">SUBSTITUTE(INDIRECT("C"&amp;ROW()), ":", "")</f>
        <v>Syncope</v>
      </c>
      <c r="N271" t="s" cm="1">
        <v>197</v>
      </c>
    </row>
    <row r="272" spans="1:14" x14ac:dyDescent="0.25">
      <c r="A272" t="s">
        <v>63</v>
      </c>
      <c r="B272" t="s" cm="1">
        <v>199</v>
      </c>
      <c r="E272" t="s">
        <v>324</v>
      </c>
      <c r="F272" t="s">
        <v>200</v>
      </c>
      <c r="M272" t="str" cm="1">
        <f t="array" aca="1" ref="M272" ca="1">SUBSTITUTE(INDIRECT("C"&amp;ROW()), ":", "")</f>
        <v/>
      </c>
    </row>
    <row r="273" spans="1:14" x14ac:dyDescent="0.25">
      <c r="A273" t="s">
        <v>63</v>
      </c>
      <c r="B273" t="s" cm="1">
        <v>201</v>
      </c>
      <c r="E273" t="s">
        <v>324</v>
      </c>
      <c r="F273" t="s">
        <v>202</v>
      </c>
      <c r="M273" t="str" cm="1">
        <f t="array" aca="1" ref="M273" ca="1">SUBSTITUTE(INDIRECT("C"&amp;ROW()), ":", "")</f>
        <v/>
      </c>
    </row>
    <row r="274" spans="1:14" x14ac:dyDescent="0.25">
      <c r="A274" t="s">
        <v>63</v>
      </c>
      <c r="B274" t="s" cm="1">
        <v>203</v>
      </c>
      <c r="E274" t="s">
        <v>324</v>
      </c>
      <c r="F274" t="s">
        <v>204</v>
      </c>
      <c r="M274" t="str" cm="1">
        <f t="array" aca="1" ref="M274" ca="1">SUBSTITUTE(INDIRECT("C"&amp;ROW()), ":", "")</f>
        <v/>
      </c>
    </row>
    <row r="275" spans="1:14" x14ac:dyDescent="0.25">
      <c r="A275" t="s">
        <v>63</v>
      </c>
      <c r="C275" t="s" cm="1">
        <v>205</v>
      </c>
      <c r="E275" t="s">
        <v>324</v>
      </c>
      <c r="F275" t="s">
        <v>206</v>
      </c>
      <c r="M275" t="str" cm="1">
        <f t="array" aca="1" ref="M275" ca="1">SUBSTITUTE(INDIRECT("C"&amp;ROW()), ":", "")</f>
        <v>Twiddlers Syndrome</v>
      </c>
      <c r="N275" t="s" cm="1">
        <v>205</v>
      </c>
    </row>
    <row r="276" spans="1:14" x14ac:dyDescent="0.25">
      <c r="A276" t="s">
        <v>63</v>
      </c>
      <c r="B276" t="s" cm="1">
        <v>207</v>
      </c>
      <c r="E276" t="s">
        <v>324</v>
      </c>
      <c r="F276" t="s">
        <v>208</v>
      </c>
      <c r="M276" t="str" cm="1">
        <f t="array" aca="1" ref="M276" ca="1">SUBSTITUTE(INDIRECT("C"&amp;ROW()), ":", "")</f>
        <v/>
      </c>
    </row>
    <row r="277" spans="1:14" x14ac:dyDescent="0.25">
      <c r="A277" t="s">
        <v>63</v>
      </c>
      <c r="B277" t="s" cm="1">
        <v>320</v>
      </c>
      <c r="E277" t="s">
        <v>324</v>
      </c>
      <c r="F277" t="s">
        <v>321</v>
      </c>
      <c r="M277" t="str" cm="1">
        <f t="array" aca="1" ref="M277" ca="1">SUBSTITUTE(INDIRECT("C"&amp;ROW()), ":", "")</f>
        <v/>
      </c>
    </row>
    <row r="278" spans="1:14" x14ac:dyDescent="0.25">
      <c r="A278" t="s">
        <v>63</v>
      </c>
      <c r="C278" t="s" cm="1">
        <v>209</v>
      </c>
      <c r="E278" t="s">
        <v>324</v>
      </c>
      <c r="F278" t="s">
        <v>210</v>
      </c>
      <c r="M278" t="str" cm="1">
        <f t="array" aca="1" ref="M278" ca="1">SUBSTITUTE(INDIRECT("C"&amp;ROW()), ":", "")</f>
        <v>Ventricular Fibrillation</v>
      </c>
      <c r="N278" t="s" cm="1">
        <v>209</v>
      </c>
    </row>
    <row r="279" spans="1:14" x14ac:dyDescent="0.25">
      <c r="A279" t="s">
        <v>63</v>
      </c>
      <c r="C279" t="s" cm="1">
        <v>211</v>
      </c>
      <c r="E279" t="s">
        <v>324</v>
      </c>
      <c r="F279" t="s">
        <v>212</v>
      </c>
      <c r="M279" t="str" cm="1">
        <f t="array" aca="1" ref="M279" ca="1">SUBSTITUTE(INDIRECT("C"&amp;ROW()), ":", "")</f>
        <v>Ventricular Tachycardia</v>
      </c>
      <c r="N279" t="s" cm="1">
        <v>211</v>
      </c>
    </row>
    <row r="280" spans="1:14" x14ac:dyDescent="0.25">
      <c r="A280" t="s">
        <v>325</v>
      </c>
      <c r="D280" t="s">
        <v>65</v>
      </c>
      <c r="E280" t="s">
        <v>66</v>
      </c>
      <c r="F280" t="s">
        <v>67</v>
      </c>
      <c r="M280" t="str" cm="1">
        <f t="array" aca="1" ref="M280" ca="1">SUBSTITUTE(INDIRECT("C"&amp;ROW()), ":", "")</f>
        <v/>
      </c>
    </row>
    <row r="281" spans="1:14" x14ac:dyDescent="0.25">
      <c r="A281" t="s">
        <v>325</v>
      </c>
      <c r="C281" t="s" cm="1">
        <v>70</v>
      </c>
      <c r="E281" t="s">
        <v>66</v>
      </c>
      <c r="F281" t="s">
        <v>71</v>
      </c>
      <c r="M281" t="str" cm="1">
        <f t="array" aca="1" ref="M281" ca="1">SUBSTITUTE(INDIRECT("C"&amp;ROW()), ":", "")</f>
        <v>Anxiety</v>
      </c>
      <c r="N281" t="s" cm="1">
        <v>70</v>
      </c>
    </row>
    <row r="282" spans="1:14" x14ac:dyDescent="0.25">
      <c r="A282" t="s">
        <v>325</v>
      </c>
      <c r="C282" t="s" cm="1">
        <v>72</v>
      </c>
      <c r="E282" t="s">
        <v>66</v>
      </c>
      <c r="F282" t="s">
        <v>73</v>
      </c>
      <c r="M282" t="str" cm="1">
        <f t="array" aca="1" ref="M282" ca="1">SUBSTITUTE(INDIRECT("C"&amp;ROW()), ":", "")</f>
        <v>Atrial Fibrillation</v>
      </c>
      <c r="N282" t="s" cm="1">
        <v>72</v>
      </c>
    </row>
    <row r="283" spans="1:14" x14ac:dyDescent="0.25">
      <c r="A283" t="s">
        <v>325</v>
      </c>
      <c r="D283" t="s">
        <v>74</v>
      </c>
      <c r="E283" t="s">
        <v>66</v>
      </c>
      <c r="F283" t="s">
        <v>75</v>
      </c>
      <c r="M283" t="str" cm="1">
        <f t="array" aca="1" ref="M283" ca="1">SUBSTITUTE(INDIRECT("C"&amp;ROW()), ":", "")</f>
        <v/>
      </c>
    </row>
    <row r="284" spans="1:14" x14ac:dyDescent="0.25">
      <c r="A284" t="s">
        <v>325</v>
      </c>
      <c r="C284" t="s" cm="1">
        <v>78</v>
      </c>
      <c r="E284" t="s">
        <v>66</v>
      </c>
      <c r="F284" t="s">
        <v>79</v>
      </c>
      <c r="M284" t="str" cm="1">
        <f t="array" aca="1" ref="M284" ca="1">SUBSTITUTE(INDIRECT("C"&amp;ROW()), ":", "")</f>
        <v>Chest Pain</v>
      </c>
      <c r="N284" t="s" cm="1">
        <v>78</v>
      </c>
    </row>
    <row r="285" spans="1:14" x14ac:dyDescent="0.25">
      <c r="A285" t="s">
        <v>325</v>
      </c>
      <c r="B285" t="s" cm="1">
        <v>80</v>
      </c>
      <c r="E285" t="s">
        <v>66</v>
      </c>
      <c r="F285" t="s">
        <v>81</v>
      </c>
      <c r="M285" t="str" cm="1">
        <f t="array" aca="1" ref="M285" ca="1">SUBSTITUTE(INDIRECT("C"&amp;ROW()), ":", "")</f>
        <v/>
      </c>
    </row>
    <row r="286" spans="1:14" x14ac:dyDescent="0.25">
      <c r="A286" t="s">
        <v>325</v>
      </c>
      <c r="B286" t="s" cm="1">
        <v>82</v>
      </c>
      <c r="E286" t="s">
        <v>66</v>
      </c>
      <c r="F286" t="s">
        <v>83</v>
      </c>
      <c r="M286" t="str" cm="1">
        <f t="array" aca="1" ref="M286" ca="1">SUBSTITUTE(INDIRECT("C"&amp;ROW()), ":", "")</f>
        <v/>
      </c>
    </row>
    <row r="287" spans="1:14" x14ac:dyDescent="0.25">
      <c r="A287" t="s">
        <v>325</v>
      </c>
      <c r="D287" t="s">
        <v>84</v>
      </c>
      <c r="E287" t="s">
        <v>66</v>
      </c>
      <c r="F287" t="s">
        <v>85</v>
      </c>
      <c r="M287" t="str" cm="1">
        <f t="array" aca="1" ref="M287" ca="1">SUBSTITUTE(INDIRECT("C"&amp;ROW()), ":", "")</f>
        <v/>
      </c>
    </row>
    <row r="288" spans="1:14" x14ac:dyDescent="0.25">
      <c r="A288" t="s">
        <v>325</v>
      </c>
      <c r="D288" t="s">
        <v>87</v>
      </c>
      <c r="E288" t="s">
        <v>66</v>
      </c>
      <c r="F288" t="s">
        <v>88</v>
      </c>
      <c r="M288" t="str" cm="1">
        <f t="array" aca="1" ref="M288" ca="1">SUBSTITUTE(INDIRECT("C"&amp;ROW()), ":", "")</f>
        <v/>
      </c>
    </row>
    <row r="289" spans="1:14" x14ac:dyDescent="0.25">
      <c r="A289" t="s">
        <v>325</v>
      </c>
      <c r="B289" t="s" cm="1">
        <v>89</v>
      </c>
      <c r="E289" t="s">
        <v>66</v>
      </c>
      <c r="F289" t="s">
        <v>90</v>
      </c>
      <c r="M289" t="str" cm="1">
        <f t="array" aca="1" ref="M289" ca="1">SUBSTITUTE(INDIRECT("C"&amp;ROW()), ":", "")</f>
        <v/>
      </c>
    </row>
    <row r="290" spans="1:14" x14ac:dyDescent="0.25">
      <c r="A290" t="s">
        <v>325</v>
      </c>
      <c r="D290" t="s">
        <v>91</v>
      </c>
      <c r="E290" t="s">
        <v>66</v>
      </c>
      <c r="F290" t="s">
        <v>92</v>
      </c>
      <c r="M290" t="str" cm="1">
        <f t="array" aca="1" ref="M290" ca="1">SUBSTITUTE(INDIRECT("C"&amp;ROW()), ":", "")</f>
        <v/>
      </c>
    </row>
    <row r="291" spans="1:14" x14ac:dyDescent="0.25">
      <c r="A291" t="s">
        <v>325</v>
      </c>
      <c r="D291" t="s">
        <v>93</v>
      </c>
      <c r="E291" t="s">
        <v>66</v>
      </c>
      <c r="F291" t="s">
        <v>94</v>
      </c>
      <c r="M291" t="str" cm="1">
        <f t="array" aca="1" ref="M291" ca="1">SUBSTITUTE(INDIRECT("C"&amp;ROW()), ":", "")</f>
        <v/>
      </c>
    </row>
    <row r="292" spans="1:14" x14ac:dyDescent="0.25">
      <c r="A292" t="s">
        <v>325</v>
      </c>
      <c r="B292" t="s" cm="1">
        <v>95</v>
      </c>
      <c r="E292" t="s">
        <v>66</v>
      </c>
      <c r="F292" t="s">
        <v>96</v>
      </c>
      <c r="M292" t="str" cm="1">
        <f t="array" aca="1" ref="M292" ca="1">SUBSTITUTE(INDIRECT("C"&amp;ROW()), ":", "")</f>
        <v/>
      </c>
    </row>
    <row r="293" spans="1:14" x14ac:dyDescent="0.25">
      <c r="A293" t="s">
        <v>325</v>
      </c>
      <c r="B293" t="s" cm="1">
        <v>97</v>
      </c>
      <c r="E293" t="s">
        <v>66</v>
      </c>
      <c r="F293" t="s">
        <v>98</v>
      </c>
      <c r="M293" t="str" cm="1">
        <f t="array" aca="1" ref="M293" ca="1">SUBSTITUTE(INDIRECT("C"&amp;ROW()), ":", "")</f>
        <v/>
      </c>
    </row>
    <row r="294" spans="1:14" x14ac:dyDescent="0.25">
      <c r="A294" t="s">
        <v>325</v>
      </c>
      <c r="B294" t="s" cm="1">
        <v>99</v>
      </c>
      <c r="E294" t="s">
        <v>66</v>
      </c>
      <c r="F294" t="s">
        <v>100</v>
      </c>
      <c r="M294" t="str" cm="1">
        <f t="array" aca="1" ref="M294" ca="1">SUBSTITUTE(INDIRECT("C"&amp;ROW()), ":", "")</f>
        <v/>
      </c>
    </row>
    <row r="295" spans="1:14" x14ac:dyDescent="0.25">
      <c r="A295" t="s">
        <v>325</v>
      </c>
      <c r="B295" t="s" cm="1">
        <v>101</v>
      </c>
      <c r="E295" t="s">
        <v>66</v>
      </c>
      <c r="F295" t="s">
        <v>102</v>
      </c>
      <c r="M295" t="str" cm="1">
        <f t="array" aca="1" ref="M295" ca="1">SUBSTITUTE(INDIRECT("C"&amp;ROW()), ":", "")</f>
        <v/>
      </c>
    </row>
    <row r="296" spans="1:14" x14ac:dyDescent="0.25">
      <c r="A296" t="s">
        <v>325</v>
      </c>
      <c r="C296" t="s" cm="1">
        <v>103</v>
      </c>
      <c r="E296" t="s">
        <v>66</v>
      </c>
      <c r="F296" t="s">
        <v>104</v>
      </c>
      <c r="M296" t="str" cm="1">
        <f t="array" aca="1" ref="M296" ca="1">SUBSTITUTE(INDIRECT("C"&amp;ROW()), ":", "")</f>
        <v>Discomfort</v>
      </c>
      <c r="N296" t="s" cm="1">
        <v>103</v>
      </c>
    </row>
    <row r="297" spans="1:14" x14ac:dyDescent="0.25">
      <c r="A297" t="s">
        <v>325</v>
      </c>
      <c r="B297" t="s" cm="1">
        <v>105</v>
      </c>
      <c r="E297" t="s">
        <v>66</v>
      </c>
      <c r="F297" t="s">
        <v>106</v>
      </c>
      <c r="M297" t="str" cm="1">
        <f t="array" aca="1" ref="M297" ca="1">SUBSTITUTE(INDIRECT("C"&amp;ROW()), ":", "")</f>
        <v/>
      </c>
    </row>
    <row r="298" spans="1:14" x14ac:dyDescent="0.25">
      <c r="A298" t="s">
        <v>325</v>
      </c>
      <c r="C298" t="s" cm="1">
        <v>107</v>
      </c>
      <c r="E298" t="s">
        <v>66</v>
      </c>
      <c r="F298" t="s">
        <v>108</v>
      </c>
      <c r="M298" t="str" cm="1">
        <f t="array" aca="1" ref="M298" ca="1">SUBSTITUTE(INDIRECT("C"&amp;ROW()), ":", "")</f>
        <v>Electric Shock</v>
      </c>
      <c r="N298" t="s" cm="1">
        <v>107</v>
      </c>
    </row>
    <row r="299" spans="1:14" x14ac:dyDescent="0.25">
      <c r="A299" t="s">
        <v>325</v>
      </c>
      <c r="C299" t="s" cm="1">
        <v>109</v>
      </c>
      <c r="E299" t="s">
        <v>66</v>
      </c>
      <c r="F299" t="s">
        <v>110</v>
      </c>
      <c r="M299" t="str" cm="1">
        <f t="array" aca="1" ref="M299" ca="1">SUBSTITUTE(INDIRECT("C"&amp;ROW()), ":", "")</f>
        <v>Erosion</v>
      </c>
      <c r="N299" t="s" cm="1">
        <v>109</v>
      </c>
    </row>
    <row r="300" spans="1:14" x14ac:dyDescent="0.25">
      <c r="A300" t="s">
        <v>325</v>
      </c>
      <c r="C300" t="s" cm="1">
        <v>111</v>
      </c>
      <c r="E300" t="s">
        <v>66</v>
      </c>
      <c r="F300" t="s">
        <v>112</v>
      </c>
      <c r="M300" t="str" cm="1">
        <f t="array" aca="1" ref="M300" ca="1">SUBSTITUTE(INDIRECT("C"&amp;ROW()), ":", "")</f>
        <v>Erosion, Pocket</v>
      </c>
      <c r="N300" t="s" cm="1">
        <v>111</v>
      </c>
    </row>
    <row r="301" spans="1:14" x14ac:dyDescent="0.25">
      <c r="A301" t="s">
        <v>325</v>
      </c>
      <c r="B301" t="s" cm="1">
        <v>113</v>
      </c>
      <c r="E301" t="s">
        <v>66</v>
      </c>
      <c r="F301" t="s">
        <v>114</v>
      </c>
      <c r="M301" t="str" cm="1">
        <f t="array" aca="1" ref="M301" ca="1">SUBSTITUTE(INDIRECT("C"&amp;ROW()), ":", "")</f>
        <v/>
      </c>
    </row>
    <row r="302" spans="1:14" x14ac:dyDescent="0.25">
      <c r="A302" t="s">
        <v>325</v>
      </c>
      <c r="B302" t="s" cm="1">
        <v>115</v>
      </c>
      <c r="E302" t="s">
        <v>66</v>
      </c>
      <c r="F302" t="s">
        <v>116</v>
      </c>
      <c r="M302" t="str" cm="1">
        <f t="array" aca="1" ref="M302" ca="1">SUBSTITUTE(INDIRECT("C"&amp;ROW()), ":", "")</f>
        <v/>
      </c>
    </row>
    <row r="303" spans="1:14" x14ac:dyDescent="0.25">
      <c r="A303" t="s">
        <v>325</v>
      </c>
      <c r="B303" t="s" cm="1">
        <v>117</v>
      </c>
      <c r="E303" t="s">
        <v>66</v>
      </c>
      <c r="F303" t="s">
        <v>118</v>
      </c>
      <c r="M303" t="str" cm="1">
        <f t="array" aca="1" ref="M303" ca="1">SUBSTITUTE(INDIRECT("C"&amp;ROW()), ":", "")</f>
        <v/>
      </c>
    </row>
    <row r="304" spans="1:14" x14ac:dyDescent="0.25">
      <c r="A304" t="s">
        <v>325</v>
      </c>
      <c r="C304" t="s" cm="1">
        <v>119</v>
      </c>
      <c r="E304" t="s">
        <v>66</v>
      </c>
      <c r="F304" t="s">
        <v>120</v>
      </c>
      <c r="M304" t="str" cm="1">
        <f t="array" aca="1" ref="M304" ca="1">SUBSTITUTE(INDIRECT("C"&amp;ROW()), ":", "")</f>
        <v>Fall</v>
      </c>
      <c r="N304" t="s" cm="1">
        <v>119</v>
      </c>
    </row>
    <row r="305" spans="1:14" x14ac:dyDescent="0.25">
      <c r="A305" t="s">
        <v>325</v>
      </c>
      <c r="B305" t="s" cm="1">
        <v>121</v>
      </c>
      <c r="E305" t="s">
        <v>66</v>
      </c>
      <c r="F305" t="s">
        <v>122</v>
      </c>
      <c r="M305" t="str" cm="1">
        <f t="array" aca="1" ref="M305" ca="1">SUBSTITUTE(INDIRECT("C"&amp;ROW()), ":", "")</f>
        <v/>
      </c>
    </row>
    <row r="306" spans="1:14" x14ac:dyDescent="0.25">
      <c r="A306" t="s">
        <v>325</v>
      </c>
      <c r="C306" t="s" cm="1">
        <v>123</v>
      </c>
      <c r="E306" t="s">
        <v>66</v>
      </c>
      <c r="F306" t="s">
        <v>124</v>
      </c>
      <c r="M306" t="str" cm="1">
        <f t="array" aca="1" ref="M306" ca="1">SUBSTITUTE(INDIRECT("C"&amp;ROW()), ":", "")</f>
        <v>Hematoma</v>
      </c>
      <c r="N306" t="s" cm="1">
        <v>123</v>
      </c>
    </row>
    <row r="307" spans="1:14" x14ac:dyDescent="0.25">
      <c r="A307" t="s">
        <v>325</v>
      </c>
      <c r="B307" t="s" cm="1">
        <v>125</v>
      </c>
      <c r="E307" t="s">
        <v>66</v>
      </c>
      <c r="F307" t="s">
        <v>126</v>
      </c>
      <c r="M307" t="str" cm="1">
        <f t="array" aca="1" ref="M307" ca="1">SUBSTITUTE(INDIRECT("C"&amp;ROW()), ":", "")</f>
        <v/>
      </c>
    </row>
    <row r="308" spans="1:14" x14ac:dyDescent="0.25">
      <c r="A308" t="s">
        <v>325</v>
      </c>
      <c r="D308" t="s">
        <v>127</v>
      </c>
      <c r="E308" t="s">
        <v>66</v>
      </c>
      <c r="F308" t="s">
        <v>128</v>
      </c>
      <c r="M308" t="str" cm="1">
        <f t="array" aca="1" ref="M308" ca="1">SUBSTITUTE(INDIRECT("C"&amp;ROW()), ":", "")</f>
        <v/>
      </c>
    </row>
    <row r="309" spans="1:14" x14ac:dyDescent="0.25">
      <c r="A309" t="s">
        <v>325</v>
      </c>
      <c r="D309" t="s">
        <v>131</v>
      </c>
      <c r="E309" t="s">
        <v>66</v>
      </c>
      <c r="F309" t="s">
        <v>132</v>
      </c>
      <c r="M309" t="str" cm="1">
        <f t="array" aca="1" ref="M309" ca="1">SUBSTITUTE(INDIRECT("C"&amp;ROW()), ":", "")</f>
        <v/>
      </c>
    </row>
    <row r="310" spans="1:14" x14ac:dyDescent="0.25">
      <c r="A310" t="s">
        <v>325</v>
      </c>
      <c r="B310" t="s" cm="1">
        <v>133</v>
      </c>
      <c r="E310" t="s">
        <v>66</v>
      </c>
      <c r="F310" t="s">
        <v>134</v>
      </c>
      <c r="M310" t="str" cm="1">
        <f t="array" aca="1" ref="M310" ca="1">SUBSTITUTE(INDIRECT("C"&amp;ROW()), ":", "")</f>
        <v/>
      </c>
    </row>
    <row r="311" spans="1:14" x14ac:dyDescent="0.25">
      <c r="A311" t="s">
        <v>325</v>
      </c>
      <c r="C311" t="s" cm="1">
        <v>135</v>
      </c>
      <c r="E311" t="s">
        <v>66</v>
      </c>
      <c r="F311" t="s">
        <v>136</v>
      </c>
      <c r="M311" t="str" cm="1">
        <f t="array" aca="1" ref="M311" ca="1">SUBSTITUTE(INDIRECT("C"&amp;ROW()), ":", "")</f>
        <v>Infection</v>
      </c>
      <c r="N311" t="s" cm="1">
        <v>135</v>
      </c>
    </row>
    <row r="312" spans="1:14" x14ac:dyDescent="0.25">
      <c r="A312" t="s">
        <v>325</v>
      </c>
      <c r="C312" t="s" cm="1">
        <v>139</v>
      </c>
      <c r="E312" t="s">
        <v>66</v>
      </c>
      <c r="F312" t="s">
        <v>140</v>
      </c>
      <c r="M312" t="str" cm="1">
        <f t="array" aca="1" ref="M312" ca="1">SUBSTITUTE(INDIRECT("C"&amp;ROW()), ":", "")</f>
        <v>Irritation, Skin</v>
      </c>
      <c r="N312" t="s" cm="1">
        <v>139</v>
      </c>
    </row>
    <row r="313" spans="1:14" x14ac:dyDescent="0.25">
      <c r="A313" t="s">
        <v>325</v>
      </c>
      <c r="B313" t="s" cm="1">
        <v>141</v>
      </c>
      <c r="E313" t="s">
        <v>66</v>
      </c>
      <c r="F313" t="s">
        <v>142</v>
      </c>
      <c r="M313" t="str" cm="1">
        <f t="array" aca="1" ref="M313" ca="1">SUBSTITUTE(INDIRECT("C"&amp;ROW()), ":", "")</f>
        <v/>
      </c>
    </row>
    <row r="314" spans="1:14" x14ac:dyDescent="0.25">
      <c r="A314" t="s">
        <v>325</v>
      </c>
      <c r="D314" t="s">
        <v>143</v>
      </c>
      <c r="E314" t="s">
        <v>66</v>
      </c>
      <c r="F314" t="s">
        <v>144</v>
      </c>
      <c r="M314" t="str" cm="1">
        <f t="array" aca="1" ref="M314" ca="1">SUBSTITUTE(INDIRECT("C"&amp;ROW()), ":", "")</f>
        <v/>
      </c>
    </row>
    <row r="315" spans="1:14" x14ac:dyDescent="0.25">
      <c r="A315" t="s">
        <v>325</v>
      </c>
      <c r="B315" t="s" cm="1">
        <v>145</v>
      </c>
      <c r="E315" t="s">
        <v>66</v>
      </c>
      <c r="F315" t="s">
        <v>146</v>
      </c>
      <c r="M315" t="str" cm="1">
        <f t="array" aca="1" ref="M315" ca="1">SUBSTITUTE(INDIRECT("C"&amp;ROW()), ":", "")</f>
        <v/>
      </c>
    </row>
    <row r="316" spans="1:14" x14ac:dyDescent="0.25">
      <c r="A316" t="s">
        <v>325</v>
      </c>
      <c r="D316" t="s">
        <v>147</v>
      </c>
      <c r="E316" t="s">
        <v>66</v>
      </c>
      <c r="F316" t="s">
        <v>148</v>
      </c>
      <c r="M316" t="str" cm="1">
        <f t="array" aca="1" ref="M316" ca="1">SUBSTITUTE(INDIRECT("C"&amp;ROW()), ":", "")</f>
        <v/>
      </c>
    </row>
    <row r="317" spans="1:14" x14ac:dyDescent="0.25">
      <c r="A317" t="s">
        <v>325</v>
      </c>
      <c r="D317" t="s">
        <v>149</v>
      </c>
      <c r="E317" t="s">
        <v>66</v>
      </c>
      <c r="F317" t="s">
        <v>150</v>
      </c>
      <c r="M317" t="str" cm="1">
        <f t="array" aca="1" ref="M317" ca="1">SUBSTITUTE(INDIRECT("C"&amp;ROW()), ":", "")</f>
        <v/>
      </c>
    </row>
    <row r="318" spans="1:14" x14ac:dyDescent="0.25">
      <c r="A318" t="s">
        <v>325</v>
      </c>
      <c r="C318" t="s" cm="1">
        <v>151</v>
      </c>
      <c r="E318" t="s">
        <v>66</v>
      </c>
      <c r="F318" t="s">
        <v>152</v>
      </c>
      <c r="M318" t="str" cm="1">
        <f t="array" aca="1" ref="M318" ca="1">SUBSTITUTE(INDIRECT("C"&amp;ROW()), ":", "")</f>
        <v>Necrosis</v>
      </c>
      <c r="N318" t="s" cm="1">
        <v>151</v>
      </c>
    </row>
    <row r="319" spans="1:14" x14ac:dyDescent="0.25">
      <c r="A319" t="s">
        <v>325</v>
      </c>
      <c r="B319" t="s" cm="1">
        <v>153</v>
      </c>
      <c r="E319" t="s">
        <v>66</v>
      </c>
      <c r="F319" t="s">
        <v>154</v>
      </c>
      <c r="M319" t="str" cm="1">
        <f t="array" aca="1" ref="M319" ca="1">SUBSTITUTE(INDIRECT("C"&amp;ROW()), ":", "")</f>
        <v/>
      </c>
    </row>
    <row r="320" spans="1:14" x14ac:dyDescent="0.25">
      <c r="A320" t="s">
        <v>325</v>
      </c>
      <c r="B320" t="s" cm="1">
        <v>155</v>
      </c>
      <c r="E320" t="s">
        <v>66</v>
      </c>
      <c r="F320" t="s">
        <v>156</v>
      </c>
      <c r="M320" t="str" cm="1">
        <f t="array" aca="1" ref="M320" ca="1">SUBSTITUTE(INDIRECT("C"&amp;ROW()), ":", "")</f>
        <v/>
      </c>
    </row>
    <row r="321" spans="1:14" x14ac:dyDescent="0.25">
      <c r="A321" t="s">
        <v>325</v>
      </c>
      <c r="B321" t="s" cm="1">
        <v>286</v>
      </c>
      <c r="E321" t="s">
        <v>66</v>
      </c>
      <c r="F321" t="s">
        <v>287</v>
      </c>
      <c r="M321" t="str" cm="1">
        <f t="array" aca="1" ref="M321" ca="1">SUBSTITUTE(INDIRECT("C"&amp;ROW()), ":", "")</f>
        <v/>
      </c>
    </row>
    <row r="322" spans="1:14" x14ac:dyDescent="0.25">
      <c r="A322" t="s">
        <v>325</v>
      </c>
      <c r="C322" t="s" cm="1">
        <v>157</v>
      </c>
      <c r="E322" t="s">
        <v>66</v>
      </c>
      <c r="F322" t="s">
        <v>158</v>
      </c>
      <c r="M322" t="str" cm="1">
        <f t="array" aca="1" ref="M322" ca="1">SUBSTITUTE(INDIRECT("C"&amp;ROW()), ":", "")</f>
        <v>Pain</v>
      </c>
      <c r="N322" t="s" cm="1">
        <v>157</v>
      </c>
    </row>
    <row r="323" spans="1:14" x14ac:dyDescent="0.25">
      <c r="A323" t="s">
        <v>325</v>
      </c>
      <c r="C323" t="s" cm="1">
        <v>159</v>
      </c>
      <c r="E323" t="s">
        <v>66</v>
      </c>
      <c r="F323" t="s">
        <v>160</v>
      </c>
      <c r="M323" t="str" cm="1">
        <f t="array" aca="1" ref="M323" ca="1">SUBSTITUTE(INDIRECT("C"&amp;ROW()), ":", "")</f>
        <v>Perforation</v>
      </c>
      <c r="N323" t="s" cm="1">
        <v>159</v>
      </c>
    </row>
    <row r="324" spans="1:14" x14ac:dyDescent="0.25">
      <c r="A324" t="s">
        <v>325</v>
      </c>
      <c r="C324" t="s" cm="1">
        <v>165</v>
      </c>
      <c r="E324" t="s">
        <v>66</v>
      </c>
      <c r="F324" t="s">
        <v>166</v>
      </c>
      <c r="M324" t="str" cm="1">
        <f t="array" aca="1" ref="M324" ca="1">SUBSTITUTE(INDIRECT("C"&amp;ROW()), ":", "")</f>
        <v>Pneumothorax</v>
      </c>
      <c r="N324" t="s" cm="1">
        <v>165</v>
      </c>
    </row>
    <row r="325" spans="1:14" x14ac:dyDescent="0.25">
      <c r="A325" t="s">
        <v>325</v>
      </c>
      <c r="D325" t="s">
        <v>167</v>
      </c>
      <c r="E325" t="s">
        <v>66</v>
      </c>
      <c r="F325" t="s">
        <v>168</v>
      </c>
      <c r="M325" t="str" cm="1">
        <f t="array" aca="1" ref="M325" ca="1">SUBSTITUTE(INDIRECT("C"&amp;ROW()), ":", "")</f>
        <v/>
      </c>
    </row>
    <row r="326" spans="1:14" x14ac:dyDescent="0.25">
      <c r="A326" t="s">
        <v>325</v>
      </c>
      <c r="D326" t="s">
        <v>169</v>
      </c>
      <c r="E326" t="s">
        <v>66</v>
      </c>
      <c r="F326" t="s">
        <v>170</v>
      </c>
      <c r="M326" t="str" cm="1">
        <f t="array" aca="1" ref="M326" ca="1">SUBSTITUTE(INDIRECT("C"&amp;ROW()), ":", "")</f>
        <v/>
      </c>
    </row>
    <row r="327" spans="1:14" x14ac:dyDescent="0.25">
      <c r="A327" t="s">
        <v>325</v>
      </c>
      <c r="D327" t="s">
        <v>171</v>
      </c>
      <c r="E327" t="s">
        <v>66</v>
      </c>
      <c r="F327" t="s">
        <v>172</v>
      </c>
      <c r="M327" t="str" cm="1">
        <f t="array" aca="1" ref="M327" ca="1">SUBSTITUTE(INDIRECT("C"&amp;ROW()), ":", "")</f>
        <v/>
      </c>
    </row>
    <row r="328" spans="1:14" x14ac:dyDescent="0.25">
      <c r="A328" t="s">
        <v>325</v>
      </c>
      <c r="B328" t="s" cm="1">
        <v>173</v>
      </c>
      <c r="E328" t="s">
        <v>66</v>
      </c>
      <c r="F328" t="s">
        <v>174</v>
      </c>
      <c r="M328" t="str" cm="1">
        <f t="array" aca="1" ref="M328" ca="1">SUBSTITUTE(INDIRECT("C"&amp;ROW()), ":", "")</f>
        <v/>
      </c>
    </row>
    <row r="329" spans="1:14" x14ac:dyDescent="0.25">
      <c r="A329" t="s">
        <v>325</v>
      </c>
      <c r="C329" t="s" cm="1">
        <v>175</v>
      </c>
      <c r="E329" t="s">
        <v>66</v>
      </c>
      <c r="F329" t="s">
        <v>176</v>
      </c>
      <c r="M329" t="str" cm="1">
        <f t="array" aca="1" ref="M329" ca="1">SUBSTITUTE(INDIRECT("C"&amp;ROW()), ":", "")</f>
        <v>Scar Tissue (Cicatrix)</v>
      </c>
      <c r="N329" t="s" cm="1">
        <v>175</v>
      </c>
    </row>
    <row r="330" spans="1:14" x14ac:dyDescent="0.25">
      <c r="A330" t="s">
        <v>325</v>
      </c>
      <c r="B330" t="s" cm="1">
        <v>177</v>
      </c>
      <c r="E330" t="s">
        <v>66</v>
      </c>
      <c r="F330" t="s">
        <v>178</v>
      </c>
      <c r="M330" t="str" cm="1">
        <f t="array" aca="1" ref="M330" ca="1">SUBSTITUTE(INDIRECT("C"&amp;ROW()), ":", "")</f>
        <v/>
      </c>
    </row>
    <row r="331" spans="1:14" x14ac:dyDescent="0.25">
      <c r="A331" t="s">
        <v>325</v>
      </c>
      <c r="B331" t="s" cm="1">
        <v>179</v>
      </c>
      <c r="E331" t="s">
        <v>66</v>
      </c>
      <c r="F331" t="s">
        <v>180</v>
      </c>
      <c r="M331" t="str" cm="1">
        <f t="array" aca="1" ref="M331" ca="1">SUBSTITUTE(INDIRECT("C"&amp;ROW()), ":", "")</f>
        <v/>
      </c>
    </row>
    <row r="332" spans="1:14" x14ac:dyDescent="0.25">
      <c r="A332" t="s">
        <v>325</v>
      </c>
      <c r="B332" t="s" cm="1">
        <v>181</v>
      </c>
      <c r="E332" t="s">
        <v>66</v>
      </c>
      <c r="F332" t="s">
        <v>182</v>
      </c>
      <c r="M332" t="str" cm="1">
        <f t="array" aca="1" ref="M332" ca="1">SUBSTITUTE(INDIRECT("C"&amp;ROW()), ":", "")</f>
        <v/>
      </c>
    </row>
    <row r="333" spans="1:14" x14ac:dyDescent="0.25">
      <c r="A333" t="s">
        <v>325</v>
      </c>
      <c r="B333" t="s" cm="1">
        <v>183</v>
      </c>
      <c r="E333" t="s">
        <v>66</v>
      </c>
      <c r="F333" t="s">
        <v>184</v>
      </c>
      <c r="M333" t="str" cm="1">
        <f t="array" aca="1" ref="M333" ca="1">SUBSTITUTE(INDIRECT("C"&amp;ROW()), ":", "")</f>
        <v/>
      </c>
    </row>
    <row r="334" spans="1:14" x14ac:dyDescent="0.25">
      <c r="A334" t="s">
        <v>325</v>
      </c>
      <c r="B334" t="s" cm="1">
        <v>185</v>
      </c>
      <c r="E334" t="s">
        <v>66</v>
      </c>
      <c r="F334" t="s">
        <v>186</v>
      </c>
      <c r="M334" t="str" cm="1">
        <f t="array" aca="1" ref="M334" ca="1">SUBSTITUTE(INDIRECT("C"&amp;ROW()), ":", "")</f>
        <v/>
      </c>
    </row>
    <row r="335" spans="1:14" x14ac:dyDescent="0.25">
      <c r="A335" t="s">
        <v>325</v>
      </c>
      <c r="B335" t="s" cm="1">
        <v>187</v>
      </c>
      <c r="E335" t="s">
        <v>66</v>
      </c>
      <c r="F335" t="s">
        <v>188</v>
      </c>
      <c r="M335" t="str" cm="1">
        <f t="array" aca="1" ref="M335" ca="1">SUBSTITUTE(INDIRECT("C"&amp;ROW()), ":", "")</f>
        <v/>
      </c>
    </row>
    <row r="336" spans="1:14" x14ac:dyDescent="0.25">
      <c r="A336" t="s">
        <v>325</v>
      </c>
      <c r="C336" t="s" cm="1">
        <v>189</v>
      </c>
      <c r="E336" t="s">
        <v>66</v>
      </c>
      <c r="F336" t="s">
        <v>190</v>
      </c>
      <c r="M336" t="str" cm="1">
        <f t="array" aca="1" ref="M336" ca="1">SUBSTITUTE(INDIRECT("C"&amp;ROW()), ":", "")</f>
        <v>Surgery</v>
      </c>
      <c r="N336" t="s" cm="1">
        <v>189</v>
      </c>
    </row>
    <row r="337" spans="1:14" x14ac:dyDescent="0.25">
      <c r="A337" t="s">
        <v>325</v>
      </c>
      <c r="D337" t="s">
        <v>191</v>
      </c>
      <c r="E337" t="s">
        <v>66</v>
      </c>
      <c r="F337" t="s">
        <v>192</v>
      </c>
      <c r="M337" t="str" cm="1">
        <f t="array" aca="1" ref="M337" ca="1">SUBSTITUTE(INDIRECT("C"&amp;ROW()), ":", "")</f>
        <v/>
      </c>
    </row>
    <row r="338" spans="1:14" x14ac:dyDescent="0.25">
      <c r="A338" t="s">
        <v>325</v>
      </c>
      <c r="D338" t="s">
        <v>193</v>
      </c>
      <c r="E338" t="s">
        <v>66</v>
      </c>
      <c r="F338" t="s">
        <v>194</v>
      </c>
      <c r="M338" t="str" cm="1">
        <f t="array" aca="1" ref="M338" ca="1">SUBSTITUTE(INDIRECT("C"&amp;ROW()), ":", "")</f>
        <v/>
      </c>
    </row>
    <row r="339" spans="1:14" x14ac:dyDescent="0.25">
      <c r="A339" t="s">
        <v>325</v>
      </c>
      <c r="C339" t="s" cm="1">
        <v>195</v>
      </c>
      <c r="E339" t="s">
        <v>66</v>
      </c>
      <c r="F339" t="s">
        <v>196</v>
      </c>
      <c r="M339" t="str" cm="1">
        <f t="array" aca="1" ref="M339" ca="1">SUBSTITUTE(INDIRECT("C"&amp;ROW()), ":", "")</f>
        <v>Swelling</v>
      </c>
      <c r="N339" t="s" cm="1">
        <v>195</v>
      </c>
    </row>
    <row r="340" spans="1:14" x14ac:dyDescent="0.25">
      <c r="A340" t="s">
        <v>325</v>
      </c>
      <c r="C340" t="s" cm="1">
        <v>197</v>
      </c>
      <c r="E340" t="s">
        <v>66</v>
      </c>
      <c r="F340" t="s">
        <v>198</v>
      </c>
      <c r="M340" t="str" cm="1">
        <f t="array" aca="1" ref="M340" ca="1">SUBSTITUTE(INDIRECT("C"&amp;ROW()), ":", "")</f>
        <v>Syncope</v>
      </c>
      <c r="N340" t="s" cm="1">
        <v>197</v>
      </c>
    </row>
    <row r="341" spans="1:14" x14ac:dyDescent="0.25">
      <c r="A341" t="s">
        <v>325</v>
      </c>
      <c r="B341" t="s" cm="1">
        <v>199</v>
      </c>
      <c r="E341" t="s">
        <v>66</v>
      </c>
      <c r="F341" t="s">
        <v>200</v>
      </c>
      <c r="M341" t="str" cm="1">
        <f t="array" aca="1" ref="M341" ca="1">SUBSTITUTE(INDIRECT("C"&amp;ROW()), ":", "")</f>
        <v/>
      </c>
    </row>
    <row r="342" spans="1:14" x14ac:dyDescent="0.25">
      <c r="A342" t="s">
        <v>325</v>
      </c>
      <c r="B342" t="s" cm="1">
        <v>201</v>
      </c>
      <c r="E342" t="s">
        <v>66</v>
      </c>
      <c r="F342" t="s">
        <v>202</v>
      </c>
      <c r="M342" t="str" cm="1">
        <f t="array" aca="1" ref="M342" ca="1">SUBSTITUTE(INDIRECT("C"&amp;ROW()), ":", "")</f>
        <v/>
      </c>
    </row>
    <row r="343" spans="1:14" x14ac:dyDescent="0.25">
      <c r="A343" t="s">
        <v>325</v>
      </c>
      <c r="B343" t="s" cm="1">
        <v>203</v>
      </c>
      <c r="E343" t="s">
        <v>66</v>
      </c>
      <c r="F343" t="s">
        <v>204</v>
      </c>
      <c r="M343" t="str" cm="1">
        <f t="array" aca="1" ref="M343" ca="1">SUBSTITUTE(INDIRECT("C"&amp;ROW()), ":", "")</f>
        <v/>
      </c>
    </row>
    <row r="344" spans="1:14" x14ac:dyDescent="0.25">
      <c r="A344" t="s">
        <v>325</v>
      </c>
      <c r="C344" t="s" cm="1">
        <v>205</v>
      </c>
      <c r="E344" t="s">
        <v>66</v>
      </c>
      <c r="F344" t="s">
        <v>206</v>
      </c>
      <c r="M344" t="str" cm="1">
        <f t="array" aca="1" ref="M344" ca="1">SUBSTITUTE(INDIRECT("C"&amp;ROW()), ":", "")</f>
        <v>Twiddlers Syndrome</v>
      </c>
      <c r="N344" t="s" cm="1">
        <v>205</v>
      </c>
    </row>
    <row r="345" spans="1:14" x14ac:dyDescent="0.25">
      <c r="A345" t="s">
        <v>325</v>
      </c>
      <c r="B345" t="s" cm="1">
        <v>207</v>
      </c>
      <c r="E345" t="s">
        <v>66</v>
      </c>
      <c r="F345" t="s">
        <v>208</v>
      </c>
      <c r="M345" t="str" cm="1">
        <f t="array" aca="1" ref="M345" ca="1">SUBSTITUTE(INDIRECT("C"&amp;ROW()), ":", "")</f>
        <v/>
      </c>
    </row>
    <row r="346" spans="1:14" x14ac:dyDescent="0.25">
      <c r="A346" t="s">
        <v>325</v>
      </c>
      <c r="C346" t="s" cm="1">
        <v>209</v>
      </c>
      <c r="E346" t="s">
        <v>66</v>
      </c>
      <c r="F346" t="s">
        <v>210</v>
      </c>
      <c r="M346" t="str" cm="1">
        <f t="array" aca="1" ref="M346" ca="1">SUBSTITUTE(INDIRECT("C"&amp;ROW()), ":", "")</f>
        <v>Ventricular Fibrillation</v>
      </c>
      <c r="N346" t="s" cm="1">
        <v>209</v>
      </c>
    </row>
    <row r="347" spans="1:14" x14ac:dyDescent="0.25">
      <c r="A347" t="s">
        <v>325</v>
      </c>
      <c r="C347" t="s" cm="1">
        <v>211</v>
      </c>
      <c r="E347" t="s">
        <v>66</v>
      </c>
      <c r="F347" t="s">
        <v>212</v>
      </c>
      <c r="M347" t="str" cm="1">
        <f t="array" aca="1" ref="M347" ca="1">SUBSTITUTE(INDIRECT("C"&amp;ROW()), ":", "")</f>
        <v>Ventricular Tachycardia</v>
      </c>
      <c r="N347" t="s" cm="1">
        <v>211</v>
      </c>
    </row>
    <row r="348" spans="1:14" x14ac:dyDescent="0.25">
      <c r="A348" t="s">
        <v>326</v>
      </c>
      <c r="D348" t="s">
        <v>65</v>
      </c>
      <c r="E348" t="s">
        <v>327</v>
      </c>
      <c r="F348" t="s">
        <v>67</v>
      </c>
      <c r="M348" t="str" cm="1">
        <f t="array" aca="1" ref="M348" ca="1">SUBSTITUTE(INDIRECT("C"&amp;ROW()), ":", "")</f>
        <v/>
      </c>
    </row>
    <row r="349" spans="1:14" x14ac:dyDescent="0.25">
      <c r="A349" t="s">
        <v>326</v>
      </c>
      <c r="D349" t="s">
        <v>221</v>
      </c>
      <c r="E349" t="s">
        <v>327</v>
      </c>
      <c r="F349" t="s">
        <v>222</v>
      </c>
      <c r="M349" t="str" cm="1">
        <f t="array" aca="1" ref="M349" ca="1">SUBSTITUTE(INDIRECT("C"&amp;ROW()), ":", "")</f>
        <v/>
      </c>
    </row>
    <row r="350" spans="1:14" x14ac:dyDescent="0.25">
      <c r="A350" t="s">
        <v>326</v>
      </c>
      <c r="C350" t="s" cm="1">
        <v>223</v>
      </c>
      <c r="E350" t="s">
        <v>327</v>
      </c>
      <c r="F350" t="s">
        <v>224</v>
      </c>
      <c r="M350" t="str" cm="1">
        <f t="array" aca="1" ref="M350" ca="1">SUBSTITUTE(INDIRECT("C"&amp;ROW()), ":", "")</f>
        <v>Arrhythmia</v>
      </c>
      <c r="N350" t="s" cm="1">
        <v>223</v>
      </c>
    </row>
    <row r="351" spans="1:14" x14ac:dyDescent="0.25">
      <c r="A351" t="s">
        <v>326</v>
      </c>
      <c r="C351" t="s" cm="1">
        <v>72</v>
      </c>
      <c r="E351" t="s">
        <v>327</v>
      </c>
      <c r="F351" t="s">
        <v>73</v>
      </c>
      <c r="M351" t="str" cm="1">
        <f t="array" aca="1" ref="M351" ca="1">SUBSTITUTE(INDIRECT("C"&amp;ROW()), ":", "")</f>
        <v>Atrial Fibrillation</v>
      </c>
      <c r="N351" t="s" cm="1">
        <v>72</v>
      </c>
    </row>
    <row r="352" spans="1:14" x14ac:dyDescent="0.25">
      <c r="A352" t="s">
        <v>326</v>
      </c>
      <c r="C352" t="s" cm="1">
        <v>328</v>
      </c>
      <c r="E352" t="s">
        <v>327</v>
      </c>
      <c r="F352" t="s">
        <v>329</v>
      </c>
      <c r="M352" t="str" cm="1">
        <f t="array" aca="1" ref="M352" ca="1">SUBSTITUTE(INDIRECT("C"&amp;ROW()), ":", "")</f>
        <v>Atrial Tachycardia</v>
      </c>
      <c r="N352" t="s" cm="1">
        <v>328</v>
      </c>
    </row>
    <row r="353" spans="1:14" x14ac:dyDescent="0.25">
      <c r="A353" t="s">
        <v>326</v>
      </c>
      <c r="D353" t="s">
        <v>74</v>
      </c>
      <c r="E353" t="s">
        <v>327</v>
      </c>
      <c r="F353" t="s">
        <v>75</v>
      </c>
      <c r="M353" t="str" cm="1">
        <f t="array" aca="1" ref="M353" ca="1">SUBSTITUTE(INDIRECT("C"&amp;ROW()), ":", "")</f>
        <v/>
      </c>
    </row>
    <row r="354" spans="1:14" x14ac:dyDescent="0.25">
      <c r="A354" t="s">
        <v>326</v>
      </c>
      <c r="D354" t="s">
        <v>231</v>
      </c>
      <c r="E354" t="s">
        <v>327</v>
      </c>
      <c r="F354" t="s">
        <v>232</v>
      </c>
      <c r="M354" t="str" cm="1">
        <f t="array" aca="1" ref="M354" ca="1">SUBSTITUTE(INDIRECT("C"&amp;ROW()), ":", "")</f>
        <v/>
      </c>
    </row>
    <row r="355" spans="1:14" x14ac:dyDescent="0.25">
      <c r="A355" t="s">
        <v>326</v>
      </c>
      <c r="C355" t="s" cm="1">
        <v>76</v>
      </c>
      <c r="E355" t="s">
        <v>327</v>
      </c>
      <c r="F355" t="s">
        <v>77</v>
      </c>
      <c r="M355" t="str" cm="1">
        <f t="array" aca="1" ref="M355" ca="1">SUBSTITUTE(INDIRECT("C"&amp;ROW()), ":", "")</f>
        <v>Burning Sensation</v>
      </c>
      <c r="N355" t="s" cm="1">
        <v>76</v>
      </c>
    </row>
    <row r="356" spans="1:14" x14ac:dyDescent="0.25">
      <c r="A356" t="s">
        <v>326</v>
      </c>
      <c r="C356" t="s" cm="1">
        <v>330</v>
      </c>
      <c r="E356" t="s">
        <v>327</v>
      </c>
      <c r="F356" t="s">
        <v>331</v>
      </c>
      <c r="M356" t="str" cm="1">
        <f t="array" aca="1" ref="M356" ca="1">SUBSTITUTE(INDIRECT("C"&amp;ROW()), ":", "")</f>
        <v>Cerebral Vascular Accident (CVA)</v>
      </c>
      <c r="N356" t="s" cm="1">
        <v>330</v>
      </c>
    </row>
    <row r="357" spans="1:14" x14ac:dyDescent="0.25">
      <c r="A357" t="s">
        <v>326</v>
      </c>
      <c r="B357" t="s" cm="1">
        <v>80</v>
      </c>
      <c r="E357" t="s">
        <v>327</v>
      </c>
      <c r="F357" t="s">
        <v>81</v>
      </c>
      <c r="M357" t="str" cm="1">
        <f t="array" aca="1" ref="M357" ca="1">SUBSTITUTE(INDIRECT("C"&amp;ROW()), ":", "")</f>
        <v/>
      </c>
    </row>
    <row r="358" spans="1:14" x14ac:dyDescent="0.25">
      <c r="A358" t="s">
        <v>326</v>
      </c>
      <c r="C358" t="s" cm="1">
        <v>241</v>
      </c>
      <c r="E358" t="s">
        <v>327</v>
      </c>
      <c r="F358" t="s">
        <v>85</v>
      </c>
      <c r="M358" t="str" cm="1">
        <f t="array" aca="1" ref="M358" ca="1">SUBSTITUTE(INDIRECT("C"&amp;ROW()), ":", "")</f>
        <v>Death</v>
      </c>
      <c r="N358" t="s" cm="1">
        <v>241</v>
      </c>
    </row>
    <row r="359" spans="1:14" x14ac:dyDescent="0.25">
      <c r="A359" t="s">
        <v>326</v>
      </c>
      <c r="D359" t="s">
        <v>84</v>
      </c>
      <c r="E359" t="s">
        <v>327</v>
      </c>
      <c r="F359" t="s">
        <v>85</v>
      </c>
      <c r="M359" t="str" cm="1">
        <f t="array" aca="1" ref="M359" ca="1">SUBSTITUTE(INDIRECT("C"&amp;ROW()), ":", "")</f>
        <v/>
      </c>
    </row>
    <row r="360" spans="1:14" x14ac:dyDescent="0.25">
      <c r="A360" t="s">
        <v>326</v>
      </c>
      <c r="B360" t="s" cm="1">
        <v>242</v>
      </c>
      <c r="E360" t="s">
        <v>327</v>
      </c>
      <c r="F360" t="s">
        <v>243</v>
      </c>
      <c r="M360" t="str" cm="1">
        <f t="array" aca="1" ref="M360" ca="1">SUBSTITUTE(INDIRECT("C"&amp;ROW()), ":", "")</f>
        <v/>
      </c>
    </row>
    <row r="361" spans="1:14" x14ac:dyDescent="0.25">
      <c r="A361" t="s">
        <v>326</v>
      </c>
      <c r="B361" t="s" cm="1">
        <v>62</v>
      </c>
      <c r="E361" t="s">
        <v>327</v>
      </c>
      <c r="F361" t="s">
        <v>86</v>
      </c>
      <c r="M361" t="str" cm="1">
        <f t="array" aca="1" ref="M361" ca="1">SUBSTITUTE(INDIRECT("C"&amp;ROW()), ":", "")</f>
        <v/>
      </c>
    </row>
    <row r="362" spans="1:14" x14ac:dyDescent="0.25">
      <c r="A362" t="s">
        <v>326</v>
      </c>
      <c r="D362" t="s">
        <v>87</v>
      </c>
      <c r="E362" t="s">
        <v>327</v>
      </c>
      <c r="F362" t="s">
        <v>88</v>
      </c>
      <c r="M362" t="str" cm="1">
        <f t="array" aca="1" ref="M362" ca="1">SUBSTITUTE(INDIRECT("C"&amp;ROW()), ":", "")</f>
        <v/>
      </c>
    </row>
    <row r="363" spans="1:14" x14ac:dyDescent="0.25">
      <c r="A363" t="s">
        <v>326</v>
      </c>
      <c r="B363" t="s" cm="1">
        <v>89</v>
      </c>
      <c r="E363" t="s">
        <v>327</v>
      </c>
      <c r="F363" t="s">
        <v>90</v>
      </c>
      <c r="M363" t="str" cm="1">
        <f t="array" aca="1" ref="M363" ca="1">SUBSTITUTE(INDIRECT("C"&amp;ROW()), ":", "")</f>
        <v/>
      </c>
    </row>
    <row r="364" spans="1:14" x14ac:dyDescent="0.25">
      <c r="A364" t="s">
        <v>326</v>
      </c>
      <c r="D364" t="s">
        <v>91</v>
      </c>
      <c r="E364" t="s">
        <v>327</v>
      </c>
      <c r="F364" t="s">
        <v>92</v>
      </c>
      <c r="M364" t="str" cm="1">
        <f t="array" aca="1" ref="M364" ca="1">SUBSTITUTE(INDIRECT("C"&amp;ROW()), ":", "")</f>
        <v/>
      </c>
    </row>
    <row r="365" spans="1:14" x14ac:dyDescent="0.25">
      <c r="A365" t="s">
        <v>326</v>
      </c>
      <c r="D365" t="s">
        <v>93</v>
      </c>
      <c r="E365" t="s">
        <v>327</v>
      </c>
      <c r="F365" t="s">
        <v>94</v>
      </c>
      <c r="M365" t="str" cm="1">
        <f t="array" aca="1" ref="M365" ca="1">SUBSTITUTE(INDIRECT("C"&amp;ROW()), ":", "")</f>
        <v/>
      </c>
    </row>
    <row r="366" spans="1:14" x14ac:dyDescent="0.25">
      <c r="A366" t="s">
        <v>326</v>
      </c>
      <c r="B366" t="s" cm="1">
        <v>244</v>
      </c>
      <c r="E366" t="s">
        <v>327</v>
      </c>
      <c r="F366" t="s">
        <v>245</v>
      </c>
      <c r="M366" t="str" cm="1">
        <f t="array" aca="1" ref="M366" ca="1">SUBSTITUTE(INDIRECT("C"&amp;ROW()), ":", "")</f>
        <v/>
      </c>
    </row>
    <row r="367" spans="1:14" x14ac:dyDescent="0.25">
      <c r="A367" t="s">
        <v>326</v>
      </c>
      <c r="B367" t="s" cm="1">
        <v>248</v>
      </c>
      <c r="E367" t="s">
        <v>327</v>
      </c>
      <c r="F367" t="s">
        <v>249</v>
      </c>
      <c r="M367" t="str" cm="1">
        <f t="array" aca="1" ref="M367" ca="1">SUBSTITUTE(INDIRECT("C"&amp;ROW()), ":", "")</f>
        <v/>
      </c>
    </row>
    <row r="368" spans="1:14" x14ac:dyDescent="0.25">
      <c r="A368" t="s">
        <v>326</v>
      </c>
      <c r="B368" t="s" cm="1">
        <v>250</v>
      </c>
      <c r="E368" t="s">
        <v>327</v>
      </c>
      <c r="F368" t="s">
        <v>251</v>
      </c>
      <c r="M368" t="str" cm="1">
        <f t="array" aca="1" ref="M368" ca="1">SUBSTITUTE(INDIRECT("C"&amp;ROW()), ":", "")</f>
        <v/>
      </c>
    </row>
    <row r="369" spans="1:14" x14ac:dyDescent="0.25">
      <c r="A369" t="s">
        <v>326</v>
      </c>
      <c r="D369" t="s">
        <v>252</v>
      </c>
      <c r="E369" t="s">
        <v>327</v>
      </c>
      <c r="F369" t="s">
        <v>253</v>
      </c>
      <c r="M369" t="str" cm="1">
        <f t="array" aca="1" ref="M369" ca="1">SUBSTITUTE(INDIRECT("C"&amp;ROW()), ":", "")</f>
        <v/>
      </c>
    </row>
    <row r="370" spans="1:14" x14ac:dyDescent="0.25">
      <c r="A370" t="s">
        <v>326</v>
      </c>
      <c r="C370" t="s" cm="1">
        <v>107</v>
      </c>
      <c r="E370" t="s">
        <v>327</v>
      </c>
      <c r="F370" t="s">
        <v>108</v>
      </c>
      <c r="M370" t="str" cm="1">
        <f t="array" aca="1" ref="M370" ca="1">SUBSTITUTE(INDIRECT("C"&amp;ROW()), ":", "")</f>
        <v>Electric Shock</v>
      </c>
      <c r="N370" t="s" cm="1">
        <v>107</v>
      </c>
    </row>
    <row r="371" spans="1:14" x14ac:dyDescent="0.25">
      <c r="A371" t="s">
        <v>326</v>
      </c>
      <c r="C371" t="s" cm="1">
        <v>109</v>
      </c>
      <c r="E371" t="s">
        <v>327</v>
      </c>
      <c r="F371" t="s">
        <v>110</v>
      </c>
      <c r="M371" t="str" cm="1">
        <f t="array" aca="1" ref="M371" ca="1">SUBSTITUTE(INDIRECT("C"&amp;ROW()), ":", "")</f>
        <v>Erosion</v>
      </c>
      <c r="N371" t="s" cm="1">
        <v>109</v>
      </c>
    </row>
    <row r="372" spans="1:14" x14ac:dyDescent="0.25">
      <c r="A372" t="s">
        <v>326</v>
      </c>
      <c r="B372" t="s" cm="1">
        <v>266</v>
      </c>
      <c r="E372" t="s">
        <v>327</v>
      </c>
      <c r="F372" t="s">
        <v>267</v>
      </c>
      <c r="M372" t="str" cm="1">
        <f t="array" aca="1" ref="M372" ca="1">SUBSTITUTE(INDIRECT("C"&amp;ROW()), ":", "")</f>
        <v/>
      </c>
    </row>
    <row r="373" spans="1:14" x14ac:dyDescent="0.25">
      <c r="A373" t="s">
        <v>326</v>
      </c>
      <c r="D373" t="s">
        <v>127</v>
      </c>
      <c r="E373" t="s">
        <v>327</v>
      </c>
      <c r="F373" t="s">
        <v>128</v>
      </c>
      <c r="M373" t="str" cm="1">
        <f t="array" aca="1" ref="M373" ca="1">SUBSTITUTE(INDIRECT("C"&amp;ROW()), ":", "")</f>
        <v/>
      </c>
    </row>
    <row r="374" spans="1:14" x14ac:dyDescent="0.25">
      <c r="A374" t="s">
        <v>326</v>
      </c>
      <c r="C374" t="s" cm="1">
        <v>129</v>
      </c>
      <c r="E374" t="s">
        <v>327</v>
      </c>
      <c r="F374" t="s">
        <v>130</v>
      </c>
      <c r="M374" t="str" cm="1">
        <f t="array" aca="1" ref="M374" ca="1">SUBSTITUTE(INDIRECT("C"&amp;ROW()), ":", "")</f>
        <v>Implant Pain</v>
      </c>
      <c r="N374" t="s" cm="1">
        <v>129</v>
      </c>
    </row>
    <row r="375" spans="1:14" x14ac:dyDescent="0.25">
      <c r="A375" t="s">
        <v>326</v>
      </c>
      <c r="D375" t="s">
        <v>131</v>
      </c>
      <c r="E375" t="s">
        <v>327</v>
      </c>
      <c r="F375" t="s">
        <v>132</v>
      </c>
      <c r="M375" t="str" cm="1">
        <f t="array" aca="1" ref="M375" ca="1">SUBSTITUTE(INDIRECT("C"&amp;ROW()), ":", "")</f>
        <v/>
      </c>
    </row>
    <row r="376" spans="1:14" x14ac:dyDescent="0.25">
      <c r="A376" t="s">
        <v>326</v>
      </c>
      <c r="B376" t="s" cm="1">
        <v>276</v>
      </c>
      <c r="E376" t="s">
        <v>327</v>
      </c>
      <c r="F376" t="s">
        <v>277</v>
      </c>
      <c r="M376" t="str" cm="1">
        <f t="array" aca="1" ref="M376" ca="1">SUBSTITUTE(INDIRECT("C"&amp;ROW()), ":", "")</f>
        <v/>
      </c>
    </row>
    <row r="377" spans="1:14" x14ac:dyDescent="0.25">
      <c r="A377" t="s">
        <v>326</v>
      </c>
      <c r="B377" t="s" cm="1">
        <v>133</v>
      </c>
      <c r="E377" t="s">
        <v>327</v>
      </c>
      <c r="F377" t="s">
        <v>134</v>
      </c>
      <c r="M377" t="str" cm="1">
        <f t="array" aca="1" ref="M377" ca="1">SUBSTITUTE(INDIRECT("C"&amp;ROW()), ":", "")</f>
        <v/>
      </c>
    </row>
    <row r="378" spans="1:14" x14ac:dyDescent="0.25">
      <c r="A378" t="s">
        <v>326</v>
      </c>
      <c r="C378" t="s" cm="1">
        <v>135</v>
      </c>
      <c r="E378" t="s">
        <v>327</v>
      </c>
      <c r="F378" t="s">
        <v>136</v>
      </c>
      <c r="M378" t="str" cm="1">
        <f t="array" aca="1" ref="M378" ca="1">SUBSTITUTE(INDIRECT("C"&amp;ROW()), ":", "")</f>
        <v>Infection</v>
      </c>
      <c r="N378" t="s" cm="1">
        <v>135</v>
      </c>
    </row>
    <row r="379" spans="1:14" x14ac:dyDescent="0.25">
      <c r="A379" t="s">
        <v>326</v>
      </c>
      <c r="C379" t="s" cm="1">
        <v>137</v>
      </c>
      <c r="E379" t="s">
        <v>327</v>
      </c>
      <c r="F379" t="s">
        <v>138</v>
      </c>
      <c r="M379" t="str" cm="1">
        <f t="array" aca="1" ref="M379" ca="1">SUBSTITUTE(INDIRECT("C"&amp;ROW()), ":", "")</f>
        <v>Infection, Bacterial</v>
      </c>
      <c r="N379" t="s" cm="1">
        <v>137</v>
      </c>
    </row>
    <row r="380" spans="1:14" x14ac:dyDescent="0.25">
      <c r="A380" t="s">
        <v>326</v>
      </c>
      <c r="B380" t="s" cm="1">
        <v>280</v>
      </c>
      <c r="E380" t="s">
        <v>327</v>
      </c>
      <c r="F380" t="s">
        <v>281</v>
      </c>
      <c r="M380" t="str" cm="1">
        <f t="array" aca="1" ref="M380" ca="1">SUBSTITUTE(INDIRECT("C"&amp;ROW()), ":", "")</f>
        <v/>
      </c>
    </row>
    <row r="381" spans="1:14" x14ac:dyDescent="0.25">
      <c r="A381" t="s">
        <v>326</v>
      </c>
      <c r="D381" t="s">
        <v>282</v>
      </c>
      <c r="E381" t="s">
        <v>327</v>
      </c>
      <c r="F381" t="s">
        <v>283</v>
      </c>
      <c r="M381" t="str" cm="1">
        <f t="array" aca="1" ref="M381" ca="1">SUBSTITUTE(INDIRECT("C"&amp;ROW()), ":", "")</f>
        <v/>
      </c>
    </row>
    <row r="382" spans="1:14" x14ac:dyDescent="0.25">
      <c r="A382" t="s">
        <v>326</v>
      </c>
      <c r="C382" t="s" cm="1">
        <v>332</v>
      </c>
      <c r="E382" t="s">
        <v>327</v>
      </c>
      <c r="F382" t="s">
        <v>333</v>
      </c>
      <c r="M382" t="str" cm="1">
        <f t="array" aca="1" ref="M382" ca="1">SUBSTITUTE(INDIRECT("C"&amp;ROW()), ":", "")</f>
        <v>Ischemic Heart Disease</v>
      </c>
      <c r="N382" t="s" cm="1">
        <v>332</v>
      </c>
    </row>
    <row r="383" spans="1:14" x14ac:dyDescent="0.25">
      <c r="A383" t="s">
        <v>326</v>
      </c>
      <c r="B383" t="s" cm="1">
        <v>141</v>
      </c>
      <c r="E383" t="s">
        <v>327</v>
      </c>
      <c r="F383" t="s">
        <v>142</v>
      </c>
      <c r="M383" t="str" cm="1">
        <f t="array" aca="1" ref="M383" ca="1">SUBSTITUTE(INDIRECT("C"&amp;ROW()), ":", "")</f>
        <v/>
      </c>
    </row>
    <row r="384" spans="1:14" x14ac:dyDescent="0.25">
      <c r="A384" t="s">
        <v>326</v>
      </c>
      <c r="D384" t="s">
        <v>143</v>
      </c>
      <c r="E384" t="s">
        <v>327</v>
      </c>
      <c r="F384" t="s">
        <v>144</v>
      </c>
      <c r="M384" t="str" cm="1">
        <f t="array" aca="1" ref="M384" ca="1">SUBSTITUTE(INDIRECT("C"&amp;ROW()), ":", "")</f>
        <v/>
      </c>
    </row>
    <row r="385" spans="1:14" x14ac:dyDescent="0.25">
      <c r="A385" t="s">
        <v>326</v>
      </c>
      <c r="B385" t="s" cm="1">
        <v>145</v>
      </c>
      <c r="E385" t="s">
        <v>327</v>
      </c>
      <c r="F385" t="s">
        <v>146</v>
      </c>
      <c r="M385" t="str" cm="1">
        <f t="array" aca="1" ref="M385" ca="1">SUBSTITUTE(INDIRECT("C"&amp;ROW()), ":", "")</f>
        <v/>
      </c>
    </row>
    <row r="386" spans="1:14" x14ac:dyDescent="0.25">
      <c r="A386" t="s">
        <v>326</v>
      </c>
      <c r="D386" t="s">
        <v>147</v>
      </c>
      <c r="E386" t="s">
        <v>327</v>
      </c>
      <c r="F386" t="s">
        <v>148</v>
      </c>
      <c r="M386" t="str" cm="1">
        <f t="array" aca="1" ref="M386" ca="1">SUBSTITUTE(INDIRECT("C"&amp;ROW()), ":", "")</f>
        <v/>
      </c>
    </row>
    <row r="387" spans="1:14" x14ac:dyDescent="0.25">
      <c r="A387" t="s">
        <v>326</v>
      </c>
      <c r="D387" t="s">
        <v>149</v>
      </c>
      <c r="E387" t="s">
        <v>327</v>
      </c>
      <c r="F387" t="s">
        <v>150</v>
      </c>
      <c r="M387" t="str" cm="1">
        <f t="array" aca="1" ref="M387" ca="1">SUBSTITUTE(INDIRECT("C"&amp;ROW()), ":", "")</f>
        <v/>
      </c>
    </row>
    <row r="388" spans="1:14" x14ac:dyDescent="0.25">
      <c r="A388" t="s">
        <v>326</v>
      </c>
      <c r="B388" t="s" cm="1">
        <v>153</v>
      </c>
      <c r="E388" t="s">
        <v>327</v>
      </c>
      <c r="F388" t="s">
        <v>154</v>
      </c>
      <c r="M388" t="str" cm="1">
        <f t="array" aca="1" ref="M388" ca="1">SUBSTITUTE(INDIRECT("C"&amp;ROW()), ":", "")</f>
        <v/>
      </c>
    </row>
    <row r="389" spans="1:14" x14ac:dyDescent="0.25">
      <c r="A389" t="s">
        <v>326</v>
      </c>
      <c r="B389" t="s" cm="1">
        <v>155</v>
      </c>
      <c r="E389" t="s">
        <v>327</v>
      </c>
      <c r="F389" t="s">
        <v>156</v>
      </c>
      <c r="M389" t="str" cm="1">
        <f t="array" aca="1" ref="M389" ca="1">SUBSTITUTE(INDIRECT("C"&amp;ROW()), ":", "")</f>
        <v/>
      </c>
    </row>
    <row r="390" spans="1:14" x14ac:dyDescent="0.25">
      <c r="A390" t="s">
        <v>326</v>
      </c>
      <c r="B390" t="s" cm="1">
        <v>286</v>
      </c>
      <c r="E390" t="s">
        <v>327</v>
      </c>
      <c r="F390" t="s">
        <v>287</v>
      </c>
      <c r="M390" t="str" cm="1">
        <f t="array" aca="1" ref="M390" ca="1">SUBSTITUTE(INDIRECT("C"&amp;ROW()), ":", "")</f>
        <v/>
      </c>
    </row>
    <row r="391" spans="1:14" x14ac:dyDescent="0.25">
      <c r="A391" t="s">
        <v>326</v>
      </c>
      <c r="C391" t="s" cm="1">
        <v>157</v>
      </c>
      <c r="E391" t="s">
        <v>327</v>
      </c>
      <c r="F391" t="s">
        <v>158</v>
      </c>
      <c r="M391" t="str" cm="1">
        <f t="array" aca="1" ref="M391" ca="1">SUBSTITUTE(INDIRECT("C"&amp;ROW()), ":", "")</f>
        <v>Pain</v>
      </c>
      <c r="N391" t="s" cm="1">
        <v>157</v>
      </c>
    </row>
    <row r="392" spans="1:14" x14ac:dyDescent="0.25">
      <c r="A392" t="s">
        <v>326</v>
      </c>
      <c r="B392" t="s" cm="1">
        <v>294</v>
      </c>
      <c r="E392" t="s">
        <v>327</v>
      </c>
      <c r="F392" t="s">
        <v>295</v>
      </c>
      <c r="M392" t="str" cm="1">
        <f t="array" aca="1" ref="M392" ca="1">SUBSTITUTE(INDIRECT("C"&amp;ROW()), ":", "")</f>
        <v/>
      </c>
    </row>
    <row r="393" spans="1:14" x14ac:dyDescent="0.25">
      <c r="A393" t="s">
        <v>326</v>
      </c>
      <c r="D393" t="s">
        <v>298</v>
      </c>
      <c r="E393" t="s">
        <v>327</v>
      </c>
      <c r="F393" t="s">
        <v>299</v>
      </c>
      <c r="M393" t="str" cm="1">
        <f t="array" aca="1" ref="M393" ca="1">SUBSTITUTE(INDIRECT("C"&amp;ROW()), ":", "")</f>
        <v/>
      </c>
    </row>
    <row r="394" spans="1:14" x14ac:dyDescent="0.25">
      <c r="A394" t="s">
        <v>326</v>
      </c>
      <c r="D394" t="s">
        <v>167</v>
      </c>
      <c r="E394" t="s">
        <v>327</v>
      </c>
      <c r="F394" t="s">
        <v>168</v>
      </c>
      <c r="M394" t="str" cm="1">
        <f t="array" aca="1" ref="M394" ca="1">SUBSTITUTE(INDIRECT("C"&amp;ROW()), ":", "")</f>
        <v/>
      </c>
    </row>
    <row r="395" spans="1:14" x14ac:dyDescent="0.25">
      <c r="A395" t="s">
        <v>326</v>
      </c>
      <c r="D395" t="s">
        <v>169</v>
      </c>
      <c r="E395" t="s">
        <v>327</v>
      </c>
      <c r="F395" t="s">
        <v>170</v>
      </c>
      <c r="M395" t="str" cm="1">
        <f t="array" aca="1" ref="M395" ca="1">SUBSTITUTE(INDIRECT("C"&amp;ROW()), ":", "")</f>
        <v/>
      </c>
    </row>
    <row r="396" spans="1:14" x14ac:dyDescent="0.25">
      <c r="A396" t="s">
        <v>326</v>
      </c>
      <c r="D396" t="s">
        <v>302</v>
      </c>
      <c r="E396" t="s">
        <v>327</v>
      </c>
      <c r="F396" t="s">
        <v>303</v>
      </c>
      <c r="M396" t="str" cm="1">
        <f t="array" aca="1" ref="M396" ca="1">SUBSTITUTE(INDIRECT("C"&amp;ROW()), ":", "")</f>
        <v/>
      </c>
    </row>
    <row r="397" spans="1:14" x14ac:dyDescent="0.25">
      <c r="A397" t="s">
        <v>326</v>
      </c>
      <c r="D397" t="s">
        <v>171</v>
      </c>
      <c r="E397" t="s">
        <v>327</v>
      </c>
      <c r="F397" t="s">
        <v>172</v>
      </c>
      <c r="M397" t="str" cm="1">
        <f t="array" aca="1" ref="M397" ca="1">SUBSTITUTE(INDIRECT("C"&amp;ROW()), ":", "")</f>
        <v/>
      </c>
    </row>
    <row r="398" spans="1:14" x14ac:dyDescent="0.25">
      <c r="A398" t="s">
        <v>326</v>
      </c>
      <c r="B398" t="s" cm="1">
        <v>173</v>
      </c>
      <c r="E398" t="s">
        <v>327</v>
      </c>
      <c r="F398" t="s">
        <v>174</v>
      </c>
      <c r="M398" t="str" cm="1">
        <f t="array" aca="1" ref="M398" ca="1">SUBSTITUTE(INDIRECT("C"&amp;ROW()), ":", "")</f>
        <v/>
      </c>
    </row>
    <row r="399" spans="1:14" x14ac:dyDescent="0.25">
      <c r="A399" t="s">
        <v>326</v>
      </c>
      <c r="D399" t="s">
        <v>304</v>
      </c>
      <c r="E399" t="s">
        <v>327</v>
      </c>
      <c r="F399" t="s">
        <v>305</v>
      </c>
      <c r="M399" t="str" cm="1">
        <f t="array" aca="1" ref="M399" ca="1">SUBSTITUTE(INDIRECT("C"&amp;ROW()), ":", "")</f>
        <v/>
      </c>
    </row>
    <row r="400" spans="1:14" x14ac:dyDescent="0.25">
      <c r="A400" t="s">
        <v>326</v>
      </c>
      <c r="B400" t="s" cm="1">
        <v>181</v>
      </c>
      <c r="E400" t="s">
        <v>327</v>
      </c>
      <c r="F400" t="s">
        <v>182</v>
      </c>
      <c r="M400" t="str" cm="1">
        <f t="array" aca="1" ref="M400" ca="1">SUBSTITUTE(INDIRECT("C"&amp;ROW()), ":", "")</f>
        <v/>
      </c>
    </row>
    <row r="401" spans="1:14" x14ac:dyDescent="0.25">
      <c r="A401" t="s">
        <v>326</v>
      </c>
      <c r="C401" t="s" cm="1">
        <v>189</v>
      </c>
      <c r="E401" t="s">
        <v>327</v>
      </c>
      <c r="F401" t="s">
        <v>190</v>
      </c>
      <c r="M401" t="str" cm="1">
        <f t="array" aca="1" ref="M401" ca="1">SUBSTITUTE(INDIRECT("C"&amp;ROW()), ":", "")</f>
        <v>Surgery</v>
      </c>
      <c r="N401" t="s" cm="1">
        <v>189</v>
      </c>
    </row>
    <row r="402" spans="1:14" x14ac:dyDescent="0.25">
      <c r="A402" t="s">
        <v>326</v>
      </c>
      <c r="D402" t="s">
        <v>191</v>
      </c>
      <c r="E402" t="s">
        <v>327</v>
      </c>
      <c r="F402" t="s">
        <v>192</v>
      </c>
      <c r="M402" t="str" cm="1">
        <f t="array" aca="1" ref="M402" ca="1">SUBSTITUTE(INDIRECT("C"&amp;ROW()), ":", "")</f>
        <v/>
      </c>
    </row>
    <row r="403" spans="1:14" x14ac:dyDescent="0.25">
      <c r="A403" t="s">
        <v>326</v>
      </c>
      <c r="D403" t="s">
        <v>193</v>
      </c>
      <c r="E403" t="s">
        <v>327</v>
      </c>
      <c r="F403" t="s">
        <v>194</v>
      </c>
      <c r="M403" t="str" cm="1">
        <f t="array" aca="1" ref="M403" ca="1">SUBSTITUTE(INDIRECT("C"&amp;ROW()), ":", "")</f>
        <v/>
      </c>
    </row>
    <row r="404" spans="1:14" x14ac:dyDescent="0.25">
      <c r="A404" t="s">
        <v>326</v>
      </c>
      <c r="C404" t="s" cm="1">
        <v>197</v>
      </c>
      <c r="E404" t="s">
        <v>327</v>
      </c>
      <c r="F404" t="s">
        <v>198</v>
      </c>
      <c r="M404" t="str" cm="1">
        <f t="array" aca="1" ref="M404" ca="1">SUBSTITUTE(INDIRECT("C"&amp;ROW()), ":", "")</f>
        <v>Syncope</v>
      </c>
      <c r="N404" t="s" cm="1">
        <v>197</v>
      </c>
    </row>
    <row r="405" spans="1:14" x14ac:dyDescent="0.25">
      <c r="A405" t="s">
        <v>326</v>
      </c>
      <c r="B405" t="s" cm="1">
        <v>201</v>
      </c>
      <c r="E405" t="s">
        <v>327</v>
      </c>
      <c r="F405" t="s">
        <v>202</v>
      </c>
      <c r="M405" t="str" cm="1">
        <f t="array" aca="1" ref="M405" ca="1">SUBSTITUTE(INDIRECT("C"&amp;ROW()), ":", "")</f>
        <v/>
      </c>
    </row>
    <row r="406" spans="1:14" x14ac:dyDescent="0.25">
      <c r="A406" t="s">
        <v>326</v>
      </c>
      <c r="B406" t="s" cm="1">
        <v>203</v>
      </c>
      <c r="E406" t="s">
        <v>327</v>
      </c>
      <c r="F406" t="s">
        <v>204</v>
      </c>
      <c r="M406" t="str" cm="1">
        <f t="array" aca="1" ref="M406" ca="1">SUBSTITUTE(INDIRECT("C"&amp;ROW()), ":", "")</f>
        <v/>
      </c>
    </row>
    <row r="407" spans="1:14" x14ac:dyDescent="0.25">
      <c r="A407" t="s">
        <v>326</v>
      </c>
      <c r="B407" t="s" cm="1">
        <v>314</v>
      </c>
      <c r="E407" t="s">
        <v>327</v>
      </c>
      <c r="F407" t="s">
        <v>315</v>
      </c>
      <c r="M407" t="str" cm="1">
        <f t="array" aca="1" ref="M407" ca="1">SUBSTITUTE(INDIRECT("C"&amp;ROW()), ":", "")</f>
        <v/>
      </c>
    </row>
    <row r="408" spans="1:14" x14ac:dyDescent="0.25">
      <c r="A408" t="s">
        <v>326</v>
      </c>
      <c r="B408" t="s" cm="1">
        <v>316</v>
      </c>
      <c r="E408" t="s">
        <v>327</v>
      </c>
      <c r="F408" t="s">
        <v>317</v>
      </c>
      <c r="M408" t="str" cm="1">
        <f t="array" aca="1" ref="M408" ca="1">SUBSTITUTE(INDIRECT("C"&amp;ROW()), ":", "")</f>
        <v/>
      </c>
    </row>
    <row r="409" spans="1:14" x14ac:dyDescent="0.25">
      <c r="A409" t="s">
        <v>326</v>
      </c>
      <c r="B409" t="s" cm="1">
        <v>207</v>
      </c>
      <c r="E409" t="s">
        <v>327</v>
      </c>
      <c r="F409" t="s">
        <v>208</v>
      </c>
      <c r="M409" t="str" cm="1">
        <f t="array" aca="1" ref="M409" ca="1">SUBSTITUTE(INDIRECT("C"&amp;ROW()), ":", "")</f>
        <v/>
      </c>
    </row>
    <row r="410" spans="1:14" x14ac:dyDescent="0.25">
      <c r="A410" t="s">
        <v>326</v>
      </c>
      <c r="D410" t="s">
        <v>318</v>
      </c>
      <c r="E410" t="s">
        <v>327</v>
      </c>
      <c r="F410" t="s">
        <v>319</v>
      </c>
      <c r="M410" t="str" cm="1">
        <f t="array" aca="1" ref="M410" ca="1">SUBSTITUTE(INDIRECT("C"&amp;ROW()), ":", "")</f>
        <v/>
      </c>
    </row>
    <row r="411" spans="1:14" x14ac:dyDescent="0.25">
      <c r="A411" t="s">
        <v>326</v>
      </c>
      <c r="C411" t="s" cm="1">
        <v>211</v>
      </c>
      <c r="E411" t="s">
        <v>327</v>
      </c>
      <c r="F411" t="s">
        <v>212</v>
      </c>
      <c r="M411" t="str" cm="1">
        <f t="array" aca="1" ref="M411" ca="1">SUBSTITUTE(INDIRECT("C"&amp;ROW()), ":", "")</f>
        <v>Ventricular Tachycardia</v>
      </c>
      <c r="N411" t="s" cm="1">
        <v>211</v>
      </c>
    </row>
    <row r="412" spans="1:14" x14ac:dyDescent="0.25">
      <c r="A412" t="s">
        <v>334</v>
      </c>
      <c r="D412" t="s">
        <v>65</v>
      </c>
      <c r="E412" t="s">
        <v>335</v>
      </c>
      <c r="F412" t="s">
        <v>67</v>
      </c>
      <c r="M412" t="str" cm="1">
        <f t="array" aca="1" ref="M412" ca="1">SUBSTITUTE(INDIRECT("C"&amp;ROW()), ":", "")</f>
        <v/>
      </c>
    </row>
    <row r="413" spans="1:14" x14ac:dyDescent="0.25">
      <c r="A413" t="s">
        <v>334</v>
      </c>
      <c r="D413" t="s">
        <v>74</v>
      </c>
      <c r="E413" t="s">
        <v>335</v>
      </c>
      <c r="F413" t="s">
        <v>75</v>
      </c>
      <c r="M413" t="str" cm="1">
        <f t="array" aca="1" ref="M413" ca="1">SUBSTITUTE(INDIRECT("C"&amp;ROW()), ":", "")</f>
        <v/>
      </c>
    </row>
    <row r="414" spans="1:14" x14ac:dyDescent="0.25">
      <c r="A414" t="s">
        <v>334</v>
      </c>
      <c r="B414" t="s" cm="1">
        <v>82</v>
      </c>
      <c r="E414" t="s">
        <v>335</v>
      </c>
      <c r="F414" t="s">
        <v>83</v>
      </c>
      <c r="M414" t="str" cm="1">
        <f t="array" aca="1" ref="M414" ca="1">SUBSTITUTE(INDIRECT("C"&amp;ROW()), ":", "")</f>
        <v/>
      </c>
    </row>
    <row r="415" spans="1:14" x14ac:dyDescent="0.25">
      <c r="A415" t="s">
        <v>334</v>
      </c>
      <c r="D415" t="s">
        <v>84</v>
      </c>
      <c r="E415" t="s">
        <v>335</v>
      </c>
      <c r="F415" t="s">
        <v>85</v>
      </c>
      <c r="M415" t="str" cm="1">
        <f t="array" aca="1" ref="M415" ca="1">SUBSTITUTE(INDIRECT("C"&amp;ROW()), ":", "")</f>
        <v/>
      </c>
    </row>
    <row r="416" spans="1:14" x14ac:dyDescent="0.25">
      <c r="A416" t="s">
        <v>334</v>
      </c>
      <c r="D416" t="s">
        <v>127</v>
      </c>
      <c r="E416" t="s">
        <v>335</v>
      </c>
      <c r="F416" t="s">
        <v>128</v>
      </c>
      <c r="M416" t="str" cm="1">
        <f t="array" aca="1" ref="M416" ca="1">SUBSTITUTE(INDIRECT("C"&amp;ROW()), ":", "")</f>
        <v/>
      </c>
    </row>
    <row r="417" spans="1:14" x14ac:dyDescent="0.25">
      <c r="A417" t="s">
        <v>334</v>
      </c>
      <c r="D417" t="s">
        <v>143</v>
      </c>
      <c r="E417" t="s">
        <v>335</v>
      </c>
      <c r="F417" t="s">
        <v>144</v>
      </c>
      <c r="M417" t="str" cm="1">
        <f t="array" aca="1" ref="M417" ca="1">SUBSTITUTE(INDIRECT("C"&amp;ROW()), ":", "")</f>
        <v/>
      </c>
    </row>
    <row r="418" spans="1:14" x14ac:dyDescent="0.25">
      <c r="A418" t="s">
        <v>334</v>
      </c>
      <c r="D418" t="s">
        <v>147</v>
      </c>
      <c r="E418" t="s">
        <v>335</v>
      </c>
      <c r="F418" t="s">
        <v>148</v>
      </c>
      <c r="M418" t="str" cm="1">
        <f t="array" aca="1" ref="M418" ca="1">SUBSTITUTE(INDIRECT("C"&amp;ROW()), ":", "")</f>
        <v/>
      </c>
    </row>
    <row r="419" spans="1:14" x14ac:dyDescent="0.25">
      <c r="A419" t="s">
        <v>334</v>
      </c>
      <c r="D419" t="s">
        <v>149</v>
      </c>
      <c r="E419" t="s">
        <v>335</v>
      </c>
      <c r="F419" t="s">
        <v>150</v>
      </c>
      <c r="M419" t="str" cm="1">
        <f t="array" aca="1" ref="M419" ca="1">SUBSTITUTE(INDIRECT("C"&amp;ROW()), ":", "")</f>
        <v/>
      </c>
    </row>
    <row r="420" spans="1:14" x14ac:dyDescent="0.25">
      <c r="A420" t="s">
        <v>334</v>
      </c>
      <c r="C420" t="s" cm="1">
        <v>159</v>
      </c>
      <c r="E420" t="s">
        <v>335</v>
      </c>
      <c r="F420" t="s">
        <v>160</v>
      </c>
      <c r="M420" t="str" cm="1">
        <f t="array" aca="1" ref="M420" ca="1">SUBSTITUTE(INDIRECT("C"&amp;ROW()), ":", "")</f>
        <v>Perforation</v>
      </c>
      <c r="N420" t="s" cm="1">
        <v>159</v>
      </c>
    </row>
    <row r="421" spans="1:14" x14ac:dyDescent="0.25">
      <c r="A421" t="s">
        <v>334</v>
      </c>
      <c r="C421" t="s" cm="1">
        <v>165</v>
      </c>
      <c r="E421" t="s">
        <v>335</v>
      </c>
      <c r="F421" t="s">
        <v>166</v>
      </c>
      <c r="M421" t="str" cm="1">
        <f t="array" aca="1" ref="M421" ca="1">SUBSTITUTE(INDIRECT("C"&amp;ROW()), ":", "")</f>
        <v>Pneumothorax</v>
      </c>
      <c r="N421" t="s" cm="1">
        <v>165</v>
      </c>
    </row>
    <row r="422" spans="1:14" x14ac:dyDescent="0.25">
      <c r="A422" t="s">
        <v>334</v>
      </c>
      <c r="D422" t="s">
        <v>167</v>
      </c>
      <c r="E422" t="s">
        <v>335</v>
      </c>
      <c r="F422" t="s">
        <v>168</v>
      </c>
      <c r="M422" t="str" cm="1">
        <f t="array" aca="1" ref="M422" ca="1">SUBSTITUTE(INDIRECT("C"&amp;ROW()), ":", "")</f>
        <v/>
      </c>
    </row>
    <row r="423" spans="1:14" x14ac:dyDescent="0.25">
      <c r="A423" t="s">
        <v>334</v>
      </c>
      <c r="D423" t="s">
        <v>169</v>
      </c>
      <c r="E423" t="s">
        <v>335</v>
      </c>
      <c r="F423" t="s">
        <v>170</v>
      </c>
      <c r="M423" t="str" cm="1">
        <f t="array" aca="1" ref="M423" ca="1">SUBSTITUTE(INDIRECT("C"&amp;ROW()), ":", "")</f>
        <v/>
      </c>
    </row>
    <row r="424" spans="1:14" x14ac:dyDescent="0.25">
      <c r="A424" t="s">
        <v>334</v>
      </c>
      <c r="D424" t="s">
        <v>171</v>
      </c>
      <c r="E424" t="s">
        <v>335</v>
      </c>
      <c r="F424" t="s">
        <v>172</v>
      </c>
      <c r="M424" t="str" cm="1">
        <f t="array" aca="1" ref="M424" ca="1">SUBSTITUTE(INDIRECT("C"&amp;ROW()), ":", "")</f>
        <v/>
      </c>
    </row>
    <row r="425" spans="1:14" x14ac:dyDescent="0.25">
      <c r="A425" t="s">
        <v>334</v>
      </c>
      <c r="D425" t="s">
        <v>191</v>
      </c>
      <c r="E425" t="s">
        <v>335</v>
      </c>
      <c r="F425" t="s">
        <v>192</v>
      </c>
      <c r="M425" t="str" cm="1">
        <f t="array" aca="1" ref="M425" ca="1">SUBSTITUTE(INDIRECT("C"&amp;ROW()), ":", "")</f>
        <v/>
      </c>
    </row>
    <row r="426" spans="1:14" x14ac:dyDescent="0.25">
      <c r="A426" t="s">
        <v>334</v>
      </c>
      <c r="D426" t="s">
        <v>193</v>
      </c>
      <c r="E426" t="s">
        <v>335</v>
      </c>
      <c r="F426" t="s">
        <v>194</v>
      </c>
      <c r="M426" t="str" cm="1">
        <f t="array" aca="1" ref="M426" ca="1">SUBSTITUTE(INDIRECT("C"&amp;ROW()), ":", "")</f>
        <v/>
      </c>
    </row>
    <row r="427" spans="1:14" x14ac:dyDescent="0.25">
      <c r="A427" t="s">
        <v>334</v>
      </c>
      <c r="C427" t="s" cm="1">
        <v>211</v>
      </c>
      <c r="E427" t="s">
        <v>335</v>
      </c>
      <c r="F427" t="s">
        <v>212</v>
      </c>
      <c r="M427" t="str" cm="1">
        <f t="array" aca="1" ref="M427" ca="1">SUBSTITUTE(INDIRECT("C"&amp;ROW()), ":", "")</f>
        <v>Ventricular Tachycardia</v>
      </c>
      <c r="N427" t="s" cm="1">
        <v>211</v>
      </c>
    </row>
    <row r="428" spans="1:14" x14ac:dyDescent="0.25">
      <c r="A428" t="s">
        <v>336</v>
      </c>
      <c r="C428" t="s" cm="1">
        <v>159</v>
      </c>
      <c r="E428" t="s">
        <v>66</v>
      </c>
      <c r="F428" t="s">
        <v>160</v>
      </c>
      <c r="M428" t="str" cm="1">
        <f t="array" aca="1" ref="M428" ca="1">SUBSTITUTE(INDIRECT("C"&amp;ROW()), ":", "")</f>
        <v>Perforation</v>
      </c>
      <c r="N428" t="s" cm="1">
        <v>159</v>
      </c>
    </row>
    <row r="429" spans="1:14" x14ac:dyDescent="0.25">
      <c r="A429" t="s">
        <v>336</v>
      </c>
      <c r="C429" t="s" cm="1">
        <v>165</v>
      </c>
      <c r="E429" t="s">
        <v>66</v>
      </c>
      <c r="F429" t="s">
        <v>166</v>
      </c>
      <c r="M429" t="str" cm="1">
        <f t="array" aca="1" ref="M429" ca="1">SUBSTITUTE(INDIRECT("C"&amp;ROW()), ":", "")</f>
        <v>Pneumothorax</v>
      </c>
      <c r="N429" t="s" cm="1">
        <v>165</v>
      </c>
    </row>
    <row r="430" spans="1:14" x14ac:dyDescent="0.25">
      <c r="A430" t="s">
        <v>336</v>
      </c>
      <c r="C430" t="s" cm="1">
        <v>211</v>
      </c>
      <c r="E430" t="s">
        <v>66</v>
      </c>
      <c r="F430" t="s">
        <v>212</v>
      </c>
      <c r="M430" t="str" cm="1">
        <f t="array" aca="1" ref="M430" ca="1">SUBSTITUTE(INDIRECT("C"&amp;ROW()), ":", "")</f>
        <v>Ventricular Tachycardia</v>
      </c>
      <c r="N430" t="s" cm="1">
        <v>211</v>
      </c>
    </row>
    <row r="431" spans="1:14" x14ac:dyDescent="0.25">
      <c r="M431" t="str" cm="1">
        <f t="array" aca="1" ref="M431" ca="1">SUBSTITUTE(INDIRECT("C"&amp;ROW()), ":", "")</f>
        <v/>
      </c>
    </row>
    <row r="432" spans="1:14" x14ac:dyDescent="0.25">
      <c r="M432" t="str" cm="1">
        <f t="array" aca="1" ref="M432" ca="1">SUBSTITUTE(INDIRECT("C"&amp;ROW()), ":", "")</f>
        <v/>
      </c>
    </row>
    <row r="433" spans="13:13" x14ac:dyDescent="0.25">
      <c r="M433" t="str" cm="1">
        <f t="array" aca="1" ref="M433" ca="1">SUBSTITUTE(INDIRECT("C"&amp;ROW()), ":", "")</f>
        <v/>
      </c>
    </row>
    <row r="434" spans="13:13" x14ac:dyDescent="0.25">
      <c r="M434" t="str" cm="1">
        <f t="array" aca="1" ref="M434" ca="1">SUBSTITUTE(INDIRECT("C"&amp;ROW()), ":", "")</f>
        <v/>
      </c>
    </row>
    <row r="435" spans="13:13" x14ac:dyDescent="0.25">
      <c r="M435" t="str" cm="1">
        <f t="array" aca="1" ref="M435" ca="1">SUBSTITUTE(INDIRECT("C"&amp;ROW()), ":", "")</f>
        <v/>
      </c>
    </row>
    <row r="436" spans="13:13" x14ac:dyDescent="0.25">
      <c r="M436" t="str" cm="1">
        <f t="array" aca="1" ref="M436" ca="1">SUBSTITUTE(INDIRECT("C"&amp;ROW()), ":", "")</f>
        <v/>
      </c>
    </row>
    <row r="437" spans="13:13" x14ac:dyDescent="0.25">
      <c r="M437" t="str" cm="1">
        <f t="array" aca="1" ref="M437" ca="1">SUBSTITUTE(INDIRECT("C"&amp;ROW()), ":", "")</f>
        <v/>
      </c>
    </row>
    <row r="438" spans="13:13" x14ac:dyDescent="0.25">
      <c r="M438" t="str" cm="1">
        <f t="array" aca="1" ref="M438" ca="1">SUBSTITUTE(INDIRECT("C"&amp;ROW()), ":", "")</f>
        <v/>
      </c>
    </row>
    <row r="439" spans="13:13" x14ac:dyDescent="0.25">
      <c r="M439" t="str" cm="1">
        <f t="array" aca="1" ref="M439" ca="1">SUBSTITUTE(INDIRECT("C"&amp;ROW()), ":", "")</f>
        <v/>
      </c>
    </row>
    <row r="440" spans="13:13" x14ac:dyDescent="0.25">
      <c r="M440" t="str" cm="1">
        <f t="array" aca="1" ref="M440" ca="1">SUBSTITUTE(INDIRECT("C"&amp;ROW()), ":", "")</f>
        <v/>
      </c>
    </row>
    <row r="441" spans="13:13" x14ac:dyDescent="0.25">
      <c r="M441" t="str" cm="1">
        <f t="array" aca="1" ref="M441" ca="1">SUBSTITUTE(INDIRECT("C"&amp;ROW()), ":", "")</f>
        <v/>
      </c>
    </row>
    <row r="442" spans="13:13" x14ac:dyDescent="0.25">
      <c r="M442" t="str" cm="1">
        <f t="array" aca="1" ref="M442" ca="1">SUBSTITUTE(INDIRECT("C"&amp;ROW()), ":", "")</f>
        <v/>
      </c>
    </row>
    <row r="443" spans="13:13" x14ac:dyDescent="0.25">
      <c r="M443" t="str" cm="1">
        <f t="array" aca="1" ref="M443" ca="1">SUBSTITUTE(INDIRECT("C"&amp;ROW()), ":", "")</f>
        <v/>
      </c>
    </row>
    <row r="444" spans="13:13" x14ac:dyDescent="0.25">
      <c r="M444" t="str" cm="1">
        <f t="array" aca="1" ref="M444" ca="1">SUBSTITUTE(INDIRECT("C"&amp;ROW()), ":", "")</f>
        <v/>
      </c>
    </row>
    <row r="445" spans="13:13" x14ac:dyDescent="0.25">
      <c r="M445" t="str" cm="1">
        <f t="array" aca="1" ref="M445" ca="1">SUBSTITUTE(INDIRECT("C"&amp;ROW()), ":", "")</f>
        <v/>
      </c>
    </row>
    <row r="446" spans="13:13" x14ac:dyDescent="0.25">
      <c r="M446" t="str" cm="1">
        <f t="array" aca="1" ref="M446" ca="1">SUBSTITUTE(INDIRECT("C"&amp;ROW()), ":", "")</f>
        <v/>
      </c>
    </row>
    <row r="447" spans="13:13" x14ac:dyDescent="0.25">
      <c r="M447" t="str" cm="1">
        <f t="array" aca="1" ref="M447" ca="1">SUBSTITUTE(INDIRECT("C"&amp;ROW()), ":", "")</f>
        <v/>
      </c>
    </row>
    <row r="448" spans="13:13" x14ac:dyDescent="0.25">
      <c r="M448" t="str" cm="1">
        <f t="array" aca="1" ref="M448" ca="1">SUBSTITUTE(INDIRECT("C"&amp;ROW()), ":", "")</f>
        <v/>
      </c>
    </row>
    <row r="449" spans="13:13" x14ac:dyDescent="0.25">
      <c r="M449" t="str" cm="1">
        <f t="array" aca="1" ref="M449" ca="1">SUBSTITUTE(INDIRECT("C"&amp;ROW()), ":", "")</f>
        <v/>
      </c>
    </row>
    <row r="450" spans="13:13" x14ac:dyDescent="0.25">
      <c r="M450" t="str" cm="1">
        <f t="array" aca="1" ref="M450" ca="1">SUBSTITUTE(INDIRECT("C"&amp;ROW()), ":", "")</f>
        <v/>
      </c>
    </row>
    <row r="451" spans="13:13" x14ac:dyDescent="0.25">
      <c r="M451" t="str" cm="1">
        <f t="array" aca="1" ref="M451" ca="1">SUBSTITUTE(INDIRECT("C"&amp;ROW()), ":", "")</f>
        <v/>
      </c>
    </row>
    <row r="452" spans="13:13" x14ac:dyDescent="0.25">
      <c r="M452" t="str" cm="1">
        <f t="array" aca="1" ref="M452" ca="1">SUBSTITUTE(INDIRECT("C"&amp;ROW()), ":", "")</f>
        <v/>
      </c>
    </row>
    <row r="453" spans="13:13" x14ac:dyDescent="0.25">
      <c r="M453" t="str" cm="1">
        <f t="array" aca="1" ref="M453" ca="1">SUBSTITUTE(INDIRECT("C"&amp;ROW()), ":", "")</f>
        <v/>
      </c>
    </row>
    <row r="454" spans="13:13" x14ac:dyDescent="0.25">
      <c r="M454" t="str" cm="1">
        <f t="array" aca="1" ref="M454" ca="1">SUBSTITUTE(INDIRECT("C"&amp;ROW()), ":", "")</f>
        <v/>
      </c>
    </row>
    <row r="455" spans="13:13" x14ac:dyDescent="0.25">
      <c r="M455" t="str" cm="1">
        <f t="array" aca="1" ref="M455" ca="1">SUBSTITUTE(INDIRECT("C"&amp;ROW()), ":", "")</f>
        <v/>
      </c>
    </row>
    <row r="456" spans="13:13" x14ac:dyDescent="0.25">
      <c r="M456" t="str" cm="1">
        <f t="array" aca="1" ref="M456" ca="1">SUBSTITUTE(INDIRECT("C"&amp;ROW()), ":", "")</f>
        <v/>
      </c>
    </row>
    <row r="457" spans="13:13" x14ac:dyDescent="0.25">
      <c r="M457" t="str" cm="1">
        <f t="array" aca="1" ref="M457" ca="1">SUBSTITUTE(INDIRECT("C"&amp;ROW()), ":", "")</f>
        <v/>
      </c>
    </row>
    <row r="458" spans="13:13" x14ac:dyDescent="0.25">
      <c r="M458" t="str" cm="1">
        <f t="array" aca="1" ref="M458" ca="1">SUBSTITUTE(INDIRECT("C"&amp;ROW()), ":", "")</f>
        <v/>
      </c>
    </row>
    <row r="459" spans="13:13" x14ac:dyDescent="0.25">
      <c r="M459" t="str" cm="1">
        <f t="array" aca="1" ref="M459" ca="1">SUBSTITUTE(INDIRECT("C"&amp;ROW()), ":", "")</f>
        <v/>
      </c>
    </row>
    <row r="460" spans="13:13" x14ac:dyDescent="0.25">
      <c r="M460" t="str" cm="1">
        <f t="array" aca="1" ref="M460" ca="1">SUBSTITUTE(INDIRECT("C"&amp;ROW()), ":", "")</f>
        <v/>
      </c>
    </row>
    <row r="461" spans="13:13" x14ac:dyDescent="0.25">
      <c r="M461" t="str" cm="1">
        <f t="array" aca="1" ref="M461" ca="1">SUBSTITUTE(INDIRECT("C"&amp;ROW()), ":", "")</f>
        <v/>
      </c>
    </row>
    <row r="462" spans="13:13" x14ac:dyDescent="0.25">
      <c r="M462" t="str" cm="1">
        <f t="array" aca="1" ref="M462" ca="1">SUBSTITUTE(INDIRECT("C"&amp;ROW()), ":", "")</f>
        <v/>
      </c>
    </row>
    <row r="463" spans="13:13" x14ac:dyDescent="0.25">
      <c r="M463" t="str" cm="1">
        <f t="array" aca="1" ref="M463" ca="1">SUBSTITUTE(INDIRECT("C"&amp;ROW()), ":", "")</f>
        <v/>
      </c>
    </row>
    <row r="464" spans="13:13" x14ac:dyDescent="0.25">
      <c r="M464" t="str" cm="1">
        <f t="array" aca="1" ref="M464" ca="1">SUBSTITUTE(INDIRECT("C"&amp;ROW()), ":", "")</f>
        <v/>
      </c>
    </row>
    <row r="465" spans="13:13" x14ac:dyDescent="0.25">
      <c r="M465" t="str" cm="1">
        <f t="array" aca="1" ref="M465" ca="1">SUBSTITUTE(INDIRECT("C"&amp;ROW()), ":", "")</f>
        <v/>
      </c>
    </row>
    <row r="466" spans="13:13" x14ac:dyDescent="0.25">
      <c r="M466" t="str" cm="1">
        <f t="array" aca="1" ref="M466" ca="1">SUBSTITUTE(INDIRECT("C"&amp;ROW()), ":", "")</f>
        <v/>
      </c>
    </row>
    <row r="467" spans="13:13" x14ac:dyDescent="0.25">
      <c r="M467" t="str" cm="1">
        <f t="array" aca="1" ref="M467" ca="1">SUBSTITUTE(INDIRECT("C"&amp;ROW()), ":", "")</f>
        <v/>
      </c>
    </row>
    <row r="468" spans="13:13" x14ac:dyDescent="0.25">
      <c r="M468" t="str" cm="1">
        <f t="array" aca="1" ref="M468" ca="1">SUBSTITUTE(INDIRECT("C"&amp;ROW()), ":", "")</f>
        <v/>
      </c>
    </row>
    <row r="469" spans="13:13" x14ac:dyDescent="0.25">
      <c r="M469" t="str" cm="1">
        <f t="array" aca="1" ref="M469" ca="1">SUBSTITUTE(INDIRECT("C"&amp;ROW()), ":", "")</f>
        <v/>
      </c>
    </row>
    <row r="470" spans="13:13" x14ac:dyDescent="0.25">
      <c r="M470" t="str" cm="1">
        <f t="array" aca="1" ref="M470" ca="1">SUBSTITUTE(INDIRECT("C"&amp;ROW()), ":", "")</f>
        <v/>
      </c>
    </row>
    <row r="471" spans="13:13" x14ac:dyDescent="0.25">
      <c r="M471" t="str" cm="1">
        <f t="array" aca="1" ref="M471" ca="1">SUBSTITUTE(INDIRECT("C"&amp;ROW()), ":", "")</f>
        <v/>
      </c>
    </row>
    <row r="472" spans="13:13" x14ac:dyDescent="0.25">
      <c r="M472" t="str" cm="1">
        <f t="array" aca="1" ref="M472" ca="1">SUBSTITUTE(INDIRECT("C"&amp;ROW()), ":", "")</f>
        <v/>
      </c>
    </row>
    <row r="473" spans="13:13" x14ac:dyDescent="0.25">
      <c r="M473" t="str" cm="1">
        <f t="array" aca="1" ref="M473" ca="1">SUBSTITUTE(INDIRECT("C"&amp;ROW()), ":", "")</f>
        <v/>
      </c>
    </row>
    <row r="474" spans="13:13" x14ac:dyDescent="0.25">
      <c r="M474" t="str" cm="1">
        <f t="array" aca="1" ref="M474" ca="1">SUBSTITUTE(INDIRECT("C"&amp;ROW()), ":", "")</f>
        <v/>
      </c>
    </row>
    <row r="475" spans="13:13" x14ac:dyDescent="0.25">
      <c r="M475" t="str" cm="1">
        <f t="array" aca="1" ref="M475" ca="1">SUBSTITUTE(INDIRECT("C"&amp;ROW()), ":", "")</f>
        <v/>
      </c>
    </row>
    <row r="476" spans="13:13" x14ac:dyDescent="0.25">
      <c r="M476" t="str" cm="1">
        <f t="array" aca="1" ref="M476" ca="1">SUBSTITUTE(INDIRECT("C"&amp;ROW()), ":", "")</f>
        <v/>
      </c>
    </row>
    <row r="477" spans="13:13" x14ac:dyDescent="0.25">
      <c r="M477" t="str" cm="1">
        <f t="array" aca="1" ref="M477" ca="1">SUBSTITUTE(INDIRECT("C"&amp;ROW()), ":", "")</f>
        <v/>
      </c>
    </row>
    <row r="478" spans="13:13" x14ac:dyDescent="0.25">
      <c r="M478" t="str" cm="1">
        <f t="array" aca="1" ref="M478" ca="1">SUBSTITUTE(INDIRECT("C"&amp;ROW()), ":", "")</f>
        <v/>
      </c>
    </row>
    <row r="479" spans="13:13" x14ac:dyDescent="0.25">
      <c r="M479" t="str" cm="1">
        <f t="array" aca="1" ref="M479" ca="1">SUBSTITUTE(INDIRECT("C"&amp;ROW()), ":", "")</f>
        <v/>
      </c>
    </row>
    <row r="480" spans="13:13" x14ac:dyDescent="0.25">
      <c r="M480" t="str" cm="1">
        <f t="array" aca="1" ref="M480" ca="1">SUBSTITUTE(INDIRECT("C"&amp;ROW()), ":", "")</f>
        <v/>
      </c>
    </row>
    <row r="481" spans="13:13" x14ac:dyDescent="0.25">
      <c r="M481" t="str" cm="1">
        <f t="array" aca="1" ref="M481" ca="1">SUBSTITUTE(INDIRECT("C"&amp;ROW()), ":", "")</f>
        <v/>
      </c>
    </row>
    <row r="482" spans="13:13" x14ac:dyDescent="0.25">
      <c r="M482" t="str" cm="1">
        <f t="array" aca="1" ref="M482" ca="1">SUBSTITUTE(INDIRECT("C"&amp;ROW()), ":", "")</f>
        <v/>
      </c>
    </row>
    <row r="483" spans="13:13" x14ac:dyDescent="0.25">
      <c r="M483" t="str" cm="1">
        <f t="array" aca="1" ref="M483" ca="1">SUBSTITUTE(INDIRECT("C"&amp;ROW()), ":", "")</f>
        <v/>
      </c>
    </row>
    <row r="484" spans="13:13" x14ac:dyDescent="0.25">
      <c r="M484" t="str" cm="1">
        <f t="array" aca="1" ref="M484" ca="1">SUBSTITUTE(INDIRECT("C"&amp;ROW()), ":", "")</f>
        <v/>
      </c>
    </row>
    <row r="485" spans="13:13" x14ac:dyDescent="0.25">
      <c r="M485" t="str" cm="1">
        <f t="array" aca="1" ref="M485" ca="1">SUBSTITUTE(INDIRECT("C"&amp;ROW()), ":", "")</f>
        <v/>
      </c>
    </row>
    <row r="486" spans="13:13" x14ac:dyDescent="0.25">
      <c r="M486" t="str" cm="1">
        <f t="array" aca="1" ref="M486" ca="1">SUBSTITUTE(INDIRECT("C"&amp;ROW()), ":", "")</f>
        <v/>
      </c>
    </row>
    <row r="487" spans="13:13" x14ac:dyDescent="0.25">
      <c r="M487" t="str" cm="1">
        <f t="array" aca="1" ref="M487" ca="1">SUBSTITUTE(INDIRECT("C"&amp;ROW()), ":", "")</f>
        <v/>
      </c>
    </row>
    <row r="488" spans="13:13" x14ac:dyDescent="0.25">
      <c r="M488" t="str" cm="1">
        <f t="array" aca="1" ref="M488" ca="1">SUBSTITUTE(INDIRECT("C"&amp;ROW()), ":", "")</f>
        <v/>
      </c>
    </row>
    <row r="489" spans="13:13" x14ac:dyDescent="0.25">
      <c r="M489" t="str" cm="1">
        <f t="array" aca="1" ref="M489" ca="1">SUBSTITUTE(INDIRECT("C"&amp;ROW()), ":", "")</f>
        <v/>
      </c>
    </row>
    <row r="490" spans="13:13" x14ac:dyDescent="0.25">
      <c r="M490" t="str" cm="1">
        <f t="array" aca="1" ref="M490" ca="1">SUBSTITUTE(INDIRECT("C"&amp;ROW()), ":", "")</f>
        <v/>
      </c>
    </row>
    <row r="491" spans="13:13" x14ac:dyDescent="0.25">
      <c r="M491" t="str" cm="1">
        <f t="array" aca="1" ref="M491" ca="1">SUBSTITUTE(INDIRECT("C"&amp;ROW()), ":", "")</f>
        <v/>
      </c>
    </row>
    <row r="492" spans="13:13" x14ac:dyDescent="0.25">
      <c r="M492" t="str" cm="1">
        <f t="array" aca="1" ref="M492" ca="1">SUBSTITUTE(INDIRECT("C"&amp;ROW()), ":", "")</f>
        <v/>
      </c>
    </row>
    <row r="493" spans="13:13" x14ac:dyDescent="0.25">
      <c r="M493" t="str" cm="1">
        <f t="array" aca="1" ref="M493" ca="1">SUBSTITUTE(INDIRECT("C"&amp;ROW()), ":", "")</f>
        <v/>
      </c>
    </row>
    <row r="494" spans="13:13" x14ac:dyDescent="0.25">
      <c r="M494" t="str" cm="1">
        <f t="array" aca="1" ref="M494" ca="1">SUBSTITUTE(INDIRECT("C"&amp;ROW()), ":", "")</f>
        <v/>
      </c>
    </row>
    <row r="495" spans="13:13" x14ac:dyDescent="0.25">
      <c r="M495" t="str" cm="1">
        <f t="array" aca="1" ref="M495" ca="1">SUBSTITUTE(INDIRECT("C"&amp;ROW()), ":", "")</f>
        <v/>
      </c>
    </row>
    <row r="496" spans="13:13" x14ac:dyDescent="0.25">
      <c r="M496" t="str" cm="1">
        <f t="array" aca="1" ref="M496" ca="1">SUBSTITUTE(INDIRECT("C"&amp;ROW()), ":", "")</f>
        <v/>
      </c>
    </row>
    <row r="497" spans="13:13" x14ac:dyDescent="0.25">
      <c r="M497" t="str" cm="1">
        <f t="array" aca="1" ref="M497" ca="1">SUBSTITUTE(INDIRECT("C"&amp;ROW()), ":", "")</f>
        <v/>
      </c>
    </row>
    <row r="498" spans="13:13" x14ac:dyDescent="0.25">
      <c r="M498" t="str" cm="1">
        <f t="array" aca="1" ref="M498" ca="1">SUBSTITUTE(INDIRECT("C"&amp;ROW()), ":", "")</f>
        <v/>
      </c>
    </row>
    <row r="499" spans="13:13" x14ac:dyDescent="0.25">
      <c r="M499" t="str" cm="1">
        <f t="array" aca="1" ref="M499" ca="1">SUBSTITUTE(INDIRECT("C"&amp;ROW()), ":", "")</f>
        <v/>
      </c>
    </row>
    <row r="500" spans="13:13" x14ac:dyDescent="0.25">
      <c r="M500" t="str" cm="1">
        <f t="array" aca="1" ref="M500" ca="1">SUBSTITUTE(INDIRECT("C"&amp;ROW()), ":", "")</f>
        <v/>
      </c>
    </row>
    <row r="501" spans="13:13" x14ac:dyDescent="0.25">
      <c r="M501" t="str" cm="1">
        <f t="array" aca="1" ref="M501" ca="1">SUBSTITUTE(INDIRECT("C"&amp;ROW()), ":", "")</f>
        <v/>
      </c>
    </row>
    <row r="502" spans="13:13" x14ac:dyDescent="0.25">
      <c r="M502" t="str" cm="1">
        <f t="array" aca="1" ref="M502" ca="1">SUBSTITUTE(INDIRECT("C"&amp;ROW()), ":", "")</f>
        <v/>
      </c>
    </row>
    <row r="503" spans="13:13" x14ac:dyDescent="0.25">
      <c r="M503" t="str" cm="1">
        <f t="array" aca="1" ref="M503" ca="1">SUBSTITUTE(INDIRECT("C"&amp;ROW()), ":", "")</f>
        <v/>
      </c>
    </row>
    <row r="504" spans="13:13" x14ac:dyDescent="0.25">
      <c r="M504" t="str" cm="1">
        <f t="array" aca="1" ref="M504" ca="1">SUBSTITUTE(INDIRECT("C"&amp;ROW()), ":", "")</f>
        <v/>
      </c>
    </row>
    <row r="505" spans="13:13" x14ac:dyDescent="0.25">
      <c r="M505" t="str" cm="1">
        <f t="array" aca="1" ref="M505" ca="1">SUBSTITUTE(INDIRECT("C"&amp;ROW()), ":", "")</f>
        <v/>
      </c>
    </row>
    <row r="506" spans="13:13" x14ac:dyDescent="0.25">
      <c r="M506" t="str" cm="1">
        <f t="array" aca="1" ref="M506" ca="1">SUBSTITUTE(INDIRECT("C"&amp;ROW()), ":", "")</f>
        <v/>
      </c>
    </row>
    <row r="507" spans="13:13" x14ac:dyDescent="0.25">
      <c r="M507" t="str" cm="1">
        <f t="array" aca="1" ref="M507" ca="1">SUBSTITUTE(INDIRECT("C"&amp;ROW()), ":", "")</f>
        <v/>
      </c>
    </row>
    <row r="508" spans="13:13" x14ac:dyDescent="0.25">
      <c r="M508" t="str" cm="1">
        <f t="array" aca="1" ref="M508" ca="1">SUBSTITUTE(INDIRECT("C"&amp;ROW()), ":", "")</f>
        <v/>
      </c>
    </row>
    <row r="509" spans="13:13" x14ac:dyDescent="0.25">
      <c r="M509" t="str" cm="1">
        <f t="array" aca="1" ref="M509" ca="1">SUBSTITUTE(INDIRECT("C"&amp;ROW()), ":", "")</f>
        <v/>
      </c>
    </row>
    <row r="510" spans="13:13" x14ac:dyDescent="0.25">
      <c r="M510" t="str" cm="1">
        <f t="array" aca="1" ref="M510" ca="1">SUBSTITUTE(INDIRECT("C"&amp;ROW()), ":", "")</f>
        <v/>
      </c>
    </row>
    <row r="511" spans="13:13" x14ac:dyDescent="0.25">
      <c r="M511" t="str" cm="1">
        <f t="array" aca="1" ref="M511" ca="1">SUBSTITUTE(INDIRECT("C"&amp;ROW()), ":", "")</f>
        <v/>
      </c>
    </row>
    <row r="512" spans="13:13" x14ac:dyDescent="0.25">
      <c r="M512" t="str" cm="1">
        <f t="array" aca="1" ref="M512" ca="1">SUBSTITUTE(INDIRECT("C"&amp;ROW()), ":", "")</f>
        <v/>
      </c>
    </row>
    <row r="513" spans="13:13" x14ac:dyDescent="0.25">
      <c r="M513" t="str" cm="1">
        <f t="array" aca="1" ref="M513" ca="1">SUBSTITUTE(INDIRECT("C"&amp;ROW()), ":", "")</f>
        <v/>
      </c>
    </row>
    <row r="514" spans="13:13" x14ac:dyDescent="0.25">
      <c r="M514" t="str" cm="1">
        <f t="array" aca="1" ref="M514" ca="1">SUBSTITUTE(INDIRECT("C"&amp;ROW()), ":", "")</f>
        <v/>
      </c>
    </row>
    <row r="515" spans="13:13" x14ac:dyDescent="0.25">
      <c r="M515" t="str" cm="1">
        <f t="array" aca="1" ref="M515" ca="1">SUBSTITUTE(INDIRECT("C"&amp;ROW()), ":", "")</f>
        <v/>
      </c>
    </row>
    <row r="516" spans="13:13" x14ac:dyDescent="0.25">
      <c r="M516" t="str" cm="1">
        <f t="array" aca="1" ref="M516" ca="1">SUBSTITUTE(INDIRECT("C"&amp;ROW()), ":", "")</f>
        <v/>
      </c>
    </row>
    <row r="517" spans="13:13" x14ac:dyDescent="0.25">
      <c r="M517" t="str" cm="1">
        <f t="array" aca="1" ref="M517" ca="1">SUBSTITUTE(INDIRECT("C"&amp;ROW()), ":", "")</f>
        <v/>
      </c>
    </row>
    <row r="518" spans="13:13" x14ac:dyDescent="0.25">
      <c r="M518" t="str" cm="1">
        <f t="array" aca="1" ref="M518" ca="1">SUBSTITUTE(INDIRECT("C"&amp;ROW()), ":", "")</f>
        <v/>
      </c>
    </row>
    <row r="519" spans="13:13" x14ac:dyDescent="0.25">
      <c r="M519" t="str" cm="1">
        <f t="array" aca="1" ref="M519" ca="1">SUBSTITUTE(INDIRECT("C"&amp;ROW()), ":", "")</f>
        <v/>
      </c>
    </row>
    <row r="520" spans="13:13" x14ac:dyDescent="0.25">
      <c r="M520" t="str" cm="1">
        <f t="array" aca="1" ref="M520" ca="1">SUBSTITUTE(INDIRECT("C"&amp;ROW()), ":", "")</f>
        <v/>
      </c>
    </row>
    <row r="521" spans="13:13" x14ac:dyDescent="0.25">
      <c r="M521" t="str" cm="1">
        <f t="array" aca="1" ref="M521" ca="1">SUBSTITUTE(INDIRECT("C"&amp;ROW()), ":", "")</f>
        <v/>
      </c>
    </row>
    <row r="522" spans="13:13" x14ac:dyDescent="0.25">
      <c r="M522" t="str" cm="1">
        <f t="array" aca="1" ref="M522" ca="1">SUBSTITUTE(INDIRECT("C"&amp;ROW()), ":", "")</f>
        <v/>
      </c>
    </row>
    <row r="523" spans="13:13" x14ac:dyDescent="0.25">
      <c r="M523" t="str" cm="1">
        <f t="array" aca="1" ref="M523" ca="1">SUBSTITUTE(INDIRECT("C"&amp;ROW()), ":", "")</f>
        <v/>
      </c>
    </row>
    <row r="524" spans="13:13" x14ac:dyDescent="0.25">
      <c r="M524" t="str" cm="1">
        <f t="array" aca="1" ref="M524" ca="1">SUBSTITUTE(INDIRECT("C"&amp;ROW()), ":", "")</f>
        <v/>
      </c>
    </row>
    <row r="525" spans="13:13" x14ac:dyDescent="0.25">
      <c r="M525" t="str" cm="1">
        <f t="array" aca="1" ref="M525" ca="1">SUBSTITUTE(INDIRECT("C"&amp;ROW()), ":", "")</f>
        <v/>
      </c>
    </row>
    <row r="526" spans="13:13" x14ac:dyDescent="0.25">
      <c r="M526" t="str" cm="1">
        <f t="array" aca="1" ref="M526" ca="1">SUBSTITUTE(INDIRECT("C"&amp;ROW()), ":", "")</f>
        <v/>
      </c>
    </row>
    <row r="527" spans="13:13" x14ac:dyDescent="0.25">
      <c r="M527" t="str" cm="1">
        <f t="array" aca="1" ref="M527" ca="1">SUBSTITUTE(INDIRECT("C"&amp;ROW()), ":", "")</f>
        <v/>
      </c>
    </row>
    <row r="528" spans="13:13" x14ac:dyDescent="0.25">
      <c r="M528" t="str" cm="1">
        <f t="array" aca="1" ref="M528" ca="1">SUBSTITUTE(INDIRECT("C"&amp;ROW()), ":", "")</f>
        <v/>
      </c>
    </row>
    <row r="529" spans="13:13" x14ac:dyDescent="0.25">
      <c r="M529" t="str" cm="1">
        <f t="array" aca="1" ref="M529" ca="1">SUBSTITUTE(INDIRECT("C"&amp;ROW()), ":", "")</f>
        <v/>
      </c>
    </row>
    <row r="530" spans="13:13" x14ac:dyDescent="0.25">
      <c r="M530" t="str" cm="1">
        <f t="array" aca="1" ref="M530" ca="1">SUBSTITUTE(INDIRECT("C"&amp;ROW()), ":", "")</f>
        <v/>
      </c>
    </row>
    <row r="531" spans="13:13" x14ac:dyDescent="0.25">
      <c r="M531" t="str" cm="1">
        <f t="array" aca="1" ref="M531" ca="1">SUBSTITUTE(INDIRECT("C"&amp;ROW()), ":", "")</f>
        <v/>
      </c>
    </row>
    <row r="532" spans="13:13" x14ac:dyDescent="0.25">
      <c r="M532" t="str" cm="1">
        <f t="array" aca="1" ref="M532" ca="1">SUBSTITUTE(INDIRECT("C"&amp;ROW()), ":", "")</f>
        <v/>
      </c>
    </row>
    <row r="533" spans="13:13" x14ac:dyDescent="0.25">
      <c r="M533" t="str" cm="1">
        <f t="array" aca="1" ref="M533" ca="1">SUBSTITUTE(INDIRECT("C"&amp;ROW()), ":", "")</f>
        <v/>
      </c>
    </row>
    <row r="534" spans="13:13" x14ac:dyDescent="0.25">
      <c r="M534" t="str" cm="1">
        <f t="array" aca="1" ref="M534" ca="1">SUBSTITUTE(INDIRECT("C"&amp;ROW()), ":", "")</f>
        <v/>
      </c>
    </row>
    <row r="535" spans="13:13" x14ac:dyDescent="0.25">
      <c r="M535" t="str" cm="1">
        <f t="array" aca="1" ref="M535" ca="1">SUBSTITUTE(INDIRECT("C"&amp;ROW()), ":", "")</f>
        <v/>
      </c>
    </row>
    <row r="536" spans="13:13" x14ac:dyDescent="0.25">
      <c r="M536" t="str" cm="1">
        <f t="array" aca="1" ref="M536" ca="1">SUBSTITUTE(INDIRECT("C"&amp;ROW()), ":", "")</f>
        <v/>
      </c>
    </row>
    <row r="537" spans="13:13" x14ac:dyDescent="0.25">
      <c r="M537" t="str" cm="1">
        <f t="array" aca="1" ref="M537" ca="1">SUBSTITUTE(INDIRECT("C"&amp;ROW()), ":", "")</f>
        <v/>
      </c>
    </row>
    <row r="538" spans="13:13" x14ac:dyDescent="0.25">
      <c r="M538" t="str" cm="1">
        <f t="array" aca="1" ref="M538" ca="1">SUBSTITUTE(INDIRECT("C"&amp;ROW()), ":", "")</f>
        <v/>
      </c>
    </row>
    <row r="539" spans="13:13" x14ac:dyDescent="0.25">
      <c r="M539" t="str" cm="1">
        <f t="array" aca="1" ref="M539" ca="1">SUBSTITUTE(INDIRECT("C"&amp;ROW()), ":", "")</f>
        <v/>
      </c>
    </row>
    <row r="540" spans="13:13" x14ac:dyDescent="0.25">
      <c r="M540" t="str" cm="1">
        <f t="array" aca="1" ref="M540" ca="1">SUBSTITUTE(INDIRECT("C"&amp;ROW()), ":", "")</f>
        <v/>
      </c>
    </row>
    <row r="541" spans="13:13" x14ac:dyDescent="0.25">
      <c r="M541" t="str" cm="1">
        <f t="array" aca="1" ref="M541" ca="1">SUBSTITUTE(INDIRECT("C"&amp;ROW()), ":", "")</f>
        <v/>
      </c>
    </row>
    <row r="542" spans="13:13" x14ac:dyDescent="0.25">
      <c r="M542" t="str" cm="1">
        <f t="array" aca="1" ref="M542" ca="1">SUBSTITUTE(INDIRECT("C"&amp;ROW()), ":", "")</f>
        <v/>
      </c>
    </row>
    <row r="543" spans="13:13" x14ac:dyDescent="0.25">
      <c r="M543" t="str" cm="1">
        <f t="array" aca="1" ref="M543" ca="1">SUBSTITUTE(INDIRECT("C"&amp;ROW()), ":", "")</f>
        <v/>
      </c>
    </row>
    <row r="544" spans="13:13" x14ac:dyDescent="0.25">
      <c r="M544" t="str" cm="1">
        <f t="array" aca="1" ref="M544" ca="1">SUBSTITUTE(INDIRECT("C"&amp;ROW()), ":", "")</f>
        <v/>
      </c>
    </row>
    <row r="545" spans="13:13" x14ac:dyDescent="0.25">
      <c r="M545" t="str" cm="1">
        <f t="array" aca="1" ref="M545" ca="1">SUBSTITUTE(INDIRECT("C"&amp;ROW()), ":", "")</f>
        <v/>
      </c>
    </row>
    <row r="546" spans="13:13" x14ac:dyDescent="0.25">
      <c r="M546" t="str" cm="1">
        <f t="array" aca="1" ref="M546" ca="1">SUBSTITUTE(INDIRECT("C"&amp;ROW()), ":", "")</f>
        <v/>
      </c>
    </row>
    <row r="547" spans="13:13" x14ac:dyDescent="0.25">
      <c r="M547" t="str" cm="1">
        <f t="array" aca="1" ref="M547" ca="1">SUBSTITUTE(INDIRECT("C"&amp;ROW()), ":", "")</f>
        <v/>
      </c>
    </row>
    <row r="548" spans="13:13" x14ac:dyDescent="0.25">
      <c r="M548" t="str" cm="1">
        <f t="array" aca="1" ref="M548" ca="1">SUBSTITUTE(INDIRECT("C"&amp;ROW()), ":", "")</f>
        <v/>
      </c>
    </row>
    <row r="549" spans="13:13" x14ac:dyDescent="0.25">
      <c r="M549" t="str" cm="1">
        <f t="array" aca="1" ref="M549" ca="1">SUBSTITUTE(INDIRECT("C"&amp;ROW()), ":", "")</f>
        <v/>
      </c>
    </row>
    <row r="550" spans="13:13" x14ac:dyDescent="0.25">
      <c r="M550" t="str" cm="1">
        <f t="array" aca="1" ref="M550" ca="1">SUBSTITUTE(INDIRECT("C"&amp;ROW()), ":", "")</f>
        <v/>
      </c>
    </row>
    <row r="551" spans="13:13" x14ac:dyDescent="0.25">
      <c r="M551" t="str" cm="1">
        <f t="array" aca="1" ref="M551" ca="1">SUBSTITUTE(INDIRECT("C"&amp;ROW()), ":", "")</f>
        <v/>
      </c>
    </row>
    <row r="552" spans="13:13" x14ac:dyDescent="0.25">
      <c r="M552" t="str" cm="1">
        <f t="array" aca="1" ref="M552" ca="1">SUBSTITUTE(INDIRECT("C"&amp;ROW()), ":", "")</f>
        <v/>
      </c>
    </row>
    <row r="553" spans="13:13" x14ac:dyDescent="0.25">
      <c r="M553" t="str" cm="1">
        <f t="array" aca="1" ref="M553" ca="1">SUBSTITUTE(INDIRECT("C"&amp;ROW()), ":", "")</f>
        <v/>
      </c>
    </row>
    <row r="554" spans="13:13" x14ac:dyDescent="0.25">
      <c r="M554" t="str" cm="1">
        <f t="array" aca="1" ref="M554" ca="1">SUBSTITUTE(INDIRECT("C"&amp;ROW()), ":", "")</f>
        <v/>
      </c>
    </row>
    <row r="555" spans="13:13" x14ac:dyDescent="0.25">
      <c r="M555" t="str" cm="1">
        <f t="array" aca="1" ref="M555" ca="1">SUBSTITUTE(INDIRECT("C"&amp;ROW()), ":", "")</f>
        <v/>
      </c>
    </row>
    <row r="556" spans="13:13" x14ac:dyDescent="0.25">
      <c r="M556" t="str" cm="1">
        <f t="array" aca="1" ref="M556" ca="1">SUBSTITUTE(INDIRECT("C"&amp;ROW()), ":", "")</f>
        <v/>
      </c>
    </row>
    <row r="557" spans="13:13" x14ac:dyDescent="0.25">
      <c r="M557" t="str" cm="1">
        <f t="array" aca="1" ref="M557" ca="1">SUBSTITUTE(INDIRECT("C"&amp;ROW()), ":", "")</f>
        <v/>
      </c>
    </row>
    <row r="558" spans="13:13" x14ac:dyDescent="0.25">
      <c r="M558" t="str" cm="1">
        <f t="array" aca="1" ref="M558" ca="1">SUBSTITUTE(INDIRECT("C"&amp;ROW()), ":", "")</f>
        <v/>
      </c>
    </row>
    <row r="559" spans="13:13" x14ac:dyDescent="0.25">
      <c r="M559" t="str" cm="1">
        <f t="array" aca="1" ref="M559" ca="1">SUBSTITUTE(INDIRECT("C"&amp;ROW()), ":", "")</f>
        <v/>
      </c>
    </row>
    <row r="560" spans="13:13" x14ac:dyDescent="0.25">
      <c r="M560" t="str" cm="1">
        <f t="array" aca="1" ref="M560" ca="1">SUBSTITUTE(INDIRECT("C"&amp;ROW()), ":", "")</f>
        <v/>
      </c>
    </row>
    <row r="561" spans="13:13" x14ac:dyDescent="0.25">
      <c r="M561" t="str" cm="1">
        <f t="array" aca="1" ref="M561" ca="1">SUBSTITUTE(INDIRECT("C"&amp;ROW()), ":", "")</f>
        <v/>
      </c>
    </row>
    <row r="562" spans="13:13" x14ac:dyDescent="0.25">
      <c r="M562" t="str" cm="1">
        <f t="array" aca="1" ref="M562" ca="1">SUBSTITUTE(INDIRECT("C"&amp;ROW()), ":", "")</f>
        <v/>
      </c>
    </row>
    <row r="563" spans="13:13" x14ac:dyDescent="0.25">
      <c r="M563" t="str" cm="1">
        <f t="array" aca="1" ref="M563" ca="1">SUBSTITUTE(INDIRECT("C"&amp;ROW()), ":", "")</f>
        <v/>
      </c>
    </row>
    <row r="564" spans="13:13" x14ac:dyDescent="0.25">
      <c r="M564" t="str" cm="1">
        <f t="array" aca="1" ref="M564" ca="1">SUBSTITUTE(INDIRECT("C"&amp;ROW()), ":", "")</f>
        <v/>
      </c>
    </row>
    <row r="565" spans="13:13" x14ac:dyDescent="0.25">
      <c r="M565" t="str" cm="1">
        <f t="array" aca="1" ref="M565" ca="1">SUBSTITUTE(INDIRECT("C"&amp;ROW()), ":", "")</f>
        <v/>
      </c>
    </row>
    <row r="566" spans="13:13" x14ac:dyDescent="0.25">
      <c r="M566" t="str" cm="1">
        <f t="array" aca="1" ref="M566" ca="1">SUBSTITUTE(INDIRECT("C"&amp;ROW()), ":", "")</f>
        <v/>
      </c>
    </row>
    <row r="567" spans="13:13" x14ac:dyDescent="0.25">
      <c r="M567" t="str" cm="1">
        <f t="array" aca="1" ref="M567" ca="1">SUBSTITUTE(INDIRECT("C"&amp;ROW()), ":", "")</f>
        <v/>
      </c>
    </row>
    <row r="568" spans="13:13" x14ac:dyDescent="0.25">
      <c r="M568" t="str" cm="1">
        <f t="array" aca="1" ref="M568" ca="1">SUBSTITUTE(INDIRECT("C"&amp;ROW()), ":", "")</f>
        <v/>
      </c>
    </row>
    <row r="569" spans="13:13" x14ac:dyDescent="0.25">
      <c r="M569" t="str" cm="1">
        <f t="array" aca="1" ref="M569" ca="1">SUBSTITUTE(INDIRECT("C"&amp;ROW()), ":", "")</f>
        <v/>
      </c>
    </row>
    <row r="570" spans="13:13" x14ac:dyDescent="0.25">
      <c r="M570" t="str" cm="1">
        <f t="array" aca="1" ref="M570" ca="1">SUBSTITUTE(INDIRECT("C"&amp;ROW()), ":", "")</f>
        <v/>
      </c>
    </row>
    <row r="571" spans="13:13" x14ac:dyDescent="0.25">
      <c r="M571" t="str" cm="1">
        <f t="array" aca="1" ref="M571" ca="1">SUBSTITUTE(INDIRECT("C"&amp;ROW()), ":", "")</f>
        <v/>
      </c>
    </row>
    <row r="572" spans="13:13" x14ac:dyDescent="0.25">
      <c r="M572" t="str" cm="1">
        <f t="array" aca="1" ref="M572" ca="1">SUBSTITUTE(INDIRECT("C"&amp;ROW()), ":", "")</f>
        <v/>
      </c>
    </row>
    <row r="573" spans="13:13" x14ac:dyDescent="0.25">
      <c r="M573" t="str" cm="1">
        <f t="array" aca="1" ref="M573" ca="1">SUBSTITUTE(INDIRECT("C"&amp;ROW()), ":", "")</f>
        <v/>
      </c>
    </row>
    <row r="574" spans="13:13" x14ac:dyDescent="0.25">
      <c r="M574" t="str" cm="1">
        <f t="array" aca="1" ref="M574" ca="1">SUBSTITUTE(INDIRECT("C"&amp;ROW()), ":", "")</f>
        <v/>
      </c>
    </row>
    <row r="575" spans="13:13" x14ac:dyDescent="0.25">
      <c r="M575" t="str" cm="1">
        <f t="array" aca="1" ref="M575" ca="1">SUBSTITUTE(INDIRECT("C"&amp;ROW()), ":", "")</f>
        <v/>
      </c>
    </row>
    <row r="576" spans="13:13" x14ac:dyDescent="0.25">
      <c r="M576" t="str" cm="1">
        <f t="array" aca="1" ref="M576" ca="1">SUBSTITUTE(INDIRECT("C"&amp;ROW()), ":", "")</f>
        <v/>
      </c>
    </row>
    <row r="577" spans="13:13" x14ac:dyDescent="0.25">
      <c r="M577" t="str" cm="1">
        <f t="array" aca="1" ref="M577" ca="1">SUBSTITUTE(INDIRECT("C"&amp;ROW()), ":", "")</f>
        <v/>
      </c>
    </row>
    <row r="578" spans="13:13" x14ac:dyDescent="0.25">
      <c r="M578" t="str" cm="1">
        <f t="array" aca="1" ref="M578" ca="1">SUBSTITUTE(INDIRECT("C"&amp;ROW()), ":", "")</f>
        <v/>
      </c>
    </row>
    <row r="579" spans="13:13" x14ac:dyDescent="0.25">
      <c r="M579" t="str" cm="1">
        <f t="array" aca="1" ref="M579" ca="1">SUBSTITUTE(INDIRECT("C"&amp;ROW()), ":", "")</f>
        <v/>
      </c>
    </row>
    <row r="580" spans="13:13" x14ac:dyDescent="0.25">
      <c r="M580" t="str" cm="1">
        <f t="array" aca="1" ref="M580" ca="1">SUBSTITUTE(INDIRECT("C"&amp;ROW()), ":", "")</f>
        <v/>
      </c>
    </row>
    <row r="581" spans="13:13" x14ac:dyDescent="0.25">
      <c r="M581" t="str" cm="1">
        <f t="array" aca="1" ref="M581" ca="1">SUBSTITUTE(INDIRECT("C"&amp;ROW()), ":", "")</f>
        <v/>
      </c>
    </row>
    <row r="582" spans="13:13" x14ac:dyDescent="0.25">
      <c r="M582" t="str" cm="1">
        <f t="array" aca="1" ref="M582" ca="1">SUBSTITUTE(INDIRECT("C"&amp;ROW()), ":", "")</f>
        <v/>
      </c>
    </row>
    <row r="583" spans="13:13" x14ac:dyDescent="0.25">
      <c r="M583" t="str" cm="1">
        <f t="array" aca="1" ref="M583" ca="1">SUBSTITUTE(INDIRECT("C"&amp;ROW()), ":", "")</f>
        <v/>
      </c>
    </row>
    <row r="584" spans="13:13" x14ac:dyDescent="0.25">
      <c r="M584" t="str" cm="1">
        <f t="array" aca="1" ref="M584" ca="1">SUBSTITUTE(INDIRECT("C"&amp;ROW()), ":", "")</f>
        <v/>
      </c>
    </row>
    <row r="585" spans="13:13" x14ac:dyDescent="0.25">
      <c r="M585" t="str" cm="1">
        <f t="array" aca="1" ref="M585" ca="1">SUBSTITUTE(INDIRECT("C"&amp;ROW()), ":", "")</f>
        <v/>
      </c>
    </row>
    <row r="586" spans="13:13" x14ac:dyDescent="0.25">
      <c r="M586" t="str" cm="1">
        <f t="array" aca="1" ref="M586" ca="1">SUBSTITUTE(INDIRECT("C"&amp;ROW()), ":", "")</f>
        <v/>
      </c>
    </row>
    <row r="587" spans="13:13" x14ac:dyDescent="0.25">
      <c r="M587" t="str" cm="1">
        <f t="array" aca="1" ref="M587" ca="1">SUBSTITUTE(INDIRECT("C"&amp;ROW()), ":", "")</f>
        <v/>
      </c>
    </row>
    <row r="588" spans="13:13" x14ac:dyDescent="0.25">
      <c r="M588" t="str" cm="1">
        <f t="array" aca="1" ref="M588" ca="1">SUBSTITUTE(INDIRECT("C"&amp;ROW()), ":", "")</f>
        <v/>
      </c>
    </row>
    <row r="589" spans="13:13" x14ac:dyDescent="0.25">
      <c r="M589" t="str" cm="1">
        <f t="array" aca="1" ref="M589" ca="1">SUBSTITUTE(INDIRECT("C"&amp;ROW()), ":", "")</f>
        <v/>
      </c>
    </row>
    <row r="590" spans="13:13" x14ac:dyDescent="0.25">
      <c r="M590" t="str" cm="1">
        <f t="array" aca="1" ref="M590" ca="1">SUBSTITUTE(INDIRECT("C"&amp;ROW()), ":", "")</f>
        <v/>
      </c>
    </row>
    <row r="591" spans="13:13" x14ac:dyDescent="0.25">
      <c r="M591" t="str" cm="1">
        <f t="array" aca="1" ref="M591" ca="1">SUBSTITUTE(INDIRECT("C"&amp;ROW()), ":", "")</f>
        <v/>
      </c>
    </row>
    <row r="592" spans="13:13" x14ac:dyDescent="0.25">
      <c r="M592" t="str" cm="1">
        <f t="array" aca="1" ref="M592" ca="1">SUBSTITUTE(INDIRECT("C"&amp;ROW()), ":", "")</f>
        <v/>
      </c>
    </row>
    <row r="593" spans="13:13" x14ac:dyDescent="0.25">
      <c r="M593" t="str" cm="1">
        <f t="array" aca="1" ref="M593" ca="1">SUBSTITUTE(INDIRECT("C"&amp;ROW()), ":", "")</f>
        <v/>
      </c>
    </row>
    <row r="594" spans="13:13" x14ac:dyDescent="0.25">
      <c r="M594" t="str" cm="1">
        <f t="array" aca="1" ref="M594" ca="1">SUBSTITUTE(INDIRECT("C"&amp;ROW()), ":", "")</f>
        <v/>
      </c>
    </row>
    <row r="595" spans="13:13" x14ac:dyDescent="0.25">
      <c r="M595" t="str" cm="1">
        <f t="array" aca="1" ref="M595" ca="1">SUBSTITUTE(INDIRECT("C"&amp;ROW()), ":", "")</f>
        <v/>
      </c>
    </row>
    <row r="596" spans="13:13" x14ac:dyDescent="0.25">
      <c r="M596" t="str" cm="1">
        <f t="array" aca="1" ref="M596" ca="1">SUBSTITUTE(INDIRECT("C"&amp;ROW()), ":", "")</f>
        <v/>
      </c>
    </row>
    <row r="597" spans="13:13" x14ac:dyDescent="0.25">
      <c r="M597" t="str" cm="1">
        <f t="array" aca="1" ref="M597" ca="1">SUBSTITUTE(INDIRECT("C"&amp;ROW()), ":", "")</f>
        <v/>
      </c>
    </row>
    <row r="598" spans="13:13" x14ac:dyDescent="0.25">
      <c r="M598" t="str" cm="1">
        <f t="array" aca="1" ref="M598" ca="1">SUBSTITUTE(INDIRECT("C"&amp;ROW()), ":", "")</f>
        <v/>
      </c>
    </row>
    <row r="599" spans="13:13" x14ac:dyDescent="0.25">
      <c r="M599" t="str" cm="1">
        <f t="array" aca="1" ref="M599" ca="1">SUBSTITUTE(INDIRECT("C"&amp;ROW()), ":", "")</f>
        <v/>
      </c>
    </row>
    <row r="600" spans="13:13" x14ac:dyDescent="0.25">
      <c r="M600" t="str" cm="1">
        <f t="array" aca="1" ref="M600" ca="1">SUBSTITUTE(INDIRECT("C"&amp;ROW()), ":", "")</f>
        <v/>
      </c>
    </row>
    <row r="601" spans="13:13" x14ac:dyDescent="0.25">
      <c r="M601" t="str" cm="1">
        <f t="array" aca="1" ref="M601" ca="1">SUBSTITUTE(INDIRECT("C"&amp;ROW()), ":", "")</f>
        <v/>
      </c>
    </row>
    <row r="602" spans="13:13" x14ac:dyDescent="0.25">
      <c r="M602" t="str" cm="1">
        <f t="array" aca="1" ref="M602" ca="1">SUBSTITUTE(INDIRECT("C"&amp;ROW()), ":", "")</f>
        <v/>
      </c>
    </row>
    <row r="603" spans="13:13" x14ac:dyDescent="0.25">
      <c r="M603" t="str" cm="1">
        <f t="array" aca="1" ref="M603" ca="1">SUBSTITUTE(INDIRECT("C"&amp;ROW()), ":", "")</f>
        <v/>
      </c>
    </row>
    <row r="604" spans="13:13" x14ac:dyDescent="0.25">
      <c r="M604" t="str" cm="1">
        <f t="array" aca="1" ref="M604" ca="1">SUBSTITUTE(INDIRECT("C"&amp;ROW()), ":", "")</f>
        <v/>
      </c>
    </row>
    <row r="605" spans="13:13" x14ac:dyDescent="0.25">
      <c r="M605" t="str" cm="1">
        <f t="array" aca="1" ref="M605" ca="1">SUBSTITUTE(INDIRECT("C"&amp;ROW()), ":", "")</f>
        <v/>
      </c>
    </row>
    <row r="606" spans="13:13" x14ac:dyDescent="0.25">
      <c r="M606" t="str" cm="1">
        <f t="array" aca="1" ref="M606" ca="1">SUBSTITUTE(INDIRECT("C"&amp;ROW()), ":", "")</f>
        <v/>
      </c>
    </row>
    <row r="607" spans="13:13" x14ac:dyDescent="0.25">
      <c r="M607" t="str" cm="1">
        <f t="array" aca="1" ref="M607" ca="1">SUBSTITUTE(INDIRECT("C"&amp;ROW()), ":", "")</f>
        <v/>
      </c>
    </row>
    <row r="608" spans="13:13" x14ac:dyDescent="0.25">
      <c r="M608" t="str" cm="1">
        <f t="array" aca="1" ref="M608" ca="1">SUBSTITUTE(INDIRECT("C"&amp;ROW()), ":", "")</f>
        <v/>
      </c>
    </row>
    <row r="609" spans="13:13" x14ac:dyDescent="0.25">
      <c r="M609" t="str" cm="1">
        <f t="array" aca="1" ref="M609" ca="1">SUBSTITUTE(INDIRECT("C"&amp;ROW()), ":", "")</f>
        <v/>
      </c>
    </row>
    <row r="610" spans="13:13" x14ac:dyDescent="0.25">
      <c r="M610" t="str" cm="1">
        <f t="array" aca="1" ref="M610" ca="1">SUBSTITUTE(INDIRECT("C"&amp;ROW()), ":", "")</f>
        <v/>
      </c>
    </row>
    <row r="611" spans="13:13" x14ac:dyDescent="0.25">
      <c r="M611" t="str" cm="1">
        <f t="array" aca="1" ref="M611" ca="1">SUBSTITUTE(INDIRECT("C"&amp;ROW()), ":", "")</f>
        <v/>
      </c>
    </row>
    <row r="612" spans="13:13" x14ac:dyDescent="0.25">
      <c r="M612" t="str" cm="1">
        <f t="array" aca="1" ref="M612" ca="1">SUBSTITUTE(INDIRECT("C"&amp;ROW()), ":", "")</f>
        <v/>
      </c>
    </row>
    <row r="613" spans="13:13" x14ac:dyDescent="0.25">
      <c r="M613" t="str" cm="1">
        <f t="array" aca="1" ref="M613" ca="1">SUBSTITUTE(INDIRECT("C"&amp;ROW()), ":", "")</f>
        <v/>
      </c>
    </row>
    <row r="614" spans="13:13" x14ac:dyDescent="0.25">
      <c r="M614" t="str" cm="1">
        <f t="array" aca="1" ref="M614" ca="1">SUBSTITUTE(INDIRECT("C"&amp;ROW()), ":", "")</f>
        <v/>
      </c>
    </row>
    <row r="615" spans="13:13" x14ac:dyDescent="0.25">
      <c r="M615" t="str" cm="1">
        <f t="array" aca="1" ref="M615" ca="1">SUBSTITUTE(INDIRECT("C"&amp;ROW()), ":", "")</f>
        <v/>
      </c>
    </row>
    <row r="616" spans="13:13" x14ac:dyDescent="0.25">
      <c r="M616" t="str" cm="1">
        <f t="array" aca="1" ref="M616" ca="1">SUBSTITUTE(INDIRECT("C"&amp;ROW()), ":", "")</f>
        <v/>
      </c>
    </row>
    <row r="617" spans="13:13" x14ac:dyDescent="0.25">
      <c r="M617" t="str" cm="1">
        <f t="array" aca="1" ref="M617" ca="1">SUBSTITUTE(INDIRECT("C"&amp;ROW()), ":", "")</f>
        <v/>
      </c>
    </row>
    <row r="618" spans="13:13" x14ac:dyDescent="0.25">
      <c r="M618" t="str" cm="1">
        <f t="array" aca="1" ref="M618" ca="1">SUBSTITUTE(INDIRECT("C"&amp;ROW()), ":", "")</f>
        <v/>
      </c>
    </row>
    <row r="619" spans="13:13" x14ac:dyDescent="0.25">
      <c r="M619" t="str" cm="1">
        <f t="array" aca="1" ref="M619" ca="1">SUBSTITUTE(INDIRECT("C"&amp;ROW()), ":", "")</f>
        <v/>
      </c>
    </row>
    <row r="620" spans="13:13" x14ac:dyDescent="0.25">
      <c r="M620" t="str" cm="1">
        <f t="array" aca="1" ref="M620" ca="1">SUBSTITUTE(INDIRECT("C"&amp;ROW()), ":", "")</f>
        <v/>
      </c>
    </row>
    <row r="621" spans="13:13" x14ac:dyDescent="0.25">
      <c r="M621" t="str" cm="1">
        <f t="array" aca="1" ref="M621" ca="1">SUBSTITUTE(INDIRECT("C"&amp;ROW()), ":", "")</f>
        <v/>
      </c>
    </row>
    <row r="622" spans="13:13" x14ac:dyDescent="0.25">
      <c r="M622" t="str" cm="1">
        <f t="array" aca="1" ref="M622" ca="1">SUBSTITUTE(INDIRECT("C"&amp;ROW()), ":", "")</f>
        <v/>
      </c>
    </row>
    <row r="623" spans="13:13" x14ac:dyDescent="0.25">
      <c r="M623" t="str" cm="1">
        <f t="array" aca="1" ref="M623" ca="1">SUBSTITUTE(INDIRECT("C"&amp;ROW()), ":", "")</f>
        <v/>
      </c>
    </row>
    <row r="624" spans="13:13" x14ac:dyDescent="0.25">
      <c r="M624" t="str" cm="1">
        <f t="array" aca="1" ref="M624" ca="1">SUBSTITUTE(INDIRECT("C"&amp;ROW()), ":", "")</f>
        <v/>
      </c>
    </row>
    <row r="625" spans="13:13" x14ac:dyDescent="0.25">
      <c r="M625" t="str" cm="1">
        <f t="array" aca="1" ref="M625" ca="1">SUBSTITUTE(INDIRECT("C"&amp;ROW()), ":", "")</f>
        <v/>
      </c>
    </row>
    <row r="626" spans="13:13" x14ac:dyDescent="0.25">
      <c r="M626" t="str" cm="1">
        <f t="array" aca="1" ref="M626" ca="1">SUBSTITUTE(INDIRECT("C"&amp;ROW()), ":", "")</f>
        <v/>
      </c>
    </row>
    <row r="627" spans="13:13" x14ac:dyDescent="0.25">
      <c r="M627" t="str" cm="1">
        <f t="array" aca="1" ref="M627" ca="1">SUBSTITUTE(INDIRECT("C"&amp;ROW()), ":", "")</f>
        <v/>
      </c>
    </row>
    <row r="628" spans="13:13" x14ac:dyDescent="0.25">
      <c r="M628" t="str" cm="1">
        <f t="array" aca="1" ref="M628" ca="1">SUBSTITUTE(INDIRECT("C"&amp;ROW()), ":", "")</f>
        <v/>
      </c>
    </row>
    <row r="629" spans="13:13" x14ac:dyDescent="0.25">
      <c r="M629" t="str" cm="1">
        <f t="array" aca="1" ref="M629" ca="1">SUBSTITUTE(INDIRECT("C"&amp;ROW()), ":", "")</f>
        <v/>
      </c>
    </row>
    <row r="630" spans="13:13" x14ac:dyDescent="0.25">
      <c r="M630" t="str" cm="1">
        <f t="array" aca="1" ref="M630" ca="1">SUBSTITUTE(INDIRECT("C"&amp;ROW()), ":", "")</f>
        <v/>
      </c>
    </row>
    <row r="631" spans="13:13" x14ac:dyDescent="0.25">
      <c r="M631" t="str" cm="1">
        <f t="array" aca="1" ref="M631" ca="1">SUBSTITUTE(INDIRECT("C"&amp;ROW()), ":", "")</f>
        <v/>
      </c>
    </row>
    <row r="632" spans="13:13" x14ac:dyDescent="0.25">
      <c r="M632" t="str" cm="1">
        <f t="array" aca="1" ref="M632" ca="1">SUBSTITUTE(INDIRECT("C"&amp;ROW()), ":", "")</f>
        <v/>
      </c>
    </row>
    <row r="633" spans="13:13" x14ac:dyDescent="0.25">
      <c r="M633" t="str" cm="1">
        <f t="array" aca="1" ref="M633" ca="1">SUBSTITUTE(INDIRECT("C"&amp;ROW()), ":", "")</f>
        <v/>
      </c>
    </row>
    <row r="634" spans="13:13" x14ac:dyDescent="0.25">
      <c r="M634" t="str" cm="1">
        <f t="array" aca="1" ref="M634" ca="1">SUBSTITUTE(INDIRECT("C"&amp;ROW()), ":", "")</f>
        <v/>
      </c>
    </row>
    <row r="635" spans="13:13" x14ac:dyDescent="0.25">
      <c r="M635" t="str" cm="1">
        <f t="array" aca="1" ref="M635" ca="1">SUBSTITUTE(INDIRECT("C"&amp;ROW()), ":", "")</f>
        <v/>
      </c>
    </row>
    <row r="636" spans="13:13" x14ac:dyDescent="0.25">
      <c r="M636" t="str" cm="1">
        <f t="array" aca="1" ref="M636" ca="1">SUBSTITUTE(INDIRECT("C"&amp;ROW()), ":", "")</f>
        <v/>
      </c>
    </row>
    <row r="637" spans="13:13" x14ac:dyDescent="0.25">
      <c r="M637" t="str" cm="1">
        <f t="array" aca="1" ref="M637" ca="1">SUBSTITUTE(INDIRECT("C"&amp;ROW()), ":", "")</f>
        <v/>
      </c>
    </row>
    <row r="638" spans="13:13" x14ac:dyDescent="0.25">
      <c r="M638" t="str" cm="1">
        <f t="array" aca="1" ref="M638" ca="1">SUBSTITUTE(INDIRECT("C"&amp;ROW()), ":", "")</f>
        <v/>
      </c>
    </row>
    <row r="639" spans="13:13" x14ac:dyDescent="0.25">
      <c r="M639" t="str" cm="1">
        <f t="array" aca="1" ref="M639" ca="1">SUBSTITUTE(INDIRECT("C"&amp;ROW()), ":", "")</f>
        <v/>
      </c>
    </row>
    <row r="640" spans="13:13" x14ac:dyDescent="0.25">
      <c r="M640" t="str" cm="1">
        <f t="array" aca="1" ref="M640" ca="1">SUBSTITUTE(INDIRECT("C"&amp;ROW()), ":", "")</f>
        <v/>
      </c>
    </row>
    <row r="641" spans="13:13" x14ac:dyDescent="0.25">
      <c r="M641" t="str" cm="1">
        <f t="array" aca="1" ref="M641" ca="1">SUBSTITUTE(INDIRECT("C"&amp;ROW()), ":", "")</f>
        <v/>
      </c>
    </row>
    <row r="642" spans="13:13" x14ac:dyDescent="0.25">
      <c r="M642" t="str" cm="1">
        <f t="array" aca="1" ref="M642" ca="1">SUBSTITUTE(INDIRECT("C"&amp;ROW()), ":", "")</f>
        <v/>
      </c>
    </row>
    <row r="643" spans="13:13" x14ac:dyDescent="0.25">
      <c r="M643" t="str" cm="1">
        <f t="array" aca="1" ref="M643" ca="1">SUBSTITUTE(INDIRECT("C"&amp;ROW()), ":", "")</f>
        <v/>
      </c>
    </row>
    <row r="644" spans="13:13" x14ac:dyDescent="0.25">
      <c r="M644" t="str" cm="1">
        <f t="array" aca="1" ref="M644" ca="1">SUBSTITUTE(INDIRECT("C"&amp;ROW()), ":", "")</f>
        <v/>
      </c>
    </row>
    <row r="645" spans="13:13" x14ac:dyDescent="0.25">
      <c r="M645" t="str" cm="1">
        <f t="array" aca="1" ref="M645" ca="1">SUBSTITUTE(INDIRECT("C"&amp;ROW()), ":", "")</f>
        <v/>
      </c>
    </row>
    <row r="646" spans="13:13" x14ac:dyDescent="0.25">
      <c r="M646" t="str" cm="1">
        <f t="array" aca="1" ref="M646" ca="1">SUBSTITUTE(INDIRECT("C"&amp;ROW()), ":", "")</f>
        <v/>
      </c>
    </row>
    <row r="647" spans="13:13" x14ac:dyDescent="0.25">
      <c r="M647" t="str" cm="1">
        <f t="array" aca="1" ref="M647" ca="1">SUBSTITUTE(INDIRECT("C"&amp;ROW()), ":", "")</f>
        <v/>
      </c>
    </row>
    <row r="648" spans="13:13" x14ac:dyDescent="0.25">
      <c r="M648" t="str" cm="1">
        <f t="array" aca="1" ref="M648" ca="1">SUBSTITUTE(INDIRECT("C"&amp;ROW()), ":", "")</f>
        <v/>
      </c>
    </row>
    <row r="649" spans="13:13" x14ac:dyDescent="0.25">
      <c r="M649" t="str" cm="1">
        <f t="array" aca="1" ref="M649" ca="1">SUBSTITUTE(INDIRECT("C"&amp;ROW()), ":", "")</f>
        <v/>
      </c>
    </row>
    <row r="650" spans="13:13" x14ac:dyDescent="0.25">
      <c r="M650" t="str" cm="1">
        <f t="array" aca="1" ref="M650" ca="1">SUBSTITUTE(INDIRECT("C"&amp;ROW()), ":", "")</f>
        <v/>
      </c>
    </row>
    <row r="651" spans="13:13" x14ac:dyDescent="0.25">
      <c r="M651" t="str" cm="1">
        <f t="array" aca="1" ref="M651" ca="1">SUBSTITUTE(INDIRECT("C"&amp;ROW()), ":", "")</f>
        <v/>
      </c>
    </row>
    <row r="652" spans="13:13" x14ac:dyDescent="0.25">
      <c r="M652" t="str" cm="1">
        <f t="array" aca="1" ref="M652" ca="1">SUBSTITUTE(INDIRECT("C"&amp;ROW()), ":", "")</f>
        <v/>
      </c>
    </row>
    <row r="653" spans="13:13" x14ac:dyDescent="0.25">
      <c r="M653" t="str" cm="1">
        <f t="array" aca="1" ref="M653" ca="1">SUBSTITUTE(INDIRECT("C"&amp;ROW()), ":", "")</f>
        <v/>
      </c>
    </row>
    <row r="654" spans="13:13" x14ac:dyDescent="0.25">
      <c r="M654" t="str" cm="1">
        <f t="array" aca="1" ref="M654" ca="1">SUBSTITUTE(INDIRECT("C"&amp;ROW()), ":", "")</f>
        <v/>
      </c>
    </row>
    <row r="655" spans="13:13" x14ac:dyDescent="0.25">
      <c r="M655" t="str" cm="1">
        <f t="array" aca="1" ref="M655" ca="1">SUBSTITUTE(INDIRECT("C"&amp;ROW()), ":", "")</f>
        <v/>
      </c>
    </row>
    <row r="656" spans="13:13" x14ac:dyDescent="0.25">
      <c r="M656" t="str" cm="1">
        <f t="array" aca="1" ref="M656" ca="1">SUBSTITUTE(INDIRECT("C"&amp;ROW()), ":", "")</f>
        <v/>
      </c>
    </row>
    <row r="657" spans="13:13" x14ac:dyDescent="0.25">
      <c r="M657" t="str" cm="1">
        <f t="array" aca="1" ref="M657" ca="1">SUBSTITUTE(INDIRECT("C"&amp;ROW()), ":", "")</f>
        <v/>
      </c>
    </row>
    <row r="658" spans="13:13" x14ac:dyDescent="0.25">
      <c r="M658" t="str" cm="1">
        <f t="array" aca="1" ref="M658" ca="1">SUBSTITUTE(INDIRECT("C"&amp;ROW()), ":", "")</f>
        <v/>
      </c>
    </row>
    <row r="659" spans="13:13" x14ac:dyDescent="0.25">
      <c r="M659" t="str" cm="1">
        <f t="array" aca="1" ref="M659" ca="1">SUBSTITUTE(INDIRECT("C"&amp;ROW()), ":", "")</f>
        <v/>
      </c>
    </row>
    <row r="660" spans="13:13" x14ac:dyDescent="0.25">
      <c r="M660" t="str" cm="1">
        <f t="array" aca="1" ref="M660" ca="1">SUBSTITUTE(INDIRECT("C"&amp;ROW()), ":", "")</f>
        <v/>
      </c>
    </row>
    <row r="661" spans="13:13" x14ac:dyDescent="0.25">
      <c r="M661" t="str" cm="1">
        <f t="array" aca="1" ref="M661" ca="1">SUBSTITUTE(INDIRECT("C"&amp;ROW()), ":", "")</f>
        <v/>
      </c>
    </row>
    <row r="662" spans="13:13" x14ac:dyDescent="0.25">
      <c r="M662" t="str" cm="1">
        <f t="array" aca="1" ref="M662" ca="1">SUBSTITUTE(INDIRECT("C"&amp;ROW()), ":", "")</f>
        <v/>
      </c>
    </row>
    <row r="663" spans="13:13" x14ac:dyDescent="0.25">
      <c r="M663" t="str" cm="1">
        <f t="array" aca="1" ref="M663" ca="1">SUBSTITUTE(INDIRECT("C"&amp;ROW()), ":", "")</f>
        <v/>
      </c>
    </row>
    <row r="664" spans="13:13" x14ac:dyDescent="0.25">
      <c r="M664" t="str" cm="1">
        <f t="array" aca="1" ref="M664" ca="1">SUBSTITUTE(INDIRECT("C"&amp;ROW()), ":", "")</f>
        <v/>
      </c>
    </row>
    <row r="665" spans="13:13" x14ac:dyDescent="0.25">
      <c r="M665" t="str" cm="1">
        <f t="array" aca="1" ref="M665" ca="1">SUBSTITUTE(INDIRECT("C"&amp;ROW()), ":", "")</f>
        <v/>
      </c>
    </row>
    <row r="666" spans="13:13" x14ac:dyDescent="0.25">
      <c r="M666" t="str" cm="1">
        <f t="array" aca="1" ref="M666" ca="1">SUBSTITUTE(INDIRECT("C"&amp;ROW()), ":", "")</f>
        <v/>
      </c>
    </row>
    <row r="667" spans="13:13" x14ac:dyDescent="0.25">
      <c r="M667" t="str" cm="1">
        <f t="array" aca="1" ref="M667" ca="1">SUBSTITUTE(INDIRECT("C"&amp;ROW()), ":", "")</f>
        <v/>
      </c>
    </row>
    <row r="668" spans="13:13" x14ac:dyDescent="0.25">
      <c r="M668" t="str" cm="1">
        <f t="array" aca="1" ref="M668" ca="1">SUBSTITUTE(INDIRECT("C"&amp;ROW()), ":", "")</f>
        <v/>
      </c>
    </row>
    <row r="669" spans="13:13" x14ac:dyDescent="0.25">
      <c r="M669" t="str" cm="1">
        <f t="array" aca="1" ref="M669" ca="1">SUBSTITUTE(INDIRECT("C"&amp;ROW()), ":", "")</f>
        <v/>
      </c>
    </row>
    <row r="670" spans="13:13" x14ac:dyDescent="0.25">
      <c r="M670" t="str" cm="1">
        <f t="array" aca="1" ref="M670" ca="1">SUBSTITUTE(INDIRECT("C"&amp;ROW()), ":", "")</f>
        <v/>
      </c>
    </row>
    <row r="671" spans="13:13" x14ac:dyDescent="0.25">
      <c r="M671" t="str" cm="1">
        <f t="array" aca="1" ref="M671" ca="1">SUBSTITUTE(INDIRECT("C"&amp;ROW()), ":", "")</f>
        <v/>
      </c>
    </row>
    <row r="672" spans="13:13" x14ac:dyDescent="0.25">
      <c r="M672" t="str" cm="1">
        <f t="array" aca="1" ref="M672" ca="1">SUBSTITUTE(INDIRECT("C"&amp;ROW()), ":", "")</f>
        <v/>
      </c>
    </row>
    <row r="673" spans="13:13" x14ac:dyDescent="0.25">
      <c r="M673" t="str" cm="1">
        <f t="array" aca="1" ref="M673" ca="1">SUBSTITUTE(INDIRECT("C"&amp;ROW()), ":", "")</f>
        <v/>
      </c>
    </row>
    <row r="674" spans="13:13" x14ac:dyDescent="0.25">
      <c r="M674" t="str" cm="1">
        <f t="array" aca="1" ref="M674" ca="1">SUBSTITUTE(INDIRECT("C"&amp;ROW()), ":", "")</f>
        <v/>
      </c>
    </row>
    <row r="675" spans="13:13" x14ac:dyDescent="0.25">
      <c r="M675" t="str" cm="1">
        <f t="array" aca="1" ref="M675" ca="1">SUBSTITUTE(INDIRECT("C"&amp;ROW()), ":", "")</f>
        <v/>
      </c>
    </row>
    <row r="676" spans="13:13" x14ac:dyDescent="0.25">
      <c r="M676" t="str" cm="1">
        <f t="array" aca="1" ref="M676" ca="1">SUBSTITUTE(INDIRECT("C"&amp;ROW()), ":", "")</f>
        <v/>
      </c>
    </row>
    <row r="677" spans="13:13" x14ac:dyDescent="0.25">
      <c r="M677" t="str" cm="1">
        <f t="array" aca="1" ref="M677" ca="1">SUBSTITUTE(INDIRECT("C"&amp;ROW()), ":", "")</f>
        <v/>
      </c>
    </row>
    <row r="678" spans="13:13" x14ac:dyDescent="0.25">
      <c r="M678" t="str" cm="1">
        <f t="array" aca="1" ref="M678" ca="1">SUBSTITUTE(INDIRECT("C"&amp;ROW()), ":", "")</f>
        <v/>
      </c>
    </row>
    <row r="679" spans="13:13" x14ac:dyDescent="0.25">
      <c r="M679" t="str" cm="1">
        <f t="array" aca="1" ref="M679" ca="1">SUBSTITUTE(INDIRECT("C"&amp;ROW()), ":", "")</f>
        <v/>
      </c>
    </row>
    <row r="680" spans="13:13" x14ac:dyDescent="0.25">
      <c r="M680" t="str" cm="1">
        <f t="array" aca="1" ref="M680" ca="1">SUBSTITUTE(INDIRECT("C"&amp;ROW()), ":", "")</f>
        <v/>
      </c>
    </row>
    <row r="681" spans="13:13" x14ac:dyDescent="0.25">
      <c r="M681" t="str" cm="1">
        <f t="array" aca="1" ref="M681" ca="1">SUBSTITUTE(INDIRECT("C"&amp;ROW()), ":", "")</f>
        <v/>
      </c>
    </row>
    <row r="682" spans="13:13" x14ac:dyDescent="0.25">
      <c r="M682" t="str" cm="1">
        <f t="array" aca="1" ref="M682" ca="1">SUBSTITUTE(INDIRECT("C"&amp;ROW()), ":", "")</f>
        <v/>
      </c>
    </row>
    <row r="683" spans="13:13" x14ac:dyDescent="0.25">
      <c r="M683" t="str" cm="1">
        <f t="array" aca="1" ref="M683" ca="1">SUBSTITUTE(INDIRECT("C"&amp;ROW()), ":", "")</f>
        <v/>
      </c>
    </row>
    <row r="684" spans="13:13" x14ac:dyDescent="0.25">
      <c r="M684" t="str" cm="1">
        <f t="array" aca="1" ref="M684" ca="1">SUBSTITUTE(INDIRECT("C"&amp;ROW()), ":", "")</f>
        <v/>
      </c>
    </row>
    <row r="685" spans="13:13" x14ac:dyDescent="0.25">
      <c r="M685" t="str" cm="1">
        <f t="array" aca="1" ref="M685" ca="1">SUBSTITUTE(INDIRECT("C"&amp;ROW()), ":", "")</f>
        <v/>
      </c>
    </row>
    <row r="686" spans="13:13" x14ac:dyDescent="0.25">
      <c r="M686" t="str" cm="1">
        <f t="array" aca="1" ref="M686" ca="1">SUBSTITUTE(INDIRECT("C"&amp;ROW()), ":", "")</f>
        <v/>
      </c>
    </row>
    <row r="687" spans="13:13" x14ac:dyDescent="0.25">
      <c r="M687" t="str" cm="1">
        <f t="array" aca="1" ref="M687" ca="1">SUBSTITUTE(INDIRECT("C"&amp;ROW()), ":", "")</f>
        <v/>
      </c>
    </row>
    <row r="688" spans="13:13" x14ac:dyDescent="0.25">
      <c r="M688" t="str" cm="1">
        <f t="array" aca="1" ref="M688" ca="1">SUBSTITUTE(INDIRECT("C"&amp;ROW()), ":", "")</f>
        <v/>
      </c>
    </row>
    <row r="689" spans="13:13" x14ac:dyDescent="0.25">
      <c r="M689" t="str" cm="1">
        <f t="array" aca="1" ref="M689" ca="1">SUBSTITUTE(INDIRECT("C"&amp;ROW()), ":", "")</f>
        <v/>
      </c>
    </row>
    <row r="690" spans="13:13" x14ac:dyDescent="0.25">
      <c r="M690" t="str" cm="1">
        <f t="array" aca="1" ref="M690" ca="1">SUBSTITUTE(INDIRECT("C"&amp;ROW()), ":", "")</f>
        <v/>
      </c>
    </row>
    <row r="691" spans="13:13" x14ac:dyDescent="0.25">
      <c r="M691" t="str" cm="1">
        <f t="array" aca="1" ref="M691" ca="1">SUBSTITUTE(INDIRECT("C"&amp;ROW()), ":", "")</f>
        <v/>
      </c>
    </row>
    <row r="692" spans="13:13" x14ac:dyDescent="0.25">
      <c r="M692" t="str" cm="1">
        <f t="array" aca="1" ref="M692" ca="1">SUBSTITUTE(INDIRECT("C"&amp;ROW()), ":", "")</f>
        <v/>
      </c>
    </row>
    <row r="693" spans="13:13" x14ac:dyDescent="0.25">
      <c r="M693" t="str" cm="1">
        <f t="array" aca="1" ref="M693" ca="1">SUBSTITUTE(INDIRECT("C"&amp;ROW()), ":", "")</f>
        <v/>
      </c>
    </row>
    <row r="694" spans="13:13" x14ac:dyDescent="0.25">
      <c r="M694" t="str" cm="1">
        <f t="array" aca="1" ref="M694" ca="1">SUBSTITUTE(INDIRECT("C"&amp;ROW()), ":", "")</f>
        <v/>
      </c>
    </row>
    <row r="695" spans="13:13" x14ac:dyDescent="0.25">
      <c r="M695" t="str" cm="1">
        <f t="array" aca="1" ref="M695" ca="1">SUBSTITUTE(INDIRECT("C"&amp;ROW()), ":", "")</f>
        <v/>
      </c>
    </row>
    <row r="696" spans="13:13" x14ac:dyDescent="0.25">
      <c r="M696" t="str" cm="1">
        <f t="array" aca="1" ref="M696" ca="1">SUBSTITUTE(INDIRECT("C"&amp;ROW()), ":", "")</f>
        <v/>
      </c>
    </row>
    <row r="697" spans="13:13" x14ac:dyDescent="0.25">
      <c r="M697" t="str" cm="1">
        <f t="array" aca="1" ref="M697" ca="1">SUBSTITUTE(INDIRECT("C"&amp;ROW()), ":", "")</f>
        <v/>
      </c>
    </row>
    <row r="698" spans="13:13" x14ac:dyDescent="0.25">
      <c r="M698" t="str" cm="1">
        <f t="array" aca="1" ref="M698" ca="1">SUBSTITUTE(INDIRECT("C"&amp;ROW()), ":", "")</f>
        <v/>
      </c>
    </row>
    <row r="699" spans="13:13" x14ac:dyDescent="0.25">
      <c r="M699" t="str" cm="1">
        <f t="array" aca="1" ref="M699" ca="1">SUBSTITUTE(INDIRECT("C"&amp;ROW()), ":", "")</f>
        <v/>
      </c>
    </row>
    <row r="700" spans="13:13" x14ac:dyDescent="0.25">
      <c r="M700" t="str" cm="1">
        <f t="array" aca="1" ref="M700" ca="1">SUBSTITUTE(INDIRECT("C"&amp;ROW()), ":", "")</f>
        <v/>
      </c>
    </row>
  </sheetData>
  <autoFilter ref="A1:E430" xr:uid="{AF2E67D7-A828-4D63-BFE6-E916F295DCA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6723-DB9E-40F8-826F-C7B332A34555}">
  <sheetPr codeName="Sheet4" filterMode="1"/>
  <dimension ref="A1:G63"/>
  <sheetViews>
    <sheetView workbookViewId="0">
      <selection activeCell="D32" sqref="D32"/>
    </sheetView>
  </sheetViews>
  <sheetFormatPr defaultRowHeight="15" x14ac:dyDescent="0.25"/>
  <sheetData>
    <row r="1" spans="1:7" x14ac:dyDescent="0.25">
      <c r="A1" t="s">
        <v>337</v>
      </c>
      <c r="B1" t="s">
        <v>338</v>
      </c>
      <c r="C1" t="s">
        <v>339</v>
      </c>
      <c r="D1" t="s">
        <v>340</v>
      </c>
      <c r="E1" t="s">
        <v>341</v>
      </c>
      <c r="F1" t="s">
        <v>342</v>
      </c>
      <c r="G1" t="s">
        <v>343</v>
      </c>
    </row>
    <row r="2" spans="1:7" x14ac:dyDescent="0.25">
      <c r="A2" t="s">
        <v>344</v>
      </c>
      <c r="B2" t="s">
        <v>345</v>
      </c>
      <c r="C2" t="s">
        <v>215</v>
      </c>
      <c r="D2" t="s">
        <v>346</v>
      </c>
      <c r="E2" t="s">
        <v>347</v>
      </c>
      <c r="F2" t="s">
        <v>346</v>
      </c>
      <c r="G2" t="s">
        <v>348</v>
      </c>
    </row>
    <row r="3" spans="1:7" x14ac:dyDescent="0.25">
      <c r="A3" t="s">
        <v>344</v>
      </c>
      <c r="B3" t="s">
        <v>345</v>
      </c>
      <c r="C3" t="s">
        <v>215</v>
      </c>
      <c r="D3" t="s">
        <v>349</v>
      </c>
      <c r="E3" t="s">
        <v>350</v>
      </c>
      <c r="F3" t="s">
        <v>351</v>
      </c>
      <c r="G3" t="s">
        <v>352</v>
      </c>
    </row>
    <row r="4" spans="1:7" x14ac:dyDescent="0.25">
      <c r="A4" t="s">
        <v>344</v>
      </c>
      <c r="B4" t="s">
        <v>345</v>
      </c>
      <c r="C4" t="s">
        <v>215</v>
      </c>
      <c r="D4" t="s">
        <v>353</v>
      </c>
      <c r="E4" t="s">
        <v>354</v>
      </c>
      <c r="F4" t="s">
        <v>355</v>
      </c>
      <c r="G4" t="s">
        <v>352</v>
      </c>
    </row>
    <row r="5" spans="1:7" x14ac:dyDescent="0.25">
      <c r="A5" t="s">
        <v>344</v>
      </c>
      <c r="B5" t="s">
        <v>345</v>
      </c>
      <c r="C5" t="s">
        <v>215</v>
      </c>
      <c r="D5" t="s">
        <v>356</v>
      </c>
      <c r="E5" t="s">
        <v>357</v>
      </c>
      <c r="F5" t="s">
        <v>358</v>
      </c>
      <c r="G5" t="s">
        <v>348</v>
      </c>
    </row>
    <row r="6" spans="1:7" x14ac:dyDescent="0.25">
      <c r="A6" t="s">
        <v>344</v>
      </c>
      <c r="B6" t="s">
        <v>345</v>
      </c>
      <c r="C6" t="s">
        <v>215</v>
      </c>
      <c r="D6" t="s">
        <v>359</v>
      </c>
      <c r="E6" t="s">
        <v>360</v>
      </c>
      <c r="F6" t="s">
        <v>361</v>
      </c>
      <c r="G6" t="s">
        <v>348</v>
      </c>
    </row>
    <row r="7" spans="1:7" x14ac:dyDescent="0.25">
      <c r="A7" t="s">
        <v>344</v>
      </c>
      <c r="B7" t="s">
        <v>345</v>
      </c>
      <c r="C7" t="s">
        <v>215</v>
      </c>
      <c r="D7" t="s">
        <v>362</v>
      </c>
      <c r="E7" t="s">
        <v>363</v>
      </c>
      <c r="F7" t="s">
        <v>364</v>
      </c>
      <c r="G7" t="s">
        <v>348</v>
      </c>
    </row>
    <row r="8" spans="1:7" x14ac:dyDescent="0.25">
      <c r="A8" t="s">
        <v>344</v>
      </c>
      <c r="B8" t="s">
        <v>345</v>
      </c>
      <c r="C8" t="s">
        <v>215</v>
      </c>
      <c r="D8" t="s">
        <v>365</v>
      </c>
      <c r="E8" t="s">
        <v>366</v>
      </c>
      <c r="F8" t="s">
        <v>367</v>
      </c>
      <c r="G8" t="s">
        <v>368</v>
      </c>
    </row>
    <row r="9" spans="1:7" x14ac:dyDescent="0.25">
      <c r="A9" t="s">
        <v>344</v>
      </c>
      <c r="B9" t="s">
        <v>345</v>
      </c>
      <c r="C9" t="s">
        <v>215</v>
      </c>
      <c r="D9" t="s">
        <v>369</v>
      </c>
      <c r="E9" t="s">
        <v>370</v>
      </c>
      <c r="F9" t="s">
        <v>371</v>
      </c>
      <c r="G9" t="s">
        <v>348</v>
      </c>
    </row>
    <row r="10" spans="1:7" x14ac:dyDescent="0.25">
      <c r="A10" t="s">
        <v>344</v>
      </c>
      <c r="B10" t="s">
        <v>345</v>
      </c>
      <c r="C10" t="s">
        <v>215</v>
      </c>
      <c r="D10" t="s">
        <v>372</v>
      </c>
      <c r="E10" t="s">
        <v>373</v>
      </c>
      <c r="G10" t="s">
        <v>368</v>
      </c>
    </row>
    <row r="11" spans="1:7" x14ac:dyDescent="0.25">
      <c r="A11" t="s">
        <v>344</v>
      </c>
      <c r="B11" t="s">
        <v>345</v>
      </c>
      <c r="C11" t="s">
        <v>215</v>
      </c>
      <c r="D11" t="s">
        <v>374</v>
      </c>
      <c r="E11" t="s">
        <v>375</v>
      </c>
      <c r="F11" t="s">
        <v>376</v>
      </c>
      <c r="G11" t="s">
        <v>368</v>
      </c>
    </row>
    <row r="12" spans="1:7" x14ac:dyDescent="0.25">
      <c r="A12" t="s">
        <v>344</v>
      </c>
      <c r="B12" t="s">
        <v>345</v>
      </c>
      <c r="C12" t="s">
        <v>215</v>
      </c>
      <c r="D12" t="s">
        <v>377</v>
      </c>
      <c r="E12" t="s">
        <v>378</v>
      </c>
      <c r="F12" t="s">
        <v>379</v>
      </c>
      <c r="G12" t="s">
        <v>348</v>
      </c>
    </row>
    <row r="13" spans="1:7" x14ac:dyDescent="0.25">
      <c r="A13" t="s">
        <v>344</v>
      </c>
      <c r="B13" t="s">
        <v>345</v>
      </c>
      <c r="C13" t="s">
        <v>215</v>
      </c>
      <c r="D13" t="s">
        <v>380</v>
      </c>
      <c r="E13" t="s">
        <v>381</v>
      </c>
      <c r="F13" t="s">
        <v>382</v>
      </c>
      <c r="G13" t="s">
        <v>368</v>
      </c>
    </row>
    <row r="14" spans="1:7" x14ac:dyDescent="0.25">
      <c r="A14" t="s">
        <v>344</v>
      </c>
      <c r="B14" t="s">
        <v>345</v>
      </c>
      <c r="C14" t="s">
        <v>215</v>
      </c>
      <c r="D14" t="s">
        <v>383</v>
      </c>
      <c r="E14" t="s">
        <v>384</v>
      </c>
      <c r="F14" t="s">
        <v>385</v>
      </c>
      <c r="G14" t="s">
        <v>368</v>
      </c>
    </row>
    <row r="15" spans="1:7" x14ac:dyDescent="0.25">
      <c r="A15" t="s">
        <v>344</v>
      </c>
      <c r="B15" t="s">
        <v>345</v>
      </c>
      <c r="C15" t="s">
        <v>215</v>
      </c>
      <c r="D15" t="s">
        <v>386</v>
      </c>
      <c r="E15" t="s">
        <v>387</v>
      </c>
      <c r="F15" t="s">
        <v>388</v>
      </c>
      <c r="G15" t="s">
        <v>348</v>
      </c>
    </row>
    <row r="16" spans="1:7" x14ac:dyDescent="0.25">
      <c r="A16" t="s">
        <v>344</v>
      </c>
      <c r="B16" t="s">
        <v>345</v>
      </c>
      <c r="C16" t="s">
        <v>215</v>
      </c>
      <c r="D16" t="s">
        <v>389</v>
      </c>
      <c r="E16" t="s">
        <v>390</v>
      </c>
      <c r="F16" t="s">
        <v>391</v>
      </c>
      <c r="G16" t="s">
        <v>368</v>
      </c>
    </row>
    <row r="17" spans="1:7" x14ac:dyDescent="0.25">
      <c r="A17" t="s">
        <v>344</v>
      </c>
      <c r="B17" t="s">
        <v>345</v>
      </c>
      <c r="C17" t="s">
        <v>215</v>
      </c>
      <c r="D17" t="s">
        <v>392</v>
      </c>
      <c r="E17" t="s">
        <v>393</v>
      </c>
      <c r="F17" t="s">
        <v>392</v>
      </c>
      <c r="G17" t="s">
        <v>348</v>
      </c>
    </row>
    <row r="18" spans="1:7" x14ac:dyDescent="0.25">
      <c r="A18" t="s">
        <v>344</v>
      </c>
      <c r="B18" t="s">
        <v>345</v>
      </c>
      <c r="C18" t="s">
        <v>215</v>
      </c>
      <c r="D18" t="s">
        <v>394</v>
      </c>
      <c r="E18" t="s">
        <v>395</v>
      </c>
      <c r="F18" t="s">
        <v>396</v>
      </c>
      <c r="G18" t="s">
        <v>348</v>
      </c>
    </row>
    <row r="19" spans="1:7" x14ac:dyDescent="0.25">
      <c r="A19" t="s">
        <v>344</v>
      </c>
      <c r="B19" t="s">
        <v>345</v>
      </c>
      <c r="C19" t="s">
        <v>215</v>
      </c>
      <c r="D19" t="s">
        <v>397</v>
      </c>
      <c r="E19" t="s">
        <v>398</v>
      </c>
      <c r="F19" t="s">
        <v>399</v>
      </c>
      <c r="G19" t="s">
        <v>348</v>
      </c>
    </row>
    <row r="20" spans="1:7" x14ac:dyDescent="0.25">
      <c r="A20" t="s">
        <v>344</v>
      </c>
      <c r="B20" t="s">
        <v>345</v>
      </c>
      <c r="C20" t="s">
        <v>215</v>
      </c>
      <c r="D20" t="s">
        <v>400</v>
      </c>
      <c r="E20" t="s">
        <v>401</v>
      </c>
      <c r="F20" t="s">
        <v>402</v>
      </c>
      <c r="G20" t="s">
        <v>348</v>
      </c>
    </row>
    <row r="21" spans="1:7" x14ac:dyDescent="0.25">
      <c r="A21" t="s">
        <v>344</v>
      </c>
      <c r="B21" t="s">
        <v>345</v>
      </c>
      <c r="C21" t="s">
        <v>215</v>
      </c>
      <c r="D21" t="s">
        <v>403</v>
      </c>
      <c r="E21" t="s">
        <v>404</v>
      </c>
      <c r="F21" t="s">
        <v>405</v>
      </c>
      <c r="G21" t="s">
        <v>348</v>
      </c>
    </row>
    <row r="22" spans="1:7" x14ac:dyDescent="0.25">
      <c r="A22" t="s">
        <v>344</v>
      </c>
      <c r="B22" t="s">
        <v>345</v>
      </c>
      <c r="C22" t="s">
        <v>215</v>
      </c>
      <c r="D22" t="s">
        <v>406</v>
      </c>
      <c r="E22" t="s">
        <v>407</v>
      </c>
      <c r="F22" t="s">
        <v>408</v>
      </c>
      <c r="G22" t="s">
        <v>409</v>
      </c>
    </row>
    <row r="23" spans="1:7" x14ac:dyDescent="0.25">
      <c r="A23" t="s">
        <v>344</v>
      </c>
      <c r="B23" t="s">
        <v>345</v>
      </c>
      <c r="C23" t="s">
        <v>215</v>
      </c>
      <c r="D23" t="s">
        <v>480</v>
      </c>
      <c r="E23" t="s">
        <v>481</v>
      </c>
      <c r="F23" t="s">
        <v>482</v>
      </c>
      <c r="G23" t="s">
        <v>348</v>
      </c>
    </row>
    <row r="24" spans="1:7" x14ac:dyDescent="0.25">
      <c r="A24" t="s">
        <v>344</v>
      </c>
      <c r="B24" t="s">
        <v>345</v>
      </c>
      <c r="C24" t="s">
        <v>215</v>
      </c>
      <c r="D24" t="s">
        <v>483</v>
      </c>
      <c r="E24" t="s">
        <v>484</v>
      </c>
      <c r="F24" t="s">
        <v>485</v>
      </c>
      <c r="G24" t="s">
        <v>348</v>
      </c>
    </row>
    <row r="25" spans="1:7" x14ac:dyDescent="0.25">
      <c r="A25" t="s">
        <v>344</v>
      </c>
      <c r="B25" t="s">
        <v>345</v>
      </c>
      <c r="C25" t="s">
        <v>215</v>
      </c>
      <c r="D25" t="s">
        <v>410</v>
      </c>
      <c r="E25" t="s">
        <v>411</v>
      </c>
      <c r="G25" t="s">
        <v>409</v>
      </c>
    </row>
    <row r="26" spans="1:7" x14ac:dyDescent="0.25">
      <c r="A26" t="s">
        <v>344</v>
      </c>
      <c r="B26" t="s">
        <v>345</v>
      </c>
      <c r="C26" t="s">
        <v>215</v>
      </c>
      <c r="D26" t="s">
        <v>486</v>
      </c>
      <c r="E26" t="s">
        <v>487</v>
      </c>
      <c r="F26" t="s">
        <v>488</v>
      </c>
      <c r="G26" t="s">
        <v>348</v>
      </c>
    </row>
    <row r="27" spans="1:7" x14ac:dyDescent="0.25">
      <c r="A27" t="s">
        <v>344</v>
      </c>
      <c r="B27" t="s">
        <v>345</v>
      </c>
      <c r="C27" t="s">
        <v>215</v>
      </c>
      <c r="D27" t="s">
        <v>412</v>
      </c>
      <c r="E27" t="s">
        <v>489</v>
      </c>
      <c r="G27" t="s">
        <v>348</v>
      </c>
    </row>
    <row r="28" spans="1:7" x14ac:dyDescent="0.25">
      <c r="A28" t="s">
        <v>344</v>
      </c>
      <c r="B28" t="s">
        <v>345</v>
      </c>
      <c r="C28" t="s">
        <v>215</v>
      </c>
      <c r="D28" t="s">
        <v>490</v>
      </c>
      <c r="E28" t="s">
        <v>491</v>
      </c>
      <c r="F28" t="s">
        <v>490</v>
      </c>
      <c r="G28" t="s">
        <v>348</v>
      </c>
    </row>
    <row r="29" spans="1:7" x14ac:dyDescent="0.25">
      <c r="A29" t="s">
        <v>344</v>
      </c>
      <c r="B29" t="s">
        <v>345</v>
      </c>
      <c r="C29" t="s">
        <v>215</v>
      </c>
      <c r="D29" t="s">
        <v>492</v>
      </c>
      <c r="E29" t="s">
        <v>493</v>
      </c>
      <c r="F29" t="s">
        <v>494</v>
      </c>
      <c r="G29" t="s">
        <v>348</v>
      </c>
    </row>
    <row r="30" spans="1:7" x14ac:dyDescent="0.25">
      <c r="A30" t="s">
        <v>344</v>
      </c>
      <c r="B30" t="s">
        <v>345</v>
      </c>
      <c r="C30" t="s">
        <v>215</v>
      </c>
      <c r="D30" t="s">
        <v>495</v>
      </c>
      <c r="E30" t="s">
        <v>496</v>
      </c>
      <c r="G30" t="s">
        <v>474</v>
      </c>
    </row>
    <row r="31" spans="1:7" x14ac:dyDescent="0.25">
      <c r="A31" t="s">
        <v>344</v>
      </c>
      <c r="B31" t="s">
        <v>345</v>
      </c>
      <c r="C31" t="s">
        <v>215</v>
      </c>
      <c r="D31" t="s">
        <v>497</v>
      </c>
      <c r="E31" t="s">
        <v>498</v>
      </c>
      <c r="F31" t="s">
        <v>499</v>
      </c>
      <c r="G31" t="s">
        <v>348</v>
      </c>
    </row>
    <row r="32" spans="1:7" x14ac:dyDescent="0.25">
      <c r="A32" t="s">
        <v>344</v>
      </c>
      <c r="B32" t="s">
        <v>345</v>
      </c>
      <c r="C32" t="s">
        <v>215</v>
      </c>
      <c r="D32" t="s">
        <v>502</v>
      </c>
      <c r="E32" t="s">
        <v>503</v>
      </c>
      <c r="F32" t="s">
        <v>504</v>
      </c>
      <c r="G32" t="s">
        <v>348</v>
      </c>
    </row>
    <row r="33" spans="1:7" x14ac:dyDescent="0.25">
      <c r="A33" t="s">
        <v>344</v>
      </c>
      <c r="B33" t="s">
        <v>345</v>
      </c>
      <c r="C33" t="s">
        <v>215</v>
      </c>
      <c r="D33" t="s">
        <v>505</v>
      </c>
      <c r="E33" t="s">
        <v>506</v>
      </c>
      <c r="F33" t="s">
        <v>507</v>
      </c>
      <c r="G33" t="s">
        <v>348</v>
      </c>
    </row>
    <row r="34" spans="1:7" x14ac:dyDescent="0.25">
      <c r="A34" t="s">
        <v>344</v>
      </c>
      <c r="B34" t="s">
        <v>345</v>
      </c>
      <c r="C34" t="s">
        <v>215</v>
      </c>
      <c r="D34" t="s">
        <v>475</v>
      </c>
      <c r="E34" t="s">
        <v>476</v>
      </c>
      <c r="G34" t="s">
        <v>474</v>
      </c>
    </row>
    <row r="35" spans="1:7" x14ac:dyDescent="0.25">
      <c r="A35" t="s">
        <v>344</v>
      </c>
      <c r="B35" t="s">
        <v>345</v>
      </c>
      <c r="C35" t="s">
        <v>215</v>
      </c>
      <c r="D35" t="s">
        <v>477</v>
      </c>
      <c r="E35" t="s">
        <v>478</v>
      </c>
      <c r="G35" t="s">
        <v>474</v>
      </c>
    </row>
    <row r="36" spans="1:7" x14ac:dyDescent="0.25">
      <c r="A36" t="s">
        <v>344</v>
      </c>
      <c r="B36" t="s">
        <v>345</v>
      </c>
      <c r="C36" t="s">
        <v>215</v>
      </c>
      <c r="D36" t="s">
        <v>508</v>
      </c>
      <c r="E36" t="s">
        <v>509</v>
      </c>
      <c r="F36" t="s">
        <v>508</v>
      </c>
      <c r="G36" t="s">
        <v>348</v>
      </c>
    </row>
    <row r="37" spans="1:7" x14ac:dyDescent="0.25">
      <c r="A37" t="s">
        <v>344</v>
      </c>
      <c r="B37" t="s">
        <v>345</v>
      </c>
      <c r="C37" t="s">
        <v>215</v>
      </c>
      <c r="D37" t="s">
        <v>413</v>
      </c>
      <c r="E37" t="s">
        <v>414</v>
      </c>
      <c r="F37" t="s">
        <v>413</v>
      </c>
      <c r="G37" t="s">
        <v>348</v>
      </c>
    </row>
    <row r="38" spans="1:7" x14ac:dyDescent="0.25">
      <c r="A38" t="s">
        <v>344</v>
      </c>
      <c r="B38" t="s">
        <v>345</v>
      </c>
      <c r="C38" t="s">
        <v>215</v>
      </c>
      <c r="D38" t="s">
        <v>415</v>
      </c>
      <c r="E38" t="s">
        <v>416</v>
      </c>
      <c r="F38" t="s">
        <v>415</v>
      </c>
      <c r="G38" t="s">
        <v>348</v>
      </c>
    </row>
    <row r="39" spans="1:7" x14ac:dyDescent="0.25">
      <c r="A39" t="s">
        <v>344</v>
      </c>
      <c r="B39" t="s">
        <v>345</v>
      </c>
      <c r="C39" t="s">
        <v>215</v>
      </c>
      <c r="D39" t="s">
        <v>510</v>
      </c>
      <c r="E39" t="s">
        <v>511</v>
      </c>
      <c r="F39" t="s">
        <v>512</v>
      </c>
      <c r="G39" t="s">
        <v>348</v>
      </c>
    </row>
    <row r="40" spans="1:7" x14ac:dyDescent="0.25">
      <c r="A40" t="s">
        <v>344</v>
      </c>
      <c r="B40" t="s">
        <v>345</v>
      </c>
      <c r="C40" t="s">
        <v>215</v>
      </c>
      <c r="D40" t="s">
        <v>513</v>
      </c>
      <c r="E40" t="s">
        <v>514</v>
      </c>
      <c r="F40" t="s">
        <v>515</v>
      </c>
      <c r="G40" t="s">
        <v>348</v>
      </c>
    </row>
    <row r="41" spans="1:7" x14ac:dyDescent="0.25">
      <c r="A41" t="s">
        <v>344</v>
      </c>
      <c r="B41" t="s">
        <v>345</v>
      </c>
      <c r="C41" t="s">
        <v>215</v>
      </c>
      <c r="D41" t="s">
        <v>516</v>
      </c>
      <c r="E41" t="s">
        <v>517</v>
      </c>
      <c r="F41" t="s">
        <v>518</v>
      </c>
      <c r="G41" t="s">
        <v>348</v>
      </c>
    </row>
    <row r="42" spans="1:7" x14ac:dyDescent="0.25">
      <c r="A42" t="s">
        <v>344</v>
      </c>
      <c r="B42" t="s">
        <v>345</v>
      </c>
      <c r="C42" t="s">
        <v>215</v>
      </c>
      <c r="D42" t="s">
        <v>519</v>
      </c>
      <c r="E42" t="s">
        <v>520</v>
      </c>
      <c r="F42" t="s">
        <v>521</v>
      </c>
      <c r="G42" t="s">
        <v>348</v>
      </c>
    </row>
    <row r="43" spans="1:7" hidden="1" x14ac:dyDescent="0.25">
      <c r="A43" t="s">
        <v>344</v>
      </c>
      <c r="B43" t="s">
        <v>345</v>
      </c>
      <c r="C43" t="s">
        <v>63</v>
      </c>
      <c r="D43" t="s">
        <v>417</v>
      </c>
      <c r="E43" t="s">
        <v>418</v>
      </c>
      <c r="F43" t="s">
        <v>417</v>
      </c>
      <c r="G43" t="s">
        <v>368</v>
      </c>
    </row>
    <row r="44" spans="1:7" hidden="1" x14ac:dyDescent="0.25">
      <c r="A44" t="s">
        <v>344</v>
      </c>
      <c r="B44" t="s">
        <v>345</v>
      </c>
      <c r="C44" t="s">
        <v>63</v>
      </c>
      <c r="D44" t="s">
        <v>417</v>
      </c>
      <c r="E44" t="s">
        <v>418</v>
      </c>
      <c r="F44" t="s">
        <v>417</v>
      </c>
      <c r="G44" t="s">
        <v>368</v>
      </c>
    </row>
    <row r="45" spans="1:7" hidden="1" x14ac:dyDescent="0.25">
      <c r="A45" t="s">
        <v>344</v>
      </c>
      <c r="B45" t="s">
        <v>345</v>
      </c>
      <c r="C45" t="s">
        <v>63</v>
      </c>
      <c r="D45" t="s">
        <v>419</v>
      </c>
      <c r="E45" t="s">
        <v>420</v>
      </c>
      <c r="F45" t="s">
        <v>419</v>
      </c>
      <c r="G45" t="s">
        <v>348</v>
      </c>
    </row>
    <row r="46" spans="1:7" hidden="1" x14ac:dyDescent="0.25">
      <c r="A46" t="s">
        <v>344</v>
      </c>
      <c r="B46" t="s">
        <v>345</v>
      </c>
      <c r="C46" t="s">
        <v>63</v>
      </c>
      <c r="D46" t="s">
        <v>421</v>
      </c>
      <c r="E46" t="s">
        <v>422</v>
      </c>
      <c r="F46" t="s">
        <v>421</v>
      </c>
      <c r="G46" t="s">
        <v>348</v>
      </c>
    </row>
    <row r="47" spans="1:7" hidden="1" x14ac:dyDescent="0.25">
      <c r="A47" t="s">
        <v>344</v>
      </c>
      <c r="B47" t="s">
        <v>345</v>
      </c>
      <c r="C47" t="s">
        <v>63</v>
      </c>
      <c r="D47" t="s">
        <v>423</v>
      </c>
      <c r="E47" t="s">
        <v>424</v>
      </c>
      <c r="F47" t="s">
        <v>423</v>
      </c>
      <c r="G47" t="s">
        <v>348</v>
      </c>
    </row>
    <row r="48" spans="1:7" hidden="1" x14ac:dyDescent="0.25">
      <c r="A48" t="s">
        <v>344</v>
      </c>
      <c r="B48" t="s">
        <v>345</v>
      </c>
      <c r="C48" t="s">
        <v>63</v>
      </c>
      <c r="D48" t="s">
        <v>412</v>
      </c>
      <c r="E48" t="s">
        <v>425</v>
      </c>
      <c r="G48" t="s">
        <v>368</v>
      </c>
    </row>
    <row r="49" spans="1:7" hidden="1" x14ac:dyDescent="0.25">
      <c r="A49" t="s">
        <v>344</v>
      </c>
      <c r="B49" t="s">
        <v>345</v>
      </c>
      <c r="C49" t="s">
        <v>63</v>
      </c>
      <c r="D49" t="s">
        <v>426</v>
      </c>
      <c r="E49" t="s">
        <v>427</v>
      </c>
      <c r="F49" t="s">
        <v>426</v>
      </c>
      <c r="G49" t="s">
        <v>348</v>
      </c>
    </row>
    <row r="50" spans="1:7" hidden="1" x14ac:dyDescent="0.25">
      <c r="A50" t="s">
        <v>344</v>
      </c>
      <c r="B50" t="s">
        <v>345</v>
      </c>
      <c r="C50" t="s">
        <v>63</v>
      </c>
      <c r="D50" t="s">
        <v>428</v>
      </c>
      <c r="E50" t="s">
        <v>429</v>
      </c>
      <c r="F50" t="s">
        <v>428</v>
      </c>
      <c r="G50" t="s">
        <v>348</v>
      </c>
    </row>
    <row r="51" spans="1:7" hidden="1" x14ac:dyDescent="0.25">
      <c r="A51" t="s">
        <v>344</v>
      </c>
      <c r="B51" t="s">
        <v>345</v>
      </c>
      <c r="C51" t="s">
        <v>63</v>
      </c>
      <c r="D51" t="s">
        <v>430</v>
      </c>
      <c r="E51" t="s">
        <v>431</v>
      </c>
      <c r="F51" t="s">
        <v>430</v>
      </c>
      <c r="G51" t="s">
        <v>348</v>
      </c>
    </row>
    <row r="52" spans="1:7" hidden="1" x14ac:dyDescent="0.25">
      <c r="A52" t="s">
        <v>344</v>
      </c>
      <c r="B52" t="s">
        <v>345</v>
      </c>
      <c r="C52" t="s">
        <v>326</v>
      </c>
      <c r="D52" t="s">
        <v>386</v>
      </c>
      <c r="E52" t="s">
        <v>387</v>
      </c>
      <c r="F52" t="s">
        <v>388</v>
      </c>
      <c r="G52" t="s">
        <v>348</v>
      </c>
    </row>
    <row r="53" spans="1:7" hidden="1" x14ac:dyDescent="0.25">
      <c r="A53" t="s">
        <v>344</v>
      </c>
      <c r="B53" t="s">
        <v>345</v>
      </c>
      <c r="C53" t="s">
        <v>326</v>
      </c>
      <c r="D53" t="s">
        <v>392</v>
      </c>
      <c r="E53" t="s">
        <v>393</v>
      </c>
      <c r="F53" t="s">
        <v>392</v>
      </c>
      <c r="G53" t="s">
        <v>348</v>
      </c>
    </row>
    <row r="54" spans="1:7" hidden="1" x14ac:dyDescent="0.25">
      <c r="A54" t="s">
        <v>344</v>
      </c>
      <c r="B54" t="s">
        <v>345</v>
      </c>
      <c r="C54" t="s">
        <v>326</v>
      </c>
      <c r="D54" t="s">
        <v>406</v>
      </c>
      <c r="E54" t="s">
        <v>407</v>
      </c>
      <c r="F54" t="s">
        <v>408</v>
      </c>
      <c r="G54" t="s">
        <v>409</v>
      </c>
    </row>
    <row r="55" spans="1:7" hidden="1" x14ac:dyDescent="0.25">
      <c r="A55" t="s">
        <v>344</v>
      </c>
      <c r="B55" t="s">
        <v>345</v>
      </c>
      <c r="C55" t="s">
        <v>326</v>
      </c>
      <c r="D55" t="s">
        <v>410</v>
      </c>
      <c r="E55" t="s">
        <v>411</v>
      </c>
      <c r="F55" t="s">
        <v>432</v>
      </c>
      <c r="G55" t="s">
        <v>409</v>
      </c>
    </row>
    <row r="56" spans="1:7" hidden="1" x14ac:dyDescent="0.25">
      <c r="A56" t="s">
        <v>344</v>
      </c>
      <c r="B56" t="s">
        <v>345</v>
      </c>
      <c r="C56" t="s">
        <v>326</v>
      </c>
      <c r="D56" t="s">
        <v>475</v>
      </c>
      <c r="E56" t="s">
        <v>476</v>
      </c>
      <c r="G56" t="s">
        <v>474</v>
      </c>
    </row>
    <row r="57" spans="1:7" hidden="1" x14ac:dyDescent="0.25">
      <c r="A57" t="s">
        <v>344</v>
      </c>
      <c r="B57" t="s">
        <v>345</v>
      </c>
      <c r="C57" t="s">
        <v>326</v>
      </c>
      <c r="D57" t="s">
        <v>477</v>
      </c>
      <c r="E57" t="s">
        <v>478</v>
      </c>
      <c r="G57" t="s">
        <v>474</v>
      </c>
    </row>
    <row r="58" spans="1:7" hidden="1" x14ac:dyDescent="0.25">
      <c r="A58" t="s">
        <v>344</v>
      </c>
      <c r="B58" t="s">
        <v>345</v>
      </c>
      <c r="C58" t="s">
        <v>326</v>
      </c>
      <c r="D58" t="s">
        <v>413</v>
      </c>
      <c r="E58" t="s">
        <v>414</v>
      </c>
      <c r="F58" t="s">
        <v>413</v>
      </c>
      <c r="G58" t="s">
        <v>348</v>
      </c>
    </row>
    <row r="59" spans="1:7" hidden="1" x14ac:dyDescent="0.25">
      <c r="A59" t="s">
        <v>344</v>
      </c>
      <c r="B59" t="s">
        <v>345</v>
      </c>
      <c r="C59" t="s">
        <v>326</v>
      </c>
      <c r="D59" t="s">
        <v>415</v>
      </c>
      <c r="E59" t="s">
        <v>416</v>
      </c>
      <c r="F59" t="s">
        <v>415</v>
      </c>
      <c r="G59" t="s">
        <v>348</v>
      </c>
    </row>
    <row r="60" spans="1:7" hidden="1" x14ac:dyDescent="0.25">
      <c r="A60" t="s">
        <v>344</v>
      </c>
      <c r="B60" t="s">
        <v>345</v>
      </c>
      <c r="C60" t="s">
        <v>326</v>
      </c>
      <c r="D60" t="s">
        <v>406</v>
      </c>
      <c r="E60" t="s">
        <v>407</v>
      </c>
      <c r="F60" t="s">
        <v>408</v>
      </c>
      <c r="G60" t="s">
        <v>409</v>
      </c>
    </row>
    <row r="61" spans="1:7" hidden="1" x14ac:dyDescent="0.25">
      <c r="A61" t="s">
        <v>344</v>
      </c>
      <c r="B61" t="s">
        <v>345</v>
      </c>
      <c r="C61" t="s">
        <v>326</v>
      </c>
      <c r="D61" t="s">
        <v>410</v>
      </c>
      <c r="E61" t="s">
        <v>411</v>
      </c>
      <c r="F61" t="s">
        <v>432</v>
      </c>
      <c r="G61" t="s">
        <v>409</v>
      </c>
    </row>
    <row r="62" spans="1:7" hidden="1" x14ac:dyDescent="0.25">
      <c r="A62" t="s">
        <v>344</v>
      </c>
      <c r="B62" t="s">
        <v>345</v>
      </c>
      <c r="C62" t="s">
        <v>326</v>
      </c>
      <c r="D62" t="s">
        <v>413</v>
      </c>
      <c r="E62" t="s">
        <v>414</v>
      </c>
      <c r="F62" t="s">
        <v>413</v>
      </c>
      <c r="G62" t="s">
        <v>348</v>
      </c>
    </row>
    <row r="63" spans="1:7" hidden="1" x14ac:dyDescent="0.25">
      <c r="A63" t="s">
        <v>344</v>
      </c>
      <c r="B63" t="s">
        <v>345</v>
      </c>
      <c r="C63" t="s">
        <v>326</v>
      </c>
      <c r="D63" t="s">
        <v>415</v>
      </c>
      <c r="E63" t="s">
        <v>416</v>
      </c>
      <c r="F63" t="s">
        <v>415</v>
      </c>
      <c r="G63" t="s">
        <v>348</v>
      </c>
    </row>
  </sheetData>
  <autoFilter ref="A1:G63" xr:uid="{AAD46723-DB9E-40F8-826F-C7B332A34555}">
    <filterColumn colId="2">
      <filters>
        <filter val="Emblem S-ICD"/>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10D79-E808-4ED2-BFEC-A7CE852306A8}">
  <sheetPr codeName="Sheet5"/>
  <dimension ref="A1:P26"/>
  <sheetViews>
    <sheetView topLeftCell="O26" workbookViewId="0">
      <selection activeCell="I1" sqref="I1"/>
    </sheetView>
  </sheetViews>
  <sheetFormatPr defaultRowHeight="15" x14ac:dyDescent="0.25"/>
  <cols>
    <col min="4" max="4" width="12.7109375" bestFit="1" customWidth="1"/>
    <col min="6" max="6" width="41.5703125" bestFit="1" customWidth="1"/>
    <col min="9" max="9" width="25.140625" bestFit="1" customWidth="1"/>
    <col min="10" max="10" width="61" bestFit="1" customWidth="1"/>
    <col min="12" max="12" width="62.140625" bestFit="1" customWidth="1"/>
    <col min="13" max="13" width="20" hidden="1" customWidth="1"/>
    <col min="14" max="14" width="40.5703125" bestFit="1" customWidth="1"/>
  </cols>
  <sheetData>
    <row r="1" spans="1:16" x14ac:dyDescent="0.25">
      <c r="A1" t="s">
        <v>433</v>
      </c>
      <c r="B1" t="s">
        <v>215</v>
      </c>
      <c r="D1" t="s">
        <v>434</v>
      </c>
      <c r="F1" t="s">
        <v>435</v>
      </c>
      <c r="G1">
        <v>92186855</v>
      </c>
      <c r="I1" t="s">
        <v>436</v>
      </c>
      <c r="J1" t="s">
        <v>437</v>
      </c>
      <c r="L1" t="s">
        <v>438</v>
      </c>
      <c r="M1" s="1"/>
      <c r="N1" t="s">
        <v>469</v>
      </c>
      <c r="P1" t="s">
        <v>479</v>
      </c>
    </row>
    <row r="2" spans="1:16" x14ac:dyDescent="0.25">
      <c r="B2" t="s">
        <v>439</v>
      </c>
      <c r="D2" t="s">
        <v>440</v>
      </c>
      <c r="F2" t="s">
        <v>441</v>
      </c>
      <c r="G2">
        <v>92186854</v>
      </c>
      <c r="I2" t="s">
        <v>442</v>
      </c>
      <c r="J2" t="s">
        <v>443</v>
      </c>
      <c r="M2" t="s">
        <v>444</v>
      </c>
      <c r="N2" t="s">
        <v>473</v>
      </c>
      <c r="P2">
        <v>17417983</v>
      </c>
    </row>
    <row r="3" spans="1:16" x14ac:dyDescent="0.25">
      <c r="B3" t="s">
        <v>326</v>
      </c>
      <c r="D3" s="4" t="s">
        <v>445</v>
      </c>
      <c r="F3" t="s">
        <v>446</v>
      </c>
      <c r="G3">
        <v>92186865</v>
      </c>
      <c r="I3" t="s">
        <v>447</v>
      </c>
      <c r="J3" t="s">
        <v>448</v>
      </c>
      <c r="N3" t="s">
        <v>470</v>
      </c>
      <c r="P3">
        <v>17450998</v>
      </c>
    </row>
    <row r="4" spans="1:16" x14ac:dyDescent="0.25">
      <c r="B4" t="s">
        <v>449</v>
      </c>
      <c r="D4" t="s">
        <v>434</v>
      </c>
      <c r="F4" t="s">
        <v>450</v>
      </c>
      <c r="G4">
        <v>92204382</v>
      </c>
      <c r="I4" t="s">
        <v>451</v>
      </c>
      <c r="J4" t="s">
        <v>452</v>
      </c>
      <c r="N4" t="s">
        <v>471</v>
      </c>
      <c r="P4">
        <v>17450981</v>
      </c>
    </row>
    <row r="5" spans="1:16" x14ac:dyDescent="0.25">
      <c r="B5" t="s">
        <v>453</v>
      </c>
      <c r="D5" t="s">
        <v>501</v>
      </c>
      <c r="F5" t="s">
        <v>454</v>
      </c>
      <c r="G5">
        <v>92218966</v>
      </c>
      <c r="I5" t="s">
        <v>455</v>
      </c>
      <c r="J5" t="s">
        <v>456</v>
      </c>
      <c r="N5" t="s">
        <v>472</v>
      </c>
      <c r="P5">
        <v>17409621</v>
      </c>
    </row>
    <row r="6" spans="1:16" x14ac:dyDescent="0.25">
      <c r="F6" t="s">
        <v>457</v>
      </c>
      <c r="G6">
        <v>92201795</v>
      </c>
      <c r="I6" t="s">
        <v>458</v>
      </c>
      <c r="J6" t="s">
        <v>459</v>
      </c>
      <c r="P6">
        <v>17424447</v>
      </c>
    </row>
    <row r="7" spans="1:16" x14ac:dyDescent="0.25">
      <c r="F7" t="s">
        <v>460</v>
      </c>
      <c r="G7">
        <v>92294216</v>
      </c>
      <c r="I7" t="s">
        <v>461</v>
      </c>
      <c r="J7" t="s">
        <v>462</v>
      </c>
      <c r="P7">
        <v>17453506</v>
      </c>
    </row>
    <row r="8" spans="1:16" x14ac:dyDescent="0.25">
      <c r="F8" t="s">
        <v>463</v>
      </c>
      <c r="G8">
        <v>92304121</v>
      </c>
      <c r="P8">
        <v>17471544</v>
      </c>
    </row>
    <row r="9" spans="1:16" x14ac:dyDescent="0.25">
      <c r="F9" t="s">
        <v>135</v>
      </c>
      <c r="G9">
        <v>92272901</v>
      </c>
      <c r="P9">
        <v>17438147</v>
      </c>
    </row>
    <row r="10" spans="1:16" x14ac:dyDescent="0.25">
      <c r="F10" t="s">
        <v>464</v>
      </c>
      <c r="G10">
        <v>92375669</v>
      </c>
      <c r="P10">
        <v>17471835</v>
      </c>
    </row>
    <row r="11" spans="1:16" x14ac:dyDescent="0.25">
      <c r="F11" t="s">
        <v>465</v>
      </c>
      <c r="G11">
        <v>92469009</v>
      </c>
      <c r="P11">
        <v>17465448</v>
      </c>
    </row>
    <row r="12" spans="1:16" x14ac:dyDescent="0.25">
      <c r="F12" t="s">
        <v>466</v>
      </c>
      <c r="G12">
        <v>92295756</v>
      </c>
      <c r="P12">
        <v>17465273</v>
      </c>
    </row>
    <row r="13" spans="1:16" x14ac:dyDescent="0.25">
      <c r="F13" t="s">
        <v>467</v>
      </c>
      <c r="G13">
        <v>92719863</v>
      </c>
      <c r="P13">
        <v>17476324</v>
      </c>
    </row>
    <row r="14" spans="1:16" x14ac:dyDescent="0.25">
      <c r="F14" t="s">
        <v>468</v>
      </c>
      <c r="G14">
        <v>92218964</v>
      </c>
      <c r="P14">
        <v>17474376</v>
      </c>
    </row>
    <row r="15" spans="1:16" x14ac:dyDescent="0.25">
      <c r="P15">
        <v>17465175</v>
      </c>
    </row>
    <row r="16" spans="1:16" x14ac:dyDescent="0.25">
      <c r="P16">
        <v>17471658</v>
      </c>
    </row>
    <row r="17" spans="16:16" x14ac:dyDescent="0.25">
      <c r="P17">
        <v>17479611</v>
      </c>
    </row>
    <row r="18" spans="16:16" x14ac:dyDescent="0.25">
      <c r="P18">
        <v>17479147</v>
      </c>
    </row>
    <row r="19" spans="16:16" x14ac:dyDescent="0.25">
      <c r="P19">
        <v>17479899</v>
      </c>
    </row>
    <row r="20" spans="16:16" x14ac:dyDescent="0.25">
      <c r="P20">
        <v>17461906</v>
      </c>
    </row>
    <row r="21" spans="16:16" x14ac:dyDescent="0.25">
      <c r="P21">
        <v>17461995</v>
      </c>
    </row>
    <row r="22" spans="16:16" x14ac:dyDescent="0.25">
      <c r="P22">
        <v>17421284</v>
      </c>
    </row>
    <row r="23" spans="16:16" x14ac:dyDescent="0.25">
      <c r="P23">
        <v>17416145</v>
      </c>
    </row>
    <row r="24" spans="16:16" x14ac:dyDescent="0.25">
      <c r="P24">
        <v>17422371</v>
      </c>
    </row>
    <row r="25" spans="16:16" x14ac:dyDescent="0.25">
      <c r="P25">
        <v>17464547</v>
      </c>
    </row>
    <row r="26" spans="16:16" x14ac:dyDescent="0.25">
      <c r="P26">
        <v>17453326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9EC48C8A92814B83D703663B455E91" ma:contentTypeVersion="11" ma:contentTypeDescription="Create a new document." ma:contentTypeScope="" ma:versionID="e16fb4748f1e0800f95d4db194fa2647">
  <xsd:schema xmlns:xsd="http://www.w3.org/2001/XMLSchema" xmlns:xs="http://www.w3.org/2001/XMLSchema" xmlns:p="http://schemas.microsoft.com/office/2006/metadata/properties" xmlns:ns2="b298c9db-886e-41c3-bc49-b1500176c71c" xmlns:ns3="8d50556c-e49f-4fdf-871e-6eef8232fadf" targetNamespace="http://schemas.microsoft.com/office/2006/metadata/properties" ma:root="true" ma:fieldsID="396f8ee4ec16efe7893d5b3113590109" ns2:_="" ns3:_="">
    <xsd:import namespace="b298c9db-886e-41c3-bc49-b1500176c71c"/>
    <xsd:import namespace="8d50556c-e49f-4fdf-871e-6eef8232fad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98c9db-886e-41c3-bc49-b1500176c7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5c25cbba-0c74-4f28-92d4-a3c6495c4b63"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50556c-e49f-4fdf-871e-6eef8232fad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b62e1c0-fc14-4450-b92b-5e60e4f52549}" ma:internalName="TaxCatchAll" ma:showField="CatchAllData" ma:web="8d50556c-e49f-4fdf-871e-6eef8232fad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d50556c-e49f-4fdf-871e-6eef8232fadf" xsi:nil="true"/>
    <lcf76f155ced4ddcb4097134ff3c332f xmlns="b298c9db-886e-41c3-bc49-b1500176c71c">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3C364C-0E2D-4A0B-9862-4B6FE622E2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98c9db-886e-41c3-bc49-b1500176c71c"/>
    <ds:schemaRef ds:uri="8d50556c-e49f-4fdf-871e-6eef8232fa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8D796F-0FBD-4E25-B70B-F8D0DC24328F}">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b298c9db-886e-41c3-bc49-b1500176c71c"/>
    <ds:schemaRef ds:uri="http://purl.org/dc/terms/"/>
    <ds:schemaRef ds:uri="8d50556c-e49f-4fdf-871e-6eef8232fadf"/>
    <ds:schemaRef ds:uri="http://www.w3.org/XML/1998/namespace"/>
    <ds:schemaRef ds:uri="http://purl.org/dc/dcmitype/"/>
  </ds:schemaRefs>
</ds:datastoreItem>
</file>

<file path=customXml/itemProps3.xml><?xml version="1.0" encoding="utf-8"?>
<ds:datastoreItem xmlns:ds="http://schemas.openxmlformats.org/officeDocument/2006/customXml" ds:itemID="{A1EE7C34-F34A-41AB-B4D1-B966C8B58B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User Interface</vt:lpstr>
      <vt:lpstr>CheatSheetData</vt:lpstr>
      <vt:lpstr>PRRDATA</vt:lpstr>
      <vt:lpstr>RiskReviewData</vt:lpstr>
      <vt:lpstr>ATCODESDATA</vt:lpstr>
      <vt:lpstr>MISCDATA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Acosta Navarro, Randall</dc:creator>
  <cp:keywords/>
  <dc:description/>
  <cp:lastModifiedBy>Acosta Navarro, Randall</cp:lastModifiedBy>
  <cp:revision/>
  <dcterms:created xsi:type="dcterms:W3CDTF">2022-11-22T12:12:49Z</dcterms:created>
  <dcterms:modified xsi:type="dcterms:W3CDTF">2023-12-06T21:21:03Z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0x010100689EC48C8A92814B83D703663B455E91</vt:lpwstr>
  </property>
  <property fmtid="{D5CDD505-2E9C-101B-9397-08002B2CF9AE}" pid="3" name="MediaServiceImageTags">
    <vt:lpwstr/>
  </property>
</Properties>
</file>