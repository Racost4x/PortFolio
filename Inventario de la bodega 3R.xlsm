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ostonscientific-my.sharepoint.com/personal/randall_acostanavarro_bsci_com/Documents/Desktop/Documentos/IDEAS/"/>
    </mc:Choice>
  </mc:AlternateContent>
  <xr:revisionPtr revIDLastSave="1566" documentId="8_{479BC298-E537-4279-B7BE-69AEB1E3E795}" xr6:coauthVersionLast="47" xr6:coauthVersionMax="47" xr10:uidLastSave="{40AD73D8-01EF-416B-A0E8-8B6314244B2C}"/>
  <bookViews>
    <workbookView xWindow="-120" yWindow="-120" windowWidth="29040" windowHeight="15840" xr2:uid="{6CF108D8-4BEF-4938-BF73-1DF9E552D470}"/>
  </bookViews>
  <sheets>
    <sheet name="Inventario" sheetId="1" r:id="rId1"/>
    <sheet name="Equipo reutilizado" sheetId="5" r:id="rId2"/>
    <sheet name="Desechado" sheetId="6" r:id="rId3"/>
    <sheet name="Nueva versión" sheetId="2" r:id="rId4"/>
    <sheet name="Precios" sheetId="4" r:id="rId5"/>
    <sheet name="Ahorro por mes" sheetId="3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E11" i="3"/>
  <c r="D12" i="3"/>
  <c r="O4" i="2"/>
  <c r="F2" i="3"/>
  <c r="E2" i="3"/>
  <c r="E5" i="3"/>
  <c r="D10" i="3"/>
  <c r="O3" i="2"/>
  <c r="O2" i="2"/>
  <c r="F31" i="2"/>
  <c r="F30" i="2"/>
  <c r="F3" i="5" a="1"/>
  <c r="F36" i="1" a="1"/>
  <c r="F49" i="1" a="1"/>
  <c r="F29" i="1" a="1"/>
  <c r="F10" i="1" a="1"/>
  <c r="F39" i="1" a="1"/>
  <c r="F4" i="1" a="1"/>
  <c r="F33" i="1" a="1"/>
  <c r="F14" i="1" a="1"/>
  <c r="F50" i="1" a="1"/>
  <c r="F28" i="1" a="1"/>
  <c r="F9" i="1" a="1"/>
  <c r="F4" i="5" a="1"/>
  <c r="F22" i="1" a="1"/>
  <c r="F15" i="1" a="1"/>
  <c r="F47" i="1" a="1"/>
  <c r="F51" i="1"/>
  <c r="F38" i="1" a="1"/>
  <c r="F24" i="1" a="1"/>
  <c r="F35" i="1" a="1"/>
  <c r="F16" i="1" a="1"/>
  <c r="F3" i="6" a="1"/>
  <c r="F27" i="1" a="1"/>
  <c r="F11" i="1" a="1"/>
  <c r="F21" i="1" a="1"/>
  <c r="F32" i="1" a="1"/>
  <c r="F5" i="5" a="1"/>
  <c r="F6" i="1" a="1"/>
  <c r="F12" i="1" a="1"/>
  <c r="F43" i="1" a="1"/>
  <c r="F26" i="1" a="1"/>
  <c r="F34" i="1" a="1"/>
  <c r="F3" i="1" a="1"/>
  <c r="F37" i="1" a="1"/>
  <c r="F48" i="1" a="1"/>
  <c r="F23" i="1" a="1"/>
  <c r="F30" i="1" a="1"/>
  <c r="F17" i="1" a="1"/>
  <c r="F45" i="1" a="1"/>
  <c r="F5" i="1" a="1"/>
  <c r="F13" i="1" a="1"/>
  <c r="F19" i="1" a="1"/>
  <c r="F8" i="1" a="1"/>
  <c r="F31" i="1" a="1"/>
  <c r="F20" i="1" a="1"/>
  <c r="F18" i="1" a="1"/>
  <c r="F25" i="1" a="1"/>
  <c r="F46" i="1" a="1"/>
  <c r="F7" i="1" a="1"/>
  <c r="F40" i="1" a="1"/>
  <c r="F44" i="1" a="1"/>
  <c r="F41" i="1" a="1"/>
  <c r="F42" i="1" a="1"/>
  <c r="F3" i="5" l="1"/>
  <c r="F4" i="5"/>
  <c r="F3" i="6"/>
  <c r="F5" i="5"/>
  <c r="F25" i="1"/>
  <c r="F48" i="1"/>
  <c r="F16" i="1"/>
  <c r="F35" i="1"/>
  <c r="F5" i="1"/>
  <c r="F23" i="1"/>
  <c r="F44" i="1"/>
  <c r="F12" i="1"/>
  <c r="F38" i="1"/>
  <c r="F13" i="1"/>
  <c r="F19" i="1"/>
  <c r="F26" i="1"/>
  <c r="F32" i="1"/>
  <c r="F39" i="1"/>
  <c r="F49" i="1"/>
  <c r="F45" i="1"/>
  <c r="F10" i="1"/>
  <c r="F29" i="1"/>
  <c r="F40" i="1"/>
  <c r="F17" i="1"/>
  <c r="F37" i="1"/>
  <c r="F6" i="1"/>
  <c r="F24" i="1"/>
  <c r="F41" i="1"/>
  <c r="F8" i="1"/>
  <c r="F14" i="1"/>
  <c r="F20" i="1"/>
  <c r="F27" i="1"/>
  <c r="F34" i="1"/>
  <c r="F36" i="1"/>
  <c r="F46" i="1"/>
  <c r="F42" i="1"/>
  <c r="F4" i="1"/>
  <c r="F22" i="1"/>
  <c r="F47" i="1"/>
  <c r="F11" i="1"/>
  <c r="F31" i="1"/>
  <c r="F50" i="1"/>
  <c r="F18" i="1"/>
  <c r="F30" i="1"/>
  <c r="F7" i="1"/>
  <c r="F9" i="1"/>
  <c r="F15" i="1"/>
  <c r="F21" i="1"/>
  <c r="F28" i="1"/>
  <c r="F33" i="1"/>
  <c r="F43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tc={E42C1515-1F05-4143-ABA0-48A3DC518D96}</author>
    <author>tc={C25D2FA5-8C19-4BC0-8EDE-6E59AB835F82}</author>
    <author>tc={13CA0797-C4DC-46F9-A20D-BFABCFF3D77C}</author>
    <author>tc={F5C4303C-F8A9-462C-BBA7-888FFC4D3FE9}</author>
    <author>tc={ABC44E11-08AE-4549-AA40-725E4921B2F6}</author>
  </authors>
  <commentList>
    <comment ref="I2" authorId="0" shapeId="0" xr:uid="{E42C1515-1F05-4143-ABA0-48A3DC518D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 algún área que lo requiera </t>
      </text>
    </comment>
    <comment ref="N3" authorId="1" shapeId="0" xr:uid="{C25D2FA5-8C19-4BC0-8EDE-6E59AB835F82}">
      <text>
        <t>[Threaded comment]
Your version of Excel allows you to read this threaded comment; however, any edits to it will get removed if the file is opened in a newer version of Excel. Learn more: https://go.microsoft.com/fwlink/?linkid=870924
Comment:
    Se incluyen los basureros pequeños que se entregaron a Newrest</t>
      </text>
    </comment>
    <comment ref="N4" authorId="2" shapeId="0" xr:uid="{13CA0797-C4DC-46F9-A20D-BFABCFF3D77C}">
      <text>
        <t>[Threaded comment]
Your version of Excel allows you to read this threaded comment; however, any edits to it will get removed if the file is opened in a newer version of Excel. Learn more: https://go.microsoft.com/fwlink/?linkid=870924
Comment:
    Se incluyen los basureros grandes entregados a newrest</t>
      </text>
    </comment>
    <comment ref="B30" authorId="3" shapeId="0" xr:uid="{F5C4303C-F8A9-462C-BBA7-888FFC4D3FE9}">
      <text>
        <t>[Threaded comment]
Your version of Excel allows you to read this threaded comment; however, any edits to it will get removed if the file is opened in a newer version of Excel. Learn more: https://go.microsoft.com/fwlink/?linkid=870924
Comment:
    entregados a Newrest</t>
      </text>
    </comment>
    <comment ref="B31" authorId="4" shapeId="0" xr:uid="{ABC44E11-08AE-4549-AA40-725E4921B2F6}">
      <text>
        <t>[Threaded comment]
Your version of Excel allows you to read this threaded comment; however, any edits to it will get removed if the file is opened in a newer version of Excel. Learn more: https://go.microsoft.com/fwlink/?linkid=870924
Comment:
    entregados a Almacén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<sst xmlns="http://schemas.openxmlformats.org/spreadsheetml/2006/main" count="590" uniqueCount="268">
  <si>
    <t>Item Code</t>
  </si>
  <si>
    <t>Código</t>
  </si>
  <si>
    <t xml:space="preserve">Nombre </t>
  </si>
  <si>
    <t xml:space="preserve">Cantidad </t>
  </si>
  <si>
    <t xml:space="preserve">Número de activo </t>
  </si>
  <si>
    <t>Foto</t>
  </si>
  <si>
    <t>Peso</t>
  </si>
  <si>
    <t>Cometarios</t>
  </si>
  <si>
    <t xml:space="preserve">Agragado a Sharepoint </t>
  </si>
  <si>
    <t xml:space="preserve">Entregado </t>
  </si>
  <si>
    <t xml:space="preserve">Fecha de entrega </t>
  </si>
  <si>
    <t>R-001</t>
  </si>
  <si>
    <t>Papelera</t>
  </si>
  <si>
    <t xml:space="preserve">27.5 kg </t>
  </si>
  <si>
    <t>peso por unidad 2.5 kg</t>
  </si>
  <si>
    <t>P</t>
  </si>
  <si>
    <t>R-002</t>
  </si>
  <si>
    <t>Silla</t>
  </si>
  <si>
    <t>13.6 kg</t>
  </si>
  <si>
    <t>R-003</t>
  </si>
  <si>
    <t xml:space="preserve">Romana pequeña </t>
  </si>
  <si>
    <t>3.9 kg</t>
  </si>
  <si>
    <t>R-004</t>
  </si>
  <si>
    <t>Ampos</t>
  </si>
  <si>
    <t>3.8</t>
  </si>
  <si>
    <t>peso por unidad 0.6 kg</t>
  </si>
  <si>
    <t>Marzo</t>
  </si>
  <si>
    <t>R-005</t>
  </si>
  <si>
    <t>Alfombra anti fatiga</t>
  </si>
  <si>
    <t>9.7 kg</t>
  </si>
  <si>
    <t>R-006</t>
  </si>
  <si>
    <t xml:space="preserve">descansa pies </t>
  </si>
  <si>
    <t>5.3</t>
  </si>
  <si>
    <t>R-007</t>
  </si>
  <si>
    <t xml:space="preserve">Tapas de basureros </t>
  </si>
  <si>
    <t>3kg</t>
  </si>
  <si>
    <t>peso por unidad 0.3 kg</t>
  </si>
  <si>
    <t>R-008</t>
  </si>
  <si>
    <t>Tapas de basureros negras</t>
  </si>
  <si>
    <t>0.9 kg</t>
  </si>
  <si>
    <t>R-009</t>
  </si>
  <si>
    <t xml:space="preserve">Carrito metalico con piezas metalicas </t>
  </si>
  <si>
    <t>19.9 kg</t>
  </si>
  <si>
    <t>R-010</t>
  </si>
  <si>
    <t>pizarras</t>
  </si>
  <si>
    <t>3.8 kg</t>
  </si>
  <si>
    <t>peso por unidad 1.9 kg</t>
  </si>
  <si>
    <t>R-011</t>
  </si>
  <si>
    <t xml:space="preserve">Bandeja antiderrame </t>
  </si>
  <si>
    <t>2.8kg</t>
  </si>
  <si>
    <t>R-012</t>
  </si>
  <si>
    <t xml:space="preserve">Basureros negros </t>
  </si>
  <si>
    <t>2.4 kg</t>
  </si>
  <si>
    <t>peso por unidad 1.2 kg</t>
  </si>
  <si>
    <t>R-013</t>
  </si>
  <si>
    <t>Basurero azul</t>
  </si>
  <si>
    <t>5.2 kg</t>
  </si>
  <si>
    <t>R-014</t>
  </si>
  <si>
    <t xml:space="preserve">estacion de reciclaje </t>
  </si>
  <si>
    <t>31.2 kg</t>
  </si>
  <si>
    <t>R-015</t>
  </si>
  <si>
    <t>Pizarra ambiental</t>
  </si>
  <si>
    <t>1.6 kg</t>
  </si>
  <si>
    <t>peso por unidad 0.8 kg</t>
  </si>
  <si>
    <t>R-016</t>
  </si>
  <si>
    <t xml:space="preserve">Teclados </t>
  </si>
  <si>
    <t>7.8 kg</t>
  </si>
  <si>
    <t>R-017</t>
  </si>
  <si>
    <t>Tijeras</t>
  </si>
  <si>
    <t>0.3</t>
  </si>
  <si>
    <t>peso por unidad 0.1 kg</t>
  </si>
  <si>
    <t>R-018</t>
  </si>
  <si>
    <t>calculadoras</t>
  </si>
  <si>
    <t>0.2 kg</t>
  </si>
  <si>
    <t xml:space="preserve">Marzo </t>
  </si>
  <si>
    <t>R-019</t>
  </si>
  <si>
    <t>Mouse</t>
  </si>
  <si>
    <t>0.3 kg</t>
  </si>
  <si>
    <t>peso por unidad 0.1.5 kg</t>
  </si>
  <si>
    <t>R-020</t>
  </si>
  <si>
    <t xml:space="preserve">caja plastica </t>
  </si>
  <si>
    <t>R-021</t>
  </si>
  <si>
    <t xml:space="preserve">bines rojos </t>
  </si>
  <si>
    <t>N/A</t>
  </si>
  <si>
    <t>3.5 kg</t>
  </si>
  <si>
    <t>R-022</t>
  </si>
  <si>
    <t xml:space="preserve">CPU </t>
  </si>
  <si>
    <t>10.7 kg</t>
  </si>
  <si>
    <t>R-023</t>
  </si>
  <si>
    <t>impresoras</t>
  </si>
  <si>
    <t>peso por unidad 20.75 kg</t>
  </si>
  <si>
    <t>R-024</t>
  </si>
  <si>
    <t xml:space="preserve">lamparas </t>
  </si>
  <si>
    <t>peso por unidad 1.4 kg</t>
  </si>
  <si>
    <t>R-025</t>
  </si>
  <si>
    <t>Canoa grande para unidades</t>
  </si>
  <si>
    <t>5.2</t>
  </si>
  <si>
    <t>R-026</t>
  </si>
  <si>
    <t xml:space="preserve">Bines tranparentes </t>
  </si>
  <si>
    <t>peso por unidad 0.4 kg</t>
  </si>
  <si>
    <t>R-027</t>
  </si>
  <si>
    <t>Selladoras de plastico</t>
  </si>
  <si>
    <t>ZF30582/ZF30581</t>
  </si>
  <si>
    <t>R-028</t>
  </si>
  <si>
    <t xml:space="preserve">Pistola de Silicon grande </t>
  </si>
  <si>
    <t>R-029</t>
  </si>
  <si>
    <t xml:space="preserve">Guantes grandes para quimicos </t>
  </si>
  <si>
    <t>R-030</t>
  </si>
  <si>
    <t xml:space="preserve">por correa </t>
  </si>
  <si>
    <t>R-031</t>
  </si>
  <si>
    <t>Caja pequeña metalica</t>
  </si>
  <si>
    <t>R-032</t>
  </si>
  <si>
    <t xml:space="preserve">video game jocker </t>
  </si>
  <si>
    <t xml:space="preserve">por caja </t>
  </si>
  <si>
    <t>R-033</t>
  </si>
  <si>
    <t>porta cinta adhesiva</t>
  </si>
  <si>
    <t xml:space="preserve">por portacinta </t>
  </si>
  <si>
    <t>R-034</t>
  </si>
  <si>
    <t xml:space="preserve">caja para micro </t>
  </si>
  <si>
    <t>R-035</t>
  </si>
  <si>
    <t xml:space="preserve">scaner </t>
  </si>
  <si>
    <t>26 de abril 2023</t>
  </si>
  <si>
    <t>R-036</t>
  </si>
  <si>
    <t xml:space="preserve">timer </t>
  </si>
  <si>
    <t xml:space="preserve">por timer </t>
  </si>
  <si>
    <t>R-037</t>
  </si>
  <si>
    <t>pizarra para problen solving</t>
  </si>
  <si>
    <t>por pizarra</t>
  </si>
  <si>
    <t>R-038</t>
  </si>
  <si>
    <t xml:space="preserve">Carrito metalico </t>
  </si>
  <si>
    <t>ZF00554</t>
  </si>
  <si>
    <t>R-39</t>
  </si>
  <si>
    <t>R-40</t>
  </si>
  <si>
    <t>Grapadora</t>
  </si>
  <si>
    <t>R-41</t>
  </si>
  <si>
    <t>05 de mayo 2023</t>
  </si>
  <si>
    <t>R-42</t>
  </si>
  <si>
    <t>R-43</t>
  </si>
  <si>
    <t>Porta tijeras</t>
  </si>
  <si>
    <t>R-44</t>
  </si>
  <si>
    <t>R-45</t>
  </si>
  <si>
    <t>R-46</t>
  </si>
  <si>
    <t>Sillas de estación de producción</t>
  </si>
  <si>
    <t>Peso por silla</t>
  </si>
  <si>
    <t>febrero</t>
  </si>
  <si>
    <t xml:space="preserve">Impresora </t>
  </si>
  <si>
    <t xml:space="preserve">Basureros azules </t>
  </si>
  <si>
    <t xml:space="preserve">3,6 kg por unidad </t>
  </si>
  <si>
    <t>Inventario - Programa 3R</t>
  </si>
  <si>
    <t xml:space="preserve">Febrero </t>
  </si>
  <si>
    <t xml:space="preserve">Abril </t>
  </si>
  <si>
    <t>Bsurero azul</t>
  </si>
  <si>
    <t>3.1 kg</t>
  </si>
  <si>
    <t>25.2</t>
  </si>
  <si>
    <t>Precio aproximado</t>
  </si>
  <si>
    <t xml:space="preserve">link </t>
  </si>
  <si>
    <t>https://www.officedepot.co.cr/officedepotCR/en/Bandejas-de-escritorio/BANDEJA-OF-FRONTAL-AHUMADA/p/20857</t>
  </si>
  <si>
    <t>https://tiendamia.com/cr/producto?amz=B0BVQD7S1T&amp;pName=CLIPOP%20Modern%20Dining%20Chairs%20Set%20of%202&amp;comma;%20Upholstered%20Linen%20Fabric%20Accent%20Chairs%20with%20Metal%20Legs&amp;comma;%20Armchair%20Desk%20Chair%20Thick%20Sponge%20Seat%20for%20Living%20Room%20Bedroom%20Guest%20Room&amp;comma;%20Dark%20Grey</t>
  </si>
  <si>
    <t>https://tiendamia.com/cr/producto?amz=B01M0MW0Z6&amp;pName=Easy&amp;commat;Home%20Digital%20Kitchen%20Scale%20Food%20Scale%20with%20High%20Precision%20to%200&amp;period;04oz%20and%2011%20lbs%20Capacity&amp;comma;%20Digital%20Multifunction%20Measuring%20Scale&amp;comma;%20EKS-202</t>
  </si>
  <si>
    <t>https://www.officedepot.co.cr/officedepotCR/en/Registradores-y-Carpetas/c/02-07-0-0?q=%3Arelevance&amp;page=2</t>
  </si>
  <si>
    <t>https://tiendamia.com/cr/producto?amz=B08PZ7Z2Y1&amp;pName=DEXI%20Anti%20Fatigue%20Kitchen%20Mat%20Cushioned%20Kitchen%20Rug&amp;comma;%203&amp;sol;4&amp;quot;%20Thick%20Heavy%20Duty%20Waterproof%20Floor%20Mat&amp;comma;%20Non-Slip%20Comfort%20Standing%20Mat%20for%20Kitchen&amp;comma;%20Desk&amp;comma;%20Floor&amp;comma;%20Office&amp;comma;%20Sink&amp;comma;%20Laundry&amp;comma;%2020&amp;quot;x48&amp;quot;&amp;comma;%20Grey</t>
  </si>
  <si>
    <t>https://tiendamia.com/cr/search?amzs=descansa%20pies&amp;navigation_amz=L3M/az1kZXNjYW5zYStwaWVzJmRjJnBhZ2U9MiZsYW5ndWFnZT1lbiZxaWQ9MTY4MzA0NTA2OCZyZWY9c3JfcGdfMg==&amp;navigation_amz=L3M/az1kZXNjYW5zYStwaWVzJmRjJnBhZ2U9MyZsYW5ndWFnZT1lbiZxaWQ9MTY4MzA0NTEwNSZyZWY9c3JfcGdfMw==&amp;navigation_amz=L3M/az1kZXNjYW5zYStwaWVzJmRjJnBhZ2U9NCZsYW5ndWFnZT1lbiZxaWQ9MTY4MzA0NTE0MSZyZWY9c3JfcGdfNA==&amp;navigation_amz=L3M/az1kZXNjYW5zYStwaWVzJmRjJnBhZ2U9NSZsYW5ndWFnZT1lbiZxaWQ9MTY4MzA0NTE3NSZyZWY9c3JfcGdfNQ==&amp;navigation_amz=L3M/az1kZXNjYW5zYStwaWVzJmRjJmxhbmd1YWdlPWVuJnFpZD0xNjgzMDQ1MjA2JnJlZj1zcl9wZ182</t>
  </si>
  <si>
    <t>https://tiendamia.com/cr/producto?amz=B0B4J7KCV5&amp;pName=Afromy%204&amp;period;2%20Gallon%20Swing%20Lid%20Trash%20Can&amp;comma;%20Plastic%20Waste%20Bin%20Garbage%20with%20Lid&amp;comma;%20Grey</t>
  </si>
  <si>
    <t>https://tiendamia.com/cr/producto?amz=B0BW74WNP3&amp;pName=SHPMXUPW%203Pack%20Bathroom%20Trash%20Can%20with%20Press%20Type%20Lid&amp;comma;%202&amp;period;6%20Gallon&amp;sol;10%20Liter%20Small%20Slim%20Garbage%20Bin%20Wastebasket%20for%20Kitchen&amp;sol;Bedroom&amp;sol;Office&amp;sol;Laundry&amp;comma;%20Fits%20Under%20Desk&amp;sol;Cabinet&amp;sol;Sink&amp;sol;Black</t>
  </si>
  <si>
    <t>https://tiendamia.com/cr/producto?amz=B06XKKGR43&amp;pName=Finnhomy%203%20Tier%20Heavy%20Duty%20Commercial%20Grade%20Utility%20Cart&amp;comma;%20Wire%20Rolling%20Cart%20with%20Handle%20Bar&amp;comma;%20Steel%20Service%20Cart%20with%20Wheels&amp;comma;%20Utility%20Shelf%20Plant%20Display%20Shelf%20Food%20Storage%20Trolley&amp;comma;%20NSF%20Listed</t>
  </si>
  <si>
    <t>https://tiendamia.com/cr/producto?amz=B08PNHC6BD&amp;pName=VUSIGN%20White%20Board%20and%20Cork%20Board%20Combination&amp;comma;%2024&amp;quot;%20x%2036&amp;quot;%20Dry%20Erase%20Board%20and%20Corkboard%20Combo%20for%20Home%20or%20Office&amp;comma;%20Wall%20Mounted%20Notice%20Bulletin%20Board%20with%20Aluminum%20Frame</t>
  </si>
  <si>
    <t>https://tiendamia.com/cr/producto?amz=B009857G4G&amp;pName=Eagle%201677B%20Containment%20Utility%20Tray&amp;comma;%2036&amp;quot;%20Length%20x%2018&amp;quot;%20Width%20x%202&amp;quot;%20Height&amp;comma;%20Black</t>
  </si>
  <si>
    <t>https://tiendamia.com/cr/producto?amz=B08T5WYKV6&amp;pName=HCB%20Trash%20Can%20Automatic%20Garbage%20Can%20Plastic%20Touch%20Free%20Waste%20Bins%2013%20Gallon&amp;sol;50%20Liter%20with%20Lid%20for%20Kitchen&amp;comma;%20Office&amp;comma;%20Living%20Room&amp;comma;%20Bathroom%EF%BC%88Black%EF%BC%89</t>
  </si>
  <si>
    <t>https://tiendamia.com/cr/producto?amz=B01I4CQWDO&amp;pName=Global%20Industrial%20Plastic%20Recycling%20Wastebasket&amp;comma;%2028-1&amp;sol;8%20Qt&amp;comma;%20Blue</t>
  </si>
  <si>
    <t>https://tiendamia.com/cr/producto?amz=B004OQ9S9U&amp;pName=Rubbermaid%20Commercial%201792372%20Glutton%20Recycling%20Station&amp;comma;%20Four-Stream&amp;comma;%2092%20Gal&amp;comma;%20Blue</t>
  </si>
  <si>
    <t>https://tiendamia.com/cr/producto?amz=B00ZYLMQH0&amp;pName=Dell%20Wired%20Keyboard%20-%20Black%20KB216%20&amp;lpar;580-ADMT&amp;rpar;</t>
  </si>
  <si>
    <t>https://tiendamia.com/cr/producto?amz=B001BKFTB8&amp;pName=Scotch%208%20Inch%20Multi-Purpose%20Scissors&amp;comma;%20Great%20for%20Everyday%20Use%20&amp;lpar;1428&amp;rpar;&amp;comma;Red&amp;sol;Grey</t>
  </si>
  <si>
    <t>https://tiendamia.com/cr/producto?amz=B000UUQTKA&amp;pName=Casio%20SL-300SV%20Solar%20Powered%20Standard%20Function%20Calculator</t>
  </si>
  <si>
    <t>https://tiendamia.com/cr/producto?amz=B005EJH6RW&amp;pName=Amazon%20Basics%203-Button%20Wired%20USB%20Computer%20Mouse&amp;comma;%20Black</t>
  </si>
  <si>
    <t>https://tiendamia.com/cr/producto?amz=B00006IARN&amp;pName=Akro-Mils%2066486%2012-Gallon%20Plastic%20Stackable%20Storage%20Keepbox%20Tote%20Container%20with%20Attached%20Hinged%20Lid&amp;comma;%2021-1&amp;sol;2-Inch%20x%2015-Inch%20x%2012-1&amp;sol;2-Inch&amp;comma;%20Clear&amp;sol;Blue</t>
  </si>
  <si>
    <t>https://tiendamia.com/cr/producto?amz=B09RBFGDJ8&amp;pName=Teacher%20Created%20Resources&amp;reg;%20Red%20Plastic%20Book%20Bin</t>
  </si>
  <si>
    <t>https://tiendamia.com/cr/producto?amz=B07TB9G2R6&amp;pName=Dell%20OptiPlex%209020-SFF&amp;comma;%20Intel%20Core%20i5-4570%203&amp;period;2GHZ&amp;comma;%2016GB%20RAM&amp;comma;%20512GB%20SSD%20Solid%20State&amp;comma;%20DVDRW&amp;comma;%20Windows%2010%20Pro%2064bit%20&amp;lpar;Renewed&amp;rpar;</t>
  </si>
  <si>
    <t>https://tiendamia.com/cr/producto?amz=B0BSMZVH26&amp;pName=Canon%20Color%20imageCLASS%20MF656Cdw%20-%20All%20in%20One&amp;comma;%20Duplex&amp;comma;%20Wireless%20Laser%20Printer%20with%203%20Year%20Limited%20Warranty</t>
  </si>
  <si>
    <t>https://tiendamia.com/cr/producto?amz=B01NAHT5CE&amp;pName=TORCHSTAR%20Metal%20Desk%20Lamp&amp;comma;%20Swing%20Arm%20Desk%20Lamps&amp;comma;%20Architect%20Desk%20Lamp%20with%20Clamp&amp;comma;%20Adjustable%20Gooseneck%20Table%20Lamp&amp;comma;%20Clip%20Desk%20Lights%20for%20Home%20Office&amp;comma;%20Work&amp;comma;%20Study&amp;comma;%20Reading&amp;comma;%20E26%20Base&amp;comma;%20Multi-Joint&amp;comma;%20Black</t>
  </si>
  <si>
    <t>link no encontrado</t>
  </si>
  <si>
    <t>https://tiendamia.com/cr/producto?amz=B0085U22CG&amp;pName=Akro-Mils%2030094%20Plastic%20Nesting%20ShelfMax%20Storage%20Bin%20Box&amp;comma;%20&amp;lpar;24-Inch%20x%206-Inch%20x%206-Inch&amp;rpar;&amp;comma;%20Clear&amp;comma;%20&amp;lpar;10-Pack&amp;rpar;</t>
  </si>
  <si>
    <t>https://tiendamia.com/cr/producto?amz=B06XC76JVZ&amp;pName=METRONIC%20Impulse%20Sealer%208%20inch&amp;comma;%20Manual%20Heat%20Sealer%20Machine%20for%20Plastic%20Bags&amp;comma;%20Shrink%20Wrap%20Bag%20Sealers%20Heavy%20Duty%20Sealing%20Machine%20With%20Repair%20Kit%20&amp;lpar;%20Blue%20&amp;rpar;</t>
  </si>
  <si>
    <t>https://tiendamia.com/cr/producto?amz=B08BJ19V3J&amp;pName=Red%20Devil%203936%209&amp;quot;%20Half%20Barrel%20Drip%20Free%20Caulk%20Gun&amp;comma;%20Black</t>
  </si>
  <si>
    <t>https://tiendamia.com/cr/producto?amz=B007VR32FU&amp;pName=SHOWA%20-%20620L-09%20Atlas%20620%20Fully%20Coated%20Double-Dipped%20PVC%20Glove&amp;comma;%20Seamless%20Knitted%20Liner&amp;comma;%20Chemical%20Resistant&amp;comma;%2012&amp;quot;%20Length&amp;comma;%20Large%20&amp;lpar;Pack%20of%2012%20Pairs&amp;rpar;</t>
  </si>
  <si>
    <t>Correas antiestaticas</t>
  </si>
  <si>
    <t>https://tiendamia.com/cr/producto?amz=B00B2T9C8Y&amp;pName=iFixit%20Anti-Static%20Wrist%20Strap%20&amp;lpar;Adjustable%20up%20to%20Size%20XL&amp;rpar;%20-%20ESD%20Grounding%20Wristband</t>
  </si>
  <si>
    <t>https://tiendamia.com/cr/producto?amz=B00006IF79&amp;pName=Scotch%20Classic%20Desktop%20Tape%20Dispenser%20C-38&amp;comma;%20Black&amp;comma;%201%20in%20Core&amp;comma;%20Made%20From%20100&amp;percnt;%20Recycled%20Plastic&amp;comma;%201%20Dispenser%20&amp;lpar;C-38&amp;rpar;</t>
  </si>
  <si>
    <t>https://tiendamia.com/cr/producto?amz=B01GDJ2BH6&amp;pName=NADAMOO%20Wireless%20Barcode%20Scanner%20328%20Feet%20Transmission%20Distance%20USB%20Cordless%201D%20Laser%20Automatic%20Barcode%20Reader%20Handhold%20Bar%20Code%20Scanner%20with%20USB%20Receiver%20for%20Store&amp;comma;%20Supermarket&amp;comma;%20Warehouse</t>
  </si>
  <si>
    <t>https://tiendamia.com/cr/producto?amz=B09D7W9YMN&amp;pName=FCXJTU%20Digital%20Dual%20Kitchen%20Timer&amp;comma;%203%20Channels%20Count%20UP&amp;sol;Down%20Timer&amp;comma;%20Cooking%20Timer&amp;comma;%20Large%20Display&amp;comma;%20Loud%20Volume%20Alarm%20and%20Flashing%20Light%20with%20Magnetic%20Back&amp;comma;%20Stand&amp;comma;%20Battery%20Included%20&amp;lpar;White&amp;rpar;</t>
  </si>
  <si>
    <t>https://tiendamia.com/cr/producto?amz=B01J23JSE4&amp;pName=USA%20Made%20Magnetic%20Dry%20Erase%20Whiteboard%20Sheet%2017&amp;quot;%20x%2011&amp;quot;%20with%20a%20Set%20of%206%20Markers</t>
  </si>
  <si>
    <t>https://tiendamia.com/cr/producto?amz=B0BYPP7SBC&amp;pName=AmGood%20Stainless%20Steel%20Utility%20Cart%20&amp;vert;%203%20Shelf%20Metal%20Utility%20Cart%20on%20Wheels%20with%20Handle%20&amp;vert;%20for%20Home%20&amp;amp;%20Business%20Use%20&amp;lpar;15&amp;quot;%20Wide%20X%2024&amp;quot;%20Long%20X%2033&amp;quot;%20High&amp;rpar;</t>
  </si>
  <si>
    <t>https://tiendamia.com/cr/producto?amz=B09444ZXWK&amp;pName=Ergonomic%20Mid-Back%20Mesh%20Adjustable%20Drafting%20Chair%20with%20Foot%20Ring&amp;comma;%20Standing-Desk%20Matched%20Tall%20Swivel%20Computer%20Office%20Stool&amp;comma;%20Black</t>
  </si>
  <si>
    <t>bines amarillos</t>
  </si>
  <si>
    <t>basureros de punzocortantes</t>
  </si>
  <si>
    <t>Guantes anti cortes</t>
  </si>
  <si>
    <t>https://tiendamia.com/cr/producto?amz=B09S5DXLW4&amp;pName=3%20Pairs%20Level%205%20Cut%20Resistant%20Gloves%20Safety%20Grip%20Woodworking%20Gloves%20Protective%20Cut%20Proof%20Gloves%20for%20Men%20Anti%20Cut%20Work%20Gloves%20PU%20Coated%20Gardening%20Gloves%20Comfortable%20Safety%20Cutting%20Gloves%20for%20Carving</t>
  </si>
  <si>
    <t>Mes</t>
  </si>
  <si>
    <t>Artículo</t>
  </si>
  <si>
    <t xml:space="preserve">Precio </t>
  </si>
  <si>
    <t>Total/mes</t>
  </si>
  <si>
    <t xml:space="preserve">Total </t>
  </si>
  <si>
    <t xml:space="preserve">kg </t>
  </si>
  <si>
    <t>Febrero</t>
  </si>
  <si>
    <t xml:space="preserve">Silla </t>
  </si>
  <si>
    <t>Impresora</t>
  </si>
  <si>
    <t>Ampo</t>
  </si>
  <si>
    <t>Descansapies</t>
  </si>
  <si>
    <t xml:space="preserve">Calculadora </t>
  </si>
  <si>
    <t>Basureros</t>
  </si>
  <si>
    <t>Abril</t>
  </si>
  <si>
    <t>Scanner</t>
  </si>
  <si>
    <t>Fecha de Ingreso</t>
  </si>
  <si>
    <t>Fecha de salida</t>
  </si>
  <si>
    <t>Peso total</t>
  </si>
  <si>
    <t>Peso por unidad</t>
  </si>
  <si>
    <t>Basureros azules</t>
  </si>
  <si>
    <t>Equipo- viscocimetro</t>
  </si>
  <si>
    <t>Base metalica con ruedas</t>
  </si>
  <si>
    <t>Base acrilica para documentos</t>
  </si>
  <si>
    <t>Rotulo acrilico - inicio de lote</t>
  </si>
  <si>
    <t>Microfono</t>
  </si>
  <si>
    <t>Saca bocados</t>
  </si>
  <si>
    <t>Carrito metalico</t>
  </si>
  <si>
    <t>timer</t>
  </si>
  <si>
    <t>scaner</t>
  </si>
  <si>
    <t>caja para micro</t>
  </si>
  <si>
    <t>R-47</t>
  </si>
  <si>
    <t>R-48</t>
  </si>
  <si>
    <t>R-49</t>
  </si>
  <si>
    <t>R-1</t>
  </si>
  <si>
    <t>R-2</t>
  </si>
  <si>
    <t>R-3</t>
  </si>
  <si>
    <t>R-4</t>
  </si>
  <si>
    <t>R-5</t>
  </si>
  <si>
    <t>R-6</t>
  </si>
  <si>
    <t>R-7</t>
  </si>
  <si>
    <t>R-8</t>
  </si>
  <si>
    <t>R-9</t>
  </si>
  <si>
    <t>R-10</t>
  </si>
  <si>
    <t>R-11</t>
  </si>
  <si>
    <t>R-12</t>
  </si>
  <si>
    <t>R-13</t>
  </si>
  <si>
    <t>R-14</t>
  </si>
  <si>
    <t>R-15</t>
  </si>
  <si>
    <t>R-16</t>
  </si>
  <si>
    <t>R-17</t>
  </si>
  <si>
    <t>R-18</t>
  </si>
  <si>
    <t>R-19</t>
  </si>
  <si>
    <t>R-20</t>
  </si>
  <si>
    <t>R-21</t>
  </si>
  <si>
    <t>R-22</t>
  </si>
  <si>
    <t>R-23</t>
  </si>
  <si>
    <t>R-24</t>
  </si>
  <si>
    <t>R-25</t>
  </si>
  <si>
    <t>R-26</t>
  </si>
  <si>
    <t>R-27</t>
  </si>
  <si>
    <t>R-28</t>
  </si>
  <si>
    <t>R-29</t>
  </si>
  <si>
    <t>R-30</t>
  </si>
  <si>
    <t>R-31</t>
  </si>
  <si>
    <t>R-32</t>
  </si>
  <si>
    <t>R-33</t>
  </si>
  <si>
    <t>R-34</t>
  </si>
  <si>
    <t>R-35</t>
  </si>
  <si>
    <t>R-36</t>
  </si>
  <si>
    <t>R-37</t>
  </si>
  <si>
    <t>R-38</t>
  </si>
  <si>
    <t>Bolas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</si>
</sst>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₡&quot;* #,##0.00_-;\-&quot;₡&quot;* #,##0.00_-;_-&quot;₡&quot;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Wingdings 2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/>
    <xf numFmtId="0" fontId="0" fillId="0" borderId="5" xfId="0" applyBorder="1"/>
    <xf numFmtId="0" fontId="4" fillId="0" borderId="6" xfId="0" applyFont="1" applyBorder="1" applyAlignment="1">
      <alignment horizontal="center"/>
    </xf>
    <xf numFmtId="0" fontId="1" fillId="3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left"/>
    </xf>
    <xf numFmtId="0" fontId="1" fillId="0" borderId="7" xfId="0" applyFont="1" applyBorder="1"/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/>
    <xf numFmtId="0" fontId="4" fillId="0" borderId="8" xfId="0" applyFont="1" applyBorder="1" applyAlignment="1">
      <alignment horizontal="center"/>
    </xf>
    <xf numFmtId="0" fontId="0" fillId="0" borderId="9" xfId="0" applyBorder="1"/>
    <xf numFmtId="0" fontId="1" fillId="0" borderId="5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3" xfId="0" applyBorder="1" applyAlignment="1">
      <alignment horizontal="left"/>
    </xf>
    <xf numFmtId="0" fontId="1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5" fillId="4" borderId="5" xfId="0" applyFont="1" applyFill="1" applyBorder="1"/>
    <xf numFmtId="0" fontId="1" fillId="0" borderId="10" xfId="0" applyFont="1" applyBorder="1"/>
    <xf numFmtId="0" fontId="0" fillId="0" borderId="11" xfId="0" applyBorder="1" applyAlignment="1">
      <alignment horizontal="center" vertical="center"/>
    </xf>
    <xf numFmtId="0" fontId="4" fillId="0" borderId="15" xfId="0" applyFont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6" xfId="0" applyBorder="1"/>
    <xf numFmtId="0" fontId="1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16" xfId="0" applyFont="1" applyBorder="1"/>
    <xf numFmtId="0" fontId="5" fillId="4" borderId="9" xfId="0" applyFont="1" applyFill="1" applyBorder="1"/>
    <xf numFmtId="0" fontId="0" fillId="0" borderId="9" xfId="0" applyBorder="1" applyAlignment="1">
      <alignment horizontal="center" vertical="center"/>
    </xf>
    <xf numFmtId="0" fontId="1" fillId="0" borderId="9" xfId="0" applyFont="1" applyBorder="1"/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2" xfId="1" applyFont="1" applyBorder="1" applyAlignment="1">
      <alignment horizontal="center" vertical="center"/>
    </xf>
    <xf numFmtId="0" fontId="7" fillId="0" borderId="2" xfId="2" applyBorder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0" fontId="7" fillId="0" borderId="0" xfId="2"/>
    <xf numFmtId="0" fontId="7" fillId="0" borderId="1" xfId="2" applyBorder="1" applyAlignment="1">
      <alignment horizontal="center" vertical="center"/>
    </xf>
    <xf numFmtId="164" fontId="0" fillId="0" borderId="7" xfId="1" applyFont="1" applyBorder="1" applyAlignment="1">
      <alignment horizontal="center" vertical="center"/>
    </xf>
    <xf numFmtId="0" fontId="7" fillId="0" borderId="7" xfId="2" applyBorder="1" applyAlignment="1">
      <alignment horizontal="center" vertical="center"/>
    </xf>
    <xf numFmtId="164" fontId="0" fillId="0" borderId="12" xfId="1" applyFont="1" applyBorder="1" applyAlignment="1">
      <alignment horizontal="center" vertical="center"/>
    </xf>
    <xf numFmtId="164" fontId="0" fillId="0" borderId="5" xfId="1" applyFont="1" applyBorder="1" applyAlignment="1">
      <alignment horizontal="center" vertical="center"/>
    </xf>
    <xf numFmtId="0" fontId="7" fillId="0" borderId="5" xfId="2" applyBorder="1" applyAlignment="1">
      <alignment horizontal="center" vertical="center"/>
    </xf>
    <xf numFmtId="164" fontId="0" fillId="0" borderId="9" xfId="1" applyFont="1" applyBorder="1" applyAlignment="1">
      <alignment horizontal="center" vertical="center"/>
    </xf>
    <xf numFmtId="0" fontId="7" fillId="0" borderId="9" xfId="2" applyBorder="1" applyAlignment="1">
      <alignment horizontal="center" vertical="center"/>
    </xf>
    <xf numFmtId="164" fontId="0" fillId="0" borderId="5" xfId="1" applyFont="1" applyBorder="1" applyAlignment="1">
      <alignment horizontal="center"/>
    </xf>
    <xf numFmtId="0" fontId="7" fillId="0" borderId="5" xfId="2" applyBorder="1" applyAlignment="1">
      <alignment horizontal="center"/>
    </xf>
    <xf numFmtId="164" fontId="0" fillId="0" borderId="9" xfId="1" applyFont="1" applyBorder="1" applyAlignment="1">
      <alignment horizontal="center"/>
    </xf>
    <xf numFmtId="0" fontId="7" fillId="0" borderId="9" xfId="2" applyBorder="1" applyAlignment="1">
      <alignment horizontal="center"/>
    </xf>
    <xf numFmtId="164" fontId="0" fillId="0" borderId="13" xfId="1" applyFont="1" applyBorder="1"/>
    <xf numFmtId="0" fontId="7" fillId="0" borderId="13" xfId="2" applyBorder="1" applyAlignment="1">
      <alignment horizontal="center"/>
    </xf>
    <xf numFmtId="164" fontId="0" fillId="0" borderId="9" xfId="1" applyFont="1" applyBorder="1"/>
    <xf numFmtId="0" fontId="7" fillId="0" borderId="1" xfId="2" applyBorder="1"/>
    <xf numFmtId="0" fontId="0" fillId="0" borderId="1" xfId="0" applyBorder="1" applyAlignment="1">
      <alignment vertical="center"/>
    </xf>
    <xf numFmtId="164" fontId="0" fillId="0" borderId="1" xfId="1" applyFont="1" applyBorder="1" applyAlignment="1">
      <alignment vertical="center"/>
    </xf>
    <xf numFmtId="164" fontId="0" fillId="0" borderId="1" xfId="1" applyFont="1" applyFill="1" applyBorder="1" applyAlignment="1">
      <alignment vertical="center"/>
    </xf>
    <xf numFmtId="164" fontId="0" fillId="0" borderId="1" xfId="1" applyFont="1" applyBorder="1"/>
    <xf numFmtId="164" fontId="0" fillId="0" borderId="1" xfId="1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4" fontId="0" fillId="0" borderId="5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1" applyFont="1" applyBorder="1" applyAlignment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85725</xdr:rowOff>
    </xdr:from>
    <xdr:to>
      <xdr:col>16</xdr:col>
      <xdr:colOff>200025</xdr:colOff>
      <xdr:row>4</xdr:row>
      <xdr:rowOff>114300</xdr:rowOff>
    </xdr:to>
    <xdr:sp macro="[0]!Pruebas" textlink="">
      <xdr:nvSpPr>
        <xdr:cNvPr id="2" name="Rectangle 1">
          <a:extLst>
            <a:ext uri="{FF2B5EF4-FFF2-40B4-BE49-F238E27FC236}">
              <a16:creationId xmlns:a16="http://schemas.microsoft.com/office/drawing/2014/main" id="{BBC5A5BF-1A54-48E8-A980-F9DDA70D2135}"/>
            </a:ext>
          </a:extLst>
        </xdr:cNvPr>
        <xdr:cNvSpPr/>
      </xdr:nvSpPr>
      <xdr:spPr>
        <a:xfrm>
          <a:off x="12249150" y="457200"/>
          <a:ext cx="2981325" cy="7429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72 Black" panose="020B0A04030603020204" pitchFamily="34" charset="0"/>
              <a:cs typeface="72 Black" panose="020B0A04030603020204" pitchFamily="34" charset="0"/>
            </a:rPr>
            <a:t>Menú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rena Portuguez, Deilin" id="{88BE5135-BB85-49EB-8A17-34BEF80E52F5}" userId="S::Deilin.UrenaPortuguez@bsci.com::80c512a5-82bd-4ee3-a568-30f53bb01024" providerId="AD"/>
  <person displayName="Urena Portuguez, Deilin" id="{D15961E4-BA90-4FEC-8FF1-9C023C934705}" userId="S::deilin.urenaportuguez@bsci.com::80c512a5-82bd-4ee3-a568-30f53bb0102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2" dT="2023-03-15T20:30:00.74" personId="{D15961E4-BA90-4FEC-8FF1-9C023C934705}" id="{E42C1515-1F05-4143-ABA0-48A3DC518D96}">
    <text xml:space="preserve">A algún área que lo requiera </text>
  </threadedComment>
  <threadedComment ref="N3" dT="2023-04-19T15:32:58.55" personId="{88BE5135-BB85-49EB-8A17-34BEF80E52F5}" id="{C25D2FA5-8C19-4BC0-8EDE-6E59AB835F82}">
    <text>Se incluyen los basureros pequeños que se entregaron a Newrest</text>
  </threadedComment>
  <threadedComment ref="N4" dT="2023-04-19T15:33:20.77" personId="{88BE5135-BB85-49EB-8A17-34BEF80E52F5}" id="{13CA0797-C4DC-46F9-A20D-BFABCFF3D77C}">
    <text>Se incluyen los basureros grandes entregados a newrest</text>
  </threadedComment>
  <threadedComment ref="B30" dT="2023-04-19T15:26:03.89" personId="{88BE5135-BB85-49EB-8A17-34BEF80E52F5}" id="{F5C4303C-F8A9-462C-BBA7-888FFC4D3FE9}">
    <text>entregados a Newrest</text>
  </threadedComment>
  <threadedComment ref="B31" dT="2023-04-19T15:26:03.89" personId="{88BE5135-BB85-49EB-8A17-34BEF80E52F5}" id="{ABC44E11-08AE-4549-AA40-725E4921B2F6}">
    <text>entregados a Almacén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tiendamia.com/cr/producto?amz=B0BW74WNP3&amp;pName=SHPMXUPW%203Pack%20Bathroom%20Trash%20Can%20with%20Press%20Type%20Lid&amp;comma;%202&amp;period;6%20Gallon&amp;sol;10%20Liter%20Small%20Slim%20Garbage%20Bin%20Wastebasket%20for%20Kitchen&amp;sol;Bedroom&amp;sol;Office&amp;sol;Laundry&amp;comma;%20Fits%20Under%20Desk&amp;sol;Cabinet&amp;sol;Sink&amp;sol;Black" TargetMode="External"/><Relationship Id="rId13" Type="http://schemas.openxmlformats.org/officeDocument/2006/relationships/hyperlink" Target="https://tiendamia.com/cr/producto?amz=B001BKFTB8&amp;pName=Scotch%208%20Inch%20Multi-Purpose%20Scissors&amp;comma;%20Great%20for%20Everyday%20Use%20&amp;lpar;1428&amp;rpar;&amp;comma;Red&amp;sol;Grey" TargetMode="External"/><Relationship Id="rId18" Type="http://schemas.openxmlformats.org/officeDocument/2006/relationships/hyperlink" Target="https://tiendamia.com/cr/producto?amz=B005EJH6RW&amp;pName=Amazon%20Basics%203-Button%20Wired%20USB%20Computer%20Mouse&amp;comma;%20Black" TargetMode="External"/><Relationship Id="rId26" Type="http://schemas.openxmlformats.org/officeDocument/2006/relationships/hyperlink" Target="https://tiendamia.com/cr/producto?amz=B08BJ19V3J&amp;pName=Red%20Devil%203936%209&amp;quot;%20Half%20Barrel%20Drip%20Free%20Caulk%20Gun&amp;comma;%20Black" TargetMode="External"/><Relationship Id="rId3" Type="http://schemas.openxmlformats.org/officeDocument/2006/relationships/hyperlink" Target="https://tiendamia.com/cr/producto?amz=B01M0MW0Z6&amp;pName=Easy&amp;commat;Home%20Digital%20Kitchen%20Scale%20Food%20Scale%20with%20High%20Precision%20to%200&amp;period;04oz%20and%2011%20lbs%20Capacity&amp;comma;%20Digital%20Multifunction%20Measuring%20Scale&amp;comma;%20EKS-202" TargetMode="External"/><Relationship Id="rId21" Type="http://schemas.openxmlformats.org/officeDocument/2006/relationships/hyperlink" Target="https://tiendamia.com/cr/producto?amz=B07TB9G2R6&amp;pName=Dell%20OptiPlex%209020-SFF&amp;comma;%20Intel%20Core%20i5-4570%203&amp;period;2GHZ&amp;comma;%2016GB%20RAM&amp;comma;%20512GB%20SSD%20Solid%20State&amp;comma;%20DVDRW&amp;comma;%20Windows%2010%20Pro%2064bit%20&amp;lpar;Renewed&amp;rpar;" TargetMode="External"/><Relationship Id="rId34" Type="http://schemas.openxmlformats.org/officeDocument/2006/relationships/hyperlink" Target="https://tiendamia.com/cr/producto?amz=B09444ZXWK&amp;pName=Ergonomic%20Mid-Back%20Mesh%20Adjustable%20Drafting%20Chair%20with%20Foot%20Ring&amp;comma;%20Standing-Desk%20Matched%20Tall%20Swivel%20Computer%20Office%20Stool&amp;comma;%20Black" TargetMode="External"/><Relationship Id="rId7" Type="http://schemas.openxmlformats.org/officeDocument/2006/relationships/hyperlink" Target="https://tiendamia.com/cr/producto?amz=B0B4J7KCV5&amp;pName=Afromy%204&amp;period;2%20Gallon%20Swing%20Lid%20Trash%20Can&amp;comma;%20Plastic%20Waste%20Bin%20Garbage%20with%20Lid&amp;comma;%20Grey" TargetMode="External"/><Relationship Id="rId12" Type="http://schemas.openxmlformats.org/officeDocument/2006/relationships/hyperlink" Target="https://tiendamia.com/cr/producto?amz=B000UUQTKA&amp;pName=Casio%20SL-300SV%20Solar%20Powered%20Standard%20Function%20Calculator" TargetMode="External"/><Relationship Id="rId17" Type="http://schemas.openxmlformats.org/officeDocument/2006/relationships/hyperlink" Target="https://tiendamia.com/cr/producto?amz=B08T5WYKV6&amp;pName=HCB%20Trash%20Can%20Automatic%20Garbage%20Can%20Plastic%20Touch%20Free%20Waste%20Bins%2013%20Gallon&amp;sol;50%20Liter%20with%20Lid%20for%20Kitchen&amp;comma;%20Office&amp;comma;%20Living%20Room&amp;comma;%20Bathroom%EF%BC%88Black%EF%BC%89" TargetMode="External"/><Relationship Id="rId25" Type="http://schemas.openxmlformats.org/officeDocument/2006/relationships/hyperlink" Target="https://tiendamia.com/cr/producto?amz=B06XC76JVZ&amp;pName=METRONIC%20Impulse%20Sealer%208%20inch&amp;comma;%20Manual%20Heat%20Sealer%20Machine%20for%20Plastic%20Bags&amp;comma;%20Shrink%20Wrap%20Bag%20Sealers%20Heavy%20Duty%20Sealing%20Machine%20With%20Repair%20Kit%20&amp;lpar;%20Blue%20&amp;rpar;" TargetMode="External"/><Relationship Id="rId33" Type="http://schemas.openxmlformats.org/officeDocument/2006/relationships/hyperlink" Target="https://tiendamia.com/cr/producto?amz=B0BYPP7SBC&amp;pName=AmGood%20Stainless%20Steel%20Utility%20Cart%20&amp;vert;%203%20Shelf%20Metal%20Utility%20Cart%20on%20Wheels%20with%20Handle%20&amp;vert;%20for%20Home%20&amp;amp;%20Business%20Use%20&amp;lpar;15&amp;quot;%20Wide%20X%2024&amp;quot;%20Long%20X%2033&amp;quot;%20High&amp;rpar;" TargetMode="External"/><Relationship Id="rId38" Type="http://schemas.openxmlformats.org/officeDocument/2006/relationships/printerSettings" Target="../printerSettings/printerSettings3.bin"/><Relationship Id="rId2" Type="http://schemas.openxmlformats.org/officeDocument/2006/relationships/hyperlink" Target="https://tiendamia.com/cr/producto?amz=B0BVQD7S1T&amp;pName=CLIPOP%20Modern%20Dining%20Chairs%20Set%20of%202&amp;comma;%20Upholstered%20Linen%20Fabric%20Accent%20Chairs%20with%20Metal%20Legs&amp;comma;%20Armchair%20Desk%20Chair%20Thick%20Sponge%20Seat%20for%20Living%20Room%20Bedroom%20Guest%20Room&amp;comma;%20Dark%20Grey" TargetMode="External"/><Relationship Id="rId16" Type="http://schemas.openxmlformats.org/officeDocument/2006/relationships/hyperlink" Target="https://tiendamia.com/cr/producto?amz=B01I4CQWDO&amp;pName=Global%20Industrial%20Plastic%20Recycling%20Wastebasket&amp;comma;%2028-1&amp;sol;8%20Qt&amp;comma;%20Blue" TargetMode="External"/><Relationship Id="rId20" Type="http://schemas.openxmlformats.org/officeDocument/2006/relationships/hyperlink" Target="https://tiendamia.com/cr/producto?amz=B09RBFGDJ8&amp;pName=Teacher%20Created%20Resources&amp;reg;%20Red%20Plastic%20Book%20Bin" TargetMode="External"/><Relationship Id="rId29" Type="http://schemas.openxmlformats.org/officeDocument/2006/relationships/hyperlink" Target="https://tiendamia.com/cr/producto?amz=B00006IF79&amp;pName=Scotch%20Classic%20Desktop%20Tape%20Dispenser%20C-38&amp;comma;%20Black&amp;comma;%201%20in%20Core&amp;comma;%20Made%20From%20100&amp;percnt;%20Recycled%20Plastic&amp;comma;%201%20Dispenser%20&amp;lpar;C-38&amp;rpar;" TargetMode="External"/><Relationship Id="rId1" Type="http://schemas.openxmlformats.org/officeDocument/2006/relationships/hyperlink" Target="https://www.officedepot.co.cr/officedepotCR/en/Bandejas-de-escritorio/BANDEJA-OF-FRONTAL-AHUMADA/p/20857" TargetMode="External"/><Relationship Id="rId6" Type="http://schemas.openxmlformats.org/officeDocument/2006/relationships/hyperlink" Target="https://tiendamia.com/cr/search?amzs=descansa%20pies&amp;navigation_amz=L3M/az1kZXNjYW5zYStwaWVzJmRjJnBhZ2U9MiZsYW5ndWFnZT1lbiZxaWQ9MTY4MzA0NTA2OCZyZWY9c3JfcGdfMg==&amp;navigation_amz=L3M/az1kZXNjYW5zYStwaWVzJmRjJnBhZ2U9MyZsYW5ndWFnZT1lbiZxaWQ9MTY4MzA0NTEwNSZyZWY9c3JfcGdfMw==&amp;navigation_amz=L3M/az1kZXNjYW5zYStwaWVzJmRjJnBhZ2U9NCZsYW5ndWFnZT1lbiZxaWQ9MTY4MzA0NTE0MSZyZWY9c3JfcGdfNA==&amp;navigation_amz=L3M/az1kZXNjYW5zYStwaWVzJmRjJnBhZ2U9NSZsYW5ndWFnZT1lbiZxaWQ9MTY4MzA0NTE3NSZyZWY9c3JfcGdfNQ==&amp;navigation_amz=L3M/az1kZXNjYW5zYStwaWVzJmRjJmxhbmd1YWdlPWVuJnFpZD0xNjgzMDQ1MjA2JnJlZj1zcl9wZ182" TargetMode="External"/><Relationship Id="rId11" Type="http://schemas.openxmlformats.org/officeDocument/2006/relationships/hyperlink" Target="https://tiendamia.com/cr/producto?amz=B009857G4G&amp;pName=Eagle%201677B%20Containment%20Utility%20Tray&amp;comma;%2036&amp;quot;%20Length%20x%2018&amp;quot;%20Width%20x%202&amp;quot;%20Height&amp;comma;%20Black" TargetMode="External"/><Relationship Id="rId24" Type="http://schemas.openxmlformats.org/officeDocument/2006/relationships/hyperlink" Target="https://tiendamia.com/cr/producto?amz=B0085U22CG&amp;pName=Akro-Mils%2030094%20Plastic%20Nesting%20ShelfMax%20Storage%20Bin%20Box&amp;comma;%20&amp;lpar;24-Inch%20x%206-Inch%20x%206-Inch&amp;rpar;&amp;comma;%20Clear&amp;comma;%20&amp;lpar;10-Pack&amp;rpar;" TargetMode="External"/><Relationship Id="rId32" Type="http://schemas.openxmlformats.org/officeDocument/2006/relationships/hyperlink" Target="https://tiendamia.com/cr/producto?amz=B01J23JSE4&amp;pName=USA%20Made%20Magnetic%20Dry%20Erase%20Whiteboard%20Sheet%2017&amp;quot;%20x%2011&amp;quot;%20with%20a%20Set%20of%206%20Markers" TargetMode="External"/><Relationship Id="rId37" Type="http://schemas.openxmlformats.org/officeDocument/2006/relationships/hyperlink" Target="https://tiendamia.com/cr/producto?amz=B09S5DXLW4&amp;pName=3%20Pairs%20Level%205%20Cut%20Resistant%20Gloves%20Safety%20Grip%20Woodworking%20Gloves%20Protective%20Cut%20Proof%20Gloves%20for%20Men%20Anti%20Cut%20Work%20Gloves%20PU%20Coated%20Gardening%20Gloves%20Comfortable%20Safety%20Cutting%20Gloves%20for%20Carving" TargetMode="External"/><Relationship Id="rId5" Type="http://schemas.openxmlformats.org/officeDocument/2006/relationships/hyperlink" Target="https://tiendamia.com/cr/producto?amz=B08PZ7Z2Y1&amp;pName=DEXI%20Anti%20Fatigue%20Kitchen%20Mat%20Cushioned%20Kitchen%20Rug&amp;comma;%203&amp;sol;4&amp;quot;%20Thick%20Heavy%20Duty%20Waterproof%20Floor%20Mat&amp;comma;%20Non-Slip%20Comfort%20Standing%20Mat%20for%20Kitchen&amp;comma;%20Desk&amp;comma;%20Floor&amp;comma;%20Office&amp;comma;%20Sink&amp;comma;%20Laundry&amp;comma;%2020&amp;quot;x48&amp;quot;&amp;comma;%20Grey" TargetMode="External"/><Relationship Id="rId15" Type="http://schemas.openxmlformats.org/officeDocument/2006/relationships/hyperlink" Target="https://tiendamia.com/cr/producto?amz=B004OQ9S9U&amp;pName=Rubbermaid%20Commercial%201792372%20Glutton%20Recycling%20Station&amp;comma;%20Four-Stream&amp;comma;%2092%20Gal&amp;comma;%20Blue" TargetMode="External"/><Relationship Id="rId23" Type="http://schemas.openxmlformats.org/officeDocument/2006/relationships/hyperlink" Target="https://tiendamia.com/cr/producto?amz=B01NAHT5CE&amp;pName=TORCHSTAR%20Metal%20Desk%20Lamp&amp;comma;%20Swing%20Arm%20Desk%20Lamps&amp;comma;%20Architect%20Desk%20Lamp%20with%20Clamp&amp;comma;%20Adjustable%20Gooseneck%20Table%20Lamp&amp;comma;%20Clip%20Desk%20Lights%20for%20Home%20Office&amp;comma;%20Work&amp;comma;%20Study&amp;comma;%20Reading&amp;comma;%20E26%20Base&amp;comma;%20Multi-Joint&amp;comma;%20Black" TargetMode="External"/><Relationship Id="rId28" Type="http://schemas.openxmlformats.org/officeDocument/2006/relationships/hyperlink" Target="https://tiendamia.com/cr/producto?amz=B00B2T9C8Y&amp;pName=iFixit%20Anti-Static%20Wrist%20Strap%20&amp;lpar;Adjustable%20up%20to%20Size%20XL&amp;rpar;%20-%20ESD%20Grounding%20Wristband" TargetMode="External"/><Relationship Id="rId36" Type="http://schemas.openxmlformats.org/officeDocument/2006/relationships/hyperlink" Target="https://tiendamia.com/cr/producto?amz=B0BSMZVH26&amp;pName=Canon%20Color%20imageCLASS%20MF656Cdw%20-%20All%20in%20One&amp;comma;%20Duplex&amp;comma;%20Wireless%20Laser%20Printer%20with%203%20Year%20Limited%20Warranty" TargetMode="External"/><Relationship Id="rId10" Type="http://schemas.openxmlformats.org/officeDocument/2006/relationships/hyperlink" Target="https://tiendamia.com/cr/producto?amz=B08PNHC6BD&amp;pName=VUSIGN%20White%20Board%20and%20Cork%20Board%20Combination&amp;comma;%2024&amp;quot;%20x%2036&amp;quot;%20Dry%20Erase%20Board%20and%20Corkboard%20Combo%20for%20Home%20or%20Office&amp;comma;%20Wall%20Mounted%20Notice%20Bulletin%20Board%20with%20Aluminum%20Frame" TargetMode="External"/><Relationship Id="rId19" Type="http://schemas.openxmlformats.org/officeDocument/2006/relationships/hyperlink" Target="https://tiendamia.com/cr/producto?amz=B00006IARN&amp;pName=Akro-Mils%2066486%2012-Gallon%20Plastic%20Stackable%20Storage%20Keepbox%20Tote%20Container%20with%20Attached%20Hinged%20Lid&amp;comma;%2021-1&amp;sol;2-Inch%20x%2015-Inch%20x%2012-1&amp;sol;2-Inch&amp;comma;%20Clear&amp;sol;Blue" TargetMode="External"/><Relationship Id="rId31" Type="http://schemas.openxmlformats.org/officeDocument/2006/relationships/hyperlink" Target="https://tiendamia.com/cr/producto?amz=B09D7W9YMN&amp;pName=FCXJTU%20Digital%20Dual%20Kitchen%20Timer&amp;comma;%203%20Channels%20Count%20UP&amp;sol;Down%20Timer&amp;comma;%20Cooking%20Timer&amp;comma;%20Large%20Display&amp;comma;%20Loud%20Volume%20Alarm%20and%20Flashing%20Light%20with%20Magnetic%20Back&amp;comma;%20Stand&amp;comma;%20Battery%20Included%20&amp;lpar;White&amp;rpar;" TargetMode="External"/><Relationship Id="rId4" Type="http://schemas.openxmlformats.org/officeDocument/2006/relationships/hyperlink" Target="https://www.officedepot.co.cr/officedepotCR/en/Registradores-y-Carpetas/c/02-07-0-0?q=%3Arelevance&amp;page=2" TargetMode="External"/><Relationship Id="rId9" Type="http://schemas.openxmlformats.org/officeDocument/2006/relationships/hyperlink" Target="https://tiendamia.com/cr/producto?amz=B06XKKGR43&amp;pName=Finnhomy%203%20Tier%20Heavy%20Duty%20Commercial%20Grade%20Utility%20Cart&amp;comma;%20Wire%20Rolling%20Cart%20with%20Handle%20Bar&amp;comma;%20Steel%20Service%20Cart%20with%20Wheels&amp;comma;%20Utility%20Shelf%20Plant%20Display%20Shelf%20Food%20Storage%20Trolley&amp;comma;%20NSF%20Listed" TargetMode="External"/><Relationship Id="rId14" Type="http://schemas.openxmlformats.org/officeDocument/2006/relationships/hyperlink" Target="https://tiendamia.com/cr/producto?amz=B00ZYLMQH0&amp;pName=Dell%20Wired%20Keyboard%20-%20Black%20KB216%20&amp;lpar;580-ADMT&amp;rpar;" TargetMode="External"/><Relationship Id="rId22" Type="http://schemas.openxmlformats.org/officeDocument/2006/relationships/hyperlink" Target="https://tiendamia.com/cr/producto?amz=B0BSMZVH26&amp;pName=Canon%20Color%20imageCLASS%20MF656Cdw%20-%20All%20in%20One&amp;comma;%20Duplex&amp;comma;%20Wireless%20Laser%20Printer%20with%203%20Year%20Limited%20Warranty" TargetMode="External"/><Relationship Id="rId27" Type="http://schemas.openxmlformats.org/officeDocument/2006/relationships/hyperlink" Target="https://tiendamia.com/cr/producto?amz=B007VR32FU&amp;pName=SHOWA%20-%20620L-09%20Atlas%20620%20Fully%20Coated%20Double-Dipped%20PVC%20Glove&amp;comma;%20Seamless%20Knitted%20Liner&amp;comma;%20Chemical%20Resistant&amp;comma;%2012&amp;quot;%20Length&amp;comma;%20Large%20&amp;lpar;Pack%20of%2012%20Pairs&amp;rpar;" TargetMode="External"/><Relationship Id="rId30" Type="http://schemas.openxmlformats.org/officeDocument/2006/relationships/hyperlink" Target="https://tiendamia.com/cr/producto?amz=B01GDJ2BH6&amp;pName=NADAMOO%20Wireless%20Barcode%20Scanner%20328%20Feet%20Transmission%20Distance%20USB%20Cordless%201D%20Laser%20Automatic%20Barcode%20Reader%20Handhold%20Bar%20Code%20Scanner%20with%20USB%20Receiver%20for%20Store&amp;comma;%20Supermarket&amp;comma;%20Warehouse" TargetMode="External"/><Relationship Id="rId35" Type="http://schemas.openxmlformats.org/officeDocument/2006/relationships/hyperlink" Target="https://tiendamia.com/cr/producto?amz=B09RBFGDJ8&amp;pName=Teacher%20Created%20Resources&amp;reg;%20Red%20Plastic%20Book%20Bi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1AA8-7C4D-4630-B31A-BCEA01D8482E}">
  <sheetPr codeName="Sheet1"/>
  <dimension ref="A1:DB57"/>
  <sheetViews>
    <sheetView tabSelected="1" workbookViewId="0">
      <selection activeCell="L14" sqref="L14"/>
    </sheetView>
  </sheetViews>
  <sheetFormatPr defaultColWidth="8.7109375" defaultRowHeight="15" x14ac:dyDescent="0.25"/>
  <cols>
    <col min="1" max="1" width="13.7109375" customWidth="1"/>
    <col min="2" max="2" width="32.85546875" style="13" customWidth="1"/>
    <col min="4" max="5" width="18.5703125" customWidth="1"/>
    <col min="6" max="6" width="9.85546875" bestFit="1" customWidth="1"/>
    <col min="7" max="7" width="35.140625" customWidth="1"/>
    <col min="8" max="8" width="18.28515625" customWidth="1"/>
  </cols>
  <sheetData>
    <row r="1" spans="1:8" ht="29.45" customHeight="1" x14ac:dyDescent="0.25">
      <c r="A1" s="108" t="s">
        <v>0</v>
      </c>
      <c r="B1" s="109"/>
      <c r="C1" s="109"/>
      <c r="D1" s="109"/>
      <c r="E1" s="109"/>
      <c r="F1" s="109"/>
      <c r="G1" s="109"/>
      <c r="H1" s="109"/>
    </row>
    <row r="2" spans="1:8" ht="23.1" customHeight="1" x14ac:dyDescent="0.25">
      <c r="A2" s="10" t="s">
        <v>1</v>
      </c>
      <c r="B2" s="10" t="s">
        <v>2</v>
      </c>
      <c r="C2" s="10" t="s">
        <v>3</v>
      </c>
      <c r="D2" s="10" t="s">
        <v>4</v>
      </c>
      <c r="E2" s="10" t="s">
        <v>214</v>
      </c>
      <c r="F2" s="10" t="s">
        <v>213</v>
      </c>
      <c r="G2" s="10" t="s">
        <v>7</v>
      </c>
      <c r="H2" s="17" t="s">
        <v>211</v>
      </c>
    </row>
    <row r="3" spans="1:8" ht="18.95" customHeight="1" x14ac:dyDescent="0.25">
      <c r="A3" s="100" t="s">
        <v>229</v>
      </c>
      <c r="B3" s="88" t="s">
        <v>12</v>
      </c>
      <c r="C3" s="7">
        <v>9</v>
      </c>
      <c r="D3" s="77" t="s">
        <v>83</v>
      </c>
      <c r="E3" s="80">
        <v>2.5</v>
      </c>
      <c r="F3" s="42" t="str" cm="1">
        <f t="array" aca="1" ref="F3" ca="1">_xlfn.CONCAT(INDIRECT("E"&amp;ROW())*INDIRECT("C"&amp;ROW()), "KG")</f>
        <v>22.5KG</v>
      </c>
      <c r="G3" s="89" t="s">
        <v>14</v>
      </c>
      <c r="H3" s="77" t="s">
        <v>83</v>
      </c>
    </row>
    <row r="4" spans="1:8" x14ac:dyDescent="0.25">
      <c r="A4" s="100" t="s">
        <v>230</v>
      </c>
      <c r="B4" s="77" t="s">
        <v>17</v>
      </c>
      <c r="C4" s="78">
        <v>1</v>
      </c>
      <c r="D4" s="77" t="s">
        <v>83</v>
      </c>
      <c r="E4" s="81">
        <v>13.6</v>
      </c>
      <c r="F4" s="42" t="str" cm="1">
        <f t="array" aca="1" ref="F4" ca="1">_xlfn.CONCAT(INDIRECT("E"&amp;ROW())*INDIRECT("C"&amp;ROW()), "KG")</f>
        <v>13.6KG</v>
      </c>
      <c r="G4" s="77" t="s">
        <v>83</v>
      </c>
      <c r="H4" s="77" t="s">
        <v>83</v>
      </c>
    </row>
    <row r="5" spans="1:8" x14ac:dyDescent="0.25">
      <c r="A5" s="100" t="s">
        <v>231</v>
      </c>
      <c r="B5" s="77" t="s">
        <v>20</v>
      </c>
      <c r="C5" s="78">
        <v>1</v>
      </c>
      <c r="D5" s="77" t="s">
        <v>83</v>
      </c>
      <c r="E5" s="81">
        <v>3.9</v>
      </c>
      <c r="F5" s="42" t="str" cm="1">
        <f t="array" aca="1" ref="F5" ca="1">_xlfn.CONCAT(INDIRECT("E"&amp;ROW())*INDIRECT("C"&amp;ROW()), "KG")</f>
        <v>3.9KG</v>
      </c>
      <c r="G5" s="77" t="s">
        <v>83</v>
      </c>
      <c r="H5" s="77" t="s">
        <v>83</v>
      </c>
    </row>
    <row r="6" spans="1:8" x14ac:dyDescent="0.25">
      <c r="A6" s="100" t="s">
        <v>232</v>
      </c>
      <c r="B6" s="79" t="s">
        <v>23</v>
      </c>
      <c r="C6" s="78">
        <v>2</v>
      </c>
      <c r="D6" s="77" t="s">
        <v>83</v>
      </c>
      <c r="E6" s="81">
        <v>0.6</v>
      </c>
      <c r="F6" s="42" t="str" cm="1">
        <f t="array" aca="1" ref="F6" ca="1">_xlfn.CONCAT(INDIRECT("E"&amp;ROW())*INDIRECT("C"&amp;ROW()), "KG")</f>
        <v>1.2KG</v>
      </c>
      <c r="G6" s="89" t="s">
        <v>25</v>
      </c>
      <c r="H6" s="48" t="s">
        <v>26</v>
      </c>
    </row>
    <row r="7" spans="1:8" x14ac:dyDescent="0.25">
      <c r="A7" s="100" t="s">
        <v>233</v>
      </c>
      <c r="B7" s="90" t="s">
        <v>28</v>
      </c>
      <c r="C7" s="78">
        <v>1</v>
      </c>
      <c r="D7" s="77" t="s">
        <v>83</v>
      </c>
      <c r="E7" s="81">
        <v>9.6999999999999993</v>
      </c>
      <c r="F7" s="42" t="str" cm="1">
        <f t="array" aca="1" ref="F7" ca="1">_xlfn.CONCAT(INDIRECT("E"&amp;ROW())*INDIRECT("C"&amp;ROW()), "KG")</f>
        <v>9.7KG</v>
      </c>
      <c r="G7" s="77" t="s">
        <v>83</v>
      </c>
      <c r="H7" s="77" t="s">
        <v>83</v>
      </c>
    </row>
    <row r="8" spans="1:8" x14ac:dyDescent="0.25">
      <c r="A8" s="100" t="s">
        <v>234</v>
      </c>
      <c r="B8" s="79" t="s">
        <v>31</v>
      </c>
      <c r="C8" s="78">
        <v>1</v>
      </c>
      <c r="D8" s="77" t="s">
        <v>83</v>
      </c>
      <c r="E8" s="81">
        <v>5.3</v>
      </c>
      <c r="F8" s="42" t="str" cm="1">
        <f t="array" aca="1" ref="F8" ca="1">_xlfn.CONCAT(INDIRECT("E"&amp;ROW())*INDIRECT("C"&amp;ROW()), "KG")</f>
        <v>5.3KG</v>
      </c>
      <c r="G8" s="77" t="s">
        <v>83</v>
      </c>
      <c r="H8" s="48" t="s">
        <v>26</v>
      </c>
    </row>
    <row r="9" spans="1:8" x14ac:dyDescent="0.25">
      <c r="A9" s="100" t="s">
        <v>235</v>
      </c>
      <c r="B9" s="79" t="s">
        <v>34</v>
      </c>
      <c r="C9" s="78">
        <v>9</v>
      </c>
      <c r="D9" s="77" t="s">
        <v>83</v>
      </c>
      <c r="E9" s="81">
        <v>0.3</v>
      </c>
      <c r="F9" s="42" t="str" cm="1">
        <f t="array" aca="1" ref="F9" ca="1">_xlfn.CONCAT(INDIRECT("E"&amp;ROW())*INDIRECT("C"&amp;ROW()), "KG")</f>
        <v>2.7KG</v>
      </c>
      <c r="G9" s="89" t="s">
        <v>36</v>
      </c>
      <c r="H9" s="77" t="s">
        <v>83</v>
      </c>
    </row>
    <row r="10" spans="1:8" x14ac:dyDescent="0.25">
      <c r="A10" s="100" t="s">
        <v>236</v>
      </c>
      <c r="B10" s="91" t="s">
        <v>38</v>
      </c>
      <c r="C10" s="78">
        <v>3</v>
      </c>
      <c r="D10" s="77" t="s">
        <v>83</v>
      </c>
      <c r="E10" s="81">
        <v>0.3</v>
      </c>
      <c r="F10" s="42" t="str" cm="1">
        <f t="array" aca="1" ref="F10" ca="1">_xlfn.CONCAT(INDIRECT("E"&amp;ROW())*INDIRECT("C"&amp;ROW()), "KG")</f>
        <v>0.9KG</v>
      </c>
      <c r="G10" s="89" t="s">
        <v>36</v>
      </c>
      <c r="H10" s="77" t="s">
        <v>83</v>
      </c>
    </row>
    <row r="11" spans="1:8" ht="30" x14ac:dyDescent="0.25">
      <c r="A11" s="100" t="s">
        <v>237</v>
      </c>
      <c r="B11" s="91" t="s">
        <v>41</v>
      </c>
      <c r="C11" s="78">
        <v>1</v>
      </c>
      <c r="D11" s="77" t="s">
        <v>83</v>
      </c>
      <c r="E11" s="81">
        <v>19.899999999999999</v>
      </c>
      <c r="F11" s="42" t="str" cm="1">
        <f t="array" aca="1" ref="F11" ca="1">_xlfn.CONCAT(INDIRECT("E"&amp;ROW())*INDIRECT("C"&amp;ROW()), "KG")</f>
        <v>19.9KG</v>
      </c>
      <c r="G11" s="77" t="s">
        <v>83</v>
      </c>
      <c r="H11" s="77" t="s">
        <v>83</v>
      </c>
    </row>
    <row r="12" spans="1:8" x14ac:dyDescent="0.25">
      <c r="A12" s="100" t="s">
        <v>238</v>
      </c>
      <c r="B12" s="79" t="s">
        <v>44</v>
      </c>
      <c r="C12" s="78">
        <v>1</v>
      </c>
      <c r="D12" s="77" t="s">
        <v>83</v>
      </c>
      <c r="E12" s="81">
        <v>1.9</v>
      </c>
      <c r="F12" s="42" t="str" cm="1">
        <f t="array" aca="1" ref="F12" ca="1">_xlfn.CONCAT(INDIRECT("E"&amp;ROW())*INDIRECT("C"&amp;ROW()), "KG")</f>
        <v>1.9KG</v>
      </c>
      <c r="G12" s="89" t="s">
        <v>46</v>
      </c>
      <c r="H12" s="77" t="s">
        <v>83</v>
      </c>
    </row>
    <row r="13" spans="1:8" x14ac:dyDescent="0.25">
      <c r="A13" s="100" t="s">
        <v>239</v>
      </c>
      <c r="B13" s="79" t="s">
        <v>48</v>
      </c>
      <c r="C13" s="78">
        <v>1</v>
      </c>
      <c r="D13" s="77" t="s">
        <v>83</v>
      </c>
      <c r="E13" s="81">
        <v>2.8</v>
      </c>
      <c r="F13" s="42" t="str" cm="1">
        <f t="array" aca="1" ref="F13" ca="1">_xlfn.CONCAT(INDIRECT("E"&amp;ROW())*INDIRECT("C"&amp;ROW()), "KG")</f>
        <v>2.8KG</v>
      </c>
      <c r="G13" s="77" t="s">
        <v>83</v>
      </c>
      <c r="H13" s="77" t="s">
        <v>83</v>
      </c>
    </row>
    <row r="14" spans="1:8" x14ac:dyDescent="0.25">
      <c r="A14" s="100" t="s">
        <v>240</v>
      </c>
      <c r="B14" s="79" t="s">
        <v>51</v>
      </c>
      <c r="C14" s="78">
        <v>1</v>
      </c>
      <c r="D14" s="77" t="s">
        <v>83</v>
      </c>
      <c r="E14" s="81">
        <v>1.2</v>
      </c>
      <c r="F14" s="42" t="str" cm="1">
        <f t="array" aca="1" ref="F14" ca="1">_xlfn.CONCAT(INDIRECT("E"&amp;ROW())*INDIRECT("C"&amp;ROW()), "KG")</f>
        <v>1.2KG</v>
      </c>
      <c r="G14" s="89" t="s">
        <v>53</v>
      </c>
      <c r="H14" s="77" t="s">
        <v>83</v>
      </c>
    </row>
    <row r="15" spans="1:8" x14ac:dyDescent="0.25">
      <c r="A15" s="100" t="s">
        <v>241</v>
      </c>
      <c r="B15" s="79" t="s">
        <v>55</v>
      </c>
      <c r="C15" s="78">
        <v>1</v>
      </c>
      <c r="D15" s="77" t="s">
        <v>83</v>
      </c>
      <c r="E15" s="81">
        <v>5.2</v>
      </c>
      <c r="F15" s="42" t="str" cm="1">
        <f t="array" aca="1" ref="F15" ca="1">_xlfn.CONCAT(INDIRECT("E"&amp;ROW())*INDIRECT("C"&amp;ROW()), "KG")</f>
        <v>5.2KG</v>
      </c>
      <c r="G15" s="77" t="s">
        <v>83</v>
      </c>
      <c r="H15" s="77" t="s">
        <v>83</v>
      </c>
    </row>
    <row r="16" spans="1:8" x14ac:dyDescent="0.25">
      <c r="A16" s="100" t="s">
        <v>242</v>
      </c>
      <c r="B16" s="79" t="s">
        <v>58</v>
      </c>
      <c r="C16" s="78">
        <v>0</v>
      </c>
      <c r="D16" s="77" t="s">
        <v>83</v>
      </c>
      <c r="E16" s="81">
        <v>31.2</v>
      </c>
      <c r="F16" s="42" t="str" cm="1">
        <f t="array" aca="1" ref="F16" ca="1">_xlfn.CONCAT(INDIRECT("E"&amp;ROW())*INDIRECT("C"&amp;ROW()), "KG")</f>
        <v>0KG</v>
      </c>
      <c r="G16" s="77" t="s">
        <v>83</v>
      </c>
      <c r="H16" s="77" t="s">
        <v>83</v>
      </c>
    </row>
    <row r="17" spans="1:8" x14ac:dyDescent="0.25">
      <c r="A17" s="100" t="s">
        <v>243</v>
      </c>
      <c r="B17" s="79" t="s">
        <v>61</v>
      </c>
      <c r="C17" s="78">
        <v>1</v>
      </c>
      <c r="D17" s="77" t="s">
        <v>83</v>
      </c>
      <c r="E17" s="81">
        <v>0.8</v>
      </c>
      <c r="F17" s="42" t="str" cm="1">
        <f t="array" aca="1" ref="F17" ca="1">_xlfn.CONCAT(INDIRECT("E"&amp;ROW())*INDIRECT("C"&amp;ROW()), "KG")</f>
        <v>0.8KG</v>
      </c>
      <c r="G17" s="89" t="s">
        <v>63</v>
      </c>
      <c r="H17" s="77" t="s">
        <v>83</v>
      </c>
    </row>
    <row r="18" spans="1:8" x14ac:dyDescent="0.25">
      <c r="A18" s="100" t="s">
        <v>244</v>
      </c>
      <c r="B18" s="79" t="s">
        <v>65</v>
      </c>
      <c r="C18" s="78">
        <v>7</v>
      </c>
      <c r="D18" s="77" t="s">
        <v>83</v>
      </c>
      <c r="E18" s="81">
        <v>0.6</v>
      </c>
      <c r="F18" s="42" t="str" cm="1">
        <f t="array" aca="1" ref="F18" ca="1">_xlfn.CONCAT(INDIRECT("E"&amp;ROW())*INDIRECT("C"&amp;ROW()), "KG")</f>
        <v>4.2KG</v>
      </c>
      <c r="G18" s="89" t="s">
        <v>25</v>
      </c>
      <c r="H18" s="77" t="s">
        <v>83</v>
      </c>
    </row>
    <row r="19" spans="1:8" x14ac:dyDescent="0.25">
      <c r="A19" s="100" t="s">
        <v>245</v>
      </c>
      <c r="B19" s="79" t="s">
        <v>68</v>
      </c>
      <c r="C19" s="78">
        <v>2</v>
      </c>
      <c r="D19" s="77" t="s">
        <v>83</v>
      </c>
      <c r="E19" s="81">
        <v>0.1</v>
      </c>
      <c r="F19" s="42" t="str" cm="1">
        <f t="array" aca="1" ref="F19" ca="1">_xlfn.CONCAT(INDIRECT("E"&amp;ROW())*INDIRECT("C"&amp;ROW()), "KG")</f>
        <v>0.2KG</v>
      </c>
      <c r="G19" s="89" t="s">
        <v>70</v>
      </c>
      <c r="H19" s="77" t="s">
        <v>83</v>
      </c>
    </row>
    <row r="20" spans="1:8" x14ac:dyDescent="0.25">
      <c r="A20" s="100" t="s">
        <v>246</v>
      </c>
      <c r="B20" s="79" t="s">
        <v>72</v>
      </c>
      <c r="C20" s="78">
        <v>1</v>
      </c>
      <c r="D20" s="77" t="s">
        <v>83</v>
      </c>
      <c r="E20" s="81">
        <v>0.1</v>
      </c>
      <c r="F20" s="42" t="str" cm="1">
        <f t="array" aca="1" ref="F20" ca="1">_xlfn.CONCAT(INDIRECT("E"&amp;ROW())*INDIRECT("C"&amp;ROW()), "KG")</f>
        <v>0.1KG</v>
      </c>
      <c r="G20" s="89" t="s">
        <v>70</v>
      </c>
      <c r="H20" s="48" t="s">
        <v>74</v>
      </c>
    </row>
    <row r="21" spans="1:8" x14ac:dyDescent="0.25">
      <c r="A21" s="100" t="s">
        <v>247</v>
      </c>
      <c r="B21" s="79" t="s">
        <v>76</v>
      </c>
      <c r="C21" s="78">
        <v>2</v>
      </c>
      <c r="D21" s="77" t="s">
        <v>83</v>
      </c>
      <c r="E21" s="81">
        <v>0.15</v>
      </c>
      <c r="F21" s="42" t="str" cm="1">
        <f t="array" aca="1" ref="F21" ca="1">_xlfn.CONCAT(INDIRECT("E"&amp;ROW())*INDIRECT("C"&amp;ROW()), "KG")</f>
        <v>0.3KG</v>
      </c>
      <c r="G21" s="89" t="s">
        <v>78</v>
      </c>
      <c r="H21" s="77" t="s">
        <v>83</v>
      </c>
    </row>
    <row r="22" spans="1:8" x14ac:dyDescent="0.25">
      <c r="A22" s="100" t="s">
        <v>248</v>
      </c>
      <c r="B22" s="79" t="s">
        <v>80</v>
      </c>
      <c r="C22" s="78">
        <v>2</v>
      </c>
      <c r="D22" s="77" t="s">
        <v>83</v>
      </c>
      <c r="E22" s="81">
        <v>4.5999999999999996</v>
      </c>
      <c r="F22" s="42" t="str" cm="1">
        <f t="array" aca="1" ref="F22" ca="1">_xlfn.CONCAT(INDIRECT("E"&amp;ROW())*INDIRECT("C"&amp;ROW()), "KG")</f>
        <v>9.2KG</v>
      </c>
      <c r="G22" s="77" t="s">
        <v>83</v>
      </c>
      <c r="H22" s="77" t="s">
        <v>83</v>
      </c>
    </row>
    <row r="23" spans="1:8" x14ac:dyDescent="0.25">
      <c r="A23" s="100" t="s">
        <v>249</v>
      </c>
      <c r="B23" s="79" t="s">
        <v>82</v>
      </c>
      <c r="C23" s="78">
        <v>23</v>
      </c>
      <c r="D23" s="77" t="s">
        <v>83</v>
      </c>
      <c r="E23" s="81">
        <v>0.1</v>
      </c>
      <c r="F23" s="42" t="str" cm="1">
        <f t="array" aca="1" ref="F23" ca="1">_xlfn.CONCAT(INDIRECT("E"&amp;ROW())*INDIRECT("C"&amp;ROW()), "KG")</f>
        <v>2.3KG</v>
      </c>
      <c r="G23" s="89" t="s">
        <v>70</v>
      </c>
      <c r="H23" s="77" t="s">
        <v>83</v>
      </c>
    </row>
    <row r="24" spans="1:8" x14ac:dyDescent="0.25">
      <c r="A24" s="100" t="s">
        <v>250</v>
      </c>
      <c r="B24" s="79" t="s">
        <v>86</v>
      </c>
      <c r="C24" s="78">
        <v>1</v>
      </c>
      <c r="D24" s="77" t="s">
        <v>83</v>
      </c>
      <c r="E24" s="81">
        <v>10.7</v>
      </c>
      <c r="F24" s="42" t="str" cm="1">
        <f t="array" aca="1" ref="F24" ca="1">_xlfn.CONCAT(INDIRECT("E"&amp;ROW())*INDIRECT("C"&amp;ROW()), "KG")</f>
        <v>10.7KG</v>
      </c>
      <c r="G24" s="77" t="s">
        <v>83</v>
      </c>
      <c r="H24" s="77" t="s">
        <v>83</v>
      </c>
    </row>
    <row r="25" spans="1:8" x14ac:dyDescent="0.25">
      <c r="A25" s="100" t="s">
        <v>251</v>
      </c>
      <c r="B25" s="77" t="s">
        <v>204</v>
      </c>
      <c r="C25" s="42">
        <v>2</v>
      </c>
      <c r="D25" s="77" t="s">
        <v>83</v>
      </c>
      <c r="E25" s="87">
        <v>20.75</v>
      </c>
      <c r="F25" s="42" t="str" cm="1">
        <f t="array" aca="1" ref="F25" ca="1">_xlfn.CONCAT(INDIRECT("E"&amp;ROW())*INDIRECT("C"&amp;ROW()), "KG")</f>
        <v>41.5KG</v>
      </c>
      <c r="G25" s="77" t="s">
        <v>83</v>
      </c>
      <c r="H25" s="77" t="s">
        <v>144</v>
      </c>
    </row>
    <row r="26" spans="1:8" x14ac:dyDescent="0.25">
      <c r="A26" s="100" t="s">
        <v>252</v>
      </c>
      <c r="B26" s="21" t="s">
        <v>92</v>
      </c>
      <c r="C26" s="22">
        <v>19</v>
      </c>
      <c r="D26" s="77" t="s">
        <v>83</v>
      </c>
      <c r="E26" s="82">
        <v>1.4</v>
      </c>
      <c r="F26" s="42" t="str" cm="1">
        <f t="array" aca="1" ref="F26" ca="1">_xlfn.CONCAT(INDIRECT("E"&amp;ROW())*INDIRECT("C"&amp;ROW()), "KG")</f>
        <v>26.6KG</v>
      </c>
      <c r="G26" s="92" t="s">
        <v>93</v>
      </c>
      <c r="H26" s="77" t="s">
        <v>83</v>
      </c>
    </row>
    <row r="27" spans="1:8" x14ac:dyDescent="0.25">
      <c r="A27" s="100" t="s">
        <v>253</v>
      </c>
      <c r="B27" s="93" t="s">
        <v>95</v>
      </c>
      <c r="C27" s="101">
        <v>3</v>
      </c>
      <c r="D27" s="46" t="s">
        <v>83</v>
      </c>
      <c r="E27" s="83">
        <v>5.2</v>
      </c>
      <c r="F27" s="42" t="str" cm="1">
        <f t="array" aca="1" ref="F27" ca="1">_xlfn.CONCAT(INDIRECT("E"&amp;ROW())*INDIRECT("C"&amp;ROW()), "KG")</f>
        <v>15.6KG</v>
      </c>
      <c r="G27" s="77" t="s">
        <v>83</v>
      </c>
      <c r="H27" s="77" t="s">
        <v>83</v>
      </c>
    </row>
    <row r="28" spans="1:8" x14ac:dyDescent="0.25">
      <c r="A28" s="100" t="s">
        <v>254</v>
      </c>
      <c r="B28" s="96" t="s">
        <v>98</v>
      </c>
      <c r="C28" s="26">
        <v>2</v>
      </c>
      <c r="D28" s="33" t="s">
        <v>83</v>
      </c>
      <c r="E28" s="84">
        <v>0.4</v>
      </c>
      <c r="F28" s="42" t="str" cm="1">
        <f t="array" aca="1" ref="F28" ca="1">_xlfn.CONCAT(INDIRECT("E"&amp;ROW())*INDIRECT("C"&amp;ROW()), "KG")</f>
        <v>0.8KG</v>
      </c>
      <c r="G28" s="97" t="s">
        <v>99</v>
      </c>
      <c r="H28" s="77" t="s">
        <v>83</v>
      </c>
    </row>
    <row r="29" spans="1:8" x14ac:dyDescent="0.25">
      <c r="A29" s="100" t="s">
        <v>255</v>
      </c>
      <c r="B29" s="96" t="s">
        <v>101</v>
      </c>
      <c r="C29" s="26">
        <v>3</v>
      </c>
      <c r="D29" s="33" t="s">
        <v>102</v>
      </c>
      <c r="E29" s="84">
        <v>1.9</v>
      </c>
      <c r="F29" s="42" t="str" cm="1">
        <f t="array" aca="1" ref="F29" ca="1">_xlfn.CONCAT(INDIRECT("E"&amp;ROW())*INDIRECT("C"&amp;ROW()), "KG")</f>
        <v>5.7KG</v>
      </c>
      <c r="G29" s="77" t="s">
        <v>83</v>
      </c>
      <c r="H29" s="77" t="s">
        <v>83</v>
      </c>
    </row>
    <row r="30" spans="1:8" x14ac:dyDescent="0.25">
      <c r="A30" s="100" t="s">
        <v>256</v>
      </c>
      <c r="B30" s="96" t="s">
        <v>104</v>
      </c>
      <c r="C30" s="26">
        <v>1</v>
      </c>
      <c r="D30" s="33" t="s">
        <v>83</v>
      </c>
      <c r="E30" s="84">
        <v>1.2</v>
      </c>
      <c r="F30" s="42" t="str" cm="1">
        <f t="array" aca="1" ref="F30" ca="1">_xlfn.CONCAT(INDIRECT("E"&amp;ROW())*INDIRECT("C"&amp;ROW()), "KG")</f>
        <v>1.2KG</v>
      </c>
      <c r="G30" s="77" t="s">
        <v>83</v>
      </c>
      <c r="H30" s="77" t="s">
        <v>83</v>
      </c>
    </row>
    <row r="31" spans="1:8" x14ac:dyDescent="0.25">
      <c r="A31" s="100" t="s">
        <v>257</v>
      </c>
      <c r="B31" s="93" t="s">
        <v>106</v>
      </c>
      <c r="C31" s="40">
        <v>1</v>
      </c>
      <c r="D31" s="46" t="s">
        <v>83</v>
      </c>
      <c r="E31" s="83">
        <v>0.6</v>
      </c>
      <c r="F31" s="42" t="str" cm="1">
        <f t="array" aca="1" ref="F31" ca="1">_xlfn.CONCAT(INDIRECT("E"&amp;ROW())*INDIRECT("C"&amp;ROW()), "KG")</f>
        <v>0.6KG</v>
      </c>
      <c r="G31" s="77" t="s">
        <v>83</v>
      </c>
      <c r="H31" s="77" t="s">
        <v>83</v>
      </c>
    </row>
    <row r="32" spans="1:8" x14ac:dyDescent="0.25">
      <c r="A32" s="100" t="s">
        <v>258</v>
      </c>
      <c r="B32" s="48" t="s">
        <v>184</v>
      </c>
      <c r="C32" s="95">
        <v>12</v>
      </c>
      <c r="D32" s="48" t="s">
        <v>83</v>
      </c>
      <c r="E32" s="85">
        <v>0.2</v>
      </c>
      <c r="F32" s="42" t="str" cm="1">
        <f t="array" aca="1" ref="F32" ca="1">_xlfn.CONCAT(INDIRECT("E"&amp;ROW())*INDIRECT("C"&amp;ROW()), "KG")</f>
        <v>2.4KG</v>
      </c>
      <c r="G32" s="97" t="s">
        <v>108</v>
      </c>
      <c r="H32" s="107">
        <v>45082</v>
      </c>
    </row>
    <row r="33" spans="1:106" x14ac:dyDescent="0.25">
      <c r="A33" s="100" t="s">
        <v>259</v>
      </c>
      <c r="B33" s="48" t="s">
        <v>110</v>
      </c>
      <c r="C33" s="95">
        <v>1</v>
      </c>
      <c r="D33" s="48" t="s">
        <v>83</v>
      </c>
      <c r="E33" s="85">
        <v>2.2999999999999998</v>
      </c>
      <c r="F33" s="42" t="str" cm="1">
        <f t="array" aca="1" ref="F33" ca="1">_xlfn.CONCAT(INDIRECT("E"&amp;ROW())*INDIRECT("C"&amp;ROW()), "KG")</f>
        <v>2.3KG</v>
      </c>
      <c r="G33" s="77" t="s">
        <v>83</v>
      </c>
      <c r="H33" s="77" t="s">
        <v>83</v>
      </c>
    </row>
    <row r="34" spans="1:106" x14ac:dyDescent="0.25">
      <c r="A34" s="100" t="s">
        <v>260</v>
      </c>
      <c r="B34" s="48" t="s">
        <v>112</v>
      </c>
      <c r="C34" s="95">
        <v>3</v>
      </c>
      <c r="D34" s="48" t="s">
        <v>83</v>
      </c>
      <c r="E34" s="85">
        <v>0.7</v>
      </c>
      <c r="F34" s="42" t="str" cm="1">
        <f t="array" aca="1" ref="F34" ca="1">_xlfn.CONCAT(INDIRECT("E"&amp;ROW())*INDIRECT("C"&amp;ROW()), "KG")</f>
        <v>2.1KG</v>
      </c>
      <c r="G34" s="97" t="s">
        <v>113</v>
      </c>
      <c r="H34" s="77" t="s">
        <v>83</v>
      </c>
    </row>
    <row r="35" spans="1:106" x14ac:dyDescent="0.25">
      <c r="A35" s="100" t="s">
        <v>261</v>
      </c>
      <c r="B35" s="48" t="s">
        <v>115</v>
      </c>
      <c r="C35" s="95">
        <v>3</v>
      </c>
      <c r="D35" s="48" t="s">
        <v>83</v>
      </c>
      <c r="E35" s="85">
        <v>0.9</v>
      </c>
      <c r="F35" s="42" t="str" cm="1">
        <f t="array" aca="1" ref="F35" ca="1">_xlfn.CONCAT(INDIRECT("E"&amp;ROW())*INDIRECT("C"&amp;ROW()), "KG")</f>
        <v>2.7KG</v>
      </c>
      <c r="G35" s="97" t="s">
        <v>116</v>
      </c>
      <c r="H35" s="77" t="s">
        <v>83</v>
      </c>
    </row>
    <row r="36" spans="1:106" x14ac:dyDescent="0.25">
      <c r="A36" s="100" t="s">
        <v>262</v>
      </c>
      <c r="B36" s="48" t="s">
        <v>225</v>
      </c>
      <c r="C36" s="95">
        <v>1</v>
      </c>
      <c r="D36" s="48" t="s">
        <v>83</v>
      </c>
      <c r="E36" s="85">
        <v>0.4</v>
      </c>
      <c r="F36" s="42" t="str" cm="1">
        <f t="array" aca="1" ref="F36" ca="1">_xlfn.CONCAT(INDIRECT("E"&amp;ROW())*INDIRECT("C"&amp;ROW()), "KG")</f>
        <v>0.4KG</v>
      </c>
      <c r="G36" s="77" t="s">
        <v>83</v>
      </c>
      <c r="H36" s="77" t="s">
        <v>83</v>
      </c>
    </row>
    <row r="37" spans="1:106" x14ac:dyDescent="0.25">
      <c r="A37" s="100" t="s">
        <v>263</v>
      </c>
      <c r="B37" s="49" t="s">
        <v>224</v>
      </c>
      <c r="C37" s="98">
        <v>1</v>
      </c>
      <c r="D37" s="49" t="s">
        <v>83</v>
      </c>
      <c r="E37" s="86">
        <v>1.2</v>
      </c>
      <c r="F37" s="42" t="str" cm="1">
        <f t="array" aca="1" ref="F37" ca="1">_xlfn.CONCAT(INDIRECT("E"&amp;ROW())*INDIRECT("C"&amp;ROW()), "KG")</f>
        <v>1.2KG</v>
      </c>
      <c r="G37" s="77" t="s">
        <v>83</v>
      </c>
      <c r="H37" s="94" t="s">
        <v>121</v>
      </c>
    </row>
    <row r="38" spans="1:106" s="25" customFormat="1" x14ac:dyDescent="0.25">
      <c r="A38" s="100" t="s">
        <v>264</v>
      </c>
      <c r="B38" s="49" t="s">
        <v>223</v>
      </c>
      <c r="C38" s="98">
        <v>4</v>
      </c>
      <c r="D38" s="49" t="s">
        <v>83</v>
      </c>
      <c r="E38" s="86">
        <v>0.3</v>
      </c>
      <c r="F38" s="42" t="str" cm="1">
        <f t="array" aca="1" ref="F38" ca="1">_xlfn.CONCAT(INDIRECT("E"&amp;ROW())*INDIRECT("C"&amp;ROW()), "KG")</f>
        <v>1.2KG</v>
      </c>
      <c r="G38" s="99" t="s">
        <v>124</v>
      </c>
      <c r="H38" s="77" t="s">
        <v>83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 s="28"/>
    </row>
    <row r="39" spans="1:106" s="25" customFormat="1" x14ac:dyDescent="0.25">
      <c r="A39" s="100" t="s">
        <v>265</v>
      </c>
      <c r="B39" s="49" t="s">
        <v>126</v>
      </c>
      <c r="C39" s="98">
        <v>2</v>
      </c>
      <c r="D39" s="49" t="s">
        <v>83</v>
      </c>
      <c r="E39" s="86">
        <v>2.4</v>
      </c>
      <c r="F39" s="42" t="str" cm="1">
        <f t="array" aca="1" ref="F39" ca="1">_xlfn.CONCAT(INDIRECT("E"&amp;ROW())*INDIRECT("C"&amp;ROW()), "KG")</f>
        <v>4.8KG</v>
      </c>
      <c r="G39" s="94" t="s">
        <v>127</v>
      </c>
      <c r="H39" s="77" t="s">
        <v>83</v>
      </c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 s="28"/>
    </row>
    <row r="40" spans="1:106" s="15" customFormat="1" x14ac:dyDescent="0.25">
      <c r="A40" s="100" t="s">
        <v>266</v>
      </c>
      <c r="B40" s="49" t="s">
        <v>222</v>
      </c>
      <c r="C40" s="98">
        <v>1</v>
      </c>
      <c r="D40" s="49" t="s">
        <v>130</v>
      </c>
      <c r="E40" s="86">
        <v>10.6</v>
      </c>
      <c r="F40" s="42" t="str" cm="1">
        <f t="array" aca="1" ref="F40" ca="1">_xlfn.CONCAT(INDIRECT("E"&amp;ROW())*INDIRECT("C"&amp;ROW()), "KG")</f>
        <v>10.6KG</v>
      </c>
      <c r="G40" s="77" t="s">
        <v>83</v>
      </c>
      <c r="H40" s="77" t="s">
        <v>83</v>
      </c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 s="27"/>
    </row>
    <row r="41" spans="1:106" x14ac:dyDescent="0.25">
      <c r="A41" s="100" t="s">
        <v>131</v>
      </c>
      <c r="B41" s="49" t="s">
        <v>221</v>
      </c>
      <c r="C41" s="98">
        <v>7</v>
      </c>
      <c r="D41" s="49" t="s">
        <v>83</v>
      </c>
      <c r="E41" s="86">
        <v>1.1000000000000001</v>
      </c>
      <c r="F41" s="42" t="str" cm="1">
        <f t="array" aca="1" ref="F41" ca="1">_xlfn.CONCAT(INDIRECT("E"&amp;ROW())*INDIRECT("C"&amp;ROW()), "KG")</f>
        <v>7.7KG</v>
      </c>
      <c r="G41" s="77" t="s">
        <v>83</v>
      </c>
      <c r="H41" s="107">
        <v>45082</v>
      </c>
    </row>
    <row r="42" spans="1:106" x14ac:dyDescent="0.25">
      <c r="A42" s="100" t="s">
        <v>132</v>
      </c>
      <c r="B42" s="49" t="s">
        <v>133</v>
      </c>
      <c r="C42" s="98">
        <v>4</v>
      </c>
      <c r="D42" s="49" t="s">
        <v>83</v>
      </c>
      <c r="E42" s="86">
        <v>0.3</v>
      </c>
      <c r="F42" s="42" t="str" cm="1">
        <f t="array" aca="1" ref="F42" ca="1">_xlfn.CONCAT(INDIRECT("E"&amp;ROW())*INDIRECT("C"&amp;ROW()), "KG")</f>
        <v>1.2KG</v>
      </c>
      <c r="G42" s="77" t="s">
        <v>83</v>
      </c>
      <c r="H42" s="77" t="s">
        <v>83</v>
      </c>
    </row>
    <row r="43" spans="1:106" x14ac:dyDescent="0.25">
      <c r="A43" s="100" t="s">
        <v>134</v>
      </c>
      <c r="B43" s="49" t="s">
        <v>220</v>
      </c>
      <c r="C43" s="98">
        <v>7</v>
      </c>
      <c r="D43" s="49" t="s">
        <v>83</v>
      </c>
      <c r="E43" s="86">
        <v>0.4</v>
      </c>
      <c r="F43" s="42" t="str" cm="1">
        <f t="array" aca="1" ref="F43" ca="1">_xlfn.CONCAT(INDIRECT("E"&amp;ROW())*INDIRECT("C"&amp;ROW()), "KG")</f>
        <v>2.8KG</v>
      </c>
      <c r="G43" s="77" t="s">
        <v>83</v>
      </c>
      <c r="H43" s="49" t="s">
        <v>135</v>
      </c>
    </row>
    <row r="44" spans="1:106" x14ac:dyDescent="0.25">
      <c r="A44" s="100" t="s">
        <v>136</v>
      </c>
      <c r="B44" s="49" t="s">
        <v>219</v>
      </c>
      <c r="C44" s="98">
        <v>1</v>
      </c>
      <c r="D44" s="49" t="s">
        <v>83</v>
      </c>
      <c r="E44" s="86">
        <v>0.1</v>
      </c>
      <c r="F44" s="42" t="str" cm="1">
        <f t="array" aca="1" ref="F44" ca="1">_xlfn.CONCAT(INDIRECT("E"&amp;ROW())*INDIRECT("C"&amp;ROW()), "KG")</f>
        <v>0.1KG</v>
      </c>
      <c r="G44" s="77" t="s">
        <v>83</v>
      </c>
      <c r="H44" s="77" t="s">
        <v>83</v>
      </c>
    </row>
    <row r="45" spans="1:106" x14ac:dyDescent="0.25">
      <c r="A45" s="100" t="s">
        <v>137</v>
      </c>
      <c r="B45" s="48" t="s">
        <v>138</v>
      </c>
      <c r="C45" s="95">
        <v>2</v>
      </c>
      <c r="D45" s="48" t="s">
        <v>83</v>
      </c>
      <c r="E45" s="85">
        <v>0.6</v>
      </c>
      <c r="F45" s="42" t="str" cm="1">
        <f t="array" aca="1" ref="F45" ca="1">_xlfn.CONCAT(INDIRECT("E"&amp;ROW())*INDIRECT("C"&amp;ROW()), "KG")</f>
        <v>1.2KG</v>
      </c>
      <c r="G45" s="77" t="s">
        <v>83</v>
      </c>
      <c r="H45" s="77" t="s">
        <v>83</v>
      </c>
    </row>
    <row r="46" spans="1:106" x14ac:dyDescent="0.25">
      <c r="A46" s="100" t="s">
        <v>139</v>
      </c>
      <c r="B46" s="48" t="s">
        <v>218</v>
      </c>
      <c r="C46" s="95">
        <v>1</v>
      </c>
      <c r="D46" s="48" t="s">
        <v>83</v>
      </c>
      <c r="E46" s="85">
        <v>1.2</v>
      </c>
      <c r="F46" s="42" t="str" cm="1">
        <f t="array" aca="1" ref="F46" ca="1">_xlfn.CONCAT(INDIRECT("E"&amp;ROW())*INDIRECT("C"&amp;ROW()), "KG")</f>
        <v>1.2KG</v>
      </c>
      <c r="G46" s="77" t="s">
        <v>83</v>
      </c>
      <c r="H46" s="77" t="s">
        <v>83</v>
      </c>
    </row>
    <row r="47" spans="1:106" x14ac:dyDescent="0.25">
      <c r="A47" s="100" t="s">
        <v>140</v>
      </c>
      <c r="B47" s="48" t="s">
        <v>217</v>
      </c>
      <c r="C47" s="95">
        <v>1</v>
      </c>
      <c r="D47" s="48" t="s">
        <v>83</v>
      </c>
      <c r="E47" s="85">
        <v>2.2999999999999998</v>
      </c>
      <c r="F47" s="42" t="str" cm="1">
        <f t="array" aca="1" ref="F47" ca="1">_xlfn.CONCAT(INDIRECT("E"&amp;ROW())*INDIRECT("C"&amp;ROW()), "KG")</f>
        <v>2.3KG</v>
      </c>
      <c r="G47" s="77" t="s">
        <v>83</v>
      </c>
      <c r="H47" s="77" t="s">
        <v>83</v>
      </c>
    </row>
    <row r="48" spans="1:106" x14ac:dyDescent="0.25">
      <c r="A48" s="100" t="s">
        <v>141</v>
      </c>
      <c r="B48" s="49" t="s">
        <v>216</v>
      </c>
      <c r="C48" s="98">
        <v>1</v>
      </c>
      <c r="D48" s="49">
        <v>90281898</v>
      </c>
      <c r="E48" s="86">
        <v>4.7</v>
      </c>
      <c r="F48" s="42" t="str" cm="1">
        <f t="array" aca="1" ref="F48" ca="1">_xlfn.CONCAT(INDIRECT("E"&amp;ROW())*INDIRECT("C"&amp;ROW()), "KG")</f>
        <v>4.7KG</v>
      </c>
      <c r="G48" s="77" t="s">
        <v>83</v>
      </c>
      <c r="H48" s="77" t="s">
        <v>83</v>
      </c>
    </row>
    <row r="49" spans="1:8" x14ac:dyDescent="0.25">
      <c r="A49" s="100" t="s">
        <v>226</v>
      </c>
      <c r="B49" s="77" t="s">
        <v>142</v>
      </c>
      <c r="C49" s="42">
        <v>2</v>
      </c>
      <c r="D49" s="77" t="s">
        <v>83</v>
      </c>
      <c r="E49" s="87">
        <v>14.5</v>
      </c>
      <c r="F49" s="42" t="str" cm="1">
        <f t="array" aca="1" ref="F49" ca="1">_xlfn.CONCAT(INDIRECT("E"&amp;ROW())*INDIRECT("C"&amp;ROW()), "KG")</f>
        <v>29KG</v>
      </c>
      <c r="G49" s="89" t="s">
        <v>143</v>
      </c>
      <c r="H49" s="77" t="s">
        <v>144</v>
      </c>
    </row>
    <row r="50" spans="1:8" x14ac:dyDescent="0.25">
      <c r="A50" s="100" t="s">
        <v>227</v>
      </c>
      <c r="B50" s="77" t="s">
        <v>215</v>
      </c>
      <c r="C50" s="42">
        <v>3</v>
      </c>
      <c r="D50" s="77" t="s">
        <v>83</v>
      </c>
      <c r="E50" s="87">
        <v>3.6</v>
      </c>
      <c r="F50" s="42" t="str" cm="1">
        <f t="array" aca="1" ref="F50" ca="1">_xlfn.CONCAT(INDIRECT("E"&amp;ROW())*INDIRECT("C"&amp;ROW()), "KG")</f>
        <v>10.8KG</v>
      </c>
      <c r="G50" s="89" t="s">
        <v>147</v>
      </c>
      <c r="H50" s="77" t="s">
        <v>83</v>
      </c>
    </row>
    <row r="51" spans="1:8" x14ac:dyDescent="0.25">
      <c r="A51" s="102" t="s">
        <v>228</v>
      </c>
      <c r="B51" s="103" t="s">
        <v>267</v>
      </c>
      <c r="C51" s="102">
        <v>0</v>
      </c>
      <c r="D51" s="103" t="s">
        <v>83</v>
      </c>
      <c r="E51" s="103">
        <v>5</v>
      </c>
      <c r="F51" s="102" t="str">
        <f ca="1">_xlfn.CONCAT(INDIRECT("E"&amp;ROW())*INDIRECT("C"&amp;ROW()), "KG")</f>
        <v>0KG</v>
      </c>
      <c r="G51" s="103" t="s">
        <v>83</v>
      </c>
      <c r="H51" s="104">
        <v>45082</v>
      </c>
    </row>
    <row r="52" spans="1:8" x14ac:dyDescent="0.25">
      <c r="B52"/>
    </row>
    <row r="53" spans="1:8" x14ac:dyDescent="0.25">
      <c r="B53"/>
    </row>
    <row r="54" spans="1:8" x14ac:dyDescent="0.25">
      <c r="B54"/>
    </row>
    <row r="55" spans="1:8" x14ac:dyDescent="0.25">
      <c r="B55"/>
    </row>
    <row r="56" spans="1:8" x14ac:dyDescent="0.25">
      <c r="B56"/>
    </row>
    <row r="57" spans="1:8" x14ac:dyDescent="0.25">
      <c r="B57"/>
    </row>
  </sheetData>
  <mergeCells count="1">
    <mergeCell ref="A1:H1"/>
  </mergeCells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6E53B-AF1F-4178-AAD4-31D07E19AB20}">
  <sheetPr codeName="Sheet5"/>
  <dimension ref="A1:H5"/>
  <sheetViews>
    <sheetView workbookViewId="0">
      <selection activeCell="I3" sqref="I3:XFD3"/>
    </sheetView>
  </sheetViews>
  <sheetFormatPr defaultRowHeight="15" x14ac:dyDescent="0.25"/>
  <cols>
    <col min="1" max="1" width="13.7109375" customWidth="1"/>
    <col min="2" max="2" width="32.85546875" customWidth="1"/>
    <col min="3" max="3" width="8.7109375" customWidth="1"/>
    <col min="4" max="5" width="18.5703125" customWidth="1"/>
    <col min="6" max="6" width="9.85546875" customWidth="1"/>
    <col min="7" max="7" width="35.140625" customWidth="1"/>
    <col min="8" max="8" width="18.28515625" customWidth="1"/>
  </cols>
  <sheetData>
    <row r="1" spans="1:8" ht="18.75" x14ac:dyDescent="0.25">
      <c r="A1" s="108" t="s">
        <v>0</v>
      </c>
      <c r="B1" s="109"/>
      <c r="C1" s="109"/>
      <c r="D1" s="109"/>
      <c r="E1" s="109"/>
      <c r="F1" s="109"/>
      <c r="G1" s="109"/>
      <c r="H1" s="109"/>
    </row>
    <row r="2" spans="1:8" x14ac:dyDescent="0.25">
      <c r="A2" s="10" t="s">
        <v>1</v>
      </c>
      <c r="B2" s="10" t="s">
        <v>2</v>
      </c>
      <c r="C2" s="10" t="s">
        <v>3</v>
      </c>
      <c r="D2" s="10" t="s">
        <v>4</v>
      </c>
      <c r="E2" s="10" t="s">
        <v>214</v>
      </c>
      <c r="F2" s="10" t="s">
        <v>213</v>
      </c>
      <c r="G2" s="10" t="s">
        <v>7</v>
      </c>
      <c r="H2" s="17" t="s">
        <v>212</v>
      </c>
    </row>
    <row r="3" spans="1:8" x14ac:dyDescent="0.25">
      <c r="A3" s="100" t="s">
        <v>229</v>
      </c>
      <c r="B3" s="88" t="s">
        <v>12</v>
      </c>
      <c r="C3" s="7">
        <v>1</v>
      </c>
      <c r="D3" s="77" t="s">
        <v>83</v>
      </c>
      <c r="E3" s="80">
        <v>2.5</v>
      </c>
      <c r="F3" s="42" t="str" cm="1">
        <f t="array" aca="1" ref="F3" ca="1">_xlfn.CONCAT(INDIRECT("E"&amp;ROW())*INDIRECT("C"&amp;ROW()), "KG")</f>
        <v>2.5KG</v>
      </c>
      <c r="G3" s="89" t="s">
        <v>14</v>
      </c>
      <c r="H3" s="107">
        <v>45104</v>
      </c>
    </row>
    <row r="4" spans="1:8" x14ac:dyDescent="0.25">
      <c r="A4" s="100" t="s">
        <v>229</v>
      </c>
      <c r="B4" s="88" t="s">
        <v>12</v>
      </c>
      <c r="C4" s="7">
        <v>1</v>
      </c>
      <c r="D4" s="77" t="s">
        <v>83</v>
      </c>
      <c r="E4" s="80">
        <v>2.5</v>
      </c>
      <c r="F4" s="42" t="str" cm="1">
        <f t="array" aca="1" ref="F4" ca="1">_xlfn.CONCAT(INDIRECT("E"&amp;ROW())*INDIRECT("C"&amp;ROW()), "KG")</f>
        <v>2.5KG</v>
      </c>
      <c r="G4" s="89" t="s">
        <v>14</v>
      </c>
      <c r="H4" s="107">
        <v>45104</v>
      </c>
    </row>
    <row r="5" spans="1:8" x14ac:dyDescent="0.25">
      <c r="A5" s="100" t="s">
        <v>249</v>
      </c>
      <c r="B5" s="106" t="s">
        <v>82</v>
      </c>
      <c r="C5" s="105">
        <v>5</v>
      </c>
      <c r="D5" s="77" t="s">
        <v>83</v>
      </c>
      <c r="E5" s="81">
        <v>0.1</v>
      </c>
      <c r="F5" s="42" t="str" cm="1">
        <f t="array" aca="1" ref="F5" ca="1">_xlfn.CONCAT(INDIRECT("E"&amp;ROW())*INDIRECT("C"&amp;ROW()), "KG")</f>
        <v>0.5KG</v>
      </c>
      <c r="G5" s="89" t="s">
        <v>70</v>
      </c>
      <c r="H5" s="107">
        <v>45082</v>
      </c>
    </row>
  </sheetData>
  <mergeCells count="1">
    <mergeCell ref="A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7D542-E24D-46EB-B8AC-5628B4855B5F}">
  <sheetPr codeName="Sheet6"/>
  <dimension ref="A1:H3"/>
  <sheetViews>
    <sheetView workbookViewId="0">
      <selection activeCell="I3" sqref="I3:XFD3"/>
    </sheetView>
  </sheetViews>
  <sheetFormatPr defaultRowHeight="15" x14ac:dyDescent="0.25"/>
  <cols>
    <col min="1" max="1" width="13.7109375" customWidth="1"/>
    <col min="2" max="2" width="32.85546875" customWidth="1"/>
    <col min="3" max="3" width="8.7109375" customWidth="1"/>
    <col min="4" max="5" width="18.5703125" customWidth="1"/>
    <col min="6" max="6" width="9.85546875" customWidth="1"/>
    <col min="7" max="7" width="35.140625" customWidth="1"/>
    <col min="8" max="8" width="18.28515625" customWidth="1"/>
  </cols>
  <sheetData>
    <row r="1" spans="1:8" ht="18.75" x14ac:dyDescent="0.25">
      <c r="A1" s="108" t="s">
        <v>0</v>
      </c>
      <c r="B1" s="109"/>
      <c r="C1" s="109"/>
      <c r="D1" s="109"/>
      <c r="E1" s="109"/>
      <c r="F1" s="109"/>
      <c r="G1" s="109"/>
      <c r="H1" s="109"/>
    </row>
    <row r="2" spans="1:8" x14ac:dyDescent="0.25">
      <c r="A2" s="10" t="s">
        <v>1</v>
      </c>
      <c r="B2" s="10" t="s">
        <v>2</v>
      </c>
      <c r="C2" s="10" t="s">
        <v>3</v>
      </c>
      <c r="D2" s="10" t="s">
        <v>4</v>
      </c>
      <c r="E2" s="10" t="s">
        <v>214</v>
      </c>
      <c r="F2" s="10" t="s">
        <v>213</v>
      </c>
      <c r="G2" s="10" t="s">
        <v>7</v>
      </c>
      <c r="H2" s="17" t="s">
        <v>212</v>
      </c>
    </row>
    <row r="3" spans="1:8" x14ac:dyDescent="0.25">
      <c r="A3" s="100" t="s">
        <v>249</v>
      </c>
      <c r="B3" s="106" t="s">
        <v>82</v>
      </c>
      <c r="C3" s="105">
        <v>5</v>
      </c>
      <c r="D3" s="77" t="s">
        <v>83</v>
      </c>
      <c r="E3" s="81">
        <v>0.1</v>
      </c>
      <c r="F3" s="42" t="str" cm="1">
        <f t="array" aca="1" ref="F3" ca="1">_xlfn.CONCAT(INDIRECT("E"&amp;ROW())*INDIRECT("C"&amp;ROW()), "KG")</f>
        <v>0.5KG</v>
      </c>
      <c r="G3" s="89" t="s">
        <v>70</v>
      </c>
      <c r="H3" s="107">
        <f ca="1">TODAY()</f>
        <v>45117</v>
      </c>
    </row>
  </sheetData>
  <mergeCells count="1">
    <mergeCell ref="A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130A4-1080-41A9-9EA6-9370481DC769}">
  <sheetPr codeName="Sheet2"/>
  <dimension ref="A1:O31"/>
  <sheetViews>
    <sheetView workbookViewId="0">
      <selection activeCell="M8" sqref="M8"/>
    </sheetView>
  </sheetViews>
  <sheetFormatPr defaultColWidth="8.7109375" defaultRowHeight="15" x14ac:dyDescent="0.25"/>
  <cols>
    <col min="1" max="1" width="13.7109375" customWidth="1"/>
    <col min="2" max="2" width="32.85546875" style="13" customWidth="1"/>
    <col min="4" max="4" width="18.5703125" customWidth="1"/>
    <col min="7" max="7" width="35.140625" customWidth="1"/>
    <col min="8" max="8" width="21.7109375" customWidth="1"/>
    <col min="9" max="9" width="11.28515625" customWidth="1"/>
    <col min="10" max="10" width="18.28515625" customWidth="1"/>
  </cols>
  <sheetData>
    <row r="1" spans="1:15" ht="29.45" customHeight="1" x14ac:dyDescent="0.25">
      <c r="A1" s="108" t="s">
        <v>148</v>
      </c>
      <c r="B1" s="109"/>
      <c r="C1" s="109"/>
      <c r="D1" s="109"/>
      <c r="E1" s="109"/>
      <c r="F1" s="109"/>
      <c r="G1" s="109"/>
      <c r="H1" s="109"/>
      <c r="I1" s="109"/>
      <c r="J1" s="109"/>
    </row>
    <row r="2" spans="1:15" ht="23.1" customHeight="1" x14ac:dyDescent="0.25">
      <c r="A2" s="10" t="s">
        <v>1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7" t="s">
        <v>9</v>
      </c>
      <c r="J2" s="17" t="s">
        <v>10</v>
      </c>
      <c r="N2" s="25" t="s">
        <v>149</v>
      </c>
      <c r="O2" s="25">
        <f>F28+F28+F29</f>
        <v>49.75</v>
      </c>
    </row>
    <row r="3" spans="1:15" ht="18.95" customHeight="1" x14ac:dyDescent="0.25">
      <c r="A3" s="8" t="s">
        <v>11</v>
      </c>
      <c r="B3" s="11" t="s">
        <v>12</v>
      </c>
      <c r="C3" s="9">
        <v>11</v>
      </c>
      <c r="D3" s="9"/>
      <c r="E3" s="9"/>
      <c r="F3" s="7" t="s">
        <v>13</v>
      </c>
      <c r="G3" s="2" t="s">
        <v>14</v>
      </c>
      <c r="H3" s="16" t="s">
        <v>15</v>
      </c>
      <c r="I3" s="15"/>
      <c r="J3" s="15"/>
      <c r="N3" s="2" t="s">
        <v>74</v>
      </c>
      <c r="O3" s="2">
        <f>(0.6*3)+0.1+5.3+F30+F31</f>
        <v>68.400000000000006</v>
      </c>
    </row>
    <row r="4" spans="1:15" x14ac:dyDescent="0.25">
      <c r="A4" s="2" t="s">
        <v>16</v>
      </c>
      <c r="B4" s="12" t="s">
        <v>17</v>
      </c>
      <c r="C4" s="3">
        <v>1</v>
      </c>
      <c r="D4" s="3"/>
      <c r="E4" s="3"/>
      <c r="F4" s="1" t="s">
        <v>18</v>
      </c>
      <c r="G4" s="2"/>
      <c r="H4" s="16" t="s">
        <v>15</v>
      </c>
      <c r="I4" s="15"/>
      <c r="J4" s="15"/>
      <c r="N4" s="2" t="s">
        <v>150</v>
      </c>
      <c r="O4" s="2">
        <f>7*3.6+1.2</f>
        <v>26.4</v>
      </c>
    </row>
    <row r="5" spans="1:15" x14ac:dyDescent="0.25">
      <c r="A5" s="2" t="s">
        <v>19</v>
      </c>
      <c r="B5" s="12" t="s">
        <v>20</v>
      </c>
      <c r="C5" s="3">
        <v>1</v>
      </c>
      <c r="D5" s="3"/>
      <c r="E5" s="3"/>
      <c r="F5" s="1" t="s">
        <v>21</v>
      </c>
      <c r="G5" s="2"/>
      <c r="H5" s="16" t="s">
        <v>15</v>
      </c>
      <c r="I5" s="15"/>
      <c r="J5" s="15"/>
    </row>
    <row r="6" spans="1:15" x14ac:dyDescent="0.25">
      <c r="A6" s="2" t="s">
        <v>22</v>
      </c>
      <c r="B6" s="5" t="s">
        <v>23</v>
      </c>
      <c r="C6" s="3">
        <v>3</v>
      </c>
      <c r="D6" s="3"/>
      <c r="E6" s="3"/>
      <c r="F6" s="1" t="s">
        <v>24</v>
      </c>
      <c r="G6" s="2" t="s">
        <v>25</v>
      </c>
      <c r="H6" s="16" t="s">
        <v>15</v>
      </c>
      <c r="I6" s="16" t="s">
        <v>15</v>
      </c>
      <c r="J6" s="15" t="s">
        <v>26</v>
      </c>
    </row>
    <row r="7" spans="1:15" x14ac:dyDescent="0.25">
      <c r="A7" s="2" t="s">
        <v>27</v>
      </c>
      <c r="B7" s="4" t="s">
        <v>28</v>
      </c>
      <c r="C7" s="3">
        <v>1</v>
      </c>
      <c r="D7" s="3"/>
      <c r="E7" s="3"/>
      <c r="F7" s="1" t="s">
        <v>29</v>
      </c>
      <c r="G7" s="2"/>
      <c r="H7" s="16" t="s">
        <v>15</v>
      </c>
      <c r="I7" s="15"/>
      <c r="J7" s="15"/>
    </row>
    <row r="8" spans="1:15" x14ac:dyDescent="0.25">
      <c r="A8" s="2" t="s">
        <v>30</v>
      </c>
      <c r="B8" s="5" t="s">
        <v>31</v>
      </c>
      <c r="C8" s="3">
        <v>1</v>
      </c>
      <c r="D8" s="3"/>
      <c r="E8" s="3"/>
      <c r="F8" s="1" t="s">
        <v>32</v>
      </c>
      <c r="G8" s="2"/>
      <c r="H8" s="16" t="s">
        <v>15</v>
      </c>
      <c r="I8" s="16" t="s">
        <v>15</v>
      </c>
      <c r="J8" s="15" t="s">
        <v>26</v>
      </c>
    </row>
    <row r="9" spans="1:15" x14ac:dyDescent="0.25">
      <c r="A9" s="14" t="s">
        <v>33</v>
      </c>
      <c r="B9" s="5" t="s">
        <v>34</v>
      </c>
      <c r="C9" s="3">
        <v>10</v>
      </c>
      <c r="D9" s="3"/>
      <c r="E9" s="3"/>
      <c r="F9" s="1" t="s">
        <v>35</v>
      </c>
      <c r="G9" s="2" t="s">
        <v>36</v>
      </c>
      <c r="H9" s="16" t="s">
        <v>15</v>
      </c>
      <c r="I9" s="15"/>
      <c r="J9" s="15"/>
    </row>
    <row r="10" spans="1:15" x14ac:dyDescent="0.25">
      <c r="A10" s="14" t="s">
        <v>37</v>
      </c>
      <c r="B10" s="6" t="s">
        <v>38</v>
      </c>
      <c r="C10" s="3">
        <v>3</v>
      </c>
      <c r="D10" s="3"/>
      <c r="E10" s="3"/>
      <c r="F10" s="1" t="s">
        <v>39</v>
      </c>
      <c r="G10" s="2" t="s">
        <v>36</v>
      </c>
      <c r="H10" s="16" t="s">
        <v>15</v>
      </c>
      <c r="I10" s="15"/>
      <c r="J10" s="15"/>
    </row>
    <row r="11" spans="1:15" ht="30" x14ac:dyDescent="0.25">
      <c r="A11" s="2" t="s">
        <v>40</v>
      </c>
      <c r="B11" s="6" t="s">
        <v>41</v>
      </c>
      <c r="C11" s="3">
        <v>1</v>
      </c>
      <c r="D11" s="3"/>
      <c r="E11" s="3"/>
      <c r="F11" s="1" t="s">
        <v>42</v>
      </c>
      <c r="G11" s="2"/>
      <c r="H11" s="16" t="s">
        <v>15</v>
      </c>
      <c r="I11" s="15"/>
      <c r="J11" s="15"/>
    </row>
    <row r="12" spans="1:15" x14ac:dyDescent="0.25">
      <c r="A12" s="2" t="s">
        <v>43</v>
      </c>
      <c r="B12" s="5" t="s">
        <v>44</v>
      </c>
      <c r="C12" s="3">
        <v>2</v>
      </c>
      <c r="D12" s="3"/>
      <c r="E12" s="3"/>
      <c r="F12" s="1" t="s">
        <v>45</v>
      </c>
      <c r="G12" s="2" t="s">
        <v>46</v>
      </c>
      <c r="H12" s="16" t="s">
        <v>15</v>
      </c>
      <c r="I12" s="15"/>
      <c r="J12" s="15"/>
    </row>
    <row r="13" spans="1:15" x14ac:dyDescent="0.25">
      <c r="A13" s="2" t="s">
        <v>47</v>
      </c>
      <c r="B13" s="5" t="s">
        <v>48</v>
      </c>
      <c r="C13" s="3">
        <v>1</v>
      </c>
      <c r="D13" s="3"/>
      <c r="E13" s="3"/>
      <c r="F13" s="1" t="s">
        <v>49</v>
      </c>
      <c r="G13" s="2"/>
      <c r="H13" s="16" t="s">
        <v>15</v>
      </c>
      <c r="I13" s="15"/>
      <c r="J13" s="15"/>
    </row>
    <row r="14" spans="1:15" x14ac:dyDescent="0.25">
      <c r="A14" s="14" t="s">
        <v>50</v>
      </c>
      <c r="B14" s="5" t="s">
        <v>51</v>
      </c>
      <c r="C14" s="3">
        <v>2</v>
      </c>
      <c r="D14" s="3"/>
      <c r="E14" s="3"/>
      <c r="F14" s="1" t="s">
        <v>52</v>
      </c>
      <c r="G14" s="2" t="s">
        <v>53</v>
      </c>
      <c r="H14" s="16" t="s">
        <v>15</v>
      </c>
      <c r="I14" s="15"/>
      <c r="J14" s="15"/>
    </row>
    <row r="15" spans="1:15" x14ac:dyDescent="0.25">
      <c r="A15" s="14" t="s">
        <v>54</v>
      </c>
      <c r="B15" s="5" t="s">
        <v>151</v>
      </c>
      <c r="C15" s="3">
        <v>1</v>
      </c>
      <c r="D15" s="3"/>
      <c r="E15" s="3"/>
      <c r="F15" s="1" t="s">
        <v>56</v>
      </c>
      <c r="G15" s="2"/>
      <c r="H15" s="16" t="s">
        <v>15</v>
      </c>
      <c r="I15" s="15"/>
      <c r="J15" s="15"/>
    </row>
    <row r="16" spans="1:15" x14ac:dyDescent="0.25">
      <c r="A16" s="14" t="s">
        <v>57</v>
      </c>
      <c r="B16" s="5" t="s">
        <v>58</v>
      </c>
      <c r="C16" s="3">
        <v>1</v>
      </c>
      <c r="D16" s="3"/>
      <c r="E16" s="3"/>
      <c r="F16" s="1" t="s">
        <v>59</v>
      </c>
      <c r="G16" s="2"/>
      <c r="H16" s="16" t="s">
        <v>15</v>
      </c>
      <c r="I16" s="15"/>
      <c r="J16" s="15"/>
    </row>
    <row r="17" spans="1:10" x14ac:dyDescent="0.25">
      <c r="A17" s="2" t="s">
        <v>60</v>
      </c>
      <c r="B17" s="5" t="s">
        <v>61</v>
      </c>
      <c r="C17" s="3">
        <v>1</v>
      </c>
      <c r="D17" s="3"/>
      <c r="E17" s="3"/>
      <c r="F17" s="1" t="s">
        <v>62</v>
      </c>
      <c r="G17" s="2" t="s">
        <v>63</v>
      </c>
      <c r="H17" s="16" t="s">
        <v>15</v>
      </c>
      <c r="I17" s="15"/>
      <c r="J17" s="15"/>
    </row>
    <row r="18" spans="1:10" x14ac:dyDescent="0.25">
      <c r="A18" s="2" t="s">
        <v>64</v>
      </c>
      <c r="B18" s="5" t="s">
        <v>65</v>
      </c>
      <c r="C18" s="3">
        <v>7</v>
      </c>
      <c r="D18" s="3"/>
      <c r="E18" s="3"/>
      <c r="F18" s="1" t="s">
        <v>66</v>
      </c>
      <c r="G18" s="2" t="s">
        <v>25</v>
      </c>
      <c r="H18" s="16" t="s">
        <v>15</v>
      </c>
      <c r="I18" s="15"/>
      <c r="J18" s="15"/>
    </row>
    <row r="19" spans="1:10" x14ac:dyDescent="0.25">
      <c r="A19" s="2" t="s">
        <v>67</v>
      </c>
      <c r="B19" s="5" t="s">
        <v>68</v>
      </c>
      <c r="C19" s="3">
        <v>3</v>
      </c>
      <c r="D19" s="3"/>
      <c r="E19" s="3"/>
      <c r="F19" s="1" t="s">
        <v>69</v>
      </c>
      <c r="G19" s="2" t="s">
        <v>70</v>
      </c>
      <c r="H19" s="16" t="s">
        <v>15</v>
      </c>
      <c r="I19" s="15"/>
      <c r="J19" s="15"/>
    </row>
    <row r="20" spans="1:10" x14ac:dyDescent="0.25">
      <c r="A20" s="2" t="s">
        <v>71</v>
      </c>
      <c r="B20" s="5" t="s">
        <v>72</v>
      </c>
      <c r="C20" s="3">
        <v>1</v>
      </c>
      <c r="D20" s="3"/>
      <c r="E20" s="3"/>
      <c r="F20" s="1" t="s">
        <v>73</v>
      </c>
      <c r="G20" s="2" t="s">
        <v>70</v>
      </c>
      <c r="H20" s="16" t="s">
        <v>15</v>
      </c>
      <c r="I20" s="16" t="s">
        <v>15</v>
      </c>
      <c r="J20" s="15" t="s">
        <v>74</v>
      </c>
    </row>
    <row r="21" spans="1:10" x14ac:dyDescent="0.25">
      <c r="A21" s="2" t="s">
        <v>75</v>
      </c>
      <c r="B21" s="5" t="s">
        <v>76</v>
      </c>
      <c r="C21" s="3">
        <v>2</v>
      </c>
      <c r="D21" s="3"/>
      <c r="E21" s="3"/>
      <c r="F21" s="1" t="s">
        <v>77</v>
      </c>
      <c r="G21" s="2" t="s">
        <v>78</v>
      </c>
      <c r="H21" s="16" t="s">
        <v>15</v>
      </c>
      <c r="I21" s="15"/>
      <c r="J21" s="15"/>
    </row>
    <row r="22" spans="1:10" x14ac:dyDescent="0.25">
      <c r="A22" s="14" t="s">
        <v>79</v>
      </c>
      <c r="B22" s="5" t="s">
        <v>80</v>
      </c>
      <c r="C22" s="3">
        <v>1</v>
      </c>
      <c r="D22" s="3"/>
      <c r="E22" s="3"/>
      <c r="F22" s="1" t="s">
        <v>152</v>
      </c>
      <c r="G22" s="2"/>
      <c r="H22" s="16" t="s">
        <v>15</v>
      </c>
      <c r="I22" s="15"/>
      <c r="J22" s="15"/>
    </row>
    <row r="23" spans="1:10" x14ac:dyDescent="0.25">
      <c r="A23" s="14" t="s">
        <v>81</v>
      </c>
      <c r="B23" s="5" t="s">
        <v>82</v>
      </c>
      <c r="C23" s="3">
        <v>33</v>
      </c>
      <c r="D23" s="3" t="s">
        <v>83</v>
      </c>
      <c r="E23" s="3"/>
      <c r="F23" s="1" t="s">
        <v>84</v>
      </c>
      <c r="G23" s="2" t="s">
        <v>70</v>
      </c>
      <c r="H23" s="16" t="s">
        <v>15</v>
      </c>
      <c r="I23" s="15"/>
      <c r="J23" s="15"/>
    </row>
    <row r="24" spans="1:10" x14ac:dyDescent="0.25">
      <c r="A24" s="14" t="s">
        <v>85</v>
      </c>
      <c r="B24" s="5" t="s">
        <v>86</v>
      </c>
      <c r="C24" s="3">
        <v>1</v>
      </c>
      <c r="D24" s="3"/>
      <c r="E24" s="3"/>
      <c r="F24" s="1" t="s">
        <v>87</v>
      </c>
      <c r="G24" s="2"/>
      <c r="H24" s="16" t="s">
        <v>15</v>
      </c>
      <c r="I24" s="15"/>
      <c r="J24" s="15"/>
    </row>
    <row r="25" spans="1:10" x14ac:dyDescent="0.25">
      <c r="A25" s="14" t="s">
        <v>88</v>
      </c>
      <c r="B25" s="5" t="s">
        <v>89</v>
      </c>
      <c r="C25" s="3">
        <v>1</v>
      </c>
      <c r="D25" s="3"/>
      <c r="E25" s="3"/>
      <c r="F25" s="1">
        <v>20.75</v>
      </c>
      <c r="G25" s="2" t="s">
        <v>90</v>
      </c>
      <c r="H25" s="16" t="s">
        <v>15</v>
      </c>
      <c r="I25" s="15"/>
      <c r="J25" s="15"/>
    </row>
    <row r="26" spans="1:10" x14ac:dyDescent="0.25">
      <c r="A26" s="19" t="s">
        <v>91</v>
      </c>
      <c r="B26" s="20" t="s">
        <v>92</v>
      </c>
      <c r="C26" s="21">
        <v>18</v>
      </c>
      <c r="D26" s="21"/>
      <c r="E26" s="21"/>
      <c r="F26" s="22" t="s">
        <v>153</v>
      </c>
      <c r="G26" s="23" t="s">
        <v>93</v>
      </c>
      <c r="H26" s="24" t="s">
        <v>15</v>
      </c>
      <c r="I26" s="25"/>
      <c r="J26" s="25"/>
    </row>
    <row r="27" spans="1:10" x14ac:dyDescent="0.25">
      <c r="A27" s="35" t="s">
        <v>94</v>
      </c>
      <c r="B27" s="34" t="s">
        <v>95</v>
      </c>
      <c r="C27" s="36">
        <v>1</v>
      </c>
      <c r="D27" s="33" t="s">
        <v>83</v>
      </c>
      <c r="E27" s="33"/>
      <c r="F27" s="26" t="s">
        <v>96</v>
      </c>
      <c r="G27" s="15"/>
      <c r="H27" s="37" t="s">
        <v>15</v>
      </c>
      <c r="I27" s="15"/>
      <c r="J27" s="28"/>
    </row>
    <row r="28" spans="1:10" x14ac:dyDescent="0.25">
      <c r="A28" s="29" t="s">
        <v>83</v>
      </c>
      <c r="B28" s="30" t="s">
        <v>142</v>
      </c>
      <c r="C28" s="29">
        <v>2</v>
      </c>
      <c r="D28" s="29" t="s">
        <v>83</v>
      </c>
      <c r="E28" s="29"/>
      <c r="F28" s="31">
        <v>14.5</v>
      </c>
      <c r="G28" s="29" t="s">
        <v>143</v>
      </c>
      <c r="H28" s="29" t="s">
        <v>83</v>
      </c>
      <c r="I28" s="32" t="s">
        <v>15</v>
      </c>
      <c r="J28" s="25" t="s">
        <v>144</v>
      </c>
    </row>
    <row r="29" spans="1:10" x14ac:dyDescent="0.25">
      <c r="A29" s="25"/>
      <c r="B29" s="38" t="s">
        <v>145</v>
      </c>
      <c r="C29" s="25">
        <v>1</v>
      </c>
      <c r="D29" s="25" t="s">
        <v>83</v>
      </c>
      <c r="E29" s="39"/>
      <c r="F29" s="40">
        <v>20.75</v>
      </c>
      <c r="G29" s="28"/>
      <c r="H29" s="25"/>
      <c r="I29" s="41" t="s">
        <v>15</v>
      </c>
      <c r="J29" s="25" t="s">
        <v>144</v>
      </c>
    </row>
    <row r="30" spans="1:10" x14ac:dyDescent="0.25">
      <c r="A30" s="14" t="s">
        <v>83</v>
      </c>
      <c r="B30" s="12" t="s">
        <v>146</v>
      </c>
      <c r="C30" s="3">
        <v>12</v>
      </c>
      <c r="D30" s="2"/>
      <c r="E30" s="2"/>
      <c r="F30" s="42">
        <f>C30*3.6</f>
        <v>43.2</v>
      </c>
      <c r="G30" s="2" t="s">
        <v>147</v>
      </c>
      <c r="H30" s="2"/>
      <c r="I30" s="2"/>
      <c r="J30" s="2"/>
    </row>
    <row r="31" spans="1:10" x14ac:dyDescent="0.25">
      <c r="A31" s="14" t="s">
        <v>83</v>
      </c>
      <c r="B31" s="12" t="s">
        <v>146</v>
      </c>
      <c r="C31" s="3">
        <v>5</v>
      </c>
      <c r="D31" s="2"/>
      <c r="E31" s="2"/>
      <c r="F31" s="42">
        <f>C31*3.6</f>
        <v>18</v>
      </c>
      <c r="G31" s="2" t="s">
        <v>147</v>
      </c>
      <c r="H31" s="2" t="s">
        <v>83</v>
      </c>
      <c r="I31" s="16" t="s">
        <v>15</v>
      </c>
      <c r="J31" s="15" t="s">
        <v>74</v>
      </c>
    </row>
  </sheetData>
  <mergeCells count="1">
    <mergeCell ref="A1:J1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77DA6-4540-4E19-8450-B8F885E0EB0C}">
  <sheetPr codeName="Sheet3"/>
  <dimension ref="B2:E45"/>
  <sheetViews>
    <sheetView workbookViewId="0">
      <selection activeCell="E3" sqref="E3"/>
    </sheetView>
  </sheetViews>
  <sheetFormatPr defaultColWidth="8.7109375" defaultRowHeight="15" x14ac:dyDescent="0.25"/>
  <cols>
    <col min="3" max="3" width="27.5703125" customWidth="1"/>
    <col min="4" max="4" width="16.5703125" customWidth="1"/>
    <col min="5" max="5" width="47.140625" customWidth="1"/>
  </cols>
  <sheetData>
    <row r="2" spans="2:5" x14ac:dyDescent="0.25">
      <c r="B2" s="10" t="s">
        <v>1</v>
      </c>
      <c r="C2" s="10" t="s">
        <v>2</v>
      </c>
      <c r="D2" s="10" t="s">
        <v>154</v>
      </c>
      <c r="E2" s="10" t="s">
        <v>155</v>
      </c>
    </row>
    <row r="3" spans="2:5" x14ac:dyDescent="0.25">
      <c r="B3" s="8" t="s">
        <v>11</v>
      </c>
      <c r="C3" s="11" t="s">
        <v>12</v>
      </c>
      <c r="D3" s="50">
        <v>10500</v>
      </c>
      <c r="E3" s="51" t="s">
        <v>156</v>
      </c>
    </row>
    <row r="4" spans="2:5" x14ac:dyDescent="0.25">
      <c r="B4" s="2" t="s">
        <v>16</v>
      </c>
      <c r="C4" s="12" t="s">
        <v>17</v>
      </c>
      <c r="D4" s="52">
        <v>123000</v>
      </c>
      <c r="E4" s="53" t="s">
        <v>157</v>
      </c>
    </row>
    <row r="5" spans="2:5" x14ac:dyDescent="0.25">
      <c r="B5" s="2" t="s">
        <v>19</v>
      </c>
      <c r="C5" s="12" t="s">
        <v>20</v>
      </c>
      <c r="D5" s="52">
        <v>17800</v>
      </c>
      <c r="E5" s="54" t="s">
        <v>158</v>
      </c>
    </row>
    <row r="6" spans="2:5" x14ac:dyDescent="0.25">
      <c r="B6" s="2" t="s">
        <v>22</v>
      </c>
      <c r="C6" s="5" t="s">
        <v>23</v>
      </c>
      <c r="D6" s="52">
        <v>7990</v>
      </c>
      <c r="E6" s="54" t="s">
        <v>159</v>
      </c>
    </row>
    <row r="7" spans="2:5" x14ac:dyDescent="0.25">
      <c r="B7" s="2" t="s">
        <v>27</v>
      </c>
      <c r="C7" s="4" t="s">
        <v>28</v>
      </c>
      <c r="D7" s="52">
        <v>40140</v>
      </c>
      <c r="E7" s="54" t="s">
        <v>160</v>
      </c>
    </row>
    <row r="8" spans="2:5" x14ac:dyDescent="0.25">
      <c r="B8" s="2" t="s">
        <v>30</v>
      </c>
      <c r="C8" s="5" t="s">
        <v>31</v>
      </c>
      <c r="D8" s="52">
        <v>20310</v>
      </c>
      <c r="E8" s="54" t="s">
        <v>161</v>
      </c>
    </row>
    <row r="9" spans="2:5" x14ac:dyDescent="0.25">
      <c r="B9" s="14" t="s">
        <v>33</v>
      </c>
      <c r="C9" s="5" t="s">
        <v>34</v>
      </c>
      <c r="D9" s="52">
        <v>20920</v>
      </c>
      <c r="E9" s="54" t="s">
        <v>162</v>
      </c>
    </row>
    <row r="10" spans="2:5" x14ac:dyDescent="0.25">
      <c r="B10" s="14" t="s">
        <v>37</v>
      </c>
      <c r="C10" s="6" t="s">
        <v>38</v>
      </c>
      <c r="D10" s="52">
        <v>21980</v>
      </c>
      <c r="E10" s="54" t="s">
        <v>163</v>
      </c>
    </row>
    <row r="11" spans="2:5" ht="30" x14ac:dyDescent="0.25">
      <c r="B11" s="2" t="s">
        <v>40</v>
      </c>
      <c r="C11" s="6" t="s">
        <v>41</v>
      </c>
      <c r="D11" s="52">
        <v>60565</v>
      </c>
      <c r="E11" s="54" t="s">
        <v>164</v>
      </c>
    </row>
    <row r="12" spans="2:5" x14ac:dyDescent="0.25">
      <c r="B12" s="2" t="s">
        <v>43</v>
      </c>
      <c r="C12" s="5" t="s">
        <v>44</v>
      </c>
      <c r="D12" s="52">
        <v>37040</v>
      </c>
      <c r="E12" s="54" t="s">
        <v>165</v>
      </c>
    </row>
    <row r="13" spans="2:5" x14ac:dyDescent="0.25">
      <c r="B13" s="2" t="s">
        <v>47</v>
      </c>
      <c r="C13" s="5" t="s">
        <v>48</v>
      </c>
      <c r="D13" s="52">
        <v>43960</v>
      </c>
      <c r="E13" s="54" t="s">
        <v>166</v>
      </c>
    </row>
    <row r="14" spans="2:5" x14ac:dyDescent="0.25">
      <c r="B14" s="14" t="s">
        <v>50</v>
      </c>
      <c r="C14" s="5" t="s">
        <v>51</v>
      </c>
      <c r="D14" s="52">
        <v>33010</v>
      </c>
      <c r="E14" s="54" t="s">
        <v>167</v>
      </c>
    </row>
    <row r="15" spans="2:5" x14ac:dyDescent="0.25">
      <c r="B15" s="14" t="s">
        <v>54</v>
      </c>
      <c r="C15" s="5" t="s">
        <v>151</v>
      </c>
      <c r="D15" s="52">
        <v>26820</v>
      </c>
      <c r="E15" s="54" t="s">
        <v>168</v>
      </c>
    </row>
    <row r="16" spans="2:5" x14ac:dyDescent="0.25">
      <c r="B16" s="14" t="s">
        <v>57</v>
      </c>
      <c r="C16" s="5" t="s">
        <v>58</v>
      </c>
      <c r="D16" s="52">
        <v>230000</v>
      </c>
      <c r="E16" s="54" t="s">
        <v>169</v>
      </c>
    </row>
    <row r="17" spans="2:5" x14ac:dyDescent="0.25">
      <c r="B17" s="2" t="s">
        <v>60</v>
      </c>
      <c r="C17" s="5" t="s">
        <v>61</v>
      </c>
      <c r="D17" s="52">
        <v>10000</v>
      </c>
      <c r="E17" s="3"/>
    </row>
    <row r="18" spans="2:5" x14ac:dyDescent="0.25">
      <c r="B18" s="2" t="s">
        <v>64</v>
      </c>
      <c r="C18" s="5" t="s">
        <v>65</v>
      </c>
      <c r="D18" s="52">
        <v>14820</v>
      </c>
      <c r="E18" s="54" t="s">
        <v>170</v>
      </c>
    </row>
    <row r="19" spans="2:5" x14ac:dyDescent="0.25">
      <c r="B19" s="2" t="s">
        <v>67</v>
      </c>
      <c r="C19" s="5" t="s">
        <v>68</v>
      </c>
      <c r="D19" s="52">
        <v>3485</v>
      </c>
      <c r="E19" s="54" t="s">
        <v>171</v>
      </c>
    </row>
    <row r="20" spans="2:5" x14ac:dyDescent="0.25">
      <c r="B20" s="2" t="s">
        <v>71</v>
      </c>
      <c r="C20" s="5" t="s">
        <v>72</v>
      </c>
      <c r="D20" s="52">
        <v>5770</v>
      </c>
      <c r="E20" s="54" t="s">
        <v>172</v>
      </c>
    </row>
    <row r="21" spans="2:5" x14ac:dyDescent="0.25">
      <c r="B21" s="2" t="s">
        <v>75</v>
      </c>
      <c r="C21" s="5" t="s">
        <v>76</v>
      </c>
      <c r="D21" s="52">
        <v>6340</v>
      </c>
      <c r="E21" s="54" t="s">
        <v>173</v>
      </c>
    </row>
    <row r="22" spans="2:5" x14ac:dyDescent="0.25">
      <c r="B22" s="14" t="s">
        <v>79</v>
      </c>
      <c r="C22" s="5" t="s">
        <v>80</v>
      </c>
      <c r="D22" s="52">
        <v>23640</v>
      </c>
      <c r="E22" s="54" t="s">
        <v>174</v>
      </c>
    </row>
    <row r="23" spans="2:5" x14ac:dyDescent="0.25">
      <c r="B23" s="14" t="s">
        <v>81</v>
      </c>
      <c r="C23" s="5" t="s">
        <v>82</v>
      </c>
      <c r="D23" s="52">
        <v>9140</v>
      </c>
      <c r="E23" s="54" t="s">
        <v>175</v>
      </c>
    </row>
    <row r="24" spans="2:5" x14ac:dyDescent="0.25">
      <c r="B24" s="14" t="s">
        <v>85</v>
      </c>
      <c r="C24" s="5" t="s">
        <v>86</v>
      </c>
      <c r="D24" s="52">
        <v>86840</v>
      </c>
      <c r="E24" s="54" t="s">
        <v>176</v>
      </c>
    </row>
    <row r="25" spans="2:5" x14ac:dyDescent="0.25">
      <c r="B25" s="14" t="s">
        <v>88</v>
      </c>
      <c r="C25" s="5" t="s">
        <v>89</v>
      </c>
      <c r="D25" s="52">
        <v>240000</v>
      </c>
      <c r="E25" s="54" t="s">
        <v>177</v>
      </c>
    </row>
    <row r="26" spans="2:5" x14ac:dyDescent="0.25">
      <c r="B26" s="19" t="s">
        <v>91</v>
      </c>
      <c r="C26" s="20" t="s">
        <v>92</v>
      </c>
      <c r="D26" s="55">
        <v>16080</v>
      </c>
      <c r="E26" s="56" t="s">
        <v>178</v>
      </c>
    </row>
    <row r="27" spans="2:5" x14ac:dyDescent="0.25">
      <c r="B27" s="44" t="s">
        <v>94</v>
      </c>
      <c r="C27" s="45" t="s">
        <v>95</v>
      </c>
      <c r="D27" s="57">
        <v>26000</v>
      </c>
      <c r="E27" s="46" t="s">
        <v>179</v>
      </c>
    </row>
    <row r="28" spans="2:5" x14ac:dyDescent="0.25">
      <c r="B28" s="43" t="s">
        <v>97</v>
      </c>
      <c r="C28" s="34" t="s">
        <v>98</v>
      </c>
      <c r="D28" s="58">
        <v>108000</v>
      </c>
      <c r="E28" s="59" t="s">
        <v>180</v>
      </c>
    </row>
    <row r="29" spans="2:5" x14ac:dyDescent="0.25">
      <c r="B29" s="43" t="s">
        <v>100</v>
      </c>
      <c r="C29" s="34" t="s">
        <v>101</v>
      </c>
      <c r="D29" s="58">
        <v>31520</v>
      </c>
      <c r="E29" s="59" t="s">
        <v>181</v>
      </c>
    </row>
    <row r="30" spans="2:5" x14ac:dyDescent="0.25">
      <c r="B30" s="43" t="s">
        <v>103</v>
      </c>
      <c r="C30" s="34" t="s">
        <v>104</v>
      </c>
      <c r="D30" s="58">
        <v>12210</v>
      </c>
      <c r="E30" s="59" t="s">
        <v>182</v>
      </c>
    </row>
    <row r="31" spans="2:5" x14ac:dyDescent="0.25">
      <c r="B31" s="47" t="s">
        <v>105</v>
      </c>
      <c r="C31" s="45" t="s">
        <v>106</v>
      </c>
      <c r="D31" s="60">
        <v>31520</v>
      </c>
      <c r="E31" s="61" t="s">
        <v>183</v>
      </c>
    </row>
    <row r="32" spans="2:5" x14ac:dyDescent="0.25">
      <c r="B32" s="43" t="s">
        <v>107</v>
      </c>
      <c r="C32" s="18" t="s">
        <v>184</v>
      </c>
      <c r="D32" s="62">
        <v>7695</v>
      </c>
      <c r="E32" s="63" t="s">
        <v>185</v>
      </c>
    </row>
    <row r="33" spans="2:5" x14ac:dyDescent="0.25">
      <c r="B33" s="43" t="s">
        <v>109</v>
      </c>
      <c r="C33" s="18" t="s">
        <v>110</v>
      </c>
      <c r="D33" s="62" t="s">
        <v>83</v>
      </c>
      <c r="E33" s="48" t="s">
        <v>83</v>
      </c>
    </row>
    <row r="34" spans="2:5" x14ac:dyDescent="0.25">
      <c r="B34" s="43" t="s">
        <v>111</v>
      </c>
      <c r="C34" s="18" t="s">
        <v>112</v>
      </c>
      <c r="D34" s="62" t="s">
        <v>83</v>
      </c>
      <c r="E34" s="48" t="s">
        <v>83</v>
      </c>
    </row>
    <row r="35" spans="2:5" x14ac:dyDescent="0.25">
      <c r="B35" s="43" t="s">
        <v>114</v>
      </c>
      <c r="C35" s="18" t="s">
        <v>115</v>
      </c>
      <c r="D35" s="62">
        <v>5770</v>
      </c>
      <c r="E35" s="63" t="s">
        <v>186</v>
      </c>
    </row>
    <row r="36" spans="2:5" x14ac:dyDescent="0.25">
      <c r="B36" s="43" t="s">
        <v>117</v>
      </c>
      <c r="C36" s="18" t="s">
        <v>118</v>
      </c>
      <c r="D36" s="62" t="s">
        <v>83</v>
      </c>
      <c r="E36" s="48" t="s">
        <v>83</v>
      </c>
    </row>
    <row r="37" spans="2:5" x14ac:dyDescent="0.25">
      <c r="B37" s="47" t="s">
        <v>119</v>
      </c>
      <c r="C37" s="38" t="s">
        <v>120</v>
      </c>
      <c r="D37" s="64">
        <v>27630</v>
      </c>
      <c r="E37" s="65" t="s">
        <v>187</v>
      </c>
    </row>
    <row r="38" spans="2:5" x14ac:dyDescent="0.25">
      <c r="B38" s="47" t="s">
        <v>122</v>
      </c>
      <c r="C38" s="38" t="s">
        <v>123</v>
      </c>
      <c r="D38" s="64">
        <v>15430</v>
      </c>
      <c r="E38" s="65" t="s">
        <v>188</v>
      </c>
    </row>
    <row r="39" spans="2:5" x14ac:dyDescent="0.25">
      <c r="B39" s="47" t="s">
        <v>125</v>
      </c>
      <c r="C39" s="38" t="s">
        <v>126</v>
      </c>
      <c r="D39" s="64">
        <v>12530</v>
      </c>
      <c r="E39" s="65" t="s">
        <v>189</v>
      </c>
    </row>
    <row r="40" spans="2:5" x14ac:dyDescent="0.25">
      <c r="B40" s="43" t="s">
        <v>128</v>
      </c>
      <c r="C40" s="18" t="s">
        <v>129</v>
      </c>
      <c r="D40" s="62">
        <v>115000</v>
      </c>
      <c r="E40" s="63" t="s">
        <v>190</v>
      </c>
    </row>
    <row r="41" spans="2:5" x14ac:dyDescent="0.25">
      <c r="B41" s="29" t="s">
        <v>83</v>
      </c>
      <c r="C41" s="30" t="s">
        <v>142</v>
      </c>
      <c r="D41" s="66">
        <v>109480</v>
      </c>
      <c r="E41" s="67" t="s">
        <v>191</v>
      </c>
    </row>
    <row r="42" spans="2:5" x14ac:dyDescent="0.25">
      <c r="B42" s="15"/>
      <c r="C42" s="38" t="s">
        <v>145</v>
      </c>
      <c r="D42" s="68">
        <v>240000</v>
      </c>
      <c r="E42" s="54" t="s">
        <v>177</v>
      </c>
    </row>
    <row r="43" spans="2:5" x14ac:dyDescent="0.25">
      <c r="C43" s="12" t="s">
        <v>192</v>
      </c>
      <c r="D43" s="68">
        <v>9140</v>
      </c>
      <c r="E43" s="54" t="s">
        <v>175</v>
      </c>
    </row>
    <row r="44" spans="2:5" x14ac:dyDescent="0.25">
      <c r="C44" s="12" t="s">
        <v>193</v>
      </c>
      <c r="D44" s="64" t="s">
        <v>83</v>
      </c>
      <c r="E44" s="2"/>
    </row>
    <row r="45" spans="2:5" x14ac:dyDescent="0.25">
      <c r="C45" s="12" t="s">
        <v>194</v>
      </c>
      <c r="D45" s="68">
        <v>8670</v>
      </c>
      <c r="E45" s="69" t="s">
        <v>195</v>
      </c>
    </row>
  </sheetData>
  <hyperlinks>
    <hyperlink ref="E3" r:id="rId1" xr:uid="{2155BDAC-B488-4FB3-9642-E9FB95781E98}"/>
    <hyperlink ref="E4" r:id="rId2" display="https://tiendamia.com/cr/producto?amz=B0BVQD7S1T&amp;pName=CLIPOP%20Modern%20Dining%20Chairs%20Set%20of%202&amp;comma;%20Upholstered%20Linen%20Fabric%20Accent%20Chairs%20with%20Metal%20Legs&amp;comma;%20Armchair%20Desk%20Chair%20Thick%20Sponge%20Seat%20for%20Living%20Room%20Bedroom%20Guest%20Room&amp;comma;%20Dark%20Grey" xr:uid="{884AABBD-9CF8-4B25-AA26-1A17C4EC1624}"/>
    <hyperlink ref="E5" r:id="rId3" display="https://tiendamia.com/cr/producto?amz=B01M0MW0Z6&amp;pName=Easy&amp;commat;Home%20Digital%20Kitchen%20Scale%20Food%20Scale%20with%20High%20Precision%20to%200&amp;period;04oz%20and%2011%20lbs%20Capacity&amp;comma;%20Digital%20Multifunction%20Measuring%20Scale&amp;comma;%20EKS-202" xr:uid="{AD1E7BD0-E5C7-49FB-BB30-D6D658BAB5EF}"/>
    <hyperlink ref="E6" r:id="rId4" xr:uid="{7262E929-8CF8-4F42-B472-15EF9704A18C}"/>
    <hyperlink ref="E7" r:id="rId5" display="https://tiendamia.com/cr/producto?amz=B08PZ7Z2Y1&amp;pName=DEXI%20Anti%20Fatigue%20Kitchen%20Mat%20Cushioned%20Kitchen%20Rug&amp;comma;%203&amp;sol;4&amp;quot;%20Thick%20Heavy%20Duty%20Waterproof%20Floor%20Mat&amp;comma;%20Non-Slip%20Comfort%20Standing%20Mat%20for%20Kitchen&amp;comma;%20Desk&amp;comma;%20Floor&amp;comma;%20Office&amp;comma;%20Sink&amp;comma;%20Laundry&amp;comma;%2020&amp;quot;x48&amp;quot;&amp;comma;%20Grey" xr:uid="{E07BA49B-3E0E-4ED7-A888-27CC8B5846FC}"/>
    <hyperlink ref="E8" r:id="rId6" display="https://tiendamia.com/cr/search?amzs=descansa%20pies&amp;navigation_amz=L3M/az1kZXNjYW5zYStwaWVzJmRjJnBhZ2U9MiZsYW5ndWFnZT1lbiZxaWQ9MTY4MzA0NTA2OCZyZWY9c3JfcGdfMg==&amp;navigation_amz=L3M/az1kZXNjYW5zYStwaWVzJmRjJnBhZ2U9MyZsYW5ndWFnZT1lbiZxaWQ9MTY4MzA0NTEwNSZyZWY9c3JfcGdfMw==&amp;navigation_amz=L3M/az1kZXNjYW5zYStwaWVzJmRjJnBhZ2U9NCZsYW5ndWFnZT1lbiZxaWQ9MTY4MzA0NTE0MSZyZWY9c3JfcGdfNA==&amp;navigation_amz=L3M/az1kZXNjYW5zYStwaWVzJmRjJnBhZ2U9NSZsYW5ndWFnZT1lbiZxaWQ9MTY4MzA0NTE3NSZyZWY9c3JfcGdfNQ==&amp;navigation_amz=L3M/az1kZXNjYW5zYStwaWVzJmRjJmxhbmd1YWdlPWVuJnFpZD0xNjgzMDQ1MjA2JnJlZj1zcl9wZ182" xr:uid="{EC850CD4-9272-4861-B58C-3813AF173F28}"/>
    <hyperlink ref="E9" r:id="rId7" xr:uid="{A9A8046E-F312-43E9-B490-A2EEA0778B29}"/>
    <hyperlink ref="E10" r:id="rId8" display="https://tiendamia.com/cr/producto?amz=B0BW74WNP3&amp;pName=SHPMXUPW%203Pack%20Bathroom%20Trash%20Can%20with%20Press%20Type%20Lid&amp;comma;%202&amp;period;6%20Gallon&amp;sol;10%20Liter%20Small%20Slim%20Garbage%20Bin%20Wastebasket%20for%20Kitchen&amp;sol;Bedroom&amp;sol;Office&amp;sol;Laundry&amp;comma;%20Fits%20Under%20Desk&amp;sol;Cabinet&amp;sol;Sink&amp;sol;Black" xr:uid="{16DFC231-F252-4564-AF0A-36E41635177C}"/>
    <hyperlink ref="E11" r:id="rId9" display="https://tiendamia.com/cr/producto?amz=B06XKKGR43&amp;pName=Finnhomy%203%20Tier%20Heavy%20Duty%20Commercial%20Grade%20Utility%20Cart&amp;comma;%20Wire%20Rolling%20Cart%20with%20Handle%20Bar&amp;comma;%20Steel%20Service%20Cart%20with%20Wheels&amp;comma;%20Utility%20Shelf%20Plant%20Display%20Shelf%20Food%20Storage%20Trolley&amp;comma;%20NSF%20Listed" xr:uid="{5531F393-A05E-406F-9757-2AB7591B69A7}"/>
    <hyperlink ref="E12" r:id="rId10" display="https://tiendamia.com/cr/producto?amz=B08PNHC6BD&amp;pName=VUSIGN%20White%20Board%20and%20Cork%20Board%20Combination&amp;comma;%2024&amp;quot;%20x%2036&amp;quot;%20Dry%20Erase%20Board%20and%20Corkboard%20Combo%20for%20Home%20or%20Office&amp;comma;%20Wall%20Mounted%20Notice%20Bulletin%20Board%20with%20Aluminum%20Frame" xr:uid="{F5D082CB-2190-410F-8754-A4294DCFD69F}"/>
    <hyperlink ref="E13" r:id="rId11" xr:uid="{2FF8A4C1-14A6-485C-841C-E0318A02D379}"/>
    <hyperlink ref="E20" r:id="rId12" xr:uid="{1095BD60-D470-4763-827A-CB6A7AF7DE93}"/>
    <hyperlink ref="E19" r:id="rId13" xr:uid="{AF2F6147-8838-45B2-A22F-ED22D4A11D49}"/>
    <hyperlink ref="E18" r:id="rId14" xr:uid="{85BDA81A-46D7-48B5-BBE7-A6E54562650B}"/>
    <hyperlink ref="E16" r:id="rId15" xr:uid="{AD86F052-15FD-4CE8-8AB8-1DB6FC48C3A9}"/>
    <hyperlink ref="E15" r:id="rId16" xr:uid="{6608A915-F177-4C17-89DC-30AB21499934}"/>
    <hyperlink ref="E14" r:id="rId17" display="https://tiendamia.com/cr/producto?amz=B08T5WYKV6&amp;pName=HCB%20Trash%20Can%20Automatic%20Garbage%20Can%20Plastic%20Touch%20Free%20Waste%20Bins%2013%20Gallon&amp;sol;50%20Liter%20with%20Lid%20for%20Kitchen&amp;comma;%20Office&amp;comma;%20Living%20Room&amp;comma;%20Bathroom%EF%BC%88Black%EF%BC%89" xr:uid="{A2321711-30EA-407F-A88B-CE0AFE4BAEB8}"/>
    <hyperlink ref="E21" r:id="rId18" xr:uid="{5F80D1F6-B3D5-496E-B00F-9BD95221D9C4}"/>
    <hyperlink ref="E22" r:id="rId19" display="https://tiendamia.com/cr/producto?amz=B00006IARN&amp;pName=Akro-Mils%2066486%2012-Gallon%20Plastic%20Stackable%20Storage%20Keepbox%20Tote%20Container%20with%20Attached%20Hinged%20Lid&amp;comma;%2021-1&amp;sol;2-Inch%20x%2015-Inch%20x%2012-1&amp;sol;2-Inch&amp;comma;%20Clear&amp;sol;Blue" xr:uid="{7199C566-1666-496A-BB1C-CA23E94EF29C}"/>
    <hyperlink ref="E23" r:id="rId20" xr:uid="{1D608884-FF82-4469-B6DC-B01B6C59AD0B}"/>
    <hyperlink ref="E24" r:id="rId21" display="https://tiendamia.com/cr/producto?amz=B07TB9G2R6&amp;pName=Dell%20OptiPlex%209020-SFF&amp;comma;%20Intel%20Core%20i5-4570%203&amp;period;2GHZ&amp;comma;%2016GB%20RAM&amp;comma;%20512GB%20SSD%20Solid%20State&amp;comma;%20DVDRW&amp;comma;%20Windows%2010%20Pro%2064bit%20&amp;lpar;Renewed&amp;rpar;" xr:uid="{D9555903-D62A-403B-BB4D-9455AE2BC998}"/>
    <hyperlink ref="E25" r:id="rId22" xr:uid="{0159D61F-EED1-423D-BA71-A0C3E953BD72}"/>
    <hyperlink ref="E26" r:id="rId23" display="https://tiendamia.com/cr/producto?amz=B01NAHT5CE&amp;pName=TORCHSTAR%20Metal%20Desk%20Lamp&amp;comma;%20Swing%20Arm%20Desk%20Lamps&amp;comma;%20Architect%20Desk%20Lamp%20with%20Clamp&amp;comma;%20Adjustable%20Gooseneck%20Table%20Lamp&amp;comma;%20Clip%20Desk%20Lights%20for%20Home%20Office&amp;comma;%20Work&amp;comma;%20Study&amp;comma;%20Reading&amp;comma;%20E26%20Base&amp;comma;%20Multi-Joint&amp;comma;%20Black" xr:uid="{E87A55E2-1253-4806-A97E-7E585BD867B2}"/>
    <hyperlink ref="E28" r:id="rId24" xr:uid="{6696275A-CBAC-4F01-A072-DC9797E2BA1A}"/>
    <hyperlink ref="E29" r:id="rId25" display="https://tiendamia.com/cr/producto?amz=B06XC76JVZ&amp;pName=METRONIC%20Impulse%20Sealer%208%20inch&amp;comma;%20Manual%20Heat%20Sealer%20Machine%20for%20Plastic%20Bags&amp;comma;%20Shrink%20Wrap%20Bag%20Sealers%20Heavy%20Duty%20Sealing%20Machine%20With%20Repair%20Kit%20&amp;lpar;%20Blue%20&amp;rpar;" xr:uid="{109C0AF5-6D0D-434C-A1D6-810FBABAA018}"/>
    <hyperlink ref="E30" r:id="rId26" xr:uid="{5C7ECC8D-2D11-4B22-81CB-64D4FC1177BE}"/>
    <hyperlink ref="E31" r:id="rId27" display="https://tiendamia.com/cr/producto?amz=B007VR32FU&amp;pName=SHOWA%20-%20620L-09%20Atlas%20620%20Fully%20Coated%20Double-Dipped%20PVC%20Glove&amp;comma;%20Seamless%20Knitted%20Liner&amp;comma;%20Chemical%20Resistant&amp;comma;%2012&amp;quot;%20Length&amp;comma;%20Large%20&amp;lpar;Pack%20of%2012%20Pairs&amp;rpar;" xr:uid="{D3C59693-BE41-438A-9C17-EBBE74E8B886}"/>
    <hyperlink ref="E32" r:id="rId28" xr:uid="{E488B9AF-8911-4B61-91C8-F21465822FDD}"/>
    <hyperlink ref="E35" r:id="rId29" xr:uid="{D001B596-EF99-4D9F-AA75-4C0C45E54005}"/>
    <hyperlink ref="E37" r:id="rId30" display="https://tiendamia.com/cr/producto?amz=B01GDJ2BH6&amp;pName=NADAMOO%20Wireless%20Barcode%20Scanner%20328%20Feet%20Transmission%20Distance%20USB%20Cordless%201D%20Laser%20Automatic%20Barcode%20Reader%20Handhold%20Bar%20Code%20Scanner%20with%20USB%20Receiver%20for%20Store&amp;comma;%20Supermarket&amp;comma;%20Warehouse" xr:uid="{88B943A9-6597-4D6F-9820-0AFAE052C3F1}"/>
    <hyperlink ref="E38" r:id="rId31" display="https://tiendamia.com/cr/producto?amz=B09D7W9YMN&amp;pName=FCXJTU%20Digital%20Dual%20Kitchen%20Timer&amp;comma;%203%20Channels%20Count%20UP&amp;sol;Down%20Timer&amp;comma;%20Cooking%20Timer&amp;comma;%20Large%20Display&amp;comma;%20Loud%20Volume%20Alarm%20and%20Flashing%20Light%20with%20Magnetic%20Back&amp;comma;%20Stand&amp;comma;%20Battery%20Included%20&amp;lpar;White&amp;rpar;" xr:uid="{43AEA601-53D9-40F5-A8EB-F64E224D9372}"/>
    <hyperlink ref="E39" r:id="rId32" xr:uid="{6CDA822C-C361-46EA-98DF-9AE5D049587C}"/>
    <hyperlink ref="E40" r:id="rId33" display="https://tiendamia.com/cr/producto?amz=B0BYPP7SBC&amp;pName=AmGood%20Stainless%20Steel%20Utility%20Cart%20&amp;vert;%203%20Shelf%20Metal%20Utility%20Cart%20on%20Wheels%20with%20Handle%20&amp;vert;%20for%20Home%20&amp;amp;%20Business%20Use%20&amp;lpar;15&amp;quot;%20Wide%20X%2024&amp;quot;%20Long%20X%2033&amp;quot;%20High&amp;rpar;" xr:uid="{9066CC17-5A68-43EF-B1AF-BC76A749A42E}"/>
    <hyperlink ref="E41" r:id="rId34" xr:uid="{66708B69-EC95-40EC-9EE1-C8C988874BA7}"/>
    <hyperlink ref="E43" r:id="rId35" xr:uid="{9AB7F618-B9BC-4FF4-B161-176CD8DEF54C}"/>
    <hyperlink ref="E42" r:id="rId36" xr:uid="{54D970E6-044D-4852-B4F9-2711B56802B0}"/>
    <hyperlink ref="E45" r:id="rId37" display="https://tiendamia.com/cr/producto?amz=B09S5DXLW4&amp;pName=3%20Pairs%20Level%205%20Cut%20Resistant%20Gloves%20Safety%20Grip%20Woodworking%20Gloves%20Protective%20Cut%20Proof%20Gloves%20for%20Men%20Anti%20Cut%20Work%20Gloves%20PU%20Coated%20Gardening%20Gloves%20Comfortable%20Safety%20Cutting%20Gloves%20for%20Carving" xr:uid="{19A99EE4-6695-48AD-8402-09C18078E263}"/>
  </hyperlinks>
  <pageMargins left="0.7" right="0.7" top="0.75" bottom="0.75" header="0.3" footer="0.3"/>
  <pageSetup orientation="portrait" r:id="rId3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D2423-0130-4E9E-89FE-CD06B04F4D11}">
  <sheetPr codeName="Sheet4"/>
  <dimension ref="B1:G12"/>
  <sheetViews>
    <sheetView workbookViewId="0">
      <selection activeCell="F16" sqref="F16"/>
    </sheetView>
  </sheetViews>
  <sheetFormatPr defaultColWidth="8.7109375" defaultRowHeight="15" x14ac:dyDescent="0.25"/>
  <cols>
    <col min="2" max="2" width="8" bestFit="1" customWidth="1"/>
    <col min="3" max="3" width="16.28515625" bestFit="1" customWidth="1"/>
    <col min="4" max="5" width="12.7109375" bestFit="1" customWidth="1"/>
    <col min="6" max="6" width="14.42578125" bestFit="1" customWidth="1"/>
    <col min="7" max="7" width="4" bestFit="1" customWidth="1"/>
  </cols>
  <sheetData>
    <row r="1" spans="2:7" x14ac:dyDescent="0.25">
      <c r="B1" s="75" t="s">
        <v>196</v>
      </c>
      <c r="C1" s="75" t="s">
        <v>197</v>
      </c>
      <c r="D1" s="75" t="s">
        <v>198</v>
      </c>
      <c r="E1" s="75" t="s">
        <v>199</v>
      </c>
      <c r="F1" s="75" t="s">
        <v>200</v>
      </c>
      <c r="G1" s="76" t="s">
        <v>201</v>
      </c>
    </row>
    <row r="2" spans="2:7" x14ac:dyDescent="0.25">
      <c r="B2" s="112" t="s">
        <v>202</v>
      </c>
      <c r="C2" s="70" t="s">
        <v>203</v>
      </c>
      <c r="D2" s="71">
        <v>109480</v>
      </c>
      <c r="E2" s="113">
        <f>SUM(D2:D4)</f>
        <v>458960</v>
      </c>
      <c r="F2" s="110">
        <f>SUM(E2:E11)</f>
        <v>1180320</v>
      </c>
      <c r="G2" s="111">
        <v>145</v>
      </c>
    </row>
    <row r="3" spans="2:7" x14ac:dyDescent="0.25">
      <c r="B3" s="112"/>
      <c r="C3" s="70" t="s">
        <v>203</v>
      </c>
      <c r="D3" s="71">
        <v>109480</v>
      </c>
      <c r="E3" s="113"/>
      <c r="F3" s="110"/>
      <c r="G3" s="111"/>
    </row>
    <row r="4" spans="2:7" x14ac:dyDescent="0.25">
      <c r="B4" s="112"/>
      <c r="C4" s="70" t="s">
        <v>204</v>
      </c>
      <c r="D4" s="71">
        <v>240000</v>
      </c>
      <c r="E4" s="113"/>
      <c r="F4" s="110"/>
      <c r="G4" s="111"/>
    </row>
    <row r="5" spans="2:7" x14ac:dyDescent="0.25">
      <c r="B5" s="112" t="s">
        <v>26</v>
      </c>
      <c r="C5" s="70" t="s">
        <v>205</v>
      </c>
      <c r="D5" s="72">
        <v>7990</v>
      </c>
      <c r="E5" s="113">
        <f>SUM(D5:D10)</f>
        <v>505990</v>
      </c>
      <c r="F5" s="110"/>
      <c r="G5" s="111"/>
    </row>
    <row r="6" spans="2:7" x14ac:dyDescent="0.25">
      <c r="B6" s="112"/>
      <c r="C6" s="70" t="s">
        <v>205</v>
      </c>
      <c r="D6" s="72">
        <v>7990</v>
      </c>
      <c r="E6" s="113"/>
      <c r="F6" s="110"/>
      <c r="G6" s="111"/>
    </row>
    <row r="7" spans="2:7" x14ac:dyDescent="0.25">
      <c r="B7" s="112"/>
      <c r="C7" s="70" t="s">
        <v>205</v>
      </c>
      <c r="D7" s="72">
        <v>7990</v>
      </c>
      <c r="E7" s="113"/>
      <c r="F7" s="110"/>
      <c r="G7" s="111"/>
    </row>
    <row r="8" spans="2:7" x14ac:dyDescent="0.25">
      <c r="B8" s="112"/>
      <c r="C8" s="70" t="s">
        <v>206</v>
      </c>
      <c r="D8" s="72">
        <v>20310</v>
      </c>
      <c r="E8" s="113"/>
      <c r="F8" s="110"/>
      <c r="G8" s="111"/>
    </row>
    <row r="9" spans="2:7" x14ac:dyDescent="0.25">
      <c r="B9" s="112"/>
      <c r="C9" s="70" t="s">
        <v>207</v>
      </c>
      <c r="D9" s="72">
        <v>5770</v>
      </c>
      <c r="E9" s="113"/>
      <c r="F9" s="110"/>
      <c r="G9" s="111"/>
    </row>
    <row r="10" spans="2:7" x14ac:dyDescent="0.25">
      <c r="B10" s="112"/>
      <c r="C10" s="70" t="s">
        <v>208</v>
      </c>
      <c r="D10" s="73">
        <f>17*26820</f>
        <v>455940</v>
      </c>
      <c r="E10" s="113"/>
      <c r="F10" s="110"/>
      <c r="G10" s="111"/>
    </row>
    <row r="11" spans="2:7" x14ac:dyDescent="0.25">
      <c r="B11" s="112" t="s">
        <v>209</v>
      </c>
      <c r="C11" s="5" t="s">
        <v>210</v>
      </c>
      <c r="D11" s="74">
        <v>27630</v>
      </c>
      <c r="E11" s="113">
        <f>SUM(D11:D12)</f>
        <v>215370</v>
      </c>
      <c r="F11" s="110"/>
      <c r="G11" s="111"/>
    </row>
    <row r="12" spans="2:7" x14ac:dyDescent="0.25">
      <c r="B12" s="112"/>
      <c r="C12" s="70" t="s">
        <v>146</v>
      </c>
      <c r="D12" s="73">
        <f>7*26820</f>
        <v>187740</v>
      </c>
      <c r="E12" s="113"/>
      <c r="F12" s="110"/>
      <c r="G12" s="111"/>
    </row>
  </sheetData>
  <mergeCells count="8">
    <mergeCell ref="F2:F12"/>
    <mergeCell ref="G2:G12"/>
    <mergeCell ref="B11:B12"/>
    <mergeCell ref="B2:B4"/>
    <mergeCell ref="E2:E4"/>
    <mergeCell ref="E5:E10"/>
    <mergeCell ref="B5:B10"/>
    <mergeCell ref="E11:E12"/>
  </mergeCells>
  <pageMargins left="0.7" right="0.7" top="0.75" bottom="0.75" header="0.3" footer="0.3"/>
  <pageSetup orientation="portrait" r:id="rId1"/>
  <ignoredErrors>
    <ignoredError sqref="E2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09f3f66-7606-464c-8bb7-106d86afdd1f" xsi:nil="true"/>
    <lcf76f155ced4ddcb4097134ff3c332f xmlns="dacbd360-821d-48c5-b7ee-ef7570fe5c1f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2B3A0DADC6F749A92860824AAD50A4" ma:contentTypeVersion="13" ma:contentTypeDescription="Create a new document." ma:contentTypeScope="" ma:versionID="b37ef3cbf38e28f39e774cf84a77abdf">
  <xsd:schema xmlns:xsd="http://www.w3.org/2001/XMLSchema" xmlns:xs="http://www.w3.org/2001/XMLSchema" xmlns:p="http://schemas.microsoft.com/office/2006/metadata/properties" xmlns:ns2="dacbd360-821d-48c5-b7ee-ef7570fe5c1f" xmlns:ns3="e09f3f66-7606-464c-8bb7-106d86afdd1f" xmlns:ns4="2efce556-22a7-496d-98d1-f98dfab5c0e3" targetNamespace="http://schemas.microsoft.com/office/2006/metadata/properties" ma:root="true" ma:fieldsID="7d284edf6703d85314e178a5b0daf600" ns2:_="" ns3:_="" ns4:_="">
    <xsd:import namespace="dacbd360-821d-48c5-b7ee-ef7570fe5c1f"/>
    <xsd:import namespace="e09f3f66-7606-464c-8bb7-106d86afdd1f"/>
    <xsd:import namespace="2efce556-22a7-496d-98d1-f98dfab5c0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cbd360-821d-48c5-b7ee-ef7570fe5c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c25cbba-0c74-4f28-92d4-a3c6495c4b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9f3f66-7606-464c-8bb7-106d86afdd1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90390ad2-54b7-49a0-a110-4bab0402dd29}" ma:internalName="TaxCatchAll" ma:showField="CatchAllData" ma:web="2efce556-22a7-496d-98d1-f98dfab5c0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fce556-22a7-496d-98d1-f98dfab5c0e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738177-56BD-4D9A-89E8-F2E6875C71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F16EC7-41DE-4E9E-A2F6-9101903C994D}">
  <ds:schemaRefs>
    <ds:schemaRef ds:uri="http://purl.org/dc/elements/1.1/"/>
    <ds:schemaRef ds:uri="dacbd360-821d-48c5-b7ee-ef7570fe5c1f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2efce556-22a7-496d-98d1-f98dfab5c0e3"/>
    <ds:schemaRef ds:uri="e09f3f66-7606-464c-8bb7-106d86afdd1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40B64C0-0F63-4EDB-B1AC-77A05B94E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cbd360-821d-48c5-b7ee-ef7570fe5c1f"/>
    <ds:schemaRef ds:uri="e09f3f66-7606-464c-8bb7-106d86afdd1f"/>
    <ds:schemaRef ds:uri="2efce556-22a7-496d-98d1-f98dfab5c0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Inventario</vt:lpstr>
      <vt:lpstr>Equipo reutilizado</vt:lpstr>
      <vt:lpstr>Desechado</vt:lpstr>
      <vt:lpstr>Nueva versión</vt:lpstr>
      <vt:lpstr>Precios</vt:lpstr>
      <vt:lpstr>Ahorro por 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BSCI-GESTORRP-SVC</dc:creator>
  <cp:keywords/>
  <dc:description/>
  <cp:lastModifiedBy>Acosta Navarro, Randall</cp:lastModifiedBy>
  <cp:revision/>
  <dcterms:created xsi:type="dcterms:W3CDTF">2023-02-14T19:45:15Z</dcterms:created>
  <dcterms:modified xsi:type="dcterms:W3CDTF">2023-07-10T20:16:35Z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0x010100D42B3A0DADC6F749A92860824AAD50A4</vt:lpwstr>
  </property>
  <property fmtid="{D5CDD505-2E9C-101B-9397-08002B2CF9AE}" pid="3" name="MediaServiceImageTags">
    <vt:lpwstr/>
  </property>
</Properties>
</file>