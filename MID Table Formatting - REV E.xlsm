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ostonscientific-my.sharepoint.com/personal/randall_acostanavarro_bsci_com/Documents/Desktop/Documentos/IDEAS/MID Dennis Hunt/"/>
    </mc:Choice>
  </mc:AlternateContent>
  <xr:revisionPtr revIDLastSave="137" documentId="8_{DB1B498D-5BE7-4BDC-9AE8-2C87FB3041BE}" xr6:coauthVersionLast="47" xr6:coauthVersionMax="47" xr10:uidLastSave="{0006A7C6-C85A-4475-A22C-597C4781B5DE}"/>
  <bookViews>
    <workbookView xWindow="-28920" yWindow="-120" windowWidth="29040" windowHeight="15840" xr2:uid="{EAF18F3E-8FDF-4EEB-87B8-80A8FDE318E2}"/>
  </bookViews>
  <sheets>
    <sheet name="Instructions" sheetId="12" r:id="rId1"/>
    <sheet name="MID table Formatted" sheetId="79" r:id="rId2"/>
    <sheet name="risk_thresh_mid - original" sheetId="14" r:id="rId3"/>
    <sheet name="Resort &amp; Remerge" sheetId="56" r:id="rId4"/>
    <sheet name="Structure of MID Desc" sheetId="67" r:id="rId5"/>
    <sheet name="Notes and Revisions" sheetId="70" r:id="rId6"/>
  </sheets>
  <functionGroups builtInGroupCount="19"/>
  <definedNames>
    <definedName name="risk_thresh_mid" localSheetId="1">'MID table Formatted'!$A$1:$L$48</definedName>
    <definedName name="risk_thresh_mid" localSheetId="2">'risk_thresh_mid - original'!$A$1:$L$48</definedName>
    <definedName name="risk_thresh_mi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2" l="1"/>
</calcChain>
</file>

<file path=xl/sharedStrings.xml><?xml version="1.0" encoding="utf-8"?>
<sst xmlns="http://schemas.openxmlformats.org/spreadsheetml/2006/main" count="313" uniqueCount="159">
  <si>
    <t>AR Code List
(Complaint Observations)</t>
  </si>
  <si>
    <t>Monitoring ID (MID)</t>
  </si>
  <si>
    <t>Monitoring ID (MID) Category</t>
  </si>
  <si>
    <t>Type</t>
  </si>
  <si>
    <t>Monitoring Interval (Months)</t>
  </si>
  <si>
    <t>Monitoring Method</t>
  </si>
  <si>
    <t>Evaluation Threshold</t>
  </si>
  <si>
    <t>Risk Threshold</t>
  </si>
  <si>
    <t>Exceeded?</t>
  </si>
  <si>
    <t>Observed Data as of date:</t>
  </si>
  <si>
    <t>August 2022</t>
  </si>
  <si>
    <t>ar_code</t>
  </si>
  <si>
    <t>Monitoring ID</t>
  </si>
  <si>
    <t>MID Description</t>
  </si>
  <si>
    <t>Monitoring Interval</t>
  </si>
  <si>
    <t>Signal Value</t>
  </si>
  <si>
    <t>Evaluation Threshold Value</t>
  </si>
  <si>
    <t>Risk Threshold Value Upper Limit</t>
  </si>
  <si>
    <t>MID Signal</t>
  </si>
  <si>
    <t>mid_category</t>
  </si>
  <si>
    <t>description</t>
  </si>
  <si>
    <t>type</t>
  </si>
  <si>
    <t>Will eventually hide</t>
  </si>
  <si>
    <t>Exclude</t>
  </si>
  <si>
    <t>Instructions / Notes for Macro:</t>
  </si>
  <si>
    <t>If needing to Unmerge to then resort and Remerge:</t>
  </si>
  <si>
    <t>Download this file to your own folder before starting.</t>
  </si>
  <si>
    <t>1. Use the "Reset" button to delete the "MID table Formatted" Workbook and clear the data in the "risk_thresh_mid - original" worksheet</t>
  </si>
  <si>
    <t>2. Add data from 'gb cer app' output file to the "risk_thresh_mid - original" tab</t>
  </si>
  <si>
    <t xml:space="preserve">          - Data must be in cell A1</t>
  </si>
  <si>
    <t xml:space="preserve">          - Columns cannot be moved / changed.  Row 7 above (this worksheet) is the anticipated order of the columns from the raw data</t>
  </si>
  <si>
    <t>3. Use the "Run Macro" button to format data from "risk_thresh_mid - original" into data tables for MER</t>
  </si>
  <si>
    <t xml:space="preserve">          - </t>
  </si>
  <si>
    <t>Put finished table that needs to be resorted into a tab (can use the Resort &amp; Remerge tab)</t>
  </si>
  <si>
    <t xml:space="preserve">-- The script will ask for a range to look at </t>
  </si>
  <si>
    <t>Copy the unmerged data into the MID table Formatted sheet (NEEDS to have this name)</t>
  </si>
  <si>
    <t>"MID table Formatted" is the results tab - it will be generated from the macro</t>
  </si>
  <si>
    <t xml:space="preserve">-- use the Resort&amp;Remerge button to finish up.  </t>
  </si>
  <si>
    <t>--- if this tab is already in the workbook, it must be deleted before running new table</t>
  </si>
  <si>
    <t>--- if not, it will generate an error and the script will not finish running</t>
  </si>
  <si>
    <t>Column Headings will be renamed &amp; formatted as in row 1 of this worksheet</t>
  </si>
  <si>
    <t>--- The relavent date for the observed data needs to be entered into cell B4</t>
  </si>
  <si>
    <t xml:space="preserve">If the MIDs were not formatted such that Dipu's script pulls the correct fields then this script will also not work </t>
  </si>
  <si>
    <t>--- Example: LuxDX</t>
  </si>
  <si>
    <t>Category: Infection/Allergic Reaction_Type: Harm_Fineline2Sterox</t>
  </si>
  <si>
    <t>Infection/Allergic Reaction</t>
  </si>
  <si>
    <t>Fineline2Sterox</t>
  </si>
  <si>
    <t>Harm</t>
  </si>
  <si>
    <t>C</t>
  </si>
  <si>
    <t>a</t>
  </si>
  <si>
    <t>t</t>
  </si>
  <si>
    <t>e</t>
  </si>
  <si>
    <t>g</t>
  </si>
  <si>
    <t>o</t>
  </si>
  <si>
    <t>r</t>
  </si>
  <si>
    <t>y</t>
  </si>
  <si>
    <t>:</t>
  </si>
  <si>
    <t xml:space="preserve"> </t>
  </si>
  <si>
    <t>I</t>
  </si>
  <si>
    <t>n</t>
  </si>
  <si>
    <t>f</t>
  </si>
  <si>
    <t>c</t>
  </si>
  <si>
    <t>i</t>
  </si>
  <si>
    <t>/</t>
  </si>
  <si>
    <t>A</t>
  </si>
  <si>
    <t>l</t>
  </si>
  <si>
    <t>R</t>
  </si>
  <si>
    <t>_</t>
  </si>
  <si>
    <t>T</t>
  </si>
  <si>
    <t>p</t>
  </si>
  <si>
    <t>H</t>
  </si>
  <si>
    <t>m</t>
  </si>
  <si>
    <t>F</t>
  </si>
  <si>
    <t>S</t>
  </si>
  <si>
    <t>x</t>
  </si>
  <si>
    <t>Good Example</t>
  </si>
  <si>
    <t>': '</t>
  </si>
  <si>
    <t>Finds the first ": " and goes forward two characters</t>
  </si>
  <si>
    <t>positon 11</t>
  </si>
  <si>
    <t>P</t>
  </si>
  <si>
    <t>'_Type'</t>
  </si>
  <si>
    <t>b</t>
  </si>
  <si>
    <t>Finds the position of the text '_Type' (finds the position of the first character of that string)</t>
  </si>
  <si>
    <t>position 38</t>
  </si>
  <si>
    <t>Finds the position of the first ': '.</t>
  </si>
  <si>
    <t>position 9</t>
  </si>
  <si>
    <t>d</t>
  </si>
  <si>
    <t>finds the number of characters between the two positions and subtracts 2 for the ': ' as the text for the mid category</t>
  </si>
  <si>
    <t>38-9-2 = 27</t>
  </si>
  <si>
    <t>Starting with the position in step a, takes the next 27 characters (from step d)</t>
  </si>
  <si>
    <t>Finds the first '_Type' and goes forward 7 characters ('_Type: ' is 7 characters)</t>
  </si>
  <si>
    <t>position 45</t>
  </si>
  <si>
    <t>'_ '</t>
  </si>
  <si>
    <t>Finds the position of the first  '_' AFTER the the text '_' + 5 characters (i.e. looking for the second '_')</t>
  </si>
  <si>
    <t>position 49</t>
  </si>
  <si>
    <t>Finds the position of the first '_'.</t>
  </si>
  <si>
    <t>finds the number of characters between the two positions and subtracts 7 for the '_Type' text</t>
  </si>
  <si>
    <t>49-38-7 = 4</t>
  </si>
  <si>
    <t>Starting with the position in step a, takes the next 4 characters (from step d)</t>
  </si>
  <si>
    <t>Finds the position of the first  '_' AFTER the the text '_' + 1 characters, then adds 1 (i.e. looking for the second '_')</t>
  </si>
  <si>
    <t>total length</t>
  </si>
  <si>
    <t>Finds the total number of characters in the string</t>
  </si>
  <si>
    <t>position 64</t>
  </si>
  <si>
    <t>Finds the position of the first  '_' AFTER the the text '_' characters, (i.e. looking for the second '_')</t>
  </si>
  <si>
    <t>finds the number of characters between the two positions</t>
  </si>
  <si>
    <t>64-49 = 15</t>
  </si>
  <si>
    <t>Starting with the position in step a, takes the next 15 characters (from step d)</t>
  </si>
  <si>
    <t>MID Table Formatting - REV A</t>
  </si>
  <si>
    <t>1-The tool takes information based on a format outputed from The GB CER APP</t>
  </si>
  <si>
    <t>2-The tool works only on certain types of formattings. Changes on GB CER APP cause certain issues</t>
  </si>
  <si>
    <t>3-The tool has a Reset feature.</t>
  </si>
  <si>
    <t>4-The tool has a Resort and Remerge feature after running the macro.</t>
  </si>
  <si>
    <t>MID Table Formatting - REV B</t>
  </si>
  <si>
    <t>Changelog:</t>
  </si>
  <si>
    <t>1-The tool now works with all the kind of formats found in the MID Descriptions_CRM Risk Thresholds file</t>
  </si>
  <si>
    <t>(Notes: The tool will work better if the cell for MID Description contains the words "Type" and "Category", but any kind of format should work)</t>
  </si>
  <si>
    <t>(Notes: For the formats that doesn't contain a "Type" hazard or harm, it will leave the cell in blank. For the ones that contains the "hazard/harm" but don't have the keyword "Type" it will recognize it and assign the cell accordingly)</t>
  </si>
  <si>
    <t>Developer of REV B: Randall Acosta Navarro</t>
  </si>
  <si>
    <r>
      <t xml:space="preserve">Developer of REV B contact: </t>
    </r>
    <r>
      <rPr>
        <sz val="11"/>
        <color theme="4"/>
        <rFont val="Calibri"/>
        <family val="2"/>
        <scheme val="minor"/>
      </rPr>
      <t>randall.acostanavarro@bsci.com</t>
    </r>
  </si>
  <si>
    <t>1-Added to the coding a feature to add 2 blank columns (Column C and Column H) for the Product Family and the Denominator respectively.</t>
  </si>
  <si>
    <t>2-Added to the coding a feature to not show alert messages while hitting the Reset button.</t>
  </si>
  <si>
    <t>3-Added to the coding a feature to not show any screen updating until the macro finish running to agilize the time the macro performs it's job.</t>
  </si>
  <si>
    <t>MID Table Formatting - REV D</t>
  </si>
  <si>
    <t>MID Table Formatting - REV C</t>
  </si>
  <si>
    <t>1-Added to the coding a feature to work with categories that don't contain the Keyword "Category" but contains the keyworkd "Type"</t>
  </si>
  <si>
    <t>2-Added to the coding a feature to work with categories related to Acuity Pro</t>
  </si>
  <si>
    <t>Developer of REV D: Randall Acosta Navarro</t>
  </si>
  <si>
    <r>
      <t xml:space="preserve">Developer of REV D contact: </t>
    </r>
    <r>
      <rPr>
        <sz val="11"/>
        <color theme="4"/>
        <rFont val="Calibri"/>
        <family val="2"/>
        <scheme val="minor"/>
      </rPr>
      <t>randall.acostanavarro@bsci.com</t>
    </r>
  </si>
  <si>
    <r>
      <t xml:space="preserve">Developer of REV C contact: </t>
    </r>
    <r>
      <rPr>
        <sz val="11"/>
        <color theme="4"/>
        <rFont val="Calibri"/>
        <family val="2"/>
        <scheme val="minor"/>
      </rPr>
      <t>randall.acostanavarro@bsci.com</t>
    </r>
  </si>
  <si>
    <t>Developer of REV C: Randall Acosta Navarro</t>
  </si>
  <si>
    <t>Developer of REV A: Randall Acosta Navarro</t>
  </si>
  <si>
    <r>
      <t xml:space="preserve">Developer of REV A contact: </t>
    </r>
    <r>
      <rPr>
        <sz val="11"/>
        <color theme="4"/>
        <rFont val="Calibri"/>
        <family val="2"/>
        <scheme val="minor"/>
      </rPr>
      <t>randall.acostanavarro@bsci.com</t>
    </r>
  </si>
  <si>
    <t>Custom Rate Threshold</t>
  </si>
  <si>
    <t>3</t>
  </si>
  <si>
    <t>Category: Damaged/defective Type: Hazard_Balloon Catheter</t>
  </si>
  <si>
    <t>Category: Off label use/Misuse Type: Hazard_Balloon Catheter</t>
  </si>
  <si>
    <t>Category: Balloon Harm_Balloon Catheter</t>
  </si>
  <si>
    <t>Abscess</t>
  </si>
  <si>
    <t>No</t>
  </si>
  <si>
    <t xml:space="preserve">Damaged/defective </t>
  </si>
  <si>
    <t>Hazard</t>
  </si>
  <si>
    <t xml:space="preserve">Off label use/Misuse </t>
  </si>
  <si>
    <t>Balloon Catheter</t>
  </si>
  <si>
    <t>Observed Value
(as of August 2022)</t>
  </si>
  <si>
    <t>Product Family</t>
  </si>
  <si>
    <t>Denominator</t>
  </si>
  <si>
    <t>Balloon Harm_Balloon Catheter</t>
  </si>
  <si>
    <t>Category: Foreign Material Type: Hazard_Balloon Catheter</t>
  </si>
  <si>
    <t>Category: Difficulty in use Type: Hazard_Balloon Catheter</t>
  </si>
  <si>
    <t xml:space="preserve">Foreign Material </t>
  </si>
  <si>
    <t xml:space="preserve">Difficulty in use </t>
  </si>
  <si>
    <t xml:space="preserve">RM14317             </t>
  </si>
  <si>
    <t xml:space="preserve">RM14318             </t>
  </si>
  <si>
    <t xml:space="preserve">RM14319             </t>
  </si>
  <si>
    <t xml:space="preserve">RM14320             </t>
  </si>
  <si>
    <t xml:space="preserve">RM14321             </t>
  </si>
  <si>
    <t xml:space="preserve">RM14322             </t>
  </si>
  <si>
    <t>Category: Damaged/defective_Balloon Catheter Type: Hazard</t>
  </si>
  <si>
    <t xml:space="preserve">Damaged/defective_Balloon Catheter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</si>
</sst>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0.0000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000000"/>
      <name val="Calibri"/>
      <family val="2"/>
    </font>
    <font>
      <sz val="11"/>
      <color theme="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/>
    <xf numFmtId="0" fontId="1" fillId="3" borderId="0" xfId="0" applyFont="1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top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4" fillId="0" borderId="0" xfId="0" applyFont="1"/>
    <xf numFmtId="0" fontId="0" fillId="7" borderId="0" xfId="0" applyFill="1" applyAlignment="1">
      <alignment horizontal="center"/>
    </xf>
    <xf numFmtId="49" fontId="0" fillId="0" borderId="1" xfId="0" applyNumberFormat="1" applyBorder="1"/>
    <xf numFmtId="0" fontId="1" fillId="8" borderId="1" xfId="0" applyFont="1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2" fillId="2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6A3EC8B9-DE75-45A2-99E5-C6329F958C9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</xdr:row>
          <xdr:rowOff>0</xdr:rowOff>
        </xdr:from>
        <xdr:to>
          <xdr:col>1</xdr:col>
          <xdr:colOff>1657350</xdr:colOff>
          <xdr:row>12</xdr:row>
          <xdr:rowOff>361950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12</xdr:row>
          <xdr:rowOff>0</xdr:rowOff>
        </xdr:from>
        <xdr:to>
          <xdr:col>1</xdr:col>
          <xdr:colOff>9525</xdr:colOff>
          <xdr:row>12</xdr:row>
          <xdr:rowOff>361950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0</xdr:rowOff>
        </xdr:from>
        <xdr:to>
          <xdr:col>8</xdr:col>
          <xdr:colOff>114300</xdr:colOff>
          <xdr:row>12</xdr:row>
          <xdr:rowOff>361950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Unmerge and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12</xdr:row>
          <xdr:rowOff>0</xdr:rowOff>
        </xdr:from>
        <xdr:to>
          <xdr:col>9</xdr:col>
          <xdr:colOff>47625</xdr:colOff>
          <xdr:row>12</xdr:row>
          <xdr:rowOff>361950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Resort&amp;Remerge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0</xdr:rowOff>
        </xdr:from>
        <xdr:to>
          <xdr:col>7</xdr:col>
          <xdr:colOff>180975</xdr:colOff>
          <xdr:row>12</xdr:row>
          <xdr:rowOff>371475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Resort &amp; Remerge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24</xdr:row>
      <xdr:rowOff>100443</xdr:rowOff>
    </xdr:from>
    <xdr:to>
      <xdr:col>5</xdr:col>
      <xdr:colOff>106243</xdr:colOff>
      <xdr:row>41</xdr:row>
      <xdr:rowOff>133351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4672443"/>
          <a:ext cx="8697793" cy="32714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E009-23D0-40B2-AE63-72D50DAD643D}">
  <sheetPr codeName="Sheet4">
    <tabColor theme="3"/>
  </sheetPr>
  <dimension ref="A1:L35"/>
  <sheetViews>
    <sheetView tabSelected="1" workbookViewId="0">
      <selection activeCell="D13" sqref="D13"/>
    </sheetView>
  </sheetViews>
  <sheetFormatPr defaultRowHeight="15" x14ac:dyDescent="0.25"/>
  <cols>
    <col min="1" max="3" width="25.140625" customWidth="1"/>
    <col min="4" max="4" width="14.85546875" customWidth="1"/>
    <col min="5" max="5" width="25.140625" customWidth="1"/>
    <col min="6" max="6" width="21.5703125" customWidth="1"/>
    <col min="7" max="7" width="20.7109375" customWidth="1"/>
    <col min="8" max="9" width="25.140625" customWidth="1"/>
    <col min="10" max="10" width="10.5703125" customWidth="1"/>
  </cols>
  <sheetData>
    <row r="1" spans="1:12" ht="3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tr">
        <f>_xlfn.CONCAT("Observed Value", CHAR(10), "(as of ", B4,")")</f>
        <v>Observed Value
(as of August 2022)</v>
      </c>
      <c r="H1" s="2" t="s">
        <v>6</v>
      </c>
      <c r="I1" s="2" t="s">
        <v>7</v>
      </c>
      <c r="J1" s="2" t="s">
        <v>8</v>
      </c>
      <c r="K1" s="1"/>
    </row>
    <row r="2" spans="1:12" x14ac:dyDescent="0.25">
      <c r="A2">
        <v>1</v>
      </c>
      <c r="B2">
        <v>2</v>
      </c>
      <c r="C2">
        <v>10</v>
      </c>
      <c r="D2">
        <v>12</v>
      </c>
      <c r="E2">
        <v>5</v>
      </c>
      <c r="F2">
        <v>4</v>
      </c>
      <c r="G2">
        <v>6</v>
      </c>
      <c r="H2">
        <v>7</v>
      </c>
      <c r="I2">
        <v>8</v>
      </c>
      <c r="J2">
        <v>9</v>
      </c>
    </row>
    <row r="3" spans="1:12" ht="15.75" thickBot="1" x14ac:dyDescent="0.3"/>
    <row r="4" spans="1:12" ht="15.75" thickBot="1" x14ac:dyDescent="0.3">
      <c r="A4" s="13" t="s">
        <v>9</v>
      </c>
      <c r="B4" s="12" t="s">
        <v>10</v>
      </c>
    </row>
    <row r="7" spans="1:12" x14ac:dyDescent="0.25">
      <c r="A7" t="s">
        <v>11</v>
      </c>
      <c r="B7" t="s">
        <v>12</v>
      </c>
      <c r="C7" t="s">
        <v>13</v>
      </c>
      <c r="D7" t="s">
        <v>5</v>
      </c>
      <c r="E7" t="s">
        <v>14</v>
      </c>
      <c r="F7" t="s">
        <v>15</v>
      </c>
      <c r="G7" t="s">
        <v>16</v>
      </c>
      <c r="H7" t="s">
        <v>17</v>
      </c>
      <c r="I7" t="s">
        <v>18</v>
      </c>
      <c r="J7" t="s">
        <v>19</v>
      </c>
      <c r="K7" t="s">
        <v>20</v>
      </c>
      <c r="L7" t="s">
        <v>21</v>
      </c>
    </row>
    <row r="8" spans="1:12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</row>
    <row r="9" spans="1:12" x14ac:dyDescent="0.25">
      <c r="B9" t="s">
        <v>22</v>
      </c>
      <c r="C9" t="s">
        <v>23</v>
      </c>
      <c r="K9" t="s">
        <v>23</v>
      </c>
    </row>
    <row r="13" spans="1:12" ht="138" customHeight="1" x14ac:dyDescent="0.25"/>
    <row r="14" spans="1:12" ht="45.75" customHeight="1" x14ac:dyDescent="0.25"/>
    <row r="16" spans="1:12" x14ac:dyDescent="0.25">
      <c r="A16" s="4" t="s">
        <v>24</v>
      </c>
      <c r="B16" s="4"/>
      <c r="C16" s="4"/>
      <c r="D16" s="4"/>
      <c r="E16" s="4"/>
      <c r="F16" s="4"/>
      <c r="G16" s="4" t="s">
        <v>25</v>
      </c>
      <c r="H16" s="4"/>
      <c r="I16" s="4"/>
      <c r="J16" s="4"/>
      <c r="K16" s="4"/>
      <c r="L16" s="4"/>
    </row>
    <row r="17" spans="1:7" x14ac:dyDescent="0.25">
      <c r="A17" t="s">
        <v>26</v>
      </c>
    </row>
    <row r="18" spans="1:7" x14ac:dyDescent="0.25">
      <c r="A18" t="s">
        <v>27</v>
      </c>
    </row>
    <row r="19" spans="1:7" x14ac:dyDescent="0.25">
      <c r="A19" t="s">
        <v>28</v>
      </c>
    </row>
    <row r="20" spans="1:7" x14ac:dyDescent="0.25">
      <c r="A20" s="3" t="s">
        <v>29</v>
      </c>
    </row>
    <row r="21" spans="1:7" x14ac:dyDescent="0.25">
      <c r="A21" s="3" t="s">
        <v>30</v>
      </c>
    </row>
    <row r="22" spans="1:7" x14ac:dyDescent="0.25">
      <c r="A22" s="3" t="s">
        <v>31</v>
      </c>
    </row>
    <row r="23" spans="1:7" x14ac:dyDescent="0.25">
      <c r="A23" s="3" t="s">
        <v>32</v>
      </c>
      <c r="G23" t="s">
        <v>33</v>
      </c>
    </row>
    <row r="24" spans="1:7" x14ac:dyDescent="0.25">
      <c r="A24" s="3"/>
      <c r="G24" s="3" t="s">
        <v>34</v>
      </c>
    </row>
    <row r="25" spans="1:7" x14ac:dyDescent="0.25">
      <c r="A25" s="3"/>
    </row>
    <row r="26" spans="1:7" x14ac:dyDescent="0.25">
      <c r="G26" t="s">
        <v>35</v>
      </c>
    </row>
    <row r="27" spans="1:7" x14ac:dyDescent="0.25">
      <c r="A27" t="s">
        <v>36</v>
      </c>
      <c r="G27" s="3" t="s">
        <v>37</v>
      </c>
    </row>
    <row r="28" spans="1:7" x14ac:dyDescent="0.25">
      <c r="A28" s="3" t="s">
        <v>38</v>
      </c>
    </row>
    <row r="29" spans="1:7" x14ac:dyDescent="0.25">
      <c r="A29" s="3" t="s">
        <v>39</v>
      </c>
    </row>
    <row r="31" spans="1:7" x14ac:dyDescent="0.25">
      <c r="A31" t="s">
        <v>40</v>
      </c>
    </row>
    <row r="32" spans="1:7" x14ac:dyDescent="0.25">
      <c r="A32" s="3" t="s">
        <v>41</v>
      </c>
    </row>
    <row r="34" spans="1:1" x14ac:dyDescent="0.25">
      <c r="A34" t="s">
        <v>42</v>
      </c>
    </row>
    <row r="35" spans="1:1" x14ac:dyDescent="0.25">
      <c r="A35" s="3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formatMIDTables">
                <anchor moveWithCells="1">
                  <from>
                    <xdr:col>1</xdr:col>
                    <xdr:colOff>104775</xdr:colOff>
                    <xdr:row>12</xdr:row>
                    <xdr:rowOff>0</xdr:rowOff>
                  </from>
                  <to>
                    <xdr:col>1</xdr:col>
                    <xdr:colOff>1657350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eset">
                <anchor moveWithCells="1">
                  <from>
                    <xdr:col>0</xdr:col>
                    <xdr:colOff>152400</xdr:colOff>
                    <xdr:row>12</xdr:row>
                    <xdr:rowOff>0</xdr:rowOff>
                  </from>
                  <to>
                    <xdr:col>1</xdr:col>
                    <xdr:colOff>9525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UnMergeSameCell">
                <anchor moveWithCells="1">
                  <from>
                    <xdr:col>7</xdr:col>
                    <xdr:colOff>323850</xdr:colOff>
                    <xdr:row>12</xdr:row>
                    <xdr:rowOff>0</xdr:rowOff>
                  </from>
                  <to>
                    <xdr:col>8</xdr:col>
                    <xdr:colOff>114300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ResortAndRemerge">
                <anchor moveWithCells="1">
                  <from>
                    <xdr:col>8</xdr:col>
                    <xdr:colOff>257175</xdr:colOff>
                    <xdr:row>12</xdr:row>
                    <xdr:rowOff>0</xdr:rowOff>
                  </from>
                  <to>
                    <xdr:col>9</xdr:col>
                    <xdr:colOff>47625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ResetResortandRemerge">
                <anchor moveWithCells="1">
                  <from>
                    <xdr:col>6</xdr:col>
                    <xdr:colOff>76200</xdr:colOff>
                    <xdr:row>12</xdr:row>
                    <xdr:rowOff>0</xdr:rowOff>
                  </from>
                  <to>
                    <xdr:col>7</xdr:col>
                    <xdr:colOff>180975</xdr:colOff>
                    <xdr:row>12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D4DA-56F8-45AE-8084-FFC93283817D}">
  <sheetPr codeName="Sheet6">
    <tabColor theme="3" tint="0.59999389629810485"/>
  </sheetPr>
  <dimension ref="A1:L7"/>
  <sheetViews>
    <sheetView workbookViewId="0">
      <selection activeCell="E21" sqref="E21"/>
    </sheetView>
  </sheetViews>
  <sheetFormatPr defaultRowHeight="15" x14ac:dyDescent="0.25"/>
  <cols>
    <col min="1" max="1" width="24.140625" bestFit="1" customWidth="1"/>
    <col min="2" max="2" width="19.140625" bestFit="1" customWidth="1"/>
    <col min="3" max="3" width="19.140625" customWidth="1"/>
    <col min="4" max="4" width="35.7109375" bestFit="1" customWidth="1"/>
    <col min="5" max="5" width="7" bestFit="1" customWidth="1"/>
    <col min="6" max="6" width="18.5703125" bestFit="1" customWidth="1"/>
    <col min="7" max="8" width="21.85546875" bestFit="1" customWidth="1"/>
    <col min="9" max="9" width="17.85546875" bestFit="1" customWidth="1"/>
    <col min="10" max="10" width="19.85546875" bestFit="1" customWidth="1"/>
    <col min="11" max="11" width="9.85546875" bestFit="1" customWidth="1"/>
    <col min="12" max="12" width="10.5703125" bestFit="1" customWidth="1"/>
  </cols>
  <sheetData>
    <row r="1" spans="1:12" ht="30" x14ac:dyDescent="0.25">
      <c r="A1" s="17" t="s">
        <v>0</v>
      </c>
      <c r="B1" s="17" t="s">
        <v>1</v>
      </c>
      <c r="C1" s="17" t="s">
        <v>144</v>
      </c>
      <c r="D1" s="17" t="s">
        <v>2</v>
      </c>
      <c r="E1" s="17" t="s">
        <v>3</v>
      </c>
      <c r="F1" s="17" t="s">
        <v>4</v>
      </c>
      <c r="G1" s="17" t="s">
        <v>5</v>
      </c>
      <c r="H1" s="17" t="s">
        <v>145</v>
      </c>
      <c r="I1" s="17" t="s">
        <v>143</v>
      </c>
      <c r="J1" s="17" t="s">
        <v>6</v>
      </c>
      <c r="K1" s="17" t="s">
        <v>7</v>
      </c>
      <c r="L1" s="17" t="s">
        <v>8</v>
      </c>
    </row>
    <row r="2" spans="1:12" x14ac:dyDescent="0.25">
      <c r="A2" s="18" t="s">
        <v>137</v>
      </c>
      <c r="B2" s="19" t="s">
        <v>155</v>
      </c>
      <c r="C2" s="19"/>
      <c r="D2" s="19" t="s">
        <v>146</v>
      </c>
      <c r="E2" s="19" t="s">
        <v>47</v>
      </c>
      <c r="F2" s="19">
        <v>3</v>
      </c>
      <c r="G2" s="19" t="s">
        <v>132</v>
      </c>
      <c r="H2" s="19"/>
      <c r="I2" s="20">
        <v>8.5799999999999998E-5</v>
      </c>
      <c r="J2" s="19">
        <v>1.4100000000000001E-4</v>
      </c>
      <c r="K2" s="19">
        <v>2.9999999999999997E-4</v>
      </c>
      <c r="L2" s="19" t="s">
        <v>138</v>
      </c>
    </row>
    <row r="3" spans="1:12" x14ac:dyDescent="0.25">
      <c r="A3" s="18" t="s">
        <v>137</v>
      </c>
      <c r="B3" s="19" t="s">
        <v>151</v>
      </c>
      <c r="C3" s="19"/>
      <c r="D3" s="19" t="s">
        <v>158</v>
      </c>
      <c r="E3" s="19" t="s">
        <v>140</v>
      </c>
      <c r="F3" s="19">
        <v>3</v>
      </c>
      <c r="G3" s="19" t="s">
        <v>132</v>
      </c>
      <c r="H3" s="19"/>
      <c r="I3" s="20">
        <v>8.5799999999999998E-5</v>
      </c>
      <c r="J3" s="19">
        <v>1.4100000000000001E-4</v>
      </c>
      <c r="K3" s="19">
        <v>2.9999999999999997E-4</v>
      </c>
      <c r="L3" s="19" t="s">
        <v>138</v>
      </c>
    </row>
    <row r="4" spans="1:12" x14ac:dyDescent="0.25">
      <c r="A4" s="18" t="s">
        <v>137</v>
      </c>
      <c r="B4" s="19" t="s">
        <v>152</v>
      </c>
      <c r="C4" s="19"/>
      <c r="D4" s="19" t="s">
        <v>139</v>
      </c>
      <c r="E4" s="19" t="s">
        <v>140</v>
      </c>
      <c r="F4" s="19">
        <v>3</v>
      </c>
      <c r="G4" s="19" t="s">
        <v>132</v>
      </c>
      <c r="H4" s="19"/>
      <c r="I4" s="20">
        <v>8.5799999999999998E-5</v>
      </c>
      <c r="J4" s="19">
        <v>1.4100000000000001E-4</v>
      </c>
      <c r="K4" s="19">
        <v>2.9999999999999997E-4</v>
      </c>
      <c r="L4" s="19" t="s">
        <v>138</v>
      </c>
    </row>
    <row r="5" spans="1:12" x14ac:dyDescent="0.25">
      <c r="A5" s="18" t="s">
        <v>137</v>
      </c>
      <c r="B5" s="19" t="s">
        <v>153</v>
      </c>
      <c r="C5" s="19"/>
      <c r="D5" s="19" t="s">
        <v>149</v>
      </c>
      <c r="E5" s="19" t="s">
        <v>140</v>
      </c>
      <c r="F5" s="19">
        <v>3</v>
      </c>
      <c r="G5" s="19" t="s">
        <v>132</v>
      </c>
      <c r="H5" s="19"/>
      <c r="I5" s="20">
        <v>8.5799999999999998E-5</v>
      </c>
      <c r="J5" s="19">
        <v>1.4100000000000001E-4</v>
      </c>
      <c r="K5" s="19">
        <v>2.9999999999999997E-4</v>
      </c>
      <c r="L5" s="19" t="s">
        <v>138</v>
      </c>
    </row>
    <row r="6" spans="1:12" x14ac:dyDescent="0.25">
      <c r="A6" s="18" t="s">
        <v>137</v>
      </c>
      <c r="B6" s="19" t="s">
        <v>154</v>
      </c>
      <c r="C6" s="19"/>
      <c r="D6" s="19" t="s">
        <v>141</v>
      </c>
      <c r="E6" s="19" t="s">
        <v>140</v>
      </c>
      <c r="F6" s="19">
        <v>3</v>
      </c>
      <c r="G6" s="19" t="s">
        <v>132</v>
      </c>
      <c r="H6" s="19"/>
      <c r="I6" s="20">
        <v>8.5799999999999998E-5</v>
      </c>
      <c r="J6" s="19">
        <v>1.4100000000000001E-4</v>
      </c>
      <c r="K6" s="19">
        <v>2.9999999999999997E-4</v>
      </c>
      <c r="L6" s="19" t="s">
        <v>138</v>
      </c>
    </row>
    <row r="7" spans="1:12" x14ac:dyDescent="0.25">
      <c r="A7" s="18" t="s">
        <v>137</v>
      </c>
      <c r="B7" s="19" t="s">
        <v>156</v>
      </c>
      <c r="C7" s="19"/>
      <c r="D7" s="19" t="s">
        <v>150</v>
      </c>
      <c r="E7" s="19" t="s">
        <v>140</v>
      </c>
      <c r="F7" s="19">
        <v>3</v>
      </c>
      <c r="G7" s="19" t="s">
        <v>132</v>
      </c>
      <c r="H7" s="19"/>
      <c r="I7" s="20">
        <v>8.5799999999999998E-5</v>
      </c>
      <c r="J7" s="19">
        <v>1.4100000000000001E-4</v>
      </c>
      <c r="K7" s="19">
        <v>2.9999999999999997E-4</v>
      </c>
      <c r="L7" s="19" t="s">
        <v>138</v>
      </c>
    </row>
  </sheetData>
  <sortState xmlns:xlrd2="http://schemas.microsoft.com/office/spreadsheetml/2017/richdata2" ref="A2:L7">
    <sortCondition ref="E2"/>
    <sortCondition descending="1" ref="L2"/>
    <sortCondition ref="B2"/>
  </sortState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A7193-703B-4803-A32F-DD799196E238}">
  <sheetPr codeName="Sheet5">
    <tabColor theme="3" tint="0.59999389629810485"/>
  </sheetPr>
  <dimension ref="A1:L7"/>
  <sheetViews>
    <sheetView workbookViewId="0">
      <selection activeCell="C19" sqref="C19"/>
    </sheetView>
  </sheetViews>
  <sheetFormatPr defaultRowHeight="15" x14ac:dyDescent="0.25"/>
  <cols>
    <col min="1" max="2" width="41" customWidth="1"/>
    <col min="3" max="3" width="116.85546875" bestFit="1" customWidth="1"/>
    <col min="4" max="4" width="31.5703125" customWidth="1"/>
    <col min="5" max="5" width="20" customWidth="1"/>
    <col min="6" max="6" width="13" customWidth="1"/>
    <col min="7" max="7" width="27" customWidth="1"/>
    <col min="8" max="8" width="33" customWidth="1"/>
    <col min="9" max="9" width="11" customWidth="1"/>
    <col min="10" max="11" width="41" customWidth="1"/>
    <col min="12" max="12" width="23.140625" customWidth="1"/>
  </cols>
  <sheetData>
    <row r="1" spans="1:12" x14ac:dyDescent="0.25">
      <c r="A1" t="s">
        <v>11</v>
      </c>
      <c r="B1" t="s">
        <v>12</v>
      </c>
      <c r="C1" t="s">
        <v>13</v>
      </c>
      <c r="D1" t="s">
        <v>5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</row>
    <row r="2" spans="1:12" x14ac:dyDescent="0.25">
      <c r="A2" t="s">
        <v>137</v>
      </c>
      <c r="B2" t="s">
        <v>151</v>
      </c>
      <c r="C2" t="s">
        <v>157</v>
      </c>
      <c r="D2" t="s">
        <v>132</v>
      </c>
      <c r="E2" t="s">
        <v>133</v>
      </c>
      <c r="F2">
        <v>8.5786600128447759E-5</v>
      </c>
      <c r="G2">
        <v>1.4100000000000001E-4</v>
      </c>
      <c r="H2">
        <v>2.9999999999999997E-4</v>
      </c>
      <c r="I2" t="s">
        <v>138</v>
      </c>
      <c r="J2" t="s">
        <v>158</v>
      </c>
      <c r="L2" t="s">
        <v>140</v>
      </c>
    </row>
    <row r="3" spans="1:12" x14ac:dyDescent="0.25">
      <c r="A3" t="s">
        <v>137</v>
      </c>
      <c r="B3" t="s">
        <v>152</v>
      </c>
      <c r="C3" t="s">
        <v>134</v>
      </c>
      <c r="D3" t="s">
        <v>132</v>
      </c>
      <c r="E3" t="s">
        <v>133</v>
      </c>
      <c r="F3">
        <v>8.5786600128447759E-5</v>
      </c>
      <c r="G3">
        <v>1.4100000000000001E-4</v>
      </c>
      <c r="H3">
        <v>2.9999999999999997E-4</v>
      </c>
      <c r="I3" t="s">
        <v>138</v>
      </c>
      <c r="J3" t="s">
        <v>139</v>
      </c>
      <c r="K3" t="s">
        <v>142</v>
      </c>
      <c r="L3" t="s">
        <v>140</v>
      </c>
    </row>
    <row r="4" spans="1:12" x14ac:dyDescent="0.25">
      <c r="A4" t="s">
        <v>137</v>
      </c>
      <c r="B4" t="s">
        <v>153</v>
      </c>
      <c r="C4" t="s">
        <v>147</v>
      </c>
      <c r="D4" t="s">
        <v>132</v>
      </c>
      <c r="E4" t="s">
        <v>133</v>
      </c>
      <c r="F4">
        <v>8.5786600128447759E-5</v>
      </c>
      <c r="G4">
        <v>1.4100000000000001E-4</v>
      </c>
      <c r="H4">
        <v>2.9999999999999997E-4</v>
      </c>
      <c r="I4" t="s">
        <v>138</v>
      </c>
      <c r="J4" t="s">
        <v>149</v>
      </c>
      <c r="K4" t="s">
        <v>142</v>
      </c>
      <c r="L4" t="s">
        <v>140</v>
      </c>
    </row>
    <row r="5" spans="1:12" x14ac:dyDescent="0.25">
      <c r="A5" t="s">
        <v>137</v>
      </c>
      <c r="B5" t="s">
        <v>154</v>
      </c>
      <c r="C5" t="s">
        <v>135</v>
      </c>
      <c r="D5" t="s">
        <v>132</v>
      </c>
      <c r="E5" t="s">
        <v>133</v>
      </c>
      <c r="F5">
        <v>8.5786600128447759E-5</v>
      </c>
      <c r="G5">
        <v>1.4100000000000001E-4</v>
      </c>
      <c r="H5">
        <v>2.9999999999999997E-4</v>
      </c>
      <c r="I5" t="s">
        <v>138</v>
      </c>
      <c r="J5" t="s">
        <v>141</v>
      </c>
      <c r="K5" t="s">
        <v>142</v>
      </c>
      <c r="L5" t="s">
        <v>140</v>
      </c>
    </row>
    <row r="6" spans="1:12" x14ac:dyDescent="0.25">
      <c r="A6" t="s">
        <v>137</v>
      </c>
      <c r="B6" t="s">
        <v>155</v>
      </c>
      <c r="C6" t="s">
        <v>136</v>
      </c>
      <c r="D6" t="s">
        <v>132</v>
      </c>
      <c r="E6" t="s">
        <v>133</v>
      </c>
      <c r="F6">
        <v>8.5786600128447759E-5</v>
      </c>
      <c r="G6">
        <v>1.4100000000000001E-4</v>
      </c>
      <c r="H6">
        <v>2.9999999999999997E-4</v>
      </c>
      <c r="I6" t="s">
        <v>138</v>
      </c>
      <c r="J6" t="s">
        <v>146</v>
      </c>
      <c r="L6" t="s">
        <v>47</v>
      </c>
    </row>
    <row r="7" spans="1:12" x14ac:dyDescent="0.25">
      <c r="A7" t="s">
        <v>137</v>
      </c>
      <c r="B7" t="s">
        <v>156</v>
      </c>
      <c r="C7" t="s">
        <v>148</v>
      </c>
      <c r="D7" t="s">
        <v>132</v>
      </c>
      <c r="E7" t="s">
        <v>133</v>
      </c>
      <c r="F7">
        <v>8.5786600128447759E-5</v>
      </c>
      <c r="G7">
        <v>1.4100000000000001E-4</v>
      </c>
      <c r="H7">
        <v>2.9999999999999997E-4</v>
      </c>
      <c r="I7" t="s">
        <v>138</v>
      </c>
      <c r="J7" t="s">
        <v>150</v>
      </c>
      <c r="K7" t="s">
        <v>142</v>
      </c>
      <c r="L7" t="s">
        <v>140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EE780-90FE-47F1-8B03-A1EFB0F8F5EA}">
  <sheetPr codeName="Sheet3">
    <tabColor theme="3" tint="0.59999389629810485"/>
  </sheetPr>
  <dimension ref="A1"/>
  <sheetViews>
    <sheetView workbookViewId="0">
      <selection sqref="A1:L1"/>
    </sheetView>
  </sheetViews>
  <sheetFormatPr defaultRowHeight="15" x14ac:dyDescent="0.25"/>
  <cols>
    <col min="1" max="1" width="38" bestFit="1" customWidth="1"/>
    <col min="2" max="2" width="18.28515625" bestFit="1" customWidth="1"/>
    <col min="3" max="3" width="29.7109375" bestFit="1" customWidth="1"/>
    <col min="4" max="4" width="19.85546875" bestFit="1" customWidth="1"/>
    <col min="5" max="5" width="17.7109375" bestFit="1" customWidth="1"/>
    <col min="6" max="6" width="22.140625" bestFit="1" customWidth="1"/>
    <col min="7" max="7" width="17" bestFit="1" customWidth="1"/>
    <col min="8" max="8" width="18.85546875" bestFit="1" customWidth="1"/>
    <col min="9" max="9" width="9.42578125" bestFit="1" customWidth="1"/>
    <col min="10" max="10" width="10.140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D5DB3-1935-40DD-A280-1286D3558C22}">
  <sheetPr codeName="Sheet1"/>
  <dimension ref="A1:BQ23"/>
  <sheetViews>
    <sheetView workbookViewId="0">
      <selection activeCell="C2" sqref="C2"/>
    </sheetView>
  </sheetViews>
  <sheetFormatPr defaultRowHeight="15" x14ac:dyDescent="0.25"/>
  <cols>
    <col min="1" max="1" width="13" bestFit="1" customWidth="1"/>
    <col min="2" max="2" width="2.42578125" customWidth="1"/>
    <col min="3" max="3" width="96.7109375" customWidth="1"/>
    <col min="6" max="69" width="2.42578125" style="5" customWidth="1"/>
  </cols>
  <sheetData>
    <row r="1" spans="1:69" x14ac:dyDescent="0.25">
      <c r="F1" s="5" t="s">
        <v>48</v>
      </c>
      <c r="G1" s="5" t="s">
        <v>49</v>
      </c>
      <c r="H1" s="5" t="s">
        <v>50</v>
      </c>
      <c r="I1" s="5" t="s">
        <v>51</v>
      </c>
      <c r="J1" s="5" t="s">
        <v>52</v>
      </c>
      <c r="K1" s="5" t="s">
        <v>53</v>
      </c>
      <c r="L1" s="5" t="s">
        <v>54</v>
      </c>
      <c r="M1" s="5" t="s">
        <v>55</v>
      </c>
      <c r="N1" s="5" t="s">
        <v>56</v>
      </c>
      <c r="O1" s="5" t="s">
        <v>57</v>
      </c>
      <c r="P1" s="5" t="s">
        <v>58</v>
      </c>
      <c r="Q1" s="5" t="s">
        <v>59</v>
      </c>
      <c r="R1" s="5" t="s">
        <v>60</v>
      </c>
      <c r="S1" s="5" t="s">
        <v>51</v>
      </c>
      <c r="T1" s="5" t="s">
        <v>61</v>
      </c>
      <c r="U1" s="5" t="s">
        <v>50</v>
      </c>
      <c r="V1" s="5" t="s">
        <v>62</v>
      </c>
      <c r="W1" s="5" t="s">
        <v>53</v>
      </c>
      <c r="X1" s="5" t="s">
        <v>59</v>
      </c>
      <c r="Y1" s="5" t="s">
        <v>63</v>
      </c>
      <c r="Z1" s="5" t="s">
        <v>64</v>
      </c>
      <c r="AA1" s="5" t="s">
        <v>65</v>
      </c>
      <c r="AB1" s="5" t="s">
        <v>65</v>
      </c>
      <c r="AC1" s="5" t="s">
        <v>51</v>
      </c>
      <c r="AD1" s="5" t="s">
        <v>54</v>
      </c>
      <c r="AE1" s="5" t="s">
        <v>52</v>
      </c>
      <c r="AF1" s="5" t="s">
        <v>62</v>
      </c>
      <c r="AG1" s="5" t="s">
        <v>61</v>
      </c>
      <c r="AH1" s="5" t="s">
        <v>57</v>
      </c>
      <c r="AI1" s="5" t="s">
        <v>66</v>
      </c>
      <c r="AJ1" s="5" t="s">
        <v>51</v>
      </c>
      <c r="AK1" s="5" t="s">
        <v>49</v>
      </c>
      <c r="AL1" s="5" t="s">
        <v>61</v>
      </c>
      <c r="AM1" s="5" t="s">
        <v>50</v>
      </c>
      <c r="AN1" s="5" t="s">
        <v>62</v>
      </c>
      <c r="AO1" s="5" t="s">
        <v>53</v>
      </c>
      <c r="AP1" s="5" t="s">
        <v>59</v>
      </c>
      <c r="AQ1" s="5" t="s">
        <v>67</v>
      </c>
      <c r="AR1" s="5" t="s">
        <v>68</v>
      </c>
      <c r="AS1" s="5" t="s">
        <v>55</v>
      </c>
      <c r="AT1" s="5" t="s">
        <v>69</v>
      </c>
      <c r="AU1" s="5" t="s">
        <v>51</v>
      </c>
      <c r="AV1" s="5" t="s">
        <v>56</v>
      </c>
      <c r="AW1" s="5" t="s">
        <v>57</v>
      </c>
      <c r="AX1" s="5" t="s">
        <v>70</v>
      </c>
      <c r="AY1" s="5" t="s">
        <v>49</v>
      </c>
      <c r="AZ1" s="5" t="s">
        <v>54</v>
      </c>
      <c r="BA1" s="5" t="s">
        <v>71</v>
      </c>
      <c r="BB1" s="5" t="s">
        <v>67</v>
      </c>
      <c r="BC1" s="5" t="s">
        <v>72</v>
      </c>
      <c r="BD1" s="5" t="s">
        <v>62</v>
      </c>
      <c r="BE1" s="5" t="s">
        <v>59</v>
      </c>
      <c r="BF1" s="5" t="s">
        <v>51</v>
      </c>
      <c r="BG1" s="5" t="s">
        <v>65</v>
      </c>
      <c r="BH1" s="5" t="s">
        <v>62</v>
      </c>
      <c r="BI1" s="5" t="s">
        <v>59</v>
      </c>
      <c r="BJ1" s="5" t="s">
        <v>51</v>
      </c>
      <c r="BK1" s="5">
        <v>2</v>
      </c>
      <c r="BL1" s="5" t="s">
        <v>73</v>
      </c>
      <c r="BM1" s="5" t="s">
        <v>50</v>
      </c>
      <c r="BN1" s="5" t="s">
        <v>51</v>
      </c>
      <c r="BO1" s="5" t="s">
        <v>54</v>
      </c>
      <c r="BP1" s="5" t="s">
        <v>53</v>
      </c>
      <c r="BQ1" s="5" t="s">
        <v>74</v>
      </c>
    </row>
    <row r="2" spans="1:69" x14ac:dyDescent="0.25">
      <c r="A2" t="s">
        <v>75</v>
      </c>
      <c r="C2" t="s">
        <v>44</v>
      </c>
      <c r="F2" s="6">
        <v>1</v>
      </c>
      <c r="G2" s="6">
        <v>2</v>
      </c>
      <c r="H2" s="6">
        <v>3</v>
      </c>
      <c r="I2" s="6">
        <v>4</v>
      </c>
      <c r="J2" s="6">
        <v>5</v>
      </c>
      <c r="K2" s="6">
        <v>6</v>
      </c>
      <c r="L2" s="6">
        <v>7</v>
      </c>
      <c r="M2" s="6">
        <v>8</v>
      </c>
      <c r="N2" s="6">
        <v>9</v>
      </c>
      <c r="O2" s="6">
        <v>10</v>
      </c>
      <c r="P2" s="6">
        <v>11</v>
      </c>
      <c r="Q2" s="6">
        <v>12</v>
      </c>
      <c r="R2" s="6">
        <v>13</v>
      </c>
      <c r="S2" s="6">
        <v>14</v>
      </c>
      <c r="T2" s="6">
        <v>15</v>
      </c>
      <c r="U2" s="6">
        <v>16</v>
      </c>
      <c r="V2" s="6">
        <v>17</v>
      </c>
      <c r="W2" s="6">
        <v>18</v>
      </c>
      <c r="X2" s="6">
        <v>19</v>
      </c>
      <c r="Y2" s="6">
        <v>20</v>
      </c>
      <c r="Z2" s="6">
        <v>21</v>
      </c>
      <c r="AA2" s="6">
        <v>22</v>
      </c>
      <c r="AB2" s="6">
        <v>23</v>
      </c>
      <c r="AC2" s="6">
        <v>24</v>
      </c>
      <c r="AD2" s="6">
        <v>25</v>
      </c>
      <c r="AE2" s="6">
        <v>26</v>
      </c>
      <c r="AF2" s="6">
        <v>27</v>
      </c>
      <c r="AG2" s="6">
        <v>28</v>
      </c>
      <c r="AH2" s="6">
        <v>29</v>
      </c>
      <c r="AI2" s="6">
        <v>30</v>
      </c>
      <c r="AJ2" s="6">
        <v>31</v>
      </c>
      <c r="AK2" s="6">
        <v>32</v>
      </c>
      <c r="AL2" s="6">
        <v>33</v>
      </c>
      <c r="AM2" s="6">
        <v>34</v>
      </c>
      <c r="AN2" s="6">
        <v>35</v>
      </c>
      <c r="AO2" s="6">
        <v>36</v>
      </c>
      <c r="AP2" s="6">
        <v>37</v>
      </c>
      <c r="AQ2" s="6">
        <v>38</v>
      </c>
      <c r="AR2" s="6">
        <v>39</v>
      </c>
      <c r="AS2" s="6">
        <v>40</v>
      </c>
      <c r="AT2" s="6">
        <v>41</v>
      </c>
      <c r="AU2" s="6">
        <v>42</v>
      </c>
      <c r="AV2" s="6">
        <v>43</v>
      </c>
      <c r="AW2" s="6">
        <v>44</v>
      </c>
      <c r="AX2" s="6">
        <v>45</v>
      </c>
      <c r="AY2" s="6">
        <v>46</v>
      </c>
      <c r="AZ2" s="6">
        <v>47</v>
      </c>
      <c r="BA2" s="6">
        <v>48</v>
      </c>
      <c r="BB2" s="6">
        <v>49</v>
      </c>
      <c r="BC2" s="6">
        <v>50</v>
      </c>
      <c r="BD2" s="6">
        <v>51</v>
      </c>
      <c r="BE2" s="6">
        <v>52</v>
      </c>
      <c r="BF2" s="6">
        <v>53</v>
      </c>
      <c r="BG2" s="6">
        <v>54</v>
      </c>
      <c r="BH2" s="6">
        <v>55</v>
      </c>
      <c r="BI2" s="6">
        <v>56</v>
      </c>
      <c r="BJ2" s="6">
        <v>57</v>
      </c>
      <c r="BK2" s="6">
        <v>58</v>
      </c>
      <c r="BL2" s="6">
        <v>59</v>
      </c>
      <c r="BM2" s="6">
        <v>60</v>
      </c>
      <c r="BN2" s="6">
        <v>61</v>
      </c>
      <c r="BO2" s="6">
        <v>62</v>
      </c>
      <c r="BP2" s="6">
        <v>63</v>
      </c>
      <c r="BQ2" s="6">
        <v>64</v>
      </c>
    </row>
    <row r="3" spans="1:69" x14ac:dyDescent="0.25"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</row>
    <row r="4" spans="1:69" x14ac:dyDescent="0.25">
      <c r="A4" t="s">
        <v>19</v>
      </c>
    </row>
    <row r="5" spans="1:69" x14ac:dyDescent="0.25">
      <c r="A5" s="3" t="s">
        <v>76</v>
      </c>
      <c r="B5" t="s">
        <v>49</v>
      </c>
      <c r="C5" t="s">
        <v>77</v>
      </c>
      <c r="D5" t="s">
        <v>78</v>
      </c>
      <c r="N5" s="7">
        <v>1</v>
      </c>
      <c r="O5" s="7">
        <v>2</v>
      </c>
      <c r="P5" s="11" t="s">
        <v>79</v>
      </c>
    </row>
    <row r="6" spans="1:69" x14ac:dyDescent="0.25">
      <c r="A6" s="3" t="s">
        <v>80</v>
      </c>
      <c r="B6" t="s">
        <v>81</v>
      </c>
      <c r="C6" t="s">
        <v>82</v>
      </c>
      <c r="D6" t="s">
        <v>83</v>
      </c>
      <c r="AQ6" s="8"/>
      <c r="AR6" s="7"/>
      <c r="AS6" s="7"/>
      <c r="AT6" s="7"/>
      <c r="AU6" s="7"/>
    </row>
    <row r="7" spans="1:69" x14ac:dyDescent="0.25">
      <c r="A7" s="3" t="s">
        <v>76</v>
      </c>
      <c r="B7" t="s">
        <v>61</v>
      </c>
      <c r="C7" t="s">
        <v>84</v>
      </c>
      <c r="D7" t="s">
        <v>85</v>
      </c>
      <c r="N7" s="8"/>
      <c r="O7" s="7"/>
    </row>
    <row r="8" spans="1:69" x14ac:dyDescent="0.25">
      <c r="B8" t="s">
        <v>86</v>
      </c>
      <c r="C8" t="s">
        <v>87</v>
      </c>
      <c r="D8" t="s">
        <v>88</v>
      </c>
    </row>
    <row r="9" spans="1:69" x14ac:dyDescent="0.25">
      <c r="B9" t="s">
        <v>51</v>
      </c>
      <c r="C9" t="s">
        <v>89</v>
      </c>
      <c r="D9" s="10" t="s">
        <v>45</v>
      </c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1" spans="1:69" x14ac:dyDescent="0.25">
      <c r="A11" t="s">
        <v>21</v>
      </c>
    </row>
    <row r="12" spans="1:69" x14ac:dyDescent="0.25">
      <c r="A12" s="3" t="s">
        <v>80</v>
      </c>
      <c r="B12" t="s">
        <v>49</v>
      </c>
      <c r="C12" t="s">
        <v>90</v>
      </c>
      <c r="D12" t="s">
        <v>91</v>
      </c>
      <c r="AQ12" s="7">
        <v>1</v>
      </c>
      <c r="AR12" s="7">
        <v>2</v>
      </c>
      <c r="AS12" s="7">
        <v>3</v>
      </c>
      <c r="AT12" s="7">
        <v>4</v>
      </c>
      <c r="AU12" s="7">
        <v>5</v>
      </c>
      <c r="AV12" s="5">
        <v>6</v>
      </c>
      <c r="AW12" s="5">
        <v>7</v>
      </c>
      <c r="AX12" s="11" t="s">
        <v>79</v>
      </c>
    </row>
    <row r="13" spans="1:69" x14ac:dyDescent="0.25">
      <c r="A13" s="3" t="s">
        <v>92</v>
      </c>
      <c r="B13" t="s">
        <v>81</v>
      </c>
      <c r="C13" t="s">
        <v>93</v>
      </c>
      <c r="D13" t="s">
        <v>94</v>
      </c>
      <c r="AQ13" s="9"/>
      <c r="AR13" s="9"/>
      <c r="AS13" s="9"/>
      <c r="AT13" s="9"/>
      <c r="AU13" s="9"/>
      <c r="BB13" s="8"/>
    </row>
    <row r="14" spans="1:69" x14ac:dyDescent="0.25">
      <c r="A14" s="3" t="s">
        <v>92</v>
      </c>
      <c r="B14" t="s">
        <v>61</v>
      </c>
      <c r="C14" t="s">
        <v>95</v>
      </c>
      <c r="D14" t="s">
        <v>83</v>
      </c>
      <c r="AQ14" s="8"/>
    </row>
    <row r="15" spans="1:69" x14ac:dyDescent="0.25">
      <c r="B15" t="s">
        <v>86</v>
      </c>
      <c r="C15" t="s">
        <v>96</v>
      </c>
      <c r="D15" t="s">
        <v>97</v>
      </c>
      <c r="AX15" s="8"/>
      <c r="AY15" s="8"/>
      <c r="AZ15" s="8"/>
      <c r="BA15" s="8"/>
    </row>
    <row r="16" spans="1:69" x14ac:dyDescent="0.25">
      <c r="B16" t="s">
        <v>51</v>
      </c>
      <c r="C16" t="s">
        <v>98</v>
      </c>
      <c r="D16" s="10" t="s">
        <v>47</v>
      </c>
    </row>
    <row r="18" spans="1:69" x14ac:dyDescent="0.25">
      <c r="A18" t="s">
        <v>20</v>
      </c>
    </row>
    <row r="19" spans="1:69" x14ac:dyDescent="0.25">
      <c r="A19" s="3" t="s">
        <v>92</v>
      </c>
      <c r="B19" t="s">
        <v>49</v>
      </c>
      <c r="C19" t="s">
        <v>99</v>
      </c>
      <c r="D19" t="s">
        <v>94</v>
      </c>
      <c r="AQ19" s="7">
        <v>1</v>
      </c>
      <c r="AR19" s="5">
        <v>1</v>
      </c>
      <c r="AS19" s="5" t="s">
        <v>73</v>
      </c>
      <c r="BB19" s="11" t="s">
        <v>79</v>
      </c>
    </row>
    <row r="20" spans="1:69" x14ac:dyDescent="0.25">
      <c r="A20" t="s">
        <v>100</v>
      </c>
      <c r="B20" t="s">
        <v>81</v>
      </c>
      <c r="C20" t="s">
        <v>101</v>
      </c>
      <c r="D20" t="s">
        <v>102</v>
      </c>
      <c r="BQ20" s="8"/>
    </row>
    <row r="21" spans="1:69" x14ac:dyDescent="0.25">
      <c r="A21" s="3" t="s">
        <v>92</v>
      </c>
      <c r="B21" t="s">
        <v>61</v>
      </c>
      <c r="C21" t="s">
        <v>103</v>
      </c>
      <c r="D21" t="s">
        <v>94</v>
      </c>
      <c r="AR21" s="5" t="s">
        <v>73</v>
      </c>
      <c r="BB21" s="8"/>
    </row>
    <row r="22" spans="1:69" x14ac:dyDescent="0.25">
      <c r="B22" t="s">
        <v>86</v>
      </c>
      <c r="C22" t="s">
        <v>104</v>
      </c>
      <c r="D22" t="s">
        <v>105</v>
      </c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</row>
    <row r="23" spans="1:69" x14ac:dyDescent="0.25">
      <c r="B23" t="s">
        <v>51</v>
      </c>
      <c r="C23" t="s">
        <v>106</v>
      </c>
      <c r="D23" s="10" t="s">
        <v>46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CAB5-3774-4614-A42F-1D52FE2D5C40}">
  <sheetPr codeName="Sheet2">
    <tabColor rgb="FF7030A0"/>
  </sheetPr>
  <dimension ref="A1:A32"/>
  <sheetViews>
    <sheetView workbookViewId="0">
      <selection activeCell="A35" sqref="A35"/>
    </sheetView>
  </sheetViews>
  <sheetFormatPr defaultRowHeight="15" x14ac:dyDescent="0.25"/>
  <cols>
    <col min="1" max="1" width="209.28515625" bestFit="1" customWidth="1"/>
  </cols>
  <sheetData>
    <row r="1" spans="1:1" x14ac:dyDescent="0.25">
      <c r="A1" s="14" t="s">
        <v>107</v>
      </c>
    </row>
    <row r="2" spans="1:1" x14ac:dyDescent="0.25">
      <c r="A2" s="15" t="s">
        <v>113</v>
      </c>
    </row>
    <row r="3" spans="1:1" x14ac:dyDescent="0.25">
      <c r="A3" s="15" t="s">
        <v>108</v>
      </c>
    </row>
    <row r="4" spans="1:1" x14ac:dyDescent="0.25">
      <c r="A4" s="15" t="s">
        <v>109</v>
      </c>
    </row>
    <row r="5" spans="1:1" x14ac:dyDescent="0.25">
      <c r="A5" s="15" t="s">
        <v>110</v>
      </c>
    </row>
    <row r="6" spans="1:1" x14ac:dyDescent="0.25">
      <c r="A6" s="15" t="s">
        <v>111</v>
      </c>
    </row>
    <row r="7" spans="1:1" x14ac:dyDescent="0.25">
      <c r="A7" s="16" t="s">
        <v>130</v>
      </c>
    </row>
    <row r="8" spans="1:1" x14ac:dyDescent="0.25">
      <c r="A8" s="16" t="s">
        <v>131</v>
      </c>
    </row>
    <row r="11" spans="1:1" x14ac:dyDescent="0.25">
      <c r="A11" s="14" t="s">
        <v>112</v>
      </c>
    </row>
    <row r="12" spans="1:1" x14ac:dyDescent="0.25">
      <c r="A12" s="15" t="s">
        <v>113</v>
      </c>
    </row>
    <row r="13" spans="1:1" x14ac:dyDescent="0.25">
      <c r="A13" s="15" t="s">
        <v>114</v>
      </c>
    </row>
    <row r="14" spans="1:1" x14ac:dyDescent="0.25">
      <c r="A14" s="15" t="s">
        <v>115</v>
      </c>
    </row>
    <row r="15" spans="1:1" x14ac:dyDescent="0.25">
      <c r="A15" s="15" t="s">
        <v>116</v>
      </c>
    </row>
    <row r="16" spans="1:1" x14ac:dyDescent="0.25">
      <c r="A16" s="16" t="s">
        <v>117</v>
      </c>
    </row>
    <row r="17" spans="1:1" x14ac:dyDescent="0.25">
      <c r="A17" s="16" t="s">
        <v>118</v>
      </c>
    </row>
    <row r="19" spans="1:1" x14ac:dyDescent="0.25">
      <c r="A19" s="14" t="s">
        <v>123</v>
      </c>
    </row>
    <row r="20" spans="1:1" x14ac:dyDescent="0.25">
      <c r="A20" s="15" t="s">
        <v>113</v>
      </c>
    </row>
    <row r="21" spans="1:1" x14ac:dyDescent="0.25">
      <c r="A21" s="15" t="s">
        <v>119</v>
      </c>
    </row>
    <row r="22" spans="1:1" x14ac:dyDescent="0.25">
      <c r="A22" s="15" t="s">
        <v>120</v>
      </c>
    </row>
    <row r="23" spans="1:1" x14ac:dyDescent="0.25">
      <c r="A23" s="15" t="s">
        <v>121</v>
      </c>
    </row>
    <row r="24" spans="1:1" x14ac:dyDescent="0.25">
      <c r="A24" s="16" t="s">
        <v>129</v>
      </c>
    </row>
    <row r="25" spans="1:1" x14ac:dyDescent="0.25">
      <c r="A25" s="16" t="s">
        <v>128</v>
      </c>
    </row>
    <row r="27" spans="1:1" x14ac:dyDescent="0.25">
      <c r="A27" s="14" t="s">
        <v>122</v>
      </c>
    </row>
    <row r="28" spans="1:1" x14ac:dyDescent="0.25">
      <c r="A28" s="15" t="s">
        <v>113</v>
      </c>
    </row>
    <row r="29" spans="1:1" x14ac:dyDescent="0.25">
      <c r="A29" s="15" t="s">
        <v>124</v>
      </c>
    </row>
    <row r="30" spans="1:1" x14ac:dyDescent="0.25">
      <c r="A30" s="15" t="s">
        <v>125</v>
      </c>
    </row>
    <row r="31" spans="1:1" x14ac:dyDescent="0.25">
      <c r="A31" s="16" t="s">
        <v>126</v>
      </c>
    </row>
    <row r="32" spans="1:1" x14ac:dyDescent="0.25">
      <c r="A32" s="16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09f3f66-7606-464c-8bb7-106d86afdd1f" xsi:nil="true"/>
    <_ip_UnifiedCompliancePolicyProperties xmlns="http://schemas.microsoft.com/sharepoint/v3" xsi:nil="true"/>
    <lcf76f155ced4ddcb4097134ff3c332f xmlns="66b809e5-16a9-4538-b83a-818a754d27b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C3972AA3E3C344BBB98876E7129909" ma:contentTypeVersion="17" ma:contentTypeDescription="Create a new document." ma:contentTypeScope="" ma:versionID="cf290f61df813921bf3453a12358b73a">
  <xsd:schema xmlns:xsd="http://www.w3.org/2001/XMLSchema" xmlns:xs="http://www.w3.org/2001/XMLSchema" xmlns:p="http://schemas.microsoft.com/office/2006/metadata/properties" xmlns:ns1="http://schemas.microsoft.com/sharepoint/v3" xmlns:ns2="66b809e5-16a9-4538-b83a-818a754d27bf" xmlns:ns3="8e71f840-b8df-4747-b13c-712398a8588b" xmlns:ns4="e09f3f66-7606-464c-8bb7-106d86afdd1f" targetNamespace="http://schemas.microsoft.com/office/2006/metadata/properties" ma:root="true" ma:fieldsID="679e60009b7cc635000bac772f4e34c6" ns1:_="" ns2:_="" ns3:_="" ns4:_="">
    <xsd:import namespace="http://schemas.microsoft.com/sharepoint/v3"/>
    <xsd:import namespace="66b809e5-16a9-4538-b83a-818a754d27bf"/>
    <xsd:import namespace="8e71f840-b8df-4747-b13c-712398a8588b"/>
    <xsd:import namespace="e09f3f66-7606-464c-8bb7-106d86afdd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b809e5-16a9-4538-b83a-818a754d27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c25cbba-0c74-4f28-92d4-a3c6495c4b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1f840-b8df-4747-b13c-712398a8588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9f3f66-7606-464c-8bb7-106d86afdd1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56fd6632-ee92-4b41-a75f-9301d1ecd485}" ma:internalName="TaxCatchAll" ma:showField="CatchAllData" ma:web="8e71f840-b8df-4747-b13c-712398a858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1638D5-0BDE-4CCD-B39C-EADBF63460D2}">
  <ds:schemaRefs>
    <ds:schemaRef ds:uri="66b809e5-16a9-4538-b83a-818a754d27bf"/>
    <ds:schemaRef ds:uri="http://purl.org/dc/elements/1.1/"/>
    <ds:schemaRef ds:uri="http://schemas.microsoft.com/office/2006/documentManagement/types"/>
    <ds:schemaRef ds:uri="e09f3f66-7606-464c-8bb7-106d86afdd1f"/>
    <ds:schemaRef ds:uri="http://purl.org/dc/terms/"/>
    <ds:schemaRef ds:uri="http://schemas.microsoft.com/office/2006/metadata/properties"/>
    <ds:schemaRef ds:uri="http://purl.org/dc/dcmitype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8e71f840-b8df-4747-b13c-712398a8588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17DE9F0-D205-44A3-86AB-9678FA58A7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1D7CD3-C222-47CD-8515-65627BC81D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6b809e5-16a9-4538-b83a-818a754d27bf"/>
    <ds:schemaRef ds:uri="8e71f840-b8df-4747-b13c-712398a8588b"/>
    <ds:schemaRef ds:uri="e09f3f66-7606-464c-8bb7-106d86afdd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Instructions</vt:lpstr>
      <vt:lpstr>MID table Formatted</vt:lpstr>
      <vt:lpstr>risk_thresh_mid - original</vt:lpstr>
      <vt:lpstr>Resort &amp; Remerge</vt:lpstr>
      <vt:lpstr>Structure of MID Desc</vt:lpstr>
      <vt:lpstr>Notes and Revisions</vt:lpstr>
      <vt:lpstr>'MID table Formatted'!risk_thresh_mid</vt:lpstr>
      <vt:lpstr>'risk_thresh_mid - original'!risk_thresh_mid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Degnan, Monica</dc:creator>
  <cp:keywords/>
  <dc:description/>
  <cp:lastModifiedBy>Acosta Navarro, Randall</cp:lastModifiedBy>
  <cp:revision/>
  <dcterms:created xsi:type="dcterms:W3CDTF">2022-08-29T16:14:18Z</dcterms:created>
  <dcterms:modified xsi:type="dcterms:W3CDTF">2023-10-24T14:13:45Z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0x01010018C3972AA3E3C344BBB98876E7129909</vt:lpwstr>
  </property>
  <property fmtid="{D5CDD505-2E9C-101B-9397-08002B2CF9AE}" pid="3" name="MediaServiceImageTags">
    <vt:lpwstr/>
  </property>
</Properties>
</file>