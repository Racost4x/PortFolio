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bostonscientific.sharepoint.com/sites/ARDENHILLSTEAM/Shared Documents/Field Changes/Field Change Task/Blitz Field Changes 2023/Field Changes Tool/"/>
    </mc:Choice>
  </mc:AlternateContent>
  <xr:revisionPtr revIDLastSave="6708" documentId="8_{6B213FD1-B6F1-49B7-B3EE-6FC5B6C01C11}" xr6:coauthVersionLast="47" xr6:coauthVersionMax="47" xr10:uidLastSave="{454E48FD-C3D8-4B1F-BFF2-F0E7513C8964}"/>
  <bookViews>
    <workbookView xWindow="-120" yWindow="-120" windowWidth="29040" windowHeight="15840" xr2:uid="{F1ABAB1D-E9E6-4AFE-BE0D-4EAA60325B09}"/>
  </bookViews>
  <sheets>
    <sheet name="High Priority" sheetId="9" r:id="rId1"/>
    <sheet name="Low Priority" sheetId="10" r:id="rId2"/>
    <sheet name="Old Data High Pri" sheetId="3" r:id="rId3"/>
    <sheet name="Old Data Low Pri" sheetId="12" r:id="rId4"/>
    <sheet name="Device Codes" sheetId="4" r:id="rId5"/>
    <sheet name="Recent Changes" sheetId="11" r:id="rId6"/>
  </sheets>
  <definedNames>
    <definedName name="_xlnm._FilterDatabase" localSheetId="4" hidden="1">'Device Codes'!$A$1:$C$264</definedName>
    <definedName name="_xlnm._FilterDatabase" localSheetId="5" hidden="1">'Recent Changes'!$A$1:$H$1</definedName>
    <definedName name="OldData">#REF!</definedName>
    <definedName name="OldData1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S1" i="9" l="1"/>
  <c r="AA1" i="12" a="1"/>
  <c r="AA1" i="12" s="1"/>
  <c r="AA1" i="3" a="1"/>
  <c r="AA1" i="3" s="1"/>
  <c r="AA1" i="9" l="1" a="1"/>
  <c r="AA1" i="9" s="1"/>
  <c r="AB1" i="10" a="1"/>
  <c r="AB1" i="10" s="1"/>
  <c r="AA1" i="10" a="1"/>
  <c r="AA1" i="10" s="1"/>
  <c r="AB1" i="9" l="1" a="1"/>
  <c r="AB1" i="9" s="1"/>
  <c r="V3" i="10" a="1"/>
  <c r="V148" i="9" a="1"/>
  <c r="V120" i="9" a="1"/>
  <c r="V227" i="10" a="1"/>
  <c r="V103" i="9" a="1"/>
  <c r="V179" i="9" a="1"/>
  <c r="V84" i="10" a="1"/>
  <c r="U457" i="10" a="1"/>
  <c r="V107" i="9" a="1"/>
  <c r="V410" i="10" a="1"/>
  <c r="V57" i="10" a="1"/>
  <c r="V357" i="10" a="1"/>
  <c r="U282" i="10" a="1"/>
  <c r="T444" i="10" a="1"/>
  <c r="T414" i="10" a="1"/>
  <c r="V19" i="10" a="1"/>
  <c r="U77" i="10" a="1"/>
  <c r="V151" i="9" a="1"/>
  <c r="V86" i="10" a="1"/>
  <c r="V91" i="9" a="1"/>
  <c r="T227" i="10" a="1"/>
  <c r="T185" i="10" a="1"/>
  <c r="V137" i="10" a="1"/>
  <c r="V63" i="10" a="1"/>
  <c r="U423" i="10" a="1"/>
  <c r="V442" i="10" a="1"/>
  <c r="V483" i="10" a="1"/>
  <c r="V26" i="10" a="1"/>
  <c r="U82" i="10" a="1"/>
  <c r="V286" i="10" a="1"/>
  <c r="V147" i="10" a="1"/>
  <c r="U242" i="10" a="1"/>
  <c r="U80" i="10" a="1"/>
  <c r="V443" i="10" a="1"/>
  <c r="T407" i="10" a="1"/>
  <c r="T374" i="10" a="1"/>
  <c r="V132" i="9" a="1"/>
  <c r="U458" i="10" a="1"/>
  <c r="S350" i="10" a="1"/>
  <c r="V193" i="10" a="1"/>
  <c r="V99" i="10" a="1"/>
  <c r="T30" i="10" a="1"/>
  <c r="T29" i="10" a="1"/>
  <c r="V139" i="10" a="1"/>
  <c r="U295" i="10" a="1"/>
  <c r="U39" i="10" a="1"/>
  <c r="V367" i="10" a="1"/>
  <c r="V248" i="10" a="1"/>
  <c r="U58" i="10" a="1"/>
  <c r="V123" i="9" a="1"/>
  <c r="V425" i="10" a="1"/>
  <c r="U400" i="10" a="1"/>
  <c r="U55" i="10" a="1"/>
  <c r="V315" i="10" a="1"/>
  <c r="U420" i="10" a="1"/>
  <c r="T127" i="10" a="1"/>
  <c r="T250" i="10" a="1"/>
  <c r="V181" i="10" a="1"/>
  <c r="V143" i="9" a="1"/>
  <c r="V417" i="10" a="1"/>
  <c r="V434" i="10" a="1"/>
  <c r="V369" i="10" a="1"/>
  <c r="U194" i="10" a="1"/>
  <c r="U59" i="10" a="1"/>
  <c r="V176" i="10" a="1"/>
  <c r="V35" i="10" a="1"/>
  <c r="U26" i="10" a="1"/>
  <c r="V136" i="9" a="1"/>
  <c r="V156" i="10" a="1"/>
  <c r="V192" i="9" a="1"/>
  <c r="V183" i="9" a="1"/>
  <c r="V107" i="10" a="1"/>
  <c r="V185" i="9" a="1"/>
  <c r="V157" i="10" a="1"/>
  <c r="S11" i="10" a="1"/>
  <c r="S102" i="10" a="1"/>
  <c r="V265" i="10" a="1"/>
  <c r="U225" i="10" a="1"/>
  <c r="U381" i="10" a="1"/>
  <c r="V474" i="10" a="1"/>
  <c r="U388" i="10" a="1"/>
  <c r="T476" i="10" a="1"/>
  <c r="T261" i="10" a="1"/>
  <c r="V283" i="10" a="1"/>
  <c r="V458" i="10" a="1"/>
  <c r="U164" i="10" a="1"/>
  <c r="V197" i="10" a="1"/>
  <c r="T176" i="10" a="1"/>
  <c r="V195" i="9" a="1"/>
  <c r="S117" i="10" a="1"/>
  <c r="V396" i="10" a="1"/>
  <c r="U88" i="10" a="1"/>
  <c r="U407" i="10" a="1"/>
  <c r="S187" i="10" a="1"/>
  <c r="V361" i="10" a="1"/>
  <c r="S394" i="10" a="1"/>
  <c r="U380" i="10" a="1"/>
  <c r="V400" i="10" a="1"/>
  <c r="U43" i="10" a="1"/>
  <c r="T268" i="10" a="1"/>
  <c r="T428" i="10" a="1"/>
  <c r="V39" i="9" a="1"/>
  <c r="T282" i="10" a="1"/>
  <c r="R101" i="10" a="1"/>
  <c r="U408" i="10" a="1"/>
  <c r="V210" i="10" a="1"/>
  <c r="V101" i="10" a="1"/>
  <c r="U160" i="10" a="1"/>
  <c r="U105" i="10" a="1"/>
  <c r="T449" i="10" a="1"/>
  <c r="U147" i="10" a="1"/>
  <c r="V49" i="10" a="1"/>
  <c r="T293" i="10" a="1"/>
  <c r="R133" i="10" a="1"/>
  <c r="T26" i="10" a="1"/>
  <c r="V202" i="10" a="1"/>
  <c r="T100" i="10" a="1"/>
  <c r="T22" i="10" a="1"/>
  <c r="V85" i="10" a="1"/>
  <c r="U52" i="10" a="1"/>
  <c r="S357" i="10" a="1"/>
  <c r="U454" i="10" a="1"/>
  <c r="T296" i="10" a="1"/>
  <c r="V40" i="9" a="1"/>
  <c r="S124" i="10" a="1"/>
  <c r="U272" i="10" a="1"/>
  <c r="V330" i="10" a="1"/>
  <c r="V89" i="10" a="1"/>
  <c r="V73" i="10" a="1"/>
  <c r="U142" i="10" a="1"/>
  <c r="V83" i="9" a="1"/>
  <c r="V231" i="10" a="1"/>
  <c r="U276" i="10" a="1"/>
  <c r="V150" i="9" a="1"/>
  <c r="V405" i="10" a="1"/>
  <c r="U13" i="10" a="1"/>
  <c r="U141" i="10" a="1"/>
  <c r="V230" i="10" a="1"/>
  <c r="V20" i="10" a="1"/>
  <c r="V29" i="9" a="1"/>
  <c r="S108" i="10" a="1"/>
  <c r="V192" i="10" a="1"/>
  <c r="V165" i="9" a="1"/>
  <c r="U293" i="10" a="1"/>
  <c r="U357" i="10" a="1"/>
  <c r="V96" i="9" a="1"/>
  <c r="V207" i="10" a="1"/>
  <c r="S59" i="10" a="1"/>
  <c r="V46" i="10" a="1"/>
  <c r="V106" i="9" a="1"/>
  <c r="V28" i="9" a="1"/>
  <c r="V292" i="10" a="1"/>
  <c r="V145" i="9" a="1"/>
  <c r="U133" i="10" a="1"/>
  <c r="V411" i="10" a="1"/>
  <c r="V61" i="10" a="1"/>
  <c r="V42" i="9" a="1"/>
  <c r="V47" i="9" a="1"/>
  <c r="V402" i="10" a="1"/>
  <c r="V319" i="10" a="1"/>
  <c r="U338" i="10" a="1"/>
  <c r="T460" i="10" a="1"/>
  <c r="T347" i="10" a="1"/>
  <c r="V316" i="10" a="1"/>
  <c r="U41" i="10" a="1"/>
  <c r="U73" i="10" a="1"/>
  <c r="V117" i="10" a="1"/>
  <c r="U144" i="10" a="1"/>
  <c r="T290" i="10" a="1"/>
  <c r="T431" i="10" a="1"/>
  <c r="V445" i="10" a="1"/>
  <c r="V158" i="10" a="1"/>
  <c r="U446" i="10" a="1"/>
  <c r="V413" i="10" a="1"/>
  <c r="V403" i="10" a="1"/>
  <c r="V251" i="10" a="1"/>
  <c r="U128" i="10" a="1"/>
  <c r="V441" i="10" a="1"/>
  <c r="V208" i="10" a="1"/>
  <c r="U354" i="10" a="1"/>
  <c r="V88" i="10" a="1"/>
  <c r="V45" i="9" a="1"/>
  <c r="T358" i="10" a="1"/>
  <c r="T215" i="10" a="1"/>
  <c r="U214" i="10" a="1"/>
  <c r="V129" i="10" a="1"/>
  <c r="V199" i="9" a="1"/>
  <c r="U38" i="10" a="1"/>
  <c r="V381" i="10" a="1"/>
  <c r="V144" i="10" a="1"/>
  <c r="U452" i="10" a="1"/>
  <c r="U198" i="10" a="1"/>
  <c r="V391" i="10" a="1"/>
  <c r="V76" i="10" a="1"/>
  <c r="U113" i="10" a="1"/>
  <c r="V293" i="10" a="1"/>
  <c r="V214" i="10" a="1"/>
  <c r="U279" i="10" a="1"/>
  <c r="V172" i="9" a="1"/>
  <c r="V426" i="10" a="1"/>
  <c r="U72" i="10" a="1"/>
  <c r="S482" i="10" a="1"/>
  <c r="V436" i="10" a="1"/>
  <c r="U390" i="10" a="1"/>
  <c r="T60" i="10" a="1"/>
  <c r="T70" i="10" a="1"/>
  <c r="V237" i="10" a="1"/>
  <c r="V18" i="9" a="1"/>
  <c r="S213" i="10" a="1"/>
  <c r="V7" i="9" a="1"/>
  <c r="V44" i="9" a="1"/>
  <c r="V473" i="10" a="1"/>
  <c r="V338" i="10" a="1"/>
  <c r="T298" i="10" a="1"/>
  <c r="T486" i="10" a="1"/>
  <c r="V43" i="10" a="1"/>
  <c r="V90" i="9" a="1"/>
  <c r="V282" i="10" a="1"/>
  <c r="T213" i="10" a="1"/>
  <c r="T76" i="10" a="1"/>
  <c r="V279" i="10" a="1"/>
  <c r="T92" i="10" a="1"/>
  <c r="S302" i="10" a="1"/>
  <c r="T122" i="10" a="1"/>
  <c r="V180" i="10" a="1"/>
  <c r="U285" i="10" a="1"/>
  <c r="S183" i="10" a="1"/>
  <c r="U130" i="10" a="1"/>
  <c r="U87" i="10" a="1"/>
  <c r="S4" i="10" a="1"/>
  <c r="V73" i="9" a="1"/>
  <c r="V140" i="9" a="1"/>
  <c r="U426" i="10" a="1"/>
  <c r="V29" i="10" a="1"/>
  <c r="T219" i="10" a="1"/>
  <c r="V106" i="10" a="1"/>
  <c r="V49" i="9" a="1"/>
  <c r="T354" i="10" a="1"/>
  <c r="V60" i="10" a="1"/>
  <c r="S356" i="10" a="1"/>
  <c r="U156" i="10" a="1"/>
  <c r="T439" i="10" a="1"/>
  <c r="V102" i="10" a="1"/>
  <c r="S66" i="10" a="1"/>
  <c r="V200" i="10" a="1"/>
  <c r="V96" i="10" a="1"/>
  <c r="U150" i="10" a="1"/>
  <c r="U487" i="10" a="1"/>
  <c r="T112" i="10" a="1"/>
  <c r="S139" i="10" a="1"/>
  <c r="U326" i="10" a="1"/>
  <c r="S313" i="10" a="1"/>
  <c r="V344" i="10" a="1"/>
  <c r="V387" i="10" a="1"/>
  <c r="V484" i="10" a="1"/>
  <c r="V463" i="10" a="1"/>
  <c r="V51" i="10" a="1"/>
  <c r="U47" i="10" a="1"/>
  <c r="V242" i="10" a="1"/>
  <c r="V95" i="10" a="1"/>
  <c r="U208" i="10" a="1"/>
  <c r="V421" i="10" a="1"/>
  <c r="V271" i="10" a="1"/>
  <c r="U244" i="10" a="1"/>
  <c r="U31" i="10" a="1"/>
  <c r="V203" i="9" a="1"/>
  <c r="U308" i="10" a="1"/>
  <c r="S230" i="10" a="1"/>
  <c r="V104" i="9" a="1"/>
  <c r="V105" i="10" a="1"/>
  <c r="T208" i="10" a="1"/>
  <c r="T57" i="10" a="1"/>
  <c r="V66" i="10" a="1"/>
  <c r="U112" i="10" a="1"/>
  <c r="S443" i="10" a="1"/>
  <c r="V332" i="10" a="1"/>
  <c r="V194" i="10" a="1"/>
  <c r="U23" i="10" a="1"/>
  <c r="V75" i="9" a="1"/>
  <c r="V408" i="10" a="1"/>
  <c r="U383" i="10" a="1"/>
  <c r="U2" i="9" a="1"/>
  <c r="V240" i="10" a="1"/>
  <c r="V16" i="10" a="1"/>
  <c r="U174" i="10" a="1"/>
  <c r="V451" i="10" a="1"/>
  <c r="V393" i="10" a="1"/>
  <c r="V64" i="9" a="1"/>
  <c r="S285" i="10" a="1"/>
  <c r="V422" i="10" a="1"/>
  <c r="U177" i="10" a="1"/>
  <c r="U476" i="10" a="1"/>
  <c r="U243" i="10" a="1"/>
  <c r="V70" i="9" a="1"/>
  <c r="V169" i="10" a="1"/>
  <c r="S85" i="10" a="1"/>
  <c r="V72" i="10" a="1"/>
  <c r="V153" i="9" a="1"/>
  <c r="V173" i="9" a="1"/>
  <c r="V289" i="10" a="1"/>
  <c r="V196" i="9" a="1"/>
  <c r="U137" i="10" a="1"/>
  <c r="V206" i="10" a="1"/>
  <c r="V39" i="10" a="1"/>
  <c r="V34" i="9" a="1"/>
  <c r="V36" i="9" a="1"/>
  <c r="V349" i="10" a="1"/>
  <c r="V35" i="9" a="1"/>
  <c r="V82" i="10" a="1"/>
  <c r="S205" i="10" a="1"/>
  <c r="T477" i="10" a="1"/>
  <c r="V278" i="10" a="1"/>
  <c r="V162" i="10" a="1"/>
  <c r="V152" i="10" a="1"/>
  <c r="U351" i="10" a="1"/>
  <c r="V105" i="9" a="1"/>
  <c r="V55" i="9" a="1"/>
  <c r="V346" i="10" a="1"/>
  <c r="U410" i="10" a="1"/>
  <c r="V462" i="10" a="1"/>
  <c r="V465" i="10" a="1"/>
  <c r="V5" i="10" a="1"/>
  <c r="V86" i="9" a="1"/>
  <c r="V74" i="9" a="1"/>
  <c r="V430" i="10" a="1"/>
  <c r="U213" i="10" a="1"/>
  <c r="U212" i="10" a="1"/>
  <c r="U69" i="10" a="1"/>
  <c r="V12" i="9" a="1"/>
  <c r="V233" i="10" a="1"/>
  <c r="V61" i="9" a="1"/>
  <c r="T175" i="10" a="1"/>
  <c r="T412" i="10" a="1"/>
  <c r="U6" i="10" a="1"/>
  <c r="V345" i="10" a="1"/>
  <c r="S319" i="10" a="1"/>
  <c r="V452" i="10" a="1"/>
  <c r="V225" i="10" a="1"/>
  <c r="V243" i="10" a="1"/>
  <c r="U330" i="10" a="1"/>
  <c r="V13" i="10" a="1"/>
  <c r="S292" i="10" a="1"/>
  <c r="V173" i="10" a="1"/>
  <c r="T93" i="10" a="1"/>
  <c r="V457" i="10" a="1"/>
  <c r="S163" i="10" a="1"/>
  <c r="V398" i="10" a="1"/>
  <c r="V17" i="9" a="1"/>
  <c r="S169" i="10" a="1"/>
  <c r="V395" i="10" a="1"/>
  <c r="T415" i="10" a="1"/>
  <c r="V69" i="10" a="1"/>
  <c r="U358" i="10" a="1"/>
  <c r="S296" i="10" a="1"/>
  <c r="U307" i="10" a="1"/>
  <c r="V138" i="10" a="1"/>
  <c r="V129" i="9" a="1"/>
  <c r="V151" i="10" a="1"/>
  <c r="V89" i="9" a="1"/>
  <c r="V21" i="9" a="1"/>
  <c r="U339" i="10" a="1"/>
  <c r="V200" i="9" a="1"/>
  <c r="T137" i="10" a="1"/>
  <c r="U84" i="10" a="1"/>
  <c r="S157" i="10" a="1"/>
  <c r="V409" i="10" a="1"/>
  <c r="U181" i="10" a="1"/>
  <c r="U376" i="10" a="1"/>
  <c r="S148" i="10" a="1"/>
  <c r="V202" i="9" a="1"/>
  <c r="S369" i="10" a="1"/>
  <c r="U398" i="10" a="1"/>
  <c r="V485" i="10" a="1"/>
  <c r="U406" i="10" a="1"/>
  <c r="T287" i="10" a="1"/>
  <c r="T191" i="10" a="1"/>
  <c r="U45" i="10" a="1"/>
  <c r="T344" i="10" a="1"/>
  <c r="R62" i="10" a="1"/>
  <c r="V178" i="9" a="1"/>
  <c r="U91" i="10" a="1"/>
  <c r="V389" i="10" a="1"/>
  <c r="V34" i="10" a="1"/>
  <c r="V24" i="9" a="1"/>
  <c r="V23" i="9" a="1"/>
  <c r="V379" i="10" a="1"/>
  <c r="V11" i="9" a="1"/>
  <c r="V109" i="9" a="1"/>
  <c r="V90" i="10" a="1"/>
  <c r="U443" i="10" a="1"/>
  <c r="V277" i="10" a="1"/>
  <c r="U359" i="10" a="1"/>
  <c r="U127" i="10" a="1"/>
  <c r="V267" i="10" a="1"/>
  <c r="U145" i="10" a="1"/>
  <c r="T234" i="10" a="1"/>
  <c r="T160" i="10" a="1"/>
  <c r="U197" i="10" a="1"/>
  <c r="V450" i="10" a="1"/>
  <c r="V314" i="10" a="1"/>
  <c r="V486" i="10" a="1"/>
  <c r="V460" i="10" a="1"/>
  <c r="V203" i="10" a="1"/>
  <c r="U86" i="10" a="1"/>
  <c r="V424" i="10" a="1"/>
  <c r="V161" i="10" a="1"/>
  <c r="U336" i="10" a="1"/>
  <c r="V252" i="10" a="1"/>
  <c r="V326" i="10" a="1"/>
  <c r="V9" i="10" a="1"/>
  <c r="U81" i="10" a="1"/>
  <c r="U63" i="10" a="1"/>
  <c r="V126" i="10" a="1"/>
  <c r="V18" i="10" a="1"/>
  <c r="V31" i="9" a="1"/>
  <c r="V153" i="10" a="1"/>
  <c r="T336" i="10" a="1"/>
  <c r="T143" i="10" a="1"/>
  <c r="V154" i="10" a="1"/>
  <c r="U8" i="10" a="1"/>
  <c r="S222" i="10" a="1"/>
  <c r="V216" i="10" a="1"/>
  <c r="V87" i="10" a="1"/>
  <c r="U235" i="10" a="1"/>
  <c r="V118" i="9" a="1"/>
  <c r="V249" i="10" a="1"/>
  <c r="U238" i="10" a="1"/>
  <c r="U24" i="10" a="1"/>
  <c r="V178" i="10" a="1"/>
  <c r="V131" i="10" a="1"/>
  <c r="U33" i="10" a="1"/>
  <c r="V54" i="9" a="1"/>
  <c r="V377" i="10" a="1"/>
  <c r="U109" i="10" a="1"/>
  <c r="S391" i="10" a="1"/>
  <c r="V228" i="10" a="1"/>
  <c r="U75" i="10" a="1"/>
  <c r="V126" i="9" a="1"/>
  <c r="V10" i="9" a="1"/>
  <c r="V295" i="10" a="1"/>
  <c r="V127" i="10" a="1"/>
  <c r="U54" i="10" a="1"/>
  <c r="V117" i="9" a="1"/>
  <c r="V168" i="10" a="1"/>
  <c r="U16" i="10" a="1"/>
  <c r="U98" i="10" a="1"/>
  <c r="V392" i="10" a="1"/>
  <c r="V62" i="10" a="1"/>
  <c r="U29" i="10" a="1"/>
  <c r="V3" i="9" a="1"/>
  <c r="V67" i="10" a="1"/>
  <c r="V135" i="9" a="1"/>
  <c r="U237" i="10" a="1"/>
  <c r="U292" i="10" a="1"/>
  <c r="V125" i="9" a="1"/>
  <c r="V155" i="10" a="1"/>
  <c r="S24" i="10" a="1"/>
  <c r="T464" i="10" a="1"/>
  <c r="V328" i="10" a="1"/>
  <c r="U419" i="10" a="1"/>
  <c r="U97" i="10" a="1"/>
  <c r="V25" i="10" a="1"/>
  <c r="V399" i="10" a="1"/>
  <c r="V209" i="10" a="1"/>
  <c r="V198" i="9" a="1"/>
  <c r="U64" i="10" a="1"/>
  <c r="U466" i="10" a="1"/>
  <c r="V234" i="10" a="1"/>
  <c r="S34" i="10" a="1"/>
  <c r="U253" i="10" a="1"/>
  <c r="S432" i="10" a="1"/>
  <c r="U378" i="10" a="1"/>
  <c r="U104" i="10" a="1"/>
  <c r="V352" i="10" a="1"/>
  <c r="U367" i="10" a="1"/>
  <c r="T458" i="10" a="1"/>
  <c r="V339" i="10" a="1"/>
  <c r="T411" i="10" a="1"/>
  <c r="V215" i="10" a="1"/>
  <c r="T224" i="10" a="1"/>
  <c r="V165" i="10" a="1"/>
  <c r="T37" i="10" a="1"/>
  <c r="V27" i="10" a="1"/>
  <c r="V79" i="9" a="1"/>
  <c r="V2" i="9" a="1"/>
  <c r="V179" i="10" a="1"/>
  <c r="T322" i="10" a="1"/>
  <c r="S62" i="10" a="1"/>
  <c r="V362" i="10" a="1"/>
  <c r="U211" i="10" a="1"/>
  <c r="V80" i="9" a="1"/>
  <c r="T443" i="10" a="1"/>
  <c r="T270" i="10" a="1"/>
  <c r="V2" i="10" a="1"/>
  <c r="T101" i="10" a="1"/>
  <c r="R57" i="10" a="1"/>
  <c r="T84" i="10" a="1"/>
  <c r="V142" i="9" a="1"/>
  <c r="V437" i="10" a="1"/>
  <c r="S324" i="10" a="1"/>
  <c r="U83" i="10" a="1"/>
  <c r="V355" i="10" a="1"/>
  <c r="S267" i="10" a="1"/>
  <c r="U123" i="10" a="1"/>
  <c r="V85" i="9" a="1"/>
  <c r="U228" i="10" a="1"/>
  <c r="U318" i="10" a="1"/>
  <c r="U299" i="10" a="1"/>
  <c r="V256" i="10" a="1"/>
  <c r="V290" i="10" a="1"/>
  <c r="V98" i="9" a="1"/>
  <c r="V459" i="10" a="1"/>
  <c r="T106" i="10" a="1"/>
  <c r="U232" i="10" a="1"/>
  <c r="U178" i="10" a="1"/>
  <c r="U294" i="10" a="1"/>
  <c r="U165" i="10" a="1"/>
  <c r="U49" i="10" a="1"/>
  <c r="V10" i="10" a="1"/>
  <c r="U461" i="10" a="1"/>
  <c r="V247" i="10" a="1"/>
  <c r="V58" i="9" a="1"/>
  <c r="U176" i="10" a="1"/>
  <c r="V455" i="10" a="1"/>
  <c r="V461" i="10" a="1"/>
  <c r="V47" i="10" a="1"/>
  <c r="V479" i="10" a="1"/>
  <c r="V33" i="9" a="1"/>
  <c r="V423" i="10" a="1"/>
  <c r="V359" i="10" a="1"/>
  <c r="T366" i="10" a="1"/>
  <c r="V130" i="10" a="1"/>
  <c r="T150" i="10" a="1"/>
  <c r="U179" i="10" a="1"/>
  <c r="V159" i="10" a="1"/>
  <c r="U119" i="10" a="1"/>
  <c r="T334" i="10" a="1"/>
  <c r="V94" i="10" a="1"/>
  <c r="U200" i="10" a="1"/>
  <c r="U53" i="10" a="1"/>
  <c r="V383" i="10" a="1"/>
  <c r="U417" i="10" a="1"/>
  <c r="S246" i="10" a="1"/>
  <c r="U328" i="10" a="1"/>
  <c r="U323" i="10" a="1"/>
  <c r="T472" i="10" a="1"/>
  <c r="V469" i="10" a="1"/>
  <c r="V158" i="9" a="1"/>
  <c r="V482" i="10" a="1"/>
  <c r="V137" i="9" a="1"/>
  <c r="U462" i="10" a="1"/>
  <c r="V122" i="10" a="1"/>
  <c r="V226" i="10" a="1"/>
  <c r="U320" i="10" a="1"/>
  <c r="V166" i="10" a="1"/>
  <c r="T340" i="10" a="1"/>
  <c r="V121" i="10" a="1"/>
  <c r="T291" i="10" a="1"/>
  <c r="V15" i="9" a="1"/>
  <c r="T157" i="10" a="1"/>
  <c r="T288" i="10" a="1"/>
  <c r="V351" i="10" a="1"/>
  <c r="V23" i="10" a="1"/>
  <c r="V46" i="9" a="1"/>
  <c r="U421" i="10" a="1"/>
  <c r="S80" i="10" a="1"/>
  <c r="U356" i="10" a="1"/>
  <c r="S217" i="10" a="1"/>
  <c r="V180" i="9" a="1"/>
  <c r="U74" i="10" a="1"/>
  <c r="U94" i="10" a="1"/>
  <c r="U152" i="10" a="1"/>
  <c r="U297" i="10" a="1"/>
  <c r="T410" i="10" a="1"/>
  <c r="U222" i="10" a="1"/>
  <c r="V119" i="10" a="1"/>
  <c r="T56" i="10" a="1"/>
  <c r="S258" i="10" a="1"/>
  <c r="T87" i="10" a="1"/>
  <c r="V112" i="9" a="1"/>
  <c r="U265" i="10" a="1"/>
  <c r="T80" i="10" a="1"/>
  <c r="S29" i="10" a="1"/>
  <c r="V116" i="10" a="1"/>
  <c r="S249" i="10" a="1"/>
  <c r="U246" i="10" a="1"/>
  <c r="T192" i="10" a="1"/>
  <c r="U216" i="10" a="1"/>
  <c r="T314" i="10" a="1"/>
  <c r="U172" i="10" a="1"/>
  <c r="U192" i="10" a="1"/>
  <c r="V100" i="10" a="1"/>
  <c r="V236" i="10" a="1"/>
  <c r="V444" i="10" a="1"/>
  <c r="U411" i="10" a="1"/>
  <c r="V36" i="10" a="1"/>
  <c r="T473" i="10" a="1"/>
  <c r="V194" i="9" a="1"/>
  <c r="S266" i="10" a="1"/>
  <c r="U346" i="10" a="1"/>
  <c r="V161" i="9" a="1"/>
  <c r="S469" i="10" a="1"/>
  <c r="U335" i="10" a="1"/>
  <c r="T236" i="10" a="1"/>
  <c r="V133" i="10" a="1"/>
  <c r="T355" i="10" a="1"/>
  <c r="R239" i="10" a="1"/>
  <c r="T12" i="10" a="1"/>
  <c r="V33" i="10" a="1"/>
  <c r="T28" i="10" a="1"/>
  <c r="V32" i="10" a="1"/>
  <c r="V448" i="10" a="1"/>
  <c r="V480" i="10" a="1"/>
  <c r="U314" i="10" a="1"/>
  <c r="T39" i="10" a="1"/>
  <c r="S41" i="10" a="1"/>
  <c r="U418" i="10" a="1"/>
  <c r="T272" i="10" a="1"/>
  <c r="T190" i="10" a="1"/>
  <c r="R219" i="10" a="1"/>
  <c r="R318" i="10" a="1"/>
  <c r="R16" i="10" a="1"/>
  <c r="S113" i="10" a="1"/>
  <c r="P33" i="10" a="1"/>
  <c r="S265" i="10" a="1"/>
  <c r="R220" i="10" a="1"/>
  <c r="U291" i="10" a="1"/>
  <c r="Q472" i="10" a="1"/>
  <c r="Q230" i="10" a="1"/>
  <c r="V110" i="10" a="1"/>
  <c r="U120" i="9" a="1"/>
  <c r="T159" i="10" a="1"/>
  <c r="S372" i="10" a="1"/>
  <c r="V390" i="10" a="1"/>
  <c r="V190" i="10" a="1"/>
  <c r="V269" i="10" a="1"/>
  <c r="V37" i="9" a="1"/>
  <c r="T105" i="10" a="1"/>
  <c r="V175" i="10" a="1"/>
  <c r="V481" i="10" a="1"/>
  <c r="V171" i="9" a="1"/>
  <c r="V21" i="10" a="1"/>
  <c r="V299" i="10" a="1"/>
  <c r="V171" i="10" a="1"/>
  <c r="U370" i="10" a="1"/>
  <c r="U65" i="10" a="1"/>
  <c r="U435" i="10" a="1"/>
  <c r="V50" i="9" a="1"/>
  <c r="U143" i="10" a="1"/>
  <c r="U440" i="10" a="1"/>
  <c r="V55" i="10" a="1"/>
  <c r="V453" i="10" a="1"/>
  <c r="V467" i="10" a="1"/>
  <c r="V110" i="9" a="1"/>
  <c r="U121" i="10" a="1"/>
  <c r="U368" i="10" a="1"/>
  <c r="V56" i="10" a="1"/>
  <c r="V273" i="10" a="1"/>
  <c r="V318" i="10" a="1"/>
  <c r="V261" i="10" a="1"/>
  <c r="U485" i="10" a="1"/>
  <c r="V142" i="10" a="1"/>
  <c r="T225" i="10" a="1"/>
  <c r="T371" i="10" a="1"/>
  <c r="U403" i="10" a="1"/>
  <c r="S125" i="10" a="1"/>
  <c r="U428" i="10" a="1"/>
  <c r="S92" i="10" a="1"/>
  <c r="V66" i="9" a="1"/>
  <c r="V64" i="10" a="1"/>
  <c r="V201" i="9" a="1"/>
  <c r="V162" i="9" a="1"/>
  <c r="T425" i="10" a="1"/>
  <c r="S407" i="10" a="1"/>
  <c r="U154" i="10" a="1"/>
  <c r="V343" i="10" a="1"/>
  <c r="V222" i="10" a="1"/>
  <c r="V418" i="10" a="1"/>
  <c r="S40" i="10" a="1"/>
  <c r="U168" i="10" a="1"/>
  <c r="V303" i="10" a="1"/>
  <c r="T360" i="10" a="1"/>
  <c r="V168" i="9" a="1"/>
  <c r="S450" i="10" a="1"/>
  <c r="U304" i="10" a="1"/>
  <c r="T184" i="10" a="1"/>
  <c r="U62" i="10" a="1"/>
  <c r="S44" i="10" a="1"/>
  <c r="V30" i="9" a="1"/>
  <c r="V53" i="9" a="1"/>
  <c r="V223" i="10" a="1"/>
  <c r="T132" i="10" a="1"/>
  <c r="T97" i="10" a="1"/>
  <c r="V263" i="10" a="1"/>
  <c r="U422" i="10" a="1"/>
  <c r="S323" i="10" a="1"/>
  <c r="V258" i="10" a="1"/>
  <c r="V149" i="9" a="1"/>
  <c r="U66" i="10" a="1"/>
  <c r="T44" i="10" a="1"/>
  <c r="V190" i="9" a="1"/>
  <c r="V71" i="10" a="1"/>
  <c r="U481" i="10" a="1"/>
  <c r="V221" i="10" a="1"/>
  <c r="S133" i="10" a="1"/>
  <c r="V255" i="10" a="1"/>
  <c r="T397" i="10" a="1"/>
  <c r="U106" i="10" a="1"/>
  <c r="T233" i="10" a="1"/>
  <c r="T394" i="10" a="1"/>
  <c r="V32" i="9" a="1"/>
  <c r="V380" i="10" a="1"/>
  <c r="U48" i="10" a="1"/>
  <c r="U275" i="10" a="1"/>
  <c r="S42" i="10" a="1"/>
  <c r="V253" i="10" a="1"/>
  <c r="S342" i="10" a="1"/>
  <c r="U10" i="10" a="1"/>
  <c r="U157" i="10" a="1"/>
  <c r="U385" i="10" a="1"/>
  <c r="V404" i="10" a="1"/>
  <c r="V124" i="10" a="1"/>
  <c r="U46" i="10" a="1"/>
  <c r="U30" i="10" a="1"/>
  <c r="T406" i="10" a="1"/>
  <c r="U249" i="10" a="1"/>
  <c r="U439" i="10" a="1"/>
  <c r="V211" i="10" a="1"/>
  <c r="V135" i="10" a="1"/>
  <c r="V113" i="9" a="1"/>
  <c r="V186" i="9" a="1"/>
  <c r="T66" i="10" a="1"/>
  <c r="V301" i="10" a="1"/>
  <c r="V99" i="9" a="1"/>
  <c r="V24" i="10" a="1"/>
  <c r="V14" i="10" a="1"/>
  <c r="V350" i="10" a="1"/>
  <c r="V446" i="10" a="1"/>
  <c r="U402" i="10" a="1"/>
  <c r="U371" i="10" a="1"/>
  <c r="U78" i="10" a="1"/>
  <c r="V149" i="10" a="1"/>
  <c r="V342" i="10" a="1"/>
  <c r="V272" i="10" a="1"/>
  <c r="U148" i="10" a="1"/>
  <c r="U161" i="10" a="1"/>
  <c r="V139" i="9" a="1"/>
  <c r="T321" i="10" a="1"/>
  <c r="U455" i="10" a="1"/>
  <c r="V122" i="9" a="1"/>
  <c r="S37" i="10" a="1"/>
  <c r="V58" i="10" a="1"/>
  <c r="V78" i="10" a="1"/>
  <c r="T151" i="10" a="1"/>
  <c r="S227" i="10" a="1"/>
  <c r="V54" i="10" a="1"/>
  <c r="T109" i="10" a="1"/>
  <c r="U210" i="10" a="1"/>
  <c r="U432" i="10" a="1"/>
  <c r="S9" i="10" a="1"/>
  <c r="V356" i="10" a="1"/>
  <c r="T356" i="10" a="1"/>
  <c r="V163" i="10" a="1"/>
  <c r="V52" i="10" a="1"/>
  <c r="V298" i="10" a="1"/>
  <c r="U396" i="10" a="1"/>
  <c r="T440" i="10" a="1"/>
  <c r="V130" i="9" a="1"/>
  <c r="S308" i="10" a="1"/>
  <c r="U67" i="10" a="1"/>
  <c r="U298" i="10" a="1"/>
  <c r="T6" i="10" a="1"/>
  <c r="S22" i="10" a="1"/>
  <c r="U350" i="10" a="1"/>
  <c r="S175" i="10" a="1"/>
  <c r="U375" i="10" a="1"/>
  <c r="U19" i="10" a="1"/>
  <c r="V297" i="10" a="1"/>
  <c r="S56" i="10" a="1"/>
  <c r="V187" i="10" a="1"/>
  <c r="V140" i="10" a="1"/>
  <c r="T167" i="10" a="1"/>
  <c r="V235" i="10" a="1"/>
  <c r="V191" i="10" a="1"/>
  <c r="V388" i="10" a="1"/>
  <c r="V8" i="9" a="1"/>
  <c r="S334" i="10" a="1"/>
  <c r="U470" i="10" a="1"/>
  <c r="V123" i="10" a="1"/>
  <c r="T310" i="10" a="1"/>
  <c r="U135" i="10" a="1"/>
  <c r="V164" i="10" a="1"/>
  <c r="U240" i="10" a="1"/>
  <c r="T421" i="10" a="1"/>
  <c r="U37" i="10" a="1"/>
  <c r="S111" i="10" a="1"/>
  <c r="U126" i="10" a="1"/>
  <c r="V182" i="9" a="1"/>
  <c r="V150" i="10" a="1"/>
  <c r="T339" i="10" a="1"/>
  <c r="T183" i="10" a="1"/>
  <c r="V74" i="10" a="1"/>
  <c r="T31" i="10" a="1"/>
  <c r="S456" i="10" a="1"/>
  <c r="V401" i="10" a="1"/>
  <c r="U239" i="10" a="1"/>
  <c r="U149" i="10" a="1"/>
  <c r="T300" i="10" a="1"/>
  <c r="U153" i="10" a="1"/>
  <c r="V364" i="10" a="1"/>
  <c r="T21" i="10" a="1"/>
  <c r="V88" i="9" a="1"/>
  <c r="S120" i="10" a="1"/>
  <c r="V38" i="9" a="1"/>
  <c r="T379" i="10" a="1"/>
  <c r="U264" i="10" a="1"/>
  <c r="T367" i="10" a="1"/>
  <c r="T372" i="10" a="1"/>
  <c r="V177" i="9" a="1"/>
  <c r="V440" i="10" a="1"/>
  <c r="U471" i="10" a="1"/>
  <c r="U486" i="10" a="1"/>
  <c r="U365" i="10" a="1"/>
  <c r="V53" i="10" a="1"/>
  <c r="V199" i="10" a="1"/>
  <c r="V317" i="10" a="1"/>
  <c r="U369" i="10" a="1"/>
  <c r="S82" i="10" a="1"/>
  <c r="U261" i="10" a="1"/>
  <c r="U95" i="10" a="1"/>
  <c r="V14" i="9" a="1"/>
  <c r="V121" i="9" a="1"/>
  <c r="U229" i="10" a="1"/>
  <c r="U256" i="10" a="1"/>
  <c r="T283" i="10" a="1"/>
  <c r="V127" i="9" a="1"/>
  <c r="V20" i="9" a="1"/>
  <c r="V294" i="10" a="1"/>
  <c r="V213" i="10" a="1"/>
  <c r="U117" i="10" a="1"/>
  <c r="V439" i="10" a="1"/>
  <c r="V17" i="10" a="1"/>
  <c r="V264" i="10" a="1"/>
  <c r="V201" i="10" a="1"/>
  <c r="V184" i="9" a="1"/>
  <c r="U110" i="10" a="1"/>
  <c r="T136" i="10" a="1"/>
  <c r="U70" i="10" a="1"/>
  <c r="U114" i="10" a="1"/>
  <c r="U303" i="10" a="1"/>
  <c r="V146" i="9" a="1"/>
  <c r="U14" i="10" a="1"/>
  <c r="R172" i="10" a="1"/>
  <c r="T214" i="10" a="1"/>
  <c r="V114" i="9" a="1"/>
  <c r="T251" i="10" a="1"/>
  <c r="U103" i="10" a="1"/>
  <c r="V185" i="10" a="1"/>
  <c r="V224" i="10" a="1"/>
  <c r="S8" i="10" a="1"/>
  <c r="S156" i="10" a="1"/>
  <c r="V296" i="10" a="1"/>
  <c r="U464" i="10" a="1"/>
  <c r="V77" i="10" a="1"/>
  <c r="U90" i="10" a="1"/>
  <c r="U51" i="10" a="1"/>
  <c r="U122" i="10" a="1"/>
  <c r="V59" i="10" a="1"/>
  <c r="S179" i="10" a="1"/>
  <c r="V166" i="9" a="1"/>
  <c r="U409" i="10" a="1"/>
  <c r="U136" i="10" a="1"/>
  <c r="T240" i="10" a="1"/>
  <c r="T220" i="10" a="1"/>
  <c r="V70" i="10" a="1"/>
  <c r="T320" i="10" a="1"/>
  <c r="R169" i="10" a="1"/>
  <c r="T68" i="10" a="1"/>
  <c r="U438" i="10" a="1"/>
  <c r="U120" i="10" a="1"/>
  <c r="S479" i="10" a="1"/>
  <c r="U477" i="10" a="1"/>
  <c r="V93" i="9" a="1"/>
  <c r="S387" i="10" a="1"/>
  <c r="V172" i="10" a="1"/>
  <c r="V143" i="10" a="1"/>
  <c r="V288" i="10" a="1"/>
  <c r="V438" i="10" a="1"/>
  <c r="T63" i="10" a="1"/>
  <c r="T237" i="10" a="1"/>
  <c r="V167" i="9" a="1"/>
  <c r="S402" i="10" a="1"/>
  <c r="U333" i="10" a="1"/>
  <c r="T180" i="10" a="1"/>
  <c r="T67" i="10" a="1"/>
  <c r="V28" i="10" a="1"/>
  <c r="U456" i="10" a="1"/>
  <c r="S236" i="10" a="1"/>
  <c r="U254" i="10" a="1"/>
  <c r="U268" i="10" a="1"/>
  <c r="V48" i="9" a="1"/>
  <c r="S89" i="10" a="1"/>
  <c r="V348" i="10" a="1"/>
  <c r="V487" i="10" a="1"/>
  <c r="T459" i="10" a="1"/>
  <c r="V183" i="10" a="1"/>
  <c r="V300" i="10" a="1"/>
  <c r="V81" i="10" a="1"/>
  <c r="V268" i="10" a="1"/>
  <c r="V336" i="10" a="1"/>
  <c r="V159" i="9" a="1"/>
  <c r="T267" i="10" a="1"/>
  <c r="S281" i="10" a="1"/>
  <c r="T96" i="10" a="1"/>
  <c r="U186" i="10" a="1"/>
  <c r="V97" i="10" a="1"/>
  <c r="V266" i="10" a="1"/>
  <c r="V118" i="10" a="1"/>
  <c r="T38" i="10" a="1"/>
  <c r="S121" i="10" a="1"/>
  <c r="U252" i="10" a="1"/>
  <c r="U134" i="10" a="1"/>
  <c r="V124" i="9" a="1"/>
  <c r="V191" i="9" a="1"/>
  <c r="V167" i="10" a="1"/>
  <c r="U290" i="10" a="1"/>
  <c r="V374" i="10" a="1"/>
  <c r="V71" i="9" a="1"/>
  <c r="V4" i="9" a="1"/>
  <c r="U321" i="10" a="1"/>
  <c r="U277" i="10" a="1"/>
  <c r="T405" i="10" a="1"/>
  <c r="V323" i="10" a="1"/>
  <c r="V98" i="10" a="1"/>
  <c r="V68" i="9" a="1"/>
  <c r="T155" i="10" a="1"/>
  <c r="T242" i="10" a="1"/>
  <c r="V204" i="9" a="1"/>
  <c r="T480" i="10" a="1"/>
  <c r="V206" i="9" a="1"/>
  <c r="S100" i="10" a="1"/>
  <c r="V327" i="10" a="1"/>
  <c r="U40" i="10" a="1"/>
  <c r="V189" i="10" a="1"/>
  <c r="S398" i="10" a="1"/>
  <c r="V454" i="10" a="1"/>
  <c r="V92" i="10" a="1"/>
  <c r="T345" i="10" a="1"/>
  <c r="V212" i="10" a="1"/>
  <c r="U102" i="10" a="1"/>
  <c r="U68" i="10" a="1"/>
  <c r="U221" i="10" a="1"/>
  <c r="V52" i="9" a="1"/>
  <c r="U167" i="10" a="1"/>
  <c r="U7" i="10" a="1"/>
  <c r="T212" i="10" a="1"/>
  <c r="U349" i="10" a="1"/>
  <c r="S270" i="10" a="1"/>
  <c r="U96" i="10" a="1"/>
  <c r="V321" i="10" a="1"/>
  <c r="S374" i="10" a="1"/>
  <c r="U89" i="10" a="1"/>
  <c r="T171" i="10" a="1"/>
  <c r="V87" i="9" a="1"/>
  <c r="T264" i="10" a="1"/>
  <c r="R65" i="10" a="1"/>
  <c r="T3" i="10" a="1"/>
  <c r="U180" i="10" a="1"/>
  <c r="U337" i="10" a="1"/>
  <c r="U259" i="10" a="1"/>
  <c r="V30" i="10" a="1"/>
  <c r="V309" i="10" a="1"/>
  <c r="V407" i="10" a="1"/>
  <c r="V329" i="10" a="1"/>
  <c r="S321" i="10" a="1"/>
  <c r="U32" i="10" a="1"/>
  <c r="U271" i="10" a="1"/>
  <c r="V68" i="10" a="1"/>
  <c r="T488" i="10" a="1"/>
  <c r="V11" i="10" a="1"/>
  <c r="V324" i="10" a="1"/>
  <c r="T353" i="10" a="1"/>
  <c r="V8" i="10" a="1"/>
  <c r="T154" i="10" a="1"/>
  <c r="V320" i="10" a="1"/>
  <c r="U286" i="10" a="1"/>
  <c r="S286" i="10" a="1"/>
  <c r="U241" i="10" a="1"/>
  <c r="U28" i="10" a="1"/>
  <c r="S409" i="10" a="1"/>
  <c r="V205" i="10" a="1"/>
  <c r="V196" i="10" a="1"/>
  <c r="V83" i="10" a="1"/>
  <c r="V60" i="9" a="1"/>
  <c r="T72" i="10" a="1"/>
  <c r="T260" i="10" a="1"/>
  <c r="U100" i="10" a="1"/>
  <c r="V174" i="10" a="1"/>
  <c r="V145" i="10" a="1"/>
  <c r="T64" i="10" a="1"/>
  <c r="T142" i="10" a="1"/>
  <c r="V281" i="10" a="1"/>
  <c r="T69" i="10" a="1"/>
  <c r="S206" i="10" a="1"/>
  <c r="U473" i="10" a="1"/>
  <c r="V335" i="10" a="1"/>
  <c r="U155" i="10" a="1"/>
  <c r="S128" i="10" a="1"/>
  <c r="V76" i="9" a="1"/>
  <c r="V63" i="9" a="1"/>
  <c r="S130" i="10" a="1"/>
  <c r="V305" i="10" a="1"/>
  <c r="V31" i="10" a="1"/>
  <c r="V6" i="9" a="1"/>
  <c r="T36" i="10" a="1"/>
  <c r="V360" i="10" a="1"/>
  <c r="U11" i="10" a="1"/>
  <c r="S238" i="10" a="1"/>
  <c r="R410" i="10" a="1"/>
  <c r="V91" i="10" a="1"/>
  <c r="T255" i="10" a="1"/>
  <c r="S48" i="10" a="1"/>
  <c r="T231" i="10" a="1"/>
  <c r="Q483" i="10" a="1"/>
  <c r="R275" i="10" a="1"/>
  <c r="V78" i="9" a="1"/>
  <c r="T269" i="10" a="1"/>
  <c r="R195" i="10" a="1"/>
  <c r="R423" i="10" a="1"/>
  <c r="R121" i="10" a="1"/>
  <c r="S446" i="10" a="1"/>
  <c r="P48" i="10" a="1"/>
  <c r="Q452" i="10" a="1"/>
  <c r="T149" i="10" a="1"/>
  <c r="R113" i="10" a="1"/>
  <c r="R177" i="10" a="1"/>
  <c r="R108" i="10" a="1"/>
  <c r="S81" i="10" a="1"/>
  <c r="P210" i="10" a="1"/>
  <c r="Q327" i="10" a="1"/>
  <c r="U433" i="10" a="1"/>
  <c r="S358" i="10" a="1"/>
  <c r="R180" i="10" a="1"/>
  <c r="S370" i="10" a="1"/>
  <c r="T346" i="10" a="1"/>
  <c r="U353" i="10" a="1"/>
  <c r="P169" i="10" a="1"/>
  <c r="U92" i="9" a="1"/>
  <c r="P16" i="10" a="1"/>
  <c r="Q59" i="10" a="1"/>
  <c r="T10" i="9" a="1"/>
  <c r="R214" i="10" a="1"/>
  <c r="Q276" i="10" a="1"/>
  <c r="P145" i="10" a="1"/>
  <c r="V50" i="10" a="1"/>
  <c r="U230" i="10" a="1"/>
  <c r="U34" i="10" a="1"/>
  <c r="R264" i="10" a="1"/>
  <c r="T244" i="10" a="1"/>
  <c r="U269" i="10" a="1"/>
  <c r="S159" i="10" a="1"/>
  <c r="V246" i="10" a="1"/>
  <c r="S243" i="10" a="1"/>
  <c r="R218" i="10" a="1"/>
  <c r="Q328" i="10" a="1"/>
  <c r="R258" i="10" a="1"/>
  <c r="R187" i="10" a="1"/>
  <c r="P352" i="10" a="1"/>
  <c r="S255" i="10" a="1"/>
  <c r="T47" i="10" a="1"/>
  <c r="T453" i="10" a="1"/>
  <c r="U247" i="10" a="1"/>
  <c r="Q320" i="10" a="1"/>
  <c r="R398" i="10" a="1"/>
  <c r="U92" i="10" a="1"/>
  <c r="T399" i="10" a="1"/>
  <c r="U288" i="10" a="1"/>
  <c r="T438" i="10" a="1"/>
  <c r="V38" i="10" a="1"/>
  <c r="Q297" i="10" a="1"/>
  <c r="S345" i="10" a="1"/>
  <c r="T122" i="9" a="1"/>
  <c r="U331" i="10" a="1"/>
  <c r="R253" i="10" a="1"/>
  <c r="U425" i="10" a="1"/>
  <c r="Q433" i="10" a="1"/>
  <c r="Q266" i="10" a="1"/>
  <c r="S126" i="10" a="1"/>
  <c r="R75" i="10" a="1"/>
  <c r="Q119" i="10" a="1"/>
  <c r="Q319" i="10" a="1"/>
  <c r="S115" i="9" a="1"/>
  <c r="U136" i="9" a="1"/>
  <c r="T179" i="9" a="1"/>
  <c r="S416" i="10" a="1"/>
  <c r="S50" i="10" a="1"/>
  <c r="V138" i="9" a="1"/>
  <c r="S428" i="10" a="1"/>
  <c r="T342" i="10" a="1"/>
  <c r="V25" i="9" a="1"/>
  <c r="V181" i="9" a="1"/>
  <c r="U437" i="10" a="1"/>
  <c r="T416" i="10" a="1"/>
  <c r="V187" i="9" a="1"/>
  <c r="T135" i="10" a="1"/>
  <c r="T110" i="10" a="1"/>
  <c r="T179" i="10" a="1"/>
  <c r="V5" i="9" a="1"/>
  <c r="V112" i="10" a="1"/>
  <c r="U436" i="10" a="1"/>
  <c r="U4" i="10" a="1"/>
  <c r="V270" i="10" a="1"/>
  <c r="U327" i="10" a="1"/>
  <c r="T206" i="10" a="1"/>
  <c r="V198" i="10" a="1"/>
  <c r="S485" i="10" a="1"/>
  <c r="V435" i="10" a="1"/>
  <c r="U450" i="10" a="1"/>
  <c r="U296" i="10" a="1"/>
  <c r="U281" i="10" a="1"/>
  <c r="U22" i="10" a="1"/>
  <c r="V115" i="9" a="1"/>
  <c r="T324" i="10" a="1"/>
  <c r="V432" i="10" a="1"/>
  <c r="S478" i="10" a="1"/>
  <c r="S349" i="10" a="1"/>
  <c r="T141" i="10" a="1"/>
  <c r="T280" i="10" a="1"/>
  <c r="T331" i="10" a="1"/>
  <c r="U3" i="10" a="1"/>
  <c r="U35" i="10" a="1"/>
  <c r="Q188" i="10" a="1"/>
  <c r="Q235" i="10" a="1"/>
  <c r="P419" i="10" a="1"/>
  <c r="U139" i="10" a="1"/>
  <c r="T245" i="10" a="1"/>
  <c r="S218" i="10" a="1"/>
  <c r="R194" i="10" a="1"/>
  <c r="Q167" i="10" a="1"/>
  <c r="V62" i="9" a="1"/>
  <c r="S167" i="10" a="1"/>
  <c r="S107" i="10" a="1"/>
  <c r="R14" i="10" a="1"/>
  <c r="U109" i="9" a="1"/>
  <c r="V260" i="10" a="1"/>
  <c r="T162" i="10" a="1"/>
  <c r="S188" i="10" a="1"/>
  <c r="R130" i="10" a="1"/>
  <c r="S253" i="10" a="1"/>
  <c r="S223" i="10" a="1"/>
  <c r="P234" i="10" a="1"/>
  <c r="P128" i="10" a="1"/>
  <c r="P93" i="10" a="1"/>
  <c r="P129" i="10" a="1"/>
  <c r="S151" i="10" a="1"/>
  <c r="R356" i="10" a="1"/>
  <c r="U9" i="10" a="1"/>
  <c r="T45" i="10" a="1"/>
  <c r="S69" i="10" a="1"/>
  <c r="V406" i="10" a="1"/>
  <c r="V368" i="10" a="1"/>
  <c r="T17" i="10" a="1"/>
  <c r="S47" i="10" a="1"/>
  <c r="U465" i="10" a="1"/>
  <c r="S362" i="10" a="1"/>
  <c r="S333" i="10" a="1"/>
  <c r="S208" i="10" a="1"/>
  <c r="U107" i="9" a="1"/>
  <c r="U189" i="10" a="1"/>
  <c r="R455" i="10" a="1"/>
  <c r="Q200" i="10" a="1"/>
  <c r="Q171" i="10" a="1"/>
  <c r="Q114" i="10" a="1"/>
  <c r="Q234" i="10" a="1"/>
  <c r="T380" i="10" a="1"/>
  <c r="R408" i="10" a="1"/>
  <c r="Q312" i="10" a="1"/>
  <c r="Q389" i="10" a="1"/>
  <c r="Q77" i="10" a="1"/>
  <c r="Q429" i="10" a="1"/>
  <c r="S32" i="10" a="1"/>
  <c r="Q74" i="10" a="1"/>
  <c r="U220" i="10" a="1"/>
  <c r="U395" i="10" a="1"/>
  <c r="T125" i="10" a="1"/>
  <c r="T32" i="9" a="1"/>
  <c r="S434" i="10" a="1"/>
  <c r="S219" i="10" a="1"/>
  <c r="P378" i="10" a="1"/>
  <c r="R385" i="10" a="1"/>
  <c r="V81" i="9" a="1"/>
  <c r="T377" i="10" a="1"/>
  <c r="U233" i="10" a="1"/>
  <c r="U361" i="10" a="1"/>
  <c r="S452" i="10" a="1"/>
  <c r="T90" i="10" a="1"/>
  <c r="V170" i="10" a="1"/>
  <c r="T199" i="10" a="1"/>
  <c r="R38" i="10" a="1"/>
  <c r="R227" i="10" a="1"/>
  <c r="R230" i="10" a="1"/>
  <c r="S440" i="10" a="1"/>
  <c r="P376" i="10" a="1"/>
  <c r="U431" i="10" a="1"/>
  <c r="R67" i="10" a="1"/>
  <c r="T62" i="10" a="1"/>
  <c r="Q191" i="10" a="1"/>
  <c r="Q132" i="10" a="1"/>
  <c r="T417" i="10" a="1"/>
  <c r="T8" i="9" a="1"/>
  <c r="S303" i="10" a="1"/>
  <c r="R44" i="10" a="1"/>
  <c r="V22" i="9" a="1"/>
  <c r="Q380" i="10" a="1"/>
  <c r="Q53" i="10" a="1"/>
  <c r="R281" i="10" a="1"/>
  <c r="U10" i="9" a="1"/>
  <c r="T25" i="10" a="1"/>
  <c r="S305" i="10" a="1"/>
  <c r="Q271" i="10" a="1"/>
  <c r="Q231" i="10" a="1"/>
  <c r="R444" i="10" a="1"/>
  <c r="U163" i="10" a="1"/>
  <c r="U118" i="10" a="1"/>
  <c r="R31" i="10" a="1"/>
  <c r="R246" i="10" a="1"/>
  <c r="V217" i="10" a="1"/>
  <c r="V193" i="9" a="1"/>
  <c r="T131" i="10" a="1"/>
  <c r="T187" i="10" a="1"/>
  <c r="S135" i="10" a="1"/>
  <c r="T13" i="10" a="1"/>
  <c r="R259" i="10" a="1"/>
  <c r="V95" i="9" a="1"/>
  <c r="R111" i="10" a="1"/>
  <c r="U343" i="10" a="1"/>
  <c r="Q225" i="10" a="1"/>
  <c r="Q86" i="10" a="1"/>
  <c r="U394" i="10" a="1"/>
  <c r="U165" i="9" a="1"/>
  <c r="T147" i="10" a="1"/>
  <c r="S388" i="10" a="1"/>
  <c r="R97" i="10" a="1"/>
  <c r="S36" i="10" a="1"/>
  <c r="T59" i="10" a="1"/>
  <c r="Q377" i="10" a="1"/>
  <c r="R28" i="10" a="1"/>
  <c r="U188" i="10" a="1"/>
  <c r="S17" i="10" a="1"/>
  <c r="S353" i="10" a="1"/>
  <c r="T343" i="10" a="1"/>
  <c r="U166" i="10" a="1"/>
  <c r="Q93" i="10" a="1"/>
  <c r="R132" i="10" a="1"/>
  <c r="R205" i="10" a="1"/>
  <c r="T349" i="10" a="1"/>
  <c r="S57" i="10" a="1"/>
  <c r="T19" i="10" a="1"/>
  <c r="Q443" i="10" a="1"/>
  <c r="R10" i="10" a="1"/>
  <c r="R286" i="10" a="1"/>
  <c r="P211" i="10" a="1"/>
  <c r="P52" i="10" a="1"/>
  <c r="R337" i="10" a="1"/>
  <c r="Q198" i="10" a="1"/>
  <c r="R130" i="9" a="1"/>
  <c r="T455" i="10" a="1"/>
  <c r="T46" i="10" a="1"/>
  <c r="V109" i="10" a="1"/>
  <c r="S486" i="10" a="1"/>
  <c r="V131" i="9" a="1"/>
  <c r="U474" i="10" a="1"/>
  <c r="T323" i="10" a="1"/>
  <c r="T359" i="10" a="1"/>
  <c r="S320" i="10" a="1"/>
  <c r="U266" i="10" a="1"/>
  <c r="S458" i="10" a="1"/>
  <c r="Q145" i="10" a="1"/>
  <c r="Q90" i="10" a="1"/>
  <c r="R481" i="10" a="1"/>
  <c r="R391" i="10" a="1"/>
  <c r="P349" i="10" a="1"/>
  <c r="V195" i="10" a="1"/>
  <c r="T398" i="10" a="1"/>
  <c r="S190" i="10" a="1"/>
  <c r="T348" i="10" a="1"/>
  <c r="Q375" i="10" a="1"/>
  <c r="R293" i="10" a="1"/>
  <c r="S110" i="10" a="1"/>
  <c r="S346" i="10" a="1"/>
  <c r="T153" i="10" a="1"/>
  <c r="T481" i="10" a="1"/>
  <c r="U332" i="10" a="1"/>
  <c r="Q364" i="10" a="1"/>
  <c r="R110" i="10" a="1"/>
  <c r="U397" i="10" a="1"/>
  <c r="T463" i="10" a="1"/>
  <c r="U445" i="10" a="1"/>
  <c r="T337" i="10" a="1"/>
  <c r="V284" i="10" a="1"/>
  <c r="Q315" i="10" a="1"/>
  <c r="R104" i="10" a="1"/>
  <c r="R438" i="10" a="1"/>
  <c r="P71" i="10" a="1"/>
  <c r="Q205" i="10" a="1"/>
  <c r="T315" i="10" a="1"/>
  <c r="V245" i="10" a="1"/>
  <c r="S57" i="9" a="1"/>
  <c r="S116" i="10" a="1"/>
  <c r="R61" i="10" a="1"/>
  <c r="V259" i="10" a="1"/>
  <c r="T317" i="10" a="1"/>
  <c r="V353" i="10" a="1"/>
  <c r="S5" i="10" a="1"/>
  <c r="T168" i="10" a="1"/>
  <c r="V312" i="10" a="1"/>
  <c r="T195" i="10" a="1"/>
  <c r="U201" i="10" a="1"/>
  <c r="S259" i="10" a="1"/>
  <c r="R155" i="10" a="1"/>
  <c r="R477" i="10" a="1"/>
  <c r="U138" i="10" a="1"/>
  <c r="V476" i="10" a="1"/>
  <c r="V358" i="10" a="1"/>
  <c r="U171" i="10" a="1"/>
  <c r="S426" i="10" a="1"/>
  <c r="T103" i="10" a="1"/>
  <c r="V119" i="9" a="1"/>
  <c r="U140" i="10" a="1"/>
  <c r="T34" i="10" a="1"/>
  <c r="S184" i="10" a="1"/>
  <c r="T295" i="10" a="1"/>
  <c r="U362" i="10" a="1"/>
  <c r="V472" i="10" a="1"/>
  <c r="R27" i="10" a="1"/>
  <c r="V238" i="10" a="1"/>
  <c r="V415" i="10" a="1"/>
  <c r="U315" i="10" a="1"/>
  <c r="V241" i="10" a="1"/>
  <c r="V313" i="10" a="1"/>
  <c r="T392" i="10" a="1"/>
  <c r="T309" i="10" a="1"/>
  <c r="U287" i="10" a="1"/>
  <c r="U215" i="10" a="1"/>
  <c r="V92" i="9" a="1"/>
  <c r="V42" i="10" a="1"/>
  <c r="U270" i="10" a="1"/>
  <c r="S197" i="10" a="1"/>
  <c r="S115" i="10" a="1"/>
  <c r="R114" i="10" a="1"/>
  <c r="T182" i="10" a="1"/>
  <c r="S487" i="10" a="1"/>
  <c r="Q259" i="10" a="1"/>
  <c r="T40" i="10" a="1"/>
  <c r="U162" i="9" a="1"/>
  <c r="S212" i="10" a="1"/>
  <c r="S290" i="10" a="1"/>
  <c r="R366" i="10" a="1"/>
  <c r="Q29" i="10" a="1"/>
  <c r="V287" i="10" a="1"/>
  <c r="T170" i="10" a="1"/>
  <c r="R154" i="10" a="1"/>
  <c r="R127" i="10" a="1"/>
  <c r="R406" i="10" a="1"/>
  <c r="T16" i="9" a="1"/>
  <c r="S413" i="10" a="1"/>
  <c r="S88" i="10" a="1"/>
  <c r="R39" i="10" a="1"/>
  <c r="R472" i="10" a="1"/>
  <c r="U393" i="10" a="1"/>
  <c r="T126" i="10" a="1"/>
  <c r="P322" i="10" a="1"/>
  <c r="U41" i="9" a="1"/>
  <c r="P466" i="10" a="1"/>
  <c r="T131" i="9" a="1"/>
  <c r="R417" i="10" a="1"/>
  <c r="R411" i="10" a="1"/>
  <c r="U234" i="10" a="1"/>
  <c r="S174" i="10" a="1"/>
  <c r="V239" i="10" a="1"/>
  <c r="U274" i="10" a="1"/>
  <c r="S207" i="10" a="1"/>
  <c r="S457" i="10" a="1"/>
  <c r="S137" i="10" a="1"/>
  <c r="T278" i="10" a="1"/>
  <c r="R43" i="10" a="1"/>
  <c r="R294" i="10" a="1"/>
  <c r="R393" i="10" a="1"/>
  <c r="T13" i="9" a="1"/>
  <c r="S6" i="10" a="1"/>
  <c r="Q2" i="10" a="1"/>
  <c r="Q355" i="10" a="1"/>
  <c r="U363" i="10" a="1"/>
  <c r="P39" i="10" a="1"/>
  <c r="Q453" i="10" a="1"/>
  <c r="S417" i="10" a="1"/>
  <c r="V104" i="10" a="1"/>
  <c r="T400" i="10" a="1"/>
  <c r="T235" i="10" a="1"/>
  <c r="P153" i="10" a="1"/>
  <c r="V431" i="10" a="1"/>
  <c r="S378" i="10" a="1"/>
  <c r="S2" i="10" a="1"/>
  <c r="T457" i="10" a="1"/>
  <c r="T382" i="10" a="1"/>
  <c r="R260" i="10" a="1"/>
  <c r="R116" i="10" a="1"/>
  <c r="Q42" i="10" a="1"/>
  <c r="Q286" i="10" a="1"/>
  <c r="T194" i="9" a="1"/>
  <c r="P436" i="10" a="1"/>
  <c r="S140" i="10" a="1"/>
  <c r="T388" i="10" a="1"/>
  <c r="V375" i="10" a="1"/>
  <c r="T48" i="10" a="1"/>
  <c r="T9" i="10" a="1"/>
  <c r="S33" i="10" a="1"/>
  <c r="U108" i="10" a="1"/>
  <c r="S373" i="10" a="1"/>
  <c r="R476" i="10" a="1"/>
  <c r="Q192" i="10" a="1"/>
  <c r="R488" i="10" a="1"/>
  <c r="R131" i="10" a="1"/>
  <c r="P24" i="10" a="1"/>
  <c r="S344" i="10" a="1"/>
  <c r="T330" i="10" a="1"/>
  <c r="S35" i="10" a="1"/>
  <c r="U478" i="10" a="1"/>
  <c r="Q20" i="10" a="1"/>
  <c r="R397" i="10" a="1"/>
  <c r="T50" i="10" a="1"/>
  <c r="S160" i="10" a="1"/>
  <c r="U305" i="10" a="1"/>
  <c r="T373" i="10" a="1"/>
  <c r="V102" i="9" a="1"/>
  <c r="Q341" i="10" a="1"/>
  <c r="S412" i="10" a="1"/>
  <c r="T78" i="9" a="1"/>
  <c r="T35" i="10" a="1"/>
  <c r="V93" i="10" a="1"/>
  <c r="T24" i="10" a="1"/>
  <c r="Q409" i="10" a="1"/>
  <c r="Q204" i="10" a="1"/>
  <c r="S449" i="10" a="1"/>
  <c r="R53" i="10" a="1"/>
  <c r="U125" i="10" a="1"/>
  <c r="V13" i="9" a="1"/>
  <c r="V376" i="10" a="1"/>
  <c r="V125" i="10" a="1"/>
  <c r="T211" i="10" a="1"/>
  <c r="S335" i="10" a="1"/>
  <c r="V116" i="9" a="1"/>
  <c r="V470" i="10" a="1"/>
  <c r="S421" i="10" a="1"/>
  <c r="V176" i="9" a="1"/>
  <c r="V147" i="9" a="1"/>
  <c r="U101" i="10" a="1"/>
  <c r="S419" i="10" a="1"/>
  <c r="T78" i="10" a="1"/>
  <c r="V274" i="10" a="1"/>
  <c r="V79" i="10" a="1"/>
  <c r="V307" i="10" a="1"/>
  <c r="T65" i="10" a="1"/>
  <c r="T49" i="10" a="1"/>
  <c r="U325" i="10" a="1"/>
  <c r="S61" i="10" a="1"/>
  <c r="S202" i="10" a="1"/>
  <c r="T277" i="10" a="1"/>
  <c r="T8" i="10" a="1"/>
  <c r="V385" i="10" a="1"/>
  <c r="T381" i="10" a="1"/>
  <c r="S411" i="10" a="1"/>
  <c r="V334" i="10" a="1"/>
  <c r="T483" i="10" a="1"/>
  <c r="T429" i="10" a="1"/>
  <c r="R485" i="10" a="1"/>
  <c r="Q471" i="10" a="1"/>
  <c r="R118" i="10" a="1"/>
  <c r="T68" i="9" a="1"/>
  <c r="U484" i="10" a="1"/>
  <c r="R24" i="10" a="1"/>
  <c r="Q437" i="10" a="1"/>
  <c r="Q419" i="10" a="1"/>
  <c r="T391" i="10" a="1"/>
  <c r="S423" i="10" a="1"/>
  <c r="Q81" i="10" a="1"/>
  <c r="Q52" i="10" a="1"/>
  <c r="S109" i="10" a="1"/>
  <c r="T395" i="10" a="1"/>
  <c r="U414" i="10" a="1"/>
  <c r="R302" i="10" a="1"/>
  <c r="Q40" i="10" a="1"/>
  <c r="Q11" i="10" a="1"/>
  <c r="T427" i="10" a="1"/>
  <c r="Q220" i="10" a="1"/>
  <c r="T123" i="9" a="1"/>
  <c r="T110" i="9" a="1"/>
  <c r="U26" i="9" a="1"/>
  <c r="S178" i="9" a="1"/>
  <c r="R115" i="10" a="1"/>
  <c r="P442" i="10" a="1"/>
  <c r="T128" i="10" a="1"/>
  <c r="U306" i="10" a="1"/>
  <c r="V302" i="10" a="1"/>
  <c r="T113" i="10" a="1"/>
  <c r="U313" i="10" a="1"/>
  <c r="R354" i="10" a="1"/>
  <c r="V27" i="9" a="1"/>
  <c r="S343" i="10" a="1"/>
  <c r="R368" i="10" a="1"/>
  <c r="Q313" i="10" a="1"/>
  <c r="S317" i="10" a="1"/>
  <c r="U158" i="10" a="1"/>
  <c r="S193" i="10" a="1"/>
  <c r="U310" i="10" a="1"/>
  <c r="T462" i="10" a="1"/>
  <c r="T247" i="10" a="1"/>
  <c r="P98" i="10" a="1"/>
  <c r="U401" i="10" a="1"/>
  <c r="S376" i="10" a="1"/>
  <c r="S256" i="10" a="1"/>
  <c r="S201" i="10" a="1"/>
  <c r="S150" i="10" a="1"/>
  <c r="P144" i="10" a="1"/>
  <c r="U451" i="10" a="1"/>
  <c r="T114" i="10" a="1"/>
  <c r="S200" i="10" a="1"/>
  <c r="S392" i="10" a="1"/>
  <c r="S466" i="10" a="1"/>
  <c r="Q482" i="10" a="1"/>
  <c r="P355" i="10" a="1"/>
  <c r="P302" i="10" a="1"/>
  <c r="Q343" i="10" a="1"/>
  <c r="R464" i="10" a="1"/>
  <c r="U93" i="10" a="1"/>
  <c r="V378" i="10" a="1"/>
  <c r="R208" i="10" a="1"/>
  <c r="S263" i="10" a="1"/>
  <c r="T304" i="10" a="1"/>
  <c r="U412" i="10" a="1"/>
  <c r="R197" i="10" a="1"/>
  <c r="S229" i="10" a="1"/>
  <c r="R150" i="10" a="1"/>
  <c r="U25" i="10" a="1"/>
  <c r="Q401" i="10" a="1"/>
  <c r="Q160" i="10" a="1"/>
  <c r="R317" i="10" a="1"/>
  <c r="U157" i="9" a="1"/>
  <c r="T77" i="10" a="1"/>
  <c r="S101" i="10" a="1"/>
  <c r="S298" i="10" a="1"/>
  <c r="S228" i="10" a="1"/>
  <c r="U207" i="10" a="1"/>
  <c r="Q183" i="10" a="1"/>
  <c r="R414" i="10" a="1"/>
  <c r="U50" i="10" a="1"/>
  <c r="T485" i="10" a="1"/>
  <c r="S237" i="10" a="1"/>
  <c r="T216" i="10" a="1"/>
  <c r="V254" i="10" a="1"/>
  <c r="Q3" i="10" a="1"/>
  <c r="S326" i="10" a="1"/>
  <c r="S352" i="10" a="1"/>
  <c r="T435" i="10" a="1"/>
  <c r="S177" i="10" a="1"/>
  <c r="T198" i="10" a="1"/>
  <c r="Q379" i="10" a="1"/>
  <c r="S367" i="10" a="1"/>
  <c r="S329" i="10" a="1"/>
  <c r="P161" i="10" a="1"/>
  <c r="Q357" i="10" a="1"/>
  <c r="V56" i="9" a="1"/>
  <c r="S72" i="10" a="1"/>
  <c r="T194" i="10" a="1"/>
  <c r="U56" i="10" a="1"/>
  <c r="T86" i="10" a="1"/>
  <c r="S332" i="10" a="1"/>
  <c r="Q289" i="10" a="1"/>
  <c r="U364" i="10" a="1"/>
  <c r="S46" i="10" a="1"/>
  <c r="S455" i="10" a="1"/>
  <c r="T301" i="10" a="1"/>
  <c r="U345" i="10" a="1"/>
  <c r="Q8" i="10" a="1"/>
  <c r="V285" i="10" a="1"/>
  <c r="S294" i="10" a="1"/>
  <c r="R17" i="10" a="1"/>
  <c r="Q46" i="10" a="1"/>
  <c r="R52" i="10" a="1"/>
  <c r="R6" i="10" a="1"/>
  <c r="P360" i="10" a="1"/>
  <c r="V6" i="10" a="1"/>
  <c r="T364" i="10" a="1"/>
  <c r="R263" i="10" a="1"/>
  <c r="R470" i="10" a="1"/>
  <c r="R35" i="10" a="1"/>
  <c r="S216" i="10" a="1"/>
  <c r="P83" i="10" a="1"/>
  <c r="U71" i="10" a="1"/>
  <c r="V160" i="9" a="1"/>
  <c r="V148" i="10" a="1"/>
  <c r="V204" i="10" a="1"/>
  <c r="U223" i="10" a="1"/>
  <c r="V449" i="10" a="1"/>
  <c r="T246" i="10" a="1"/>
  <c r="V69" i="9" a="1"/>
  <c r="U442" i="10" a="1"/>
  <c r="S153" i="10" a="1"/>
  <c r="U262" i="10" a="1"/>
  <c r="T188" i="10" a="1"/>
  <c r="U324" i="10" a="1"/>
  <c r="U129" i="10" a="1"/>
  <c r="U2" i="10" a="1"/>
  <c r="U449" i="10" a="1"/>
  <c r="S98" i="10" a="1"/>
  <c r="V365" i="10" a="1"/>
  <c r="T474" i="10" a="1"/>
  <c r="S288" i="10" a="1"/>
  <c r="V44" i="10" a="1"/>
  <c r="T243" i="10" a="1"/>
  <c r="S67" i="10" a="1"/>
  <c r="V311" i="10" a="1"/>
  <c r="S166" i="10" a="1"/>
  <c r="S18" i="10" a="1"/>
  <c r="U206" i="10" a="1"/>
  <c r="S454" i="10" a="1"/>
  <c r="S182" i="10" a="1"/>
  <c r="T413" i="10" a="1"/>
  <c r="Q149" i="10" a="1"/>
  <c r="S146" i="10" a="1"/>
  <c r="R134" i="10" a="1"/>
  <c r="V15" i="10" a="1"/>
  <c r="S198" i="10" a="1"/>
  <c r="Q216" i="10" a="1"/>
  <c r="U27" i="10" a="1"/>
  <c r="P372" i="10" a="1"/>
  <c r="R98" i="10" a="1"/>
  <c r="R225" i="10" a="1"/>
  <c r="Q158" i="10" a="1"/>
  <c r="Q129" i="10" a="1"/>
  <c r="R73" i="10" a="1"/>
  <c r="R373" i="10" a="1"/>
  <c r="T479" i="10" a="1"/>
  <c r="R415" i="10" a="1"/>
  <c r="Q382" i="10" a="1"/>
  <c r="Q144" i="10" a="1"/>
  <c r="R232" i="10" a="1"/>
  <c r="U123" i="9" a="1"/>
  <c r="S273" i="10" a="1"/>
  <c r="S120" i="9" a="1"/>
  <c r="R276" i="10" a="1"/>
  <c r="R136" i="9" a="1"/>
  <c r="S58" i="10" a="1"/>
  <c r="U392" i="10" a="1"/>
  <c r="V331" i="10" a="1"/>
  <c r="S203" i="10" a="1"/>
  <c r="T419" i="10" a="1"/>
  <c r="S77" i="10" a="1"/>
  <c r="T487" i="10" a="1"/>
  <c r="R112" i="10" a="1"/>
  <c r="V363" i="10" a="1"/>
  <c r="R243" i="10" a="1"/>
  <c r="Q365" i="10" a="1"/>
  <c r="Q351" i="10" a="1"/>
  <c r="Q215" i="10" a="1"/>
  <c r="U413" i="10" a="1"/>
  <c r="R183" i="10" a="1"/>
  <c r="S301" i="10" a="1"/>
  <c r="S257" i="10" a="1"/>
  <c r="S204" i="10" a="1"/>
  <c r="P475" i="10" a="1"/>
  <c r="S27" i="10" a="1"/>
  <c r="T210" i="10" a="1"/>
  <c r="R221" i="10" a="1"/>
  <c r="R176" i="10" a="1"/>
  <c r="R22" i="10" a="1"/>
  <c r="U53" i="9" a="1"/>
  <c r="S234" i="10" a="1"/>
  <c r="S149" i="10" a="1"/>
  <c r="R458" i="10" a="1"/>
  <c r="R427" i="10" a="1"/>
  <c r="U203" i="10" a="1"/>
  <c r="S70" i="10" a="1"/>
  <c r="P126" i="10" a="1"/>
  <c r="P423" i="10" a="1"/>
  <c r="P287" i="10" a="1"/>
  <c r="P102" i="10" a="1"/>
  <c r="R475" i="10" a="1"/>
  <c r="U415" i="10" a="1"/>
  <c r="T7" i="10" a="1"/>
  <c r="U76" i="10" a="1"/>
  <c r="S103" i="10" a="1"/>
  <c r="S138" i="10" a="1"/>
  <c r="R247" i="10" a="1"/>
  <c r="S147" i="10" a="1"/>
  <c r="U284" i="10" a="1"/>
  <c r="T326" i="10" a="1"/>
  <c r="U159" i="10" a="1"/>
  <c r="Q346" i="10" a="1"/>
  <c r="R125" i="10" a="1"/>
  <c r="T130" i="9" a="1"/>
  <c r="U488" i="10" a="1"/>
  <c r="R105" i="10" a="1"/>
  <c r="R268" i="10" a="1"/>
  <c r="S480" i="10" a="1"/>
  <c r="S20" i="10" a="1"/>
  <c r="P254" i="10" a="1"/>
  <c r="Q34" i="10" a="1"/>
  <c r="V41" i="9" a="1"/>
  <c r="S287" i="10" a="1"/>
  <c r="R156" i="10" a="1"/>
  <c r="S438" i="10" a="1"/>
  <c r="T263" i="10" a="1"/>
  <c r="Q284" i="10" a="1"/>
  <c r="Q240" i="10" a="1"/>
  <c r="T138" i="10" a="1"/>
  <c r="S242" i="10" a="1"/>
  <c r="S472" i="10" a="1"/>
  <c r="S119" i="10" a="1"/>
  <c r="U460" i="10" a="1"/>
  <c r="Q82" i="10" a="1"/>
  <c r="Q396" i="10" a="1"/>
  <c r="P482" i="10" a="1"/>
  <c r="V164" i="9" a="1"/>
  <c r="T426" i="10" a="1"/>
  <c r="V156" i="9" a="1"/>
  <c r="V325" i="10" a="1"/>
  <c r="V141" i="10" a="1"/>
  <c r="V232" i="10" a="1"/>
  <c r="V26" i="9" a="1"/>
  <c r="V464" i="10" a="1"/>
  <c r="V275" i="10" a="1"/>
  <c r="T303" i="10" a="1"/>
  <c r="V146" i="10" a="1"/>
  <c r="V128" i="9" a="1"/>
  <c r="U373" i="10" a="1"/>
  <c r="V188" i="10" a="1"/>
  <c r="T437" i="10" a="1"/>
  <c r="T2" i="10" a="1"/>
  <c r="V154" i="9" a="1"/>
  <c r="S473" i="10" a="1"/>
  <c r="T144" i="10" a="1"/>
  <c r="S31" i="10" a="1"/>
  <c r="V322" i="10" a="1"/>
  <c r="V306" i="10" a="1"/>
  <c r="V340" i="10" a="1"/>
  <c r="S360" i="10" a="1"/>
  <c r="V468" i="10" a="1"/>
  <c r="S105" i="10" a="1"/>
  <c r="V43" i="9" a="1"/>
  <c r="V386" i="10" a="1"/>
  <c r="T5" i="10" a="1"/>
  <c r="U183" i="10" a="1"/>
  <c r="R454" i="10" a="1"/>
  <c r="S365" i="10" a="1"/>
  <c r="T279" i="10" a="1"/>
  <c r="R295" i="10" a="1"/>
  <c r="S131" i="10" a="1"/>
  <c r="S306" i="10" a="1"/>
  <c r="S471" i="10" a="1"/>
  <c r="U111" i="10" a="1"/>
  <c r="T203" i="10" a="1"/>
  <c r="T148" i="9" a="1"/>
  <c r="T253" i="10" a="1"/>
  <c r="Q43" i="10" a="1"/>
  <c r="Q413" i="10" a="1"/>
  <c r="Q317" i="10" a="1"/>
  <c r="Q350" i="10" a="1"/>
  <c r="V373" i="10" a="1"/>
  <c r="S295" i="10" a="1"/>
  <c r="U322" i="10" a="1"/>
  <c r="U355" i="10" a="1"/>
  <c r="U131" i="10" a="1"/>
  <c r="R202" i="10" a="1"/>
  <c r="R45" i="10" a="1"/>
  <c r="R403" i="10" a="1"/>
  <c r="S94" i="10" a="1"/>
  <c r="P72" i="10" a="1"/>
  <c r="P51" i="10" a="1"/>
  <c r="Q195" i="10" a="1"/>
  <c r="Q92" i="10" a="1"/>
  <c r="S339" i="10" a="1"/>
  <c r="U424" i="10" a="1"/>
  <c r="U302" i="10" a="1"/>
  <c r="V220" i="10" a="1"/>
  <c r="S322" i="10" a="1"/>
  <c r="U467" i="10" a="1"/>
  <c r="T196" i="10" a="1"/>
  <c r="V308" i="10" a="1"/>
  <c r="V250" i="10" a="1"/>
  <c r="V41" i="10" a="1"/>
  <c r="Q427" i="10" a="1"/>
  <c r="U60" i="10" a="1"/>
  <c r="S7" i="10" a="1"/>
  <c r="R381" i="10" a="1"/>
  <c r="R353" i="10" a="1"/>
  <c r="R209" i="10" a="1"/>
  <c r="U134" i="9" a="1"/>
  <c r="V354" i="10" a="1"/>
  <c r="S277" i="10" a="1"/>
  <c r="R422" i="10" a="1"/>
  <c r="R386" i="10" a="1"/>
  <c r="R300" i="10" a="1"/>
  <c r="S142" i="10" a="1"/>
  <c r="U469" i="10" a="1"/>
  <c r="R143" i="10" a="1"/>
  <c r="R419" i="10" a="1"/>
  <c r="R349" i="10" a="1"/>
  <c r="S132" i="10" a="1"/>
  <c r="Q404" i="10" a="1"/>
  <c r="U182" i="9" a="1"/>
  <c r="U153" i="9" a="1"/>
  <c r="P397" i="10" a="1"/>
  <c r="R49" i="9" a="1"/>
  <c r="U170" i="10" a="1"/>
  <c r="U187" i="10" a="1"/>
  <c r="U107" i="10" a="1"/>
  <c r="U459" i="10" a="1"/>
  <c r="U399" i="10" a="1"/>
  <c r="S424" i="10" a="1"/>
  <c r="Q110" i="10" a="1"/>
  <c r="U377" i="10" a="1"/>
  <c r="S55" i="10" a="1"/>
  <c r="S366" i="10" a="1"/>
  <c r="T281" i="10" a="1"/>
  <c r="V108" i="9" a="1"/>
  <c r="Q212" i="10" a="1"/>
  <c r="V244" i="10" a="1"/>
  <c r="S97" i="10" a="1"/>
  <c r="R340" i="10" a="1"/>
  <c r="R357" i="10" a="1"/>
  <c r="R222" i="10" a="1"/>
  <c r="S226" i="10" a="1"/>
  <c r="P282" i="10" a="1"/>
  <c r="P152" i="10" a="1"/>
  <c r="T390" i="10" a="1"/>
  <c r="R374" i="10" a="1"/>
  <c r="R365" i="10" a="1"/>
  <c r="R124" i="10" a="1"/>
  <c r="S336" i="10" a="1"/>
  <c r="P314" i="10" a="1"/>
  <c r="Q430" i="10" a="1"/>
  <c r="T158" i="10" a="1"/>
  <c r="R211" i="10" a="1"/>
  <c r="R360" i="10" a="1"/>
  <c r="S404" i="10" a="1"/>
  <c r="S162" i="10" a="1"/>
  <c r="T241" i="10" a="1"/>
  <c r="P481" i="10" a="1"/>
  <c r="U143" i="9" a="1"/>
  <c r="U173" i="10" a="1"/>
  <c r="U44" i="10" a="1"/>
  <c r="T386" i="10" a="1"/>
  <c r="U182" i="10" a="1"/>
  <c r="T256" i="10" a="1"/>
  <c r="R15" i="10" a="1"/>
  <c r="T252" i="10" a="1"/>
  <c r="V184" i="10" a="1"/>
  <c r="S45" i="10" a="1"/>
  <c r="R388" i="10" a="1"/>
  <c r="R418" i="10" a="1"/>
  <c r="R297" i="10" a="1"/>
  <c r="S304" i="10" a="1"/>
  <c r="P27" i="10" a="1"/>
  <c r="T285" i="10" a="1"/>
  <c r="V420" i="10" a="1"/>
  <c r="T4" i="10" a="1"/>
  <c r="Q311" i="10" a="1"/>
  <c r="Q94" i="10" a="1"/>
  <c r="T484" i="10" a="1"/>
  <c r="T135" i="9" a="1"/>
  <c r="V37" i="10" a="1"/>
  <c r="R4" i="10" a="1"/>
  <c r="U448" i="10" a="1"/>
  <c r="Q102" i="10" a="1"/>
  <c r="Q227" i="10" a="1"/>
  <c r="V128" i="10" a="1"/>
  <c r="U173" i="9" a="1"/>
  <c r="T422" i="10" a="1"/>
  <c r="S418" i="10" a="1"/>
  <c r="Q78" i="10" a="1"/>
  <c r="Q194" i="10" a="1"/>
  <c r="Q88" i="10" a="1"/>
  <c r="T430" i="10" a="1"/>
  <c r="T89" i="10" a="1"/>
  <c r="Q21" i="10" a="1"/>
  <c r="R437" i="10" a="1"/>
  <c r="T190" i="9" a="1"/>
  <c r="P440" i="10" a="1"/>
  <c r="U50" i="9" a="1"/>
  <c r="S355" i="10" a="1"/>
  <c r="Q281" i="10" a="1"/>
  <c r="V447" i="10" a="1"/>
  <c r="S21" i="10" a="1"/>
  <c r="U191" i="10" a="1"/>
  <c r="V169" i="9" a="1"/>
  <c r="T16" i="10" a="1"/>
  <c r="T325" i="10" a="1"/>
  <c r="V205" i="9" a="1"/>
  <c r="T201" i="10" a="1"/>
  <c r="U280" i="10" a="1"/>
  <c r="R249" i="10" a="1"/>
  <c r="R145" i="10" a="1"/>
  <c r="S389" i="10" a="1"/>
  <c r="T471" i="10" a="1"/>
  <c r="P181" i="10" a="1"/>
  <c r="T469" i="10" a="1"/>
  <c r="S316" i="10" a="1"/>
  <c r="V7" i="10" a="1"/>
  <c r="Q294" i="10" a="1"/>
  <c r="Q233" i="10" a="1"/>
  <c r="R265" i="10" a="1"/>
  <c r="U35" i="9" a="1"/>
  <c r="U427" i="10" a="1"/>
  <c r="S245" i="10" a="1"/>
  <c r="Q39" i="10" a="1"/>
  <c r="Q261" i="10" a="1"/>
  <c r="R296" i="10" a="1"/>
  <c r="R301" i="10" a="1"/>
  <c r="P449" i="10" a="1"/>
  <c r="V103" i="10" a="1"/>
  <c r="S435" i="10" a="1"/>
  <c r="R463" i="10" a="1"/>
  <c r="Q292" i="10" a="1"/>
  <c r="R426" i="10" a="1"/>
  <c r="U391" i="10" a="1"/>
  <c r="Q47" i="10" a="1"/>
  <c r="T328" i="10" a="1"/>
  <c r="T174" i="10" a="1"/>
  <c r="T14" i="9" a="1"/>
  <c r="P273" i="10" a="1"/>
  <c r="P70" i="10" a="1"/>
  <c r="U207" i="9" a="1"/>
  <c r="R322" i="10" a="1"/>
  <c r="T50" i="9" a="1"/>
  <c r="U175" i="10" a="1"/>
  <c r="T249" i="10" a="1"/>
  <c r="T461" i="10" a="1"/>
  <c r="U209" i="10" a="1"/>
  <c r="S173" i="10" a="1"/>
  <c r="V120" i="10" a="1"/>
  <c r="V188" i="9" a="1"/>
  <c r="U36" i="10" a="1"/>
  <c r="T266" i="10" a="1"/>
  <c r="R58" i="10" a="1"/>
  <c r="R203" i="10" a="1"/>
  <c r="P386" i="10" a="1"/>
  <c r="Q395" i="10" a="1"/>
  <c r="T23" i="10" a="1"/>
  <c r="R76" i="10" a="1"/>
  <c r="P258" i="10" a="1"/>
  <c r="R248" i="10" a="1"/>
  <c r="R325" i="10" a="1"/>
  <c r="P422" i="10" a="1"/>
  <c r="T181" i="10" a="1"/>
  <c r="U250" i="10" a="1"/>
  <c r="T140" i="10" a="1"/>
  <c r="P462" i="10" a="1"/>
  <c r="R7" i="10" a="1"/>
  <c r="R320" i="10" a="1"/>
  <c r="Q57" i="10" a="1"/>
  <c r="V471" i="10" a="1"/>
  <c r="T384" i="10" a="1"/>
  <c r="S282" i="10" a="1"/>
  <c r="S363" i="10" a="1"/>
  <c r="Q121" i="10" a="1"/>
  <c r="R46" i="10" a="1"/>
  <c r="R242" i="10" a="1"/>
  <c r="S96" i="10" a="1"/>
  <c r="Q214" i="10" a="1"/>
  <c r="T308" i="10" a="1"/>
  <c r="T55" i="10" a="1"/>
  <c r="U342" i="10" a="1"/>
  <c r="R13" i="10" a="1"/>
  <c r="V72" i="9" a="1"/>
  <c r="S196" i="10" a="1"/>
  <c r="Q116" i="10" a="1"/>
  <c r="T120" i="10" a="1"/>
  <c r="Q123" i="10" a="1"/>
  <c r="P307" i="10" a="1"/>
  <c r="U189" i="9" a="1"/>
  <c r="U103" i="9" a="1"/>
  <c r="U12" i="9" a="1"/>
  <c r="Q27" i="10" a="1"/>
  <c r="V175" i="9" a="1"/>
  <c r="S95" i="10" a="1"/>
  <c r="U190" i="10" a="1"/>
  <c r="T83" i="10" a="1"/>
  <c r="Q113" i="10" a="1"/>
  <c r="R288" i="10" a="1"/>
  <c r="S453" i="10" a="1"/>
  <c r="Q61" i="10" a="1"/>
  <c r="Q76" i="10" a="1"/>
  <c r="T418" i="10" a="1"/>
  <c r="R290" i="10" a="1"/>
  <c r="S129" i="10" a="1"/>
  <c r="R224" i="10" a="1"/>
  <c r="R484" i="10" a="1"/>
  <c r="S112" i="10" a="1"/>
  <c r="S375" i="10" a="1"/>
  <c r="R387" i="10" a="1"/>
  <c r="Q172" i="10" a="1"/>
  <c r="Q474" i="10" a="1"/>
  <c r="T402" i="10" a="1"/>
  <c r="R316" i="10" a="1"/>
  <c r="Q393" i="10" a="1"/>
  <c r="S199" i="10" a="1"/>
  <c r="P339" i="10" a="1"/>
  <c r="P478" i="10" a="1"/>
  <c r="Q422" i="10" a="1"/>
  <c r="P12" i="10" a="1"/>
  <c r="S99" i="10" a="1"/>
  <c r="S211" i="10" a="1"/>
  <c r="U231" i="10" a="1"/>
  <c r="V384" i="10" a="1"/>
  <c r="S176" i="10" a="1"/>
  <c r="S437" i="10" a="1"/>
  <c r="T15" i="10" a="1"/>
  <c r="T202" i="10" a="1"/>
  <c r="R47" i="10" a="1"/>
  <c r="R8" i="10" a="1"/>
  <c r="S52" i="10" a="1"/>
  <c r="P103" i="10" a="1"/>
  <c r="S143" i="10" a="1"/>
  <c r="R68" i="10" a="1"/>
  <c r="V65" i="9" a="1"/>
  <c r="Q287" i="10" a="1"/>
  <c r="Q18" i="10" a="1"/>
  <c r="R453" i="10" a="1"/>
  <c r="U145" i="9" a="1"/>
  <c r="T102" i="10" a="1"/>
  <c r="S278" i="10" a="1"/>
  <c r="Q254" i="10" a="1"/>
  <c r="Q197" i="10" a="1"/>
  <c r="R364" i="10" a="1"/>
  <c r="R88" i="10" a="1"/>
  <c r="P402" i="10" a="1"/>
  <c r="U151" i="10" a="1"/>
  <c r="S186" i="10" a="1"/>
  <c r="R332" i="10" a="1"/>
  <c r="Q120" i="10" a="1"/>
  <c r="R372" i="10" a="1"/>
  <c r="S210" i="10" a="1"/>
  <c r="Q201" i="10" a="1"/>
  <c r="S351" i="10" a="1"/>
  <c r="T470" i="10" a="1"/>
  <c r="T3" i="9" a="1"/>
  <c r="P202" i="10" a="1"/>
  <c r="P146" i="10" a="1"/>
  <c r="T9" i="9" a="1"/>
  <c r="P61" i="10" a="1"/>
  <c r="R96" i="10" a="1"/>
  <c r="U58" i="9" a="1"/>
  <c r="P306" i="10" a="1"/>
  <c r="Q211" i="10" a="1"/>
  <c r="U196" i="9" a="1"/>
  <c r="R182" i="10" a="1"/>
  <c r="T134" i="9" a="1"/>
  <c r="U57" i="10" a="1"/>
  <c r="U167" i="9" a="1"/>
  <c r="P136" i="10" a="1"/>
  <c r="Q321" i="10" a="1"/>
  <c r="U11" i="9" a="1"/>
  <c r="S488" i="10" a="1"/>
  <c r="U89" i="9" a="1"/>
  <c r="T17" i="9" a="1"/>
  <c r="U61" i="9" a="1"/>
  <c r="P85" i="10" a="1"/>
  <c r="S51" i="10" a="1"/>
  <c r="P124" i="10" a="1"/>
  <c r="T335" i="10" a="1"/>
  <c r="P380" i="10" a="1"/>
  <c r="U200" i="9" a="1"/>
  <c r="P250" i="10" a="1"/>
  <c r="Q293" i="10" a="1"/>
  <c r="T152" i="9" a="1"/>
  <c r="Q135" i="10" a="1"/>
  <c r="T161" i="9" a="1"/>
  <c r="R147" i="9" a="1"/>
  <c r="S154" i="10" a="1"/>
  <c r="P176" i="9" a="1"/>
  <c r="R184" i="9" a="1"/>
  <c r="P139" i="9" a="1"/>
  <c r="S54" i="9" a="1"/>
  <c r="P114" i="10" a="1"/>
  <c r="S215" i="10" a="1"/>
  <c r="P20" i="9" a="1"/>
  <c r="U32" i="9" a="1"/>
  <c r="Q326" i="10" a="1"/>
  <c r="S197" i="9" a="1"/>
  <c r="R178" i="9" a="1"/>
  <c r="P55" i="9" a="1"/>
  <c r="P421" i="10" a="1"/>
  <c r="Q187" i="9" a="1"/>
  <c r="Q128" i="10" a="1"/>
  <c r="P426" i="10" a="1"/>
  <c r="P219" i="10" a="1"/>
  <c r="R389" i="10" a="1"/>
  <c r="P22" i="10" a="1"/>
  <c r="S368" i="10" a="1"/>
  <c r="U19" i="9" a="1"/>
  <c r="T11" i="9" a="1"/>
  <c r="P409" i="10" a="1"/>
  <c r="P127" i="10" a="1"/>
  <c r="S77" i="9" a="1"/>
  <c r="V371" i="10" a="1"/>
  <c r="U267" i="10" a="1"/>
  <c r="V419" i="10" a="1"/>
  <c r="T42" i="10" a="1"/>
  <c r="U218" i="10" a="1"/>
  <c r="Q159" i="10" a="1"/>
  <c r="R33" i="10" a="1"/>
  <c r="V337" i="10" a="1"/>
  <c r="Q356" i="10" a="1"/>
  <c r="V197" i="9" a="1"/>
  <c r="T292" i="10" a="1"/>
  <c r="U248" i="10" a="1"/>
  <c r="V48" i="10" a="1"/>
  <c r="U434" i="10" a="1"/>
  <c r="T124" i="9" a="1"/>
  <c r="V9" i="9" a="1"/>
  <c r="S361" i="10" a="1"/>
  <c r="S247" i="10" a="1"/>
  <c r="V94" i="9" a="1"/>
  <c r="P446" i="10" a="1"/>
  <c r="S463" i="10" a="1"/>
  <c r="V101" i="9" a="1"/>
  <c r="S436" i="10" a="1"/>
  <c r="U17" i="10" a="1"/>
  <c r="R443" i="10" a="1"/>
  <c r="T123" i="10" a="1"/>
  <c r="U480" i="10" a="1"/>
  <c r="R56" i="10" a="1"/>
  <c r="T43" i="10" a="1"/>
  <c r="R106" i="10" a="1"/>
  <c r="S10" i="10" a="1"/>
  <c r="Q303" i="10" a="1"/>
  <c r="S289" i="10" a="1"/>
  <c r="S299" i="10" a="1"/>
  <c r="Q407" i="10" a="1"/>
  <c r="T361" i="10" a="1"/>
  <c r="R149" i="10" a="1"/>
  <c r="Q465" i="10" a="1"/>
  <c r="S152" i="10" a="1"/>
  <c r="R328" i="10" a="1"/>
  <c r="U188" i="9" a="1"/>
  <c r="U447" i="10" a="1"/>
  <c r="S12" i="9" a="1"/>
  <c r="T81" i="10" a="1"/>
  <c r="P205" i="10" a="1"/>
  <c r="U389" i="10" a="1"/>
  <c r="V341" i="10" a="1"/>
  <c r="T362" i="10" a="1"/>
  <c r="S348" i="10" a="1"/>
  <c r="U99" i="10" a="1"/>
  <c r="T197" i="10" a="1"/>
  <c r="R146" i="10" a="1"/>
  <c r="Q475" i="10" a="1"/>
  <c r="P239" i="10" a="1"/>
  <c r="T327" i="10" a="1"/>
  <c r="T385" i="10" a="1"/>
  <c r="R122" i="10" a="1"/>
  <c r="S224" i="10" a="1"/>
  <c r="Q372" i="10" a="1"/>
  <c r="R217" i="10" a="1"/>
  <c r="R420" i="10" a="1"/>
  <c r="Q207" i="10" a="1"/>
  <c r="P74" i="10" a="1"/>
  <c r="S239" i="10" a="1"/>
  <c r="S331" i="10" a="1"/>
  <c r="Q330" i="10" a="1"/>
  <c r="T297" i="10" a="1"/>
  <c r="T156" i="10" a="1"/>
  <c r="U40" i="9" a="1"/>
  <c r="S43" i="9" a="1"/>
  <c r="U154" i="9" a="1"/>
  <c r="U344" i="10" a="1"/>
  <c r="Q363" i="10" a="1"/>
  <c r="V160" i="10" a="1"/>
  <c r="V114" i="10" a="1"/>
  <c r="T228" i="10" a="1"/>
  <c r="V134" i="10" a="1"/>
  <c r="R173" i="10" a="1"/>
  <c r="R30" i="10" a="1"/>
  <c r="S318" i="10" a="1"/>
  <c r="R424" i="10" a="1"/>
  <c r="R402" i="10" a="1"/>
  <c r="S325" i="10" a="1"/>
  <c r="P354" i="10" a="1"/>
  <c r="S53" i="10" a="1"/>
  <c r="U195" i="10" a="1"/>
  <c r="T186" i="10" a="1"/>
  <c r="V466" i="10" a="1"/>
  <c r="Q91" i="10" a="1"/>
  <c r="S328" i="10" a="1"/>
  <c r="T51" i="9" a="1"/>
  <c r="T73" i="10" a="1"/>
  <c r="V4" i="10" a="1"/>
  <c r="T169" i="10" a="1"/>
  <c r="Q370" i="10" a="1"/>
  <c r="Q168" i="10" a="1"/>
  <c r="T275" i="10" a="1"/>
  <c r="T28" i="9" a="1"/>
  <c r="S410" i="10" a="1"/>
  <c r="R79" i="10" a="1"/>
  <c r="V207" i="9" a="1"/>
  <c r="Q31" i="10" a="1"/>
  <c r="Q89" i="10" a="1"/>
  <c r="R186" i="10" a="1"/>
  <c r="S43" i="10" a="1"/>
  <c r="Q179" i="10" a="1"/>
  <c r="R383" i="10" a="1"/>
  <c r="S20" i="9" a="1"/>
  <c r="U82" i="9" a="1"/>
  <c r="T41" i="9" a="1"/>
  <c r="U245" i="10" a="1"/>
  <c r="Q269" i="10" a="1"/>
  <c r="Q449" i="10" a="1"/>
  <c r="T88" i="9" a="1"/>
  <c r="U5" i="9" a="1"/>
  <c r="P263" i="10" a="1"/>
  <c r="T74" i="10" a="1"/>
  <c r="U226" i="10" a="1"/>
  <c r="R355" i="10" a="1"/>
  <c r="R77" i="10" a="1"/>
  <c r="T189" i="9" a="1"/>
  <c r="U146" i="10" a="1"/>
  <c r="U429" i="10" a="1"/>
  <c r="U374" i="10" a="1"/>
  <c r="V136" i="10" a="1"/>
  <c r="U193" i="10" a="1"/>
  <c r="Q423" i="10" a="1"/>
  <c r="S312" i="10" a="1"/>
  <c r="R41" i="10" a="1"/>
  <c r="Q406" i="10" a="1"/>
  <c r="V141" i="9" a="1"/>
  <c r="R21" i="10" a="1"/>
  <c r="R37" i="10" a="1"/>
  <c r="R164" i="10" a="1"/>
  <c r="R170" i="10" a="1"/>
  <c r="T57" i="9" a="1"/>
  <c r="V155" i="9" a="1"/>
  <c r="R23" i="10" a="1"/>
  <c r="Q222" i="10" a="1"/>
  <c r="S476" i="10" a="1"/>
  <c r="V133" i="9" a="1"/>
  <c r="R70" i="10" a="1"/>
  <c r="V456" i="10" a="1"/>
  <c r="V77" i="9" a="1"/>
  <c r="T99" i="10" a="1"/>
  <c r="T130" i="10" a="1"/>
  <c r="R18" i="10" a="1"/>
  <c r="S384" i="10" a="1"/>
  <c r="Q464" i="10" a="1"/>
  <c r="S220" i="10" a="1"/>
  <c r="Q122" i="10" a="1"/>
  <c r="R371" i="10" a="1"/>
  <c r="V310" i="10" a="1"/>
  <c r="R351" i="10" a="1"/>
  <c r="R429" i="10" a="1"/>
  <c r="P398" i="10" a="1"/>
  <c r="T306" i="10" a="1"/>
  <c r="R344" i="10" a="1"/>
  <c r="S178" i="10" a="1"/>
  <c r="V276" i="10" a="1"/>
  <c r="P110" i="10" a="1"/>
  <c r="U372" i="10" a="1"/>
  <c r="Q83" i="10" a="1"/>
  <c r="Q455" i="10" a="1"/>
  <c r="R162" i="10" a="1"/>
  <c r="U180" i="9" a="1"/>
  <c r="U196" i="10" a="1"/>
  <c r="T448" i="10" a="1"/>
  <c r="S19" i="10" a="1"/>
  <c r="S461" i="10" a="1"/>
  <c r="U319" i="10" a="1"/>
  <c r="S114" i="10" a="1"/>
  <c r="Q369" i="10" a="1"/>
  <c r="U340" i="10" a="1"/>
  <c r="U171" i="9" a="1"/>
  <c r="S400" i="10" a="1"/>
  <c r="R165" i="10" a="1"/>
  <c r="R352" i="10" a="1"/>
  <c r="Q352" i="10" a="1"/>
  <c r="V416" i="10" a="1"/>
  <c r="S78" i="10" a="1"/>
  <c r="R341" i="10" a="1"/>
  <c r="U483" i="10" a="1"/>
  <c r="P133" i="10" a="1"/>
  <c r="V477" i="10" a="1"/>
  <c r="R102" i="10" a="1"/>
  <c r="T450" i="10" a="1"/>
  <c r="S65" i="10" a="1"/>
  <c r="R323" i="10" a="1"/>
  <c r="T67" i="9" a="1"/>
  <c r="R336" i="10" a="1"/>
  <c r="U263" i="10" a="1"/>
  <c r="S118" i="10" a="1"/>
  <c r="P204" i="10" a="1"/>
  <c r="V45" i="10" a="1"/>
  <c r="U184" i="10" a="1"/>
  <c r="T454" i="10" a="1"/>
  <c r="T226" i="10" a="1"/>
  <c r="R467" i="10" a="1"/>
  <c r="T61" i="10" a="1"/>
  <c r="R285" i="10" a="1"/>
  <c r="Q51" i="10" a="1"/>
  <c r="R375" i="10" a="1"/>
  <c r="R280" i="10" a="1"/>
  <c r="U55" i="9" a="1"/>
  <c r="U115" i="10" a="1"/>
  <c r="T441" i="10" a="1"/>
  <c r="S433" i="10" a="1"/>
  <c r="T393" i="10" a="1"/>
  <c r="V370" i="10" a="1"/>
  <c r="Q304" i="10" a="1"/>
  <c r="S244" i="10" a="1"/>
  <c r="S470" i="10" a="1"/>
  <c r="T383" i="10" a="1"/>
  <c r="S106" i="10" a="1"/>
  <c r="T91" i="10" a="1"/>
  <c r="Q232" i="10" a="1"/>
  <c r="R303" i="10" a="1"/>
  <c r="T79" i="10" a="1"/>
  <c r="S86" i="10" a="1"/>
  <c r="U441" i="10" a="1"/>
  <c r="T166" i="10" a="1"/>
  <c r="V97" i="9" a="1"/>
  <c r="Q386" i="10" a="1"/>
  <c r="U12" i="10" a="1"/>
  <c r="R448" i="10" a="1"/>
  <c r="P390" i="10" a="1"/>
  <c r="Q112" i="10" a="1"/>
  <c r="T434" i="10" a="1"/>
  <c r="S38" i="10" a="1"/>
  <c r="S161" i="9" a="1"/>
  <c r="R40" i="10" a="1"/>
  <c r="P389" i="10" a="1"/>
  <c r="T115" i="9" a="1"/>
  <c r="T329" i="10" a="1"/>
  <c r="T34" i="9" a="1"/>
  <c r="P291" i="10" a="1"/>
  <c r="R36" i="10" a="1"/>
  <c r="R66" i="10" a="1"/>
  <c r="Q469" i="10" a="1"/>
  <c r="Q245" i="10" a="1"/>
  <c r="V163" i="9" a="1"/>
  <c r="U195" i="9" a="1"/>
  <c r="S132" i="9" a="1"/>
  <c r="S275" i="10" a="1"/>
  <c r="S232" i="10" a="1"/>
  <c r="Q72" i="10" a="1"/>
  <c r="R394" i="10" a="1"/>
  <c r="S121" i="9" a="1"/>
  <c r="U46" i="9" a="1"/>
  <c r="T94" i="9" a="1"/>
  <c r="V262" i="10" a="1"/>
  <c r="V100" i="9" a="1"/>
  <c r="R335" i="10" a="1"/>
  <c r="R87" i="10" a="1"/>
  <c r="T187" i="9" a="1"/>
  <c r="P130" i="10" a="1"/>
  <c r="P155" i="10" a="1"/>
  <c r="S171" i="10" a="1"/>
  <c r="Q206" i="10" a="1"/>
  <c r="P25" i="10" a="1"/>
  <c r="T23" i="9" a="1"/>
  <c r="Q202" i="9" a="1"/>
  <c r="Q179" i="9" a="1"/>
  <c r="V16" i="9" a="1"/>
  <c r="T254" i="10" a="1"/>
  <c r="T369" i="10" a="1"/>
  <c r="U132" i="10" a="1"/>
  <c r="V170" i="9" a="1"/>
  <c r="U387" i="10" a="1"/>
  <c r="T121" i="10" a="1"/>
  <c r="T230" i="10" a="1"/>
  <c r="R471" i="10" a="1"/>
  <c r="V280" i="10" a="1"/>
  <c r="T302" i="10" a="1"/>
  <c r="R284" i="10" a="1"/>
  <c r="Q274" i="10" a="1"/>
  <c r="Q19" i="10" a="1"/>
  <c r="R473" i="10" a="1"/>
  <c r="U360" i="10" a="1"/>
  <c r="S192" i="10" a="1"/>
  <c r="Q161" i="10" a="1"/>
  <c r="R272" i="10" a="1"/>
  <c r="S90" i="10" a="1"/>
  <c r="T114" i="9" a="1"/>
  <c r="S76" i="10" a="1"/>
  <c r="U227" i="10" a="1"/>
  <c r="T107" i="10" a="1"/>
  <c r="U205" i="10" a="1"/>
  <c r="R312" i="10" a="1"/>
  <c r="R348" i="10" a="1"/>
  <c r="P190" i="10" a="1"/>
  <c r="T352" i="10" a="1"/>
  <c r="T82" i="10" a="1"/>
  <c r="R191" i="10" a="1"/>
  <c r="S359" i="10" a="1"/>
  <c r="T424" i="10" a="1"/>
  <c r="Q477" i="10" a="1"/>
  <c r="T177" i="9" a="1"/>
  <c r="T104" i="10" a="1"/>
  <c r="T94" i="10" a="1"/>
  <c r="R161" i="10" a="1"/>
  <c r="R123" i="10" a="1"/>
  <c r="P441" i="10" a="1"/>
  <c r="Q136" i="10" a="1"/>
  <c r="P21" i="10" a="1"/>
  <c r="S59" i="9" a="1"/>
  <c r="U384" i="10" a="1"/>
  <c r="V82" i="9" a="1"/>
  <c r="V218" i="10" a="1"/>
  <c r="T271" i="10" a="1"/>
  <c r="V174" i="9" a="1"/>
  <c r="T145" i="10" a="1"/>
  <c r="S269" i="10" a="1"/>
  <c r="R283" i="10" a="1"/>
  <c r="U311" i="10" a="1"/>
  <c r="S314" i="10" a="1"/>
  <c r="U352" i="10" a="1"/>
  <c r="U5" i="10" a="1"/>
  <c r="R380" i="10" a="1"/>
  <c r="Q279" i="10" a="1"/>
  <c r="P117" i="10" a="1"/>
  <c r="U309" i="10" a="1"/>
  <c r="R90" i="10" a="1"/>
  <c r="Q398" i="10" a="1"/>
  <c r="T305" i="10" a="1"/>
  <c r="U69" i="9" a="1"/>
  <c r="V219" i="10" a="1"/>
  <c r="V186" i="10" a="1"/>
  <c r="S262" i="10" a="1"/>
  <c r="S460" i="10" a="1"/>
  <c r="P244" i="10" a="1"/>
  <c r="R436" i="10" a="1"/>
  <c r="Q151" i="10" a="1"/>
  <c r="U60" i="9" a="1"/>
  <c r="Q229" i="10" a="1"/>
  <c r="V347" i="10" a="1"/>
  <c r="T118" i="10" a="1"/>
  <c r="U116" i="10" a="1"/>
  <c r="S231" i="10" a="1"/>
  <c r="S164" i="10" a="1"/>
  <c r="V397" i="10" a="1"/>
  <c r="T119" i="10" a="1"/>
  <c r="Q307" i="10" a="1"/>
  <c r="Q479" i="10" a="1"/>
  <c r="Q23" i="10" a="1"/>
  <c r="T378" i="10" a="1"/>
  <c r="T85" i="9" a="1"/>
  <c r="V433" i="10" a="1"/>
  <c r="S225" i="10" a="1"/>
  <c r="R120" i="10" a="1"/>
  <c r="S403" i="10" a="1"/>
  <c r="T396" i="10" a="1"/>
  <c r="Q417" i="10" a="1"/>
  <c r="Q163" i="10" a="1"/>
  <c r="T32" i="10" a="1"/>
  <c r="S172" i="10" a="1"/>
  <c r="S393" i="10" a="1"/>
  <c r="S49" i="10" a="1"/>
  <c r="U316" i="10" a="1"/>
  <c r="Q239" i="10" a="1"/>
  <c r="R163" i="10" a="1"/>
  <c r="U15" i="10" a="1"/>
  <c r="T467" i="10" a="1"/>
  <c r="S386" i="10" a="1"/>
  <c r="T401" i="10" a="1"/>
  <c r="V429" i="10" a="1"/>
  <c r="R289" i="10" a="1"/>
  <c r="Q71" i="10" a="1"/>
  <c r="P213" i="10" a="1"/>
  <c r="P185" i="10" a="1"/>
  <c r="R449" i="10" a="1"/>
  <c r="P196" i="10" a="1"/>
  <c r="R163" i="9" a="1"/>
  <c r="S241" i="10" a="1"/>
  <c r="Q131" i="9" a="1"/>
  <c r="Q33" i="10" a="1"/>
  <c r="R456" i="10" a="1"/>
  <c r="S61" i="9" a="1"/>
  <c r="P485" i="10" a="1"/>
  <c r="S477" i="10" a="1"/>
  <c r="R138" i="10" a="1"/>
  <c r="P105" i="10" a="1"/>
  <c r="V67" i="9" a="1"/>
  <c r="V65" i="10" a="1"/>
  <c r="V372" i="10" a="1"/>
  <c r="U312" i="10" a="1"/>
  <c r="U42" i="10" a="1"/>
  <c r="R287" i="10" a="1"/>
  <c r="T33" i="10" a="1"/>
  <c r="T447" i="10" a="1"/>
  <c r="R11" i="10" a="1"/>
  <c r="T217" i="10" a="1"/>
  <c r="T258" i="10" a="1"/>
  <c r="R193" i="10" a="1"/>
  <c r="Q260" i="10" a="1"/>
  <c r="Q402" i="10" a="1"/>
  <c r="Q76" i="9" a="1"/>
  <c r="R270" i="10" a="1"/>
  <c r="T222" i="10" a="1"/>
  <c r="R307" i="10" a="1"/>
  <c r="Q85" i="10" a="1"/>
  <c r="R413" i="10" a="1"/>
  <c r="Q329" i="10" a="1"/>
  <c r="V40" i="10" a="1"/>
  <c r="T445" i="10" a="1"/>
  <c r="S161" i="10" a="1"/>
  <c r="S464" i="10" a="1"/>
  <c r="T357" i="10" a="1"/>
  <c r="Q55" i="10" a="1"/>
  <c r="V132" i="10" a="1"/>
  <c r="R78" i="10" a="1"/>
  <c r="R54" i="10" a="1"/>
  <c r="P174" i="10" a="1"/>
  <c r="U273" i="10" a="1"/>
  <c r="R109" i="10" a="1"/>
  <c r="T286" i="10" a="1"/>
  <c r="Q219" i="10" a="1"/>
  <c r="S330" i="10" a="1"/>
  <c r="R204" i="10" a="1"/>
  <c r="R199" i="10" a="1"/>
  <c r="Q228" i="10" a="1"/>
  <c r="U204" i="10" a="1"/>
  <c r="P111" i="10" a="1"/>
  <c r="P80" i="10" a="1"/>
  <c r="Q190" i="9" a="1"/>
  <c r="R324" i="10" a="1"/>
  <c r="V333" i="10" a="1"/>
  <c r="U21" i="10" a="1"/>
  <c r="T148" i="10" a="1"/>
  <c r="T209" i="10" a="1"/>
  <c r="R185" i="10" a="1"/>
  <c r="T115" i="10" a="1"/>
  <c r="U404" i="10" a="1"/>
  <c r="S87" i="10" a="1"/>
  <c r="T75" i="10" a="1"/>
  <c r="U300" i="10" a="1"/>
  <c r="S475" i="10" a="1"/>
  <c r="Q257" i="10" a="1"/>
  <c r="T129" i="10" a="1"/>
  <c r="P484" i="10" a="1"/>
  <c r="U329" i="10" a="1"/>
  <c r="R99" i="10" a="1"/>
  <c r="T465" i="10" a="1"/>
  <c r="S395" i="10" a="1"/>
  <c r="R95" i="10" a="1"/>
  <c r="T433" i="10" a="1"/>
  <c r="S291" i="10" a="1"/>
  <c r="R228" i="10" a="1"/>
  <c r="R250" i="10" a="1"/>
  <c r="U127" i="9" a="1"/>
  <c r="P260" i="10" a="1"/>
  <c r="P240" i="10" a="1"/>
  <c r="R75" i="9" a="1"/>
  <c r="T294" i="10" a="1"/>
  <c r="U347" i="10" a="1"/>
  <c r="V229" i="10" a="1"/>
  <c r="U236" i="10" a="1"/>
  <c r="V177" i="10" a="1"/>
  <c r="R3" i="10" a="1"/>
  <c r="T207" i="10" a="1"/>
  <c r="S382" i="10" a="1"/>
  <c r="T85" i="10" a="1"/>
  <c r="T10" i="10" a="1"/>
  <c r="Q448" i="10" a="1"/>
  <c r="R278" i="10" a="1"/>
  <c r="T284" i="10" a="1"/>
  <c r="T442" i="10" a="1"/>
  <c r="R342" i="10" a="1"/>
  <c r="R299" i="10" a="1"/>
  <c r="R89" i="10" a="1"/>
  <c r="S300" i="10" a="1"/>
  <c r="P296" i="10" a="1"/>
  <c r="Q381" i="10" a="1"/>
  <c r="T51" i="10" a="1"/>
  <c r="R158" i="10" a="1"/>
  <c r="R311" i="10" a="1"/>
  <c r="S311" i="10" a="1"/>
  <c r="S91" i="10" a="1"/>
  <c r="P271" i="10" a="1"/>
  <c r="Q80" i="10" a="1"/>
  <c r="V134" i="9" a="1"/>
  <c r="S347" i="10" a="1"/>
  <c r="R192" i="10" a="1"/>
  <c r="S248" i="10" a="1"/>
  <c r="T316" i="10" a="1"/>
  <c r="Q460" i="10" a="1"/>
  <c r="P332" i="10" a="1"/>
  <c r="U147" i="9" a="1"/>
  <c r="P369" i="10" a="1"/>
  <c r="Q362" i="10" a="1"/>
  <c r="T79" i="9" a="1"/>
  <c r="S93" i="10" a="1"/>
  <c r="Q164" i="10" a="1"/>
  <c r="R346" i="10" a="1"/>
  <c r="P107" i="10" a="1"/>
  <c r="Q253" i="10" a="1"/>
  <c r="T200" i="10" a="1"/>
  <c r="U217" i="10" a="1"/>
  <c r="Q125" i="10" a="1"/>
  <c r="Q456" i="10" a="1"/>
  <c r="P331" i="10" a="1"/>
  <c r="P168" i="10" a="1"/>
  <c r="Q182" i="10" a="1"/>
  <c r="P434" i="10" a="1"/>
  <c r="Q47" i="9" a="1"/>
  <c r="R395" i="10" a="1"/>
  <c r="Q141" i="10" a="1"/>
  <c r="P391" i="10" a="1"/>
  <c r="P113" i="10" a="1"/>
  <c r="R171" i="10" a="1"/>
  <c r="P265" i="10" a="1"/>
  <c r="R192" i="9" a="1"/>
  <c r="S209" i="10" a="1"/>
  <c r="S414" i="10" a="1"/>
  <c r="P125" i="10" a="1"/>
  <c r="Q335" i="10" a="1"/>
  <c r="R190" i="10" a="1"/>
  <c r="Q203" i="10" a="1"/>
  <c r="R3" i="9" a="1"/>
  <c r="Q280" i="10" a="1"/>
  <c r="P225" i="10" a="1"/>
  <c r="S127" i="9" a="1"/>
  <c r="S142" i="9" a="1"/>
  <c r="P28" i="9" a="1"/>
  <c r="U34" i="9" a="1"/>
  <c r="R446" i="10" a="1"/>
  <c r="Q140" i="10" a="1"/>
  <c r="T2" i="9" a="1"/>
  <c r="P63" i="10" a="1"/>
  <c r="P438" i="10" a="1"/>
  <c r="T259" i="10" a="1"/>
  <c r="R164" i="9" a="1"/>
  <c r="T72" i="9" a="1"/>
  <c r="S202" i="9" a="1"/>
  <c r="P188" i="9" a="1"/>
  <c r="P293" i="10" a="1"/>
  <c r="Q44" i="10" a="1"/>
  <c r="Q224" i="10" a="1"/>
  <c r="R234" i="10" a="1"/>
  <c r="S38" i="9" a="1"/>
  <c r="U100" i="9" a="1"/>
  <c r="R85" i="10" a="1"/>
  <c r="R326" i="10" a="1"/>
  <c r="P285" i="10" a="1"/>
  <c r="P159" i="10" a="1"/>
  <c r="R350" i="10" a="1"/>
  <c r="Q414" i="10" a="1"/>
  <c r="R13" i="9" a="1"/>
  <c r="T333" i="10" a="1"/>
  <c r="U85" i="10" a="1"/>
  <c r="P30" i="10" a="1"/>
  <c r="P350" i="10" a="1"/>
  <c r="T15" i="9" a="1"/>
  <c r="U59" i="9" a="1"/>
  <c r="P135" i="10" a="1"/>
  <c r="S441" i="10" a="1"/>
  <c r="T468" i="10" a="1"/>
  <c r="Q157" i="10" a="1"/>
  <c r="R153" i="10" a="1"/>
  <c r="S100" i="9" a="1"/>
  <c r="U28" i="9" a="1"/>
  <c r="T55" i="9" a="1"/>
  <c r="V382" i="10" a="1"/>
  <c r="Q412" i="10" a="1"/>
  <c r="R310" i="10" a="1"/>
  <c r="S405" i="10" a="1"/>
  <c r="T18" i="9" a="1"/>
  <c r="P334" i="10" a="1"/>
  <c r="P383" i="10" a="1"/>
  <c r="V108" i="10" a="1"/>
  <c r="Q196" i="10" a="1"/>
  <c r="T338" i="10" a="1"/>
  <c r="T312" i="10" a="1"/>
  <c r="U163" i="9" a="1"/>
  <c r="P256" i="10" a="1"/>
  <c r="Q432" i="10" a="1"/>
  <c r="U191" i="9" a="1"/>
  <c r="Q438" i="10" a="1"/>
  <c r="R198" i="10" a="1"/>
  <c r="P471" i="10" a="1"/>
  <c r="R30" i="9" a="1"/>
  <c r="P126" i="9" a="1"/>
  <c r="R119" i="9" a="1"/>
  <c r="Q170" i="9" a="1"/>
  <c r="S89" i="9" a="1"/>
  <c r="Q100" i="10" a="1"/>
  <c r="R76" i="9" a="1"/>
  <c r="P36" i="9" a="1"/>
  <c r="Q184" i="10" a="1"/>
  <c r="Q109" i="9" a="1"/>
  <c r="Q288" i="10" a="1"/>
  <c r="P343" i="10" a="1"/>
  <c r="R201" i="10" a="1"/>
  <c r="S465" i="10" a="1"/>
  <c r="T90" i="9" a="1"/>
  <c r="P429" i="10" a="1"/>
  <c r="T53" i="10" a="1"/>
  <c r="V51" i="9" a="1"/>
  <c r="P121" i="10" a="1"/>
  <c r="Q387" i="10" a="1"/>
  <c r="S155" i="10" a="1"/>
  <c r="S260" i="10" a="1"/>
  <c r="S200" i="9" a="1"/>
  <c r="S338" i="10" a="1"/>
  <c r="R129" i="10" a="1"/>
  <c r="Q344" i="10" a="1"/>
  <c r="Q237" i="10" a="1"/>
  <c r="S134" i="9" a="1"/>
  <c r="U198" i="9" a="1"/>
  <c r="S14" i="9" a="1"/>
  <c r="R29" i="10" a="1"/>
  <c r="S123" i="10" a="1"/>
  <c r="Q118" i="10" a="1"/>
  <c r="R321" i="10" a="1"/>
  <c r="S3" i="9" a="1"/>
  <c r="U64" i="9" a="1"/>
  <c r="T6" i="9" a="1"/>
  <c r="Q348" i="10" a="1"/>
  <c r="U151" i="9" a="1"/>
  <c r="P477" i="10" a="1"/>
  <c r="S49" i="9" a="1"/>
  <c r="P3" i="9" a="1"/>
  <c r="P123" i="9" a="1"/>
  <c r="T152" i="10" a="1"/>
  <c r="P140" i="9" a="1"/>
  <c r="P38" i="9" a="1"/>
  <c r="Q282" i="10" a="1"/>
  <c r="U118" i="9" a="1"/>
  <c r="Q172" i="9" a="1"/>
  <c r="S55" i="9" a="1"/>
  <c r="Q470" i="10" a="1"/>
  <c r="U158" i="9" a="1"/>
  <c r="Q77" i="9" a="1"/>
  <c r="S167" i="9" a="1"/>
  <c r="R474" i="10" a="1"/>
  <c r="U179" i="9" a="1"/>
  <c r="P411" i="10" a="1"/>
  <c r="V80" i="10" a="1"/>
  <c r="T14" i="10" a="1"/>
  <c r="Q4" i="10" a="1"/>
  <c r="R308" i="10" a="1"/>
  <c r="U463" i="10" a="1"/>
  <c r="U91" i="9" a="1"/>
  <c r="R254" i="10" a="1"/>
  <c r="Q454" i="10" a="1"/>
  <c r="R412" i="10" a="1"/>
  <c r="R93" i="10" a="1"/>
  <c r="S310" i="10" a="1"/>
  <c r="Q13" i="10" a="1"/>
  <c r="V12" i="10" a="1"/>
  <c r="V394" i="10" a="1"/>
  <c r="S431" i="10" a="1"/>
  <c r="V75" i="10" a="1"/>
  <c r="P300" i="10" a="1"/>
  <c r="S371" i="10" a="1"/>
  <c r="S315" i="10" a="1"/>
  <c r="R442" i="10" a="1"/>
  <c r="P49" i="10" a="1"/>
  <c r="U52" i="9" a="1"/>
  <c r="Q238" i="10" a="1"/>
  <c r="T178" i="10" a="1"/>
  <c r="P345" i="10" a="1"/>
  <c r="T58" i="9" a="1"/>
  <c r="T33" i="9" a="1"/>
  <c r="U84" i="9" a="1"/>
  <c r="Q278" i="10" a="1"/>
  <c r="P289" i="10" a="1"/>
  <c r="P100" i="10" a="1"/>
  <c r="P132" i="9" a="1"/>
  <c r="T88" i="10" a="1"/>
  <c r="P167" i="9" a="1"/>
  <c r="U70" i="9" a="1"/>
  <c r="R208" i="9" a="1"/>
  <c r="T80" i="9" a="1"/>
  <c r="P330" i="10" a="1"/>
  <c r="P131" i="9" a="1"/>
  <c r="Q340" i="10" a="1"/>
  <c r="P40" i="10" a="1"/>
  <c r="U115" i="9" a="1"/>
  <c r="S60" i="10" a="1"/>
  <c r="T452" i="10" a="1"/>
  <c r="P467" i="10" a="1"/>
  <c r="T208" i="9" a="1"/>
  <c r="U101" i="9" a="1"/>
  <c r="U21" i="9" a="1"/>
  <c r="Q73" i="10" a="1"/>
  <c r="U137" i="9" a="1"/>
  <c r="S191" i="10" a="1"/>
  <c r="Q28" i="10" a="1"/>
  <c r="S279" i="10" a="1"/>
  <c r="P179" i="10" a="1"/>
  <c r="Q97" i="10" a="1"/>
  <c r="P178" i="10" a="1"/>
  <c r="P78" i="10" a="1"/>
  <c r="Q285" i="10" a="1"/>
  <c r="T204" i="10" a="1"/>
  <c r="T22" i="9" a="1"/>
  <c r="S483" i="10" a="1"/>
  <c r="P317" i="10" a="1"/>
  <c r="P266" i="10" a="1"/>
  <c r="Q391" i="10" a="1"/>
  <c r="R42" i="10" a="1"/>
  <c r="S293" i="10" a="1"/>
  <c r="R329" i="10" a="1"/>
  <c r="P321" i="10" a="1"/>
  <c r="P270" i="10" a="1"/>
  <c r="P199" i="10" a="1"/>
  <c r="U160" i="9" a="1"/>
  <c r="R304" i="10" a="1"/>
  <c r="T163" i="9" a="1"/>
  <c r="Q8" i="9" a="1"/>
  <c r="P66" i="9" a="1"/>
  <c r="P62" i="9" a="1"/>
  <c r="S138" i="9" a="1"/>
  <c r="T38" i="9" a="1"/>
  <c r="S195" i="10" a="1"/>
  <c r="P201" i="10" a="1"/>
  <c r="P243" i="10" a="1"/>
  <c r="T113" i="9" a="1"/>
  <c r="S46" i="9" a="1"/>
  <c r="T158" i="9" a="1"/>
  <c r="P84" i="10" a="1"/>
  <c r="Q32" i="10" a="1"/>
  <c r="S444" i="10" a="1"/>
  <c r="P408" i="10" a="1"/>
  <c r="Q368" i="10" a="1"/>
  <c r="Q187" i="10" a="1"/>
  <c r="P393" i="10" a="1"/>
  <c r="Q137" i="10" a="1"/>
  <c r="R83" i="10" a="1"/>
  <c r="T116" i="9" a="1"/>
  <c r="V488" i="10" a="1"/>
  <c r="P90" i="10" a="1"/>
  <c r="P387" i="10" a="1"/>
  <c r="Q463" i="10" a="1"/>
  <c r="Q75" i="10" a="1"/>
  <c r="S79" i="10" a="1"/>
  <c r="R431" i="10" a="1"/>
  <c r="P11" i="10" a="1"/>
  <c r="P191" i="10" a="1"/>
  <c r="P120" i="10" a="1"/>
  <c r="P29" i="10" a="1"/>
  <c r="P222" i="10" a="1"/>
  <c r="T172" i="9" a="1"/>
  <c r="Q17" i="9" a="1"/>
  <c r="R269" i="10" a="1"/>
  <c r="P208" i="9" a="1"/>
  <c r="S183" i="9" a="1"/>
  <c r="P226" i="10" a="1"/>
  <c r="Q181" i="10" a="1"/>
  <c r="Q162" i="9" a="1"/>
  <c r="P82" i="9" a="1"/>
  <c r="S106" i="9" a="1"/>
  <c r="S44" i="9" a="1"/>
  <c r="Q84" i="9" a="1"/>
  <c r="R29" i="9" a="1"/>
  <c r="T451" i="10" a="1"/>
  <c r="V111" i="10" a="1"/>
  <c r="T197" i="9" a="1"/>
  <c r="P385" i="10" a="1"/>
  <c r="S214" i="10" a="1"/>
  <c r="T238" i="10" a="1"/>
  <c r="P299" i="10" a="1"/>
  <c r="Q384" i="10" a="1"/>
  <c r="S307" i="10" a="1"/>
  <c r="R74" i="10" a="1"/>
  <c r="S155" i="9" a="1"/>
  <c r="R5" i="10" a="1"/>
  <c r="R128" i="10" a="1"/>
  <c r="P4" i="10" a="1"/>
  <c r="Q30" i="10" a="1"/>
  <c r="U61" i="10" a="1"/>
  <c r="U185" i="9" a="1"/>
  <c r="S16" i="9" a="1"/>
  <c r="U251" i="10" a="1"/>
  <c r="S254" i="10" a="1"/>
  <c r="Q273" i="10" a="1"/>
  <c r="R465" i="10" a="1"/>
  <c r="S84" i="9" a="1"/>
  <c r="U9" i="9" a="1"/>
  <c r="T63" i="9" a="1"/>
  <c r="S297" i="10" a="1"/>
  <c r="T139" i="9" a="1"/>
  <c r="U14" i="9" a="1"/>
  <c r="S47" i="9" a="1"/>
  <c r="P110" i="9" a="1"/>
  <c r="Q78" i="9" a="1"/>
  <c r="Q337" i="10" a="1"/>
  <c r="Q434" i="10" a="1"/>
  <c r="P117" i="9" a="1"/>
  <c r="P43" i="10" a="1"/>
  <c r="S272" i="10" a="1"/>
  <c r="S364" i="10" a="1"/>
  <c r="S337" i="10" a="1"/>
  <c r="P15" i="10" a="1"/>
  <c r="T37" i="9" a="1"/>
  <c r="Q107" i="9" a="1"/>
  <c r="Q110" i="9" a="1"/>
  <c r="S185" i="10" a="1"/>
  <c r="P464" i="10" a="1"/>
  <c r="P147" i="10" a="1"/>
  <c r="Q143" i="10" a="1"/>
  <c r="U155" i="9" a="1"/>
  <c r="R409" i="10" a="1"/>
  <c r="T81" i="9" a="1"/>
  <c r="T154" i="9" a="1"/>
  <c r="U190" i="9" a="1"/>
  <c r="P341" i="10" a="1"/>
  <c r="Q210" i="10" a="1"/>
  <c r="P472" i="10" a="1"/>
  <c r="S429" i="10" a="1"/>
  <c r="U37" i="9" a="1"/>
  <c r="T31" i="9" a="1"/>
  <c r="P460" i="10" a="1"/>
  <c r="P163" i="10" a="1"/>
  <c r="V257" i="10" a="1"/>
  <c r="Q299" i="10" a="1"/>
  <c r="T116" i="10" a="1"/>
  <c r="P137" i="10" a="1"/>
  <c r="U30" i="9" a="1"/>
  <c r="P392" i="10" a="1"/>
  <c r="Q451" i="10" a="1"/>
  <c r="T142" i="9" a="1"/>
  <c r="R305" i="10" a="1"/>
  <c r="U140" i="9" a="1"/>
  <c r="R126" i="9" a="1"/>
  <c r="U278" i="10" a="1"/>
  <c r="P105" i="9" a="1"/>
  <c r="R60" i="9" a="1"/>
  <c r="P29" i="9" a="1"/>
  <c r="S203" i="9" a="1"/>
  <c r="R107" i="10" a="1"/>
  <c r="Q467" i="10" a="1"/>
  <c r="S52" i="9" a="1"/>
  <c r="P180" i="9" a="1"/>
  <c r="Q99" i="10" a="1"/>
  <c r="S181" i="9" a="1"/>
  <c r="R157" i="9" a="1"/>
  <c r="Q63" i="9" a="1"/>
  <c r="Q9" i="10" a="1"/>
  <c r="T307" i="10" a="1"/>
  <c r="U159" i="9" a="1"/>
  <c r="P8" i="9" a="1"/>
  <c r="P11" i="9" a="1"/>
  <c r="S110" i="9" a="1"/>
  <c r="R63" i="9" a="1"/>
  <c r="Q48" i="9" a="1"/>
  <c r="P37" i="9" a="1"/>
  <c r="S442" i="10" a="1"/>
  <c r="S63" i="9" a="1"/>
  <c r="R87" i="9" a="1"/>
  <c r="Q68" i="9" a="1"/>
  <c r="P204" i="9" a="1"/>
  <c r="Q4" i="9" a="1"/>
  <c r="S70" i="9" a="1"/>
  <c r="Q146" i="10" a="1"/>
  <c r="R167" i="10" a="1"/>
  <c r="R120" i="9" a="1"/>
  <c r="T83" i="9" a="1"/>
  <c r="S164" i="9" a="1"/>
  <c r="P181" i="9" a="1"/>
  <c r="Q301" i="10" a="1"/>
  <c r="R238" i="10" a="1"/>
  <c r="V366" i="10" a="1"/>
  <c r="P189" i="9" a="1"/>
  <c r="R122" i="9" a="1"/>
  <c r="P136" i="9" a="1"/>
  <c r="S252" i="10" a="1"/>
  <c r="U260" i="10" a="1"/>
  <c r="S149" i="9" a="1"/>
  <c r="T52" i="9" a="1"/>
  <c r="U283" i="10" a="1"/>
  <c r="P31" i="9" a="1"/>
  <c r="R138" i="9" a="1"/>
  <c r="U194" i="9" a="1"/>
  <c r="R168" i="10" a="1"/>
  <c r="R84" i="9" a="1"/>
  <c r="T47" i="9" a="1"/>
  <c r="S201" i="9" a="1"/>
  <c r="P203" i="9" a="1"/>
  <c r="R369" i="10" a="1"/>
  <c r="Q96" i="9" a="1"/>
  <c r="P453" i="10" a="1"/>
  <c r="Q151" i="9" a="1"/>
  <c r="Q150" i="10" a="1"/>
  <c r="R277" i="10" a="1"/>
  <c r="P119" i="10" a="1"/>
  <c r="R114" i="9" a="1"/>
  <c r="P93" i="9" a="1"/>
  <c r="Q104" i="9" a="1"/>
  <c r="P166" i="10" a="1"/>
  <c r="R306" i="10" a="1"/>
  <c r="S377" i="10" a="1"/>
  <c r="S401" i="10" a="1"/>
  <c r="Q152" i="10" a="1"/>
  <c r="R175" i="10" a="1"/>
  <c r="R319" i="10" a="1"/>
  <c r="S268" i="10" a="1"/>
  <c r="Q165" i="10" a="1"/>
  <c r="S381" i="10" a="1"/>
  <c r="S64" i="10" a="1"/>
  <c r="Q366" i="10" a="1"/>
  <c r="U341" i="10" a="1"/>
  <c r="Q252" i="10" a="1"/>
  <c r="T111" i="10" a="1"/>
  <c r="S134" i="10" a="1"/>
  <c r="R119" i="10" a="1"/>
  <c r="S54" i="10" a="1"/>
  <c r="P188" i="10" a="1"/>
  <c r="R213" i="10" a="1"/>
  <c r="P64" i="10" a="1"/>
  <c r="Q473" i="10" a="1"/>
  <c r="R178" i="10" a="1"/>
  <c r="R74" i="9" a="1"/>
  <c r="R358" i="10" a="1"/>
  <c r="Q336" i="10" a="1"/>
  <c r="T139" i="10" a="1"/>
  <c r="S447" i="10" a="1"/>
  <c r="Q403" i="10" a="1"/>
  <c r="S175" i="9" a="1"/>
  <c r="S37" i="9" a="1"/>
  <c r="R67" i="9" a="1"/>
  <c r="S119" i="9" a="1"/>
  <c r="P194" i="9" a="1"/>
  <c r="P76" i="9" a="1"/>
  <c r="P198" i="9" a="1"/>
  <c r="Q19" i="9" a="1"/>
  <c r="S73" i="10" a="1"/>
  <c r="R190" i="9" a="1"/>
  <c r="T202" i="9" a="1"/>
  <c r="Q144" i="9" a="1"/>
  <c r="S11" i="9" a="1"/>
  <c r="U3" i="9" a="1"/>
  <c r="T20" i="9" a="1"/>
  <c r="V22" i="10" a="1"/>
  <c r="R159" i="10" a="1"/>
  <c r="T11" i="10" a="1"/>
  <c r="T239" i="10" a="1"/>
  <c r="Q66" i="10" a="1"/>
  <c r="T363" i="10" a="1"/>
  <c r="S406" i="10" a="1"/>
  <c r="Q154" i="10" a="1"/>
  <c r="Q6" i="10" a="1"/>
  <c r="Q162" i="10" a="1"/>
  <c r="R434" i="10" a="1"/>
  <c r="T318" i="10" a="1"/>
  <c r="R327" i="10" a="1"/>
  <c r="P365" i="10" a="1"/>
  <c r="P342" i="10" a="1"/>
  <c r="P50" i="10" a="1"/>
  <c r="P96" i="10" a="1"/>
  <c r="T313" i="10" a="1"/>
  <c r="T299" i="10" a="1"/>
  <c r="P450" i="10" a="1"/>
  <c r="P362" i="10" a="1"/>
  <c r="P245" i="10" a="1"/>
  <c r="T198" i="9" a="1"/>
  <c r="R396" i="10" a="1"/>
  <c r="R460" i="10" a="1"/>
  <c r="U22" i="9" a="1"/>
  <c r="P414" i="10" a="1"/>
  <c r="P415" i="10" a="1"/>
  <c r="S36" i="9" a="1"/>
  <c r="P267" i="10" a="1"/>
  <c r="S158" i="9" a="1"/>
  <c r="R245" i="10" a="1"/>
  <c r="P58" i="9" a="1"/>
  <c r="P447" i="10" a="1"/>
  <c r="T61" i="9" a="1"/>
  <c r="S15" i="9" a="1"/>
  <c r="T466" i="10" a="1"/>
  <c r="S194" i="10" a="1"/>
  <c r="U202" i="10" a="1"/>
  <c r="S240" i="10" a="1"/>
  <c r="R9" i="9" a="1"/>
  <c r="P359" i="10" a="1"/>
  <c r="Q308" i="10" a="1"/>
  <c r="Q353" i="10" a="1"/>
  <c r="Q322" i="10" a="1"/>
  <c r="T108" i="10" a="1"/>
  <c r="S264" i="10" a="1"/>
  <c r="P488" i="10" a="1"/>
  <c r="P224" i="10" a="1"/>
  <c r="P367" i="10" a="1"/>
  <c r="P370" i="10" a="1"/>
  <c r="T163" i="10" a="1"/>
  <c r="S233" i="10" a="1"/>
  <c r="P406" i="10" a="1"/>
  <c r="P109" i="10" a="1"/>
  <c r="P361" i="10" a="1"/>
  <c r="P394" i="10" a="1"/>
  <c r="V428" i="10" a="1"/>
  <c r="Q268" i="10" a="1"/>
  <c r="U129" i="9" a="1"/>
  <c r="U79" i="9" a="1"/>
  <c r="P31" i="10" a="1"/>
  <c r="S162" i="9" a="1"/>
  <c r="P337" i="10" a="1"/>
  <c r="R88" i="9" a="1"/>
  <c r="Q101" i="10" a="1"/>
  <c r="R137" i="9" a="1"/>
  <c r="S97" i="9" a="1"/>
  <c r="S144" i="9" a="1"/>
  <c r="R124" i="9" a="1"/>
  <c r="R206" i="10" a="1"/>
  <c r="R216" i="10" a="1"/>
  <c r="R462" i="10" a="1"/>
  <c r="Q111" i="10" a="1"/>
  <c r="R116" i="9" a="1"/>
  <c r="P30" i="9" a="1"/>
  <c r="Q113" i="9" a="1"/>
  <c r="U144" i="9" a="1"/>
  <c r="R60" i="10" a="1"/>
  <c r="V414" i="10" a="1"/>
  <c r="U146" i="9" a="1"/>
  <c r="R298" i="10" a="1"/>
  <c r="Q270" i="10" a="1"/>
  <c r="P416" i="10" a="1"/>
  <c r="P241" i="10" a="1"/>
  <c r="Q106" i="10" a="1"/>
  <c r="P228" i="10" a="1"/>
  <c r="Q22" i="9" a="1"/>
  <c r="R2" i="10" a="1"/>
  <c r="R244" i="10" a="1"/>
  <c r="P140" i="10" a="1"/>
  <c r="P3" i="10" a="1"/>
  <c r="R86" i="10" a="1"/>
  <c r="Q217" i="10" a="1"/>
  <c r="R92" i="9" a="1"/>
  <c r="T376" i="10" a="1"/>
  <c r="U199" i="10" a="1"/>
  <c r="P193" i="10" a="1"/>
  <c r="Q478" i="10" a="1"/>
  <c r="S26" i="10" a="1"/>
  <c r="R72" i="10" a="1"/>
  <c r="S188" i="9" a="1"/>
  <c r="P301" i="10" a="1"/>
  <c r="Q56" i="10" a="1"/>
  <c r="S112" i="9" a="1"/>
  <c r="U54" i="9" a="1"/>
  <c r="Q88" i="9" a="1"/>
  <c r="S169" i="9" a="1"/>
  <c r="R15" i="9" a="1"/>
  <c r="U472" i="10" a="1"/>
  <c r="Q148" i="9" a="1"/>
  <c r="Q256" i="10" a="1"/>
  <c r="R314" i="10" a="1"/>
  <c r="Q440" i="10" a="1"/>
  <c r="S122" i="9" a="1"/>
  <c r="U148" i="9" a="1"/>
  <c r="S135" i="9" a="1"/>
  <c r="P111" i="9" a="1"/>
  <c r="R94" i="10" a="1"/>
  <c r="Q142" i="10" a="1"/>
  <c r="U176" i="9" a="1"/>
  <c r="P474" i="10" a="1"/>
  <c r="P56" i="10" a="1"/>
  <c r="T41" i="10" a="1"/>
  <c r="V291" i="10" a="1"/>
  <c r="R404" i="10" a="1"/>
  <c r="R82" i="10" a="1"/>
  <c r="T129" i="9" a="1"/>
  <c r="P186" i="10" a="1"/>
  <c r="P249" i="10" a="1"/>
  <c r="U79" i="10" a="1"/>
  <c r="Q124" i="10" a="1"/>
  <c r="T420" i="10" a="1"/>
  <c r="T54" i="10" a="1"/>
  <c r="U184" i="9" a="1"/>
  <c r="P221" i="10" a="1"/>
  <c r="Q445" i="10" a="1"/>
  <c r="U48" i="9" a="1"/>
  <c r="R430" i="10" a="1"/>
  <c r="T103" i="9" a="1"/>
  <c r="T120" i="9" a="1"/>
  <c r="U133" i="9" a="1"/>
  <c r="P269" i="10" a="1"/>
  <c r="R20" i="10" a="1"/>
  <c r="V111" i="9" a="1"/>
  <c r="V144" i="9" a="1"/>
  <c r="V412" i="10" a="1"/>
  <c r="T350" i="10" a="1"/>
  <c r="Q275" i="10" a="1"/>
  <c r="S68" i="10" a="1"/>
  <c r="T134" i="10" a="1"/>
  <c r="S144" i="10" a="1"/>
  <c r="S75" i="10" a="1"/>
  <c r="Q12" i="10" a="1"/>
  <c r="P288" i="10" a="1"/>
  <c r="T71" i="10" a="1"/>
  <c r="S74" i="10" a="1"/>
  <c r="Q50" i="10" a="1"/>
  <c r="R376" i="10" a="1"/>
  <c r="T223" i="10" a="1"/>
  <c r="U27" i="9" a="1"/>
  <c r="T375" i="10" a="1"/>
  <c r="S158" i="10" a="1"/>
  <c r="Q428" i="10" a="1"/>
  <c r="Q264" i="10" a="1"/>
  <c r="P227" i="10" a="1"/>
  <c r="P7" i="10" a="1"/>
  <c r="T5" i="9" a="1"/>
  <c r="Q226" i="10" a="1"/>
  <c r="P455" i="10" a="1"/>
  <c r="Q244" i="10" a="1"/>
  <c r="Q105" i="9" a="1"/>
  <c r="S88" i="9" a="1"/>
  <c r="Q129" i="9" a="1"/>
  <c r="Q152" i="9" a="1"/>
  <c r="P43" i="9" a="1"/>
  <c r="P174" i="9" a="1"/>
  <c r="U20" i="9" a="1"/>
  <c r="P281" i="10" a="1"/>
  <c r="R236" i="10" a="1"/>
  <c r="R27" i="9" a="1"/>
  <c r="P133" i="9" a="1"/>
  <c r="R345" i="10" a="1"/>
  <c r="T71" i="9" a="1"/>
  <c r="T478" i="10" a="1"/>
  <c r="S276" i="10" a="1"/>
  <c r="P32" i="10" a="1"/>
  <c r="R447" i="10" a="1"/>
  <c r="Q249" i="10" a="1"/>
  <c r="U117" i="9" a="1"/>
  <c r="U18" i="10" a="1"/>
  <c r="Q223" i="10" a="1"/>
  <c r="P283" i="10" a="1"/>
  <c r="P261" i="10" a="1"/>
  <c r="P164" i="10" a="1"/>
  <c r="Q424" i="10" a="1"/>
  <c r="Q325" i="10" a="1"/>
  <c r="Q70" i="10" a="1"/>
  <c r="U94" i="9" a="1"/>
  <c r="U43" i="9" a="1"/>
  <c r="P327" i="10" a="1"/>
  <c r="S98" i="9" a="1"/>
  <c r="S63" i="10" a="1"/>
  <c r="Q300" i="10" a="1"/>
  <c r="U13" i="9" a="1"/>
  <c r="U113" i="9" a="1"/>
  <c r="U98" i="9" a="1"/>
  <c r="R11" i="9" a="1"/>
  <c r="R100" i="10" a="1"/>
  <c r="P138" i="10" a="1"/>
  <c r="T49" i="9" a="1"/>
  <c r="S25" i="9" a="1"/>
  <c r="U193" i="9" a="1"/>
  <c r="R51" i="9" a="1"/>
  <c r="P123" i="10" a="1"/>
  <c r="Q5" i="9" a="1"/>
  <c r="T160" i="9" a="1"/>
  <c r="P146" i="9" a="1"/>
  <c r="S177" i="9" a="1"/>
  <c r="P304" i="10" a="1"/>
  <c r="S18" i="9" a="1"/>
  <c r="R400" i="10" a="1"/>
  <c r="R95" i="9" a="1"/>
  <c r="P264" i="10" a="1"/>
  <c r="S40" i="9" a="1"/>
  <c r="Q114" i="9" a="1"/>
  <c r="V208" i="9" a="1"/>
  <c r="P382" i="10" a="1"/>
  <c r="P320" i="10" a="1"/>
  <c r="Q84" i="10" a="1"/>
  <c r="V304" i="10" a="1"/>
  <c r="Q153" i="10" a="1"/>
  <c r="U38" i="9" a="1"/>
  <c r="U149" i="9" a="1"/>
  <c r="P77" i="10" a="1"/>
  <c r="T99" i="9" a="1"/>
  <c r="S168" i="10" a="1"/>
  <c r="Q373" i="10" a="1"/>
  <c r="U175" i="9" a="1"/>
  <c r="U203" i="9" a="1"/>
  <c r="P197" i="10" a="1"/>
  <c r="R121" i="9" a="1"/>
  <c r="R461" i="10" a="1"/>
  <c r="P278" i="10" a="1"/>
  <c r="T35" i="9" a="1"/>
  <c r="T112" i="9" a="1"/>
  <c r="T193" i="10" a="1"/>
  <c r="R173" i="9" a="1"/>
  <c r="P183" i="10" a="1"/>
  <c r="Q16" i="9" a="1"/>
  <c r="P451" i="10" a="1"/>
  <c r="R69" i="9" a="1"/>
  <c r="R35" i="9" a="1"/>
  <c r="U83" i="9" a="1"/>
  <c r="R127" i="9" a="1"/>
  <c r="P142" i="10" a="1"/>
  <c r="Q27" i="9" a="1"/>
  <c r="U81" i="9" a="1"/>
  <c r="S41" i="9" a="1"/>
  <c r="Q153" i="9" a="1"/>
  <c r="U99" i="9" a="1"/>
  <c r="U93" i="9" a="1"/>
  <c r="R292" i="10" a="1"/>
  <c r="Q104" i="10" a="1"/>
  <c r="R256" i="10" a="1"/>
  <c r="Q272" i="10" a="1"/>
  <c r="U453" i="10" a="1"/>
  <c r="P318" i="10" a="1"/>
  <c r="U150" i="9" a="1"/>
  <c r="P328" i="10" a="1"/>
  <c r="Q332" i="10" a="1"/>
  <c r="T144" i="9" a="1"/>
  <c r="R184" i="10" a="1"/>
  <c r="Q16" i="10" a="1"/>
  <c r="Q442" i="10" a="1"/>
  <c r="P313" i="10" a="1"/>
  <c r="P41" i="10" a="1"/>
  <c r="Q255" i="10" a="1"/>
  <c r="P448" i="10" a="1"/>
  <c r="Q83" i="9" a="1"/>
  <c r="R359" i="10" a="1"/>
  <c r="Q65" i="10" a="1"/>
  <c r="P286" i="10" a="1"/>
  <c r="P86" i="10" a="1"/>
  <c r="R343" i="10" a="1"/>
  <c r="P364" i="10" a="1"/>
  <c r="R182" i="9" a="1"/>
  <c r="U126" i="9" a="1"/>
  <c r="S109" i="9" a="1"/>
  <c r="R62" i="9" a="1"/>
  <c r="Q71" i="9" a="1"/>
  <c r="Q193" i="9" a="1"/>
  <c r="R105" i="9" a="1"/>
  <c r="S194" i="9" a="1"/>
  <c r="T127" i="9" a="1"/>
  <c r="P206" i="9" a="1"/>
  <c r="T186" i="9" a="1"/>
  <c r="T365" i="10" a="1"/>
  <c r="R19" i="10" a="1"/>
  <c r="P272" i="10" a="1"/>
  <c r="S42" i="9" a="1"/>
  <c r="S151" i="9" a="1"/>
  <c r="Q183" i="9" a="1"/>
  <c r="Q68" i="10" a="1"/>
  <c r="U168" i="9" a="1"/>
  <c r="U475" i="10" a="1"/>
  <c r="U87" i="9" a="1"/>
  <c r="P115" i="10" a="1"/>
  <c r="S445" i="10" a="1"/>
  <c r="V84" i="9" a="1"/>
  <c r="U289" i="10" a="1"/>
  <c r="V189" i="9" a="1"/>
  <c r="T423" i="10" a="1"/>
  <c r="R237" i="10" a="1"/>
  <c r="P81" i="10" a="1"/>
  <c r="S221" i="10" a="1"/>
  <c r="R59" i="10" a="1"/>
  <c r="T104" i="9" a="1"/>
  <c r="S408" i="10" a="1"/>
  <c r="P430" i="10" a="1"/>
  <c r="S14" i="10" a="1"/>
  <c r="T98" i="10" a="1"/>
  <c r="R126" i="10" a="1"/>
  <c r="R441" i="10" a="1"/>
  <c r="R416" i="10" a="1"/>
  <c r="T53" i="9" a="1"/>
  <c r="R425" i="10" a="1"/>
  <c r="P444" i="10" a="1"/>
  <c r="P465" i="10" a="1"/>
  <c r="T257" i="10" a="1"/>
  <c r="S23" i="10" a="1"/>
  <c r="T91" i="9" a="1"/>
  <c r="P203" i="10" a="1"/>
  <c r="R241" i="10" a="1"/>
  <c r="T143" i="9" a="1"/>
  <c r="P396" i="10" a="1"/>
  <c r="P424" i="10" a="1"/>
  <c r="T164" i="10" a="1"/>
  <c r="S185" i="9" a="1"/>
  <c r="S48" i="9" a="1"/>
  <c r="Q121" i="9" a="1"/>
  <c r="U17" i="9" a="1"/>
  <c r="Q208" i="10" a="1"/>
  <c r="S385" i="10" a="1"/>
  <c r="P58" i="10" a="1"/>
  <c r="P32" i="9" a="1"/>
  <c r="P118" i="9" a="1"/>
  <c r="R63" i="10" a="1"/>
  <c r="S180" i="10" a="1"/>
  <c r="Q155" i="10" a="1"/>
  <c r="R347" i="10" a="1"/>
  <c r="T262" i="10" a="1"/>
  <c r="Q41" i="10" a="1"/>
  <c r="P187" i="10" a="1"/>
  <c r="S108" i="9" a="1"/>
  <c r="R486" i="10" a="1"/>
  <c r="P154" i="10" a="1"/>
  <c r="Q314" i="10" a="1"/>
  <c r="P357" i="10" a="1"/>
  <c r="P184" i="10" a="1"/>
  <c r="P38" i="10" a="1"/>
  <c r="R215" i="10" a="1"/>
  <c r="P189" i="10" a="1"/>
  <c r="T141" i="9" a="1"/>
  <c r="T70" i="9" a="1"/>
  <c r="T117" i="10" a="1"/>
  <c r="R166" i="9" a="1"/>
  <c r="R339" i="10" a="1"/>
  <c r="P336" i="10" a="1"/>
  <c r="T84" i="9" a="1"/>
  <c r="S75" i="9" a="1"/>
  <c r="R468" i="10" a="1"/>
  <c r="Q40" i="9" a="1"/>
  <c r="Q435" i="10" a="1"/>
  <c r="U73" i="9" a="1"/>
  <c r="R331" i="10" a="1"/>
  <c r="T58" i="10" a="1"/>
  <c r="Q24" i="10" a="1"/>
  <c r="V475" i="10" a="1"/>
  <c r="R188" i="10" a="1"/>
  <c r="P315" i="10" a="1"/>
  <c r="U169" i="10" a="1"/>
  <c r="P166" i="9" a="1"/>
  <c r="Q92" i="9" a="1"/>
  <c r="P71" i="9" a="1"/>
  <c r="Q108" i="9" a="1"/>
  <c r="S79" i="9" a="1"/>
  <c r="S154" i="9" a="1"/>
  <c r="U130" i="9" a="1"/>
  <c r="R6" i="9" a="1"/>
  <c r="U31" i="9" a="1"/>
  <c r="Q349" i="10" a="1"/>
  <c r="P66" i="10" a="1"/>
  <c r="P454" i="10" a="1"/>
  <c r="P305" i="10" a="1"/>
  <c r="R84" i="10" a="1"/>
  <c r="P118" i="10" a="1"/>
  <c r="T107" i="9" a="1"/>
  <c r="T56" i="9" a="1"/>
  <c r="U135" i="9" a="1"/>
  <c r="R189" i="9" a="1"/>
  <c r="Q156" i="10" a="1"/>
  <c r="P316" i="10" a="1"/>
  <c r="T188" i="9" a="1"/>
  <c r="T153" i="9" a="1"/>
  <c r="Q334" i="10" a="1"/>
  <c r="Q24" i="9" a="1"/>
  <c r="Q173" i="10" a="1"/>
  <c r="U125" i="9" a="1"/>
  <c r="T409" i="10" a="1"/>
  <c r="T189" i="10" a="1"/>
  <c r="P89" i="10" a="1"/>
  <c r="S250" i="10" a="1"/>
  <c r="Q190" i="10" a="1"/>
  <c r="Q67" i="10" a="1"/>
  <c r="Q480" i="10" a="1"/>
  <c r="Q31" i="9" a="1"/>
  <c r="Q130" i="9" a="1"/>
  <c r="P70" i="9" a="1"/>
  <c r="S147" i="9" a="1"/>
  <c r="R480" i="10" a="1"/>
  <c r="R198" i="9" a="1"/>
  <c r="T36" i="9" a="1"/>
  <c r="R113" i="9" a="1"/>
  <c r="Q425" i="10" a="1"/>
  <c r="P87" i="9" a="1"/>
  <c r="S58" i="9" a="1"/>
  <c r="Q436" i="10" a="1"/>
  <c r="Q439" i="10" a="1"/>
  <c r="Q64" i="10" a="1"/>
  <c r="P112" i="10" a="1"/>
  <c r="R152" i="10" a="1"/>
  <c r="T46" i="9" a="1"/>
  <c r="T54" i="9" a="1"/>
  <c r="U95" i="9" a="1"/>
  <c r="P207" i="10" a="1"/>
  <c r="R266" i="10" a="1"/>
  <c r="P312" i="10" a="1"/>
  <c r="S3" i="10" a="1"/>
  <c r="P476" i="10" a="1"/>
  <c r="U78" i="9" a="1"/>
  <c r="P231" i="10" a="1"/>
  <c r="Q468" i="10" a="1"/>
  <c r="S103" i="9" a="1"/>
  <c r="Q342" i="10" a="1"/>
  <c r="U124" i="10" a="1"/>
  <c r="P62" i="10" a="1"/>
  <c r="S474" i="10" a="1"/>
  <c r="T403" i="10" a="1"/>
  <c r="Q109" i="10" a="1"/>
  <c r="U334" i="10" a="1"/>
  <c r="Q7" i="10" a="1"/>
  <c r="Q130" i="10" a="1"/>
  <c r="P428" i="10" a="1"/>
  <c r="T248" i="10" a="1"/>
  <c r="R141" i="10" a="1"/>
  <c r="U301" i="10" a="1"/>
  <c r="R262" i="10" a="1"/>
  <c r="U405" i="10" a="1"/>
  <c r="U317" i="10" a="1"/>
  <c r="Q324" i="10" a="1"/>
  <c r="R273" i="10" a="1"/>
  <c r="R274" i="10" a="1"/>
  <c r="R428" i="10" a="1"/>
  <c r="U97" i="9" a="1"/>
  <c r="P356" i="10" a="1"/>
  <c r="U172" i="9" a="1"/>
  <c r="Q62" i="10" a="1"/>
  <c r="Q185" i="10" a="1"/>
  <c r="P212" i="10" a="1"/>
  <c r="T387" i="10" a="1"/>
  <c r="S171" i="9" a="1"/>
  <c r="R235" i="10" a="1"/>
  <c r="Q258" i="10" a="1"/>
  <c r="U39" i="9" a="1"/>
  <c r="T351" i="10" a="1"/>
  <c r="T25" i="9" a="1"/>
  <c r="P205" i="9" a="1"/>
  <c r="P142" i="9" a="1"/>
  <c r="R206" i="9" a="1"/>
  <c r="T109" i="9" a="1"/>
  <c r="P433" i="10" a="1"/>
  <c r="R469" i="10" a="1"/>
  <c r="S130" i="9" a="1"/>
  <c r="R89" i="9" a="1"/>
  <c r="S128" i="9" a="1"/>
  <c r="P384" i="10" a="1"/>
  <c r="Q367" i="10" a="1"/>
  <c r="P192" i="10" a="1"/>
  <c r="Q49" i="10" a="1"/>
  <c r="Q316" i="10" a="1"/>
  <c r="P217" i="10" a="1"/>
  <c r="P487" i="10" a="1"/>
  <c r="Q90" i="9" a="1"/>
  <c r="U20" i="10" a="1"/>
  <c r="U108" i="9" a="1"/>
  <c r="Q262" i="10" a="1"/>
  <c r="U110" i="9" a="1"/>
  <c r="T24" i="9" a="1"/>
  <c r="U44" i="9" a="1"/>
  <c r="Q378" i="10" a="1"/>
  <c r="U71" i="9" a="1"/>
  <c r="T370" i="10" a="1"/>
  <c r="T446" i="10" a="1"/>
  <c r="P170" i="10" a="1"/>
  <c r="T436" i="10" a="1"/>
  <c r="T52" i="10" a="1"/>
  <c r="T64" i="9" a="1"/>
  <c r="Q247" i="10" a="1"/>
  <c r="S481" i="10" a="1"/>
  <c r="P294" i="10" a="1"/>
  <c r="R432" i="10" a="1"/>
  <c r="S390" i="10" a="1"/>
  <c r="Q96" i="10" a="1"/>
  <c r="Q147" i="10" a="1"/>
  <c r="R240" i="10" a="1"/>
  <c r="U45" i="9" a="1"/>
  <c r="Q488" i="10" a="1"/>
  <c r="P346" i="10" a="1"/>
  <c r="T174" i="9" a="1"/>
  <c r="R183" i="9" a="1"/>
  <c r="T62" i="9" a="1"/>
  <c r="P186" i="9" a="1"/>
  <c r="P98" i="9" a="1"/>
  <c r="Q44" i="9" a="1"/>
  <c r="P268" i="10" a="1"/>
  <c r="R212" i="10" a="1"/>
  <c r="P292" i="10" a="1"/>
  <c r="Q48" i="10" a="1"/>
  <c r="S118" i="9" a="1"/>
  <c r="U366" i="10" a="1"/>
  <c r="U177" i="9" a="1"/>
  <c r="U15" i="9" a="1"/>
  <c r="U156" i="9" a="1"/>
  <c r="V427" i="10" a="1"/>
  <c r="U197" i="9" a="1"/>
  <c r="S170" i="10" a="1"/>
  <c r="S74" i="9" a="1"/>
  <c r="P252" i="10" a="1"/>
  <c r="S271" i="10" a="1"/>
  <c r="T177" i="10" a="1"/>
  <c r="T117" i="9" a="1"/>
  <c r="R179" i="10" a="1"/>
  <c r="R26" i="10" a="1"/>
  <c r="P435" i="10" a="1"/>
  <c r="Q248" i="10" a="1"/>
  <c r="R64" i="10" a="1"/>
  <c r="S235" i="10" a="1"/>
  <c r="Q359" i="10" a="1"/>
  <c r="R401" i="10" a="1"/>
  <c r="T43" i="9" a="1"/>
  <c r="P230" i="10" a="1"/>
  <c r="U47" i="9" a="1"/>
  <c r="T175" i="9" a="1"/>
  <c r="Q34" i="9" a="1"/>
  <c r="S87" i="9" a="1"/>
  <c r="T482" i="10" a="1"/>
  <c r="P185" i="9" a="1"/>
  <c r="P6" i="9" a="1"/>
  <c r="R85" i="9" a="1"/>
  <c r="R108" i="9" a="1"/>
  <c r="U77" i="9" a="1"/>
  <c r="Q145" i="9" a="1"/>
  <c r="S90" i="9" a="1"/>
  <c r="Q186" i="9" a="1"/>
  <c r="R147" i="10" a="1"/>
  <c r="P34" i="10" a="1"/>
  <c r="P97" i="10" a="1"/>
  <c r="Q383" i="10" a="1"/>
  <c r="R136" i="10" a="1"/>
  <c r="Q388" i="10" a="1"/>
  <c r="R142" i="10" a="1"/>
  <c r="S451" i="10" a="1"/>
  <c r="T128" i="9" a="1"/>
  <c r="P298" i="10" a="1"/>
  <c r="P351" i="10" a="1"/>
  <c r="T169" i="9" a="1"/>
  <c r="R189" i="10" a="1"/>
  <c r="V113" i="10" a="1"/>
  <c r="U255" i="10" a="1"/>
  <c r="U187" i="9" a="1"/>
  <c r="P172" i="10" a="1"/>
  <c r="Q218" i="10" a="1"/>
  <c r="U67" i="9" a="1"/>
  <c r="R55" i="10" a="1"/>
  <c r="U170" i="9" a="1"/>
  <c r="T87" i="9" a="1"/>
  <c r="U23" i="9" a="1"/>
  <c r="P57" i="10" a="1"/>
  <c r="R157" i="10" a="1"/>
  <c r="P108" i="10" a="1"/>
  <c r="P92" i="10" a="1"/>
  <c r="Q189" i="9" a="1"/>
  <c r="Q209" i="10" a="1"/>
  <c r="P480" i="10" a="1"/>
  <c r="Q174" i="9" a="1"/>
  <c r="P167" i="10" a="1"/>
  <c r="S206" i="9" a="1"/>
  <c r="Q46" i="9" a="1"/>
  <c r="R399" i="10" a="1"/>
  <c r="Q50" i="9" a="1"/>
  <c r="Q117" i="9" a="1"/>
  <c r="T93" i="9" a="1"/>
  <c r="R54" i="9" a="1"/>
  <c r="T218" i="10" a="1"/>
  <c r="P202" i="9" a="1"/>
  <c r="R93" i="9" a="1"/>
  <c r="U219" i="10" a="1"/>
  <c r="P116" i="10" a="1"/>
  <c r="Q186" i="10" a="1"/>
  <c r="U379" i="10" a="1"/>
  <c r="U42" i="9" a="1"/>
  <c r="Q14" i="10" a="1"/>
  <c r="Q302" i="10" a="1"/>
  <c r="P377" i="10" a="1"/>
  <c r="P358" i="10" a="1"/>
  <c r="Q107" i="10" a="1"/>
  <c r="P340" i="10" a="1"/>
  <c r="Q7" i="9" a="1"/>
  <c r="R226" i="10" a="1"/>
  <c r="R482" i="10" a="1"/>
  <c r="P303" i="10" a="1"/>
  <c r="P195" i="10" a="1"/>
  <c r="R451" i="10" a="1"/>
  <c r="Q126" i="10" a="1"/>
  <c r="R33" i="9" a="1"/>
  <c r="S25" i="10" a="1"/>
  <c r="T319" i="10" a="1"/>
  <c r="P335" i="10" a="1"/>
  <c r="Q166" i="10" a="1"/>
  <c r="S427" i="10" a="1"/>
  <c r="R255" i="10" a="1"/>
  <c r="R31" i="9" a="1"/>
  <c r="T133" i="10" a="1"/>
  <c r="P99" i="10" a="1"/>
  <c r="S78" i="9" a="1"/>
  <c r="S102" i="9" a="1"/>
  <c r="Q125" i="9" a="1"/>
  <c r="Q291" i="10" a="1"/>
  <c r="Q10" i="9" a="1"/>
  <c r="R379" i="10" a="1"/>
  <c r="P157" i="9" a="1"/>
  <c r="P13" i="10" a="1"/>
  <c r="P237" i="10" a="1"/>
  <c r="S261" i="10" a="1"/>
  <c r="R56" i="9" a="1"/>
  <c r="T12" i="9" a="1"/>
  <c r="S152" i="9" a="1"/>
  <c r="P184" i="9" a="1"/>
  <c r="U152" i="9" a="1"/>
  <c r="T156" i="9" a="1"/>
  <c r="T96" i="9" a="1"/>
  <c r="T432" i="10" a="1"/>
  <c r="P107" i="9" a="1"/>
  <c r="Q192" i="9" a="1"/>
  <c r="P379" i="10" a="1"/>
  <c r="Q426" i="10" a="1"/>
  <c r="P9" i="10" a="1"/>
  <c r="S139" i="9" a="1"/>
  <c r="U114" i="9" a="1"/>
  <c r="S150" i="9" a="1"/>
  <c r="P143" i="9" a="1"/>
  <c r="P45" i="9" a="1"/>
  <c r="R196" i="9" a="1"/>
  <c r="Q241" i="10" a="1"/>
  <c r="R107" i="9" a="1"/>
  <c r="U186" i="9" a="1"/>
  <c r="S251" i="10" a="1"/>
  <c r="P143" i="10" a="1"/>
  <c r="R82" i="9" a="1"/>
  <c r="P59" i="9" a="1"/>
  <c r="S113" i="9" a="1"/>
  <c r="R177" i="9" a="1"/>
  <c r="S117" i="9" a="1"/>
  <c r="S137" i="9" a="1"/>
  <c r="R39" i="9" a="1"/>
  <c r="Q446" i="10" a="1"/>
  <c r="P46" i="10" a="1"/>
  <c r="R111" i="9" a="1"/>
  <c r="P90" i="9" a="1"/>
  <c r="P439" i="10" a="1"/>
  <c r="S283" i="10" a="1"/>
  <c r="T274" i="10" a="1"/>
  <c r="T89" i="9" a="1"/>
  <c r="R28" i="9" a="1"/>
  <c r="U18" i="9" a="1"/>
  <c r="S420" i="10" a="1"/>
  <c r="P37" i="10" a="1"/>
  <c r="R46" i="9" a="1"/>
  <c r="P41" i="9" a="1"/>
  <c r="T146" i="10" a="1"/>
  <c r="U202" i="9" a="1"/>
  <c r="T172" i="10" a="1"/>
  <c r="P8" i="10" a="1"/>
  <c r="T265" i="10" a="1"/>
  <c r="S484" i="10" a="1"/>
  <c r="R450" i="10" a="1"/>
  <c r="Q331" i="10" a="1"/>
  <c r="S425" i="10" a="1"/>
  <c r="S84" i="10" a="1"/>
  <c r="Q486" i="10" a="1"/>
  <c r="P36" i="10" a="1"/>
  <c r="S174" i="9" a="1"/>
  <c r="P134" i="10" a="1"/>
  <c r="T140" i="9" a="1"/>
  <c r="R390" i="10" a="1"/>
  <c r="Q178" i="10" a="1"/>
  <c r="Q339" i="10" a="1"/>
  <c r="Q165" i="9" a="1"/>
  <c r="P171" i="10" a="1"/>
  <c r="U178" i="9" a="1"/>
  <c r="S51" i="9" a="1"/>
  <c r="R144" i="10" a="1"/>
  <c r="S341" i="10" a="1"/>
  <c r="P432" i="10" a="1"/>
  <c r="T205" i="9" a="1"/>
  <c r="Q21" i="9" a="1"/>
  <c r="R384" i="10" a="1"/>
  <c r="Q333" i="10" a="1"/>
  <c r="U416" i="10" a="1"/>
  <c r="P79" i="9" a="1"/>
  <c r="P88" i="10" a="1"/>
  <c r="S397" i="10" a="1"/>
  <c r="P54" i="10" a="1"/>
  <c r="S439" i="10" a="1"/>
  <c r="R103" i="9" a="1"/>
  <c r="R229" i="10" a="1"/>
  <c r="Q98" i="10" a="1"/>
  <c r="U63" i="9" a="1"/>
  <c r="T332" i="10" a="1"/>
  <c r="Q360" i="10" a="1"/>
  <c r="S111" i="9" a="1"/>
  <c r="P413" i="10" a="1"/>
  <c r="T232" i="10" a="1"/>
  <c r="Q392" i="10" a="1"/>
  <c r="Q35" i="9" a="1"/>
  <c r="Q52" i="9" a="1"/>
  <c r="R203" i="9" a="1"/>
  <c r="P10" i="9" a="1"/>
  <c r="Q53" i="9" a="1"/>
  <c r="P60" i="10" a="1"/>
  <c r="P277" i="10" a="1"/>
  <c r="P344" i="10" a="1"/>
  <c r="P135" i="9" a="1"/>
  <c r="R382" i="10" a="1"/>
  <c r="Q69" i="9" a="1"/>
  <c r="R392" i="10" a="1"/>
  <c r="P158" i="9" a="1"/>
  <c r="S430" i="10" a="1"/>
  <c r="R309" i="10" a="1"/>
  <c r="T27" i="10" a="1"/>
  <c r="S186" i="9" a="1"/>
  <c r="P97" i="9" a="1"/>
  <c r="S193" i="9" a="1"/>
  <c r="P141" i="9" a="1"/>
  <c r="Q148" i="10" a="1"/>
  <c r="R144" i="9" a="1"/>
  <c r="Q29" i="9" a="1"/>
  <c r="Q115" i="9" a="1"/>
  <c r="S176" i="9" a="1"/>
  <c r="P26" i="9" a="1"/>
  <c r="R158" i="9" a="1"/>
  <c r="R315" i="10" a="1"/>
  <c r="T119" i="9" a="1"/>
  <c r="R478" i="10" a="1"/>
  <c r="R64" i="9" a="1"/>
  <c r="P95" i="9" a="1"/>
  <c r="S30" i="10" a="1"/>
  <c r="S166" i="9" a="1"/>
  <c r="T4" i="9" a="1"/>
  <c r="Q347" i="10" a="1"/>
  <c r="S159" i="9" a="1"/>
  <c r="Q184" i="9" a="1"/>
  <c r="S379" i="10" a="1"/>
  <c r="Q2" i="9" a="1"/>
  <c r="S157" i="9" a="1"/>
  <c r="P91" i="9" a="1"/>
  <c r="Q101" i="9" a="1"/>
  <c r="Q197" i="9" a="1"/>
  <c r="R81" i="10" a="1"/>
  <c r="R166" i="10" a="1"/>
  <c r="R86" i="9" a="1"/>
  <c r="T171" i="9" a="1"/>
  <c r="P35" i="10" a="1"/>
  <c r="P138" i="9" a="1"/>
  <c r="Q158" i="9" a="1"/>
  <c r="S23" i="9" a="1"/>
  <c r="S12" i="10" a="1"/>
  <c r="R169" i="9" a="1"/>
  <c r="T106" i="9" a="1"/>
  <c r="R2" i="9" a="1"/>
  <c r="P173" i="9" a="1"/>
  <c r="P279" i="10" a="1"/>
  <c r="Q139" i="10" a="1"/>
  <c r="Q95" i="10" a="1"/>
  <c r="P128" i="9" a="1"/>
  <c r="P483" i="10" a="1"/>
  <c r="Q265" i="10" a="1"/>
  <c r="P468" i="10" a="1"/>
  <c r="R159" i="9" a="1"/>
  <c r="P151" i="9" a="1"/>
  <c r="R180" i="9" a="1"/>
  <c r="S34" i="9" a="1"/>
  <c r="Q87" i="10" a="1"/>
  <c r="Q136" i="9" a="1"/>
  <c r="Q146" i="9" a="1"/>
  <c r="P388" i="10" a="1"/>
  <c r="Q80" i="9" a="1"/>
  <c r="P34" i="9" a="1"/>
  <c r="P192" i="9" a="1"/>
  <c r="R201" i="9" a="1"/>
  <c r="P338" i="10" a="1"/>
  <c r="R52" i="9" a="1"/>
  <c r="Q82" i="9" a="1"/>
  <c r="P17" i="9" a="1"/>
  <c r="S71" i="9" a="1"/>
  <c r="Q51" i="9" a="1"/>
  <c r="Q150" i="9" a="1"/>
  <c r="R98" i="9" a="1"/>
  <c r="P209" i="10" a="1"/>
  <c r="R271" i="10" a="1"/>
  <c r="S91" i="9" a="1"/>
  <c r="U141" i="9" a="1"/>
  <c r="Q14" i="9" a="1"/>
  <c r="S205" i="9" a="1"/>
  <c r="T111" i="9" a="1"/>
  <c r="P82" i="10" a="1"/>
  <c r="T40" i="9" a="1"/>
  <c r="P399" i="10" a="1"/>
  <c r="P427" i="10" a="1"/>
  <c r="R363" i="10" a="1"/>
  <c r="Q26" i="10" a="1"/>
  <c r="Q18" i="9" a="1"/>
  <c r="Q91" i="9" a="1"/>
  <c r="T59" i="9" a="1"/>
  <c r="R165" i="9" a="1"/>
  <c r="T389" i="10" a="1"/>
  <c r="T157" i="9" a="1"/>
  <c r="P420" i="10" a="1"/>
  <c r="S6" i="9" a="1"/>
  <c r="P74" i="9" a="1"/>
  <c r="P191" i="9" a="1"/>
  <c r="S133" i="9" a="1"/>
  <c r="Q118" i="9" a="1"/>
  <c r="P86" i="9" a="1"/>
  <c r="P101" i="10" a="1"/>
  <c r="Q204" i="9" a="1"/>
  <c r="Q457" i="10" a="1"/>
  <c r="T102" i="9" a="1"/>
  <c r="P5" i="9" a="1"/>
  <c r="U111" i="9" a="1"/>
  <c r="Q205" i="9" a="1"/>
  <c r="P401" i="10" a="1"/>
  <c r="T95" i="9" a="1"/>
  <c r="P404" i="10" a="1"/>
  <c r="U192" i="9" a="1"/>
  <c r="P87" i="10" a="1"/>
  <c r="S122" i="10" a="1"/>
  <c r="P162" i="9" a="1"/>
  <c r="Q194" i="9" a="1"/>
  <c r="S68" i="9" a="1"/>
  <c r="S13" i="10" a="1"/>
  <c r="R421" i="10" a="1"/>
  <c r="S80" i="9" a="1"/>
  <c r="U68" i="9" a="1"/>
  <c r="S131" i="9" a="1"/>
  <c r="P120" i="9" a="1"/>
  <c r="Q57" i="9" a="1"/>
  <c r="R106" i="9" a="1"/>
  <c r="U185" i="10" a="1"/>
  <c r="T229" i="10" a="1"/>
  <c r="P417" i="10" a="1"/>
  <c r="T165" i="10" a="1"/>
  <c r="P373" i="10" a="1"/>
  <c r="S156" i="9" a="1"/>
  <c r="P115" i="9" a="1"/>
  <c r="S96" i="9" a="1"/>
  <c r="T138" i="9" a="1"/>
  <c r="U164" i="9" a="1"/>
  <c r="P200" i="9" a="1"/>
  <c r="Q95" i="9" a="1"/>
  <c r="U382" i="10" a="1"/>
  <c r="R282" i="10" a="1"/>
  <c r="V59" i="9" a="1"/>
  <c r="Q461" i="10" a="1"/>
  <c r="Q485" i="10" a="1"/>
  <c r="Q12" i="9" a="1"/>
  <c r="P2" i="9" a="1"/>
  <c r="P257" i="10" a="1"/>
  <c r="R148" i="10" a="1"/>
  <c r="Q306" i="10" a="1"/>
  <c r="Q447" i="10" a="1"/>
  <c r="P233" i="10" a="1"/>
  <c r="P109" i="9" a="1"/>
  <c r="P94" i="9" a="1"/>
  <c r="S116" i="9" a="1"/>
  <c r="T65" i="9" a="1"/>
  <c r="T151" i="9" a="1"/>
  <c r="S71" i="10" a="1"/>
  <c r="R207" i="9" a="1"/>
  <c r="U16" i="9" a="1"/>
  <c r="P65" i="10" a="1"/>
  <c r="U80" i="9" a="1"/>
  <c r="T162" i="9" a="1"/>
  <c r="U74" i="9" a="1"/>
  <c r="T75" i="9" a="1"/>
  <c r="R59" i="9" a="1"/>
  <c r="R58" i="9" a="1"/>
  <c r="Q43" i="9" a="1"/>
  <c r="Q199" i="9" a="1"/>
  <c r="R57" i="9" a="1"/>
  <c r="R20" i="9" a="1"/>
  <c r="T167" i="9" a="1"/>
  <c r="T311" i="10" a="1"/>
  <c r="U128" i="9" a="1"/>
  <c r="Q421" i="10" a="1"/>
  <c r="Q60" i="10" a="1"/>
  <c r="P67" i="10" a="1"/>
  <c r="P253" i="10" a="1"/>
  <c r="U4" i="9" a="1"/>
  <c r="Q10" i="10" a="1"/>
  <c r="P486" i="10" a="1"/>
  <c r="Q251" i="10" a="1"/>
  <c r="T136" i="9" a="1"/>
  <c r="P151" i="10" a="1"/>
  <c r="U24" i="9" a="1"/>
  <c r="T165" i="9" a="1"/>
  <c r="P88" i="9" a="1"/>
  <c r="Q127" i="9" a="1"/>
  <c r="P15" i="9" a="1"/>
  <c r="S95" i="9" a="1"/>
  <c r="T276" i="10" a="1"/>
  <c r="R194" i="9" a="1"/>
  <c r="T60" i="9" a="1"/>
  <c r="Q246" i="10" a="1"/>
  <c r="R333" i="10" a="1"/>
  <c r="T341" i="10" a="1"/>
  <c r="P238" i="10" a="1"/>
  <c r="U8" i="9" a="1"/>
  <c r="R38" i="9" a="1"/>
  <c r="T126" i="9" a="1"/>
  <c r="P106" i="10" a="1"/>
  <c r="P148" i="9" a="1"/>
  <c r="Q66" i="9" a="1"/>
  <c r="R72" i="9" a="1"/>
  <c r="P310" i="10" a="1"/>
  <c r="U119" i="9" a="1"/>
  <c r="R210" i="10" a="1"/>
  <c r="P44" i="9" a="1"/>
  <c r="P42" i="9" a="1"/>
  <c r="R261" i="10" a="1"/>
  <c r="P196" i="9" a="1"/>
  <c r="P18" i="9" a="1"/>
  <c r="R137" i="10" a="1"/>
  <c r="P169" i="9" a="1"/>
  <c r="P479" i="10" a="1"/>
  <c r="Q22" i="10" a="1"/>
  <c r="P103" i="9" a="1"/>
  <c r="Q38" i="10" a="1"/>
  <c r="R171" i="9" a="1"/>
  <c r="R16" i="9" a="1"/>
  <c r="Q11" i="9" a="1"/>
  <c r="T166" i="9" a="1"/>
  <c r="S415" i="10" a="1"/>
  <c r="R34" i="10" a="1"/>
  <c r="T82" i="9" a="1"/>
  <c r="R186" i="9" a="1"/>
  <c r="P108" i="9" a="1"/>
  <c r="P405" i="10" a="1"/>
  <c r="P400" i="10" a="1"/>
  <c r="P308" i="10" a="1"/>
  <c r="Q318" i="10" a="1"/>
  <c r="P80" i="9" a="1"/>
  <c r="T185" i="9" a="1"/>
  <c r="R193" i="9" a="1"/>
  <c r="P368" i="10" a="1"/>
  <c r="P175" i="9" a="1"/>
  <c r="S94" i="9" a="1"/>
  <c r="P19" i="10" a="1"/>
  <c r="T66" i="9" a="1"/>
  <c r="S198" i="9" a="1"/>
  <c r="R66" i="9" a="1"/>
  <c r="P39" i="9" a="1"/>
  <c r="S204" i="9" a="1"/>
  <c r="Q13" i="9" a="1"/>
  <c r="T203" i="9" a="1"/>
  <c r="Q54" i="10" a="1"/>
  <c r="U7" i="9" a="1"/>
  <c r="P375" i="10" a="1"/>
  <c r="S28" i="9" a="1"/>
  <c r="P147" i="9" a="1"/>
  <c r="P57" i="9" a="1"/>
  <c r="P371" i="10" a="1"/>
  <c r="U56" i="9" a="1"/>
  <c r="P18" i="10" a="1"/>
  <c r="Q242" i="10" a="1"/>
  <c r="Q5" i="10" a="1"/>
  <c r="T145" i="9" a="1"/>
  <c r="P96" i="9" a="1"/>
  <c r="Q263" i="10" a="1"/>
  <c r="R148" i="9" a="1"/>
  <c r="Q75" i="9" a="1"/>
  <c r="Q36" i="10" a="1"/>
  <c r="Q79" i="9" a="1"/>
  <c r="Q15" i="10" a="1"/>
  <c r="S165" i="10" a="1"/>
  <c r="Q175" i="9" a="1"/>
  <c r="P182" i="9" a="1"/>
  <c r="R45" i="9" a="1"/>
  <c r="R79" i="9" a="1"/>
  <c r="U183" i="9" a="1"/>
  <c r="S85" i="9" a="1"/>
  <c r="R44" i="9" a="1"/>
  <c r="Q177" i="9" a="1"/>
  <c r="Q198" i="9" a="1"/>
  <c r="R48" i="9" a="1"/>
  <c r="P295" i="10" a="1"/>
  <c r="T77" i="9" a="1"/>
  <c r="R140" i="9" a="1"/>
  <c r="R279" i="10" a="1"/>
  <c r="P6" i="10" a="1"/>
  <c r="Q139" i="9" a="1"/>
  <c r="P64" i="9" a="1"/>
  <c r="Q37" i="9" a="1"/>
  <c r="P4" i="9" a="1"/>
  <c r="P190" i="9" a="1"/>
  <c r="R145" i="9" a="1"/>
  <c r="P443" i="10" a="1"/>
  <c r="R251" i="10" a="1"/>
  <c r="S67" i="9" a="1"/>
  <c r="P473" i="10" a="1"/>
  <c r="R160" i="9" a="1"/>
  <c r="S199" i="9" a="1"/>
  <c r="U57" i="9" a="1"/>
  <c r="S309" i="10" a="1"/>
  <c r="Q93" i="9" a="1"/>
  <c r="S53" i="9" a="1"/>
  <c r="Q462" i="10" a="1"/>
  <c r="U208" i="9" a="1"/>
  <c r="Q42" i="9" a="1"/>
  <c r="R154" i="9" a="1"/>
  <c r="Q149" i="9" a="1"/>
  <c r="P159" i="9" a="1"/>
  <c r="Q250" i="10" a="1"/>
  <c r="P61" i="9" a="1"/>
  <c r="P79" i="10" a="1"/>
  <c r="P45" i="10" a="1"/>
  <c r="R118" i="9" a="1"/>
  <c r="P60" i="9" a="1"/>
  <c r="P112" i="9" a="1"/>
  <c r="P170" i="9" a="1"/>
  <c r="R17" i="9" a="1"/>
  <c r="S274" i="10" a="1"/>
  <c r="T86" i="9" a="1"/>
  <c r="Q290" i="10" a="1"/>
  <c r="S65" i="9" a="1"/>
  <c r="S31" i="9" a="1"/>
  <c r="Q111" i="9" a="1"/>
  <c r="R479" i="10" a="1"/>
  <c r="T200" i="9" a="1"/>
  <c r="Q69" i="10" a="1"/>
  <c r="U386" i="10" a="1"/>
  <c r="R91" i="10" a="1"/>
  <c r="P215" i="10" a="1"/>
  <c r="T118" i="9" a="1"/>
  <c r="Q143" i="9" a="1"/>
  <c r="Q141" i="9" a="1"/>
  <c r="P50" i="9" a="1"/>
  <c r="P27" i="9" a="1"/>
  <c r="P23" i="9" a="1"/>
  <c r="P125" i="9" a="1"/>
  <c r="Q30" i="9" a="1"/>
  <c r="Q458" i="10" a="1"/>
  <c r="Q138" i="10" a="1"/>
  <c r="Q119" i="9" a="1"/>
  <c r="U121" i="9" a="1"/>
  <c r="P54" i="9" a="1"/>
  <c r="S21" i="9" a="1"/>
  <c r="R133" i="9" a="1"/>
  <c r="P48" i="9" a="1"/>
  <c r="Q108" i="10" a="1"/>
  <c r="P259" i="10" a="1"/>
  <c r="Q176" i="9" a="1"/>
  <c r="T30" i="9" a="1"/>
  <c r="S45" i="9" a="1"/>
  <c r="T73" i="9" a="1"/>
  <c r="V115" i="10" a="1"/>
  <c r="R179" i="9" a="1"/>
  <c r="S17" i="9" a="1"/>
  <c r="U65" i="9" a="1"/>
  <c r="P149" i="9" a="1"/>
  <c r="R134" i="9" a="1"/>
  <c r="P47" i="10" a="1"/>
  <c r="R78" i="9" a="1"/>
  <c r="P165" i="10" a="1"/>
  <c r="T161" i="10" a="1"/>
  <c r="Q97" i="9" a="1"/>
  <c r="P197" i="9" a="1"/>
  <c r="P223" i="10" a="1"/>
  <c r="S196" i="9" a="1"/>
  <c r="R142" i="9" a="1"/>
  <c r="S16" i="10" a="1"/>
  <c r="P92" i="9" a="1"/>
  <c r="T180" i="9" a="1"/>
  <c r="R12" i="10" a="1"/>
  <c r="T48" i="9" a="1"/>
  <c r="Q67" i="9" a="1"/>
  <c r="R90" i="9" a="1"/>
  <c r="P12" i="9" a="1"/>
  <c r="U430" i="10" a="1"/>
  <c r="S143" i="9" a="1"/>
  <c r="U102" i="9" a="1"/>
  <c r="P178" i="9" a="1"/>
  <c r="R202" i="9" a="1"/>
  <c r="R466" i="10" a="1"/>
  <c r="T173" i="10" a="1"/>
  <c r="P410" i="10" a="1"/>
  <c r="S76" i="9" a="1"/>
  <c r="P26" i="10" a="1"/>
  <c r="P290" i="10" a="1"/>
  <c r="P381" i="10" a="1"/>
  <c r="U205" i="9" a="1"/>
  <c r="S380" i="10" a="1"/>
  <c r="R407" i="10" a="1"/>
  <c r="Q177" i="10" a="1"/>
  <c r="Q105" i="10" a="1"/>
  <c r="Q178" i="9" a="1"/>
  <c r="T29" i="9" a="1"/>
  <c r="R223" i="10" a="1"/>
  <c r="P326" i="10" a="1"/>
  <c r="P173" i="10" a="1"/>
  <c r="T97" i="9" a="1"/>
  <c r="Q155" i="9" a="1"/>
  <c r="T192" i="9" a="1"/>
  <c r="T289" i="10" a="1"/>
  <c r="T155" i="9" a="1"/>
  <c r="P91" i="10" a="1"/>
  <c r="S83" i="10" a="1"/>
  <c r="P23" i="10" a="1"/>
  <c r="Q267" i="10" a="1"/>
  <c r="R104" i="9" a="1"/>
  <c r="Q207" i="9" a="1"/>
  <c r="T368" i="10" a="1"/>
  <c r="P53" i="10" a="1"/>
  <c r="R69" i="10" a="1"/>
  <c r="R440" i="10" a="1"/>
  <c r="R80" i="10" a="1"/>
  <c r="Q174" i="10" a="1"/>
  <c r="U36" i="9" a="1"/>
  <c r="S383" i="10" a="1"/>
  <c r="Q25" i="10" a="1"/>
  <c r="S5" i="9" a="1"/>
  <c r="U169" i="9" a="1"/>
  <c r="Q487" i="10" a="1"/>
  <c r="S189" i="10" a="1"/>
  <c r="P366" i="10" a="1"/>
  <c r="Q58" i="9" a="1"/>
  <c r="T124" i="10" a="1"/>
  <c r="R131" i="9" a="1"/>
  <c r="Q102" i="9" a="1"/>
  <c r="R161" i="9" a="1"/>
  <c r="R4" i="9" a="1"/>
  <c r="R112" i="9" a="1"/>
  <c r="U66" i="9" a="1"/>
  <c r="Q358" i="10" a="1"/>
  <c r="S104" i="10" a="1"/>
  <c r="R115" i="9" a="1"/>
  <c r="R334" i="10" a="1"/>
  <c r="P242" i="10" a="1"/>
  <c r="P201" i="9" a="1"/>
  <c r="P56" i="9" a="1"/>
  <c r="R170" i="9" a="1"/>
  <c r="P247" i="10" a="1"/>
  <c r="P470" i="10" a="1"/>
  <c r="S66" i="9" a="1"/>
  <c r="S81" i="9" a="1"/>
  <c r="P333" i="10" a="1"/>
  <c r="Q20" i="9" a="1"/>
  <c r="R51" i="10" a="1"/>
  <c r="S208" i="9" a="1"/>
  <c r="T42" i="9" a="1"/>
  <c r="P141" i="10" a="1"/>
  <c r="P309" i="10" a="1"/>
  <c r="S179" i="9" a="1"/>
  <c r="S468" i="10" a="1"/>
  <c r="P251" i="10" a="1"/>
  <c r="Q79" i="10" a="1"/>
  <c r="Q176" i="10" a="1"/>
  <c r="T191" i="9" a="1"/>
  <c r="R197" i="9" a="1"/>
  <c r="P175" i="10" a="1"/>
  <c r="Q103" i="10" a="1"/>
  <c r="P182" i="10" a="1"/>
  <c r="Q99" i="9" a="1"/>
  <c r="Q45" i="9" a="1"/>
  <c r="R174" i="9" a="1"/>
  <c r="U124" i="9" a="1"/>
  <c r="P69" i="10" a="1"/>
  <c r="S153" i="9" a="1"/>
  <c r="R439" i="10" a="1"/>
  <c r="P40" i="9" a="1"/>
  <c r="S104" i="9" a="1"/>
  <c r="P150" i="10" a="1"/>
  <c r="R150" i="9" a="1"/>
  <c r="R110" i="9" a="1"/>
  <c r="S124" i="9" a="1"/>
  <c r="Q133" i="10" a="1"/>
  <c r="Q137" i="9" a="1"/>
  <c r="Q65" i="9" a="1"/>
  <c r="Q23" i="9" a="1"/>
  <c r="S50" i="9" a="1"/>
  <c r="Q415" i="10" a="1"/>
  <c r="S189" i="9" a="1"/>
  <c r="R146" i="9" a="1"/>
  <c r="P73" i="9" a="1"/>
  <c r="U86" i="9" a="1"/>
  <c r="Q180" i="9" a="1"/>
  <c r="R43" i="9" a="1"/>
  <c r="S22" i="9" a="1"/>
  <c r="Q323" i="10" a="1"/>
  <c r="Q54" i="9" a="1"/>
  <c r="T196" i="9" a="1"/>
  <c r="Q202" i="10" a="1"/>
  <c r="R68" i="9" a="1"/>
  <c r="T146" i="9" a="1"/>
  <c r="P198" i="10" a="1"/>
  <c r="P431" i="10" a="1"/>
  <c r="P452" i="10" a="1"/>
  <c r="S136" i="9" a="1"/>
  <c r="P325" i="10" a="1"/>
  <c r="R37" i="9" a="1"/>
  <c r="S123" i="9" a="1"/>
  <c r="P95" i="10" a="1"/>
  <c r="Q376" i="10" a="1"/>
  <c r="P102" i="9" a="1"/>
  <c r="P59" i="10" a="1"/>
  <c r="Q63" i="10" a="1"/>
  <c r="P363" i="10" a="1"/>
  <c r="R156" i="9" a="1"/>
  <c r="P78" i="9" a="1"/>
  <c r="R128" i="9" a="1"/>
  <c r="Q142" i="9" a="1"/>
  <c r="P72" i="9" a="1"/>
  <c r="P461" i="10" a="1"/>
  <c r="R41" i="9" a="1"/>
  <c r="Q167" i="9" a="1"/>
  <c r="P145" i="9" a="1"/>
  <c r="R8" i="9" a="1"/>
  <c r="P67" i="9" a="1"/>
  <c r="P127" i="9" a="1"/>
  <c r="Q397" i="10" a="1"/>
  <c r="P47" i="9" a="1"/>
  <c r="P5" i="10" a="1"/>
  <c r="S129" i="9" a="1"/>
  <c r="Q85" i="9" a="1"/>
  <c r="Q181" i="9" a="1"/>
  <c r="Q201" i="9" a="1"/>
  <c r="S173" i="9" a="1"/>
  <c r="P99" i="9" a="1"/>
  <c r="T45" i="9" a="1"/>
  <c r="U75" i="9" a="1"/>
  <c r="S64" i="9" a="1"/>
  <c r="R26" i="9" a="1"/>
  <c r="Q123" i="9" a="1"/>
  <c r="Q98" i="9" a="1"/>
  <c r="R10" i="9" a="1"/>
  <c r="P216" i="10" a="1"/>
  <c r="R195" i="9" a="1"/>
  <c r="R435" i="10" a="1"/>
  <c r="S60" i="9" a="1"/>
  <c r="U122" i="9" a="1"/>
  <c r="S24" i="9" a="1"/>
  <c r="P13" i="9" a="1"/>
  <c r="P14" i="9" a="1"/>
  <c r="R77" i="9" a="1"/>
  <c r="R102" i="9" a="1"/>
  <c r="R153" i="9" a="1"/>
  <c r="P14" i="10" a="1"/>
  <c r="T105" i="9" a="1"/>
  <c r="Q416" i="10" a="1"/>
  <c r="P77" i="9" a="1"/>
  <c r="Q106" i="9" a="1"/>
  <c r="S73" i="9" a="1"/>
  <c r="R12" i="9" a="1"/>
  <c r="S160" i="9" a="1"/>
  <c r="R152" i="9" a="1"/>
  <c r="T182" i="9" a="1"/>
  <c r="S62" i="9" a="1"/>
  <c r="R21" i="9" a="1"/>
  <c r="Q128" i="9" a="1"/>
  <c r="P68" i="9" a="1"/>
  <c r="R185" i="9" a="1"/>
  <c r="U166" i="9" a="1"/>
  <c r="Q89" i="9" a="1"/>
  <c r="U257" i="10" a="1"/>
  <c r="S187" i="9" a="1"/>
  <c r="U206" i="9" a="1"/>
  <c r="S190" i="9" a="1"/>
  <c r="P183" i="9" a="1"/>
  <c r="P134" i="9" a="1"/>
  <c r="Q25" i="9" a="1"/>
  <c r="P55" i="10" a="1"/>
  <c r="P21" i="9" a="1"/>
  <c r="P94" i="10" a="1"/>
  <c r="Q400" i="10" a="1"/>
  <c r="Q169" i="10" a="1"/>
  <c r="Q6" i="9" a="1"/>
  <c r="Q390" i="10" a="1"/>
  <c r="P63" i="9" a="1"/>
  <c r="P164" i="9" a="1"/>
  <c r="Q411" i="10" a="1"/>
  <c r="P20" i="10" a="1"/>
  <c r="R23" i="9" a="1"/>
  <c r="S125" i="9" a="1"/>
  <c r="P137" i="9" a="1"/>
  <c r="T176" i="9" a="1"/>
  <c r="S86" i="9" a="1"/>
  <c r="Q191" i="9" a="1"/>
  <c r="S126" i="9" a="1"/>
  <c r="Q26" i="9" a="1"/>
  <c r="R483" i="10" a="1"/>
  <c r="Q35" i="10" a="1"/>
  <c r="Q160" i="9" a="1"/>
  <c r="P187" i="9" a="1"/>
  <c r="Q173" i="9" a="1"/>
  <c r="R65" i="9" a="1"/>
  <c r="Q298" i="10" a="1"/>
  <c r="S105" i="9" a="1"/>
  <c r="S170" i="9" a="1"/>
  <c r="R109" i="9" a="1"/>
  <c r="R252" i="10" a="1"/>
  <c r="U258" i="10" a="1"/>
  <c r="Q124" i="9" a="1"/>
  <c r="T183" i="9" a="1"/>
  <c r="R433" i="10" a="1"/>
  <c r="Q134" i="10" a="1"/>
  <c r="P24" i="9" a="1"/>
  <c r="P297" i="10" a="1"/>
  <c r="U174" i="9" a="1"/>
  <c r="S146" i="9" a="1"/>
  <c r="R378" i="10" a="1"/>
  <c r="P235" i="10" a="1"/>
  <c r="P22" i="9" a="1"/>
  <c r="P113" i="9" a="1"/>
  <c r="R370" i="10" a="1"/>
  <c r="P156" i="9" a="1"/>
  <c r="T137" i="9" a="1"/>
  <c r="P116" i="9" a="1"/>
  <c r="T184" i="9" a="1"/>
  <c r="P168" i="9" a="1"/>
  <c r="S148" i="9" a="1"/>
  <c r="P456" i="10" a="1"/>
  <c r="S114" i="9" a="1"/>
  <c r="U131" i="9" a="1"/>
  <c r="R167" i="9" a="1"/>
  <c r="T170" i="9" a="1"/>
  <c r="Q213" i="10" a="1"/>
  <c r="R97" i="9" a="1"/>
  <c r="U142" i="9" a="1"/>
  <c r="U162" i="10" a="1"/>
  <c r="P177" i="9" a="1"/>
  <c r="T74" i="9" a="1"/>
  <c r="U181" i="9" a="1"/>
  <c r="P347" i="10" a="1"/>
  <c r="S32" i="9" a="1"/>
  <c r="R181" i="9" a="1"/>
  <c r="T149" i="9" a="1"/>
  <c r="P119" i="9" a="1"/>
  <c r="V182" i="10" a="1"/>
  <c r="U444" i="10" a="1"/>
  <c r="S396" i="10" a="1"/>
  <c r="Q441" i="10" a="1"/>
  <c r="P208" i="10" a="1"/>
  <c r="U25" i="9" a="1"/>
  <c r="T456" i="10" a="1"/>
  <c r="U161" i="9" a="1"/>
  <c r="S13" i="9" a="1"/>
  <c r="U90" i="9" a="1"/>
  <c r="T206" i="9" a="1"/>
  <c r="U224" i="10" a="1"/>
  <c r="U51" i="9" a="1"/>
  <c r="P319" i="10" a="1"/>
  <c r="R50" i="10" a="1"/>
  <c r="R445" i="10" a="1"/>
  <c r="Q58" i="10" a="1"/>
  <c r="T20" i="10" a="1"/>
  <c r="P121" i="9" a="1"/>
  <c r="P16" i="9" a="1"/>
  <c r="S399" i="10" a="1"/>
  <c r="T273" i="10" a="1"/>
  <c r="U106" i="9" a="1"/>
  <c r="P457" i="10" a="1"/>
  <c r="R103" i="10" a="1"/>
  <c r="Q196" i="9" a="1"/>
  <c r="P85" i="9" a="1"/>
  <c r="R49" i="10" a="1"/>
  <c r="S280" i="10" a="1"/>
  <c r="Q195" i="9" a="1"/>
  <c r="R361" i="10" a="1"/>
  <c r="P445" i="10" a="1"/>
  <c r="S448" i="10" a="1"/>
  <c r="Q459" i="10" a="1"/>
  <c r="Q199" i="10" a="1"/>
  <c r="R200" i="10" a="1"/>
  <c r="P274" i="10" a="1"/>
  <c r="T18" i="10" a="1"/>
  <c r="S10" i="9" a="1"/>
  <c r="S422" i="10" a="1"/>
  <c r="Q283" i="10" a="1"/>
  <c r="U116" i="9" a="1"/>
  <c r="P407" i="10" a="1"/>
  <c r="S93" i="9" a="1"/>
  <c r="P28" i="10" a="1"/>
  <c r="P33" i="9" a="1"/>
  <c r="T76" i="9" a="1"/>
  <c r="R71" i="9" a="1"/>
  <c r="P75" i="10" a="1"/>
  <c r="S195" i="9" a="1"/>
  <c r="S33" i="9" a="1"/>
  <c r="P68" i="10" a="1"/>
  <c r="P160" i="9" a="1"/>
  <c r="S92" i="9" a="1"/>
  <c r="R313" i="10" a="1"/>
  <c r="R53" i="9" a="1"/>
  <c r="R61" i="9" a="1"/>
  <c r="R80" i="9" a="1"/>
  <c r="P100" i="9" a="1"/>
  <c r="R92" i="10" a="1"/>
  <c r="T475" i="10" a="1"/>
  <c r="Q157" i="9" a="1"/>
  <c r="P101" i="9" a="1"/>
  <c r="R162" i="9" a="1"/>
  <c r="Q431" i="10" a="1"/>
  <c r="R139" i="9" a="1"/>
  <c r="R50" i="9" a="1"/>
  <c r="Q49" i="9" a="1"/>
  <c r="Q28" i="9" a="1"/>
  <c r="S184" i="9" a="1"/>
  <c r="Q38" i="9" a="1"/>
  <c r="P157" i="10" a="1"/>
  <c r="U201" i="9" a="1"/>
  <c r="P206" i="10" a="1"/>
  <c r="R25" i="9" a="1"/>
  <c r="P437" i="10" a="1"/>
  <c r="U139" i="9" a="1"/>
  <c r="S165" i="9" a="1"/>
  <c r="S172" i="9" a="1"/>
  <c r="P165" i="9" a="1"/>
  <c r="T133" i="9" a="1"/>
  <c r="S39" i="10" a="1"/>
  <c r="T193" i="9" a="1"/>
  <c r="Q418" i="10" a="1"/>
  <c r="R175" i="9" a="1"/>
  <c r="T147" i="9" a="1"/>
  <c r="P193" i="9" a="1"/>
  <c r="Q56" i="9" a="1"/>
  <c r="R191" i="9" a="1"/>
  <c r="R48" i="10" a="1"/>
  <c r="P229" i="10" a="1"/>
  <c r="P10" i="10" a="1"/>
  <c r="Q185" i="9" a="1"/>
  <c r="Q147" i="9" a="1"/>
  <c r="R143" i="9" a="1"/>
  <c r="P44" i="10" a="1"/>
  <c r="R42" i="9" a="1"/>
  <c r="S467" i="10" a="1"/>
  <c r="R141" i="9" a="1"/>
  <c r="R117" i="10" a="1"/>
  <c r="P104" i="9" a="1"/>
  <c r="Q203" i="9" a="1"/>
  <c r="P195" i="9" a="1"/>
  <c r="P51" i="9" a="1"/>
  <c r="S163" i="9" a="1"/>
  <c r="P412" i="10" a="1"/>
  <c r="T181" i="9" a="1"/>
  <c r="R73" i="9" a="1"/>
  <c r="R187" i="9" a="1"/>
  <c r="P207" i="9" a="1"/>
  <c r="R135" i="9" a="1"/>
  <c r="Q338" i="10" a="1"/>
  <c r="Q394" i="10" a="1"/>
  <c r="P76" i="10" a="1"/>
  <c r="R172" i="9" a="1"/>
  <c r="U482" i="10" a="1"/>
  <c r="R200" i="9" a="1"/>
  <c r="R199" i="9" a="1"/>
  <c r="P194" i="10" a="1"/>
  <c r="R14" i="9" a="1"/>
  <c r="Q310" i="10" a="1"/>
  <c r="U104" i="9" a="1"/>
  <c r="P236" i="10" a="1"/>
  <c r="S2" i="9" a="1"/>
  <c r="P129" i="9" a="1"/>
  <c r="U199" i="9" a="1"/>
  <c r="T7" i="9" a="1"/>
  <c r="Q86" i="9" a="1"/>
  <c r="Q466" i="10" a="1"/>
  <c r="Q164" i="9" a="1"/>
  <c r="Q180" i="10" a="1"/>
  <c r="Q138" i="9" a="1"/>
  <c r="Q36" i="9" a="1"/>
  <c r="S145" i="10" a="1"/>
  <c r="P200" i="10" a="1"/>
  <c r="Q163" i="9" a="1"/>
  <c r="Q140" i="9" a="1"/>
  <c r="P49" i="9" a="1"/>
  <c r="S29" i="9" a="1"/>
  <c r="S141" i="10" a="1"/>
  <c r="R40" i="9" a="1"/>
  <c r="U33" i="9" a="1"/>
  <c r="P155" i="9" a="1"/>
  <c r="R207" i="10" a="1"/>
  <c r="P42" i="10" a="1"/>
  <c r="Q60" i="9" a="1"/>
  <c r="R155" i="9" a="1"/>
  <c r="T195" i="9" a="1"/>
  <c r="S140" i="9" a="1"/>
  <c r="P130" i="9" a="1"/>
  <c r="P9" i="9" a="1"/>
  <c r="Q33" i="9" a="1"/>
  <c r="Q305" i="10" a="1"/>
  <c r="S30" i="9" a="1"/>
  <c r="S19" i="9" a="1"/>
  <c r="T178" i="9" a="1"/>
  <c r="P163" i="9" a="1"/>
  <c r="Q189" i="10" a="1"/>
  <c r="R231" i="10" a="1"/>
  <c r="P199" i="9" a="1"/>
  <c r="P218" i="10" a="1"/>
  <c r="R100" i="9" a="1"/>
  <c r="T164" i="9" a="1"/>
  <c r="R204" i="9" a="1"/>
  <c r="U6" i="9" a="1"/>
  <c r="T100" i="9" a="1"/>
  <c r="P139" i="10" a="1"/>
  <c r="U85" i="9" a="1"/>
  <c r="Q32" i="9" a="1"/>
  <c r="P69" i="9" a="1"/>
  <c r="P418" i="10" a="1"/>
  <c r="S284" i="10" a="1"/>
  <c r="P255" i="10" a="1"/>
  <c r="Q296" i="10" a="1"/>
  <c r="P124" i="9" a="1"/>
  <c r="S28" i="10" a="1"/>
  <c r="Q17" i="10" a="1"/>
  <c r="Q277" i="10" a="1"/>
  <c r="R160" i="10" a="1"/>
  <c r="U112" i="9" a="1"/>
  <c r="R338" i="10" a="1"/>
  <c r="S191" i="9" a="1"/>
  <c r="P395" i="10" a="1"/>
  <c r="Q385" i="10" a="1"/>
  <c r="R135" i="10" a="1"/>
  <c r="P17" i="10" a="1"/>
  <c r="P73" i="10" a="1"/>
  <c r="R291" i="10" a="1"/>
  <c r="S141" i="9" a="1"/>
  <c r="P162" i="10" a="1"/>
  <c r="S340" i="10" a="1"/>
  <c r="R330" i="10" a="1"/>
  <c r="P248" i="10" a="1"/>
  <c r="R91" i="9" a="1"/>
  <c r="S180" i="9" a="1"/>
  <c r="S462" i="10" a="1"/>
  <c r="Q408" i="10" a="1"/>
  <c r="U468" i="10" a="1"/>
  <c r="S127" i="10" a="1"/>
  <c r="T92" i="9" a="1"/>
  <c r="T27" i="9" a="1"/>
  <c r="U29" i="9" a="1"/>
  <c r="Q15" i="9" a="1"/>
  <c r="P180" i="10" a="1"/>
  <c r="P214" i="10" a="1"/>
  <c r="S4" i="9" a="1"/>
  <c r="P246" i="10" a="1"/>
  <c r="Q410" i="10" a="1"/>
  <c r="P280" i="10" a="1"/>
  <c r="P148" i="10" a="1"/>
  <c r="T204" i="9" a="1"/>
  <c r="Q243" i="10" a="1"/>
  <c r="P469" i="10" a="1"/>
  <c r="Q45" i="10" a="1"/>
  <c r="Q120" i="9" a="1"/>
  <c r="Q354" i="10" a="1"/>
  <c r="P284" i="10" a="1"/>
  <c r="P348" i="10" a="1"/>
  <c r="U348" i="10" a="1"/>
  <c r="S72" i="9" a="1"/>
  <c r="U72" i="9" a="1"/>
  <c r="P7" i="9" a="1"/>
  <c r="Q188" i="9" a="1"/>
  <c r="P463" i="10" a="1"/>
  <c r="U76" i="9" a="1"/>
  <c r="Q399" i="10" a="1"/>
  <c r="U62" i="9" a="1"/>
  <c r="S101" i="9" a="1"/>
  <c r="R5" i="9" a="1"/>
  <c r="T21" i="9" a="1"/>
  <c r="P177" i="10" a="1"/>
  <c r="P353" i="10" a="1"/>
  <c r="P75" i="9" a="1"/>
  <c r="Q132" i="9" a="1"/>
  <c r="S27" i="9" a="1"/>
  <c r="P158" i="10" a="1"/>
  <c r="P160" i="10" a="1"/>
  <c r="Q81" i="9" a="1"/>
  <c r="S9" i="9" a="1"/>
  <c r="S82" i="9" a="1"/>
  <c r="Q175" i="10" a="1"/>
  <c r="P275" i="10" a="1"/>
  <c r="Q156" i="9" a="1"/>
  <c r="Q122" i="9" a="1"/>
  <c r="T121" i="9" a="1"/>
  <c r="P150" i="9" a="1"/>
  <c r="R267" i="10" a="1"/>
  <c r="S181" i="10" a="1"/>
  <c r="S35" i="9" a="1"/>
  <c r="R129" i="9" a="1"/>
  <c r="R149" i="9" a="1"/>
  <c r="Q59" i="9" a="1"/>
  <c r="P172" i="9" a="1"/>
  <c r="Q420" i="10" a="1"/>
  <c r="R176" i="9" a="1"/>
  <c r="Q166" i="9" a="1"/>
  <c r="Q72" i="9" a="1"/>
  <c r="Q74" i="9" a="1"/>
  <c r="S107" i="9" a="1"/>
  <c r="R71" i="10" a="1"/>
  <c r="P262" i="10" a="1"/>
  <c r="R22" i="9" a="1"/>
  <c r="P84" i="9" a="1"/>
  <c r="R83" i="9" a="1"/>
  <c r="V478" i="10" a="1"/>
  <c r="P176" i="10" a="1"/>
  <c r="U105" i="9" a="1"/>
  <c r="R377" i="10" a="1"/>
  <c r="T150" i="9" a="1"/>
  <c r="T98" i="9" a="1"/>
  <c r="Q345" i="10" a="1"/>
  <c r="U132" i="9" a="1"/>
  <c r="Q133" i="9" a="1"/>
  <c r="R452" i="10" a="1"/>
  <c r="R257" i="10" a="1"/>
  <c r="P232" i="10" a="1"/>
  <c r="R125" i="9" a="1"/>
  <c r="P153" i="9" a="1"/>
  <c r="R47" i="9" a="1"/>
  <c r="R7" i="9" a="1"/>
  <c r="Q169" i="9" a="1"/>
  <c r="P132" i="10" a="1"/>
  <c r="R70" i="9" a="1"/>
  <c r="Q100" i="9" a="1"/>
  <c r="P35" i="9" a="1"/>
  <c r="S7" i="9" a="1"/>
  <c r="Q87" i="9" a="1"/>
  <c r="Q168" i="9" a="1"/>
  <c r="T101" i="9" a="1"/>
  <c r="Q37" i="10" a="1"/>
  <c r="Q206" i="9" a="1"/>
  <c r="R18" i="9" a="1"/>
  <c r="R188" i="9" a="1"/>
  <c r="P83" i="9" a="1"/>
  <c r="P114" i="9" a="1"/>
  <c r="R19" i="9" a="1"/>
  <c r="Q481" i="10" a="1"/>
  <c r="Q200" i="9" a="1"/>
  <c r="T199" i="9" a="1"/>
  <c r="Q193" i="10" a="1"/>
  <c r="R132" i="9" a="1"/>
  <c r="T201" i="9" a="1"/>
  <c r="P131" i="10" a="1"/>
  <c r="S56" i="9" a="1"/>
  <c r="S145" i="9" a="1"/>
  <c r="T108" i="9" a="1"/>
  <c r="Q115" i="10" a="1"/>
  <c r="U138" i="9" a="1"/>
  <c r="Q9" i="9" a="1"/>
  <c r="R32" i="9" a="1"/>
  <c r="Q3" i="9" a="1"/>
  <c r="P46" i="9" a="1"/>
  <c r="P89" i="9" a="1"/>
  <c r="T125" i="9" a="1"/>
  <c r="P403" i="10" a="1"/>
  <c r="U479" i="10" a="1"/>
  <c r="Q70" i="9" a="1"/>
  <c r="R34" i="9" a="1"/>
  <c r="P154" i="9" a="1"/>
  <c r="T159" i="9" a="1"/>
  <c r="R32" i="10" a="1"/>
  <c r="R99" i="9" a="1"/>
  <c r="Q361" i="10" a="1"/>
  <c r="Q135" i="9" a="1"/>
  <c r="Q371" i="10" a="1"/>
  <c r="P104" i="10" a="1"/>
  <c r="Q112" i="9" a="1"/>
  <c r="Q374" i="10" a="1"/>
  <c r="P52" i="9" a="1"/>
  <c r="Q208" i="9" a="1"/>
  <c r="V157" i="9" a="1"/>
  <c r="S83" i="9" a="1"/>
  <c r="R96" i="9" a="1"/>
  <c r="Q161" i="9" a="1"/>
  <c r="P122" i="9" a="1"/>
  <c r="R168" i="9" a="1"/>
  <c r="T132" i="9" a="1"/>
  <c r="Q159" i="9" a="1"/>
  <c r="S168" i="9" a="1"/>
  <c r="S15" i="10" a="1"/>
  <c r="V57" i="9" a="1"/>
  <c r="U96" i="9" a="1"/>
  <c r="P179" i="9" a="1"/>
  <c r="Q61" i="9" a="1"/>
  <c r="Q126" i="9" a="1"/>
  <c r="S182" i="9" a="1"/>
  <c r="S136" i="10" a="1"/>
  <c r="Q62" i="9" a="1"/>
  <c r="P323" i="10" a="1"/>
  <c r="Q154" i="9" a="1"/>
  <c r="Q476" i="10" a="1"/>
  <c r="T26" i="9" a="1"/>
  <c r="Q171" i="9" a="1"/>
  <c r="U88" i="9" a="1"/>
  <c r="R94" i="9" a="1"/>
  <c r="P144" i="9" a="1"/>
  <c r="R174" i="10" a="1"/>
  <c r="S99" i="9" a="1"/>
  <c r="R123" i="9" a="1"/>
  <c r="Q103" i="9" a="1"/>
  <c r="T95" i="10" a="1"/>
  <c r="Q39" i="9" a="1"/>
  <c r="S69" i="9" a="1"/>
  <c r="P65" i="9" a="1"/>
  <c r="V19" i="9" a="1"/>
  <c r="Q484" i="10" a="1"/>
  <c r="P156" i="10" a="1"/>
  <c r="Q309" i="10" a="1"/>
  <c r="R151" i="9" a="1"/>
  <c r="P311" i="10" a="1"/>
  <c r="P374" i="10" a="1"/>
  <c r="R196" i="10" a="1"/>
  <c r="S459" i="10" a="1"/>
  <c r="R367" i="10" a="1"/>
  <c r="T408" i="10" a="1"/>
  <c r="Q94" i="9" a="1"/>
  <c r="Q55" i="9" a="1"/>
  <c r="R25" i="10" a="1"/>
  <c r="R487" i="10" a="1"/>
  <c r="Q236" i="10" a="1"/>
  <c r="P149" i="10" a="1"/>
  <c r="P53" i="9" a="1"/>
  <c r="P161" i="9" a="1"/>
  <c r="P220" i="10" a="1"/>
  <c r="Q170" i="10" a="1"/>
  <c r="R459" i="10" a="1"/>
  <c r="Q405" i="10" a="1"/>
  <c r="Q450" i="10" a="1"/>
  <c r="P459" i="10" a="1"/>
  <c r="P81" i="9" a="1"/>
  <c r="T207" i="9" a="1"/>
  <c r="P19" i="9" a="1"/>
  <c r="S39" i="9" a="1"/>
  <c r="P171" i="9" a="1"/>
  <c r="R181" i="10" a="1"/>
  <c r="S354" i="10" a="1"/>
  <c r="Q444" i="10" a="1"/>
  <c r="S207" i="9" a="1"/>
  <c r="T173" i="9" a="1"/>
  <c r="T404" i="10" a="1"/>
  <c r="R233" i="10" a="1"/>
  <c r="P425" i="10" a="1"/>
  <c r="V152" i="9" a="1"/>
  <c r="R405" i="10" a="1"/>
  <c r="T39" i="9" a="1"/>
  <c r="Q295" i="10" a="1"/>
  <c r="P25" i="9" a="1"/>
  <c r="T19" i="9" a="1"/>
  <c r="R362" i="10" a="1"/>
  <c r="P324" i="10" a="1"/>
  <c r="P106" i="9" a="1"/>
  <c r="Q221" i="10" a="1"/>
  <c r="R9" i="10" a="1"/>
  <c r="Q134" i="9" a="1"/>
  <c r="T205" i="10" a="1"/>
  <c r="P329" i="10" a="1"/>
  <c r="P122" i="10" a="1"/>
  <c r="T69" i="9" a="1"/>
  <c r="Q41" i="9" a="1"/>
  <c r="T221" i="10" a="1"/>
  <c r="R81" i="9" a="1"/>
  <c r="P276" i="10" a="1"/>
  <c r="S192" i="9" a="1"/>
  <c r="R36" i="9" a="1"/>
  <c r="R205" i="9" a="1"/>
  <c r="R140" i="10" a="1"/>
  <c r="T168" i="9" a="1"/>
  <c r="P2" i="10" a="1"/>
  <c r="R457" i="10" a="1"/>
  <c r="S327" i="10" a="1"/>
  <c r="P152" i="9" a="1"/>
  <c r="Q117" i="10" a="1"/>
  <c r="Q116" i="9" a="1"/>
  <c r="U49" i="9" a="1"/>
  <c r="S8" i="9" a="1"/>
  <c r="R55" i="9" a="1"/>
  <c r="Q127" i="10" a="1"/>
  <c r="S26" i="9" a="1"/>
  <c r="R151" i="10" a="1"/>
  <c r="Q64" i="9" a="1"/>
  <c r="R139" i="10" a="1"/>
  <c r="Q73" i="9" a="1"/>
  <c r="U204" i="9" a="1"/>
  <c r="R101" i="9" a="1"/>
  <c r="T44" i="9" a="1"/>
  <c r="Q131" i="10" a="1"/>
  <c r="R24" i="9" a="1"/>
  <c r="Q182" i="9" a="1"/>
  <c r="R117" i="9" a="1"/>
  <c r="P458" i="10" a="1"/>
  <c r="P458" i="10" l="1"/>
  <c r="R117" i="9"/>
  <c r="Q182" i="9"/>
  <c r="R24" i="9"/>
  <c r="Q131" i="10"/>
  <c r="T44" i="9"/>
  <c r="R101" i="9"/>
  <c r="U204" i="9"/>
  <c r="Q73" i="9"/>
  <c r="R139" i="10"/>
  <c r="Q64" i="9"/>
  <c r="R151" i="10"/>
  <c r="S26" i="9"/>
  <c r="Q127" i="10"/>
  <c r="R55" i="9"/>
  <c r="S8" i="9"/>
  <c r="U49" i="9"/>
  <c r="Q116" i="9"/>
  <c r="Q117" i="10"/>
  <c r="P152" i="9"/>
  <c r="S327" i="10"/>
  <c r="R457" i="10"/>
  <c r="P2" i="10"/>
  <c r="T168" i="9"/>
  <c r="R140" i="10"/>
  <c r="R205" i="9"/>
  <c r="R36" i="9"/>
  <c r="S192" i="9"/>
  <c r="P276" i="10"/>
  <c r="R81" i="9"/>
  <c r="T221" i="10"/>
  <c r="Q41" i="9"/>
  <c r="T69" i="9"/>
  <c r="P122" i="10"/>
  <c r="P329" i="10"/>
  <c r="T205" i="10"/>
  <c r="Q134" i="9"/>
  <c r="R9" i="10"/>
  <c r="Q221" i="10"/>
  <c r="P106" i="9"/>
  <c r="P324" i="10"/>
  <c r="R362" i="10"/>
  <c r="T19" i="9"/>
  <c r="P25" i="9"/>
  <c r="Q295" i="10"/>
  <c r="T39" i="9"/>
  <c r="R405" i="10"/>
  <c r="V152" i="9"/>
  <c r="P425" i="10"/>
  <c r="R233" i="10"/>
  <c r="T404" i="10"/>
  <c r="T173" i="9"/>
  <c r="S207" i="9"/>
  <c r="Q444" i="10"/>
  <c r="S354" i="10"/>
  <c r="R181" i="10"/>
  <c r="P171" i="9"/>
  <c r="S39" i="9"/>
  <c r="P19" i="9"/>
  <c r="T207" i="9"/>
  <c r="P81" i="9"/>
  <c r="P459" i="10"/>
  <c r="Q450" i="10"/>
  <c r="Q405" i="10"/>
  <c r="R459" i="10"/>
  <c r="Q170" i="10"/>
  <c r="P220" i="10"/>
  <c r="P161" i="9"/>
  <c r="P53" i="9"/>
  <c r="P149" i="10"/>
  <c r="Q236" i="10"/>
  <c r="R487" i="10"/>
  <c r="R25" i="10"/>
  <c r="Q55" i="9"/>
  <c r="Q94" i="9"/>
  <c r="T408" i="10"/>
  <c r="R367" i="10"/>
  <c r="S459" i="10"/>
  <c r="R196" i="10"/>
  <c r="P374" i="10"/>
  <c r="P311" i="10"/>
  <c r="R151" i="9"/>
  <c r="Q309" i="10"/>
  <c r="P156" i="10"/>
  <c r="Q484" i="10"/>
  <c r="V19" i="9"/>
  <c r="P65" i="9"/>
  <c r="S69" i="9"/>
  <c r="Q39" i="9"/>
  <c r="T95" i="10"/>
  <c r="Q103" i="9"/>
  <c r="R123" i="9"/>
  <c r="S99" i="9"/>
  <c r="R174" i="10"/>
  <c r="P144" i="9"/>
  <c r="R94" i="9"/>
  <c r="U88" i="9"/>
  <c r="Q171" i="9"/>
  <c r="T26" i="9"/>
  <c r="Q476" i="10"/>
  <c r="Q154" i="9"/>
  <c r="P323" i="10"/>
  <c r="Q62" i="9"/>
  <c r="S136" i="10"/>
  <c r="S182" i="9"/>
  <c r="Q126" i="9"/>
  <c r="Q61" i="9"/>
  <c r="P179" i="9"/>
  <c r="U96" i="9"/>
  <c r="V57" i="9"/>
  <c r="S15" i="10"/>
  <c r="S168" i="9"/>
  <c r="Q159" i="9"/>
  <c r="T132" i="9"/>
  <c r="R168" i="9"/>
  <c r="P122" i="9"/>
  <c r="Q161" i="9"/>
  <c r="R96" i="9"/>
  <c r="S83" i="9"/>
  <c r="V157" i="9"/>
  <c r="Q208" i="9"/>
  <c r="P52" i="9"/>
  <c r="Q374" i="10"/>
  <c r="Q112" i="9"/>
  <c r="P104" i="10"/>
  <c r="Q371" i="10"/>
  <c r="Q135" i="9"/>
  <c r="Q361" i="10"/>
  <c r="R99" i="9"/>
  <c r="R32" i="10"/>
  <c r="T159" i="9"/>
  <c r="P154" i="9"/>
  <c r="R34" i="9"/>
  <c r="Q70" i="9"/>
  <c r="U479" i="10"/>
  <c r="P403" i="10"/>
  <c r="T125" i="9"/>
  <c r="P89" i="9"/>
  <c r="P46" i="9"/>
  <c r="Q3" i="9"/>
  <c r="R32" i="9"/>
  <c r="Q9" i="9"/>
  <c r="U138" i="9"/>
  <c r="Q115" i="10"/>
  <c r="T108" i="9"/>
  <c r="S145" i="9"/>
  <c r="S56" i="9"/>
  <c r="P131" i="10"/>
  <c r="T201" i="9"/>
  <c r="R132" i="9"/>
  <c r="Q193" i="10"/>
  <c r="T199" i="9"/>
  <c r="Q200" i="9"/>
  <c r="Q481" i="10"/>
  <c r="R19" i="9"/>
  <c r="P114" i="9"/>
  <c r="P83" i="9"/>
  <c r="R188" i="9"/>
  <c r="R18" i="9"/>
  <c r="Q206" i="9"/>
  <c r="Q37" i="10"/>
  <c r="T101" i="9"/>
  <c r="Q168" i="9"/>
  <c r="Q87" i="9"/>
  <c r="S7" i="9"/>
  <c r="P35" i="9"/>
  <c r="Q100" i="9"/>
  <c r="R70" i="9"/>
  <c r="P132" i="10"/>
  <c r="Q169" i="9"/>
  <c r="R7" i="9"/>
  <c r="R47" i="9"/>
  <c r="P153" i="9"/>
  <c r="R125" i="9"/>
  <c r="P232" i="10"/>
  <c r="R257" i="10"/>
  <c r="R452" i="10"/>
  <c r="Q133" i="9"/>
  <c r="U132" i="9"/>
  <c r="Q345" i="10"/>
  <c r="T98" i="9"/>
  <c r="T150" i="9"/>
  <c r="R377" i="10"/>
  <c r="U105" i="9"/>
  <c r="P176" i="10"/>
  <c r="V478" i="10"/>
  <c r="R83" i="9"/>
  <c r="P84" i="9"/>
  <c r="R22" i="9"/>
  <c r="P262" i="10"/>
  <c r="R71" i="10"/>
  <c r="S107" i="9"/>
  <c r="Q74" i="9"/>
  <c r="Q72" i="9"/>
  <c r="Q166" i="9"/>
  <c r="R176" i="9"/>
  <c r="Q420" i="10"/>
  <c r="P172" i="9"/>
  <c r="Q59" i="9"/>
  <c r="R149" i="9"/>
  <c r="R129" i="9"/>
  <c r="S35" i="9"/>
  <c r="S181" i="10"/>
  <c r="R267" i="10"/>
  <c r="P150" i="9"/>
  <c r="T121" i="9"/>
  <c r="Q122" i="9"/>
  <c r="Q156" i="9"/>
  <c r="P275" i="10"/>
  <c r="Q175" i="10"/>
  <c r="S82" i="9"/>
  <c r="S9" i="9"/>
  <c r="Q81" i="9"/>
  <c r="P160" i="10"/>
  <c r="P158" i="10"/>
  <c r="S27" i="9"/>
  <c r="Q132" i="9"/>
  <c r="P75" i="9"/>
  <c r="P353" i="10"/>
  <c r="P177" i="10"/>
  <c r="T21" i="9"/>
  <c r="R5" i="9"/>
  <c r="S101" i="9"/>
  <c r="U62" i="9"/>
  <c r="Q399" i="10"/>
  <c r="U76" i="9"/>
  <c r="P463" i="10"/>
  <c r="Q188" i="9"/>
  <c r="P7" i="9"/>
  <c r="U72" i="9"/>
  <c r="S72" i="9"/>
  <c r="U348" i="10"/>
  <c r="P348" i="10"/>
  <c r="P284" i="10"/>
  <c r="Q354" i="10"/>
  <c r="Q120" i="9"/>
  <c r="Q45" i="10"/>
  <c r="P469" i="10"/>
  <c r="Q243" i="10"/>
  <c r="T204" i="9"/>
  <c r="P148" i="10"/>
  <c r="P280" i="10"/>
  <c r="Q410" i="10"/>
  <c r="P246" i="10"/>
  <c r="S4" i="9"/>
  <c r="P214" i="10"/>
  <c r="P180" i="10"/>
  <c r="Q15" i="9"/>
  <c r="U29" i="9"/>
  <c r="T27" i="9"/>
  <c r="T92" i="9"/>
  <c r="S127" i="10"/>
  <c r="U468" i="10"/>
  <c r="Q408" i="10"/>
  <c r="S462" i="10"/>
  <c r="S180" i="9"/>
  <c r="R91" i="9"/>
  <c r="P248" i="10"/>
  <c r="R330" i="10"/>
  <c r="S340" i="10"/>
  <c r="P162" i="10"/>
  <c r="S141" i="9"/>
  <c r="R291" i="10"/>
  <c r="P73" i="10"/>
  <c r="P17" i="10"/>
  <c r="R135" i="10"/>
  <c r="Q385" i="10"/>
  <c r="P395" i="10"/>
  <c r="S191" i="9"/>
  <c r="R338" i="10"/>
  <c r="U112" i="9"/>
  <c r="R160" i="10"/>
  <c r="Q277" i="10"/>
  <c r="Q17" i="10"/>
  <c r="S28" i="10"/>
  <c r="P124" i="9"/>
  <c r="Q296" i="10"/>
  <c r="P255" i="10"/>
  <c r="S284" i="10"/>
  <c r="P418" i="10"/>
  <c r="P69" i="9"/>
  <c r="Q32" i="9"/>
  <c r="U85" i="9"/>
  <c r="P139" i="10"/>
  <c r="T100" i="9"/>
  <c r="U6" i="9"/>
  <c r="R204" i="9"/>
  <c r="T164" i="9"/>
  <c r="R100" i="9"/>
  <c r="P218" i="10"/>
  <c r="P199" i="9"/>
  <c r="R231" i="10"/>
  <c r="Q189" i="10"/>
  <c r="P163" i="9"/>
  <c r="T178" i="9"/>
  <c r="S19" i="9"/>
  <c r="S30" i="9"/>
  <c r="Q305" i="10"/>
  <c r="Q33" i="9"/>
  <c r="P9" i="9"/>
  <c r="P130" i="9"/>
  <c r="S140" i="9"/>
  <c r="T195" i="9"/>
  <c r="R155" i="9"/>
  <c r="Q60" i="9"/>
  <c r="P42" i="10"/>
  <c r="R207" i="10"/>
  <c r="P155" i="9"/>
  <c r="U33" i="9"/>
  <c r="R40" i="9"/>
  <c r="S141" i="10"/>
  <c r="S29" i="9"/>
  <c r="P49" i="9"/>
  <c r="Q140" i="9"/>
  <c r="Q163" i="9"/>
  <c r="P200" i="10"/>
  <c r="S145" i="10"/>
  <c r="Q36" i="9"/>
  <c r="Q138" i="9"/>
  <c r="Q180" i="10"/>
  <c r="Q164" i="9"/>
  <c r="Q466" i="10"/>
  <c r="Q86" i="9"/>
  <c r="T7" i="9"/>
  <c r="U199" i="9"/>
  <c r="P129" i="9"/>
  <c r="S2" i="9"/>
  <c r="P236" i="10"/>
  <c r="U104" i="9"/>
  <c r="Q310" i="10"/>
  <c r="R14" i="9"/>
  <c r="P194" i="10"/>
  <c r="R199" i="9"/>
  <c r="R200" i="9"/>
  <c r="U482" i="10"/>
  <c r="R172" i="9"/>
  <c r="P76" i="10"/>
  <c r="Q394" i="10"/>
  <c r="Q338" i="10"/>
  <c r="R135" i="9"/>
  <c r="P207" i="9"/>
  <c r="R187" i="9"/>
  <c r="R73" i="9"/>
  <c r="T181" i="9"/>
  <c r="P412" i="10"/>
  <c r="S163" i="9"/>
  <c r="P51" i="9"/>
  <c r="P195" i="9"/>
  <c r="Q203" i="9"/>
  <c r="P104" i="9"/>
  <c r="R117" i="10"/>
  <c r="R141" i="9"/>
  <c r="S467" i="10"/>
  <c r="R42" i="9"/>
  <c r="P44" i="10"/>
  <c r="R143" i="9"/>
  <c r="Q147" i="9"/>
  <c r="Q185" i="9"/>
  <c r="P10" i="10"/>
  <c r="P229" i="10"/>
  <c r="R48" i="10"/>
  <c r="R191" i="9"/>
  <c r="Q56" i="9"/>
  <c r="P193" i="9"/>
  <c r="T147" i="9"/>
  <c r="R175" i="9"/>
  <c r="Q418" i="10"/>
  <c r="T193" i="9"/>
  <c r="S39" i="10"/>
  <c r="T133" i="9"/>
  <c r="P165" i="9"/>
  <c r="S172" i="9"/>
  <c r="S165" i="9"/>
  <c r="U139" i="9"/>
  <c r="P437" i="10"/>
  <c r="R25" i="9"/>
  <c r="P206" i="10"/>
  <c r="U201" i="9"/>
  <c r="P157" i="10"/>
  <c r="Q38" i="9"/>
  <c r="S184" i="9"/>
  <c r="Q28" i="9"/>
  <c r="Q49" i="9"/>
  <c r="R50" i="9"/>
  <c r="R139" i="9"/>
  <c r="Q431" i="10"/>
  <c r="R162" i="9"/>
  <c r="P101" i="9"/>
  <c r="Q157" i="9"/>
  <c r="T475" i="10"/>
  <c r="R92" i="10"/>
  <c r="P100" i="9"/>
  <c r="R80" i="9"/>
  <c r="R61" i="9"/>
  <c r="R53" i="9"/>
  <c r="R313" i="10"/>
  <c r="S92" i="9"/>
  <c r="P160" i="9"/>
  <c r="P68" i="10"/>
  <c r="S33" i="9"/>
  <c r="S195" i="9"/>
  <c r="P75" i="10"/>
  <c r="R71" i="9"/>
  <c r="T76" i="9"/>
  <c r="P33" i="9"/>
  <c r="P28" i="10"/>
  <c r="S93" i="9"/>
  <c r="P407" i="10"/>
  <c r="U116" i="9"/>
  <c r="Q283" i="10"/>
  <c r="S422" i="10"/>
  <c r="S10" i="9"/>
  <c r="T18" i="10"/>
  <c r="P274" i="10"/>
  <c r="R200" i="10"/>
  <c r="Q199" i="10"/>
  <c r="Q459" i="10"/>
  <c r="S448" i="10"/>
  <c r="P445" i="10"/>
  <c r="R361" i="10"/>
  <c r="Q195" i="9"/>
  <c r="S280" i="10"/>
  <c r="R49" i="10"/>
  <c r="P85" i="9"/>
  <c r="Q196" i="9"/>
  <c r="R103" i="10"/>
  <c r="P457" i="10"/>
  <c r="U106" i="9"/>
  <c r="T273" i="10"/>
  <c r="S399" i="10"/>
  <c r="P16" i="9"/>
  <c r="P121" i="9"/>
  <c r="T20" i="10"/>
  <c r="Q58" i="10"/>
  <c r="R445" i="10"/>
  <c r="R50" i="10"/>
  <c r="P319" i="10"/>
  <c r="U51" i="9"/>
  <c r="U224" i="10"/>
  <c r="T206" i="9"/>
  <c r="U90" i="9"/>
  <c r="S13" i="9"/>
  <c r="U161" i="9"/>
  <c r="T456" i="10"/>
  <c r="U25" i="9"/>
  <c r="P208" i="10"/>
  <c r="Q441" i="10"/>
  <c r="S396" i="10"/>
  <c r="U444" i="10"/>
  <c r="V182" i="10"/>
  <c r="P119" i="9"/>
  <c r="T149" i="9"/>
  <c r="R181" i="9"/>
  <c r="S32" i="9"/>
  <c r="P347" i="10"/>
  <c r="U181" i="9"/>
  <c r="T74" i="9"/>
  <c r="P177" i="9"/>
  <c r="U162" i="10"/>
  <c r="U142" i="9"/>
  <c r="R97" i="9"/>
  <c r="Q213" i="10"/>
  <c r="T170" i="9"/>
  <c r="R167" i="9"/>
  <c r="U131" i="9"/>
  <c r="S114" i="9"/>
  <c r="P456" i="10"/>
  <c r="S148" i="9"/>
  <c r="P168" i="9"/>
  <c r="T184" i="9"/>
  <c r="P116" i="9"/>
  <c r="T137" i="9"/>
  <c r="P156" i="9"/>
  <c r="R370" i="10"/>
  <c r="P113" i="9"/>
  <c r="P22" i="9"/>
  <c r="P235" i="10"/>
  <c r="R378" i="10"/>
  <c r="S146" i="9"/>
  <c r="U174" i="9"/>
  <c r="P297" i="10"/>
  <c r="P24" i="9"/>
  <c r="Q134" i="10"/>
  <c r="R433" i="10"/>
  <c r="T183" i="9"/>
  <c r="Q124" i="9"/>
  <c r="U258" i="10"/>
  <c r="R252" i="10"/>
  <c r="R109" i="9"/>
  <c r="S170" i="9"/>
  <c r="S105" i="9"/>
  <c r="Q298" i="10"/>
  <c r="R65" i="9"/>
  <c r="Q173" i="9"/>
  <c r="P187" i="9"/>
  <c r="Q160" i="9"/>
  <c r="Q35" i="10"/>
  <c r="R483" i="10"/>
  <c r="Q26" i="9"/>
  <c r="S126" i="9"/>
  <c r="Q191" i="9"/>
  <c r="S86" i="9"/>
  <c r="T176" i="9"/>
  <c r="P137" i="9"/>
  <c r="S125" i="9"/>
  <c r="R23" i="9"/>
  <c r="P20" i="10"/>
  <c r="Q411" i="10"/>
  <c r="P164" i="9"/>
  <c r="P63" i="9"/>
  <c r="Q390" i="10"/>
  <c r="Q6" i="9"/>
  <c r="Q169" i="10"/>
  <c r="Q400" i="10"/>
  <c r="P94" i="10"/>
  <c r="P21" i="9"/>
  <c r="P55" i="10"/>
  <c r="Q25" i="9"/>
  <c r="P134" i="9"/>
  <c r="P183" i="9"/>
  <c r="S190" i="9"/>
  <c r="U206" i="9"/>
  <c r="S187" i="9"/>
  <c r="U257" i="10"/>
  <c r="Q89" i="9"/>
  <c r="U166" i="9"/>
  <c r="R185" i="9"/>
  <c r="P68" i="9"/>
  <c r="Q128" i="9"/>
  <c r="R21" i="9"/>
  <c r="S62" i="9"/>
  <c r="T182" i="9"/>
  <c r="R152" i="9"/>
  <c r="S160" i="9"/>
  <c r="R12" i="9"/>
  <c r="S73" i="9"/>
  <c r="Q106" i="9"/>
  <c r="P77" i="9"/>
  <c r="Q416" i="10"/>
  <c r="T105" i="9"/>
  <c r="P14" i="10"/>
  <c r="R153" i="9"/>
  <c r="R102" i="9"/>
  <c r="R77" i="9"/>
  <c r="P14" i="9"/>
  <c r="P13" i="9"/>
  <c r="S24" i="9"/>
  <c r="U122" i="9"/>
  <c r="S60" i="9"/>
  <c r="R435" i="10"/>
  <c r="R195" i="9"/>
  <c r="P216" i="10"/>
  <c r="R10" i="9"/>
  <c r="Q98" i="9"/>
  <c r="Q123" i="9"/>
  <c r="R26" i="9"/>
  <c r="S64" i="9"/>
  <c r="U75" i="9"/>
  <c r="T45" i="9"/>
  <c r="P99" i="9"/>
  <c r="S173" i="9"/>
  <c r="Q201" i="9"/>
  <c r="Q181" i="9"/>
  <c r="Q85" i="9"/>
  <c r="S129" i="9"/>
  <c r="P5" i="10"/>
  <c r="P47" i="9"/>
  <c r="Q397" i="10"/>
  <c r="P127" i="9"/>
  <c r="P67" i="9"/>
  <c r="R8" i="9"/>
  <c r="P145" i="9"/>
  <c r="Q167" i="9"/>
  <c r="R41" i="9"/>
  <c r="P461" i="10"/>
  <c r="P72" i="9"/>
  <c r="Q142" i="9"/>
  <c r="R128" i="9"/>
  <c r="P78" i="9"/>
  <c r="R156" i="9"/>
  <c r="P363" i="10"/>
  <c r="Q63" i="10"/>
  <c r="P59" i="10"/>
  <c r="P102" i="9"/>
  <c r="Q376" i="10"/>
  <c r="P95" i="10"/>
  <c r="S123" i="9"/>
  <c r="R37" i="9"/>
  <c r="P325" i="10"/>
  <c r="S136" i="9"/>
  <c r="P452" i="10"/>
  <c r="P431" i="10"/>
  <c r="P198" i="10"/>
  <c r="T146" i="9"/>
  <c r="R68" i="9"/>
  <c r="Q202" i="10"/>
  <c r="T196" i="9"/>
  <c r="Q54" i="9"/>
  <c r="Q323" i="10"/>
  <c r="S22" i="9"/>
  <c r="R43" i="9"/>
  <c r="Q180" i="9"/>
  <c r="U86" i="9"/>
  <c r="P73" i="9"/>
  <c r="R146" i="9"/>
  <c r="S189" i="9"/>
  <c r="Q415" i="10"/>
  <c r="S50" i="9"/>
  <c r="Q23" i="9"/>
  <c r="Q65" i="9"/>
  <c r="Q137" i="9"/>
  <c r="Q133" i="10"/>
  <c r="S124" i="9"/>
  <c r="R110" i="9"/>
  <c r="R150" i="9"/>
  <c r="P150" i="10"/>
  <c r="S104" i="9"/>
  <c r="P40" i="9"/>
  <c r="R439" i="10"/>
  <c r="S153" i="9"/>
  <c r="P69" i="10"/>
  <c r="U124" i="9"/>
  <c r="R174" i="9"/>
  <c r="Q45" i="9"/>
  <c r="Q99" i="9"/>
  <c r="P182" i="10"/>
  <c r="Q103" i="10"/>
  <c r="P175" i="10"/>
  <c r="R197" i="9"/>
  <c r="T191" i="9"/>
  <c r="Q176" i="10"/>
  <c r="Q79" i="10"/>
  <c r="P251" i="10"/>
  <c r="S468" i="10"/>
  <c r="S179" i="9"/>
  <c r="P309" i="10"/>
  <c r="P141" i="10"/>
  <c r="T42" i="9"/>
  <c r="S208" i="9"/>
  <c r="R51" i="10"/>
  <c r="Q20" i="9"/>
  <c r="P333" i="10"/>
  <c r="S81" i="9"/>
  <c r="S66" i="9"/>
  <c r="P470" i="10"/>
  <c r="P247" i="10"/>
  <c r="R170" i="9"/>
  <c r="P56" i="9"/>
  <c r="P201" i="9"/>
  <c r="P242" i="10"/>
  <c r="R334" i="10"/>
  <c r="R115" i="9"/>
  <c r="S104" i="10"/>
  <c r="Q358" i="10"/>
  <c r="U66" i="9"/>
  <c r="R112" i="9"/>
  <c r="R4" i="9"/>
  <c r="R161" i="9"/>
  <c r="Q102" i="9"/>
  <c r="R131" i="9"/>
  <c r="T124" i="10"/>
  <c r="Q58" i="9"/>
  <c r="P366" i="10"/>
  <c r="S189" i="10"/>
  <c r="Q487" i="10"/>
  <c r="U169" i="9"/>
  <c r="S5" i="9"/>
  <c r="Q25" i="10"/>
  <c r="S383" i="10"/>
  <c r="U36" i="9"/>
  <c r="Q174" i="10"/>
  <c r="R80" i="10"/>
  <c r="R440" i="10"/>
  <c r="R69" i="10"/>
  <c r="P53" i="10"/>
  <c r="T368" i="10"/>
  <c r="Q207" i="9"/>
  <c r="R104" i="9"/>
  <c r="Q267" i="10"/>
  <c r="P23" i="10"/>
  <c r="S83" i="10"/>
  <c r="P91" i="10"/>
  <c r="T155" i="9"/>
  <c r="T289" i="10"/>
  <c r="T192" i="9"/>
  <c r="Q155" i="9"/>
  <c r="T97" i="9"/>
  <c r="P173" i="10"/>
  <c r="P326" i="10"/>
  <c r="R223" i="10"/>
  <c r="T29" i="9"/>
  <c r="Q178" i="9"/>
  <c r="Q105" i="10"/>
  <c r="Q177" i="10"/>
  <c r="R407" i="10"/>
  <c r="S380" i="10"/>
  <c r="U205" i="9"/>
  <c r="P381" i="10"/>
  <c r="P290" i="10"/>
  <c r="P26" i="10"/>
  <c r="S76" i="9"/>
  <c r="P410" i="10"/>
  <c r="T173" i="10"/>
  <c r="R466" i="10"/>
  <c r="R202" i="9"/>
  <c r="P178" i="9"/>
  <c r="U102" i="9"/>
  <c r="S143" i="9"/>
  <c r="U430" i="10"/>
  <c r="P12" i="9"/>
  <c r="R90" i="9"/>
  <c r="Q67" i="9"/>
  <c r="T48" i="9"/>
  <c r="R12" i="10"/>
  <c r="T180" i="9"/>
  <c r="P92" i="9"/>
  <c r="S16" i="10"/>
  <c r="R142" i="9"/>
  <c r="S196" i="9"/>
  <c r="P223" i="10"/>
  <c r="P197" i="9"/>
  <c r="Q97" i="9"/>
  <c r="T161" i="10"/>
  <c r="P165" i="10"/>
  <c r="R78" i="9"/>
  <c r="P47" i="10"/>
  <c r="R134" i="9"/>
  <c r="P149" i="9"/>
  <c r="U65" i="9"/>
  <c r="S17" i="9"/>
  <c r="R179" i="9"/>
  <c r="V115" i="10"/>
  <c r="T73" i="9"/>
  <c r="S45" i="9"/>
  <c r="T30" i="9"/>
  <c r="Q176" i="9"/>
  <c r="P259" i="10"/>
  <c r="Q108" i="10"/>
  <c r="P48" i="9"/>
  <c r="R133" i="9"/>
  <c r="S21" i="9"/>
  <c r="P54" i="9"/>
  <c r="U121" i="9"/>
  <c r="Q119" i="9"/>
  <c r="Q138" i="10"/>
  <c r="Q458" i="10"/>
  <c r="Q30" i="9"/>
  <c r="P125" i="9"/>
  <c r="P23" i="9"/>
  <c r="P27" i="9"/>
  <c r="P50" i="9"/>
  <c r="Q141" i="9"/>
  <c r="Q143" i="9"/>
  <c r="T118" i="9"/>
  <c r="P215" i="10"/>
  <c r="R91" i="10"/>
  <c r="U386" i="10"/>
  <c r="Q69" i="10"/>
  <c r="T200" i="9"/>
  <c r="R479" i="10"/>
  <c r="Q111" i="9"/>
  <c r="S31" i="9"/>
  <c r="S65" i="9"/>
  <c r="Q290" i="10"/>
  <c r="T86" i="9"/>
  <c r="S274" i="10"/>
  <c r="R17" i="9"/>
  <c r="P170" i="9"/>
  <c r="P112" i="9"/>
  <c r="P60" i="9"/>
  <c r="R118" i="9"/>
  <c r="P45" i="10"/>
  <c r="P79" i="10"/>
  <c r="P61" i="9"/>
  <c r="Q250" i="10"/>
  <c r="P159" i="9"/>
  <c r="Q149" i="9"/>
  <c r="R154" i="9"/>
  <c r="Q42" i="9"/>
  <c r="U208" i="9"/>
  <c r="Q462" i="10"/>
  <c r="S53" i="9"/>
  <c r="Q93" i="9"/>
  <c r="S309" i="10"/>
  <c r="U57" i="9"/>
  <c r="S199" i="9"/>
  <c r="R160" i="9"/>
  <c r="P473" i="10"/>
  <c r="S67" i="9"/>
  <c r="R251" i="10"/>
  <c r="P443" i="10"/>
  <c r="R145" i="9"/>
  <c r="P190" i="9"/>
  <c r="P4" i="9"/>
  <c r="Q37" i="9"/>
  <c r="P64" i="9"/>
  <c r="Q139" i="9"/>
  <c r="P6" i="10"/>
  <c r="R279" i="10"/>
  <c r="R140" i="9"/>
  <c r="T77" i="9"/>
  <c r="P295" i="10"/>
  <c r="R48" i="9"/>
  <c r="Q198" i="9"/>
  <c r="Q177" i="9"/>
  <c r="R44" i="9"/>
  <c r="S85" i="9"/>
  <c r="U183" i="9"/>
  <c r="R79" i="9"/>
  <c r="R45" i="9"/>
  <c r="P182" i="9"/>
  <c r="Q175" i="9"/>
  <c r="S165" i="10"/>
  <c r="Q15" i="10"/>
  <c r="Q79" i="9"/>
  <c r="Q36" i="10"/>
  <c r="Q75" i="9"/>
  <c r="R148" i="9"/>
  <c r="Q263" i="10"/>
  <c r="P96" i="9"/>
  <c r="T145" i="9"/>
  <c r="Q5" i="10"/>
  <c r="Q242" i="10"/>
  <c r="P18" i="10"/>
  <c r="U56" i="9"/>
  <c r="P371" i="10"/>
  <c r="P57" i="9"/>
  <c r="P147" i="9"/>
  <c r="S28" i="9"/>
  <c r="P375" i="10"/>
  <c r="U7" i="9"/>
  <c r="Q54" i="10"/>
  <c r="T203" i="9"/>
  <c r="Q13" i="9"/>
  <c r="S204" i="9"/>
  <c r="P39" i="9"/>
  <c r="R66" i="9"/>
  <c r="S198" i="9"/>
  <c r="T66" i="9"/>
  <c r="P19" i="10"/>
  <c r="S94" i="9"/>
  <c r="P175" i="9"/>
  <c r="P368" i="10"/>
  <c r="R193" i="9"/>
  <c r="T185" i="9"/>
  <c r="P80" i="9"/>
  <c r="Q318" i="10"/>
  <c r="P308" i="10"/>
  <c r="P400" i="10"/>
  <c r="P405" i="10"/>
  <c r="P108" i="9"/>
  <c r="R186" i="9"/>
  <c r="T82" i="9"/>
  <c r="R34" i="10"/>
  <c r="S415" i="10"/>
  <c r="T166" i="9"/>
  <c r="Q11" i="9"/>
  <c r="R16" i="9"/>
  <c r="R171" i="9"/>
  <c r="Q38" i="10"/>
  <c r="P103" i="9"/>
  <c r="Q22" i="10"/>
  <c r="P479" i="10"/>
  <c r="P169" i="9"/>
  <c r="R137" i="10"/>
  <c r="P18" i="9"/>
  <c r="P196" i="9"/>
  <c r="R261" i="10"/>
  <c r="P42" i="9"/>
  <c r="P44" i="9"/>
  <c r="R210" i="10"/>
  <c r="U119" i="9"/>
  <c r="P310" i="10"/>
  <c r="R72" i="9"/>
  <c r="Q66" i="9"/>
  <c r="P148" i="9"/>
  <c r="P106" i="10"/>
  <c r="T126" i="9"/>
  <c r="R38" i="9"/>
  <c r="U8" i="9"/>
  <c r="P238" i="10"/>
  <c r="T341" i="10"/>
  <c r="R333" i="10"/>
  <c r="Q246" i="10"/>
  <c r="T60" i="9"/>
  <c r="R194" i="9"/>
  <c r="T276" i="10"/>
  <c r="S95" i="9"/>
  <c r="P15" i="9"/>
  <c r="Q127" i="9"/>
  <c r="P88" i="9"/>
  <c r="T165" i="9"/>
  <c r="U24" i="9"/>
  <c r="P151" i="10"/>
  <c r="T136" i="9"/>
  <c r="Q251" i="10"/>
  <c r="P486" i="10"/>
  <c r="Q10" i="10"/>
  <c r="U4" i="9"/>
  <c r="P253" i="10"/>
  <c r="P67" i="10"/>
  <c r="Q60" i="10"/>
  <c r="Q421" i="10"/>
  <c r="U128" i="9"/>
  <c r="T311" i="10"/>
  <c r="T167" i="9"/>
  <c r="R20" i="9"/>
  <c r="R57" i="9"/>
  <c r="Q199" i="9"/>
  <c r="Q43" i="9"/>
  <c r="R58" i="9"/>
  <c r="R59" i="9"/>
  <c r="T75" i="9"/>
  <c r="U74" i="9"/>
  <c r="T162" i="9"/>
  <c r="U80" i="9"/>
  <c r="P65" i="10"/>
  <c r="U16" i="9"/>
  <c r="R207" i="9"/>
  <c r="S71" i="10"/>
  <c r="T151" i="9"/>
  <c r="T65" i="9"/>
  <c r="S116" i="9"/>
  <c r="P94" i="9"/>
  <c r="P109" i="9"/>
  <c r="P233" i="10"/>
  <c r="Q447" i="10"/>
  <c r="Q306" i="10"/>
  <c r="R148" i="10"/>
  <c r="P257" i="10"/>
  <c r="P2" i="9"/>
  <c r="Q12" i="9"/>
  <c r="Q485" i="10"/>
  <c r="Q461" i="10"/>
  <c r="V59" i="9"/>
  <c r="R282" i="10"/>
  <c r="U382" i="10"/>
  <c r="Q95" i="9"/>
  <c r="P200" i="9"/>
  <c r="U164" i="9"/>
  <c r="T138" i="9"/>
  <c r="S96" i="9"/>
  <c r="P115" i="9"/>
  <c r="S156" i="9"/>
  <c r="P373" i="10"/>
  <c r="T165" i="10"/>
  <c r="P417" i="10"/>
  <c r="T229" i="10"/>
  <c r="U185" i="10"/>
  <c r="R106" i="9"/>
  <c r="Q57" i="9"/>
  <c r="P120" i="9"/>
  <c r="S131" i="9"/>
  <c r="U68" i="9"/>
  <c r="S80" i="9"/>
  <c r="R421" i="10"/>
  <c r="S13" i="10"/>
  <c r="S68" i="9"/>
  <c r="Q194" i="9"/>
  <c r="P162" i="9"/>
  <c r="S122" i="10"/>
  <c r="P87" i="10"/>
  <c r="U192" i="9"/>
  <c r="P404" i="10"/>
  <c r="T95" i="9"/>
  <c r="P401" i="10"/>
  <c r="Q205" i="9"/>
  <c r="U111" i="9"/>
  <c r="P5" i="9"/>
  <c r="T102" i="9"/>
  <c r="Q457" i="10"/>
  <c r="Q204" i="9"/>
  <c r="P101" i="10"/>
  <c r="P86" i="9"/>
  <c r="Q118" i="9"/>
  <c r="S133" i="9"/>
  <c r="P191" i="9"/>
  <c r="P74" i="9"/>
  <c r="S6" i="9"/>
  <c r="P420" i="10"/>
  <c r="T157" i="9"/>
  <c r="T389" i="10"/>
  <c r="R165" i="9"/>
  <c r="T59" i="9"/>
  <c r="Q91" i="9"/>
  <c r="Q18" i="9"/>
  <c r="Q26" i="10"/>
  <c r="R363" i="10"/>
  <c r="P427" i="10"/>
  <c r="P399" i="10"/>
  <c r="T40" i="9"/>
  <c r="P82" i="10"/>
  <c r="T111" i="9"/>
  <c r="S205" i="9"/>
  <c r="Q14" i="9"/>
  <c r="U141" i="9"/>
  <c r="S91" i="9"/>
  <c r="R271" i="10"/>
  <c r="P209" i="10"/>
  <c r="R98" i="9"/>
  <c r="Q150" i="9"/>
  <c r="Q51" i="9"/>
  <c r="S71" i="9"/>
  <c r="P17" i="9"/>
  <c r="Q82" i="9"/>
  <c r="R52" i="9"/>
  <c r="P338" i="10"/>
  <c r="R201" i="9"/>
  <c r="P192" i="9"/>
  <c r="P34" i="9"/>
  <c r="Q80" i="9"/>
  <c r="P388" i="10"/>
  <c r="Q146" i="9"/>
  <c r="Q136" i="9"/>
  <c r="Q87" i="10"/>
  <c r="S34" i="9"/>
  <c r="R180" i="9"/>
  <c r="P151" i="9"/>
  <c r="R159" i="9"/>
  <c r="P468" i="10"/>
  <c r="Q265" i="10"/>
  <c r="P483" i="10"/>
  <c r="P128" i="9"/>
  <c r="Q95" i="10"/>
  <c r="Q139" i="10"/>
  <c r="P279" i="10"/>
  <c r="P173" i="9"/>
  <c r="R2" i="9"/>
  <c r="T106" i="9"/>
  <c r="R169" i="9"/>
  <c r="S12" i="10"/>
  <c r="S23" i="9"/>
  <c r="Q158" i="9"/>
  <c r="P138" i="9"/>
  <c r="P35" i="10"/>
  <c r="T171" i="9"/>
  <c r="R86" i="9"/>
  <c r="R166" i="10"/>
  <c r="R81" i="10"/>
  <c r="Q197" i="9"/>
  <c r="Q101" i="9"/>
  <c r="P91" i="9"/>
  <c r="S157" i="9"/>
  <c r="Q2" i="9"/>
  <c r="S379" i="10"/>
  <c r="Q184" i="9"/>
  <c r="S159" i="9"/>
  <c r="Q347" i="10"/>
  <c r="T4" i="9"/>
  <c r="S166" i="9"/>
  <c r="S30" i="10"/>
  <c r="P95" i="9"/>
  <c r="R64" i="9"/>
  <c r="R478" i="10"/>
  <c r="T119" i="9"/>
  <c r="R315" i="10"/>
  <c r="R158" i="9"/>
  <c r="P26" i="9"/>
  <c r="S176" i="9"/>
  <c r="Q115" i="9"/>
  <c r="Q29" i="9"/>
  <c r="R144" i="9"/>
  <c r="Q148" i="10"/>
  <c r="P141" i="9"/>
  <c r="S193" i="9"/>
  <c r="P97" i="9"/>
  <c r="S186" i="9"/>
  <c r="T27" i="10"/>
  <c r="R309" i="10"/>
  <c r="S430" i="10"/>
  <c r="P158" i="9"/>
  <c r="R392" i="10"/>
  <c r="Q69" i="9"/>
  <c r="R382" i="10"/>
  <c r="P135" i="9"/>
  <c r="P344" i="10"/>
  <c r="P277" i="10"/>
  <c r="P60" i="10"/>
  <c r="Q53" i="9"/>
  <c r="P10" i="9"/>
  <c r="R203" i="9"/>
  <c r="Q52" i="9"/>
  <c r="Q35" i="9"/>
  <c r="Q392" i="10"/>
  <c r="T232" i="10"/>
  <c r="P413" i="10"/>
  <c r="S111" i="9"/>
  <c r="Q360" i="10"/>
  <c r="T332" i="10"/>
  <c r="U63" i="9"/>
  <c r="Q98" i="10"/>
  <c r="R229" i="10"/>
  <c r="R103" i="9"/>
  <c r="S439" i="10"/>
  <c r="P54" i="10"/>
  <c r="S397" i="10"/>
  <c r="P88" i="10"/>
  <c r="P79" i="9"/>
  <c r="U416" i="10"/>
  <c r="Q333" i="10"/>
  <c r="R384" i="10"/>
  <c r="Q21" i="9"/>
  <c r="T205" i="9"/>
  <c r="P432" i="10"/>
  <c r="S341" i="10"/>
  <c r="R144" i="10"/>
  <c r="S51" i="9"/>
  <c r="U178" i="9"/>
  <c r="P171" i="10"/>
  <c r="Q165" i="9"/>
  <c r="Q339" i="10"/>
  <c r="Q178" i="10"/>
  <c r="R390" i="10"/>
  <c r="T140" i="9"/>
  <c r="P134" i="10"/>
  <c r="S174" i="9"/>
  <c r="P36" i="10"/>
  <c r="Q486" i="10"/>
  <c r="S84" i="10"/>
  <c r="S425" i="10"/>
  <c r="Q331" i="10"/>
  <c r="R450" i="10"/>
  <c r="S484" i="10"/>
  <c r="T265" i="10"/>
  <c r="P8" i="10"/>
  <c r="T172" i="10"/>
  <c r="U202" i="9"/>
  <c r="T146" i="10"/>
  <c r="P41" i="9"/>
  <c r="R46" i="9"/>
  <c r="P37" i="10"/>
  <c r="S420" i="10"/>
  <c r="U18" i="9"/>
  <c r="R28" i="9"/>
  <c r="T89" i="9"/>
  <c r="T274" i="10"/>
  <c r="S283" i="10"/>
  <c r="P439" i="10"/>
  <c r="P90" i="9"/>
  <c r="R111" i="9"/>
  <c r="P46" i="10"/>
  <c r="Q446" i="10"/>
  <c r="R39" i="9"/>
  <c r="S137" i="9"/>
  <c r="S117" i="9"/>
  <c r="R177" i="9"/>
  <c r="S113" i="9"/>
  <c r="P59" i="9"/>
  <c r="R82" i="9"/>
  <c r="P143" i="10"/>
  <c r="S251" i="10"/>
  <c r="U186" i="9"/>
  <c r="R107" i="9"/>
  <c r="Q241" i="10"/>
  <c r="R196" i="9"/>
  <c r="P45" i="9"/>
  <c r="P143" i="9"/>
  <c r="S150" i="9"/>
  <c r="U114" i="9"/>
  <c r="S139" i="9"/>
  <c r="P9" i="10"/>
  <c r="Q426" i="10"/>
  <c r="P379" i="10"/>
  <c r="Q192" i="9"/>
  <c r="P107" i="9"/>
  <c r="T432" i="10"/>
  <c r="T96" i="9"/>
  <c r="T156" i="9"/>
  <c r="U152" i="9"/>
  <c r="P184" i="9"/>
  <c r="S152" i="9"/>
  <c r="T12" i="9"/>
  <c r="R56" i="9"/>
  <c r="S261" i="10"/>
  <c r="P237" i="10"/>
  <c r="P13" i="10"/>
  <c r="P157" i="9"/>
  <c r="R379" i="10"/>
  <c r="Q10" i="9"/>
  <c r="Q291" i="10"/>
  <c r="Q125" i="9"/>
  <c r="S102" i="9"/>
  <c r="S78" i="9"/>
  <c r="P99" i="10"/>
  <c r="T133" i="10"/>
  <c r="R31" i="9"/>
  <c r="R255" i="10"/>
  <c r="S427" i="10"/>
  <c r="Q166" i="10"/>
  <c r="P335" i="10"/>
  <c r="T319" i="10"/>
  <c r="S25" i="10"/>
  <c r="R33" i="9"/>
  <c r="Q126" i="10"/>
  <c r="R451" i="10"/>
  <c r="P195" i="10"/>
  <c r="P303" i="10"/>
  <c r="R482" i="10"/>
  <c r="R226" i="10"/>
  <c r="Q7" i="9"/>
  <c r="P340" i="10"/>
  <c r="Q107" i="10"/>
  <c r="P358" i="10"/>
  <c r="P377" i="10"/>
  <c r="Q302" i="10"/>
  <c r="Q14" i="10"/>
  <c r="U42" i="9"/>
  <c r="U379" i="10"/>
  <c r="Q186" i="10"/>
  <c r="P116" i="10"/>
  <c r="U219" i="10"/>
  <c r="R93" i="9"/>
  <c r="P202" i="9"/>
  <c r="T218" i="10"/>
  <c r="R54" i="9"/>
  <c r="T93" i="9"/>
  <c r="Q117" i="9"/>
  <c r="Q50" i="9"/>
  <c r="R399" i="10"/>
  <c r="Q46" i="9"/>
  <c r="S206" i="9"/>
  <c r="P167" i="10"/>
  <c r="Q174" i="9"/>
  <c r="P480" i="10"/>
  <c r="Q209" i="10"/>
  <c r="Q189" i="9"/>
  <c r="P92" i="10"/>
  <c r="P108" i="10"/>
  <c r="R157" i="10"/>
  <c r="P57" i="10"/>
  <c r="U23" i="9"/>
  <c r="T87" i="9"/>
  <c r="U170" i="9"/>
  <c r="R55" i="10"/>
  <c r="U67" i="9"/>
  <c r="Q218" i="10"/>
  <c r="P172" i="10"/>
  <c r="U187" i="9"/>
  <c r="U255" i="10"/>
  <c r="V113" i="10"/>
  <c r="R189" i="10"/>
  <c r="T169" i="9"/>
  <c r="P351" i="10"/>
  <c r="P298" i="10"/>
  <c r="T128" i="9"/>
  <c r="S451" i="10"/>
  <c r="R142" i="10"/>
  <c r="Q388" i="10"/>
  <c r="R136" i="10"/>
  <c r="Q383" i="10"/>
  <c r="P97" i="10"/>
  <c r="P34" i="10"/>
  <c r="R147" i="10"/>
  <c r="Q186" i="9"/>
  <c r="S90" i="9"/>
  <c r="Q145" i="9"/>
  <c r="U77" i="9"/>
  <c r="R108" i="9"/>
  <c r="R85" i="9"/>
  <c r="P6" i="9"/>
  <c r="P185" i="9"/>
  <c r="T482" i="10"/>
  <c r="S87" i="9"/>
  <c r="Q34" i="9"/>
  <c r="T175" i="9"/>
  <c r="U47" i="9"/>
  <c r="P230" i="10"/>
  <c r="T43" i="9"/>
  <c r="R401" i="10"/>
  <c r="Q359" i="10"/>
  <c r="S235" i="10"/>
  <c r="R64" i="10"/>
  <c r="Q248" i="10"/>
  <c r="P435" i="10"/>
  <c r="R26" i="10"/>
  <c r="R179" i="10"/>
  <c r="T117" i="9"/>
  <c r="T177" i="10"/>
  <c r="S271" i="10"/>
  <c r="P252" i="10"/>
  <c r="S74" i="9"/>
  <c r="S170" i="10"/>
  <c r="U197" i="9"/>
  <c r="V427" i="10"/>
  <c r="U156" i="9"/>
  <c r="U15" i="9"/>
  <c r="U177" i="9"/>
  <c r="U366" i="10"/>
  <c r="S118" i="9"/>
  <c r="Q48" i="10"/>
  <c r="P292" i="10"/>
  <c r="R212" i="10"/>
  <c r="P268" i="10"/>
  <c r="Q44" i="9"/>
  <c r="P98" i="9"/>
  <c r="P186" i="9"/>
  <c r="T62" i="9"/>
  <c r="R183" i="9"/>
  <c r="T174" i="9"/>
  <c r="P346" i="10"/>
  <c r="Q488" i="10"/>
  <c r="U45" i="9"/>
  <c r="R240" i="10"/>
  <c r="Q147" i="10"/>
  <c r="Q96" i="10"/>
  <c r="S390" i="10"/>
  <c r="R432" i="10"/>
  <c r="P294" i="10"/>
  <c r="S481" i="10"/>
  <c r="Q247" i="10"/>
  <c r="T64" i="9"/>
  <c r="T52" i="10"/>
  <c r="T436" i="10"/>
  <c r="P170" i="10"/>
  <c r="T446" i="10"/>
  <c r="T370" i="10"/>
  <c r="U71" i="9"/>
  <c r="Q378" i="10"/>
  <c r="U44" i="9"/>
  <c r="T24" i="9"/>
  <c r="U110" i="9"/>
  <c r="Q262" i="10"/>
  <c r="U108" i="9"/>
  <c r="U20" i="10"/>
  <c r="Q90" i="9"/>
  <c r="P487" i="10"/>
  <c r="P217" i="10"/>
  <c r="Q316" i="10"/>
  <c r="Q49" i="10"/>
  <c r="P192" i="10"/>
  <c r="Q367" i="10"/>
  <c r="P384" i="10"/>
  <c r="S128" i="9"/>
  <c r="R89" i="9"/>
  <c r="S130" i="9"/>
  <c r="R469" i="10"/>
  <c r="P433" i="10"/>
  <c r="T109" i="9"/>
  <c r="R206" i="9"/>
  <c r="P142" i="9"/>
  <c r="P205" i="9"/>
  <c r="T25" i="9"/>
  <c r="T351" i="10"/>
  <c r="U39" i="9"/>
  <c r="Q258" i="10"/>
  <c r="R235" i="10"/>
  <c r="S171" i="9"/>
  <c r="T387" i="10"/>
  <c r="P212" i="10"/>
  <c r="Q185" i="10"/>
  <c r="Q62" i="10"/>
  <c r="U172" i="9"/>
  <c r="P356" i="10"/>
  <c r="U97" i="9"/>
  <c r="R428" i="10"/>
  <c r="R274" i="10"/>
  <c r="R273" i="10"/>
  <c r="Q324" i="10"/>
  <c r="U317" i="10"/>
  <c r="U405" i="10"/>
  <c r="R262" i="10"/>
  <c r="U301" i="10"/>
  <c r="R141" i="10"/>
  <c r="T248" i="10"/>
  <c r="P428" i="10"/>
  <c r="Q130" i="10"/>
  <c r="Q7" i="10"/>
  <c r="U334" i="10"/>
  <c r="Q109" i="10"/>
  <c r="T403" i="10"/>
  <c r="S474" i="10"/>
  <c r="P62" i="10"/>
  <c r="U124" i="10"/>
  <c r="Q342" i="10"/>
  <c r="S103" i="9"/>
  <c r="Q468" i="10"/>
  <c r="P231" i="10"/>
  <c r="U78" i="9"/>
  <c r="P476" i="10"/>
  <c r="S3" i="10"/>
  <c r="P312" i="10"/>
  <c r="R266" i="10"/>
  <c r="P207" i="10"/>
  <c r="U95" i="9"/>
  <c r="T54" i="9"/>
  <c r="T46" i="9"/>
  <c r="R152" i="10"/>
  <c r="P112" i="10"/>
  <c r="Q64" i="10"/>
  <c r="Q439" i="10"/>
  <c r="Q436" i="10"/>
  <c r="S58" i="9"/>
  <c r="P87" i="9"/>
  <c r="Q425" i="10"/>
  <c r="R113" i="9"/>
  <c r="T36" i="9"/>
  <c r="R198" i="9"/>
  <c r="R480" i="10"/>
  <c r="S147" i="9"/>
  <c r="P70" i="9"/>
  <c r="Q130" i="9"/>
  <c r="Q31" i="9"/>
  <c r="Q480" i="10"/>
  <c r="Q67" i="10"/>
  <c r="Q190" i="10"/>
  <c r="S250" i="10"/>
  <c r="P89" i="10"/>
  <c r="T189" i="10"/>
  <c r="T409" i="10"/>
  <c r="U125" i="9"/>
  <c r="Q173" i="10"/>
  <c r="Q24" i="9"/>
  <c r="Q334" i="10"/>
  <c r="T153" i="9"/>
  <c r="T188" i="9"/>
  <c r="P316" i="10"/>
  <c r="Q156" i="10"/>
  <c r="R189" i="9"/>
  <c r="U135" i="9"/>
  <c r="T56" i="9"/>
  <c r="T107" i="9"/>
  <c r="P118" i="10"/>
  <c r="R84" i="10"/>
  <c r="P305" i="10"/>
  <c r="P454" i="10"/>
  <c r="P66" i="10"/>
  <c r="Q349" i="10"/>
  <c r="U31" i="9"/>
  <c r="R6" i="9"/>
  <c r="U130" i="9"/>
  <c r="S154" i="9"/>
  <c r="S79" i="9"/>
  <c r="Q108" i="9"/>
  <c r="P71" i="9"/>
  <c r="Q92" i="9"/>
  <c r="P166" i="9"/>
  <c r="U169" i="10"/>
  <c r="P315" i="10"/>
  <c r="R188" i="10"/>
  <c r="V475" i="10"/>
  <c r="Q24" i="10"/>
  <c r="T58" i="10"/>
  <c r="R331" i="10"/>
  <c r="U73" i="9"/>
  <c r="Q435" i="10"/>
  <c r="Q40" i="9"/>
  <c r="R468" i="10"/>
  <c r="S75" i="9"/>
  <c r="T84" i="9"/>
  <c r="P336" i="10"/>
  <c r="R339" i="10"/>
  <c r="R166" i="9"/>
  <c r="T117" i="10"/>
  <c r="T70" i="9"/>
  <c r="T141" i="9"/>
  <c r="P189" i="10"/>
  <c r="R215" i="10"/>
  <c r="P38" i="10"/>
  <c r="P184" i="10"/>
  <c r="P357" i="10"/>
  <c r="Q314" i="10"/>
  <c r="P154" i="10"/>
  <c r="R486" i="10"/>
  <c r="S108" i="9"/>
  <c r="P187" i="10"/>
  <c r="Q41" i="10"/>
  <c r="T262" i="10"/>
  <c r="R347" i="10"/>
  <c r="Q155" i="10"/>
  <c r="S180" i="10"/>
  <c r="R63" i="10"/>
  <c r="P118" i="9"/>
  <c r="P32" i="9"/>
  <c r="P58" i="10"/>
  <c r="S385" i="10"/>
  <c r="Q208" i="10"/>
  <c r="U17" i="9"/>
  <c r="Q121" i="9"/>
  <c r="S48" i="9"/>
  <c r="S185" i="9"/>
  <c r="T164" i="10"/>
  <c r="P424" i="10"/>
  <c r="P396" i="10"/>
  <c r="T143" i="9"/>
  <c r="R241" i="10"/>
  <c r="P203" i="10"/>
  <c r="T91" i="9"/>
  <c r="S23" i="10"/>
  <c r="T257" i="10"/>
  <c r="P465" i="10"/>
  <c r="P444" i="10"/>
  <c r="R425" i="10"/>
  <c r="T53" i="9"/>
  <c r="R416" i="10"/>
  <c r="R441" i="10"/>
  <c r="R126" i="10"/>
  <c r="T98" i="10"/>
  <c r="S14" i="10"/>
  <c r="P430" i="10"/>
  <c r="S408" i="10"/>
  <c r="T104" i="9"/>
  <c r="R59" i="10"/>
  <c r="S221" i="10"/>
  <c r="P81" i="10"/>
  <c r="R237" i="10"/>
  <c r="T423" i="10"/>
  <c r="V189" i="9"/>
  <c r="U289" i="10"/>
  <c r="V84" i="9"/>
  <c r="S445" i="10"/>
  <c r="P115" i="10"/>
  <c r="U87" i="9"/>
  <c r="U475" i="10"/>
  <c r="U168" i="9"/>
  <c r="Q68" i="10"/>
  <c r="Q183" i="9"/>
  <c r="S151" i="9"/>
  <c r="S42" i="9"/>
  <c r="P272" i="10"/>
  <c r="R19" i="10"/>
  <c r="T365" i="10"/>
  <c r="T186" i="9"/>
  <c r="P206" i="9"/>
  <c r="T127" i="9"/>
  <c r="S194" i="9"/>
  <c r="R105" i="9"/>
  <c r="Q193" i="9"/>
  <c r="Q71" i="9"/>
  <c r="R62" i="9"/>
  <c r="S109" i="9"/>
  <c r="U126" i="9"/>
  <c r="R182" i="9"/>
  <c r="P364" i="10"/>
  <c r="R343" i="10"/>
  <c r="P86" i="10"/>
  <c r="P286" i="10"/>
  <c r="Q65" i="10"/>
  <c r="R359" i="10"/>
  <c r="Q83" i="9"/>
  <c r="P448" i="10"/>
  <c r="Q255" i="10"/>
  <c r="P41" i="10"/>
  <c r="P313" i="10"/>
  <c r="Q442" i="10"/>
  <c r="Q16" i="10"/>
  <c r="R184" i="10"/>
  <c r="T144" i="9"/>
  <c r="Q332" i="10"/>
  <c r="P328" i="10"/>
  <c r="U150" i="9"/>
  <c r="P318" i="10"/>
  <c r="U453" i="10"/>
  <c r="Q272" i="10"/>
  <c r="R256" i="10"/>
  <c r="Q104" i="10"/>
  <c r="R292" i="10"/>
  <c r="U93" i="9"/>
  <c r="U99" i="9"/>
  <c r="Q153" i="9"/>
  <c r="S41" i="9"/>
  <c r="U81" i="9"/>
  <c r="Q27" i="9"/>
  <c r="P142" i="10"/>
  <c r="R127" i="9"/>
  <c r="U83" i="9"/>
  <c r="R35" i="9"/>
  <c r="R69" i="9"/>
  <c r="P451" i="10"/>
  <c r="Q16" i="9"/>
  <c r="P183" i="10"/>
  <c r="R173" i="9"/>
  <c r="T193" i="10"/>
  <c r="T112" i="9"/>
  <c r="T35" i="9"/>
  <c r="P278" i="10"/>
  <c r="R461" i="10"/>
  <c r="R121" i="9"/>
  <c r="P197" i="10"/>
  <c r="U203" i="9"/>
  <c r="U175" i="9"/>
  <c r="Q373" i="10"/>
  <c r="S168" i="10"/>
  <c r="T99" i="9"/>
  <c r="P77" i="10"/>
  <c r="U149" i="9"/>
  <c r="U38" i="9"/>
  <c r="Q153" i="10"/>
  <c r="V304" i="10"/>
  <c r="Q84" i="10"/>
  <c r="P320" i="10"/>
  <c r="P382" i="10"/>
  <c r="V208" i="9"/>
  <c r="Q114" i="9"/>
  <c r="S40" i="9"/>
  <c r="P264" i="10"/>
  <c r="R95" i="9"/>
  <c r="R400" i="10"/>
  <c r="S18" i="9"/>
  <c r="P304" i="10"/>
  <c r="S177" i="9"/>
  <c r="P146" i="9"/>
  <c r="T160" i="9"/>
  <c r="Q5" i="9"/>
  <c r="P123" i="10"/>
  <c r="R51" i="9"/>
  <c r="U193" i="9"/>
  <c r="S25" i="9"/>
  <c r="T49" i="9"/>
  <c r="P138" i="10"/>
  <c r="R100" i="10"/>
  <c r="R11" i="9"/>
  <c r="U98" i="9"/>
  <c r="U113" i="9"/>
  <c r="U13" i="9"/>
  <c r="Q300" i="10"/>
  <c r="S63" i="10"/>
  <c r="S98" i="9"/>
  <c r="P327" i="10"/>
  <c r="U43" i="9"/>
  <c r="U94" i="9"/>
  <c r="Q70" i="10"/>
  <c r="Q325" i="10"/>
  <c r="Q424" i="10"/>
  <c r="P164" i="10"/>
  <c r="P261" i="10"/>
  <c r="P283" i="10"/>
  <c r="Q223" i="10"/>
  <c r="U18" i="10"/>
  <c r="U117" i="9"/>
  <c r="Q249" i="10"/>
  <c r="R447" i="10"/>
  <c r="P32" i="10"/>
  <c r="S276" i="10"/>
  <c r="T478" i="10"/>
  <c r="T71" i="9"/>
  <c r="R345" i="10"/>
  <c r="P133" i="9"/>
  <c r="R27" i="9"/>
  <c r="R236" i="10"/>
  <c r="P281" i="10"/>
  <c r="U20" i="9"/>
  <c r="P174" i="9"/>
  <c r="P43" i="9"/>
  <c r="Q152" i="9"/>
  <c r="Q129" i="9"/>
  <c r="S88" i="9"/>
  <c r="Q105" i="9"/>
  <c r="Q244" i="10"/>
  <c r="P455" i="10"/>
  <c r="Q226" i="10"/>
  <c r="T5" i="9"/>
  <c r="P7" i="10"/>
  <c r="P227" i="10"/>
  <c r="Q264" i="10"/>
  <c r="Q428" i="10"/>
  <c r="S158" i="10"/>
  <c r="T375" i="10"/>
  <c r="U27" i="9"/>
  <c r="T223" i="10"/>
  <c r="R376" i="10"/>
  <c r="Q50" i="10"/>
  <c r="S74" i="10"/>
  <c r="T71" i="10"/>
  <c r="P288" i="10"/>
  <c r="Q12" i="10"/>
  <c r="S75" i="10"/>
  <c r="S144" i="10"/>
  <c r="T134" i="10"/>
  <c r="S68" i="10"/>
  <c r="Q275" i="10"/>
  <c r="T350" i="10"/>
  <c r="V412" i="10"/>
  <c r="V144" i="9"/>
  <c r="V111" i="9"/>
  <c r="R20" i="10"/>
  <c r="P269" i="10"/>
  <c r="U133" i="9"/>
  <c r="T120" i="9"/>
  <c r="T103" i="9"/>
  <c r="R430" i="10"/>
  <c r="U48" i="9"/>
  <c r="Q445" i="10"/>
  <c r="P221" i="10"/>
  <c r="U184" i="9"/>
  <c r="T54" i="10"/>
  <c r="T420" i="10"/>
  <c r="Q124" i="10"/>
  <c r="U79" i="10"/>
  <c r="P249" i="10"/>
  <c r="P186" i="10"/>
  <c r="T129" i="9"/>
  <c r="R82" i="10"/>
  <c r="R404" i="10"/>
  <c r="V291" i="10"/>
  <c r="T41" i="10"/>
  <c r="P56" i="10"/>
  <c r="P474" i="10"/>
  <c r="U176" i="9"/>
  <c r="Q142" i="10"/>
  <c r="R94" i="10"/>
  <c r="P111" i="9"/>
  <c r="S135" i="9"/>
  <c r="U148" i="9"/>
  <c r="S122" i="9"/>
  <c r="Q440" i="10"/>
  <c r="R314" i="10"/>
  <c r="Q256" i="10"/>
  <c r="Q148" i="9"/>
  <c r="U472" i="10"/>
  <c r="R15" i="9"/>
  <c r="S169" i="9"/>
  <c r="Q88" i="9"/>
  <c r="U54" i="9"/>
  <c r="S112" i="9"/>
  <c r="Q56" i="10"/>
  <c r="P301" i="10"/>
  <c r="S188" i="9"/>
  <c r="R72" i="10"/>
  <c r="S26" i="10"/>
  <c r="Q478" i="10"/>
  <c r="P193" i="10"/>
  <c r="U199" i="10"/>
  <c r="T376" i="10"/>
  <c r="R92" i="9"/>
  <c r="Q217" i="10"/>
  <c r="R86" i="10"/>
  <c r="P3" i="10"/>
  <c r="P140" i="10"/>
  <c r="R244" i="10"/>
  <c r="R2" i="10"/>
  <c r="Q22" i="9"/>
  <c r="P228" i="10"/>
  <c r="Q106" i="10"/>
  <c r="P241" i="10"/>
  <c r="P416" i="10"/>
  <c r="Q270" i="10"/>
  <c r="R298" i="10"/>
  <c r="U146" i="9"/>
  <c r="V414" i="10"/>
  <c r="R60" i="10"/>
  <c r="U144" i="9"/>
  <c r="Q113" i="9"/>
  <c r="P30" i="9"/>
  <c r="R116" i="9"/>
  <c r="Q111" i="10"/>
  <c r="R462" i="10"/>
  <c r="R216" i="10"/>
  <c r="R206" i="10"/>
  <c r="R124" i="9"/>
  <c r="S144" i="9"/>
  <c r="S97" i="9"/>
  <c r="R137" i="9"/>
  <c r="Q101" i="10"/>
  <c r="R88" i="9"/>
  <c r="P337" i="10"/>
  <c r="S162" i="9"/>
  <c r="P31" i="10"/>
  <c r="U79" i="9"/>
  <c r="U129" i="9"/>
  <c r="Q268" i="10"/>
  <c r="V428" i="10"/>
  <c r="P394" i="10"/>
  <c r="P361" i="10"/>
  <c r="P109" i="10"/>
  <c r="P406" i="10"/>
  <c r="S233" i="10"/>
  <c r="T163" i="10"/>
  <c r="P370" i="10"/>
  <c r="P367" i="10"/>
  <c r="P224" i="10"/>
  <c r="P488" i="10"/>
  <c r="S264" i="10"/>
  <c r="T108" i="10"/>
  <c r="Q322" i="10"/>
  <c r="Q353" i="10"/>
  <c r="Q308" i="10"/>
  <c r="P359" i="10"/>
  <c r="R9" i="9"/>
  <c r="S240" i="10"/>
  <c r="U202" i="10"/>
  <c r="S194" i="10"/>
  <c r="T466" i="10"/>
  <c r="S15" i="9"/>
  <c r="T61" i="9"/>
  <c r="P447" i="10"/>
  <c r="P58" i="9"/>
  <c r="R245" i="10"/>
  <c r="S158" i="9"/>
  <c r="P267" i="10"/>
  <c r="S36" i="9"/>
  <c r="P415" i="10"/>
  <c r="P414" i="10"/>
  <c r="U22" i="9"/>
  <c r="R460" i="10"/>
  <c r="R396" i="10"/>
  <c r="T198" i="9"/>
  <c r="P245" i="10"/>
  <c r="P362" i="10"/>
  <c r="P450" i="10"/>
  <c r="T299" i="10"/>
  <c r="T313" i="10"/>
  <c r="P96" i="10"/>
  <c r="P50" i="10"/>
  <c r="P342" i="10"/>
  <c r="P365" i="10"/>
  <c r="R327" i="10"/>
  <c r="T318" i="10"/>
  <c r="R434" i="10"/>
  <c r="Q162" i="10"/>
  <c r="Q6" i="10"/>
  <c r="Q154" i="10"/>
  <c r="S406" i="10"/>
  <c r="T363" i="10"/>
  <c r="Q66" i="10"/>
  <c r="T239" i="10"/>
  <c r="T11" i="10"/>
  <c r="R159" i="10"/>
  <c r="V22" i="10"/>
  <c r="T20" i="9"/>
  <c r="U3" i="9"/>
  <c r="S11" i="9"/>
  <c r="Q144" i="9"/>
  <c r="T202" i="9"/>
  <c r="R190" i="9"/>
  <c r="S73" i="10"/>
  <c r="Q19" i="9"/>
  <c r="P198" i="9"/>
  <c r="P76" i="9"/>
  <c r="P194" i="9"/>
  <c r="S119" i="9"/>
  <c r="R67" i="9"/>
  <c r="S37" i="9"/>
  <c r="S175" i="9"/>
  <c r="Q403" i="10"/>
  <c r="S447" i="10"/>
  <c r="T139" i="10"/>
  <c r="Q336" i="10"/>
  <c r="R358" i="10"/>
  <c r="R74" i="9"/>
  <c r="R178" i="10"/>
  <c r="Q473" i="10"/>
  <c r="P64" i="10"/>
  <c r="R213" i="10"/>
  <c r="P188" i="10"/>
  <c r="S54" i="10"/>
  <c r="R119" i="10"/>
  <c r="S134" i="10"/>
  <c r="T111" i="10"/>
  <c r="Q252" i="10"/>
  <c r="U341" i="10"/>
  <c r="Q366" i="10"/>
  <c r="S64" i="10"/>
  <c r="S381" i="10"/>
  <c r="Q165" i="10"/>
  <c r="S268" i="10"/>
  <c r="R319" i="10"/>
  <c r="R175" i="10"/>
  <c r="Q152" i="10"/>
  <c r="S401" i="10"/>
  <c r="S377" i="10"/>
  <c r="R306" i="10"/>
  <c r="P166" i="10"/>
  <c r="Q104" i="9"/>
  <c r="P93" i="9"/>
  <c r="R114" i="9"/>
  <c r="P119" i="10"/>
  <c r="R277" i="10"/>
  <c r="Q150" i="10"/>
  <c r="Q151" i="9"/>
  <c r="P453" i="10"/>
  <c r="Q96" i="9"/>
  <c r="R369" i="10"/>
  <c r="P203" i="9"/>
  <c r="S201" i="9"/>
  <c r="T47" i="9"/>
  <c r="R84" i="9"/>
  <c r="R168" i="10"/>
  <c r="U194" i="9"/>
  <c r="R138" i="9"/>
  <c r="P31" i="9"/>
  <c r="U283" i="10"/>
  <c r="T52" i="9"/>
  <c r="S149" i="9"/>
  <c r="U260" i="10"/>
  <c r="S252" i="10"/>
  <c r="P136" i="9"/>
  <c r="R122" i="9"/>
  <c r="P189" i="9"/>
  <c r="V366" i="10"/>
  <c r="R238" i="10"/>
  <c r="Q301" i="10"/>
  <c r="P181" i="9"/>
  <c r="S164" i="9"/>
  <c r="T83" i="9"/>
  <c r="R120" i="9"/>
  <c r="R167" i="10"/>
  <c r="Q146" i="10"/>
  <c r="S70" i="9"/>
  <c r="Q4" i="9"/>
  <c r="P204" i="9"/>
  <c r="Q68" i="9"/>
  <c r="R87" i="9"/>
  <c r="S63" i="9"/>
  <c r="S442" i="10"/>
  <c r="P37" i="9"/>
  <c r="Q48" i="9"/>
  <c r="R63" i="9"/>
  <c r="S110" i="9"/>
  <c r="P11" i="9"/>
  <c r="P8" i="9"/>
  <c r="U159" i="9"/>
  <c r="T307" i="10"/>
  <c r="Q9" i="10"/>
  <c r="Q63" i="9"/>
  <c r="R157" i="9"/>
  <c r="S181" i="9"/>
  <c r="Q99" i="10"/>
  <c r="P180" i="9"/>
  <c r="S52" i="9"/>
  <c r="Q467" i="10"/>
  <c r="R107" i="10"/>
  <c r="S203" i="9"/>
  <c r="P29" i="9"/>
  <c r="R60" i="9"/>
  <c r="P105" i="9"/>
  <c r="U278" i="10"/>
  <c r="R126" i="9"/>
  <c r="U140" i="9"/>
  <c r="R305" i="10"/>
  <c r="T142" i="9"/>
  <c r="Q451" i="10"/>
  <c r="P392" i="10"/>
  <c r="U30" i="9"/>
  <c r="P137" i="10"/>
  <c r="T116" i="10"/>
  <c r="Q299" i="10"/>
  <c r="V257" i="10"/>
  <c r="P163" i="10"/>
  <c r="P460" i="10"/>
  <c r="T31" i="9"/>
  <c r="U37" i="9"/>
  <c r="S429" i="10"/>
  <c r="P472" i="10"/>
  <c r="Q210" i="10"/>
  <c r="P341" i="10"/>
  <c r="U190" i="9"/>
  <c r="T154" i="9"/>
  <c r="T81" i="9"/>
  <c r="R409" i="10"/>
  <c r="U155" i="9"/>
  <c r="Q143" i="10"/>
  <c r="P147" i="10"/>
  <c r="P464" i="10"/>
  <c r="S185" i="10"/>
  <c r="Q110" i="9"/>
  <c r="Q107" i="9"/>
  <c r="T37" i="9"/>
  <c r="P15" i="10"/>
  <c r="S337" i="10"/>
  <c r="S364" i="10"/>
  <c r="S272" i="10"/>
  <c r="P43" i="10"/>
  <c r="P117" i="9"/>
  <c r="Q434" i="10"/>
  <c r="Q337" i="10"/>
  <c r="Q78" i="9"/>
  <c r="P110" i="9"/>
  <c r="S47" i="9"/>
  <c r="U14" i="9"/>
  <c r="T139" i="9"/>
  <c r="S297" i="10"/>
  <c r="T63" i="9"/>
  <c r="U9" i="9"/>
  <c r="S84" i="9"/>
  <c r="R465" i="10"/>
  <c r="Q273" i="10"/>
  <c r="S254" i="10"/>
  <c r="U251" i="10"/>
  <c r="S16" i="9"/>
  <c r="U185" i="9"/>
  <c r="U61" i="10"/>
  <c r="Q30" i="10"/>
  <c r="P4" i="10"/>
  <c r="R128" i="10"/>
  <c r="R5" i="10"/>
  <c r="S155" i="9"/>
  <c r="R74" i="10"/>
  <c r="S307" i="10"/>
  <c r="Q384" i="10"/>
  <c r="P299" i="10"/>
  <c r="T238" i="10"/>
  <c r="S214" i="10"/>
  <c r="P385" i="10"/>
  <c r="T197" i="9"/>
  <c r="V111" i="10"/>
  <c r="T451" i="10"/>
  <c r="R29" i="9"/>
  <c r="Q84" i="9"/>
  <c r="S44" i="9"/>
  <c r="S106" i="9"/>
  <c r="P82" i="9"/>
  <c r="Q162" i="9"/>
  <c r="Q181" i="10"/>
  <c r="P226" i="10"/>
  <c r="S183" i="9"/>
  <c r="P208" i="9"/>
  <c r="R269" i="10"/>
  <c r="Q17" i="9"/>
  <c r="T172" i="9"/>
  <c r="P222" i="10"/>
  <c r="P29" i="10"/>
  <c r="P120" i="10"/>
  <c r="P191" i="10"/>
  <c r="P11" i="10"/>
  <c r="R431" i="10"/>
  <c r="S79" i="10"/>
  <c r="Q75" i="10"/>
  <c r="Q463" i="10"/>
  <c r="P387" i="10"/>
  <c r="P90" i="10"/>
  <c r="V488" i="10"/>
  <c r="T116" i="9"/>
  <c r="R83" i="10"/>
  <c r="Q137" i="10"/>
  <c r="P393" i="10"/>
  <c r="Q187" i="10"/>
  <c r="Q368" i="10"/>
  <c r="P408" i="10"/>
  <c r="S444" i="10"/>
  <c r="Q32" i="10"/>
  <c r="P84" i="10"/>
  <c r="T158" i="9"/>
  <c r="S46" i="9"/>
  <c r="T113" i="9"/>
  <c r="P243" i="10"/>
  <c r="P201" i="10"/>
  <c r="S195" i="10"/>
  <c r="T38" i="9"/>
  <c r="S138" i="9"/>
  <c r="P62" i="9"/>
  <c r="P66" i="9"/>
  <c r="Q8" i="9"/>
  <c r="T163" i="9"/>
  <c r="R304" i="10"/>
  <c r="U160" i="9"/>
  <c r="P199" i="10"/>
  <c r="P270" i="10"/>
  <c r="P321" i="10"/>
  <c r="R329" i="10"/>
  <c r="S293" i="10"/>
  <c r="R42" i="10"/>
  <c r="Q391" i="10"/>
  <c r="P266" i="10"/>
  <c r="P317" i="10"/>
  <c r="S483" i="10"/>
  <c r="T22" i="9"/>
  <c r="T204" i="10"/>
  <c r="Q285" i="10"/>
  <c r="P78" i="10"/>
  <c r="P178" i="10"/>
  <c r="Q97" i="10"/>
  <c r="P179" i="10"/>
  <c r="S279" i="10"/>
  <c r="Q28" i="10"/>
  <c r="S191" i="10"/>
  <c r="U137" i="9"/>
  <c r="Q73" i="10"/>
  <c r="U21" i="9"/>
  <c r="U101" i="9"/>
  <c r="T208" i="9"/>
  <c r="P467" i="10"/>
  <c r="T452" i="10"/>
  <c r="S60" i="10"/>
  <c r="U115" i="9"/>
  <c r="P40" i="10"/>
  <c r="Q340" i="10"/>
  <c r="P131" i="9"/>
  <c r="P330" i="10"/>
  <c r="T80" i="9"/>
  <c r="R208" i="9"/>
  <c r="U70" i="9"/>
  <c r="P167" i="9"/>
  <c r="T88" i="10"/>
  <c r="P132" i="9"/>
  <c r="P100" i="10"/>
  <c r="P289" i="10"/>
  <c r="Q278" i="10"/>
  <c r="U84" i="9"/>
  <c r="T33" i="9"/>
  <c r="T58" i="9"/>
  <c r="P345" i="10"/>
  <c r="T178" i="10"/>
  <c r="Q238" i="10"/>
  <c r="U52" i="9"/>
  <c r="P49" i="10"/>
  <c r="R442" i="10"/>
  <c r="S315" i="10"/>
  <c r="S371" i="10"/>
  <c r="P300" i="10"/>
  <c r="V75" i="10"/>
  <c r="S431" i="10"/>
  <c r="V394" i="10"/>
  <c r="V12" i="10"/>
  <c r="Q13" i="10"/>
  <c r="S310" i="10"/>
  <c r="R93" i="10"/>
  <c r="R412" i="10"/>
  <c r="Q454" i="10"/>
  <c r="R254" i="10"/>
  <c r="U91" i="9"/>
  <c r="U463" i="10"/>
  <c r="R308" i="10"/>
  <c r="Q4" i="10"/>
  <c r="T14" i="10"/>
  <c r="V80" i="10"/>
  <c r="P411" i="10"/>
  <c r="U179" i="9"/>
  <c r="R474" i="10"/>
  <c r="S167" i="9"/>
  <c r="Q77" i="9"/>
  <c r="U158" i="9"/>
  <c r="Q470" i="10"/>
  <c r="S55" i="9"/>
  <c r="Q172" i="9"/>
  <c r="U118" i="9"/>
  <c r="Q282" i="10"/>
  <c r="P38" i="9"/>
  <c r="P140" i="9"/>
  <c r="T152" i="10"/>
  <c r="P123" i="9"/>
  <c r="P3" i="9"/>
  <c r="S49" i="9"/>
  <c r="P477" i="10"/>
  <c r="U151" i="9"/>
  <c r="Q348" i="10"/>
  <c r="T6" i="9"/>
  <c r="U64" i="9"/>
  <c r="S3" i="9"/>
  <c r="R321" i="10"/>
  <c r="Q118" i="10"/>
  <c r="S123" i="10"/>
  <c r="R29" i="10"/>
  <c r="S14" i="9"/>
  <c r="U198" i="9"/>
  <c r="S134" i="9"/>
  <c r="Q237" i="10"/>
  <c r="Q344" i="10"/>
  <c r="R129" i="10"/>
  <c r="S338" i="10"/>
  <c r="S200" i="9"/>
  <c r="S260" i="10"/>
  <c r="S155" i="10"/>
  <c r="Q387" i="10"/>
  <c r="P121" i="10"/>
  <c r="V51" i="9"/>
  <c r="T53" i="10"/>
  <c r="P429" i="10"/>
  <c r="T90" i="9"/>
  <c r="S465" i="10"/>
  <c r="R201" i="10"/>
  <c r="P343" i="10"/>
  <c r="Q288" i="10"/>
  <c r="Q109" i="9"/>
  <c r="Q184" i="10"/>
  <c r="P36" i="9"/>
  <c r="R76" i="9"/>
  <c r="Q100" i="10"/>
  <c r="S89" i="9"/>
  <c r="Q170" i="9"/>
  <c r="R119" i="9"/>
  <c r="P126" i="9"/>
  <c r="R30" i="9"/>
  <c r="P471" i="10"/>
  <c r="R198" i="10"/>
  <c r="Q438" i="10"/>
  <c r="U191" i="9"/>
  <c r="Q432" i="10"/>
  <c r="P256" i="10"/>
  <c r="U163" i="9"/>
  <c r="T312" i="10"/>
  <c r="T338" i="10"/>
  <c r="Q196" i="10"/>
  <c r="V108" i="10"/>
  <c r="P383" i="10"/>
  <c r="P334" i="10"/>
  <c r="T18" i="9"/>
  <c r="S405" i="10"/>
  <c r="R310" i="10"/>
  <c r="Q412" i="10"/>
  <c r="V382" i="10"/>
  <c r="T55" i="9"/>
  <c r="U28" i="9"/>
  <c r="S100" i="9"/>
  <c r="R153" i="10"/>
  <c r="Q157" i="10"/>
  <c r="T468" i="10"/>
  <c r="S441" i="10"/>
  <c r="P135" i="10"/>
  <c r="U59" i="9"/>
  <c r="T15" i="9"/>
  <c r="P350" i="10"/>
  <c r="P30" i="10"/>
  <c r="U85" i="10"/>
  <c r="T333" i="10"/>
  <c r="R13" i="9"/>
  <c r="Q414" i="10"/>
  <c r="R350" i="10"/>
  <c r="P159" i="10"/>
  <c r="P285" i="10"/>
  <c r="R326" i="10"/>
  <c r="R85" i="10"/>
  <c r="U100" i="9"/>
  <c r="S38" i="9"/>
  <c r="R234" i="10"/>
  <c r="Q224" i="10"/>
  <c r="Q44" i="10"/>
  <c r="P293" i="10"/>
  <c r="P188" i="9"/>
  <c r="S202" i="9"/>
  <c r="T72" i="9"/>
  <c r="R164" i="9"/>
  <c r="T259" i="10"/>
  <c r="P438" i="10"/>
  <c r="P63" i="10"/>
  <c r="T2" i="9"/>
  <c r="Q140" i="10"/>
  <c r="R446" i="10"/>
  <c r="U34" i="9"/>
  <c r="P28" i="9"/>
  <c r="S142" i="9"/>
  <c r="S127" i="9"/>
  <c r="P225" i="10"/>
  <c r="Q280" i="10"/>
  <c r="R3" i="9"/>
  <c r="Q203" i="10"/>
  <c r="R190" i="10"/>
  <c r="Q335" i="10"/>
  <c r="P125" i="10"/>
  <c r="S414" i="10"/>
  <c r="S209" i="10"/>
  <c r="R192" i="9"/>
  <c r="P265" i="10"/>
  <c r="R171" i="10"/>
  <c r="P113" i="10"/>
  <c r="P391" i="10"/>
  <c r="Q141" i="10"/>
  <c r="R395" i="10"/>
  <c r="Q47" i="9"/>
  <c r="P434" i="10"/>
  <c r="Q182" i="10"/>
  <c r="P168" i="10"/>
  <c r="P331" i="10"/>
  <c r="Q456" i="10"/>
  <c r="Q125" i="10"/>
  <c r="U217" i="10"/>
  <c r="T200" i="10"/>
  <c r="Q253" i="10"/>
  <c r="P107" i="10"/>
  <c r="R346" i="10"/>
  <c r="Q164" i="10"/>
  <c r="S93" i="10"/>
  <c r="T79" i="9"/>
  <c r="Q362" i="10"/>
  <c r="P369" i="10"/>
  <c r="U147" i="9"/>
  <c r="P332" i="10"/>
  <c r="Q460" i="10"/>
  <c r="T316" i="10"/>
  <c r="S248" i="10"/>
  <c r="R192" i="10"/>
  <c r="S347" i="10"/>
  <c r="V134" i="9"/>
  <c r="Q80" i="10"/>
  <c r="P271" i="10"/>
  <c r="S91" i="10"/>
  <c r="S311" i="10"/>
  <c r="R311" i="10"/>
  <c r="R158" i="10"/>
  <c r="T51" i="10"/>
  <c r="Q381" i="10"/>
  <c r="P296" i="10"/>
  <c r="S300" i="10"/>
  <c r="R89" i="10"/>
  <c r="R299" i="10"/>
  <c r="R342" i="10"/>
  <c r="T442" i="10"/>
  <c r="T284" i="10"/>
  <c r="R278" i="10"/>
  <c r="Q448" i="10"/>
  <c r="T10" i="10"/>
  <c r="T85" i="10"/>
  <c r="S382" i="10"/>
  <c r="T207" i="10"/>
  <c r="R3" i="10"/>
  <c r="V177" i="10"/>
  <c r="U236" i="10"/>
  <c r="V229" i="10"/>
  <c r="U347" i="10"/>
  <c r="T294" i="10"/>
  <c r="R75" i="9"/>
  <c r="P240" i="10"/>
  <c r="P260" i="10"/>
  <c r="U127" i="9"/>
  <c r="R250" i="10"/>
  <c r="R228" i="10"/>
  <c r="S291" i="10"/>
  <c r="T433" i="10"/>
  <c r="R95" i="10"/>
  <c r="S395" i="10"/>
  <c r="T465" i="10"/>
  <c r="R99" i="10"/>
  <c r="U329" i="10"/>
  <c r="P484" i="10"/>
  <c r="T129" i="10"/>
  <c r="Q257" i="10"/>
  <c r="S475" i="10"/>
  <c r="U300" i="10"/>
  <c r="T75" i="10"/>
  <c r="S87" i="10"/>
  <c r="U404" i="10"/>
  <c r="T115" i="10"/>
  <c r="R185" i="10"/>
  <c r="T209" i="10"/>
  <c r="T148" i="10"/>
  <c r="U21" i="10"/>
  <c r="V333" i="10"/>
  <c r="R324" i="10"/>
  <c r="Q190" i="9"/>
  <c r="P80" i="10"/>
  <c r="P111" i="10"/>
  <c r="U204" i="10"/>
  <c r="Q228" i="10"/>
  <c r="R199" i="10"/>
  <c r="R204" i="10"/>
  <c r="S330" i="10"/>
  <c r="Q219" i="10"/>
  <c r="T286" i="10"/>
  <c r="R109" i="10"/>
  <c r="U273" i="10"/>
  <c r="P174" i="10"/>
  <c r="R54" i="10"/>
  <c r="R78" i="10"/>
  <c r="V132" i="10"/>
  <c r="Q55" i="10"/>
  <c r="T357" i="10"/>
  <c r="S464" i="10"/>
  <c r="S161" i="10"/>
  <c r="T445" i="10"/>
  <c r="V40" i="10"/>
  <c r="Q329" i="10"/>
  <c r="R413" i="10"/>
  <c r="Q85" i="10"/>
  <c r="R307" i="10"/>
  <c r="T222" i="10"/>
  <c r="R270" i="10"/>
  <c r="Q76" i="9"/>
  <c r="Q402" i="10"/>
  <c r="Q260" i="10"/>
  <c r="R193" i="10"/>
  <c r="T258" i="10"/>
  <c r="T217" i="10"/>
  <c r="R11" i="10"/>
  <c r="T447" i="10"/>
  <c r="T33" i="10"/>
  <c r="R287" i="10"/>
  <c r="U42" i="10"/>
  <c r="U312" i="10"/>
  <c r="V372" i="10"/>
  <c r="V65" i="10"/>
  <c r="V67" i="9"/>
  <c r="P105" i="10"/>
  <c r="R138" i="10"/>
  <c r="S477" i="10"/>
  <c r="P485" i="10"/>
  <c r="S61" i="9"/>
  <c r="R456" i="10"/>
  <c r="Q33" i="10"/>
  <c r="Q131" i="9"/>
  <c r="S241" i="10"/>
  <c r="R163" i="9"/>
  <c r="P196" i="10"/>
  <c r="R449" i="10"/>
  <c r="P185" i="10"/>
  <c r="P213" i="10"/>
  <c r="Q71" i="10"/>
  <c r="R289" i="10"/>
  <c r="V429" i="10"/>
  <c r="T401" i="10"/>
  <c r="S386" i="10"/>
  <c r="T467" i="10"/>
  <c r="U15" i="10"/>
  <c r="R163" i="10"/>
  <c r="Q239" i="10"/>
  <c r="U316" i="10"/>
  <c r="S49" i="10"/>
  <c r="S393" i="10"/>
  <c r="S172" i="10"/>
  <c r="T32" i="10"/>
  <c r="Q163" i="10"/>
  <c r="Q417" i="10"/>
  <c r="T396" i="10"/>
  <c r="S403" i="10"/>
  <c r="R120" i="10"/>
  <c r="S225" i="10"/>
  <c r="V433" i="10"/>
  <c r="T85" i="9"/>
  <c r="T378" i="10"/>
  <c r="Q23" i="10"/>
  <c r="Q479" i="10"/>
  <c r="Q307" i="10"/>
  <c r="T119" i="10"/>
  <c r="V397" i="10"/>
  <c r="S164" i="10"/>
  <c r="S231" i="10"/>
  <c r="U116" i="10"/>
  <c r="T118" i="10"/>
  <c r="V347" i="10"/>
  <c r="Q229" i="10"/>
  <c r="U60" i="9"/>
  <c r="Q151" i="10"/>
  <c r="R436" i="10"/>
  <c r="P244" i="10"/>
  <c r="S460" i="10"/>
  <c r="S262" i="10"/>
  <c r="V186" i="10"/>
  <c r="V219" i="10"/>
  <c r="U69" i="9"/>
  <c r="T305" i="10"/>
  <c r="Q398" i="10"/>
  <c r="R90" i="10"/>
  <c r="U309" i="10"/>
  <c r="P117" i="10"/>
  <c r="Q279" i="10"/>
  <c r="R380" i="10"/>
  <c r="U5" i="10"/>
  <c r="U352" i="10"/>
  <c r="S314" i="10"/>
  <c r="U311" i="10"/>
  <c r="R283" i="10"/>
  <c r="S269" i="10"/>
  <c r="T145" i="10"/>
  <c r="V174" i="9"/>
  <c r="T271" i="10"/>
  <c r="V218" i="10"/>
  <c r="V82" i="9"/>
  <c r="U384" i="10"/>
  <c r="S59" i="9"/>
  <c r="P21" i="10"/>
  <c r="Q136" i="10"/>
  <c r="P441" i="10"/>
  <c r="R123" i="10"/>
  <c r="R161" i="10"/>
  <c r="T94" i="10"/>
  <c r="T104" i="10"/>
  <c r="T177" i="9"/>
  <c r="Q477" i="10"/>
  <c r="T424" i="10"/>
  <c r="S359" i="10"/>
  <c r="R191" i="10"/>
  <c r="T82" i="10"/>
  <c r="T352" i="10"/>
  <c r="P190" i="10"/>
  <c r="R348" i="10"/>
  <c r="R312" i="10"/>
  <c r="U205" i="10"/>
  <c r="T107" i="10"/>
  <c r="U227" i="10"/>
  <c r="S76" i="10"/>
  <c r="T114" i="9"/>
  <c r="S90" i="10"/>
  <c r="R272" i="10"/>
  <c r="Q161" i="10"/>
  <c r="S192" i="10"/>
  <c r="U360" i="10"/>
  <c r="R473" i="10"/>
  <c r="Q19" i="10"/>
  <c r="Q274" i="10"/>
  <c r="R284" i="10"/>
  <c r="T302" i="10"/>
  <c r="V280" i="10"/>
  <c r="R471" i="10"/>
  <c r="T230" i="10"/>
  <c r="T121" i="10"/>
  <c r="U387" i="10"/>
  <c r="V170" i="9"/>
  <c r="U132" i="10"/>
  <c r="T369" i="10"/>
  <c r="T254" i="10"/>
  <c r="V16" i="9"/>
  <c r="Q179" i="9"/>
  <c r="Q202" i="9"/>
  <c r="T23" i="9"/>
  <c r="P25" i="10"/>
  <c r="Q206" i="10"/>
  <c r="S171" i="10"/>
  <c r="P155" i="10"/>
  <c r="P130" i="10"/>
  <c r="T187" i="9"/>
  <c r="R87" i="10"/>
  <c r="R335" i="10"/>
  <c r="V100" i="9"/>
  <c r="V262" i="10"/>
  <c r="T94" i="9"/>
  <c r="U46" i="9"/>
  <c r="S121" i="9"/>
  <c r="R394" i="10"/>
  <c r="Q72" i="10"/>
  <c r="S232" i="10"/>
  <c r="S275" i="10"/>
  <c r="S132" i="9"/>
  <c r="U195" i="9"/>
  <c r="V163" i="9"/>
  <c r="Q245" i="10"/>
  <c r="Q469" i="10"/>
  <c r="R66" i="10"/>
  <c r="R36" i="10"/>
  <c r="P291" i="10"/>
  <c r="T34" i="9"/>
  <c r="T329" i="10"/>
  <c r="T115" i="9"/>
  <c r="P389" i="10"/>
  <c r="R40" i="10"/>
  <c r="S161" i="9"/>
  <c r="S38" i="10"/>
  <c r="T434" i="10"/>
  <c r="Q112" i="10"/>
  <c r="P390" i="10"/>
  <c r="R448" i="10"/>
  <c r="U12" i="10"/>
  <c r="Q386" i="10"/>
  <c r="V97" i="9"/>
  <c r="T166" i="10"/>
  <c r="U441" i="10"/>
  <c r="S86" i="10"/>
  <c r="T79" i="10"/>
  <c r="R303" i="10"/>
  <c r="Q232" i="10"/>
  <c r="T91" i="10"/>
  <c r="S106" i="10"/>
  <c r="T383" i="10"/>
  <c r="S470" i="10"/>
  <c r="S244" i="10"/>
  <c r="Q304" i="10"/>
  <c r="V370" i="10"/>
  <c r="T393" i="10"/>
  <c r="S433" i="10"/>
  <c r="T441" i="10"/>
  <c r="U115" i="10"/>
  <c r="U55" i="9"/>
  <c r="R280" i="10"/>
  <c r="R375" i="10"/>
  <c r="Q51" i="10"/>
  <c r="R285" i="10"/>
  <c r="T61" i="10"/>
  <c r="R467" i="10"/>
  <c r="T226" i="10"/>
  <c r="T454" i="10"/>
  <c r="U184" i="10"/>
  <c r="V45" i="10"/>
  <c r="P204" i="10"/>
  <c r="S118" i="10"/>
  <c r="U263" i="10"/>
  <c r="R336" i="10"/>
  <c r="T67" i="9"/>
  <c r="R323" i="10"/>
  <c r="S65" i="10"/>
  <c r="T450" i="10"/>
  <c r="R102" i="10"/>
  <c r="V477" i="10"/>
  <c r="P133" i="10"/>
  <c r="U483" i="10"/>
  <c r="R341" i="10"/>
  <c r="S78" i="10"/>
  <c r="V416" i="10"/>
  <c r="Q352" i="10"/>
  <c r="R352" i="10"/>
  <c r="R165" i="10"/>
  <c r="S400" i="10"/>
  <c r="U171" i="9"/>
  <c r="U340" i="10"/>
  <c r="Q369" i="10"/>
  <c r="S114" i="10"/>
  <c r="U319" i="10"/>
  <c r="S461" i="10"/>
  <c r="S19" i="10"/>
  <c r="T448" i="10"/>
  <c r="U196" i="10"/>
  <c r="U180" i="9"/>
  <c r="R162" i="10"/>
  <c r="Q455" i="10"/>
  <c r="Q83" i="10"/>
  <c r="U372" i="10"/>
  <c r="P110" i="10"/>
  <c r="V276" i="10"/>
  <c r="S178" i="10"/>
  <c r="R344" i="10"/>
  <c r="T306" i="10"/>
  <c r="P398" i="10"/>
  <c r="R429" i="10"/>
  <c r="R351" i="10"/>
  <c r="V310" i="10"/>
  <c r="R371" i="10"/>
  <c r="Q122" i="10"/>
  <c r="S220" i="10"/>
  <c r="Q464" i="10"/>
  <c r="S384" i="10"/>
  <c r="R18" i="10"/>
  <c r="T130" i="10"/>
  <c r="T99" i="10"/>
  <c r="V77" i="9"/>
  <c r="V456" i="10"/>
  <c r="R70" i="10"/>
  <c r="V133" i="9"/>
  <c r="S476" i="10"/>
  <c r="Q222" i="10"/>
  <c r="R23" i="10"/>
  <c r="V155" i="9"/>
  <c r="T57" i="9"/>
  <c r="R170" i="10"/>
  <c r="R164" i="10"/>
  <c r="R37" i="10"/>
  <c r="R21" i="10"/>
  <c r="V141" i="9"/>
  <c r="Q406" i="10"/>
  <c r="R41" i="10"/>
  <c r="S312" i="10"/>
  <c r="Q423" i="10"/>
  <c r="U193" i="10"/>
  <c r="V136" i="10"/>
  <c r="U374" i="10"/>
  <c r="U429" i="10"/>
  <c r="U146" i="10"/>
  <c r="T189" i="9"/>
  <c r="R77" i="10"/>
  <c r="R355" i="10"/>
  <c r="U226" i="10"/>
  <c r="T74" i="10"/>
  <c r="P263" i="10"/>
  <c r="U5" i="9"/>
  <c r="T88" i="9"/>
  <c r="Q449" i="10"/>
  <c r="Q269" i="10"/>
  <c r="U245" i="10"/>
  <c r="T41" i="9"/>
  <c r="U82" i="9"/>
  <c r="S20" i="9"/>
  <c r="R383" i="10"/>
  <c r="Q179" i="10"/>
  <c r="S43" i="10"/>
  <c r="R186" i="10"/>
  <c r="Q89" i="10"/>
  <c r="Q31" i="10"/>
  <c r="V207" i="9"/>
  <c r="R79" i="10"/>
  <c r="S410" i="10"/>
  <c r="T28" i="9"/>
  <c r="T275" i="10"/>
  <c r="Q168" i="10"/>
  <c r="Q370" i="10"/>
  <c r="T169" i="10"/>
  <c r="V4" i="10"/>
  <c r="T73" i="10"/>
  <c r="T51" i="9"/>
  <c r="S328" i="10"/>
  <c r="Q91" i="10"/>
  <c r="V466" i="10"/>
  <c r="T186" i="10"/>
  <c r="U195" i="10"/>
  <c r="S53" i="10"/>
  <c r="P354" i="10"/>
  <c r="S325" i="10"/>
  <c r="R402" i="10"/>
  <c r="R424" i="10"/>
  <c r="S318" i="10"/>
  <c r="R30" i="10"/>
  <c r="R173" i="10"/>
  <c r="V134" i="10"/>
  <c r="T228" i="10"/>
  <c r="V114" i="10"/>
  <c r="V160" i="10"/>
  <c r="Q363" i="10"/>
  <c r="U344" i="10"/>
  <c r="U154" i="9"/>
  <c r="S43" i="9"/>
  <c r="U40" i="9"/>
  <c r="T156" i="10"/>
  <c r="T297" i="10"/>
  <c r="Q330" i="10"/>
  <c r="S331" i="10"/>
  <c r="S239" i="10"/>
  <c r="P74" i="10"/>
  <c r="Q207" i="10"/>
  <c r="R420" i="10"/>
  <c r="R217" i="10"/>
  <c r="Q372" i="10"/>
  <c r="S224" i="10"/>
  <c r="R122" i="10"/>
  <c r="T385" i="10"/>
  <c r="T327" i="10"/>
  <c r="P239" i="10"/>
  <c r="Q475" i="10"/>
  <c r="R146" i="10"/>
  <c r="T197" i="10"/>
  <c r="U99" i="10"/>
  <c r="S348" i="10"/>
  <c r="T362" i="10"/>
  <c r="V341" i="10"/>
  <c r="U389" i="10"/>
  <c r="P205" i="10"/>
  <c r="T81" i="10"/>
  <c r="S12" i="9"/>
  <c r="U447" i="10"/>
  <c r="U188" i="9"/>
  <c r="R328" i="10"/>
  <c r="S152" i="10"/>
  <c r="Q465" i="10"/>
  <c r="R149" i="10"/>
  <c r="T361" i="10"/>
  <c r="Q407" i="10"/>
  <c r="S299" i="10"/>
  <c r="S289" i="10"/>
  <c r="Q303" i="10"/>
  <c r="S10" i="10"/>
  <c r="R106" i="10"/>
  <c r="T43" i="10"/>
  <c r="R56" i="10"/>
  <c r="U480" i="10"/>
  <c r="T123" i="10"/>
  <c r="R443" i="10"/>
  <c r="U17" i="10"/>
  <c r="S436" i="10"/>
  <c r="V101" i="9"/>
  <c r="S463" i="10"/>
  <c r="P446" i="10"/>
  <c r="V94" i="9"/>
  <c r="S247" i="10"/>
  <c r="S361" i="10"/>
  <c r="V9" i="9"/>
  <c r="T124" i="9"/>
  <c r="U434" i="10"/>
  <c r="V48" i="10"/>
  <c r="U248" i="10"/>
  <c r="T292" i="10"/>
  <c r="V197" i="9"/>
  <c r="Q356" i="10"/>
  <c r="V337" i="10"/>
  <c r="R33" i="10"/>
  <c r="Q159" i="10"/>
  <c r="U218" i="10"/>
  <c r="T42" i="10"/>
  <c r="V419" i="10"/>
  <c r="U267" i="10"/>
  <c r="V371" i="10"/>
  <c r="S77" i="9"/>
  <c r="P127" i="10"/>
  <c r="P409" i="10"/>
  <c r="T11" i="9"/>
  <c r="U19" i="9"/>
  <c r="S368" i="10"/>
  <c r="P22" i="10"/>
  <c r="R389" i="10"/>
  <c r="P219" i="10"/>
  <c r="P426" i="10"/>
  <c r="Q128" i="10"/>
  <c r="Q187" i="9"/>
  <c r="P421" i="10"/>
  <c r="P55" i="9"/>
  <c r="R178" i="9"/>
  <c r="S197" i="9"/>
  <c r="Q326" i="10"/>
  <c r="U32" i="9"/>
  <c r="P20" i="9"/>
  <c r="S215" i="10"/>
  <c r="P114" i="10"/>
  <c r="S54" i="9"/>
  <c r="P139" i="9"/>
  <c r="R184" i="9"/>
  <c r="P176" i="9"/>
  <c r="S154" i="10"/>
  <c r="R147" i="9"/>
  <c r="T161" i="9"/>
  <c r="Q135" i="10"/>
  <c r="T152" i="9"/>
  <c r="Q293" i="10"/>
  <c r="P250" i="10"/>
  <c r="U200" i="9"/>
  <c r="P380" i="10"/>
  <c r="T335" i="10"/>
  <c r="P124" i="10"/>
  <c r="S51" i="10"/>
  <c r="P85" i="10"/>
  <c r="U61" i="9"/>
  <c r="T17" i="9"/>
  <c r="U89" i="9"/>
  <c r="S488" i="10"/>
  <c r="U11" i="9"/>
  <c r="Q321" i="10"/>
  <c r="P136" i="10"/>
  <c r="U167" i="9"/>
  <c r="U57" i="10"/>
  <c r="T134" i="9"/>
  <c r="R182" i="10"/>
  <c r="U196" i="9"/>
  <c r="Q211" i="10"/>
  <c r="P306" i="10"/>
  <c r="U58" i="9"/>
  <c r="R96" i="10"/>
  <c r="P61" i="10"/>
  <c r="T9" i="9"/>
  <c r="P146" i="10"/>
  <c r="P202" i="10"/>
  <c r="T3" i="9"/>
  <c r="T470" i="10"/>
  <c r="S351" i="10"/>
  <c r="Q201" i="10"/>
  <c r="S210" i="10"/>
  <c r="R372" i="10"/>
  <c r="Q120" i="10"/>
  <c r="R332" i="10"/>
  <c r="S186" i="10"/>
  <c r="U151" i="10"/>
  <c r="P402" i="10"/>
  <c r="R88" i="10"/>
  <c r="R364" i="10"/>
  <c r="Q197" i="10"/>
  <c r="Q254" i="10"/>
  <c r="S278" i="10"/>
  <c r="T102" i="10"/>
  <c r="U145" i="9"/>
  <c r="R453" i="10"/>
  <c r="Q18" i="10"/>
  <c r="Q287" i="10"/>
  <c r="V65" i="9"/>
  <c r="R68" i="10"/>
  <c r="S143" i="10"/>
  <c r="P103" i="10"/>
  <c r="S52" i="10"/>
  <c r="R8" i="10"/>
  <c r="R47" i="10"/>
  <c r="T202" i="10"/>
  <c r="T15" i="10"/>
  <c r="S437" i="10"/>
  <c r="S176" i="10"/>
  <c r="V384" i="10"/>
  <c r="U231" i="10"/>
  <c r="S211" i="10"/>
  <c r="S99" i="10"/>
  <c r="P12" i="10"/>
  <c r="Q422" i="10"/>
  <c r="P478" i="10"/>
  <c r="P339" i="10"/>
  <c r="S199" i="10"/>
  <c r="Q393" i="10"/>
  <c r="R316" i="10"/>
  <c r="T402" i="10"/>
  <c r="Q474" i="10"/>
  <c r="Q172" i="10"/>
  <c r="R387" i="10"/>
  <c r="S375" i="10"/>
  <c r="S112" i="10"/>
  <c r="R484" i="10"/>
  <c r="R224" i="10"/>
  <c r="S129" i="10"/>
  <c r="R290" i="10"/>
  <c r="T418" i="10"/>
  <c r="Q76" i="10"/>
  <c r="Q61" i="10"/>
  <c r="S453" i="10"/>
  <c r="R288" i="10"/>
  <c r="Q113" i="10"/>
  <c r="T83" i="10"/>
  <c r="U190" i="10"/>
  <c r="S95" i="10"/>
  <c r="V175" i="9"/>
  <c r="Q27" i="10"/>
  <c r="U12" i="9"/>
  <c r="U103" i="9"/>
  <c r="U189" i="9"/>
  <c r="P307" i="10"/>
  <c r="Q123" i="10"/>
  <c r="T120" i="10"/>
  <c r="Q116" i="10"/>
  <c r="S196" i="10"/>
  <c r="V72" i="9"/>
  <c r="R13" i="10"/>
  <c r="U342" i="10"/>
  <c r="T55" i="10"/>
  <c r="T308" i="10"/>
  <c r="Q214" i="10"/>
  <c r="S96" i="10"/>
  <c r="R242" i="10"/>
  <c r="R46" i="10"/>
  <c r="Q121" i="10"/>
  <c r="S363" i="10"/>
  <c r="S282" i="10"/>
  <c r="T384" i="10"/>
  <c r="V471" i="10"/>
  <c r="Q57" i="10"/>
  <c r="R320" i="10"/>
  <c r="R7" i="10"/>
  <c r="P462" i="10"/>
  <c r="T140" i="10"/>
  <c r="U250" i="10"/>
  <c r="T181" i="10"/>
  <c r="P422" i="10"/>
  <c r="R325" i="10"/>
  <c r="R248" i="10"/>
  <c r="P258" i="10"/>
  <c r="R76" i="10"/>
  <c r="T23" i="10"/>
  <c r="Q395" i="10"/>
  <c r="P386" i="10"/>
  <c r="R203" i="10"/>
  <c r="R58" i="10"/>
  <c r="T266" i="10"/>
  <c r="U36" i="10"/>
  <c r="V188" i="9"/>
  <c r="V120" i="10"/>
  <c r="S173" i="10"/>
  <c r="U209" i="10"/>
  <c r="T461" i="10"/>
  <c r="T249" i="10"/>
  <c r="U175" i="10"/>
  <c r="T50" i="9"/>
  <c r="R322" i="10"/>
  <c r="U207" i="9"/>
  <c r="P70" i="10"/>
  <c r="P273" i="10"/>
  <c r="T14" i="9"/>
  <c r="T174" i="10"/>
  <c r="T328" i="10"/>
  <c r="Q47" i="10"/>
  <c r="U391" i="10"/>
  <c r="R426" i="10"/>
  <c r="Q292" i="10"/>
  <c r="R463" i="10"/>
  <c r="S435" i="10"/>
  <c r="V103" i="10"/>
  <c r="P449" i="10"/>
  <c r="R301" i="10"/>
  <c r="R296" i="10"/>
  <c r="Q261" i="10"/>
  <c r="Q39" i="10"/>
  <c r="S245" i="10"/>
  <c r="U427" i="10"/>
  <c r="U35" i="9"/>
  <c r="R265" i="10"/>
  <c r="Q233" i="10"/>
  <c r="Q294" i="10"/>
  <c r="V7" i="10"/>
  <c r="S316" i="10"/>
  <c r="T469" i="10"/>
  <c r="P181" i="10"/>
  <c r="T471" i="10"/>
  <c r="S389" i="10"/>
  <c r="R145" i="10"/>
  <c r="R249" i="10"/>
  <c r="U280" i="10"/>
  <c r="T201" i="10"/>
  <c r="V205" i="9"/>
  <c r="T325" i="10"/>
  <c r="T16" i="10"/>
  <c r="V169" i="9"/>
  <c r="U191" i="10"/>
  <c r="S21" i="10"/>
  <c r="V447" i="10"/>
  <c r="Q281" i="10"/>
  <c r="S355" i="10"/>
  <c r="U50" i="9"/>
  <c r="P440" i="10"/>
  <c r="T190" i="9"/>
  <c r="R437" i="10"/>
  <c r="Q21" i="10"/>
  <c r="T89" i="10"/>
  <c r="T430" i="10"/>
  <c r="Q88" i="10"/>
  <c r="Q194" i="10"/>
  <c r="Q78" i="10"/>
  <c r="S418" i="10"/>
  <c r="T422" i="10"/>
  <c r="U173" i="9"/>
  <c r="V128" i="10"/>
  <c r="Q227" i="10"/>
  <c r="Q102" i="10"/>
  <c r="U448" i="10"/>
  <c r="R4" i="10"/>
  <c r="V37" i="10"/>
  <c r="T135" i="9"/>
  <c r="T484" i="10"/>
  <c r="Q94" i="10"/>
  <c r="Q311" i="10"/>
  <c r="T4" i="10"/>
  <c r="V420" i="10"/>
  <c r="T285" i="10"/>
  <c r="P27" i="10"/>
  <c r="S304" i="10"/>
  <c r="R297" i="10"/>
  <c r="R418" i="10"/>
  <c r="R388" i="10"/>
  <c r="S45" i="10"/>
  <c r="V184" i="10"/>
  <c r="T252" i="10"/>
  <c r="R15" i="10"/>
  <c r="T256" i="10"/>
  <c r="U182" i="10"/>
  <c r="T386" i="10"/>
  <c r="U44" i="10"/>
  <c r="U173" i="10"/>
  <c r="U143" i="9"/>
  <c r="P481" i="10"/>
  <c r="T241" i="10"/>
  <c r="S162" i="10"/>
  <c r="S404" i="10"/>
  <c r="R360" i="10"/>
  <c r="R211" i="10"/>
  <c r="T158" i="10"/>
  <c r="Q430" i="10"/>
  <c r="P314" i="10"/>
  <c r="S336" i="10"/>
  <c r="R124" i="10"/>
  <c r="R365" i="10"/>
  <c r="R374" i="10"/>
  <c r="T390" i="10"/>
  <c r="P152" i="10"/>
  <c r="P282" i="10"/>
  <c r="S226" i="10"/>
  <c r="R222" i="10"/>
  <c r="R357" i="10"/>
  <c r="R340" i="10"/>
  <c r="S97" i="10"/>
  <c r="V244" i="10"/>
  <c r="Q212" i="10"/>
  <c r="V108" i="9"/>
  <c r="T281" i="10"/>
  <c r="S366" i="10"/>
  <c r="S55" i="10"/>
  <c r="U377" i="10"/>
  <c r="Q110" i="10"/>
  <c r="S424" i="10"/>
  <c r="U399" i="10"/>
  <c r="U459" i="10"/>
  <c r="U107" i="10"/>
  <c r="U187" i="10"/>
  <c r="U170" i="10"/>
  <c r="R49" i="9"/>
  <c r="P397" i="10"/>
  <c r="U153" i="9"/>
  <c r="U182" i="9"/>
  <c r="Q404" i="10"/>
  <c r="S132" i="10"/>
  <c r="R349" i="10"/>
  <c r="R419" i="10"/>
  <c r="R143" i="10"/>
  <c r="U469" i="10"/>
  <c r="S142" i="10"/>
  <c r="R300" i="10"/>
  <c r="R386" i="10"/>
  <c r="R422" i="10"/>
  <c r="S277" i="10"/>
  <c r="V354" i="10"/>
  <c r="U134" i="9"/>
  <c r="R209" i="10"/>
  <c r="R353" i="10"/>
  <c r="R381" i="10"/>
  <c r="S7" i="10"/>
  <c r="U60" i="10"/>
  <c r="Q427" i="10"/>
  <c r="V41" i="10"/>
  <c r="V250" i="10"/>
  <c r="V308" i="10"/>
  <c r="T196" i="10"/>
  <c r="U467" i="10"/>
  <c r="S322" i="10"/>
  <c r="V220" i="10"/>
  <c r="U302" i="10"/>
  <c r="U424" i="10"/>
  <c r="S339" i="10"/>
  <c r="Q92" i="10"/>
  <c r="Q195" i="10"/>
  <c r="P51" i="10"/>
  <c r="P72" i="10"/>
  <c r="S94" i="10"/>
  <c r="R403" i="10"/>
  <c r="R45" i="10"/>
  <c r="R202" i="10"/>
  <c r="U131" i="10"/>
  <c r="U355" i="10"/>
  <c r="U322" i="10"/>
  <c r="S295" i="10"/>
  <c r="V373" i="10"/>
  <c r="Q350" i="10"/>
  <c r="Q317" i="10"/>
  <c r="Q413" i="10"/>
  <c r="Q43" i="10"/>
  <c r="T253" i="10"/>
  <c r="T148" i="9"/>
  <c r="T203" i="10"/>
  <c r="U111" i="10"/>
  <c r="S471" i="10"/>
  <c r="S306" i="10"/>
  <c r="S131" i="10"/>
  <c r="R295" i="10"/>
  <c r="T279" i="10"/>
  <c r="S365" i="10"/>
  <c r="R454" i="10"/>
  <c r="U183" i="10"/>
  <c r="T5" i="10"/>
  <c r="V386" i="10"/>
  <c r="V43" i="9"/>
  <c r="S105" i="10"/>
  <c r="V468" i="10"/>
  <c r="S360" i="10"/>
  <c r="V340" i="10"/>
  <c r="V306" i="10"/>
  <c r="V322" i="10"/>
  <c r="S31" i="10"/>
  <c r="T144" i="10"/>
  <c r="S473" i="10"/>
  <c r="V154" i="9"/>
  <c r="T2" i="10"/>
  <c r="T437" i="10"/>
  <c r="V188" i="10"/>
  <c r="U373" i="10"/>
  <c r="V128" i="9"/>
  <c r="V146" i="10"/>
  <c r="T303" i="10"/>
  <c r="V275" i="10"/>
  <c r="V464" i="10"/>
  <c r="V26" i="9"/>
  <c r="V232" i="10"/>
  <c r="V141" i="10"/>
  <c r="V325" i="10"/>
  <c r="V156" i="9"/>
  <c r="T426" i="10"/>
  <c r="V164" i="9"/>
  <c r="P482" i="10"/>
  <c r="Q396" i="10"/>
  <c r="Q82" i="10"/>
  <c r="U460" i="10"/>
  <c r="S119" i="10"/>
  <c r="S472" i="10"/>
  <c r="S242" i="10"/>
  <c r="T138" i="10"/>
  <c r="Q240" i="10"/>
  <c r="Q284" i="10"/>
  <c r="T263" i="10"/>
  <c r="S438" i="10"/>
  <c r="R156" i="10"/>
  <c r="S287" i="10"/>
  <c r="V41" i="9"/>
  <c r="Q34" i="10"/>
  <c r="P254" i="10"/>
  <c r="S20" i="10"/>
  <c r="S480" i="10"/>
  <c r="R268" i="10"/>
  <c r="R105" i="10"/>
  <c r="U488" i="10"/>
  <c r="T130" i="9"/>
  <c r="R125" i="10"/>
  <c r="Q346" i="10"/>
  <c r="U159" i="10"/>
  <c r="T326" i="10"/>
  <c r="U284" i="10"/>
  <c r="S147" i="10"/>
  <c r="R247" i="10"/>
  <c r="S138" i="10"/>
  <c r="S103" i="10"/>
  <c r="U76" i="10"/>
  <c r="T7" i="10"/>
  <c r="U415" i="10"/>
  <c r="R475" i="10"/>
  <c r="P102" i="10"/>
  <c r="P287" i="10"/>
  <c r="P423" i="10"/>
  <c r="P126" i="10"/>
  <c r="S70" i="10"/>
  <c r="U203" i="10"/>
  <c r="R427" i="10"/>
  <c r="R458" i="10"/>
  <c r="S149" i="10"/>
  <c r="S234" i="10"/>
  <c r="U53" i="9"/>
  <c r="R22" i="10"/>
  <c r="R176" i="10"/>
  <c r="R221" i="10"/>
  <c r="T210" i="10"/>
  <c r="S27" i="10"/>
  <c r="P475" i="10"/>
  <c r="S204" i="10"/>
  <c r="S257" i="10"/>
  <c r="S301" i="10"/>
  <c r="R183" i="10"/>
  <c r="U413" i="10"/>
  <c r="Q215" i="10"/>
  <c r="Q351" i="10"/>
  <c r="Q365" i="10"/>
  <c r="R243" i="10"/>
  <c r="V363" i="10"/>
  <c r="R112" i="10"/>
  <c r="T487" i="10"/>
  <c r="S77" i="10"/>
  <c r="T419" i="10"/>
  <c r="S203" i="10"/>
  <c r="V331" i="10"/>
  <c r="U392" i="10"/>
  <c r="S58" i="10"/>
  <c r="R136" i="9"/>
  <c r="R276" i="10"/>
  <c r="S120" i="9"/>
  <c r="S273" i="10"/>
  <c r="U123" i="9"/>
  <c r="R232" i="10"/>
  <c r="Q144" i="10"/>
  <c r="Q382" i="10"/>
  <c r="R415" i="10"/>
  <c r="T479" i="10"/>
  <c r="R373" i="10"/>
  <c r="R73" i="10"/>
  <c r="Q129" i="10"/>
  <c r="Q158" i="10"/>
  <c r="R225" i="10"/>
  <c r="R98" i="10"/>
  <c r="P372" i="10"/>
  <c r="U27" i="10"/>
  <c r="Q216" i="10"/>
  <c r="S198" i="10"/>
  <c r="V15" i="10"/>
  <c r="R134" i="10"/>
  <c r="S146" i="10"/>
  <c r="Q149" i="10"/>
  <c r="T413" i="10"/>
  <c r="S182" i="10"/>
  <c r="S454" i="10"/>
  <c r="U206" i="10"/>
  <c r="S18" i="10"/>
  <c r="S166" i="10"/>
  <c r="V311" i="10"/>
  <c r="S67" i="10"/>
  <c r="T243" i="10"/>
  <c r="V44" i="10"/>
  <c r="S288" i="10"/>
  <c r="T474" i="10"/>
  <c r="V365" i="10"/>
  <c r="S98" i="10"/>
  <c r="U449" i="10"/>
  <c r="U2" i="10"/>
  <c r="U129" i="10"/>
  <c r="U324" i="10"/>
  <c r="T188" i="10"/>
  <c r="U262" i="10"/>
  <c r="S153" i="10"/>
  <c r="U442" i="10"/>
  <c r="V69" i="9"/>
  <c r="T246" i="10"/>
  <c r="V449" i="10"/>
  <c r="U223" i="10"/>
  <c r="V204" i="10"/>
  <c r="V148" i="10"/>
  <c r="V160" i="9"/>
  <c r="U71" i="10"/>
  <c r="P83" i="10"/>
  <c r="S216" i="10"/>
  <c r="R35" i="10"/>
  <c r="R470" i="10"/>
  <c r="R263" i="10"/>
  <c r="T364" i="10"/>
  <c r="V6" i="10"/>
  <c r="P360" i="10"/>
  <c r="R6" i="10"/>
  <c r="R52" i="10"/>
  <c r="Q46" i="10"/>
  <c r="R17" i="10"/>
  <c r="S294" i="10"/>
  <c r="V285" i="10"/>
  <c r="Q8" i="10"/>
  <c r="U345" i="10"/>
  <c r="T301" i="10"/>
  <c r="S455" i="10"/>
  <c r="S46" i="10"/>
  <c r="U364" i="10"/>
  <c r="Q289" i="10"/>
  <c r="S332" i="10"/>
  <c r="T86" i="10"/>
  <c r="U56" i="10"/>
  <c r="T194" i="10"/>
  <c r="S72" i="10"/>
  <c r="V56" i="9"/>
  <c r="Q357" i="10"/>
  <c r="P161" i="10"/>
  <c r="S329" i="10"/>
  <c r="S367" i="10"/>
  <c r="Q379" i="10"/>
  <c r="T198" i="10"/>
  <c r="S177" i="10"/>
  <c r="T435" i="10"/>
  <c r="S352" i="10"/>
  <c r="S326" i="10"/>
  <c r="Q3" i="10"/>
  <c r="V254" i="10"/>
  <c r="T216" i="10"/>
  <c r="S237" i="10"/>
  <c r="T485" i="10"/>
  <c r="U50" i="10"/>
  <c r="R414" i="10"/>
  <c r="Q183" i="10"/>
  <c r="U207" i="10"/>
  <c r="S228" i="10"/>
  <c r="S298" i="10"/>
  <c r="S101" i="10"/>
  <c r="T77" i="10"/>
  <c r="U157" i="9"/>
  <c r="R317" i="10"/>
  <c r="Q160" i="10"/>
  <c r="Q401" i="10"/>
  <c r="U25" i="10"/>
  <c r="R150" i="10"/>
  <c r="S229" i="10"/>
  <c r="R197" i="10"/>
  <c r="U412" i="10"/>
  <c r="T304" i="10"/>
  <c r="S263" i="10"/>
  <c r="R208" i="10"/>
  <c r="V378" i="10"/>
  <c r="U93" i="10"/>
  <c r="R464" i="10"/>
  <c r="Q343" i="10"/>
  <c r="P302" i="10"/>
  <c r="P355" i="10"/>
  <c r="Q482" i="10"/>
  <c r="S466" i="10"/>
  <c r="S392" i="10"/>
  <c r="S200" i="10"/>
  <c r="T114" i="10"/>
  <c r="U451" i="10"/>
  <c r="P144" i="10"/>
  <c r="S150" i="10"/>
  <c r="S201" i="10"/>
  <c r="S256" i="10"/>
  <c r="S376" i="10"/>
  <c r="U401" i="10"/>
  <c r="P98" i="10"/>
  <c r="T247" i="10"/>
  <c r="T462" i="10"/>
  <c r="U310" i="10"/>
  <c r="S193" i="10"/>
  <c r="U158" i="10"/>
  <c r="S317" i="10"/>
  <c r="Q313" i="10"/>
  <c r="R368" i="10"/>
  <c r="S343" i="10"/>
  <c r="V27" i="9"/>
  <c r="R354" i="10"/>
  <c r="U313" i="10"/>
  <c r="T113" i="10"/>
  <c r="V302" i="10"/>
  <c r="U306" i="10"/>
  <c r="T128" i="10"/>
  <c r="P442" i="10"/>
  <c r="R115" i="10"/>
  <c r="S178" i="9"/>
  <c r="U26" i="9"/>
  <c r="T110" i="9"/>
  <c r="T123" i="9"/>
  <c r="Q220" i="10"/>
  <c r="T427" i="10"/>
  <c r="Q11" i="10"/>
  <c r="Q40" i="10"/>
  <c r="R302" i="10"/>
  <c r="U414" i="10"/>
  <c r="T395" i="10"/>
  <c r="S109" i="10"/>
  <c r="Q52" i="10"/>
  <c r="Q81" i="10"/>
  <c r="S423" i="10"/>
  <c r="T391" i="10"/>
  <c r="Q419" i="10"/>
  <c r="Q437" i="10"/>
  <c r="R24" i="10"/>
  <c r="U484" i="10"/>
  <c r="T68" i="9"/>
  <c r="R118" i="10"/>
  <c r="Q471" i="10"/>
  <c r="R485" i="10"/>
  <c r="T429" i="10"/>
  <c r="T483" i="10"/>
  <c r="V334" i="10"/>
  <c r="S411" i="10"/>
  <c r="T381" i="10"/>
  <c r="V385" i="10"/>
  <c r="T8" i="10"/>
  <c r="T277" i="10"/>
  <c r="S202" i="10"/>
  <c r="S61" i="10"/>
  <c r="U325" i="10"/>
  <c r="T49" i="10"/>
  <c r="T65" i="10"/>
  <c r="V307" i="10"/>
  <c r="V79" i="10"/>
  <c r="V274" i="10"/>
  <c r="T78" i="10"/>
  <c r="S419" i="10"/>
  <c r="U101" i="10"/>
  <c r="V147" i="9"/>
  <c r="V176" i="9"/>
  <c r="S421" i="10"/>
  <c r="V470" i="10"/>
  <c r="V116" i="9"/>
  <c r="S335" i="10"/>
  <c r="T211" i="10"/>
  <c r="V125" i="10"/>
  <c r="V376" i="10"/>
  <c r="V13" i="9"/>
  <c r="U125" i="10"/>
  <c r="R53" i="10"/>
  <c r="S449" i="10"/>
  <c r="Q204" i="10"/>
  <c r="Q409" i="10"/>
  <c r="T24" i="10"/>
  <c r="V93" i="10"/>
  <c r="T35" i="10"/>
  <c r="T78" i="9"/>
  <c r="S412" i="10"/>
  <c r="Q341" i="10"/>
  <c r="V102" i="9"/>
  <c r="T373" i="10"/>
  <c r="U305" i="10"/>
  <c r="S160" i="10"/>
  <c r="T50" i="10"/>
  <c r="R397" i="10"/>
  <c r="Q20" i="10"/>
  <c r="U478" i="10"/>
  <c r="S35" i="10"/>
  <c r="T330" i="10"/>
  <c r="S344" i="10"/>
  <c r="P24" i="10"/>
  <c r="R131" i="10"/>
  <c r="R488" i="10"/>
  <c r="Q192" i="10"/>
  <c r="R476" i="10"/>
  <c r="S373" i="10"/>
  <c r="U108" i="10"/>
  <c r="S33" i="10"/>
  <c r="T9" i="10"/>
  <c r="T48" i="10"/>
  <c r="V375" i="10"/>
  <c r="T388" i="10"/>
  <c r="S140" i="10"/>
  <c r="P436" i="10"/>
  <c r="T194" i="9"/>
  <c r="Q286" i="10"/>
  <c r="Q42" i="10"/>
  <c r="R116" i="10"/>
  <c r="R260" i="10"/>
  <c r="T382" i="10"/>
  <c r="T457" i="10"/>
  <c r="S2" i="10"/>
  <c r="S378" i="10"/>
  <c r="V431" i="10"/>
  <c r="P153" i="10"/>
  <c r="T235" i="10"/>
  <c r="T400" i="10"/>
  <c r="V104" i="10"/>
  <c r="S417" i="10"/>
  <c r="Q453" i="10"/>
  <c r="P39" i="10"/>
  <c r="U363" i="10"/>
  <c r="Q355" i="10"/>
  <c r="Q2" i="10"/>
  <c r="S6" i="10"/>
  <c r="T13" i="9"/>
  <c r="R393" i="10"/>
  <c r="R294" i="10"/>
  <c r="R43" i="10"/>
  <c r="T278" i="10"/>
  <c r="S137" i="10"/>
  <c r="S457" i="10"/>
  <c r="S207" i="10"/>
  <c r="U274" i="10"/>
  <c r="V239" i="10"/>
  <c r="S174" i="10"/>
  <c r="U234" i="10"/>
  <c r="R411" i="10"/>
  <c r="R417" i="10"/>
  <c r="T131" i="9"/>
  <c r="P466" i="10"/>
  <c r="U41" i="9"/>
  <c r="P322" i="10"/>
  <c r="T126" i="10"/>
  <c r="U393" i="10"/>
  <c r="R472" i="10"/>
  <c r="R39" i="10"/>
  <c r="S88" i="10"/>
  <c r="S413" i="10"/>
  <c r="T16" i="9"/>
  <c r="R406" i="10"/>
  <c r="R127" i="10"/>
  <c r="R154" i="10"/>
  <c r="T170" i="10"/>
  <c r="V287" i="10"/>
  <c r="Q29" i="10"/>
  <c r="R366" i="10"/>
  <c r="S290" i="10"/>
  <c r="S212" i="10"/>
  <c r="U162" i="9"/>
  <c r="T40" i="10"/>
  <c r="Q259" i="10"/>
  <c r="S487" i="10"/>
  <c r="T182" i="10"/>
  <c r="R114" i="10"/>
  <c r="S115" i="10"/>
  <c r="S197" i="10"/>
  <c r="U270" i="10"/>
  <c r="V42" i="10"/>
  <c r="V92" i="9"/>
  <c r="U215" i="10"/>
  <c r="U287" i="10"/>
  <c r="T309" i="10"/>
  <c r="T392" i="10"/>
  <c r="V313" i="10"/>
  <c r="V241" i="10"/>
  <c r="U315" i="10"/>
  <c r="V415" i="10"/>
  <c r="V238" i="10"/>
  <c r="R27" i="10"/>
  <c r="V472" i="10"/>
  <c r="U362" i="10"/>
  <c r="T295" i="10"/>
  <c r="S184" i="10"/>
  <c r="T34" i="10"/>
  <c r="U140" i="10"/>
  <c r="V119" i="9"/>
  <c r="T103" i="10"/>
  <c r="S426" i="10"/>
  <c r="U171" i="10"/>
  <c r="V358" i="10"/>
  <c r="V476" i="10"/>
  <c r="U138" i="10"/>
  <c r="R477" i="10"/>
  <c r="R155" i="10"/>
  <c r="S259" i="10"/>
  <c r="U201" i="10"/>
  <c r="T195" i="10"/>
  <c r="V312" i="10"/>
  <c r="T168" i="10"/>
  <c r="S5" i="10"/>
  <c r="V353" i="10"/>
  <c r="T317" i="10"/>
  <c r="V259" i="10"/>
  <c r="R61" i="10"/>
  <c r="S116" i="10"/>
  <c r="S57" i="9"/>
  <c r="V245" i="10"/>
  <c r="T315" i="10"/>
  <c r="Q205" i="10"/>
  <c r="P71" i="10"/>
  <c r="R438" i="10"/>
  <c r="R104" i="10"/>
  <c r="Q315" i="10"/>
  <c r="V284" i="10"/>
  <c r="T337" i="10"/>
  <c r="U445" i="10"/>
  <c r="T463" i="10"/>
  <c r="U397" i="10"/>
  <c r="R110" i="10"/>
  <c r="Q364" i="10"/>
  <c r="U332" i="10"/>
  <c r="T481" i="10"/>
  <c r="T153" i="10"/>
  <c r="S346" i="10"/>
  <c r="S110" i="10"/>
  <c r="R293" i="10"/>
  <c r="Q375" i="10"/>
  <c r="T348" i="10"/>
  <c r="S190" i="10"/>
  <c r="T398" i="10"/>
  <c r="V195" i="10"/>
  <c r="P349" i="10"/>
  <c r="R391" i="10"/>
  <c r="R481" i="10"/>
  <c r="Q90" i="10"/>
  <c r="Q145" i="10"/>
  <c r="S458" i="10"/>
  <c r="U266" i="10"/>
  <c r="S320" i="10"/>
  <c r="T359" i="10"/>
  <c r="T323" i="10"/>
  <c r="U474" i="10"/>
  <c r="V131" i="9"/>
  <c r="S486" i="10"/>
  <c r="V109" i="10"/>
  <c r="T46" i="10"/>
  <c r="T455" i="10"/>
  <c r="R130" i="9"/>
  <c r="Q198" i="10"/>
  <c r="R337" i="10"/>
  <c r="P52" i="10"/>
  <c r="P211" i="10"/>
  <c r="R286" i="10"/>
  <c r="R10" i="10"/>
  <c r="Q443" i="10"/>
  <c r="T19" i="10"/>
  <c r="S57" i="10"/>
  <c r="T349" i="10"/>
  <c r="R205" i="10"/>
  <c r="R132" i="10"/>
  <c r="Q93" i="10"/>
  <c r="U166" i="10"/>
  <c r="T343" i="10"/>
  <c r="S353" i="10"/>
  <c r="S17" i="10"/>
  <c r="U188" i="10"/>
  <c r="R28" i="10"/>
  <c r="Q377" i="10"/>
  <c r="T59" i="10"/>
  <c r="S36" i="10"/>
  <c r="R97" i="10"/>
  <c r="S388" i="10"/>
  <c r="T147" i="10"/>
  <c r="U165" i="9"/>
  <c r="U394" i="10"/>
  <c r="Q86" i="10"/>
  <c r="Q225" i="10"/>
  <c r="U343" i="10"/>
  <c r="R111" i="10"/>
  <c r="V95" i="9"/>
  <c r="R259" i="10"/>
  <c r="T13" i="10"/>
  <c r="S135" i="10"/>
  <c r="T187" i="10"/>
  <c r="T131" i="10"/>
  <c r="V193" i="9"/>
  <c r="V217" i="10"/>
  <c r="R246" i="10"/>
  <c r="R31" i="10"/>
  <c r="U118" i="10"/>
  <c r="U163" i="10"/>
  <c r="R444" i="10"/>
  <c r="Q231" i="10"/>
  <c r="Q271" i="10"/>
  <c r="S305" i="10"/>
  <c r="T25" i="10"/>
  <c r="U10" i="9"/>
  <c r="R281" i="10"/>
  <c r="Q53" i="10"/>
  <c r="Q380" i="10"/>
  <c r="V22" i="9"/>
  <c r="R44" i="10"/>
  <c r="S303" i="10"/>
  <c r="T8" i="9"/>
  <c r="T417" i="10"/>
  <c r="Q132" i="10"/>
  <c r="Q191" i="10"/>
  <c r="T62" i="10"/>
  <c r="R67" i="10"/>
  <c r="U431" i="10"/>
  <c r="P376" i="10"/>
  <c r="S440" i="10"/>
  <c r="R230" i="10"/>
  <c r="R227" i="10"/>
  <c r="R38" i="10"/>
  <c r="T199" i="10"/>
  <c r="V170" i="10"/>
  <c r="T90" i="10"/>
  <c r="S452" i="10"/>
  <c r="U361" i="10"/>
  <c r="U233" i="10"/>
  <c r="T377" i="10"/>
  <c r="V81" i="9"/>
  <c r="R385" i="10"/>
  <c r="P378" i="10"/>
  <c r="S219" i="10"/>
  <c r="S434" i="10"/>
  <c r="T32" i="9"/>
  <c r="T125" i="10"/>
  <c r="U395" i="10"/>
  <c r="U220" i="10"/>
  <c r="Q74" i="10"/>
  <c r="S32" i="10"/>
  <c r="Q429" i="10"/>
  <c r="Q77" i="10"/>
  <c r="Q389" i="10"/>
  <c r="Q312" i="10"/>
  <c r="R408" i="10"/>
  <c r="T380" i="10"/>
  <c r="Q234" i="10"/>
  <c r="Q114" i="10"/>
  <c r="Q171" i="10"/>
  <c r="Q200" i="10"/>
  <c r="R455" i="10"/>
  <c r="U189" i="10"/>
  <c r="U107" i="9"/>
  <c r="S208" i="10"/>
  <c r="S333" i="10"/>
  <c r="S362" i="10"/>
  <c r="U465" i="10"/>
  <c r="S47" i="10"/>
  <c r="T17" i="10"/>
  <c r="V368" i="10"/>
  <c r="V406" i="10"/>
  <c r="S69" i="10"/>
  <c r="T45" i="10"/>
  <c r="U9" i="10"/>
  <c r="R356" i="10"/>
  <c r="S151" i="10"/>
  <c r="P129" i="10"/>
  <c r="P93" i="10"/>
  <c r="P128" i="10"/>
  <c r="P234" i="10"/>
  <c r="S223" i="10"/>
  <c r="S253" i="10"/>
  <c r="R130" i="10"/>
  <c r="S188" i="10"/>
  <c r="T162" i="10"/>
  <c r="V260" i="10"/>
  <c r="U109" i="9"/>
  <c r="R14" i="10"/>
  <c r="S107" i="10"/>
  <c r="S167" i="10"/>
  <c r="V62" i="9"/>
  <c r="Q167" i="10"/>
  <c r="R194" i="10"/>
  <c r="S218" i="10"/>
  <c r="T245" i="10"/>
  <c r="U139" i="10"/>
  <c r="P419" i="10"/>
  <c r="Q235" i="10"/>
  <c r="Q188" i="10"/>
  <c r="U35" i="10"/>
  <c r="U3" i="10"/>
  <c r="T331" i="10"/>
  <c r="T280" i="10"/>
  <c r="T141" i="10"/>
  <c r="S349" i="10"/>
  <c r="S478" i="10"/>
  <c r="V432" i="10"/>
  <c r="T324" i="10"/>
  <c r="V115" i="9"/>
  <c r="U22" i="10"/>
  <c r="U281" i="10"/>
  <c r="U296" i="10"/>
  <c r="U450" i="10"/>
  <c r="V435" i="10"/>
  <c r="S485" i="10"/>
  <c r="V198" i="10"/>
  <c r="T206" i="10"/>
  <c r="U327" i="10"/>
  <c r="V270" i="10"/>
  <c r="U4" i="10"/>
  <c r="U436" i="10"/>
  <c r="V112" i="10"/>
  <c r="V5" i="9"/>
  <c r="T179" i="10"/>
  <c r="T110" i="10"/>
  <c r="T135" i="10"/>
  <c r="V187" i="9"/>
  <c r="T416" i="10"/>
  <c r="U437" i="10"/>
  <c r="V181" i="9"/>
  <c r="V25" i="9"/>
  <c r="T342" i="10"/>
  <c r="S428" i="10"/>
  <c r="V138" i="9"/>
  <c r="S50" i="10"/>
  <c r="S416" i="10"/>
  <c r="T179" i="9"/>
  <c r="U136" i="9"/>
  <c r="S115" i="9"/>
  <c r="Q319" i="10"/>
  <c r="Q119" i="10"/>
  <c r="R75" i="10"/>
  <c r="S126" i="10"/>
  <c r="Q266" i="10"/>
  <c r="Q433" i="10"/>
  <c r="U425" i="10"/>
  <c r="R253" i="10"/>
  <c r="U331" i="10"/>
  <c r="T122" i="9"/>
  <c r="S345" i="10"/>
  <c r="Q297" i="10"/>
  <c r="V38" i="10"/>
  <c r="T438" i="10"/>
  <c r="U288" i="10"/>
  <c r="T399" i="10"/>
  <c r="U92" i="10"/>
  <c r="R398" i="10"/>
  <c r="Q320" i="10"/>
  <c r="U247" i="10"/>
  <c r="T453" i="10"/>
  <c r="T47" i="10"/>
  <c r="S255" i="10"/>
  <c r="P352" i="10"/>
  <c r="R187" i="10"/>
  <c r="R258" i="10"/>
  <c r="Q328" i="10"/>
  <c r="R218" i="10"/>
  <c r="S243" i="10"/>
  <c r="V246" i="10"/>
  <c r="S159" i="10"/>
  <c r="U269" i="10"/>
  <c r="T244" i="10"/>
  <c r="R264" i="10"/>
  <c r="U34" i="10"/>
  <c r="U230" i="10"/>
  <c r="V50" i="10"/>
  <c r="P145" i="10"/>
  <c r="Q276" i="10"/>
  <c r="R214" i="10"/>
  <c r="T10" i="9"/>
  <c r="Q59" i="10"/>
  <c r="P16" i="10"/>
  <c r="U92" i="9"/>
  <c r="P169" i="10"/>
  <c r="U353" i="10"/>
  <c r="T346" i="10"/>
  <c r="S370" i="10"/>
  <c r="R180" i="10"/>
  <c r="S358" i="10"/>
  <c r="U433" i="10"/>
  <c r="Q327" i="10"/>
  <c r="P210" i="10"/>
  <c r="S81" i="10"/>
  <c r="R108" i="10"/>
  <c r="R177" i="10"/>
  <c r="R113" i="10"/>
  <c r="T149" i="10"/>
  <c r="Q452" i="10"/>
  <c r="P48" i="10"/>
  <c r="S446" i="10"/>
  <c r="R121" i="10"/>
  <c r="R423" i="10"/>
  <c r="R195" i="10"/>
  <c r="T269" i="10"/>
  <c r="V78" i="9"/>
  <c r="R275" i="10"/>
  <c r="Q483" i="10"/>
  <c r="T231" i="10"/>
  <c r="S48" i="10"/>
  <c r="T255" i="10"/>
  <c r="V91" i="10"/>
  <c r="R410" i="10"/>
  <c r="S238" i="10"/>
  <c r="U11" i="10"/>
  <c r="V360" i="10"/>
  <c r="T36" i="10"/>
  <c r="V6" i="9"/>
  <c r="V31" i="10"/>
  <c r="V305" i="10"/>
  <c r="S130" i="10"/>
  <c r="V63" i="9"/>
  <c r="V76" i="9"/>
  <c r="S128" i="10"/>
  <c r="U155" i="10"/>
  <c r="V335" i="10"/>
  <c r="U473" i="10"/>
  <c r="S206" i="10"/>
  <c r="T69" i="10"/>
  <c r="V281" i="10"/>
  <c r="T142" i="10"/>
  <c r="T64" i="10"/>
  <c r="V145" i="10"/>
  <c r="V174" i="10"/>
  <c r="U100" i="10"/>
  <c r="T260" i="10"/>
  <c r="T72" i="10"/>
  <c r="V60" i="9"/>
  <c r="V83" i="10"/>
  <c r="V196" i="10"/>
  <c r="V205" i="10"/>
  <c r="S409" i="10"/>
  <c r="U28" i="10"/>
  <c r="U241" i="10"/>
  <c r="S286" i="10"/>
  <c r="U286" i="10"/>
  <c r="V320" i="10"/>
  <c r="T154" i="10"/>
  <c r="V8" i="10"/>
  <c r="T353" i="10"/>
  <c r="V324" i="10"/>
  <c r="V11" i="10"/>
  <c r="T488" i="10"/>
  <c r="V68" i="10"/>
  <c r="U271" i="10"/>
  <c r="U32" i="10"/>
  <c r="S321" i="10"/>
  <c r="V329" i="10"/>
  <c r="V407" i="10"/>
  <c r="V309" i="10"/>
  <c r="V30" i="10"/>
  <c r="U259" i="10"/>
  <c r="U337" i="10"/>
  <c r="U180" i="10"/>
  <c r="T3" i="10"/>
  <c r="R65" i="10"/>
  <c r="T264" i="10"/>
  <c r="V87" i="9"/>
  <c r="T171" i="10"/>
  <c r="U89" i="10"/>
  <c r="S374" i="10"/>
  <c r="V321" i="10"/>
  <c r="U96" i="10"/>
  <c r="S270" i="10"/>
  <c r="U349" i="10"/>
  <c r="T212" i="10"/>
  <c r="U7" i="10"/>
  <c r="U167" i="10"/>
  <c r="V52" i="9"/>
  <c r="U221" i="10"/>
  <c r="U68" i="10"/>
  <c r="U102" i="10"/>
  <c r="V212" i="10"/>
  <c r="T345" i="10"/>
  <c r="V92" i="10"/>
  <c r="V454" i="10"/>
  <c r="S398" i="10"/>
  <c r="V189" i="10"/>
  <c r="U40" i="10"/>
  <c r="V327" i="10"/>
  <c r="S100" i="10"/>
  <c r="V206" i="9"/>
  <c r="T480" i="10"/>
  <c r="V204" i="9"/>
  <c r="T242" i="10"/>
  <c r="T155" i="10"/>
  <c r="V68" i="9"/>
  <c r="V98" i="10"/>
  <c r="V323" i="10"/>
  <c r="T405" i="10"/>
  <c r="U277" i="10"/>
  <c r="U321" i="10"/>
  <c r="V4" i="9"/>
  <c r="V71" i="9"/>
  <c r="V374" i="10"/>
  <c r="U290" i="10"/>
  <c r="V167" i="10"/>
  <c r="V191" i="9"/>
  <c r="V124" i="9"/>
  <c r="U134" i="10"/>
  <c r="U252" i="10"/>
  <c r="S121" i="10"/>
  <c r="T38" i="10"/>
  <c r="V118" i="10"/>
  <c r="V266" i="10"/>
  <c r="V97" i="10"/>
  <c r="U186" i="10"/>
  <c r="T96" i="10"/>
  <c r="S281" i="10"/>
  <c r="T267" i="10"/>
  <c r="V159" i="9"/>
  <c r="V336" i="10"/>
  <c r="V268" i="10"/>
  <c r="V81" i="10"/>
  <c r="V300" i="10"/>
  <c r="V183" i="10"/>
  <c r="T459" i="10"/>
  <c r="V487" i="10"/>
  <c r="V348" i="10"/>
  <c r="S89" i="10"/>
  <c r="V48" i="9"/>
  <c r="U268" i="10"/>
  <c r="U254" i="10"/>
  <c r="S236" i="10"/>
  <c r="U456" i="10"/>
  <c r="V28" i="10"/>
  <c r="T67" i="10"/>
  <c r="T180" i="10"/>
  <c r="U333" i="10"/>
  <c r="S402" i="10"/>
  <c r="V167" i="9"/>
  <c r="T237" i="10"/>
  <c r="T63" i="10"/>
  <c r="V438" i="10"/>
  <c r="V288" i="10"/>
  <c r="V143" i="10"/>
  <c r="V172" i="10"/>
  <c r="S387" i="10"/>
  <c r="V93" i="9"/>
  <c r="U477" i="10"/>
  <c r="S479" i="10"/>
  <c r="U120" i="10"/>
  <c r="U438" i="10"/>
  <c r="T68" i="10"/>
  <c r="R169" i="10"/>
  <c r="T320" i="10"/>
  <c r="V70" i="10"/>
  <c r="T220" i="10"/>
  <c r="T240" i="10"/>
  <c r="U136" i="10"/>
  <c r="U409" i="10"/>
  <c r="V166" i="9"/>
  <c r="S179" i="10"/>
  <c r="V59" i="10"/>
  <c r="U122" i="10"/>
  <c r="U51" i="10"/>
  <c r="U90" i="10"/>
  <c r="V77" i="10"/>
  <c r="U464" i="10"/>
  <c r="V296" i="10"/>
  <c r="S156" i="10"/>
  <c r="S8" i="10"/>
  <c r="V224" i="10"/>
  <c r="V185" i="10"/>
  <c r="U103" i="10"/>
  <c r="T251" i="10"/>
  <c r="V114" i="9"/>
  <c r="T214" i="10"/>
  <c r="R172" i="10"/>
  <c r="U14" i="10"/>
  <c r="V146" i="9"/>
  <c r="U303" i="10"/>
  <c r="U114" i="10"/>
  <c r="U70" i="10"/>
  <c r="T136" i="10"/>
  <c r="U110" i="10"/>
  <c r="V184" i="9"/>
  <c r="V201" i="10"/>
  <c r="V264" i="10"/>
  <c r="V17" i="10"/>
  <c r="V439" i="10"/>
  <c r="U117" i="10"/>
  <c r="V213" i="10"/>
  <c r="V294" i="10"/>
  <c r="V20" i="9"/>
  <c r="V127" i="9"/>
  <c r="T283" i="10"/>
  <c r="U256" i="10"/>
  <c r="U229" i="10"/>
  <c r="V121" i="9"/>
  <c r="V14" i="9"/>
  <c r="U95" i="10"/>
  <c r="U261" i="10"/>
  <c r="S82" i="10"/>
  <c r="U369" i="10"/>
  <c r="V317" i="10"/>
  <c r="V199" i="10"/>
  <c r="V53" i="10"/>
  <c r="U365" i="10"/>
  <c r="U486" i="10"/>
  <c r="U471" i="10"/>
  <c r="V440" i="10"/>
  <c r="V177" i="9"/>
  <c r="T372" i="10"/>
  <c r="T367" i="10"/>
  <c r="U264" i="10"/>
  <c r="T379" i="10"/>
  <c r="V38" i="9"/>
  <c r="S120" i="10"/>
  <c r="V88" i="9"/>
  <c r="T21" i="10"/>
  <c r="V364" i="10"/>
  <c r="U153" i="10"/>
  <c r="T300" i="10"/>
  <c r="U149" i="10"/>
  <c r="U239" i="10"/>
  <c r="V401" i="10"/>
  <c r="S456" i="10"/>
  <c r="T31" i="10"/>
  <c r="V74" i="10"/>
  <c r="T183" i="10"/>
  <c r="T339" i="10"/>
  <c r="V150" i="10"/>
  <c r="V182" i="9"/>
  <c r="U126" i="10"/>
  <c r="S111" i="10"/>
  <c r="U37" i="10"/>
  <c r="T421" i="10"/>
  <c r="U240" i="10"/>
  <c r="V164" i="10"/>
  <c r="U135" i="10"/>
  <c r="T310" i="10"/>
  <c r="V123" i="10"/>
  <c r="U470" i="10"/>
  <c r="S334" i="10"/>
  <c r="V8" i="9"/>
  <c r="V388" i="10"/>
  <c r="V191" i="10"/>
  <c r="V235" i="10"/>
  <c r="T167" i="10"/>
  <c r="V140" i="10"/>
  <c r="V187" i="10"/>
  <c r="S56" i="10"/>
  <c r="V297" i="10"/>
  <c r="U19" i="10"/>
  <c r="U375" i="10"/>
  <c r="S175" i="10"/>
  <c r="U350" i="10"/>
  <c r="S22" i="10"/>
  <c r="T6" i="10"/>
  <c r="U298" i="10"/>
  <c r="U67" i="10"/>
  <c r="S308" i="10"/>
  <c r="V130" i="9"/>
  <c r="T440" i="10"/>
  <c r="U396" i="10"/>
  <c r="V298" i="10"/>
  <c r="V52" i="10"/>
  <c r="V163" i="10"/>
  <c r="T356" i="10"/>
  <c r="V356" i="10"/>
  <c r="S9" i="10"/>
  <c r="U432" i="10"/>
  <c r="U210" i="10"/>
  <c r="T109" i="10"/>
  <c r="V54" i="10"/>
  <c r="S227" i="10"/>
  <c r="T151" i="10"/>
  <c r="V78" i="10"/>
  <c r="V58" i="10"/>
  <c r="S37" i="10"/>
  <c r="V122" i="9"/>
  <c r="U455" i="10"/>
  <c r="T321" i="10"/>
  <c r="V139" i="9"/>
  <c r="U161" i="10"/>
  <c r="U148" i="10"/>
  <c r="V272" i="10"/>
  <c r="V342" i="10"/>
  <c r="V149" i="10"/>
  <c r="U78" i="10"/>
  <c r="U371" i="10"/>
  <c r="U402" i="10"/>
  <c r="V446" i="10"/>
  <c r="V350" i="10"/>
  <c r="V14" i="10"/>
  <c r="V24" i="10"/>
  <c r="V99" i="9"/>
  <c r="V301" i="10"/>
  <c r="T66" i="10"/>
  <c r="V186" i="9"/>
  <c r="V113" i="9"/>
  <c r="V135" i="10"/>
  <c r="V211" i="10"/>
  <c r="U439" i="10"/>
  <c r="U249" i="10"/>
  <c r="T406" i="10"/>
  <c r="U30" i="10"/>
  <c r="U46" i="10"/>
  <c r="V124" i="10"/>
  <c r="V404" i="10"/>
  <c r="U385" i="10"/>
  <c r="U157" i="10"/>
  <c r="U10" i="10"/>
  <c r="S342" i="10"/>
  <c r="V253" i="10"/>
  <c r="S42" i="10"/>
  <c r="U275" i="10"/>
  <c r="U48" i="10"/>
  <c r="V380" i="10"/>
  <c r="V32" i="9"/>
  <c r="T394" i="10"/>
  <c r="T233" i="10"/>
  <c r="U106" i="10"/>
  <c r="T397" i="10"/>
  <c r="V255" i="10"/>
  <c r="S133" i="10"/>
  <c r="V221" i="10"/>
  <c r="U481" i="10"/>
  <c r="V71" i="10"/>
  <c r="V190" i="9"/>
  <c r="T44" i="10"/>
  <c r="U66" i="10"/>
  <c r="V149" i="9"/>
  <c r="V258" i="10"/>
  <c r="S323" i="10"/>
  <c r="U422" i="10"/>
  <c r="V263" i="10"/>
  <c r="T97" i="10"/>
  <c r="T132" i="10"/>
  <c r="V223" i="10"/>
  <c r="V53" i="9"/>
  <c r="V30" i="9"/>
  <c r="S44" i="10"/>
  <c r="U62" i="10"/>
  <c r="T184" i="10"/>
  <c r="U304" i="10"/>
  <c r="S450" i="10"/>
  <c r="V168" i="9"/>
  <c r="T360" i="10"/>
  <c r="V303" i="10"/>
  <c r="U168" i="10"/>
  <c r="S40" i="10"/>
  <c r="V418" i="10"/>
  <c r="V222" i="10"/>
  <c r="V343" i="10"/>
  <c r="U154" i="10"/>
  <c r="S407" i="10"/>
  <c r="T425" i="10"/>
  <c r="V162" i="9"/>
  <c r="V201" i="9"/>
  <c r="V64" i="10"/>
  <c r="V66" i="9"/>
  <c r="S92" i="10"/>
  <c r="U428" i="10"/>
  <c r="S125" i="10"/>
  <c r="U403" i="10"/>
  <c r="T371" i="10"/>
  <c r="T225" i="10"/>
  <c r="V142" i="10"/>
  <c r="U485" i="10"/>
  <c r="V261" i="10"/>
  <c r="V318" i="10"/>
  <c r="V273" i="10"/>
  <c r="V56" i="10"/>
  <c r="U368" i="10"/>
  <c r="U121" i="10"/>
  <c r="V110" i="9"/>
  <c r="V467" i="10"/>
  <c r="V453" i="10"/>
  <c r="V55" i="10"/>
  <c r="U440" i="10"/>
  <c r="U143" i="10"/>
  <c r="V50" i="9"/>
  <c r="U435" i="10"/>
  <c r="U65" i="10"/>
  <c r="U370" i="10"/>
  <c r="V171" i="10"/>
  <c r="V299" i="10"/>
  <c r="V21" i="10"/>
  <c r="V171" i="9"/>
  <c r="V481" i="10"/>
  <c r="V175" i="10"/>
  <c r="T105" i="10"/>
  <c r="V37" i="9"/>
  <c r="V269" i="10"/>
  <c r="V190" i="10"/>
  <c r="V390" i="10"/>
  <c r="S372" i="10"/>
  <c r="T159" i="10"/>
  <c r="U120" i="9"/>
  <c r="V110" i="10"/>
  <c r="Q230" i="10"/>
  <c r="Q472" i="10"/>
  <c r="U291" i="10"/>
  <c r="R220" i="10"/>
  <c r="S265" i="10"/>
  <c r="P33" i="10"/>
  <c r="S113" i="10"/>
  <c r="R16" i="10"/>
  <c r="R318" i="10"/>
  <c r="R219" i="10"/>
  <c r="T190" i="10"/>
  <c r="T272" i="10"/>
  <c r="U418" i="10"/>
  <c r="S41" i="10"/>
  <c r="T39" i="10"/>
  <c r="U314" i="10"/>
  <c r="V480" i="10"/>
  <c r="V448" i="10"/>
  <c r="V32" i="10"/>
  <c r="T28" i="10"/>
  <c r="V33" i="10"/>
  <c r="T12" i="10"/>
  <c r="R239" i="10"/>
  <c r="T355" i="10"/>
  <c r="V133" i="10"/>
  <c r="T236" i="10"/>
  <c r="U335" i="10"/>
  <c r="S469" i="10"/>
  <c r="V161" i="9"/>
  <c r="U346" i="10"/>
  <c r="S266" i="10"/>
  <c r="V194" i="9"/>
  <c r="T473" i="10"/>
  <c r="V36" i="10"/>
  <c r="U411" i="10"/>
  <c r="V444" i="10"/>
  <c r="V236" i="10"/>
  <c r="V100" i="10"/>
  <c r="U192" i="10"/>
  <c r="U172" i="10"/>
  <c r="T314" i="10"/>
  <c r="U216" i="10"/>
  <c r="T192" i="10"/>
  <c r="U246" i="10"/>
  <c r="S249" i="10"/>
  <c r="V116" i="10"/>
  <c r="S29" i="10"/>
  <c r="T80" i="10"/>
  <c r="U265" i="10"/>
  <c r="V112" i="9"/>
  <c r="T87" i="10"/>
  <c r="S258" i="10"/>
  <c r="T56" i="10"/>
  <c r="V119" i="10"/>
  <c r="U222" i="10"/>
  <c r="T410" i="10"/>
  <c r="U297" i="10"/>
  <c r="U152" i="10"/>
  <c r="U94" i="10"/>
  <c r="U74" i="10"/>
  <c r="V180" i="9"/>
  <c r="S217" i="10"/>
  <c r="U356" i="10"/>
  <c r="S80" i="10"/>
  <c r="U421" i="10"/>
  <c r="V46" i="9"/>
  <c r="V23" i="10"/>
  <c r="V351" i="10"/>
  <c r="T288" i="10"/>
  <c r="T157" i="10"/>
  <c r="V15" i="9"/>
  <c r="T291" i="10"/>
  <c r="V121" i="10"/>
  <c r="T340" i="10"/>
  <c r="V166" i="10"/>
  <c r="U320" i="10"/>
  <c r="V226" i="10"/>
  <c r="V122" i="10"/>
  <c r="U462" i="10"/>
  <c r="V137" i="9"/>
  <c r="V482" i="10"/>
  <c r="V158" i="9"/>
  <c r="V469" i="10"/>
  <c r="T472" i="10"/>
  <c r="U323" i="10"/>
  <c r="U328" i="10"/>
  <c r="S246" i="10"/>
  <c r="U417" i="10"/>
  <c r="V383" i="10"/>
  <c r="U53" i="10"/>
  <c r="U200" i="10"/>
  <c r="V94" i="10"/>
  <c r="T334" i="10"/>
  <c r="U119" i="10"/>
  <c r="V159" i="10"/>
  <c r="U179" i="10"/>
  <c r="T150" i="10"/>
  <c r="V130" i="10"/>
  <c r="T366" i="10"/>
  <c r="V359" i="10"/>
  <c r="V423" i="10"/>
  <c r="V33" i="9"/>
  <c r="V479" i="10"/>
  <c r="V47" i="10"/>
  <c r="V461" i="10"/>
  <c r="V455" i="10"/>
  <c r="U176" i="10"/>
  <c r="V58" i="9"/>
  <c r="V247" i="10"/>
  <c r="U461" i="10"/>
  <c r="V10" i="10"/>
  <c r="U49" i="10"/>
  <c r="U165" i="10"/>
  <c r="U294" i="10"/>
  <c r="U178" i="10"/>
  <c r="U232" i="10"/>
  <c r="T106" i="10"/>
  <c r="V459" i="10"/>
  <c r="V98" i="9"/>
  <c r="V290" i="10"/>
  <c r="V256" i="10"/>
  <c r="U299" i="10"/>
  <c r="U318" i="10"/>
  <c r="U228" i="10"/>
  <c r="V85" i="9"/>
  <c r="U123" i="10"/>
  <c r="S267" i="10"/>
  <c r="V355" i="10"/>
  <c r="U83" i="10"/>
  <c r="S324" i="10"/>
  <c r="V437" i="10"/>
  <c r="V142" i="9"/>
  <c r="T84" i="10"/>
  <c r="R57" i="10"/>
  <c r="T101" i="10"/>
  <c r="V2" i="10"/>
  <c r="T270" i="10"/>
  <c r="T443" i="10"/>
  <c r="V80" i="9"/>
  <c r="U211" i="10"/>
  <c r="V362" i="10"/>
  <c r="S62" i="10"/>
  <c r="T322" i="10"/>
  <c r="V179" i="10"/>
  <c r="V2" i="9"/>
  <c r="V79" i="9"/>
  <c r="V27" i="10"/>
  <c r="T37" i="10"/>
  <c r="V165" i="10"/>
  <c r="T224" i="10"/>
  <c r="V215" i="10"/>
  <c r="T411" i="10"/>
  <c r="V339" i="10"/>
  <c r="T458" i="10"/>
  <c r="U367" i="10"/>
  <c r="V352" i="10"/>
  <c r="U104" i="10"/>
  <c r="U378" i="10"/>
  <c r="S432" i="10"/>
  <c r="U253" i="10"/>
  <c r="S34" i="10"/>
  <c r="V234" i="10"/>
  <c r="U466" i="10"/>
  <c r="U64" i="10"/>
  <c r="V198" i="9"/>
  <c r="V209" i="10"/>
  <c r="V399" i="10"/>
  <c r="V25" i="10"/>
  <c r="U97" i="10"/>
  <c r="U419" i="10"/>
  <c r="V328" i="10"/>
  <c r="T464" i="10"/>
  <c r="S24" i="10"/>
  <c r="V155" i="10"/>
  <c r="V125" i="9"/>
  <c r="U292" i="10"/>
  <c r="U237" i="10"/>
  <c r="V135" i="9"/>
  <c r="V67" i="10"/>
  <c r="V3" i="9"/>
  <c r="U29" i="10"/>
  <c r="V62" i="10"/>
  <c r="V392" i="10"/>
  <c r="U98" i="10"/>
  <c r="U16" i="10"/>
  <c r="V168" i="10"/>
  <c r="V117" i="9"/>
  <c r="U54" i="10"/>
  <c r="V127" i="10"/>
  <c r="V295" i="10"/>
  <c r="V10" i="9"/>
  <c r="V126" i="9"/>
  <c r="U75" i="10"/>
  <c r="V228" i="10"/>
  <c r="S391" i="10"/>
  <c r="U109" i="10"/>
  <c r="V377" i="10"/>
  <c r="V54" i="9"/>
  <c r="U33" i="10"/>
  <c r="V131" i="10"/>
  <c r="V178" i="10"/>
  <c r="U24" i="10"/>
  <c r="U238" i="10"/>
  <c r="V249" i="10"/>
  <c r="V118" i="9"/>
  <c r="U235" i="10"/>
  <c r="V87" i="10"/>
  <c r="V216" i="10"/>
  <c r="S222" i="10"/>
  <c r="U8" i="10"/>
  <c r="V154" i="10"/>
  <c r="T143" i="10"/>
  <c r="T336" i="10"/>
  <c r="V153" i="10"/>
  <c r="V31" i="9"/>
  <c r="V18" i="10"/>
  <c r="V126" i="10"/>
  <c r="U63" i="10"/>
  <c r="U81" i="10"/>
  <c r="V9" i="10"/>
  <c r="V326" i="10"/>
  <c r="V252" i="10"/>
  <c r="U336" i="10"/>
  <c r="V161" i="10"/>
  <c r="V424" i="10"/>
  <c r="U86" i="10"/>
  <c r="V203" i="10"/>
  <c r="V460" i="10"/>
  <c r="V486" i="10"/>
  <c r="V314" i="10"/>
  <c r="V450" i="10"/>
  <c r="U197" i="10"/>
  <c r="T160" i="10"/>
  <c r="T234" i="10"/>
  <c r="U145" i="10"/>
  <c r="V267" i="10"/>
  <c r="U127" i="10"/>
  <c r="U359" i="10"/>
  <c r="V277" i="10"/>
  <c r="U443" i="10"/>
  <c r="V90" i="10"/>
  <c r="V109" i="9"/>
  <c r="V11" i="9"/>
  <c r="V379" i="10"/>
  <c r="V23" i="9"/>
  <c r="V24" i="9"/>
  <c r="V34" i="10"/>
  <c r="V389" i="10"/>
  <c r="U91" i="10"/>
  <c r="V178" i="9"/>
  <c r="R62" i="10"/>
  <c r="T344" i="10"/>
  <c r="U45" i="10"/>
  <c r="T191" i="10"/>
  <c r="T287" i="10"/>
  <c r="U406" i="10"/>
  <c r="V485" i="10"/>
  <c r="U398" i="10"/>
  <c r="S369" i="10"/>
  <c r="V202" i="9"/>
  <c r="S148" i="10"/>
  <c r="U376" i="10"/>
  <c r="U181" i="10"/>
  <c r="V409" i="10"/>
  <c r="S157" i="10"/>
  <c r="U84" i="10"/>
  <c r="T137" i="10"/>
  <c r="V200" i="9"/>
  <c r="U339" i="10"/>
  <c r="V21" i="9"/>
  <c r="V89" i="9"/>
  <c r="V151" i="10"/>
  <c r="V129" i="9"/>
  <c r="V138" i="10"/>
  <c r="U307" i="10"/>
  <c r="S296" i="10"/>
  <c r="U358" i="10"/>
  <c r="V69" i="10"/>
  <c r="T415" i="10"/>
  <c r="V395" i="10"/>
  <c r="S169" i="10"/>
  <c r="V17" i="9"/>
  <c r="V398" i="10"/>
  <c r="S163" i="10"/>
  <c r="V457" i="10"/>
  <c r="T93" i="10"/>
  <c r="V173" i="10"/>
  <c r="S292" i="10"/>
  <c r="V13" i="10"/>
  <c r="U330" i="10"/>
  <c r="V243" i="10"/>
  <c r="V225" i="10"/>
  <c r="V452" i="10"/>
  <c r="S319" i="10"/>
  <c r="V345" i="10"/>
  <c r="U6" i="10"/>
  <c r="T412" i="10"/>
  <c r="T175" i="10"/>
  <c r="V61" i="9"/>
  <c r="V233" i="10"/>
  <c r="V12" i="9"/>
  <c r="U69" i="10"/>
  <c r="U212" i="10"/>
  <c r="U213" i="10"/>
  <c r="V430" i="10"/>
  <c r="V74" i="9"/>
  <c r="V86" i="9"/>
  <c r="V5" i="10"/>
  <c r="V465" i="10"/>
  <c r="V462" i="10"/>
  <c r="U410" i="10"/>
  <c r="V346" i="10"/>
  <c r="V55" i="9"/>
  <c r="V105" i="9"/>
  <c r="U351" i="10"/>
  <c r="V152" i="10"/>
  <c r="V162" i="10"/>
  <c r="V278" i="10"/>
  <c r="T477" i="10"/>
  <c r="S205" i="10"/>
  <c r="V82" i="10"/>
  <c r="V35" i="9"/>
  <c r="V349" i="10"/>
  <c r="V36" i="9"/>
  <c r="V34" i="9"/>
  <c r="V39" i="10"/>
  <c r="V206" i="10"/>
  <c r="U137" i="10"/>
  <c r="V196" i="9"/>
  <c r="V289" i="10"/>
  <c r="V173" i="9"/>
  <c r="V153" i="9"/>
  <c r="V72" i="10"/>
  <c r="S85" i="10"/>
  <c r="V169" i="10"/>
  <c r="V70" i="9"/>
  <c r="U243" i="10"/>
  <c r="U476" i="10"/>
  <c r="U177" i="10"/>
  <c r="V422" i="10"/>
  <c r="S285" i="10"/>
  <c r="V64" i="9"/>
  <c r="V393" i="10"/>
  <c r="V451" i="10"/>
  <c r="U174" i="10"/>
  <c r="V16" i="10"/>
  <c r="V240" i="10"/>
  <c r="U2" i="9"/>
  <c r="U383" i="10"/>
  <c r="V408" i="10"/>
  <c r="V75" i="9"/>
  <c r="U23" i="10"/>
  <c r="V194" i="10"/>
  <c r="V332" i="10"/>
  <c r="S443" i="10"/>
  <c r="U112" i="10"/>
  <c r="V66" i="10"/>
  <c r="T57" i="10"/>
  <c r="T208" i="10"/>
  <c r="V105" i="10"/>
  <c r="V104" i="9"/>
  <c r="S230" i="10"/>
  <c r="U308" i="10"/>
  <c r="V203" i="9"/>
  <c r="U31" i="10"/>
  <c r="U244" i="10"/>
  <c r="V271" i="10"/>
  <c r="V421" i="10"/>
  <c r="U208" i="10"/>
  <c r="V95" i="10"/>
  <c r="V242" i="10"/>
  <c r="U47" i="10"/>
  <c r="V51" i="10"/>
  <c r="V463" i="10"/>
  <c r="V484" i="10"/>
  <c r="V387" i="10"/>
  <c r="V344" i="10"/>
  <c r="S313" i="10"/>
  <c r="U326" i="10"/>
  <c r="S139" i="10"/>
  <c r="T112" i="10"/>
  <c r="U487" i="10"/>
  <c r="U150" i="10"/>
  <c r="V96" i="10"/>
  <c r="V200" i="10"/>
  <c r="S66" i="10"/>
  <c r="V102" i="10"/>
  <c r="T439" i="10"/>
  <c r="U156" i="10"/>
  <c r="S356" i="10"/>
  <c r="V60" i="10"/>
  <c r="T354" i="10"/>
  <c r="V49" i="9"/>
  <c r="V106" i="10"/>
  <c r="T219" i="10"/>
  <c r="V29" i="10"/>
  <c r="U426" i="10"/>
  <c r="V140" i="9"/>
  <c r="V73" i="9"/>
  <c r="S4" i="10"/>
  <c r="U87" i="10"/>
  <c r="U130" i="10"/>
  <c r="S183" i="10"/>
  <c r="U285" i="10"/>
  <c r="V180" i="10"/>
  <c r="T122" i="10"/>
  <c r="S302" i="10"/>
  <c r="T92" i="10"/>
  <c r="V279" i="10"/>
  <c r="T76" i="10"/>
  <c r="T213" i="10"/>
  <c r="V282" i="10"/>
  <c r="V90" i="9"/>
  <c r="V43" i="10"/>
  <c r="T486" i="10"/>
  <c r="T298" i="10"/>
  <c r="V338" i="10"/>
  <c r="V473" i="10"/>
  <c r="V44" i="9"/>
  <c r="V7" i="9"/>
  <c r="S213" i="10"/>
  <c r="V18" i="9"/>
  <c r="V237" i="10"/>
  <c r="T70" i="10"/>
  <c r="T60" i="10"/>
  <c r="U390" i="10"/>
  <c r="V436" i="10"/>
  <c r="S482" i="10"/>
  <c r="U72" i="10"/>
  <c r="V426" i="10"/>
  <c r="V172" i="9"/>
  <c r="U279" i="10"/>
  <c r="V214" i="10"/>
  <c r="V293" i="10"/>
  <c r="U113" i="10"/>
  <c r="V76" i="10"/>
  <c r="V391" i="10"/>
  <c r="U198" i="10"/>
  <c r="U452" i="10"/>
  <c r="V144" i="10"/>
  <c r="V381" i="10"/>
  <c r="U38" i="10"/>
  <c r="V199" i="9"/>
  <c r="V129" i="10"/>
  <c r="U214" i="10"/>
  <c r="T215" i="10"/>
  <c r="T358" i="10"/>
  <c r="V45" i="9"/>
  <c r="V88" i="10"/>
  <c r="U354" i="10"/>
  <c r="V208" i="10"/>
  <c r="V441" i="10"/>
  <c r="U128" i="10"/>
  <c r="V251" i="10"/>
  <c r="V403" i="10"/>
  <c r="V413" i="10"/>
  <c r="U446" i="10"/>
  <c r="V158" i="10"/>
  <c r="V445" i="10"/>
  <c r="T431" i="10"/>
  <c r="T290" i="10"/>
  <c r="U144" i="10"/>
  <c r="V117" i="10"/>
  <c r="U73" i="10"/>
  <c r="U41" i="10"/>
  <c r="V316" i="10"/>
  <c r="T347" i="10"/>
  <c r="T460" i="10"/>
  <c r="U338" i="10"/>
  <c r="V319" i="10"/>
  <c r="V402" i="10"/>
  <c r="V47" i="9"/>
  <c r="V42" i="9"/>
  <c r="V61" i="10"/>
  <c r="V411" i="10"/>
  <c r="U133" i="10"/>
  <c r="V145" i="9"/>
  <c r="V292" i="10"/>
  <c r="V28" i="9"/>
  <c r="V106" i="9"/>
  <c r="V46" i="10"/>
  <c r="S59" i="10"/>
  <c r="V207" i="10"/>
  <c r="V96" i="9"/>
  <c r="U357" i="10"/>
  <c r="U293" i="10"/>
  <c r="V165" i="9"/>
  <c r="V192" i="10"/>
  <c r="S108" i="10"/>
  <c r="V29" i="9"/>
  <c r="V20" i="10"/>
  <c r="V230" i="10"/>
  <c r="U141" i="10"/>
  <c r="U13" i="10"/>
  <c r="V405" i="10"/>
  <c r="V150" i="9"/>
  <c r="U276" i="10"/>
  <c r="V231" i="10"/>
  <c r="V83" i="9"/>
  <c r="U142" i="10"/>
  <c r="V73" i="10"/>
  <c r="V89" i="10"/>
  <c r="V330" i="10"/>
  <c r="U272" i="10"/>
  <c r="S124" i="10"/>
  <c r="V40" i="9"/>
  <c r="T296" i="10"/>
  <c r="U454" i="10"/>
  <c r="S357" i="10"/>
  <c r="U52" i="10"/>
  <c r="V85" i="10"/>
  <c r="T22" i="10"/>
  <c r="T100" i="10"/>
  <c r="V202" i="10"/>
  <c r="T26" i="10"/>
  <c r="R133" i="10"/>
  <c r="T293" i="10"/>
  <c r="V49" i="10"/>
  <c r="U147" i="10"/>
  <c r="T449" i="10"/>
  <c r="U105" i="10"/>
  <c r="U160" i="10"/>
  <c r="V101" i="10"/>
  <c r="V210" i="10"/>
  <c r="U408" i="10"/>
  <c r="R101" i="10"/>
  <c r="T282" i="10"/>
  <c r="V39" i="9"/>
  <c r="T428" i="10"/>
  <c r="T268" i="10"/>
  <c r="U43" i="10"/>
  <c r="V400" i="10"/>
  <c r="U380" i="10"/>
  <c r="S394" i="10"/>
  <c r="V361" i="10"/>
  <c r="S187" i="10"/>
  <c r="U407" i="10"/>
  <c r="U88" i="10"/>
  <c r="V396" i="10"/>
  <c r="S117" i="10"/>
  <c r="V195" i="9"/>
  <c r="T176" i="10"/>
  <c r="V197" i="10"/>
  <c r="U164" i="10"/>
  <c r="V458" i="10"/>
  <c r="V283" i="10"/>
  <c r="T261" i="10"/>
  <c r="T476" i="10"/>
  <c r="U388" i="10"/>
  <c r="V474" i="10"/>
  <c r="U381" i="10"/>
  <c r="U225" i="10"/>
  <c r="V265" i="10"/>
  <c r="S102" i="10"/>
  <c r="S11" i="10"/>
  <c r="V157" i="10"/>
  <c r="V185" i="9"/>
  <c r="V107" i="10"/>
  <c r="V183" i="9"/>
  <c r="V192" i="9"/>
  <c r="V156" i="10"/>
  <c r="V136" i="9"/>
  <c r="U26" i="10"/>
  <c r="V35" i="10"/>
  <c r="V176" i="10"/>
  <c r="U59" i="10"/>
  <c r="U194" i="10"/>
  <c r="V369" i="10"/>
  <c r="V434" i="10"/>
  <c r="V417" i="10"/>
  <c r="V143" i="9"/>
  <c r="V181" i="10"/>
  <c r="T250" i="10"/>
  <c r="T127" i="10"/>
  <c r="U420" i="10"/>
  <c r="V315" i="10"/>
  <c r="U55" i="10"/>
  <c r="U400" i="10"/>
  <c r="V425" i="10"/>
  <c r="V123" i="9"/>
  <c r="U58" i="10"/>
  <c r="V248" i="10"/>
  <c r="V367" i="10"/>
  <c r="U39" i="10"/>
  <c r="U295" i="10"/>
  <c r="V139" i="10"/>
  <c r="T29" i="10"/>
  <c r="T30" i="10"/>
  <c r="V99" i="10"/>
  <c r="V193" i="10"/>
  <c r="S350" i="10"/>
  <c r="U458" i="10"/>
  <c r="V132" i="9"/>
  <c r="T374" i="10"/>
  <c r="T407" i="10"/>
  <c r="V443" i="10"/>
  <c r="U80" i="10"/>
  <c r="U242" i="10"/>
  <c r="V147" i="10"/>
  <c r="V286" i="10"/>
  <c r="U82" i="10"/>
  <c r="V26" i="10"/>
  <c r="V483" i="10"/>
  <c r="V442" i="10"/>
  <c r="U423" i="10"/>
  <c r="V63" i="10"/>
  <c r="V137" i="10"/>
  <c r="T185" i="10"/>
  <c r="T227" i="10"/>
  <c r="V91" i="9"/>
  <c r="V86" i="10"/>
  <c r="V151" i="9"/>
  <c r="U77" i="10"/>
  <c r="V19" i="10"/>
  <c r="T414" i="10"/>
  <c r="T444" i="10"/>
  <c r="U282" i="10"/>
  <c r="V357" i="10"/>
  <c r="V57" i="10"/>
  <c r="V410" i="10"/>
  <c r="V107" i="9"/>
  <c r="U457" i="10"/>
  <c r="V84" i="10"/>
  <c r="V179" i="9"/>
  <c r="V103" i="9"/>
  <c r="V227" i="10"/>
  <c r="V120" i="9"/>
  <c r="V148" i="9"/>
  <c r="V3" i="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<sst xmlns="http://schemas.openxmlformats.org/spreadsheetml/2006/main" count="16746" uniqueCount="2820">
  <si>
    <t>Complaint ID</t>
  </si>
  <si>
    <t>Category</t>
  </si>
  <si>
    <t>Aging</t>
  </si>
  <si>
    <t>Status</t>
  </si>
  <si>
    <t>Date</t>
  </si>
  <si>
    <t>Comments</t>
  </si>
  <si>
    <t>Last Comments</t>
  </si>
  <si>
    <t>Device Location</t>
  </si>
  <si>
    <t>Product Family</t>
  </si>
  <si>
    <t>Country of Event</t>
  </si>
  <si>
    <t>AR-Device Codes</t>
  </si>
  <si>
    <t>AR-Patient Codes</t>
  </si>
  <si>
    <t>Investigation Status</t>
  </si>
  <si>
    <t>Date Received</t>
  </si>
  <si>
    <t>NULL</t>
  </si>
  <si>
    <t>Received by Arden Hills CIS</t>
  </si>
  <si>
    <t>Received by SFMD</t>
  </si>
  <si>
    <t>Sent to SFMD</t>
  </si>
  <si>
    <t>Accolade</t>
  </si>
  <si>
    <t>Latitude Zoom Programmer (3120)</t>
  </si>
  <si>
    <t>Emblem Q-TRAK SQ Electrode</t>
  </si>
  <si>
    <t>Latitude Programmer 3300</t>
  </si>
  <si>
    <t>Ingenio</t>
  </si>
  <si>
    <t>Reliance 4-Front active fix</t>
  </si>
  <si>
    <t>Autogen</t>
  </si>
  <si>
    <t>Ingevity_Plus</t>
  </si>
  <si>
    <t>Emblem S-ICD Electrode</t>
  </si>
  <si>
    <t>Incepta-Energen-Punctua</t>
  </si>
  <si>
    <t>Subcutaneous defib electrode</t>
  </si>
  <si>
    <t>Reliance EZ IS-4</t>
  </si>
  <si>
    <t>Emblem S-ICD</t>
  </si>
  <si>
    <t>Cognis-Teligen</t>
  </si>
  <si>
    <t>Resonate</t>
  </si>
  <si>
    <t>Altrua</t>
  </si>
  <si>
    <t>Innomedica Myo</t>
  </si>
  <si>
    <t>Lead Catheter</t>
  </si>
  <si>
    <t>Lux ICM</t>
  </si>
  <si>
    <t>Dextrus</t>
  </si>
  <si>
    <t>Latitude Jaguar Communicator</t>
  </si>
  <si>
    <t>Cables</t>
  </si>
  <si>
    <t>Fineline II Sterox EZ</t>
  </si>
  <si>
    <t>Reliance EZ</t>
  </si>
  <si>
    <t>Ingevity</t>
  </si>
  <si>
    <t>Italy</t>
  </si>
  <si>
    <t>United States</t>
  </si>
  <si>
    <t>Spain</t>
  </si>
  <si>
    <t>Canada</t>
  </si>
  <si>
    <t>Switzerland</t>
  </si>
  <si>
    <t>United Kingdom</t>
  </si>
  <si>
    <t>Japan</t>
  </si>
  <si>
    <t>Netherlands</t>
  </si>
  <si>
    <t>Australia</t>
  </si>
  <si>
    <t>Germany</t>
  </si>
  <si>
    <t>France</t>
  </si>
  <si>
    <t>China</t>
  </si>
  <si>
    <t>Device Premature Discharge Of Battery (5191:2233)</t>
  </si>
  <si>
    <t>Device No Known Device Problem (5191:2099)</t>
  </si>
  <si>
    <t>Device High Capture Threshold (5191:1666)</t>
  </si>
  <si>
    <t>Device Device Displays Error Message (5191:1224), Device Premature Discharge Of Battery (5191:2233)</t>
  </si>
  <si>
    <t>Device Shock Impedance High Out Of Range (5191:2318)</t>
  </si>
  <si>
    <t>Device Gas Gauge/Longevity Not As Expected (5191:2869)</t>
  </si>
  <si>
    <t>Catheter Difficult To Insert (5105:1307)</t>
  </si>
  <si>
    <t>Device Connection Issue (5191:1133)</t>
  </si>
  <si>
    <t>Device Device Displays Error Message (5191:1224)</t>
  </si>
  <si>
    <t>Device Sending Issue (5191:2300)</t>
  </si>
  <si>
    <t>Catheter Damaged/Defective (5105:1163)</t>
  </si>
  <si>
    <t>Device Pacing Impedance High Out Of Range (5191:2172)</t>
  </si>
  <si>
    <t>Device Gas Gauge/Longevity Not As Expected (5191:2869), Device Premature Discharge Of Battery (5191:2233), Device Device Displays Error Message (5191:1224)</t>
  </si>
  <si>
    <t>Cable Damaged/Defective (5082:1163)</t>
  </si>
  <si>
    <t>Device Non Specific Product Performance Allegation (5191:2867)</t>
  </si>
  <si>
    <t>Device Connection Issue - Cellular (5191:1134)</t>
  </si>
  <si>
    <t>Device Hardware Issue (5191:1662)</t>
  </si>
  <si>
    <t>Electrode End Difficult/Unable to Extend/Retract Helix (5223:2699)</t>
  </si>
  <si>
    <t>Device Dislodged Or Dislocated (5191:1414)</t>
  </si>
  <si>
    <t>Device Premature Discharge Of Battery (5191:2233), Device Device Displays Error Message (5191:1224)</t>
  </si>
  <si>
    <t>Device Shock Impedance Low Out Of Range (5191:2321)</t>
  </si>
  <si>
    <t>No Clinical Signs, Symptoms or Conditions (9398)</t>
  </si>
  <si>
    <t>No Known Impact Or Consequence To Patient (9196)</t>
  </si>
  <si>
    <t>Electric Shock (9087)</t>
  </si>
  <si>
    <t>Asystole (9333)</t>
  </si>
  <si>
    <t>Arrhythmia (9019)</t>
  </si>
  <si>
    <t>Infection (9151)</t>
  </si>
  <si>
    <t>Muscle Stimulation (9179)</t>
  </si>
  <si>
    <t>All existing Investigations are complete</t>
  </si>
  <si>
    <t>Oscor Leads Intermedics</t>
  </si>
  <si>
    <t>Device Software Issue (5191:2337)</t>
  </si>
  <si>
    <t>Device Gas Gauge/Longevity Not As Expected (5191:2869), Device Premature Discharge Of Battery (5191:2233)</t>
  </si>
  <si>
    <t>Device Oversensing (5191:2168), Device Noisy Signals (5191:2124)</t>
  </si>
  <si>
    <t>Device Data Issue (5191:1166)</t>
  </si>
  <si>
    <t>Device Shock Impedance High Within Normal Limits (5191:2319)</t>
  </si>
  <si>
    <t>Device Brady Pacing Rate Not As Expected (5191:1047)</t>
  </si>
  <si>
    <t>No Consequences or Impact to Patient (9194)</t>
  </si>
  <si>
    <t>Product Status</t>
  </si>
  <si>
    <t>Difficult To Interrogate/Telemetry (RF)</t>
  </si>
  <si>
    <t>Difficult To Interrogate/Telemetry (Wand)</t>
  </si>
  <si>
    <t>Premature Discharge Of Battery</t>
  </si>
  <si>
    <t>Device Displays Error Message</t>
  </si>
  <si>
    <t>Gas Gauge/Longevity Not As Expected</t>
  </si>
  <si>
    <t>Pacing Impedance High</t>
  </si>
  <si>
    <t>Pacing Impedance High Out Of Range</t>
  </si>
  <si>
    <t>Pacing Impedance High Within Normal Limits</t>
  </si>
  <si>
    <t>Pacing Impedance Low</t>
  </si>
  <si>
    <t>Pacing Impedance Low Out Of Range</t>
  </si>
  <si>
    <t>Pacing Impedance Low Within Normal Limits</t>
  </si>
  <si>
    <t>High Capture Threshold</t>
  </si>
  <si>
    <t>Failure To Capture</t>
  </si>
  <si>
    <t>Brady Pacing Not Delivered When Required</t>
  </si>
  <si>
    <t>Brady Pacing Delivered When Not Required</t>
  </si>
  <si>
    <t>Brady Pacing Rate Not As Expected</t>
  </si>
  <si>
    <t>MV/RRT Noise Or Oversensing</t>
  </si>
  <si>
    <t>Threshold Issue</t>
  </si>
  <si>
    <t>Communication Or Transmission Issue</t>
  </si>
  <si>
    <t>False Positive Detection Of AFIB/AFLUTTER</t>
  </si>
  <si>
    <t>Data Issue</t>
  </si>
  <si>
    <t>EGM Issue</t>
  </si>
  <si>
    <t>XL Rate Response Not As Expected</t>
  </si>
  <si>
    <t>MV Rate Response Not As Expected</t>
  </si>
  <si>
    <t>Brady PG</t>
  </si>
  <si>
    <t>Emblem PG</t>
  </si>
  <si>
    <t>Emblem Leads</t>
  </si>
  <si>
    <t>Bent</t>
  </si>
  <si>
    <t>Damaged/Defective</t>
  </si>
  <si>
    <t>Detachment of Device or Device Component</t>
  </si>
  <si>
    <t>Difficult To Insert</t>
  </si>
  <si>
    <t>Kinked</t>
  </si>
  <si>
    <t>Component Missing</t>
  </si>
  <si>
    <t>Difficult To Remove</t>
  </si>
  <si>
    <t>Failure To Cut</t>
  </si>
  <si>
    <t>Leak</t>
  </si>
  <si>
    <t>Obstruction Within Device</t>
  </si>
  <si>
    <t>Stretched</t>
  </si>
  <si>
    <t>Contamination Issue At User Location</t>
  </si>
  <si>
    <t>Difficult To Position</t>
  </si>
  <si>
    <t>Failure To Align</t>
  </si>
  <si>
    <t>Foreign Material Present In Device</t>
  </si>
  <si>
    <t>Improper Or Incorrect Procedure Or Method</t>
  </si>
  <si>
    <t>Literature/Manual/Handbook Issue</t>
  </si>
  <si>
    <t>Loose Or Intermittent Connection</t>
  </si>
  <si>
    <t>Material Twisted</t>
  </si>
  <si>
    <t>Mechanical Issue</t>
  </si>
  <si>
    <t>Pocket Stimulation</t>
  </si>
  <si>
    <t>Therapy Delivery/Effectiveness Problem</t>
  </si>
  <si>
    <t>Torn Material</t>
  </si>
  <si>
    <t>Application Security Issue</t>
  </si>
  <si>
    <t>Computer System Security Issue</t>
  </si>
  <si>
    <t>Item Contaminated During Manufacturing Or Shipping</t>
  </si>
  <si>
    <t>Malware</t>
  </si>
  <si>
    <t>No Code Available</t>
  </si>
  <si>
    <t>No Reported Allegation</t>
  </si>
  <si>
    <t>Product Returned For Unknown Reason</t>
  </si>
  <si>
    <t>Shelf Life Exceeded</t>
  </si>
  <si>
    <t>Use Of Device Issue</t>
  </si>
  <si>
    <t>Use Of Device Issue - Misuse</t>
  </si>
  <si>
    <t>Use Of Device Issue - User Error</t>
  </si>
  <si>
    <t>User Preference Issue</t>
  </si>
  <si>
    <t>User Used Incorrect Product For Intended Use</t>
  </si>
  <si>
    <t>Unauthorized Access to Computer System</t>
  </si>
  <si>
    <t>Labeling Damage</t>
  </si>
  <si>
    <t>Labeling Issue</t>
  </si>
  <si>
    <t>Tear, Rip Or Hole In Device Packaging</t>
  </si>
  <si>
    <t>Difficult To Deflate</t>
  </si>
  <si>
    <t>Spontaneous Deflation</t>
  </si>
  <si>
    <t>Communication - Incomplete Interrogation</t>
  </si>
  <si>
    <t>Communication - PII Issue</t>
  </si>
  <si>
    <t>Communication - RF Interference</t>
  </si>
  <si>
    <t>Communicator Issue</t>
  </si>
  <si>
    <t>Connection Issue - Cellular</t>
  </si>
  <si>
    <t>Connection Issue - Ethernet</t>
  </si>
  <si>
    <t>Connection Issue - POTS</t>
  </si>
  <si>
    <t>EMR Issue</t>
  </si>
  <si>
    <t>Enrollment - Incorrect Enrollment</t>
  </si>
  <si>
    <t>Enrollment - New PG With Old Communicator</t>
  </si>
  <si>
    <t>Enrollment - Patient Not Enrolled</t>
  </si>
  <si>
    <t>Enrollment Issue</t>
  </si>
  <si>
    <t>Failed Payload</t>
  </si>
  <si>
    <t>Hardware Issue</t>
  </si>
  <si>
    <t>Health Questions</t>
  </si>
  <si>
    <t>Log-In Issue</t>
  </si>
  <si>
    <t>Message - Device/PG Out Of Range</t>
  </si>
  <si>
    <t>Message - Hardware Failure</t>
  </si>
  <si>
    <t>Message - LATITUDE Temporarily Unavailable</t>
  </si>
  <si>
    <t>Message - Monitoring Suspended</t>
  </si>
  <si>
    <t>Message - No Dial Tone</t>
  </si>
  <si>
    <t>Message - No Red Alert</t>
  </si>
  <si>
    <t>Message - No Yellow Alert</t>
  </si>
  <si>
    <t>Message - Red Alert</t>
  </si>
  <si>
    <t>Message - Yellow Alert</t>
  </si>
  <si>
    <t>Message - Yellow Alert Fax Issue</t>
  </si>
  <si>
    <t>Miscellaneous/Other</t>
  </si>
  <si>
    <t>Permissions Issue</t>
  </si>
  <si>
    <t>Power Issue - Outlet Not Working</t>
  </si>
  <si>
    <t>Power Issue - Storm/Power Outage</t>
  </si>
  <si>
    <t>Power Source Issue</t>
  </si>
  <si>
    <t>Printing Issues</t>
  </si>
  <si>
    <t>Reports/Data Issue</t>
  </si>
  <si>
    <t>Screen Issue</t>
  </si>
  <si>
    <t>Sending Issue</t>
  </si>
  <si>
    <t>Shipping Damage Or Problem</t>
  </si>
  <si>
    <t>Software Issue</t>
  </si>
  <si>
    <t>Software Upgrade Issue</t>
  </si>
  <si>
    <t>System Support</t>
  </si>
  <si>
    <t>Unplugged (And Change Component To Powercord)</t>
  </si>
  <si>
    <t>Website Not Available</t>
  </si>
  <si>
    <t>Website Patient Website Issue</t>
  </si>
  <si>
    <t>Website Patients For Review Issue</t>
  </si>
  <si>
    <t>Website Performance Issue</t>
  </si>
  <si>
    <t>Website System Issue</t>
  </si>
  <si>
    <t>Weight Scale Issue</t>
  </si>
  <si>
    <t>Communication - Wanded</t>
  </si>
  <si>
    <t>Application Program Issue</t>
  </si>
  <si>
    <t>ATP Delivered When Not Required</t>
  </si>
  <si>
    <t>ATP Not Delivered When Required</t>
  </si>
  <si>
    <t>Delayed Charge Time</t>
  </si>
  <si>
    <t>Difficult To Program Or Calibrate</t>
  </si>
  <si>
    <t>Failure To Charge</t>
  </si>
  <si>
    <t>Failure To Sense</t>
  </si>
  <si>
    <t>Failure To Shock Or Properly Shock</t>
  </si>
  <si>
    <t>Inappropriate Or Unexpected Reset</t>
  </si>
  <si>
    <t>Sensing Intermittently</t>
  </si>
  <si>
    <t>Loss Of Capture During Ablation Or Electrocautery</t>
  </si>
  <si>
    <t>Message - Error Code 1003</t>
  </si>
  <si>
    <t>Difficult To Induce An Arrhythmia During Induction/DFT Testing.</t>
  </si>
  <si>
    <t>Dislodged Or Dislocated</t>
  </si>
  <si>
    <t>Difficult/Unable to Extend/Retract Helix</t>
  </si>
  <si>
    <t>Fracture</t>
  </si>
  <si>
    <t>Malposition Of Device</t>
  </si>
  <si>
    <t>Incomplete Programming</t>
  </si>
  <si>
    <t>MRI Exposure Issue</t>
  </si>
  <si>
    <t>PII/Symptom Tracking Issue</t>
  </si>
  <si>
    <t>Remote Programming Issue</t>
  </si>
  <si>
    <t>Communication/Connection Issue At Set-Up</t>
  </si>
  <si>
    <t>False Event</t>
  </si>
  <si>
    <t>False Pause Event</t>
  </si>
  <si>
    <t>False Brady Event</t>
  </si>
  <si>
    <t>False Tachy Event</t>
  </si>
  <si>
    <t>False AF Event</t>
  </si>
  <si>
    <t>False AT Event</t>
  </si>
  <si>
    <t>Missed Event</t>
  </si>
  <si>
    <t>Missed Pause Event</t>
  </si>
  <si>
    <t>Missed Brady Event</t>
  </si>
  <si>
    <t>Missed Tachy Event</t>
  </si>
  <si>
    <t>Missed AF Event</t>
  </si>
  <si>
    <t>Missed AT Event</t>
  </si>
  <si>
    <t>Difficult To Deploy</t>
  </si>
  <si>
    <t>Difficult To Detach</t>
  </si>
  <si>
    <t>Difficult To Retract</t>
  </si>
  <si>
    <t>Incision Closure Difficulty</t>
  </si>
  <si>
    <t>Incision Creation Difficulty</t>
  </si>
  <si>
    <t>Difficult To Charge</t>
  </si>
  <si>
    <t>Failure To Hold Its Charge</t>
  </si>
  <si>
    <t>Failure To Power-Up</t>
  </si>
  <si>
    <t>Lost or Damaged By Patient</t>
  </si>
  <si>
    <t>Application Error</t>
  </si>
  <si>
    <t>Magnet Application Issue</t>
  </si>
  <si>
    <t>Out of Box Phone Issue</t>
  </si>
  <si>
    <t>Out of Box Phone Setting Unexpected</t>
  </si>
  <si>
    <t>Tones/Illumination When Not Expected</t>
  </si>
  <si>
    <t>Date-Related Software Issue</t>
  </si>
  <si>
    <t>Electromagnetic Compatibility Issue</t>
  </si>
  <si>
    <t>Failure To Power-Off</t>
  </si>
  <si>
    <t>Failure To Save To Disk</t>
  </si>
  <si>
    <t>Operating System Version Or Upgrade Problem</t>
  </si>
  <si>
    <t>Software Removal Issue</t>
  </si>
  <si>
    <t>Software Removal ELH</t>
  </si>
  <si>
    <t>Damaged</t>
  </si>
  <si>
    <t>Length Too Long</t>
  </si>
  <si>
    <t>Length Too Short</t>
  </si>
  <si>
    <t>Difficult To Connect</t>
  </si>
  <si>
    <t>Sterilization Questions</t>
  </si>
  <si>
    <t>Device Damaged Prior To Use</t>
  </si>
  <si>
    <t>Noise, Audible</t>
  </si>
  <si>
    <t>Poor Print Quality</t>
  </si>
  <si>
    <t>Power Interruptions</t>
  </si>
  <si>
    <t>Telemetry Noise</t>
  </si>
  <si>
    <t>Unable To Find Printer</t>
  </si>
  <si>
    <t>Unable To Connect To Printer</t>
  </si>
  <si>
    <t>Unable To Connect To Bluetooth Printer</t>
  </si>
  <si>
    <t>Unable To Connect To USB Printer</t>
  </si>
  <si>
    <t>Bluetooth Connection Issue</t>
  </si>
  <si>
    <t>Unable To Find Bluetooth Device</t>
  </si>
  <si>
    <t>Unable To Pair To Bluetooth Device</t>
  </si>
  <si>
    <t>Unable To Send Data To Bluetooth Device</t>
  </si>
  <si>
    <t>Wi-Fi Connection Issue</t>
  </si>
  <si>
    <t>Unable To Find Wi-Fi Network</t>
  </si>
  <si>
    <t>Unable To Connect To Wi-Fi Network</t>
  </si>
  <si>
    <t>Wi-Fi Network Not Compatible</t>
  </si>
  <si>
    <t>IT Will Not Allow Wi-Fi Connection</t>
  </si>
  <si>
    <t>Poor Wi-Fi Quality/Connection Quality</t>
  </si>
  <si>
    <t>Cellular Connection Issue</t>
  </si>
  <si>
    <t>Unable To Recognize Cell Adapter</t>
  </si>
  <si>
    <t>Unable To Connect To Cell Adapter</t>
  </si>
  <si>
    <t>Poor Cellular Quality/Connection Quality</t>
  </si>
  <si>
    <t>Battery Discharge Quickly During Use</t>
  </si>
  <si>
    <t>Battery Discharged While Powered Off</t>
  </si>
  <si>
    <t>Battery Charges Slowly</t>
  </si>
  <si>
    <t>Battery Does Not Fully Charge</t>
  </si>
  <si>
    <t>Failure To Power-Up Using AC Power</t>
  </si>
  <si>
    <t>Failure To Power-Up Using Battery</t>
  </si>
  <si>
    <t>Off Label Accessory Use</t>
  </si>
  <si>
    <t>Reset During Critical Operation</t>
  </si>
  <si>
    <t>Error At Startup</t>
  </si>
  <si>
    <t>Error At Startup - Unable To Resolve</t>
  </si>
  <si>
    <t>Error At Startup - Resolved</t>
  </si>
  <si>
    <t>Error During Interrogation</t>
  </si>
  <si>
    <t>Error During Interrogation - Unable To Resolve</t>
  </si>
  <si>
    <t>Error During Interrogation - Resolved</t>
  </si>
  <si>
    <t>Error During Upgrade</t>
  </si>
  <si>
    <t>Error During Upgrade - Unable To Resolve</t>
  </si>
  <si>
    <t>Error During Upgrade - Resolved</t>
  </si>
  <si>
    <t>Device Used For Prolonged External Pacing</t>
  </si>
  <si>
    <t>Device Used In Incorrect Country</t>
  </si>
  <si>
    <t>PG Not Compatible With Programmer</t>
  </si>
  <si>
    <t>Off Label Sterilization</t>
  </si>
  <si>
    <t>Difficulty Updating Implantable Device Software</t>
  </si>
  <si>
    <t>Difficult To Interrogate/Telemetry (Telemetry Unknown)</t>
  </si>
  <si>
    <t>No Display Or Display Failure</t>
  </si>
  <si>
    <t>Unresponsive</t>
  </si>
  <si>
    <t>Delayed Response</t>
  </si>
  <si>
    <t>Touch Screen Calibration Issue</t>
  </si>
  <si>
    <t>Unresponsive During Threshold Test</t>
  </si>
  <si>
    <t>Unresponsive During Stat Therapy</t>
  </si>
  <si>
    <t>Unexpected Response</t>
  </si>
  <si>
    <t>No Power</t>
  </si>
  <si>
    <t>Wrong Type/ Incorrect Power Cable</t>
  </si>
  <si>
    <t>Incorrect Software Version</t>
  </si>
  <si>
    <t>Missing</t>
  </si>
  <si>
    <t>Software User Interface Issue</t>
  </si>
  <si>
    <t>Software Upgrade Issue Using Wi-Fi</t>
  </si>
  <si>
    <t>Software Upgrade Issue Using Pen Drive</t>
  </si>
  <si>
    <t>Software Upgrade Issue Using Ethernet</t>
  </si>
  <si>
    <t>Software Upgrade Issue Using Cellular</t>
  </si>
  <si>
    <t>Threshold Different Than Competitor</t>
  </si>
  <si>
    <t>Threshold Different Than PG</t>
  </si>
  <si>
    <t>Current Of Injury (COI) Issue</t>
  </si>
  <si>
    <t>Impedance Different Than Competitor</t>
  </si>
  <si>
    <t>Impedance Different Than PG</t>
  </si>
  <si>
    <t>Sensing Different Than Competitor</t>
  </si>
  <si>
    <t>Sensing Different Than PG</t>
  </si>
  <si>
    <t>Egram Clarity/Marker Issue</t>
  </si>
  <si>
    <t>COI Different Than Competitor</t>
  </si>
  <si>
    <t>COI Inverted</t>
  </si>
  <si>
    <t>Audio Issue</t>
  </si>
  <si>
    <t>Video Issue</t>
  </si>
  <si>
    <t>Unable To Select/Find Contact</t>
  </si>
  <si>
    <t>Unable To Make/Receive Call</t>
  </si>
  <si>
    <t>Device Operates Differently Than Expected</t>
  </si>
  <si>
    <t>System To Patient Interface Issue</t>
  </si>
  <si>
    <t>Unauthorized Access To Computer System</t>
  </si>
  <si>
    <t>Interpretation Of Device Behavior Indicates Performance Anomaly</t>
  </si>
  <si>
    <t>Catheter All Issues</t>
  </si>
  <si>
    <t>Introducer - All Issues</t>
  </si>
  <si>
    <t>Guidewire - All Issues</t>
  </si>
  <si>
    <t>Stylet - All Issues</t>
  </si>
  <si>
    <t>No Known Device Problem</t>
  </si>
  <si>
    <t>Migration</t>
  </si>
  <si>
    <t>Shock Impedance High</t>
  </si>
  <si>
    <t>Shock Impedance High Out Of Range</t>
  </si>
  <si>
    <t>Shock Impedance High Within Normal Limits</t>
  </si>
  <si>
    <t>Shock Impedance Low</t>
  </si>
  <si>
    <t>Shock Impedance Low Out Of Range</t>
  </si>
  <si>
    <t>Shock Impedance Low Within Normal Limits</t>
  </si>
  <si>
    <t>Non Specific Product Performance Allegation</t>
  </si>
  <si>
    <t>Failure To Convert Rhythm</t>
  </si>
  <si>
    <t>Feature Unavailable Or Intermittent</t>
  </si>
  <si>
    <t>Inappropriate Shock</t>
  </si>
  <si>
    <t>No Tones When Expected</t>
  </si>
  <si>
    <t>Programmed Parameters Different Than Expected</t>
  </si>
  <si>
    <t>Rhythm Acceleration</t>
  </si>
  <si>
    <t>Therapy Induced Arrhythmia</t>
  </si>
  <si>
    <t>Tone Pattern As Expected</t>
  </si>
  <si>
    <t>Tone Pattern Not As Expected</t>
  </si>
  <si>
    <t>Difficulty Converting Rhythm (Ambulatory)</t>
  </si>
  <si>
    <t>Difficulty Converting Rhythm (Induced)</t>
  </si>
  <si>
    <t>Sense B Artifact Noise</t>
  </si>
  <si>
    <t>Connection Issue</t>
  </si>
  <si>
    <t>NXT mobile app</t>
  </si>
  <si>
    <t>Reliance IS-4 (passive fix)</t>
  </si>
  <si>
    <t>Device Pocket Stimulation (5191:2207)</t>
  </si>
  <si>
    <t>Transferred Inside BSC</t>
  </si>
  <si>
    <t>Sent to Arden Hills CIS</t>
  </si>
  <si>
    <t>DHR for CIS Track</t>
  </si>
  <si>
    <t>Cameron Tablet Programmer</t>
  </si>
  <si>
    <t>Acuity X4 Quad</t>
  </si>
  <si>
    <t>Unknown Product Family</t>
  </si>
  <si>
    <t>Reliance</t>
  </si>
  <si>
    <t>Flextend</t>
  </si>
  <si>
    <t>Portugal</t>
  </si>
  <si>
    <t>India</t>
  </si>
  <si>
    <t>Sweden</t>
  </si>
  <si>
    <t>Belgium</t>
  </si>
  <si>
    <t>Hong Kong</t>
  </si>
  <si>
    <t>Device Premature Discharge Of Battery (5191:2233), Device Message - Error Code 1003 (5191:2716)</t>
  </si>
  <si>
    <t>Device Message - Error Code 1003 (5191:2716), Device Premature Discharge Of Battery (5191:2233)</t>
  </si>
  <si>
    <t>Device Noisy Signals (5191:2124), Device Inappropriate Shock (5191:1698), Device Oversensing (5191:2168)</t>
  </si>
  <si>
    <t>Device Difficult To Interrogate/Telemetry (Wand) (5191:1322)</t>
  </si>
  <si>
    <t>Device Premature Discharge Of Battery (5191:2233), Device Gas Gauge/Longevity Not As Expected (5191:2869)</t>
  </si>
  <si>
    <t>Display/Touch Screen Unresponsive (5201:2447)</t>
  </si>
  <si>
    <t>Device Message - Error Code 1003 (5191:2716)</t>
  </si>
  <si>
    <t>Device Oversensing (5191:2168)</t>
  </si>
  <si>
    <t>Device Noisy Signals (5191:2124), Device Oversensing (5191:2168)</t>
  </si>
  <si>
    <t>Device Premature Discharge Of Battery (5191:2233), Device Device Displays Error Message (5191:1224), Device Tone Pattern As Expected (5191:2409)</t>
  </si>
  <si>
    <t>Lead Conductor Fracture (5355:1636)</t>
  </si>
  <si>
    <t>Device Noisy Signals (5191:2124), Device Oversensing (5191:2168), Device Inappropriate Shock (5191:1698)</t>
  </si>
  <si>
    <t>Device Impedance Issue (5191:1683)</t>
  </si>
  <si>
    <t>Device Inappropriate Shock (5191:1698)</t>
  </si>
  <si>
    <t>Device Communicator Issue (5191:1123)</t>
  </si>
  <si>
    <t>Device Premature Discharge Of Battery (5191:2233), Device Gas Gauge/Longevity Not As Expected (5191:2869), Device Device Displays Error Message (5191:1224)</t>
  </si>
  <si>
    <t>Device Failure To Capture (5191:1491)</t>
  </si>
  <si>
    <t>Device Oversensing (5191:2168), Device Noisy Signals (5191:2124), Device Inappropriate Shock (5191:1698)</t>
  </si>
  <si>
    <t>Atrial Fibrillation (9024)</t>
  </si>
  <si>
    <t>Discomfort (9069)</t>
  </si>
  <si>
    <t>Bradycardia (9030)</t>
  </si>
  <si>
    <t>Investigation in Progress - Age: 20 (Unassigned)</t>
  </si>
  <si>
    <t>Investigation in Progress - Age: 13 (Unassigned)</t>
  </si>
  <si>
    <t>Investigation in Progress - Age: 68 (Unassigned)</t>
  </si>
  <si>
    <t>Investigation in Progress - Age: 54 (Unassigned)</t>
  </si>
  <si>
    <t>Investigation in Progress - Age: 32 (Unassigned)</t>
  </si>
  <si>
    <t>Investigation in Progress - Age: 42 (Unassigned)</t>
  </si>
  <si>
    <t>Investigation in Progress - Age: 19 (Unassigned)</t>
  </si>
  <si>
    <t>Investigation in Progress - Age: 35 (Unassigned)</t>
  </si>
  <si>
    <t>Investigation in Progress - Age: 7 (Unassigned)</t>
  </si>
  <si>
    <t>Investigation in Progress - Age: 56 (Unassigned)</t>
  </si>
  <si>
    <t>Investigation in Progress - Age: 55 (Unassigned)</t>
  </si>
  <si>
    <t>Investigation in Progress - Age: 28 (Unassigned)</t>
  </si>
  <si>
    <t>Investigation in Progress - Age: 61 (Unassigned)</t>
  </si>
  <si>
    <t>Investigation in Progress - Age: 12 (Unassigned)</t>
  </si>
  <si>
    <t>Investigation in Progress - Age: 40 (Unassigned)</t>
  </si>
  <si>
    <t>Investigation in Progress - Age: 6 (Unassigned)</t>
  </si>
  <si>
    <t>Investigation in Progress - Age: 47 (Unassigned)</t>
  </si>
  <si>
    <t>Investigation in Progress - Age: 27 (Unassigned)</t>
  </si>
  <si>
    <t>Coyol</t>
  </si>
  <si>
    <t>Product Returned</t>
  </si>
  <si>
    <t>Austria</t>
  </si>
  <si>
    <t>AH</t>
  </si>
  <si>
    <t>Device Inappropriate Shock (5191:1698), Device Oversensing (5191:2168), Device Low Amplitude Or Poor Morphology (5191:1807)</t>
  </si>
  <si>
    <t>Device Communication Or Transmission Issue (5191:1122)</t>
  </si>
  <si>
    <t>Device Tone Pattern As Expected (5191:2409), Device Premature Discharge Of Battery (5191:2233), Device Device Displays Error Message (5191:1224)</t>
  </si>
  <si>
    <t>Device Message - Error Code 1003 (5191:2716), Device Tone Pattern As Expected (5191:2409)</t>
  </si>
  <si>
    <t>Investigation in Progress - Age: 25 (Unassigned)</t>
  </si>
  <si>
    <t>Investigation in Progress - Age: 48 (Unassigned)</t>
  </si>
  <si>
    <t>Investigation in Progress - Age: 31 (Unassigned)</t>
  </si>
  <si>
    <t>Opened - Age: 3 (Unassigned)</t>
  </si>
  <si>
    <t>-</t>
  </si>
  <si>
    <t>Device Device Displays Error Message (5191:1224), Device Gas Gauge/Longevity Not As Expected (5191:2869)</t>
  </si>
  <si>
    <t>Electric Shock (9087), Ventricular Fibrillation (9298)</t>
  </si>
  <si>
    <t>EasyTrak Accessories</t>
  </si>
  <si>
    <t>Universal Cutter Damaged/Defective (5793:1163)</t>
  </si>
  <si>
    <t>Ventricular Fibrillation (9298), Electric Shock (9087)</t>
  </si>
  <si>
    <t>Device Tone Pattern As Expected (5191:2409), Device Device Displays Error Message (5191:1224), Device Premature Discharge Of Battery (5191:2233)</t>
  </si>
  <si>
    <t>Device Difficult To Interrogate/Telemetry (RF) (5191:1321)</t>
  </si>
  <si>
    <t>Device Therapy Delivery/Effectiveness Problem (5191:2405)</t>
  </si>
  <si>
    <t>Gaby</t>
  </si>
  <si>
    <t>Done</t>
  </si>
  <si>
    <t>Randall</t>
  </si>
  <si>
    <t>Alex</t>
  </si>
  <si>
    <t>Latitude Next Gen Remote Monitoring</t>
  </si>
  <si>
    <t>Serbia</t>
  </si>
  <si>
    <t>Device Failure To Capture (5191:1491), Device Damaged/Defective (5191:1163)</t>
  </si>
  <si>
    <t>Device Inappropriate Or Unexpected Reset (5191:1697), Device Device Displays Error Message (5191:1224)</t>
  </si>
  <si>
    <t>Loss Of Consciousness (9170), Syncope (9267)</t>
  </si>
  <si>
    <t>Ventricular Tachycardia (9300)</t>
  </si>
  <si>
    <t>Investigation in Progress - Age: 5 (Unassigned)</t>
  </si>
  <si>
    <t>PR_EXPECTED_CHANGE_DATE</t>
  </si>
  <si>
    <t>MODEL_CHANGE_DATE</t>
  </si>
  <si>
    <t>UPN_CHANGE_DATE</t>
  </si>
  <si>
    <t>CODING_CHANGE_DATE</t>
  </si>
  <si>
    <t>LOT_DATE_CHANGE</t>
  </si>
  <si>
    <t>REP_DATE_CHANGE</t>
  </si>
  <si>
    <t>ID</t>
  </si>
  <si>
    <t>2023-08-11T17:30:11Z</t>
  </si>
  <si>
    <t>2023-09-02T22:32:25Z</t>
  </si>
  <si>
    <t>2023-08-08T16:09:28Z</t>
  </si>
  <si>
    <t>2023-08-10T19:24:19Z</t>
  </si>
  <si>
    <t>2023-09-08T15:13:38Z</t>
  </si>
  <si>
    <t>2023-09-02T22:31:03Z</t>
  </si>
  <si>
    <t>2023-08-23T13:18:24Z</t>
  </si>
  <si>
    <t>2023-08-28T13:19:44Z</t>
  </si>
  <si>
    <t>2023-08-01T14:54:37Z</t>
  </si>
  <si>
    <t>2023-08-01T14:54:38Z</t>
  </si>
  <si>
    <t>2023-08-23T17:20:10Z</t>
  </si>
  <si>
    <t>2023-08-28T20:16:43Z</t>
  </si>
  <si>
    <t>2023-08-22T12:37:31Z</t>
  </si>
  <si>
    <t>2023-08-17T19:53:36Z</t>
  </si>
  <si>
    <t>2023-08-16T19:57:50Z</t>
  </si>
  <si>
    <t>2023-07-19T14:18:28Z</t>
  </si>
  <si>
    <t>2023-07-19T14:18:29Z</t>
  </si>
  <si>
    <t>2023-09-10T01:27:05Z</t>
  </si>
  <si>
    <t>2023-07-19T22:18:10Z</t>
  </si>
  <si>
    <t>2023-08-02T12:32:39Z</t>
  </si>
  <si>
    <t>2023-08-18T00:43:23Z</t>
  </si>
  <si>
    <t>2023-08-17T20:29:50Z</t>
  </si>
  <si>
    <t>2023-09-04T18:52:20Z</t>
  </si>
  <si>
    <t>2023-08-25T19:44:57Z</t>
  </si>
  <si>
    <t>2023-08-25T07:36:11Z</t>
  </si>
  <si>
    <t>2023-07-18T20:02:42Z</t>
  </si>
  <si>
    <t>2023-08-18T05:35:55Z</t>
  </si>
  <si>
    <t>2023-08-30T22:09:26Z</t>
  </si>
  <si>
    <t>2023-07-31T21:17:23Z</t>
  </si>
  <si>
    <t>2023-08-24T20:27:39Z</t>
  </si>
  <si>
    <t>2023-09-05T22:29:13Z</t>
  </si>
  <si>
    <t>2023-09-05T22:24:36Z</t>
  </si>
  <si>
    <t>2023-08-15T15:25:50Z</t>
  </si>
  <si>
    <t>2023-08-09T18:50:04Z</t>
  </si>
  <si>
    <t>2023-08-21T11:46:11Z</t>
  </si>
  <si>
    <t>2023-08-28T17:32:06Z</t>
  </si>
  <si>
    <t>Device Difficult To Insert (5191:1307)</t>
  </si>
  <si>
    <t>Denmark</t>
  </si>
  <si>
    <t>Device Inappropriate Shock (5191:1698), Device Noisy Signals (5191:2124), Device Oversensing (5191:2168)</t>
  </si>
  <si>
    <t>Syncope (9267), Loss Of Consciousness (9170)</t>
  </si>
  <si>
    <t>2023-09-18T14:11:49Z</t>
  </si>
  <si>
    <t>2023-09-12T17:38:53Z</t>
  </si>
  <si>
    <t>2023-09-18T13:31:46Z</t>
  </si>
  <si>
    <t>2023-09-18T13:32:34Z</t>
  </si>
  <si>
    <t>2023-09-13T21:16:33Z</t>
  </si>
  <si>
    <t>2023-09-16T00:38:23Z</t>
  </si>
  <si>
    <t>2023-09-14T15:16:06Z</t>
  </si>
  <si>
    <t>2023-09-15T18:07:56Z</t>
  </si>
  <si>
    <t>2023-09-22T16:23:19Z</t>
  </si>
  <si>
    <t>2023-09-22T16:23:20Z</t>
  </si>
  <si>
    <t>2023-09-20T14:36:35Z</t>
  </si>
  <si>
    <t>2023-09-20T14:33:01Z</t>
  </si>
  <si>
    <t>2023-09-20T16:56:10Z</t>
  </si>
  <si>
    <t>2023-09-22T15:46:50Z</t>
  </si>
  <si>
    <t>2023-09-20T23:36:57Z</t>
  </si>
  <si>
    <t>2023-09-20T23:34:14Z</t>
  </si>
  <si>
    <t>Device Difficult To Induce An Arrhythmia During Induction/DFT Testing. (5191:2872), Device Difficulty Converting Rhythm (Induced) (5191:2871)</t>
  </si>
  <si>
    <t>Device Dislodged Or Dislocated (5191:1414), Device High Capture Threshold (5191:1666)</t>
  </si>
  <si>
    <t>Device Difficult To Induce An Arrhythmia During Induction/DFT Testing. (5191:2872)</t>
  </si>
  <si>
    <t>Investigation in Progress - Age: 53 (Unassigned)</t>
  </si>
  <si>
    <t>Randall-Done</t>
  </si>
  <si>
    <t>2023-09-28T16:24:00Z</t>
  </si>
  <si>
    <t>2023-09-29T19:58:44Z</t>
  </si>
  <si>
    <t>2023-09-28T21:31:38Z</t>
  </si>
  <si>
    <t>2023-09-29T13:22:00Z</t>
  </si>
  <si>
    <t>2023-09-27T11:42:44Z</t>
  </si>
  <si>
    <t>2023-09-28T22:09:23Z</t>
  </si>
  <si>
    <t>2023-07-11T22:13:05Z</t>
  </si>
  <si>
    <t>2023-09-28T15:22:47Z</t>
  </si>
  <si>
    <t>2023-09-26T20:56:06Z</t>
  </si>
  <si>
    <t>2023-09-26T20:55:41Z</t>
  </si>
  <si>
    <t>2023-09-27T21:17:13Z</t>
  </si>
  <si>
    <t>2023-09-28T14:18:06Z</t>
  </si>
  <si>
    <t>2023-03-02T01:58:33Z</t>
  </si>
  <si>
    <t>2023-09-27T20:15:13Z</t>
  </si>
  <si>
    <t>Weight Fluctuations (9308)</t>
  </si>
  <si>
    <t>Dizziness (9073)</t>
  </si>
  <si>
    <t>2023-10-02T16:57:40Z</t>
  </si>
  <si>
    <t>2023-10-05T15:08:26Z</t>
  </si>
  <si>
    <t>2023-10-04T15:37:46Z</t>
  </si>
  <si>
    <t>2023-08-17T19:57:33Z</t>
  </si>
  <si>
    <t>2023-10-06T01:08:11Z</t>
  </si>
  <si>
    <t>2023-10-04T20:26:05Z</t>
  </si>
  <si>
    <t>2023-10-05T22:33:05Z</t>
  </si>
  <si>
    <t>2023-10-05T21:57:22Z</t>
  </si>
  <si>
    <t>Philippines</t>
  </si>
  <si>
    <t>Cardiac Arrest (9041)</t>
  </si>
  <si>
    <t>Electric Shock (9087), Anxiety (9013)</t>
  </si>
  <si>
    <t>2023-10-12T22:54:43Z</t>
  </si>
  <si>
    <t>2023-10-09T16:14:44Z</t>
  </si>
  <si>
    <t>2023-10-11T21:54:23Z</t>
  </si>
  <si>
    <t>2023-02-16T18:52:23Z</t>
  </si>
  <si>
    <t>2023-10-12T14:49:25Z</t>
  </si>
  <si>
    <t>2023-10-12T14:43:20Z</t>
  </si>
  <si>
    <t>2023-10-11T15:04:56Z</t>
  </si>
  <si>
    <t>2023-10-11T15:10:12Z</t>
  </si>
  <si>
    <t>2023-10-10T13:38:34Z</t>
  </si>
  <si>
    <t>2023-10-12T18:04:29Z</t>
  </si>
  <si>
    <t>2023-10-10T16:03:28Z</t>
  </si>
  <si>
    <t>Sepsis (9250), Infection, Bacterial (9152)</t>
  </si>
  <si>
    <t>Perforation (9213)</t>
  </si>
  <si>
    <t>Received by Japan DC</t>
  </si>
  <si>
    <t>Ireland</t>
  </si>
  <si>
    <t>Device False Positive Detection Of AFIB/AFLUTTER (5191:2719)</t>
  </si>
  <si>
    <t>Muscle Stimulation (9179), Malaise (9361)</t>
  </si>
  <si>
    <t>Electric Shock (9087), Ventricular Tachycardia (9300)</t>
  </si>
  <si>
    <t>2023-10-18T12:10:20Z</t>
  </si>
  <si>
    <t>2023-10-02T22:35:54Z</t>
  </si>
  <si>
    <t>2023-10-20T18:06:44Z</t>
  </si>
  <si>
    <t>2023-10-19T22:38:33Z</t>
  </si>
  <si>
    <t>2023-10-19T17:02:51Z</t>
  </si>
  <si>
    <t>2023-07-11T12:24:18Z</t>
  </si>
  <si>
    <t>2023-10-20T14:19:25Z</t>
  </si>
  <si>
    <t>2023-10-20T17:29:36Z</t>
  </si>
  <si>
    <t>2023-06-13T09:24:27Z</t>
  </si>
  <si>
    <t>2023-10-19T17:59:45Z</t>
  </si>
  <si>
    <t>2023-10-16T14:13:14Z</t>
  </si>
  <si>
    <t>2023-10-23T03:33:53Z</t>
  </si>
  <si>
    <t>2023-02-17T00:37:46Z</t>
  </si>
  <si>
    <t>2023-10-21T00:02:45Z</t>
  </si>
  <si>
    <t>2023-10-21T00:05:37Z</t>
  </si>
  <si>
    <t>2023-10-19T13:09:54Z</t>
  </si>
  <si>
    <t>2023-10-18T16:35:58Z</t>
  </si>
  <si>
    <t>2023-10-16T16:54:04Z</t>
  </si>
  <si>
    <t>Sent to Clonmel CIS</t>
  </si>
  <si>
    <t>Device Shock Impedance High Out Of Range (5191:2318), Lead Conductor Fracture (5355:1636)</t>
  </si>
  <si>
    <t>Insulation Damaged/Defective (5331:1163)</t>
  </si>
  <si>
    <t>Device Oversensing (5191:2168), Device Noisy Signals (5191:2124), Device Low Amplitude Or Poor Morphology (5191:1807)</t>
  </si>
  <si>
    <t>Device No Reported Allegation (5191:2104)</t>
  </si>
  <si>
    <t>Device Pacing Impedance High Out Of Range (5191:2172), Device Shock Impedance High Out Of Range (5191:2318)</t>
  </si>
  <si>
    <t>Presyncope (9368)</t>
  </si>
  <si>
    <t>2023-10-27T14:28:44Z</t>
  </si>
  <si>
    <t>2023-10-23T16:26:40Z</t>
  </si>
  <si>
    <t>2023-10-23T19:17:45Z</t>
  </si>
  <si>
    <t>2023-10-24T23:06:06Z</t>
  </si>
  <si>
    <t>2023-10-25T17:26:48Z</t>
  </si>
  <si>
    <t>2023-10-25T18:37:17Z</t>
  </si>
  <si>
    <t>2023-10-24T17:13:47Z</t>
  </si>
  <si>
    <t>2023-10-26T14:45:35Z</t>
  </si>
  <si>
    <t>2023-10-23T15:46:59Z</t>
  </si>
  <si>
    <t>2023-10-27T16:47:28Z</t>
  </si>
  <si>
    <t>2023-10-27T16:53:25Z</t>
  </si>
  <si>
    <t>2023-10-25T13:23:21Z</t>
  </si>
  <si>
    <t>2023-10-25T23:33:30Z</t>
  </si>
  <si>
    <t>2023-10-25T23:36:35Z</t>
  </si>
  <si>
    <t>2023-10-25T23:31:20Z</t>
  </si>
  <si>
    <t>2023-10-25T23:31:14Z</t>
  </si>
  <si>
    <t>2023-10-23T23:51:29Z</t>
  </si>
  <si>
    <t>2023-10-23T21:49:50Z</t>
  </si>
  <si>
    <t>2023-10-23T22:01:32Z</t>
  </si>
  <si>
    <t>2023-10-25T14:13:29Z</t>
  </si>
  <si>
    <t>Device Hardware Issue (5191:1662), Device Connection Issue (5191:1133)</t>
  </si>
  <si>
    <t>Device Shock Impedance High Out Of Range (5191:2318), Device Device Displays Error Message (5191:1224)</t>
  </si>
  <si>
    <t>Device Gas Gauge/Longevity Not As Expected (5191:2869), Device Message - Error Code 1003 (5191:2716)</t>
  </si>
  <si>
    <t>Device High Capture Threshold (5191:1666), Device Dislodged Or Dislocated (5191:1414)</t>
  </si>
  <si>
    <t>Device Noisy Signals (5191:2124), Device Shock Impedance High Out Of Range (5191:2318)</t>
  </si>
  <si>
    <t>Device Difficult To Interrogate/Telemetry (Wand) (5191:1322), Device Tone Pattern As Expected (5191:2409)</t>
  </si>
  <si>
    <t>Device Oversensing (5191:2168), Device Low Amplitude Or Poor Morphology (5191:1807), Device Inappropriate Shock (5191:1698)</t>
  </si>
  <si>
    <t>Device Low Amplitude Or Poor Morphology (5191:1807), Device Noisy Signals (5191:2124), Device Oversensing (5191:2168)</t>
  </si>
  <si>
    <t>2023-10-31T19:54:33Z</t>
  </si>
  <si>
    <t>2023-11-02T13:17:39Z</t>
  </si>
  <si>
    <t>2023-11-03T19:07:56Z</t>
  </si>
  <si>
    <t>2023-11-03T20:28:28Z</t>
  </si>
  <si>
    <t>2023-11-02T12:58:56Z</t>
  </si>
  <si>
    <t>2023-09-27T14:15:39Z</t>
  </si>
  <si>
    <t>2023-10-30T17:14:44Z</t>
  </si>
  <si>
    <t>2023-11-03T10:32:41Z</t>
  </si>
  <si>
    <t>2023-10-31T02:53:06Z</t>
  </si>
  <si>
    <t>2023-11-03T21:18:38Z</t>
  </si>
  <si>
    <t>2023-10-30T17:39:54Z</t>
  </si>
  <si>
    <t>2023-11-02T21:46:04Z</t>
  </si>
  <si>
    <t>2023-11-02T21:46:03Z</t>
  </si>
  <si>
    <t>2023-10-30T17:30:17Z</t>
  </si>
  <si>
    <t>2023-11-03T17:08:58Z</t>
  </si>
  <si>
    <t>2023-11-02T16:51:17Z</t>
  </si>
  <si>
    <t>2023-11-03T05:39:24Z</t>
  </si>
  <si>
    <t>2023-11-03T15:35:24Z</t>
  </si>
  <si>
    <t>2023-07-14T00:28:02Z</t>
  </si>
  <si>
    <t>2023-10-31T15:15:47Z</t>
  </si>
  <si>
    <t>2023-10-30T17:32:34Z</t>
  </si>
  <si>
    <t>2023-11-02T18:37:52Z</t>
  </si>
  <si>
    <t>2023-11-03T16:37:22Z</t>
  </si>
  <si>
    <t>2023-11-03T16:35:36Z</t>
  </si>
  <si>
    <t>2023-05-30T23:30:58Z</t>
  </si>
  <si>
    <t>2023-11-06T15:15:46Z</t>
  </si>
  <si>
    <t>2023-11-06T15:30:24Z</t>
  </si>
  <si>
    <t>2023-11-01T14:16:43Z</t>
  </si>
  <si>
    <t>2023-11-01T14:05:14Z</t>
  </si>
  <si>
    <t>2023-11-02T19:28:16Z</t>
  </si>
  <si>
    <t>2023-11-01T23:35:32Z</t>
  </si>
  <si>
    <t>2023-10-31T16:15:47Z</t>
  </si>
  <si>
    <t>2023-10-31T16:25:48Z</t>
  </si>
  <si>
    <t>2023-10-31T20:09:10Z</t>
  </si>
  <si>
    <t>2023-10-31T20:12:27Z</t>
  </si>
  <si>
    <t>2023-11-02T12:57:01Z</t>
  </si>
  <si>
    <t>2023-11-02T12:53:41Z</t>
  </si>
  <si>
    <t>2023-10-30T13:02:00Z</t>
  </si>
  <si>
    <t>2020-07-16T19:47:52Z</t>
  </si>
  <si>
    <t>2023-10-30T13:09:12Z</t>
  </si>
  <si>
    <t>2023-10-30T12:57:13Z</t>
  </si>
  <si>
    <t>2023-11-01T20:46:24Z</t>
  </si>
  <si>
    <t>2023-10-31T16:01:22Z</t>
  </si>
  <si>
    <t>Device MV/RRT Noise Or Oversensing (5191:2712), Device Pacing Impedance High Out Of Range (5191:2172)</t>
  </si>
  <si>
    <t>Device Component Missing (5191:1127)</t>
  </si>
  <si>
    <t>Device Device Displays Error Message (5191:1224), Device Gas Gauge/Longevity Not As Expected (5191:2869), Device Premature Discharge Of Battery (5191:2233)</t>
  </si>
  <si>
    <t>Device Difficult To Insert (5191:1307), Device Difficult To Remove (5191:1346)</t>
  </si>
  <si>
    <t>Device Device Displays Error Message (5191:1224), Device Tone Pattern As Expected (5191:2409), Device Premature Discharge Of Battery (5191:2233)</t>
  </si>
  <si>
    <t>Investigation in Progress - Age: 76 (Unassigned)</t>
  </si>
  <si>
    <t>Not Trained - PR</t>
  </si>
  <si>
    <t>2023-11-10T16:24:53Z</t>
  </si>
  <si>
    <t>2023-11-09T16:58:09Z</t>
  </si>
  <si>
    <t>2023-11-08T14:12:17Z</t>
  </si>
  <si>
    <t>2023-11-09T18:43:13Z</t>
  </si>
  <si>
    <t>2023-11-06T17:16:39Z</t>
  </si>
  <si>
    <t>2023-10-26T23:54:25Z</t>
  </si>
  <si>
    <t>2023-11-08T14:55:08Z</t>
  </si>
  <si>
    <t>2023-11-07T16:18:29Z</t>
  </si>
  <si>
    <t>2023-11-08T14:50:21Z</t>
  </si>
  <si>
    <t>2023-11-06T17:40:40Z</t>
  </si>
  <si>
    <t>2023-11-07T19:15:46Z</t>
  </si>
  <si>
    <t>2023-11-07T03:59:03Z</t>
  </si>
  <si>
    <t>2023-10-25T06:07:07Z</t>
  </si>
  <si>
    <t>2023-11-09T18:01:06Z</t>
  </si>
  <si>
    <t>2023-11-08T21:30:56Z</t>
  </si>
  <si>
    <t>2023-10-19T16:13:59Z</t>
  </si>
  <si>
    <t>2023-11-06T16:09:18Z</t>
  </si>
  <si>
    <t>2023-11-06T16:29:39Z</t>
  </si>
  <si>
    <t>2023-11-07T13:06:44Z</t>
  </si>
  <si>
    <t>2023-11-08T22:00:24Z</t>
  </si>
  <si>
    <t>2023-11-01T06:05:05Z</t>
  </si>
  <si>
    <t>2023-11-08T22:02:27Z</t>
  </si>
  <si>
    <t>2023-10-12T17:31:21Z</t>
  </si>
  <si>
    <t>2023-11-07T22:24:20Z</t>
  </si>
  <si>
    <t>2023-11-08T13:37:27Z</t>
  </si>
  <si>
    <t>2023-09-21T19:27:30Z</t>
  </si>
  <si>
    <t>2023-11-09T17:03:23Z</t>
  </si>
  <si>
    <t>2023-11-09T17:06:56Z</t>
  </si>
  <si>
    <t>2023-11-08T00:26:41Z</t>
  </si>
  <si>
    <t>2023-11-12T01:59:50Z</t>
  </si>
  <si>
    <t>2023-11-09T16:36:02Z</t>
  </si>
  <si>
    <t>2023-11-09T00:23:40Z</t>
  </si>
  <si>
    <t>2023-11-07T19:37:27Z</t>
  </si>
  <si>
    <t>2023-11-09T14:04:27Z</t>
  </si>
  <si>
    <t>2023-11-09T21:02:01Z</t>
  </si>
  <si>
    <t>2023-11-06T22:17:14Z</t>
  </si>
  <si>
    <t>2022-07-14T20:45:21Z</t>
  </si>
  <si>
    <t>2023-11-09T15:40:07Z</t>
  </si>
  <si>
    <t>2023-11-09T15:42:38Z</t>
  </si>
  <si>
    <t>2023-11-06T20:01:08Z</t>
  </si>
  <si>
    <t>2023-11-06T20:03:07Z</t>
  </si>
  <si>
    <t>2023-11-06T19:34:11Z</t>
  </si>
  <si>
    <t>2023-11-10T15:38:03Z</t>
  </si>
  <si>
    <t>2023-11-10T15:34:28Z</t>
  </si>
  <si>
    <t>2023-11-10T12:15:46Z</t>
  </si>
  <si>
    <t>2023-11-07T18:21:41Z</t>
  </si>
  <si>
    <t>2023-11-09T17:09:21Z</t>
  </si>
  <si>
    <t>2023-11-07T22:28:49Z</t>
  </si>
  <si>
    <t>Device Shock Impedance High Out Of Range (5191:2318), Device Damaged/Defective (5191:1163)</t>
  </si>
  <si>
    <t>Electrode End Damaged/Defective (5223:1163), Device Dislodged Or Dislocated (5191:1414)</t>
  </si>
  <si>
    <t>Device Noisy Signals (5191:2124), Insulation Damaged/Defective (5331:1163)</t>
  </si>
  <si>
    <t>Latitude Remote Hardware</t>
  </si>
  <si>
    <t>Brazil</t>
  </si>
  <si>
    <t>Norway</t>
  </si>
  <si>
    <t>San Marino</t>
  </si>
  <si>
    <t>Device Device Displays Error Message (5191:1224), Device Shock Impedance High Out Of Range (5191:2318)</t>
  </si>
  <si>
    <t>Device Oversensing (5191:2168), Device Device Displays Error Message (5191:1224), Device Brady Pacing Not Delivered When Required (5191:1046)</t>
  </si>
  <si>
    <t>Device Inappropriate Shock (5191:1698), Device Low Amplitude Or Poor Morphology (5191:1807), Device Oversensing (5191:2168)</t>
  </si>
  <si>
    <t>Device Dislodged Or Dislocated (5191:1414), Device Impedance Issue (5191:1683)</t>
  </si>
  <si>
    <t>Device Interpretation Of Device Behavior Indicates Performance Anomaly (5191:1745)</t>
  </si>
  <si>
    <t>BP Cuff Damaged/Defective (5064:1163)</t>
  </si>
  <si>
    <t>Device Oversensing (5191:2168), Device Noisy Signals (5191:2124), Device Inappropriate Shock (5191:1698), Device Low Amplitude Or Poor Morphology (5191:1807)</t>
  </si>
  <si>
    <t>Device Low Amplitude Or Poor Morphology (5191:1807), Device Oversensing (5191:2168)</t>
  </si>
  <si>
    <t>Device Low Amplitude Or Poor Morphology (5191:1807)</t>
  </si>
  <si>
    <t>Device Oversensing (5191:2168), Device Low Amplitude Or Poor Morphology (5191:1807), Device Noisy Signals (5191:2124)</t>
  </si>
  <si>
    <t>Twiddlers Syndrome (9283), Electric Shock (9087)</t>
  </si>
  <si>
    <t>No Clinical Signs, Symptoms or Conditions (9398), Electric Shock (9087)</t>
  </si>
  <si>
    <t>Pain (9205)</t>
  </si>
  <si>
    <t>Investigation in Progress - Age: 125 (Unassigned)</t>
  </si>
  <si>
    <t>Investigation in Progress - Age: 14 (Unassigned)</t>
  </si>
  <si>
    <t>Investigation in Progress - Age: 83 (Unassigned)</t>
  </si>
  <si>
    <t>Investigation in Progress - Age: 49 (Unassigned)</t>
  </si>
  <si>
    <t>Opened - Age: 4 (Randall Acosta Navarro)</t>
  </si>
  <si>
    <t>Jason</t>
  </si>
  <si>
    <t>Alex-Not Trained - PR</t>
  </si>
  <si>
    <t>2023-11-14T21:33:51Z</t>
  </si>
  <si>
    <t>Unknown or Lost</t>
  </si>
  <si>
    <t>Device Damaged/Defective (5191:1163)</t>
  </si>
  <si>
    <t>Device Message - Error Code 1003 (5191:2716), Device Premature Discharge Of Battery (5191:2233), Device Tone Pattern As Expected (5191:2409)</t>
  </si>
  <si>
    <t>Device Failure To Power-Up (5191:1555)</t>
  </si>
  <si>
    <t>Device Undersensing (5191:2434), Device Brady Pacing Delivered When Not Required (5191:1045)</t>
  </si>
  <si>
    <t>Device Inappropriate Shock (5191:1698), Device Therapy Delivery/Effectiveness Problem (5191:2405), Device Low Amplitude Or Poor Morphology (5191:1807), Device Oversensing (5191:2168)</t>
  </si>
  <si>
    <t>Device Data Issue (5191:1166), Device Device Displays Error Message (5191:1224)</t>
  </si>
  <si>
    <t>Device Low Amplitude Or Poor Morphology (5191:1807), Device Oversensing (5191:2168), Device Inappropriate Shock (5191:1698), Device Noisy Signals (5191:2124)</t>
  </si>
  <si>
    <t>Device Shock Impedance High Out Of Range (5191:2318), Device Dislodged Or Dislocated (5191:1414)</t>
  </si>
  <si>
    <t>Device Connection Issue (5191:1133), Device Hardware Issue (5191:1662)</t>
  </si>
  <si>
    <t>Device MV Rate Response Not As Expected (5191:2711)</t>
  </si>
  <si>
    <t>Device Difficulty Converting Rhythm (Induced) (5191:2871), Device Therapy Delivery/Effectiveness Problem (5191:2405)</t>
  </si>
  <si>
    <t>Device Delayed Charge Time (5191:1176), Device Shock Impedance Low (5191:2320), Device Sense B Artifact Noise (5191:2873), Device Inappropriate Shock (5191:1698)</t>
  </si>
  <si>
    <t>Device Undersensing (5191:2434), Device Low Amplitude Or Poor Morphology (5191:1807)</t>
  </si>
  <si>
    <t>Device Non Specific Product Performance Allegation (5191:2867), Device Shock Impedance High Within Normal Limits (5191:2319), Device Difficulty Converting Rhythm (Induced) (5191:2871)</t>
  </si>
  <si>
    <t>Device MV/RRT Noise Or Oversensing (5191:2712)</t>
  </si>
  <si>
    <t>Unretrieved Device Fragments (UDF) (9289)</t>
  </si>
  <si>
    <t>Seizure (9249)</t>
  </si>
  <si>
    <t>Investigation in Progress - Age: 63 (Unassigned)</t>
  </si>
  <si>
    <t>Investigation in Progress - Age: 90 (Unassigned)</t>
  </si>
  <si>
    <t>David</t>
  </si>
  <si>
    <t>2023-11-21T16:03:42Z</t>
  </si>
  <si>
    <t>2023-11-14T22:23:46Z</t>
  </si>
  <si>
    <t>2023-11-14T21:49:15Z</t>
  </si>
  <si>
    <t>2023-11-14T15:29:57Z</t>
  </si>
  <si>
    <t>2023-11-14T22:57:49Z</t>
  </si>
  <si>
    <t>2023-11-14T21:57:35Z</t>
  </si>
  <si>
    <t>2023-11-16T20:17:03Z</t>
  </si>
  <si>
    <t>2021-11-04T19:13:08Z</t>
  </si>
  <si>
    <t>2023-11-20T16:26:33Z</t>
  </si>
  <si>
    <t>2023-11-17T20:05:22Z</t>
  </si>
  <si>
    <t>2021-07-07T22:55:20Z</t>
  </si>
  <si>
    <t>2023-11-20T15:04:09Z</t>
  </si>
  <si>
    <t>2023-11-20T15:13:34Z</t>
  </si>
  <si>
    <t>2023-11-20T22:38:27Z</t>
  </si>
  <si>
    <t>2023-11-22T14:53:54Z</t>
  </si>
  <si>
    <t>2023-11-27T14:31:16Z</t>
  </si>
  <si>
    <t>2023-11-14T16:51:13Z</t>
  </si>
  <si>
    <t>2023-11-17T15:04:46Z</t>
  </si>
  <si>
    <t>2023-11-17T14:51:56Z</t>
  </si>
  <si>
    <t>2023-11-22T16:54:37Z</t>
  </si>
  <si>
    <t>2023-11-22T17:00:30Z</t>
  </si>
  <si>
    <t>2023-11-23T20:52:22Z</t>
  </si>
  <si>
    <t>2023-11-13T19:22:56Z</t>
  </si>
  <si>
    <t>2023-11-22T23:39:45Z</t>
  </si>
  <si>
    <t>2023-11-22T14:42:54Z</t>
  </si>
  <si>
    <t>2023-11-15T21:17:24Z</t>
  </si>
  <si>
    <t>2023-11-13T22:38:14Z</t>
  </si>
  <si>
    <t>2023-11-19T20:03:40Z</t>
  </si>
  <si>
    <t>2023-05-10T10:49:19Z</t>
  </si>
  <si>
    <t>2023-11-22T21:41:04Z</t>
  </si>
  <si>
    <t>2023-11-22T23:18:38Z</t>
  </si>
  <si>
    <t>2023-11-27T14:14:21Z</t>
  </si>
  <si>
    <t>2023-11-21T15:47:16Z</t>
  </si>
  <si>
    <t>2023-11-21T15:51:31Z</t>
  </si>
  <si>
    <t>2023-11-16T18:48:30Z</t>
  </si>
  <si>
    <t>2023-11-16T17:14:12Z</t>
  </si>
  <si>
    <t>2023-11-21T13:51:50Z</t>
  </si>
  <si>
    <t>2023-11-27T15:55:58Z</t>
  </si>
  <si>
    <t>2023-11-13T17:57:25Z</t>
  </si>
  <si>
    <t>2023-11-13T17:16:57Z</t>
  </si>
  <si>
    <t>2023-11-13T17:18:56Z</t>
  </si>
  <si>
    <t>2023-11-16T01:05:18Z</t>
  </si>
  <si>
    <t>2023-11-21T19:57:37Z</t>
  </si>
  <si>
    <t>2023-11-21T05:59:51Z</t>
  </si>
  <si>
    <t>2023-05-20T08:13:15Z</t>
  </si>
  <si>
    <t>2023-11-16T19:14:39Z</t>
  </si>
  <si>
    <t>2023-11-16T18:06:03Z</t>
  </si>
  <si>
    <t>2023-06-21T09:00:01Z</t>
  </si>
  <si>
    <t>2023-11-13T19:37:20Z</t>
  </si>
  <si>
    <t>2023-11-14T21:52:24Z</t>
  </si>
  <si>
    <t>2023-11-14T21:48:01Z</t>
  </si>
  <si>
    <t>2023-11-15T21:37:17Z</t>
  </si>
  <si>
    <t>2023-11-20T15:22:45Z</t>
  </si>
  <si>
    <t>2023-11-20T12:17:09Z</t>
  </si>
  <si>
    <t>2023-11-20T16:20:54Z</t>
  </si>
  <si>
    <t>2023-11-22T22:28:42Z</t>
  </si>
  <si>
    <t>2023-07-07T06:32:45Z</t>
  </si>
  <si>
    <t>2023-11-17T21:52:57Z</t>
  </si>
  <si>
    <t>2023-11-22T20:32:37Z</t>
  </si>
  <si>
    <t>2023-07-21T21:56:33Z</t>
  </si>
  <si>
    <t>2023-11-14T08:40:28Z</t>
  </si>
  <si>
    <t>2023-11-27T14:47:06Z</t>
  </si>
  <si>
    <t>2023-11-27T14:53:54Z</t>
  </si>
  <si>
    <t>2023-07-13T15:10:10Z</t>
  </si>
  <si>
    <t>2023-11-21T04:16:01Z</t>
  </si>
  <si>
    <t>2023-11-21T19:23:24Z</t>
  </si>
  <si>
    <t>2023-08-21T16:13:40Z</t>
  </si>
  <si>
    <t>2023-11-24T15:47:35Z</t>
  </si>
  <si>
    <t>2023-07-26T19:41:17Z</t>
  </si>
  <si>
    <t>2023-11-23T16:08:34Z</t>
  </si>
  <si>
    <t>2023-11-15T21:52:41Z</t>
  </si>
  <si>
    <t>2023-11-26T23:18:21Z</t>
  </si>
  <si>
    <t>2023-08-07T19:11:58Z</t>
  </si>
  <si>
    <t>2023-11-13T19:16:37Z</t>
  </si>
  <si>
    <t>2023-11-15T22:04:39Z</t>
  </si>
  <si>
    <t>2023-11-17T22:15:33Z</t>
  </si>
  <si>
    <t>2023-11-26T18:23:04Z</t>
  </si>
  <si>
    <t>2023-11-15T00:58:49Z</t>
  </si>
  <si>
    <t>2023-11-15T00:51:51Z</t>
  </si>
  <si>
    <t>2023-08-22T14:07:20Z</t>
  </si>
  <si>
    <t>2023-11-15T04:13:42Z</t>
  </si>
  <si>
    <t>2023-11-21T12:55:02Z</t>
  </si>
  <si>
    <t>2023-11-22T21:16:20Z</t>
  </si>
  <si>
    <t>2023-11-21T06:50:53Z</t>
  </si>
  <si>
    <t>2023-11-14T22:09:32Z</t>
  </si>
  <si>
    <t>2023-11-23T15:40:36Z</t>
  </si>
  <si>
    <t>2023-09-15T04:04:44Z</t>
  </si>
  <si>
    <t>2023-11-06T14:18:30Z</t>
  </si>
  <si>
    <t>2023-11-22T12:55:02Z</t>
  </si>
  <si>
    <t>2023-09-06T23:42:44Z</t>
  </si>
  <si>
    <t>2023-11-24T14:19:40Z</t>
  </si>
  <si>
    <t>2023-09-07T01:57:48Z</t>
  </si>
  <si>
    <t>2023-11-21T06:19:19Z</t>
  </si>
  <si>
    <t>2023-09-25T19:04:23Z</t>
  </si>
  <si>
    <t>2023-11-21T19:44:49Z</t>
  </si>
  <si>
    <t>2023-09-15T11:32:07Z</t>
  </si>
  <si>
    <t>2023-11-22T21:09:46Z</t>
  </si>
  <si>
    <t>2023-09-13T18:18:02Z</t>
  </si>
  <si>
    <t>2023-11-23T19:35:42Z</t>
  </si>
  <si>
    <t>2023-09-13T17:39:26Z</t>
  </si>
  <si>
    <t>2023-09-13T17:07:17Z</t>
  </si>
  <si>
    <t>2023-11-23T16:23:38Z</t>
  </si>
  <si>
    <t>2023-09-21T21:03:48Z</t>
  </si>
  <si>
    <t>2023-11-23T14:16:46Z</t>
  </si>
  <si>
    <t>2023-11-21T14:29:37Z</t>
  </si>
  <si>
    <t>2023-11-23T01:14:52Z</t>
  </si>
  <si>
    <t>2023-09-25T16:55:29Z</t>
  </si>
  <si>
    <t>2023-11-21T17:08:37Z</t>
  </si>
  <si>
    <t>2023-11-21T17:04:53Z</t>
  </si>
  <si>
    <t>2023-11-22T18:01:40Z</t>
  </si>
  <si>
    <t>2023-09-25T17:04:04Z</t>
  </si>
  <si>
    <t>2023-11-14T00:55:44Z</t>
  </si>
  <si>
    <t>2023-09-28T17:22:11Z</t>
  </si>
  <si>
    <t>2023-11-22T23:29:24Z</t>
  </si>
  <si>
    <t>2023-10-16T05:44:04Z</t>
  </si>
  <si>
    <t>2023-11-21T12:30:02Z</t>
  </si>
  <si>
    <t>2023-11-22T20:12:56Z</t>
  </si>
  <si>
    <t>2023-09-28T17:57:00Z</t>
  </si>
  <si>
    <t>2023-11-14T22:19:17Z</t>
  </si>
  <si>
    <t>2023-10-27T14:08:23Z</t>
  </si>
  <si>
    <t>2023-11-16T14:57:35Z</t>
  </si>
  <si>
    <t>2023-11-15T20:48:54Z</t>
  </si>
  <si>
    <t>2023-11-22T20:28:24Z</t>
  </si>
  <si>
    <t>2023-09-28T18:49:29Z</t>
  </si>
  <si>
    <t>2023-11-27T00:26:45Z</t>
  </si>
  <si>
    <t>2023-10-12T14:43:39Z</t>
  </si>
  <si>
    <t>2023-11-14T01:02:22Z</t>
  </si>
  <si>
    <t>2023-09-27T14:52:59Z</t>
  </si>
  <si>
    <t>2023-11-20T22:14:19Z</t>
  </si>
  <si>
    <t>2023-09-28T19:23:54Z</t>
  </si>
  <si>
    <t>2023-11-13T21:50:38Z</t>
  </si>
  <si>
    <t>2023-10-18T14:03:41Z</t>
  </si>
  <si>
    <t>2023-11-15T00:13:31Z</t>
  </si>
  <si>
    <t>2023-11-22T13:27:59Z</t>
  </si>
  <si>
    <t>2023-10-24T00:15:47Z</t>
  </si>
  <si>
    <t>2023-11-23T16:01:48Z</t>
  </si>
  <si>
    <t>2023-10-10T23:16:54Z</t>
  </si>
  <si>
    <t>2023-11-15T12:30:45Z</t>
  </si>
  <si>
    <t>2023-10-11T07:03:25Z</t>
  </si>
  <si>
    <t>2023-11-22T14:51:49Z</t>
  </si>
  <si>
    <t>2023-11-25T13:58:59Z</t>
  </si>
  <si>
    <t>2023-11-23T16:30:21Z</t>
  </si>
  <si>
    <t>2023-10-25T10:26:22Z</t>
  </si>
  <si>
    <t>2023-11-24T13:41:01Z</t>
  </si>
  <si>
    <t>2023-10-12T15:41:27Z</t>
  </si>
  <si>
    <t>2023-11-27T03:07:53Z</t>
  </si>
  <si>
    <t>2023-10-16T17:03:27Z</t>
  </si>
  <si>
    <t>2023-11-21T17:45:57Z</t>
  </si>
  <si>
    <t>2023-11-15T00:05:24Z</t>
  </si>
  <si>
    <t>2023-11-24T14:51:57Z</t>
  </si>
  <si>
    <t>2023-11-20T18:13:15Z</t>
  </si>
  <si>
    <t>2023-11-13T20:26:00Z</t>
  </si>
  <si>
    <t>2023-10-16T15:51:18Z</t>
  </si>
  <si>
    <t>2023-11-24T14:05:03Z</t>
  </si>
  <si>
    <t>2023-11-23T16:07:37Z</t>
  </si>
  <si>
    <t>2023-11-17T22:47:51Z</t>
  </si>
  <si>
    <t>2023-11-22T15:48:05Z</t>
  </si>
  <si>
    <t>2023-10-20T09:20:44Z</t>
  </si>
  <si>
    <t>2023-11-22T18:23:37Z</t>
  </si>
  <si>
    <t>2023-11-20T23:52:34Z</t>
  </si>
  <si>
    <t>2023-11-16T01:01:21Z</t>
  </si>
  <si>
    <t>2023-11-14T15:12:52Z</t>
  </si>
  <si>
    <t>2023-11-16T22:19:09Z</t>
  </si>
  <si>
    <t>2023-11-23T13:48:55Z</t>
  </si>
  <si>
    <t>2023-10-26T23:42:00Z</t>
  </si>
  <si>
    <t>2023-11-22T17:03:06Z</t>
  </si>
  <si>
    <t>2023-11-22T17:03:07Z</t>
  </si>
  <si>
    <t>2023-10-27T05:24:08Z</t>
  </si>
  <si>
    <t>2023-11-20T23:42:39Z</t>
  </si>
  <si>
    <t>2023-11-14T04:46:39Z</t>
  </si>
  <si>
    <t>2023-11-07T01:56:39Z</t>
  </si>
  <si>
    <t>2023-11-20T16:37:36Z</t>
  </si>
  <si>
    <t>2023-11-22T15:25:38Z</t>
  </si>
  <si>
    <t>2023-11-07T05:47:46Z</t>
  </si>
  <si>
    <t>2023-11-17T13:53:06Z</t>
  </si>
  <si>
    <t>2023-11-20T22:36:07Z</t>
  </si>
  <si>
    <t>2023-11-22T14:13:34Z</t>
  </si>
  <si>
    <t>2023-11-23T14:00:31Z</t>
  </si>
  <si>
    <t>2023-11-20T18:59:13Z</t>
  </si>
  <si>
    <t>2023-11-22T19:47:24Z</t>
  </si>
  <si>
    <t>2023-11-07T05:25:41Z</t>
  </si>
  <si>
    <t>2023-11-21T02:09:07Z</t>
  </si>
  <si>
    <t>2023-11-27T04:49:30Z</t>
  </si>
  <si>
    <t>2023-11-13T23:19:41Z</t>
  </si>
  <si>
    <t>2023-11-13T16:10:03Z</t>
  </si>
  <si>
    <t>2023-11-13T15:54:09Z</t>
  </si>
  <si>
    <t>2023-11-13T16:10:04Z</t>
  </si>
  <si>
    <t>2023-11-24T14:38:00Z</t>
  </si>
  <si>
    <t>2023-11-23T18:24:43Z</t>
  </si>
  <si>
    <t>2023-11-15T22:22:37Z</t>
  </si>
  <si>
    <t>2023-11-24T17:46:17Z</t>
  </si>
  <si>
    <t>2023-11-16T06:24:30Z</t>
  </si>
  <si>
    <t>2023-11-18T18:15:04Z</t>
  </si>
  <si>
    <t>2023-11-21T15:01:19Z</t>
  </si>
  <si>
    <t>2023-11-18T19:28:29Z</t>
  </si>
  <si>
    <t>2023-11-15T23:27:12Z</t>
  </si>
  <si>
    <t>2023-11-20T18:47:50Z</t>
  </si>
  <si>
    <t>2023-11-22T17:36:16Z</t>
  </si>
  <si>
    <t>2023-11-14T16:26:44Z</t>
  </si>
  <si>
    <t>2023-11-20T17:38:22Z</t>
  </si>
  <si>
    <t>2023-11-15T16:01:33Z</t>
  </si>
  <si>
    <t>2023-11-22T22:39:46Z</t>
  </si>
  <si>
    <t>2023-11-13T19:07:49Z</t>
  </si>
  <si>
    <t>2023-11-26T22:51:29Z</t>
  </si>
  <si>
    <t>2023-11-23T02:03:29Z</t>
  </si>
  <si>
    <t>2023-11-26T19:08:28Z</t>
  </si>
  <si>
    <t>2023-11-21T21:08:18Z</t>
  </si>
  <si>
    <t>2023-11-22T16:48:41Z</t>
  </si>
  <si>
    <t>2023-11-22T13:17:45Z</t>
  </si>
  <si>
    <t>2023-11-24T23:35:59Z</t>
  </si>
  <si>
    <t>2023-11-14T17:00:48Z</t>
  </si>
  <si>
    <t>2023-11-17T15:29:14Z</t>
  </si>
  <si>
    <t>2023-11-23T01:46:28Z</t>
  </si>
  <si>
    <t>2023-11-14T15:39:01Z</t>
  </si>
  <si>
    <t>2023-11-21T14:47:41Z</t>
  </si>
  <si>
    <t>2023-11-16T00:27:49Z</t>
  </si>
  <si>
    <t>2023-11-23T15:20:47Z</t>
  </si>
  <si>
    <t>2023-11-23T01:54:59Z</t>
  </si>
  <si>
    <t>2023-11-17T15:30:36Z</t>
  </si>
  <si>
    <t>2023-11-17T15:32:58Z</t>
  </si>
  <si>
    <t>2023-11-23T05:47:09Z</t>
  </si>
  <si>
    <t>2023-11-14T21:38:57Z</t>
  </si>
  <si>
    <t>2023-11-21T04:07:50Z</t>
  </si>
  <si>
    <t>2023-11-22T12:24:04Z</t>
  </si>
  <si>
    <t>2023-11-15T00:34:24Z</t>
  </si>
  <si>
    <t>2023-11-22T12:19:25Z</t>
  </si>
  <si>
    <t>2023-11-18T20:50:21Z</t>
  </si>
  <si>
    <t>2023-11-15T14:00:29Z</t>
  </si>
  <si>
    <t>2023-11-22T11:12:39Z</t>
  </si>
  <si>
    <t>2023-11-17T15:17:23Z</t>
  </si>
  <si>
    <t>2023-11-17T15:17:55Z</t>
  </si>
  <si>
    <t>2023-11-16T20:16:52Z</t>
  </si>
  <si>
    <t>2023-11-16T20:27:57Z</t>
  </si>
  <si>
    <t>2023-11-17T15:25:04Z</t>
  </si>
  <si>
    <t>2023-11-23T06:27:05Z</t>
  </si>
  <si>
    <t>2023-11-17T15:53:22Z</t>
  </si>
  <si>
    <t>2023-11-17T15:52:22Z</t>
  </si>
  <si>
    <t>2023-11-23T07:06:44Z</t>
  </si>
  <si>
    <t>2023-11-22T14:36:36Z</t>
  </si>
  <si>
    <t>CIS_FLAG_DATE</t>
  </si>
  <si>
    <t>2023-11-21T21:21:10Z</t>
  </si>
  <si>
    <t>2023-10-18T21:41:52Z</t>
  </si>
  <si>
    <t>2023-10-06T07:27:36Z</t>
  </si>
  <si>
    <t>2023-10-31T21:04:18Z</t>
  </si>
  <si>
    <t>2023-08-21T16:13:47Z</t>
  </si>
  <si>
    <t>2023-11-08T07:21:57Z</t>
  </si>
  <si>
    <t>2023-11-15T07:09:27Z</t>
  </si>
  <si>
    <t>2023-11-07T21:21:49Z</t>
  </si>
  <si>
    <t>2023-10-11T16:11:50Z</t>
  </si>
  <si>
    <t>2023-11-15T07:12:52Z</t>
  </si>
  <si>
    <t>2023-10-31T21:03:57Z</t>
  </si>
  <si>
    <t>2023-11-01T21:12:24Z</t>
  </si>
  <si>
    <t>2023-10-16T21:41:06Z</t>
  </si>
  <si>
    <t>2023-11-15T07:26:42Z</t>
  </si>
  <si>
    <t>2023-11-09T21:37:23Z</t>
  </si>
  <si>
    <t>2023-10-30T16:08:29Z</t>
  </si>
  <si>
    <t>2023-11-14T16:24:45Z</t>
  </si>
  <si>
    <t>2023-10-30T16:37:44Z</t>
  </si>
  <si>
    <t>2023-11-15T07:14:58Z</t>
  </si>
  <si>
    <t>2023-10-25T16:32:31Z</t>
  </si>
  <si>
    <t>2023-11-07T21:28:09Z</t>
  </si>
  <si>
    <t>2023-11-02T16:23:38Z</t>
  </si>
  <si>
    <t>2023-11-15T07:22:53Z</t>
  </si>
  <si>
    <t>2023-10-31T21:15:12Z</t>
  </si>
  <si>
    <t>2023-11-16T21:06:45Z</t>
  </si>
  <si>
    <t>2023-11-10T16:12:21Z</t>
  </si>
  <si>
    <t>2023-11-20T21:05:21Z</t>
  </si>
  <si>
    <t>2023-10-04T21:26:58Z</t>
  </si>
  <si>
    <t>2023-09-15T21:02:10Z</t>
  </si>
  <si>
    <t>2023-11-17T21:31:55Z</t>
  </si>
  <si>
    <t>2023-11-20T16:10:40Z</t>
  </si>
  <si>
    <t>2023-10-31T21:01:39Z</t>
  </si>
  <si>
    <t>2023-10-24T07:26:50Z</t>
  </si>
  <si>
    <t>2023-11-21T07:31:19Z</t>
  </si>
  <si>
    <t>2023-11-22T16:12:05Z</t>
  </si>
  <si>
    <t>2023-11-21T16:29:13Z</t>
  </si>
  <si>
    <t>2023-11-14T21:07:08Z</t>
  </si>
  <si>
    <t>2023-11-17T16:09:36Z</t>
  </si>
  <si>
    <t>2023-11-10T21:13:33Z</t>
  </si>
  <si>
    <t>2023-11-02T07:51:31Z</t>
  </si>
  <si>
    <t>2023-11-01T16:30:25Z</t>
  </si>
  <si>
    <t>2023-08-10T21:17:04Z</t>
  </si>
  <si>
    <t>2023-11-06T21:13:59Z</t>
  </si>
  <si>
    <t>2023-11-09T16:04:00Z</t>
  </si>
  <si>
    <t>2023-11-23T21:15:00Z</t>
  </si>
  <si>
    <t>2023-10-10T21:14:53Z</t>
  </si>
  <si>
    <t>2023-09-14T16:18:00Z</t>
  </si>
  <si>
    <t>2023-11-13T21:38:37Z</t>
  </si>
  <si>
    <t>2023-11-07T07:25:49Z</t>
  </si>
  <si>
    <t>2023-09-06T07:26:55Z</t>
  </si>
  <si>
    <t>2023-11-10T07:46:32Z</t>
  </si>
  <si>
    <t>2023-11-22T16:10:52Z</t>
  </si>
  <si>
    <t>2023-11-15T07:28:36Z</t>
  </si>
  <si>
    <t>2023-11-16T07:26:12Z</t>
  </si>
  <si>
    <t>2023-11-19T21:06:26Z</t>
  </si>
  <si>
    <t>2023-11-22T21:02:44Z</t>
  </si>
  <si>
    <t>2023-11-23T07:35:11Z</t>
  </si>
  <si>
    <t>2023-08-22T07:06:33Z</t>
  </si>
  <si>
    <t>2023-08-01T07:26:45Z</t>
  </si>
  <si>
    <t>2023-11-06T16:02:36Z</t>
  </si>
  <si>
    <t>2023-11-27T16:28:34Z</t>
  </si>
  <si>
    <t>2023-11-21T16:09:46Z</t>
  </si>
  <si>
    <t>2023-11-09T16:07:19Z</t>
  </si>
  <si>
    <t>2023-10-10T16:51:47Z</t>
  </si>
  <si>
    <t>2023-11-16T21:28:24Z</t>
  </si>
  <si>
    <t>2023-10-24T07:31:31Z</t>
  </si>
  <si>
    <t>2023-11-07T21:35:44Z</t>
  </si>
  <si>
    <t>2023-10-11T16:39:06Z</t>
  </si>
  <si>
    <t>2023-10-26T07:39:39Z</t>
  </si>
  <si>
    <t>2023-11-21T16:17:36Z</t>
  </si>
  <si>
    <t>2023-10-26T07:24:49Z</t>
  </si>
  <si>
    <t>2023-11-27T16:20:27Z</t>
  </si>
  <si>
    <t>2023-09-28T07:37:25Z</t>
  </si>
  <si>
    <t>2023-11-09T07:38:27Z</t>
  </si>
  <si>
    <t>2023-09-21T07:31:21Z</t>
  </si>
  <si>
    <t>2023-09-26T22:23:45Z</t>
  </si>
  <si>
    <t>2023-11-09T21:05:48Z</t>
  </si>
  <si>
    <t>2023-11-13T21:03:13Z</t>
  </si>
  <si>
    <t>2023-10-19T21:09:37Z</t>
  </si>
  <si>
    <t>2023-09-28T16:12:05Z</t>
  </si>
  <si>
    <t>2023-05-11T21:27:29Z</t>
  </si>
  <si>
    <t>2023-11-03T21:01:13Z</t>
  </si>
  <si>
    <t>2023-11-08T21:32:42Z</t>
  </si>
  <si>
    <t>2023-11-21T21:06:06Z</t>
  </si>
  <si>
    <t>2023-11-02T21:31:07Z</t>
  </si>
  <si>
    <t>2023-10-25T16:07:20Z</t>
  </si>
  <si>
    <t>2023-10-20T21:18:04Z</t>
  </si>
  <si>
    <t>2023-11-21T08:17:34Z</t>
  </si>
  <si>
    <t>2023-11-16T21:17:08Z</t>
  </si>
  <si>
    <t>2023-10-20T16:46:33Z</t>
  </si>
  <si>
    <t>2023-11-16T21:33:20Z</t>
  </si>
  <si>
    <t>2023-08-18T07:40:29Z</t>
  </si>
  <si>
    <t>2023-08-02T16:36:30Z</t>
  </si>
  <si>
    <t>2023-11-13T21:29:03Z</t>
  </si>
  <si>
    <t>2023-11-12T07:26:47Z</t>
  </si>
  <si>
    <t>2023-10-19T07:31:11Z</t>
  </si>
  <si>
    <t>2023-10-27T21:27:35Z</t>
  </si>
  <si>
    <t>2023-10-23T21:09:51Z</t>
  </si>
  <si>
    <t>2023-11-16T07:31:52Z</t>
  </si>
  <si>
    <t>2023-11-20T16:18:45Z</t>
  </si>
  <si>
    <t>2023-10-26T16:09:47Z</t>
  </si>
  <si>
    <t>2023-11-20T16:36:47Z</t>
  </si>
  <si>
    <t>2023-07-03T21:14:48Z</t>
  </si>
  <si>
    <t>2023-11-21T08:08:12Z</t>
  </si>
  <si>
    <t>2023-07-25T16:42:44Z</t>
  </si>
  <si>
    <t>2023-09-29T07:10:02Z</t>
  </si>
  <si>
    <t>2023-11-23T07:31:09Z</t>
  </si>
  <si>
    <t>2023-10-30T21:36:48Z</t>
  </si>
  <si>
    <t>2023-11-18T07:29:58Z</t>
  </si>
  <si>
    <t>2023-11-22T21:30:55Z</t>
  </si>
  <si>
    <t>2023-11-03T21:30:27Z</t>
  </si>
  <si>
    <t>2023-11-27T16:38:14Z</t>
  </si>
  <si>
    <t>2023-08-03T07:39:13Z</t>
  </si>
  <si>
    <t>2023-09-10T07:35:10Z</t>
  </si>
  <si>
    <t>2023-11-21T07:29:01Z</t>
  </si>
  <si>
    <t>2023-11-03T16:09:45Z</t>
  </si>
  <si>
    <t>2023-08-24T16:33:23Z</t>
  </si>
  <si>
    <t>2023-10-19T21:25:43Z</t>
  </si>
  <si>
    <t>2023-10-24T21:31:55Z</t>
  </si>
  <si>
    <t>2023-11-21T21:01:51Z</t>
  </si>
  <si>
    <t>2023-07-19T16:20:06Z</t>
  </si>
  <si>
    <t>2023-08-22T07:32:24Z</t>
  </si>
  <si>
    <t>2023-08-16T21:18:24Z</t>
  </si>
  <si>
    <t>2023-11-24T16:18:54Z</t>
  </si>
  <si>
    <t>2023-10-04T16:01:58Z</t>
  </si>
  <si>
    <t>2023-11-09T21:33:01Z</t>
  </si>
  <si>
    <t>2023-08-22T16:29:46Z</t>
  </si>
  <si>
    <t>2023-08-23T21:27:42Z</t>
  </si>
  <si>
    <t>2023-09-18T16:08:01Z</t>
  </si>
  <si>
    <t>2023-11-23T21:21:24Z</t>
  </si>
  <si>
    <t>2023-10-20T07:27:54Z</t>
  </si>
  <si>
    <t>2023-08-01T16:26:59Z</t>
  </si>
  <si>
    <t>2023-10-20T21:02:33Z</t>
  </si>
  <si>
    <t>2023-09-27T16:03:13Z</t>
  </si>
  <si>
    <t>2023-08-28T16:36:21Z</t>
  </si>
  <si>
    <t>2023-11-16T07:23:40Z</t>
  </si>
  <si>
    <t>2023-11-27T07:29:19Z</t>
  </si>
  <si>
    <t>2023-09-12T21:25:10Z</t>
  </si>
  <si>
    <t>2023-08-23T16:33:55Z</t>
  </si>
  <si>
    <t>2023-08-18T07:32:51Z</t>
  </si>
  <si>
    <t>2023-11-13T21:38:14Z</t>
  </si>
  <si>
    <t>2023-09-08T16:28:21Z</t>
  </si>
  <si>
    <t>2023-11-03T07:32:19Z</t>
  </si>
  <si>
    <t>2023-11-16T07:42:33Z</t>
  </si>
  <si>
    <t>2023-09-22T21:23:30Z</t>
  </si>
  <si>
    <t>2023-08-08T21:27:32Z</t>
  </si>
  <si>
    <t>2023-11-18T07:26:38Z</t>
  </si>
  <si>
    <t>2023-09-03T07:20:49Z</t>
  </si>
  <si>
    <t>2023-11-26T21:01:04Z</t>
  </si>
  <si>
    <t>2023-08-11T21:14:03Z</t>
  </si>
  <si>
    <t>2023-11-15T07:09:49Z</t>
  </si>
  <si>
    <t>2023-09-29T07:08:41Z</t>
  </si>
  <si>
    <t>2023-11-08T16:10:49Z</t>
  </si>
  <si>
    <t>2023-11-15T07:13:30Z</t>
  </si>
  <si>
    <t>2023-11-02T21:05:50Z</t>
  </si>
  <si>
    <t>2023-11-03T21:16:33Z</t>
  </si>
  <si>
    <t>2023-10-09T21:38:34Z</t>
  </si>
  <si>
    <t>2023-11-21T16:12:57Z</t>
  </si>
  <si>
    <t>2023-10-25T21:08:13Z</t>
  </si>
  <si>
    <t>2023-09-29T21:26:08Z</t>
  </si>
  <si>
    <t>2023-10-30T21:21:19Z</t>
  </si>
  <si>
    <t>2023-11-23T07:24:16Z</t>
  </si>
  <si>
    <t>2023-11-21T07:33:01Z</t>
  </si>
  <si>
    <t>2023-11-03T07:26:15Z</t>
  </si>
  <si>
    <t>2023-10-30T21:42:47Z</t>
  </si>
  <si>
    <t>2023-10-05T16:28:25Z</t>
  </si>
  <si>
    <t>2023-11-06T16:01:06Z</t>
  </si>
  <si>
    <t>2023-11-22T16:29:17Z</t>
  </si>
  <si>
    <t>2023-11-21T08:26:29Z</t>
  </si>
  <si>
    <t>2023-11-24T16:03:31Z</t>
  </si>
  <si>
    <t>2023-09-20T21:07:52Z</t>
  </si>
  <si>
    <t>2023-09-18T16:31:18Z</t>
  </si>
  <si>
    <t>2023-09-20T16:36:26Z</t>
  </si>
  <si>
    <t>2023-11-04T16:37:52Z</t>
  </si>
  <si>
    <t>2023-10-31T07:24:40Z</t>
  </si>
  <si>
    <t>2023-11-21T07:29:39Z</t>
  </si>
  <si>
    <t>2023-11-21T21:05:36Z</t>
  </si>
  <si>
    <t>2023-09-22T21:15:36Z</t>
  </si>
  <si>
    <t>2023-11-23T07:30:00Z</t>
  </si>
  <si>
    <t>2023-09-28T21:52:16Z</t>
  </si>
  <si>
    <t>2023-09-13T21:19:09Z</t>
  </si>
  <si>
    <t>2023-11-03T16:29:05Z</t>
  </si>
  <si>
    <t>2023-10-30T21:41:33Z</t>
  </si>
  <si>
    <t>2023-11-10T21:07:03Z</t>
  </si>
  <si>
    <t>2023-11-23T21:04:44Z</t>
  </si>
  <si>
    <t>2023-11-23T16:03:54Z</t>
  </si>
  <si>
    <t>2023-11-21T16:37:55Z</t>
  </si>
  <si>
    <t>2023-11-02T16:04:18Z</t>
  </si>
  <si>
    <t>2023-11-09T07:41:07Z</t>
  </si>
  <si>
    <t>2023-11-23T07:27:15Z</t>
  </si>
  <si>
    <t>2023-11-21T21:10:27Z</t>
  </si>
  <si>
    <t>2023-11-21T16:20:38Z</t>
  </si>
  <si>
    <t>2023-10-18T16:28:44Z</t>
  </si>
  <si>
    <t>2023-10-02T21:31:47Z</t>
  </si>
  <si>
    <t>2023-11-09T07:52:21Z</t>
  </si>
  <si>
    <t>2023-11-07T16:17:59Z</t>
  </si>
  <si>
    <t>2023-11-14T07:29:18Z</t>
  </si>
  <si>
    <t>2023-11-23T07:38:34Z</t>
  </si>
  <si>
    <t>2023-11-21T16:03:24Z</t>
  </si>
  <si>
    <t>2023-11-22T21:28:38Z</t>
  </si>
  <si>
    <t>2023-11-15T07:12:32Z</t>
  </si>
  <si>
    <t>2023-11-16T16:21:05Z</t>
  </si>
  <si>
    <t>2023-11-22T21:09:09Z</t>
  </si>
  <si>
    <t>2023-11-27T07:34:38Z</t>
  </si>
  <si>
    <t>2023-11-14T07:53:34Z</t>
  </si>
  <si>
    <t>2023-11-21T08:24:03Z</t>
  </si>
  <si>
    <t>2023-11-03T21:30:09Z</t>
  </si>
  <si>
    <t>2023-11-14T07:43:10Z</t>
  </si>
  <si>
    <t>2023-11-15T07:19:40Z</t>
  </si>
  <si>
    <t>2023-11-22T21:32:46Z</t>
  </si>
  <si>
    <t>2023-11-23T21:20:34Z</t>
  </si>
  <si>
    <t>2023-11-06T21:01:46Z</t>
  </si>
  <si>
    <t>2023-11-15T16:21:22Z</t>
  </si>
  <si>
    <t>2023-11-22T16:05:55Z</t>
  </si>
  <si>
    <t>2023-10-13T07:42:32Z</t>
  </si>
  <si>
    <t>2023-10-25T21:21:11Z</t>
  </si>
  <si>
    <t>2023-11-25T16:02:08Z</t>
  </si>
  <si>
    <t>2023-11-23T21:21:39Z</t>
  </si>
  <si>
    <t>2023-11-24T16:10:28Z</t>
  </si>
  <si>
    <t>2023-11-27T07:25:48Z</t>
  </si>
  <si>
    <t>2023-10-23T21:11:08Z</t>
  </si>
  <si>
    <t>2023-11-21T21:27:22Z</t>
  </si>
  <si>
    <t>2023-11-15T07:19:28Z</t>
  </si>
  <si>
    <t>2023-11-03T21:14:44Z</t>
  </si>
  <si>
    <t>2023-11-24T16:11:23Z</t>
  </si>
  <si>
    <t>2023-11-09T07:48:40Z</t>
  </si>
  <si>
    <t>2023-11-21T07:42:06Z</t>
  </si>
  <si>
    <t>2023-11-13T21:11:09Z</t>
  </si>
  <si>
    <t>2023-10-27T16:20:57Z</t>
  </si>
  <si>
    <t>2023-11-23T21:02:31Z</t>
  </si>
  <si>
    <t>2023-11-07T07:40:47Z</t>
  </si>
  <si>
    <t>2023-11-01T21:36:57Z</t>
  </si>
  <si>
    <t>2023-10-31T21:41:42Z</t>
  </si>
  <si>
    <t>2023-11-18T07:39:01Z</t>
  </si>
  <si>
    <t>2023-10-17T07:29:57Z</t>
  </si>
  <si>
    <t>2023-11-22T16:07:00Z</t>
  </si>
  <si>
    <t>2023-10-10T21:22:09Z</t>
  </si>
  <si>
    <t>2023-11-21T08:00:32Z</t>
  </si>
  <si>
    <t>2023-11-07T21:33:04Z</t>
  </si>
  <si>
    <t>2023-11-06T21:17:06Z</t>
  </si>
  <si>
    <t>2023-11-14T16:10:18Z</t>
  </si>
  <si>
    <t>2023-11-08T16:35:16Z</t>
  </si>
  <si>
    <t>2023-11-17T07:23:58Z</t>
  </si>
  <si>
    <t>2023-11-22T21:23:24Z</t>
  </si>
  <si>
    <t>2023-11-07T21:11:20Z</t>
  </si>
  <si>
    <t>2023-11-08T16:31:07Z</t>
  </si>
  <si>
    <t>2023-11-07T07:36:11Z</t>
  </si>
  <si>
    <t>2023-11-14T07:41:51Z</t>
  </si>
  <si>
    <t>2023-11-06T21:21:51Z</t>
  </si>
  <si>
    <t>2023-11-20T21:12:02Z</t>
  </si>
  <si>
    <t>2023-11-22T16:28:00Z</t>
  </si>
  <si>
    <t>2023-11-08T16:35:46Z</t>
  </si>
  <si>
    <t>2023-11-17T16:04:38Z</t>
  </si>
  <si>
    <t>2023-11-21T07:53:17Z</t>
  </si>
  <si>
    <t>2023-10-24T21:20:12Z</t>
  </si>
  <si>
    <t>2023-11-22T16:03:46Z</t>
  </si>
  <si>
    <t>2023-11-23T16:07:50Z</t>
  </si>
  <si>
    <t>2023-11-21T08:05:17Z</t>
  </si>
  <si>
    <t>2023-11-22T21:27:57Z</t>
  </si>
  <si>
    <t>2023-11-21T08:09:07Z</t>
  </si>
  <si>
    <t>2023-11-27T07:31:58Z</t>
  </si>
  <si>
    <t>2023-11-14T07:31:53Z</t>
  </si>
  <si>
    <t>2023-11-13T21:19:39Z</t>
  </si>
  <si>
    <t>2023-11-24T16:11:07Z</t>
  </si>
  <si>
    <t>2023-11-23T21:18:12Z</t>
  </si>
  <si>
    <t>2023-11-24T21:12:59Z</t>
  </si>
  <si>
    <t>2023-11-18T21:01:05Z</t>
  </si>
  <si>
    <t>2023-11-21T16:04:28Z</t>
  </si>
  <si>
    <t>2023-11-18T21:00:17Z</t>
  </si>
  <si>
    <t>2023-11-09T21:19:41Z</t>
  </si>
  <si>
    <t>2023-11-21T08:10:50Z</t>
  </si>
  <si>
    <t>2023-11-14T21:39:52Z</t>
  </si>
  <si>
    <t>2023-11-21T08:08:29Z</t>
  </si>
  <si>
    <t>2023-11-15T21:15:18Z</t>
  </si>
  <si>
    <t>2023-11-10T21:21:15Z</t>
  </si>
  <si>
    <t>2023-11-13T21:24:56Z</t>
  </si>
  <si>
    <t>2023-11-27T07:25:27Z</t>
  </si>
  <si>
    <t>2023-11-26T21:01:31Z</t>
  </si>
  <si>
    <t>2023-11-22T07:10:06Z</t>
  </si>
  <si>
    <t>2023-11-22T21:10:22Z</t>
  </si>
  <si>
    <t>2023-11-22T16:22:28Z</t>
  </si>
  <si>
    <t>2023-11-25T07:32:05Z</t>
  </si>
  <si>
    <t>2023-11-14T21:17:18Z</t>
  </si>
  <si>
    <t>2023-11-17T16:15:08Z</t>
  </si>
  <si>
    <t>2023-11-14T16:39:08Z</t>
  </si>
  <si>
    <t>2023-11-21T16:33:45Z</t>
  </si>
  <si>
    <t>2023-11-23T16:05:17Z</t>
  </si>
  <si>
    <t>2023-11-17T16:20:53Z</t>
  </si>
  <si>
    <t>2023-11-15T07:23:14Z</t>
  </si>
  <si>
    <t>2023-11-21T08:11:58Z</t>
  </si>
  <si>
    <t>2023-11-15T07:28:24Z</t>
  </si>
  <si>
    <t>2023-11-18T21:02:22Z</t>
  </si>
  <si>
    <t>2023-11-15T16:03:37Z</t>
  </si>
  <si>
    <t>2023-11-17T16:19:22Z</t>
  </si>
  <si>
    <t>2023-11-16T21:17:24Z</t>
  </si>
  <si>
    <t>2023-11-17T16:24:34Z</t>
  </si>
  <si>
    <t>2023-11-17T21:01:55Z</t>
  </si>
  <si>
    <t>2023-11-22T16:04:19Z</t>
  </si>
  <si>
    <t>Mexico</t>
  </si>
  <si>
    <t>Device Pacing Impedance High (5191:2171), Device High Capture Threshold (5191:1666), Device Non Specific Product Performance Allegation (5191:2867)</t>
  </si>
  <si>
    <t>Device Dislodged Or Dislocated (5191:1414), Electrode End Damaged/Defective (5223:1163)</t>
  </si>
  <si>
    <t>Device Therapy Induced Arrhythmia (5191:2406)</t>
  </si>
  <si>
    <t>Device Noisy Signals (5191:2124), Device Brady Pacing Not Delivered When Required (5191:1046), Device Oversensing (5191:2168)</t>
  </si>
  <si>
    <t>Device Noisy Signals (5191:2124), Device Low Amplitude Or Poor Morphology (5191:1807), Device Oversensing (5191:2168), Device Inappropriate Shock (5191:1698)</t>
  </si>
  <si>
    <t>Device Tone Pattern As Expected (5191:2409)</t>
  </si>
  <si>
    <t>Device High Capture Threshold (5191:1666), Device Noisy Signals (5191:2124)</t>
  </si>
  <si>
    <t>Device Inappropriate Shock (5191:1698), Device Oversensing (5191:2168), Device Shock Impedance High Within Normal Limits (5191:2319)</t>
  </si>
  <si>
    <t>Hypertension (9138)</t>
  </si>
  <si>
    <t>Stylets</t>
  </si>
  <si>
    <t>Device Device Displays Error Message (5191:1224), Device Premature Discharge Of Battery (5191:2233), Device Gas Gauge/Longevity Not As Expected (5191:2869)</t>
  </si>
  <si>
    <t>Device Oversensing (5191:2168), Device ATP Delivered When Not Required (5191:1022), Insulation Damaged/Defective (5331:1163), Device Noisy Signals (5191:2124)</t>
  </si>
  <si>
    <t>Device Inappropriate Or Unexpected Reset (5191:1697), Device Premature Discharge Of Battery (5191:2233)</t>
  </si>
  <si>
    <t>Device Gas Gauge/Longevity Not As Expected (5191:2869), Device Device Displays Error Message (5191:1224)</t>
  </si>
  <si>
    <t>Device Inappropriate Shock (5191:1698), Device Shock Impedance High Out Of Range (5191:2318)</t>
  </si>
  <si>
    <t>Device Difficult To Interrogate/Telemetry (Wand) (5191:1322), Device No Reported Allegation (5191:2104)</t>
  </si>
  <si>
    <t>Device Shock Impedance High Out Of Range (5191:2318), Device Damaged/Defective (5191:1163), Device Pacing Impedance High Out Of Range (5191:2172)</t>
  </si>
  <si>
    <t>Device Shock Impedance High Out Of Range (5191:2318), Device Therapy Delivery/Effectiveness Problem (5191:2405)</t>
  </si>
  <si>
    <t>Device MV/RRT Noise Or Oversensing (5191:2712), Device Brady Pacing Not Delivered When Required (5191:1046), Device Pacing Impedance High Out Of Range (5191:2172)</t>
  </si>
  <si>
    <t>Device Low Amplitude Or Poor Morphology (5191:1807), Device Oversensing (5191:2168), Device Inappropriate Shock (5191:1698)</t>
  </si>
  <si>
    <t>Device Sense B Artifact Noise (5191:2873), Device Oversensing (5191:2168), Device Inappropriate Shock (5191:1698)</t>
  </si>
  <si>
    <t>Device Low Amplitude Or Poor Morphology (5191:1807), Device Sense B Artifact Noise (5191:2873), Device Undersensing (5191:2434)</t>
  </si>
  <si>
    <t>Device Inappropriate Shock (5191:1698), Device Device Sensing Issue (5191:1261)</t>
  </si>
  <si>
    <t>Device Sense B Artifact Noise (5191:2873), Device Oversensing (5191:2168)</t>
  </si>
  <si>
    <t>Device Noisy Signals (5191:2124), Device Low Amplitude Or Poor Morphology (5191:1807), Device Inappropriate Shock (5191:1698)</t>
  </si>
  <si>
    <t>Device Noisy Signals (5191:2124), Device Sense B Artifact Noise (5191:2873)</t>
  </si>
  <si>
    <t>Device Device Displays Error Message (5191:1224), Device Data Issue (5191:1166)</t>
  </si>
  <si>
    <t>Device Pacing Impedance High Out Of Range (5191:2172), Device Noisy Signals (5191:2124), Device Oversensing (5191:2168)</t>
  </si>
  <si>
    <t>Device Shock Impedance High Out Of Range (5191:2318), Device Migration (5191:2064)</t>
  </si>
  <si>
    <t>Device Inappropriate Shock (5191:1698), Device Low Amplitude Or Poor Morphology (5191:1807), Device Noisy Signals (5191:2124), Device Oversensing (5191:2168)</t>
  </si>
  <si>
    <t>Device Premature Discharge Of Battery (5191:2233), Device No Tones When Expected (5191:2111), Device Difficult To Interrogate/Telemetry (Wand) (5191:1322)</t>
  </si>
  <si>
    <t>Device Low Amplitude Or Poor Morphology (5191:1807), Device Gas Gauge/Longevity Not As Expected (5191:2869), Device Oversensing (5191:2168), Device Inappropriate Shock (5191:1698), Device Premature Discharge Of Battery (5191:2233)</t>
  </si>
  <si>
    <t>Device Oversensing (5191:2168), Device Inappropriate Shock (5191:1698), Device Noisy Signals (5191:2124)</t>
  </si>
  <si>
    <t>Stylet Damaged/Defective (5608:1163)</t>
  </si>
  <si>
    <t>Device High Capture Threshold (5191:1666), Device Shock Impedance High Out Of Range (5191:2318), Device Pacing Impedance High Within Normal Limits (5191:2173)</t>
  </si>
  <si>
    <t>Discomfort (9069), Pain (9205)</t>
  </si>
  <si>
    <t>Electric Shock (9087), Pain (9205)</t>
  </si>
  <si>
    <t>Ventricular Fibrillation (9298)</t>
  </si>
  <si>
    <t>Sepsis (9250), Infection (9151)</t>
  </si>
  <si>
    <t>Implant Pain (9354)</t>
  </si>
  <si>
    <t>Investigation in Progress - Age: 97 (Unassigned)</t>
  </si>
  <si>
    <t>Investigation in Progress - Age: 60 (Unassigned)</t>
  </si>
  <si>
    <t>Investigation in Progress - Age: 52 (Unassigned)</t>
  </si>
  <si>
    <t>Opened - Age: 20 (Unassigned)</t>
  </si>
  <si>
    <t>2023-11-28T15:46:22Z</t>
  </si>
  <si>
    <t>2023-12-01T05:53:31Z</t>
  </si>
  <si>
    <t>2023-12-01T05:41:14Z</t>
  </si>
  <si>
    <t>Acuity Pro Guide Catheter</t>
  </si>
  <si>
    <t>Lead Conductor Fracture (5355:1636), Device Noisy Signals (5191:2124), Device Oversensing (5191:2168)</t>
  </si>
  <si>
    <t>Device Shock Impedance High Out Of Range (5191:2318), Device Device Displays Error Message (5191:1224), Device Difficult To Interrogate/Telemetry (Wand) (5191:1322)</t>
  </si>
  <si>
    <t>Device Use Of Device Issue - Misuse (5191:2456), Header Damaged/Defective (5295:1163)</t>
  </si>
  <si>
    <t>Device High Capture Threshold (5191:1666), Electrode End Damaged/Defective (5223:1163)</t>
  </si>
  <si>
    <t>Device Pocket Stimulation (5191:2207), Device Difficult To Remove (5191:1346), Device Pacing Impedance Low (5191:2174), Device High Capture Threshold (5191:1666)</t>
  </si>
  <si>
    <t>Device High Capture Threshold (5191:1666), Device Failure To Capture (5191:1491), Device Pacing Impedance High Within Normal Limits (5191:2173)</t>
  </si>
  <si>
    <t>Device Device Displays Error Message (5191:1224), Device Inappropriate Shock (5191:1698), Device Premature Discharge Of Battery (5191:2233)</t>
  </si>
  <si>
    <t>Device Device Displays Error Message (5191:1224), Device Low Amplitude Or Poor Morphology (5191:1807), Device Programmed Parameters Different Than Expected (5191:2250)</t>
  </si>
  <si>
    <t>Device High Capture Threshold (5191:1666), Device Oversensing (5191:2168), Device Pacing Impedance Low Within Normal Limits (5191:2176), Device Noisy Signals (5191:2124), Lead Conductor Fracture (5355:1636), Device Brady Pacing Not Delivered When Required (5191:1046)</t>
  </si>
  <si>
    <t>Device Undersensing (5191:2434), Device Oversensing (5191:2168), Device Low Amplitude Or Poor Morphology (5191:1807), Device No Reported Allegation (5191:2104), Device Inappropriate Shock (5191:1698)</t>
  </si>
  <si>
    <t>Device Oversensing (5191:2168), Device No Reported Allegation (5191:2104), Device Inappropriate Shock (5191:1698), Device Noisy Signals (5191:2124)</t>
  </si>
  <si>
    <t>Catheter Leak (5105:1776)</t>
  </si>
  <si>
    <t>Device Noisy Signals (5191:2124), Device Oversensing (5191:2168), Device Shock Impedance High Out Of Range (5191:2318), Lead Conductor Fracture (5355:1636)</t>
  </si>
  <si>
    <t>Device Noisy Signals (5191:2124), Device Undersensing (5191:2434), Device Failure To Shock Or Properly Shock (5191:1589), Device Oversensing (5191:2168), Device Low Amplitude Or Poor Morphology (5191:1807)</t>
  </si>
  <si>
    <t>Device Oversensing (5191:2168), Device Inappropriate Shock (5191:1698), Device Noisy Signals (5191:2124), Device Connection Issue (5191:1133), Device Low Amplitude Or Poor Morphology (5191:1807)</t>
  </si>
  <si>
    <t>Device ATP Delivered When Not Required (5191:1022), Device Rhythm Acceleration (5191:2278), Device Inappropriate Shock (5191:1698)</t>
  </si>
  <si>
    <t>Device Low Amplitude Or Poor Morphology (5191:1807), Device Feature Unavailable Or Intermittent (5191:1604), Device Inappropriate Shock (5191:1698), Device Oversensing (5191:2168), Device Sensing Intermittently (5191:2301)</t>
  </si>
  <si>
    <t>Device Noisy Signals (5191:2124), Device High Capture Threshold (5191:1666), Device Pacing Impedance Low Out Of Range (5191:2175)</t>
  </si>
  <si>
    <t>Device Failure To Capture (5191:1491), Device Dislodged Or Dislocated (5191:1414)</t>
  </si>
  <si>
    <t>Device Low Amplitude Or Poor Morphology (5191:1807), Device Migration (5191:2064)</t>
  </si>
  <si>
    <t>Device Data Issue (5191:1166), Device Premature Discharge Of Battery (5191:2233), Device Gas Gauge/Longevity Not As Expected (5191:2869), Device Device Displays Error Message (5191:1224)</t>
  </si>
  <si>
    <t>Device Shock Impedance High Out Of Range (5191:2318), Device Pacing Impedance High Out Of Range (5191:2172), Device MV/RRT Noise Or Oversensing (5191:2712)</t>
  </si>
  <si>
    <t>Insulation Damaged/Defective (5331:1163), Device Pacing Impedance Low Out Of Range (5191:2175), Device Noisy Signals (5191:2124)</t>
  </si>
  <si>
    <t>Device Message - Monitoring Suspended (5191:1998)</t>
  </si>
  <si>
    <t>Device Power Source Issue (5191:2230)</t>
  </si>
  <si>
    <t>Device Premature Discharge Of Battery (5191:2233), Device Message - Error Code 1003 (5191:2716), Device Tone Pattern As Expected (5191:2409)</t>
  </si>
  <si>
    <t>Device Pacing Impedance High Out Of Range (5191:2172), Device Low Amplitude Or Poor Morphology (5191:1807), Device Failure To Capture (5191:1491), Device Device Sensing Issue (5191:1261), Device Noisy Signals (5191:2124), Lead Conductor Fracture (5355:1636)</t>
  </si>
  <si>
    <t>Device Pacing Impedance Low Out Of Range (5191:2175), Device Oversensing (5191:2168), Insulation Damaged/Defective (5331:1163), Device Noisy Signals (5191:2124), Lead Conductor Fracture (5355:1636)</t>
  </si>
  <si>
    <t>Device Enrollment - New PG With Old Communicator (5191:1453)</t>
  </si>
  <si>
    <t>Device Programmed Parameters Different Than Expected (5191:2250), Device Oversensing (5191:2168), Device Inappropriate Shock (5191:1698), Device Shock Impedance High Within Normal Limits (5191:2319)</t>
  </si>
  <si>
    <t>Device Undersensing (5191:2434), Device Oversensing (5191:2168), Device Low Amplitude Or Poor Morphology (5191:1807)</t>
  </si>
  <si>
    <t>Device Inappropriate Shock (5191:1698), Device EGM Issue (5191:2868), Device Oversensing (5191:2168), Device Premature Discharge Of Battery (5191:2233)</t>
  </si>
  <si>
    <t>Device Noisy Signals (5191:2124), Device Pacing Impedance High Out Of Range (5191:2172)</t>
  </si>
  <si>
    <t>Device Pacing Impedance Low Out Of Range (5191:2175), Device Noisy Signals (5191:2124), Device Oversensing (5191:2168)</t>
  </si>
  <si>
    <t>Device Gas Gauge/Longevity Not As Expected (5191:2869), Device Inappropriate Shock (5191:1698), Device Device Displays Error Message (5191:1224), Device Delayed Charge Time (5191:1176)</t>
  </si>
  <si>
    <t>Device Inappropriate Shock (5191:1698), Device Oversensing (5191:2168), Device Noisy Signals (5191:2124)</t>
  </si>
  <si>
    <t>Consult Reports/Data Issue (5930:2266)</t>
  </si>
  <si>
    <t>Device Noisy Signals (5191:2124), Device Oversensing (5191:2168), Device Impedance Issue (5191:1683), Device Device Displays Error Message (5191:1224)</t>
  </si>
  <si>
    <t>Device Oversensing (5191:2168), Device Noisy Signals (5191:2124), Device Impedance Issue (5191:1683), Device Device Sensing Issue (5191:1261)</t>
  </si>
  <si>
    <t>Device Failure To Capture (5191:1491), Device Pacing Impedance High Out Of Range (5191:2172), Device Low Amplitude Or Poor Morphology (5191:1807), Device Shock Impedance High Out Of Range (5191:2318)</t>
  </si>
  <si>
    <t>Consult Difficult To Interrogate/Telemetry (Wand) (5930:1322)</t>
  </si>
  <si>
    <t>Consult Device Displays Error Message (5930:1224)</t>
  </si>
  <si>
    <t>Device Communication - Incomplete Interrogation (5191:1116), Device Hardware Issue (5191:1662)</t>
  </si>
  <si>
    <t>Perforation, Ventricular (9314), Muscle Stimulation (9179), Pulse, Loss of (9235), Pericardial Effusion (9221)</t>
  </si>
  <si>
    <t>Perforation, Cardiac (9216), Patient Problem/Medical Problem (9212), Pericardial Effusion (9221)</t>
  </si>
  <si>
    <t>Infection (9151), Unretrieved Device Fragments (UDF) (9289)</t>
  </si>
  <si>
    <t>Syncope (9267), Cardiac Arrest (9041)</t>
  </si>
  <si>
    <t>Perforation, Cardiac (9216), Cardiac Arrest (9041), Pericardial Effusion (9221)</t>
  </si>
  <si>
    <t>Infection, Bacterial (9152), Sepsis (9250)</t>
  </si>
  <si>
    <t>Palpitations (9209), No Code Available (9193), Dyspnea (9078), Syncope (9267), Chest Tightness/Pressure (9049), Dizziness (9073), Asystole (9333), Fatigue (9111)</t>
  </si>
  <si>
    <t>EasyTrak 3 Lead</t>
  </si>
  <si>
    <t>Zoom Wireless Transmitter</t>
  </si>
  <si>
    <t>Singapore</t>
  </si>
  <si>
    <t>Finland</t>
  </si>
  <si>
    <t>Device Gas Gauge/Longevity Not As Expected (5191:2869), Device Device Displays Error Message (5191:1224), Device Inappropriate Or Unexpected Reset (5191:1697)</t>
  </si>
  <si>
    <t>Device Difficult To Interrogate/Telemetry (Wand) (5191:1322), Device Brady Pacing Not Delivered When Required (5191:1046), Device Gas Gauge/Longevity Not As Expected (5191:2869), Device Noisy Signals (5191:2124)</t>
  </si>
  <si>
    <t>Device Oversensing (5191:2168), Device Low Amplitude Or Poor Morphology (5191:1807), Device Noisy Signals (5191:2124), Device Undersensing (5191:2434)</t>
  </si>
  <si>
    <t>Device Oversensing (5191:2168), Insulation Damaged/Defective (5331:1163), Device Shock Impedance High (5191:2317), Device Noisy Signals (5191:2124)</t>
  </si>
  <si>
    <t>Device No Reported Allegation (5191:2104), Device Use Of Device Issue (5191:2455), Device Noisy Signals (5191:2124)</t>
  </si>
  <si>
    <t>Device Shock Impedance High Out Of Range (5191:2318), Device Oversensing (5191:2168), Device Noisy Signals (5191:2124)</t>
  </si>
  <si>
    <t>Device ATP Delivered When Not Required (5191:1022), Device Therapy Induced Arrhythmia (5191:2406), Device Therapy Delivery/Effectiveness Problem (5191:2405), Device Inappropriate Shock (5191:1698), Device Brady Pacing Rate Not As Expected (5191:1047), Device Rhythm Acceleration (5191:2278)</t>
  </si>
  <si>
    <t>Device Feature Unavailable Or Intermittent (5191:1604), Device High Capture Threshold (5191:1666), Device Failure To Capture (5191:1491), Device Premature Discharge Of Battery (5191:2233), Device Gas Gauge/Longevity Not As Expected (5191:2869), Device Pacing Impedance Low (5191:2174)</t>
  </si>
  <si>
    <t>Device ATP Delivered When Not Required (5191:1022), Device Oversensing (5191:2168), Device Inappropriate Shock (5191:1698), Device Noisy Signals (5191:2124)</t>
  </si>
  <si>
    <t>Device Pacing Impedance High Out Of Range (5191:2172), Device Brady Pacing Not Delivered When Required (5191:1046), Device Noisy Signals (5191:2124), Device Oversensing (5191:2168)</t>
  </si>
  <si>
    <t>Device Inappropriate Shock (5191:1698), Device Oversensing (5191:2168), Device ATP Delivered When Not Required (5191:1022), Device Rhythm Acceleration (5191:2278)</t>
  </si>
  <si>
    <t>Device Device Displays Error Message (5191:1224), Device Inappropriate Or Unexpected Reset (5191:1697)</t>
  </si>
  <si>
    <t>Device Oversensing (5191:2168), Insulation Damaged/Defective (5331:1163), Device Noisy Signals (5191:2124), Device ATP Delivered When Not Required (5191:1022)</t>
  </si>
  <si>
    <t>Device Gas Gauge/Longevity Not As Expected (5191:2869), Device Difficult To Interrogate/Telemetry (Wand) (5191:1322), Device Premature Discharge Of Battery (5191:2233)</t>
  </si>
  <si>
    <t>Device Delayed Charge Time (5191:1176), Device Premature Discharge Of Battery (5191:2233), Device Gas Gauge/Longevity Not As Expected (5191:2869)</t>
  </si>
  <si>
    <t>Device Noisy Signals (5191:2124), Device Failure To Capture (5191:1491), Device Oversensing (5191:2168), Lead Conductor Fracture (5355:1636), Device Pacing Impedance High Out Of Range (5191:2172), Device High Capture Threshold (5191:1666)</t>
  </si>
  <si>
    <t>Lead Conductor Fracture (5355:1636), Device Oversensing (5191:2168), Device Inappropriate Shock (5191:1698), Device Noisy Signals (5191:2124)</t>
  </si>
  <si>
    <t>Device Device Displays Error Message (5191:1224), Device Premature Discharge Of Battery (5191:2233), Device Tone Pattern As Expected (5191:2409)</t>
  </si>
  <si>
    <t>Device Dislodged Or Dislocated (5191:1414), Device Inappropriate Shock (5191:1698)</t>
  </si>
  <si>
    <t>Device Oversensing (5191:2168), Device Noisy Signals (5191:2124), Device Inappropriate Shock (5191:1698), Device Undersensing (5191:2434), Device No Reported Allegation (5191:2104), Device Low Amplitude Or Poor Morphology (5191:1807)</t>
  </si>
  <si>
    <t>Device Low Amplitude Or Poor Morphology (5191:1807), Device Noisy Signals (5191:2124), Device Oversensing (5191:2168), Device Sense B Artifact Noise (5191:2873), Device Difficult To Remove (5191:1346), Device Inappropriate Shock (5191:1698)</t>
  </si>
  <si>
    <t>Device Difficult To Interrogate/Telemetry (RF) (5191:1321), Device Premature Discharge Of Battery (5191:2233), Device Message - Error Code 1003 (5191:2716)</t>
  </si>
  <si>
    <t>Device Pacing Impedance High Out Of Range (5191:2172), Set Screw Connection Issue (5544:1133)</t>
  </si>
  <si>
    <t>Device Low Amplitude Or Poor Morphology (5191:1807), Device Feature Unavailable Or Intermittent (5191:1604), Device ATP Delivered When Not Required (5191:1022), Device Oversensing (5191:2168), Device Inappropriate Shock (5191:1698)</t>
  </si>
  <si>
    <t>Device Noisy Signals (5191:2124), Insulation Damaged/Defective (5331:1163), Lead Conductor Fracture (5355:1636), Device Oversensing (5191:2168), Device Pacing Impedance Low Within Normal Limits (5191:2176)</t>
  </si>
  <si>
    <t>Device Noisy Signals (5191:2124), Device Difficult To Interrogate/Telemetry (Wand) (5191:1322), Device Brady Pacing Not Delivered When Required (5191:1046)</t>
  </si>
  <si>
    <t>Electrode End Difficult/Unable to Extend/Retract Helix (5223:2699), Device High Capture Threshold (5191:1666)</t>
  </si>
  <si>
    <t>Device Device Displays Error Message (5191:1224), Device Communication Or Transmission Issue (5191:1122)</t>
  </si>
  <si>
    <t>Device Programmed Parameters Different Than Expected (5191:2250), Device Undersensing (5191:2434), Device Device Sensing Issue (5191:1261), Device Low Amplitude Or Poor Morphology (5191:1807)</t>
  </si>
  <si>
    <t>Device Undersensing (5191:2434), Device Oversensing (5191:2168), Device Inappropriate Shock (5191:1698), Device Low Amplitude Or Poor Morphology (5191:1807), Device Noisy Signals (5191:2124)</t>
  </si>
  <si>
    <t>Device Failure To Capture (5191:1491), Lead Conductor Fracture (5355:1636), Device Pacing Impedance High (5191:2171), Device High Capture Threshold (5191:1666)</t>
  </si>
  <si>
    <t>Device Sense B Artifact Noise (5191:2873), Device Oversensing (5191:2168), Device Noisy Signals (5191:2124), Device Difficult To Remove (5191:1346), Device Inappropriate Shock (5191:1698), Device Low Amplitude Or Poor Morphology (5191:1807)</t>
  </si>
  <si>
    <t>Device Inappropriate Shock (5191:1698), Device No Reported Allegation (5191:2104), Device Low Amplitude Or Poor Morphology (5191:1807), Device Oversensing (5191:2168)</t>
  </si>
  <si>
    <t>Device Device Displays Error Message (5191:1224), Device Premature Discharge Of Battery (5191:2233), Device Noisy Signals (5191:2124)</t>
  </si>
  <si>
    <t>Device Oversensing (5191:2168), Device Inappropriate Shock (5191:1698), Lead Conductor Fracture (5355:1636), Device Noisy Signals (5191:2124)</t>
  </si>
  <si>
    <t>Device Programmed Parameters Different Than Expected (5191:2250), Device Low Amplitude Or Poor Morphology (5191:1807)</t>
  </si>
  <si>
    <t>Device Difficulty Converting Rhythm (Induced) (5191:2871), Device Device Displays Error Message (5191:1224), Device Shock Impedance High Within Normal Limits (5191:2319)</t>
  </si>
  <si>
    <t>Device Difficult To Position (5191:1336)</t>
  </si>
  <si>
    <t>Device Inappropriate Shock (5191:1698), Device Connection Issue (5191:1133)</t>
  </si>
  <si>
    <t>Device Inappropriate Shock (5191:1698), Device Noisy Signals (5191:2124), Device Therapy Induced Arrhythmia (5191:2406), Device Failure To Convert Rhythm (5191:1504), Device Oversensing (5191:2168), Device Shock Impedance High Within Normal Limits (5191:2319)</t>
  </si>
  <si>
    <t>Device Difficult To Interrogate/Telemetry (RF) (5191:1321), Device Tone Pattern As Expected (5191:2409), Device Device Displays Error Message (5191:1224), Device Premature Discharge Of Battery (5191:2233)</t>
  </si>
  <si>
    <t>Device Low Amplitude Or Poor Morphology (5191:1807), Device Pacing Impedance High Out Of Range (5191:2172)</t>
  </si>
  <si>
    <t>Device Noisy Signals (5191:2124), Device Oversensing (5191:2168), Device Low Amplitude Or Poor Morphology (5191:1807), Device Inappropriate Shock (5191:1698)</t>
  </si>
  <si>
    <t>Device Tone Pattern As Expected (5191:2409), Device Premature Discharge Of Battery (5191:2233), Device Message - Error Code 1003 (5191:2716)</t>
  </si>
  <si>
    <t>Device Shock Impedance High Within Normal Limits (5191:2319), Device Oversensing (5191:2168), Device Inappropriate Shock (5191:1698), Device Failure To Convert Rhythm (5191:1504), Device Therapy Delivery/Effectiveness Problem (5191:2405), Device Noisy Signals (5191:2124)</t>
  </si>
  <si>
    <t>Device Oversensing (5191:2168), Device Noisy Signals (5191:2124), Device Low Amplitude Or Poor Morphology (5191:1807), Device Inappropriate Shock (5191:1698)</t>
  </si>
  <si>
    <t>Device Connection Issue (5191:1133), Device Inappropriate Shock (5191:1698)</t>
  </si>
  <si>
    <t>Device No Tones When Expected (5191:2111), Device Premature Discharge Of Battery (5191:2233), Device Difficult To Interrogate/Telemetry (Wand) (5191:1322)</t>
  </si>
  <si>
    <t>Device Oversensing (5191:2168), Device Low Amplitude Or Poor Morphology (5191:1807), Device Data Issue (5191:1166)</t>
  </si>
  <si>
    <t>Device Difficult To Program Or Calibrate (5191:1339), Device Premature Discharge Of Battery (5191:2233), Device Device Displays Error Message (5191:1224)</t>
  </si>
  <si>
    <t>Device Oversensing (5191:2168), Device Noisy Signals (5191:2124), Device Inappropriate Shock (5191:1698), Device Programmed Parameters Different Than Expected (5191:2250)</t>
  </si>
  <si>
    <t>Device Premature Discharge Of Battery (5191:2233), Device Feature Unavailable Or Intermittent (5191:1604)</t>
  </si>
  <si>
    <t>Device Difficulty Converting Rhythm (Ambulatory) (5191:2870), Device MV/RRT Noise Or Oversensing (5191:2712), Device Undersensing (5191:2434), Device Low Amplitude Or Poor Morphology (5191:1807)</t>
  </si>
  <si>
    <t>Device Oversensing (5191:2168), Device Noisy Signals (5191:2124), Device Connection Issue (5191:1133), Device Inappropriate Shock (5191:1698), Device Low Amplitude Or Poor Morphology (5191:1807)</t>
  </si>
  <si>
    <t>Device Oversensing (5191:2168), Device Noisy Signals (5191:2124), Device Inappropriate Shock (5191:1698), Device Low Amplitude Or Poor Morphology (5191:1807), Device Connection Issue (5191:1133)</t>
  </si>
  <si>
    <t>Device Failure To Capture (5191:1491), Device Pacing Impedance High Out Of Range (5191:2172), Device Noisy Signals (5191:2124), Device Oversensing (5191:2168), Device Brady Pacing Not Delivered When Required (5191:1046)</t>
  </si>
  <si>
    <t>Device Pacing Impedance High Within Normal Limits (5191:2173)</t>
  </si>
  <si>
    <t>Device Oversensing (5191:2168), Device Sense B Artifact Noise (5191:2873), Device Noisy Signals (5191:2124)</t>
  </si>
  <si>
    <t>Device Pacing Impedance High Out Of Range (5191:2172), Device Failure To Capture (5191:1491), Device MV/RRT Noise Or Oversensing (5191:2712), Device Pacing Impedance Low Out Of Range (5191:2175), Device Gas Gauge/Longevity Not As Expected (5191:2869), Device Premature Discharge Of Battery (5191:2233), Device Brady Pacing Not Delivered When Required (5191:1046)</t>
  </si>
  <si>
    <t>Device Low Amplitude Or Poor Morphology (5191:1807), Device Inappropriate Shock (5191:1698), Device Oversensing (5191:2168)</t>
  </si>
  <si>
    <t>Device Noisy Signals (5191:2124), Device Oversensing (5191:2168), Device Inappropriate Shock (5191:1698), Device Low Amplitude Or Poor Morphology (5191:1807)</t>
  </si>
  <si>
    <t>Device Inappropriate Shock (5191:1698), Device Low Amplitude Or Poor Morphology (5191:1807), Device Noisy Signals (5191:2124), Device Feature Unavailable Or Intermittent (5191:1604), Device Undersensing (5191:2434), Device Oversensing (5191:2168)</t>
  </si>
  <si>
    <t>Device Low Amplitude Or Poor Morphology (5191:1807), Device Oversensing (5191:2168), Device Device Sensing Issue (5191:1261), Device Inappropriate Shock (5191:1698)</t>
  </si>
  <si>
    <t>Device Noisy Signals (5191:2124), Device Shock Impedance Low Out Of Range (5191:2321), Device Difficulty Converting Rhythm (Induced) (5191:2871), Device Oversensing (5191:2168), Device Shock Impedance High Out Of Range (5191:2318)</t>
  </si>
  <si>
    <t>Device Inappropriate Shock (5191:1698), Device Oversensing (5191:2168), Device Low Amplitude Or Poor Morphology (5191:1807), Device Feature Unavailable Or Intermittent (5191:1604)</t>
  </si>
  <si>
    <t>Device Low Amplitude Or Poor Morphology (5191:1807), Device Device Sensing Issue (5191:1261), Device Oversensing (5191:2168), Device Noisy Signals (5191:2124), Device Inappropriate Shock (5191:1698)</t>
  </si>
  <si>
    <t>Device Noisy Signals (5191:2124), Lead Conductor Fracture (5355:1636), Device Oversensing (5191:2168), Device Inappropriate Shock (5191:1698)</t>
  </si>
  <si>
    <t>Device Shock Impedance High Out Of Range (5191:2318), Device Inappropriate Shock (5191:1698), Device Sense B Artifact Noise (5191:2873), Device Oversensing (5191:2168)</t>
  </si>
  <si>
    <t>Device Therapy Induced Arrhythmia (5191:2406), Device ATP Delivered When Not Required (5191:1022), Device Brady Pacing Rate Not As Expected (5191:1047), Device Undersensing (5191:2434)</t>
  </si>
  <si>
    <t>Lead Conductor Fracture (5355:1636), Device Inappropriate Shock (5191:1698), Device Noisy Signals (5191:2124), Device Oversensing (5191:2168), Device Low Amplitude Or Poor Morphology (5191:1807)</t>
  </si>
  <si>
    <t>Software Software Upgrade Issue (5567:2338), Display/Touch Screen Unresponsive During Threshold Test (5201:2809)</t>
  </si>
  <si>
    <t>Device Low Amplitude Or Poor Morphology (5191:1807), Device Inappropriate Shock (5191:1698), Device Oversensing (5191:2168), Device Sense B Artifact Noise (5191:2873), Device Noisy Signals (5191:2124)</t>
  </si>
  <si>
    <t>Device Sense B Artifact Noise (5191:2873), Device Low Amplitude Or Poor Morphology (5191:1807), Device Inappropriate Shock (5191:1698), Device Oversensing (5191:2168), Device Noisy Signals (5191:2124), Device Damaged/Defective (5191:1163)</t>
  </si>
  <si>
    <t>Device Noisy Signals (5191:2124), Device Inappropriate Shock (5191:1698), Device Low Amplitude Or Poor Morphology (5191:1807), Device Oversensing (5191:2168)</t>
  </si>
  <si>
    <t>Device MV/RRT Noise Or Oversensing (5191:2712), Device Shock Impedance High Out Of Range (5191:2318), Device Inappropriate Shock (5191:1698), Device Pacing Impedance High Out Of Range (5191:2172), Device ATP Delivered When Not Required (5191:1022), Device Noisy Signals (5191:2124), Device Device Displays Error Message (5191:1224), Device High Capture Threshold (5191:1666), Device Oversensing (5191:2168)</t>
  </si>
  <si>
    <t>Device Shock Impedance High (5191:2317), Device Impedance Issue (5191:1683), Device Gas Gauge/Longevity Not As Expected (5191:2869), Device Premature Discharge Of Battery (5191:2233), Device Difficulty Converting Rhythm (Induced) (5191:2871)</t>
  </si>
  <si>
    <t>Device Low Amplitude Or Poor Morphology (5191:1807), Device Inappropriate Shock (5191:1698), Device Undersensing (5191:2434), Device Oversensing (5191:2168)</t>
  </si>
  <si>
    <t>Device Dislodged Or Dislocated (5191:1414), Lead Conductor Fracture (5355:1636), Device Undersensing (5191:2434), Device Failure To Capture (5191:1491), Device Pacing Impedance Low Out Of Range (5191:2175)</t>
  </si>
  <si>
    <t>Device Oversensing (5191:2168), Device Low Amplitude Or Poor Morphology (5191:1807), Device Noisy Signals (5191:2124), Device Programmed Parameters Different Than Expected (5191:2250)</t>
  </si>
  <si>
    <t>Device Oversensing (5191:2168), Device Undersensing (5191:2434), Device Dislodged Or Dislocated (5191:1414), Device Low Amplitude Or Poor Morphology (5191:1807), Device Noisy Signals (5191:2124)</t>
  </si>
  <si>
    <t>Device Shock Impedance High (5191:2317), Device Tone Pattern As Expected (5191:2409), Device Device Displays Error Message (5191:1224), Device Premature Discharge Of Battery (5191:2233)</t>
  </si>
  <si>
    <t>Device Inappropriate Shock (5191:1698), Device Shock Impedance High Out Of Range (5191:2318), Device Impedance Issue (5191:1683), Device Failure To Convert Rhythm (5191:1504)</t>
  </si>
  <si>
    <t>Device Device Displays Error Message (5191:1224), Device Shock Impedance High (5191:2317)</t>
  </si>
  <si>
    <t>Device Oversensing (5191:2168), Device Pacing Impedance High Out Of Range (5191:2172), Device Low Amplitude Or Poor Morphology (5191:1807), Device High Capture Threshold (5191:1666), Device Failure To Capture (5191:1491)</t>
  </si>
  <si>
    <t>Device Failure To Capture (5191:1491), Device Low Amplitude Or Poor Morphology (5191:1807), Device Pacing Impedance High Out Of Range (5191:2172), Device Oversensing (5191:2168)</t>
  </si>
  <si>
    <t>Device Pacing Impedance High Out Of Range (5191:2172), Device Oversensing (5191:2168), Device High Capture Threshold (5191:1666), Device Low Amplitude Or Poor Morphology (5191:1807)</t>
  </si>
  <si>
    <t>Device Oversensing (5191:2168), Lead Conductor Fracture (5355:1636), Device Inappropriate Shock (5191:1698), Device Low Amplitude Or Poor Morphology (5191:1807), Device Noisy Signals (5191:2124)</t>
  </si>
  <si>
    <t>Device Device Displays Error Message (5191:1224), Device Inappropriate Shock (5191:1698), Device Low Amplitude Or Poor Morphology (5191:1807), Device Programmed Parameters Different Than Expected (5191:2250), Device Tone Pattern As Expected (5191:2409)</t>
  </si>
  <si>
    <t>Device Tone Pattern As Expected (5191:2409), Device Gas Gauge/Longevity Not As Expected (5191:2869)</t>
  </si>
  <si>
    <t>Device Message - Error Code 1003 (5191:2716), Device Gas Gauge/Longevity Not As Expected (5191:2869), Device Premature Discharge Of Battery (5191:2233)</t>
  </si>
  <si>
    <t>Device Difficult To Interrogate/Telemetry (Wand) (5191:1322), Device Device Displays Error Message (5191:1224)</t>
  </si>
  <si>
    <t>Device Inappropriate Shock (5191:1698), Device Premature Discharge Of Battery (5191:2233), Device Oversensing (5191:2168)</t>
  </si>
  <si>
    <t>Device Oversensing (5191:2168), Device Feature Unavailable Or Intermittent (5191:1604), Device Inappropriate Shock (5191:1698), Device Low Amplitude Or Poor Morphology (5191:1807)</t>
  </si>
  <si>
    <t>Device Impedance Issue (5191:1683), Device Failure To Convert Rhythm (5191:1504), Device Shock Impedance High Out Of Range (5191:2318), Device Inappropriate Shock (5191:1698)</t>
  </si>
  <si>
    <t>Device Pacing Impedance High Out Of Range (5191:2172), Device Noisy Signals (5191:2124), Device Failure To Capture (5191:1491)</t>
  </si>
  <si>
    <t>Device Sense B Artifact Noise (5191:2873), Device Therapy Delivery/Effectiveness Problem (5191:2405), Device Oversensing (5191:2168), Device Inappropriate Shock (5191:1698), Device Shock Impedance Low (5191:2320)</t>
  </si>
  <si>
    <t>Device Pacing Impedance High (5191:2171), Device Oversensing (5191:2168), Device Pacing Impedance High Out Of Range (5191:2172), Device Noisy Signals (5191:2124)</t>
  </si>
  <si>
    <t>Device Inappropriate Shock (5191:1698), Device Noisy Signals (5191:2124), Device Low Amplitude Or Poor Morphology (5191:1807), Device Oversensing (5191:2168)</t>
  </si>
  <si>
    <t>Device Undersensing (5191:2434), Device Noisy Signals (5191:2124), Device Oversensing (5191:2168), Device Inappropriate Shock (5191:1698)</t>
  </si>
  <si>
    <t>Device Undersensing (5191:2434), Device Oversensing (5191:2168), Device Low Amplitude Or Poor Morphology (5191:1807), Device Inappropriate Shock (5191:1698)</t>
  </si>
  <si>
    <t>Device Oversensing (5191:2168), Device Brady Pacing Not Delivered When Required (5191:1046), Device MV/RRT Noise Or Oversensing (5191:2712), Device Noisy Signals (5191:2124), Device Pacing Impedance High Out Of Range (5191:2172)</t>
  </si>
  <si>
    <t>Device Shock Impedance High Within Normal Limits (5191:2319), Device Non Specific Product Performance Allegation (5191:2867), Device Difficulty Converting Rhythm (Induced) (5191:2871)</t>
  </si>
  <si>
    <t>Device Low Amplitude Or Poor Morphology (5191:1807), Device Oversensing (5191:2168), Device Sense B Artifact Noise (5191:2873), Device Inappropriate Shock (5191:1698)</t>
  </si>
  <si>
    <t>Device Noisy Signals (5191:2124)</t>
  </si>
  <si>
    <t>Device Undersensing (5191:2434), Device Noisy Signals (5191:2124), Device Oversensing (5191:2168)</t>
  </si>
  <si>
    <t>Device Low Amplitude Or Poor Morphology (5191:1807), Device Oversensing (5191:2168), Device High Capture Threshold (5191:1666)</t>
  </si>
  <si>
    <t>Device Enrollment Issue (5191:1455), Device Hardware Issue (5191:1662)</t>
  </si>
  <si>
    <t>Device High Capture Threshold (5191:1666), Device Pacing Impedance High Within Normal Limits (5191:2173), Device Shock Impedance High Out Of Range (5191:2318)</t>
  </si>
  <si>
    <t>Device Communication - RF Interference (5191:1118), Device Connection Issue (5191:1133)</t>
  </si>
  <si>
    <t>Device MV/RRT Noise Or Oversensing (5191:2712), Device Threshold Issue (5191:2814), Device Oversensing (5191:2168), Device Pacing Impedance High Out Of Range (5191:2172), Device Noisy Signals (5191:2124)</t>
  </si>
  <si>
    <t>Device User Used Incorrect Product For Intended Use (5191:2460), Device No Known Device Problem (5191:2099)</t>
  </si>
  <si>
    <t>Programmer Wand Damaged/Defective (5495:1163)</t>
  </si>
  <si>
    <t>Device Brady Pacing Delivered When Not Required (5191:1045)</t>
  </si>
  <si>
    <t>Device Connection Issue (5191:1133), Device Communication - RF Interference (5191:1118)</t>
  </si>
  <si>
    <t>Device Oversensing (5191:2168), Device Inappropriate Shock (5191:1698), Device Low Amplitude Or Poor Morphology (5191:1807), Device Noisy Signals (5191:2124)</t>
  </si>
  <si>
    <t>Device Premature Discharge Of Battery (5191:2233), Device Tone Pattern As Expected (5191:2409), Device Device Displays Error Message (5191:1224)</t>
  </si>
  <si>
    <t>Device User Used Incorrect Product For Intended Use (5191:2460), Device Difficult To Position (5191:1336)</t>
  </si>
  <si>
    <t>Fall (9110), Electric Shock (9087)</t>
  </si>
  <si>
    <t>Cardiac Tamponade (9042), Perforation, Cardiac (9216), Pericardial Effusion (9221)</t>
  </si>
  <si>
    <t>Electric Shock (9087), Palpitations (9209)</t>
  </si>
  <si>
    <t>Syncope (9267), Confusion/Disorientation (9058), Fall (9110), Head Injury (9120), Headache (9121)</t>
  </si>
  <si>
    <t>Infection (9151), No Clinical Signs, Symptoms or Conditions (9398)</t>
  </si>
  <si>
    <t>Discomfort (9069), Tingling (9277)</t>
  </si>
  <si>
    <t>Chest Pain (9048), Chest Tightness/Pressure (9049)</t>
  </si>
  <si>
    <t>Investigation in Progress - Age: 461 (Jacob Murawski-Harguth)</t>
  </si>
  <si>
    <t>Investigation in Progress - Age: 286 (Cuong Huynh)</t>
  </si>
  <si>
    <t>Investigation in Progress - Age: 335 (Jacob Murawski-Harguth)</t>
  </si>
  <si>
    <t>Investigation in Progress - Age: 244 (Unassigned)</t>
  </si>
  <si>
    <t>Investigation in Progress - Age: 298 (Unassigned)</t>
  </si>
  <si>
    <t>Investigation in Progress - Age: 325 (Jacob Murawski-Harguth)</t>
  </si>
  <si>
    <t>Investigation in Progress - Age: 308 (Jacob Murawski-Harguth)</t>
  </si>
  <si>
    <t>Investigation in Progress - Age: 280 (Jacob Murawski-Harguth)</t>
  </si>
  <si>
    <t>Investigation in Progress - Age: 262 (Jacob Murawski-Harguth)</t>
  </si>
  <si>
    <t>Investigation in Progress - Age: 125 (Roy DeJong)</t>
  </si>
  <si>
    <t>Investigation in Progress - Age: 166 (Unassigned)</t>
  </si>
  <si>
    <t>Investigation in Progress - Age: 182 (Roy DeJong)</t>
  </si>
  <si>
    <t>Investigation in Progress - Age: 203 (Theodore Lahlum)</t>
  </si>
  <si>
    <t>Investigation in Progress - Age: 182 (Unassigned)</t>
  </si>
  <si>
    <t>Investigation in Progress - Age: 179 (Jacob Murawski-Harguth)</t>
  </si>
  <si>
    <t>Investigation in Progress - Age: 173 (Jacob Murawski-Harguth)</t>
  </si>
  <si>
    <t>Investigation in Progress - Age: 145 (Unassigned)</t>
  </si>
  <si>
    <t>Investigation in Progress - Age: 126 (Unassigned)</t>
  </si>
  <si>
    <t>Investigation in Progress - Age: 102 (Unassigned)</t>
  </si>
  <si>
    <t>Investigation in Progress - Age: 140 (Unassigned)</t>
  </si>
  <si>
    <t>Investigation in Progress - Age: 105 (Unassigned)</t>
  </si>
  <si>
    <t>Investigation in Progress - Age: 132 (William Ruchie)</t>
  </si>
  <si>
    <t>Investigation in Progress - Age: 131 (Jacob Murawski-Harguth)</t>
  </si>
  <si>
    <t>Investigation in Progress - Age: 110 (Unassigned)</t>
  </si>
  <si>
    <t>Pending Approval - Age: 125 (Maria Ortiz Zumbado)</t>
  </si>
  <si>
    <t>Investigation in Progress - Age: 52 (Jeffery Mayer)</t>
  </si>
  <si>
    <t>Investigation in Progress - Age: 89 (Unassigned)</t>
  </si>
  <si>
    <t>Investigation in Progress - Age: 67 (Jacob Murawski-Harguth)</t>
  </si>
  <si>
    <t>Investigation in Progress - Age: 104 (Unassigned)</t>
  </si>
  <si>
    <t>Rework - Age: 104 (Unassigned)</t>
  </si>
  <si>
    <t>Investigation in Progress - Age: 67 (Unassigned)</t>
  </si>
  <si>
    <t>Investigation in Progress - Age: 21 (Unassigned)</t>
  </si>
  <si>
    <t>Investigation in Progress - Age: 75 (Unassigned)</t>
  </si>
  <si>
    <t>Investigation in Progress - Age: 80 (Unassigned)</t>
  </si>
  <si>
    <t>Investigation in Progress - Age: 41 (Sydney Kopecky)</t>
  </si>
  <si>
    <t>Investigation in Progress - Age: 47 (Jacob Murawski-Harguth)</t>
  </si>
  <si>
    <t>Investigation in Progress - Age: 59 (Unassigned)</t>
  </si>
  <si>
    <t>Investigation in Progress - Age: 70 (Unassigned)</t>
  </si>
  <si>
    <t>Opened - Age: 27 (Unassigned)</t>
  </si>
  <si>
    <t>Rework - Age: 67 (Unassigned)</t>
  </si>
  <si>
    <t>Investigation in Progress - Age: 62 (Unassigned)</t>
  </si>
  <si>
    <t>Pending Approval - Age: 59 (Unassigned)</t>
  </si>
  <si>
    <t>Investigation in Progress - Age: 24 (Unassigned)</t>
  </si>
  <si>
    <t>Investigation in Progress - Age: 34 (Unassigned)</t>
  </si>
  <si>
    <t>Investigation in Progress - Age: 26 (Jeffery Mayer)</t>
  </si>
  <si>
    <t>Opened - Age: 32 (Unassigned)</t>
  </si>
  <si>
    <t>Pending Approval - Age: 41 (Unassigned)</t>
  </si>
  <si>
    <t>Opened - Age: 27 (Carolyn Christensen)</t>
  </si>
  <si>
    <t>Investigation in Progress - Age: 28 (Jeffery Mayer)</t>
  </si>
  <si>
    <t>Investigation in Progress - Age: 38 (Unassigned)</t>
  </si>
  <si>
    <t>Investigation in Progress - Age: 39 (Unassigned)</t>
  </si>
  <si>
    <t>Investigation in Progress - Age: 26 (Unassigned)</t>
  </si>
  <si>
    <t>Opened - Age: 26 (Randall Acosta Navarro)</t>
  </si>
  <si>
    <t>Investigation in Progress - Age: 39 (Jennypher Murillo Hercules)</t>
  </si>
  <si>
    <t>Investigation in Progress - Age: 7 (Randall Acosta Navarro)</t>
  </si>
  <si>
    <t>Opened - Age: 5 (Unassigned)</t>
  </si>
  <si>
    <t>Opened - Age: 6 (Randall Acosta Navarro)</t>
  </si>
  <si>
    <t>Opened - Age: 5 (Randall Acosta Navarro)</t>
  </si>
  <si>
    <t>Pending Approval - Age: 27 (Unassigned)</t>
  </si>
  <si>
    <t>Opened - Age: 3 (Axel Picado Esquivel)</t>
  </si>
  <si>
    <t>Investigation in Progress - Age: 179 (Unassigned)</t>
  </si>
  <si>
    <t>Investigation in Progress - Age: 25 (Alexander Monge Obando)</t>
  </si>
  <si>
    <t>Investigation in Progress - Age: 19 (Karla Martinez)</t>
  </si>
  <si>
    <t>Pending Approval - Age: 21 (Leann Wanless)</t>
  </si>
  <si>
    <t>Investigation in Progress - Age: 10 (Marelyn Chavarria Acosta)</t>
  </si>
  <si>
    <t>Opened - Age: 10 (Unassigned)</t>
  </si>
  <si>
    <t>Opened - Age: 4 (Unassigned)</t>
  </si>
  <si>
    <t>Opened - Age: 4 (Evanny Acuna Chinchilla)</t>
  </si>
  <si>
    <t>FARID</t>
  </si>
  <si>
    <t>PR - Not Trained</t>
  </si>
  <si>
    <t>John</t>
  </si>
  <si>
    <t>FARID-PR - Not Trained</t>
  </si>
  <si>
    <t>2023-12-08T16:23:29Z</t>
  </si>
  <si>
    <t>2023-12-08T16:22:57Z</t>
  </si>
  <si>
    <t>Device Pacing Impedance High Out Of Range (5191:2172), Device Noisy Signals (5191:2124)</t>
  </si>
  <si>
    <t>Puerto Rico</t>
  </si>
  <si>
    <t>2023-11-07T19:26:15Z</t>
  </si>
  <si>
    <t>2023-12-06T04:14:04Z</t>
  </si>
  <si>
    <t>2023-11-28T13:15:17Z</t>
  </si>
  <si>
    <t>2023-11-28T13:10:55Z</t>
  </si>
  <si>
    <t>2023-12-11T11:16:27Z</t>
  </si>
  <si>
    <t>2023-12-11T11:09:13Z</t>
  </si>
  <si>
    <t>2023-11-29T01:39:00Z</t>
  </si>
  <si>
    <t>2023-12-07T00:25:05Z</t>
  </si>
  <si>
    <t>2023-12-07T01:06:38Z</t>
  </si>
  <si>
    <t>2023-12-05T14:57:27Z</t>
  </si>
  <si>
    <t>2023-11-28T22:26:43Z</t>
  </si>
  <si>
    <t>2023-11-27T15:58:52Z</t>
  </si>
  <si>
    <t>2023-11-28T22:24:36Z</t>
  </si>
  <si>
    <t>2023-12-07T04:31:58Z</t>
  </si>
  <si>
    <t>2023-08-23T02:17:02Z</t>
  </si>
  <si>
    <t>2023-12-04T21:01:00Z</t>
  </si>
  <si>
    <t>2023-09-15T09:48:03Z</t>
  </si>
  <si>
    <t>2023-11-30T01:51:39Z</t>
  </si>
  <si>
    <t>2023-12-08T02:06:21Z</t>
  </si>
  <si>
    <t>2023-09-28T17:11:55Z</t>
  </si>
  <si>
    <t>2023-12-04T21:27:52Z</t>
  </si>
  <si>
    <t>2023-09-12T15:51:53Z</t>
  </si>
  <si>
    <t>2023-12-01T06:16:50Z</t>
  </si>
  <si>
    <t>2023-12-06T20:07:50Z</t>
  </si>
  <si>
    <t>2023-12-06T20:13:21Z</t>
  </si>
  <si>
    <t>2023-11-28T22:12:29Z</t>
  </si>
  <si>
    <t>2023-10-16T18:14:57Z</t>
  </si>
  <si>
    <t>2023-12-07T22:20:42Z</t>
  </si>
  <si>
    <t>2023-12-07T22:25:15Z</t>
  </si>
  <si>
    <t>2023-12-04T14:48:25Z</t>
  </si>
  <si>
    <t>2023-10-27T05:06:36Z</t>
  </si>
  <si>
    <t>2023-11-27T18:20:53Z</t>
  </si>
  <si>
    <t>2023-10-27T04:53:53Z</t>
  </si>
  <si>
    <t>2023-12-04T17:38:47Z</t>
  </si>
  <si>
    <t>2023-11-28T09:35:48Z</t>
  </si>
  <si>
    <t>2023-11-30T14:22:18Z</t>
  </si>
  <si>
    <t>2023-12-05T13:35:10Z</t>
  </si>
  <si>
    <t>2023-11-22T23:10:44Z</t>
  </si>
  <si>
    <t>2023-11-29T05:27:46Z</t>
  </si>
  <si>
    <t>2023-11-23T01:42:14Z</t>
  </si>
  <si>
    <t>2023-12-07T15:57:04Z</t>
  </si>
  <si>
    <t>2023-11-23T01:38:00Z</t>
  </si>
  <si>
    <t>2023-12-06T21:19:12Z</t>
  </si>
  <si>
    <t>2023-11-16T13:47:48Z</t>
  </si>
  <si>
    <t>2023-12-06T22:39:59Z</t>
  </si>
  <si>
    <t>2023-11-28T17:01:54Z</t>
  </si>
  <si>
    <t>2023-11-28T15:47:34Z</t>
  </si>
  <si>
    <t>2023-11-30T01:14:55Z</t>
  </si>
  <si>
    <t>2023-11-30T17:02:54Z</t>
  </si>
  <si>
    <t>2023-12-01T13:14:37Z</t>
  </si>
  <si>
    <t>2023-12-06T21:59:27Z</t>
  </si>
  <si>
    <t>2023-12-06T22:03:24Z</t>
  </si>
  <si>
    <t>2023-11-28T21:10:39Z</t>
  </si>
  <si>
    <t>2023-12-06T09:11:28Z</t>
  </si>
  <si>
    <t>2023-12-06T02:32:07Z</t>
  </si>
  <si>
    <t>2023-12-07T00:11:18Z</t>
  </si>
  <si>
    <t>2023-12-07T16:19:31Z</t>
  </si>
  <si>
    <t>2023-12-04T16:30:24Z</t>
  </si>
  <si>
    <t>2023-12-11T13:56:49Z</t>
  </si>
  <si>
    <t>2023-11-29T14:19:19Z</t>
  </si>
  <si>
    <t>2023-12-04T16:38:23Z</t>
  </si>
  <si>
    <t>2023-12-05T14:45:44Z</t>
  </si>
  <si>
    <t>2023-11-29T14:21:53Z</t>
  </si>
  <si>
    <t>2023-12-07T15:22:33Z</t>
  </si>
  <si>
    <t>2023-12-06T09:18:21Z</t>
  </si>
  <si>
    <t>Lead Introducers</t>
  </si>
  <si>
    <t>Thailand</t>
  </si>
  <si>
    <t>Saudi Arabia</t>
  </si>
  <si>
    <t>New Zealand</t>
  </si>
  <si>
    <t>Device Noisy Signals (5191:2124), Lead Conductor Fracture (5355:1636), Device Oversensing (5191:2168)</t>
  </si>
  <si>
    <t>Introducer Detachment of Device or Device Component (5332:1188)</t>
  </si>
  <si>
    <t>Device Programmed Parameters Different Than Expected (5191:2250), Device Low Amplitude Or Poor Morphology (5191:1807), Device Device Displays Error Message (5191:1224)</t>
  </si>
  <si>
    <t>Device No Reported Allegation (5191:2104), Display/Touch Screen Unresponsive (5201:2447)</t>
  </si>
  <si>
    <t>Device Noisy Signals (5191:2124), Device Inappropriate Shock (5191:1698), Device Oversensing (5191:2168), Device Low Amplitude Or Poor Morphology (5191:1807)</t>
  </si>
  <si>
    <t>Device Power Issue - Outlet Not Working (5191:2227)</t>
  </si>
  <si>
    <t>Display/Touch Screen Damaged/Defective (5201:1163)</t>
  </si>
  <si>
    <t>Device Sending Issue (5191:2300), Device Connection Issue (5191:1133)</t>
  </si>
  <si>
    <t>Device No Tones When Expected (5191:2111)</t>
  </si>
  <si>
    <t>Other - See Latest Product Location</t>
  </si>
  <si>
    <t>Device Inappropriate Shock (5191:1698), Device Oversensing (5191:2168), Device Sense B Artifact Noise (5191:2873)</t>
  </si>
  <si>
    <t>Device Premature Discharge Of Battery (5191:2233), Device Device Displays Error Message (5191:1224), Device Gas Gauge/Longevity Not As Expected (5191:2869)</t>
  </si>
  <si>
    <t>Device Message - Error Code 1003 (5191:2716), Device Tone Pattern As Expected (5191:2409), Device Premature Discharge Of Battery (5191:2233)</t>
  </si>
  <si>
    <t>Device Premature Discharge Of Battery (5191:2233), Device Inappropriate Or Unexpected Reset (5191:1697)</t>
  </si>
  <si>
    <t>Device Device Sensing Issue (5191:1261), Device Inappropriate Shock (5191:1698)</t>
  </si>
  <si>
    <t>Device Migration (5191:2064), Device Shock Impedance High Out Of Range (5191:2318)</t>
  </si>
  <si>
    <t>Device Oversensing (5191:2168), Device Sense B Artifact Noise (5191:2873)</t>
  </si>
  <si>
    <t>Device Difficulty Converting Rhythm (Ambulatory) (5191:2870), Device Undersensing (5191:2434), Device Therapy Delivery/Effectiveness Problem (5191:2405)</t>
  </si>
  <si>
    <t>Device Low Amplitude Or Poor Morphology (5191:1807), Device Feature Unavailable Or Intermittent (5191:1604), Device Inappropriate Shock (5191:1698), Device Oversensing (5191:2168)</t>
  </si>
  <si>
    <t>Device Pacing Impedance High (5191:2171), Device High Capture Threshold (5191:1666), Device Device Displays Error Message (5191:1224)</t>
  </si>
  <si>
    <t>Device Oversensing (5191:2168), Device Inappropriate Shock (5191:1698)</t>
  </si>
  <si>
    <t>Device Device Displays Error Message (5191:1224), Device Impedance Issue (5191:1683)</t>
  </si>
  <si>
    <t>Device Low Amplitude Or Poor Morphology (5191:1807), Device Undersensing (5191:2434)</t>
  </si>
  <si>
    <t>Device Oversensing (5191:2168), Device Inappropriate Shock (5191:1698), Device Low Amplitude Or Poor Morphology (5191:1807)</t>
  </si>
  <si>
    <t>Device Gas Gauge/Longevity Not As Expected (5191:2869), Device Device Displays Error Message (5191:1224), Device Premature Discharge Of Battery (5191:2233)</t>
  </si>
  <si>
    <t>Device High Capture Threshold (5191:1666), Device Failure To Capture (5191:1491)</t>
  </si>
  <si>
    <t>Device Communication - RF Interference (5191:1118)</t>
  </si>
  <si>
    <t>Device Data Issue (5191:1166), Device Undersensing (5191:2434)</t>
  </si>
  <si>
    <t>Discomfort (9069), Electric Shock (9087)</t>
  </si>
  <si>
    <t>Malaise (9361)</t>
  </si>
  <si>
    <t>Investigation in Progress - Age: 66 (Unassigned)</t>
  </si>
  <si>
    <t>Investigation in Progress - Age: 33 (Unassigned)</t>
  </si>
  <si>
    <t>\</t>
  </si>
  <si>
    <t>2023-08-17T21:26:08Z</t>
  </si>
  <si>
    <t>DAVID</t>
  </si>
  <si>
    <t>11-Dic-23</t>
  </si>
  <si>
    <t>13-Dic-23</t>
  </si>
  <si>
    <t>2023-11-06T21:07:06Z</t>
  </si>
  <si>
    <t>Not trained</t>
  </si>
  <si>
    <t>PR</t>
  </si>
  <si>
    <t>Christian</t>
  </si>
  <si>
    <t>14-Dic-23</t>
  </si>
  <si>
    <t>2023-09-04T21:11:42Z</t>
  </si>
  <si>
    <t>12-Dic-23</t>
  </si>
  <si>
    <t>Axel</t>
  </si>
  <si>
    <t>2023-11-22T13:40:18Z</t>
  </si>
  <si>
    <t>2023-06-20T19:14:36Z</t>
  </si>
  <si>
    <t>2023-11-22T16:29:41Z</t>
  </si>
  <si>
    <t>2023-08-29T15:04:38Z</t>
  </si>
  <si>
    <t>2023-10-19T18:45:41Z</t>
  </si>
  <si>
    <t>2023-10-18T22:52:54Z</t>
  </si>
  <si>
    <t>2023-10-05T18:14:21Z</t>
  </si>
  <si>
    <t>2023-10-16T18:51:48Z</t>
  </si>
  <si>
    <t>2023-10-16T16:17:39Z</t>
  </si>
  <si>
    <t>2023-10-18T00:41:24Z</t>
  </si>
  <si>
    <t>2023-08-03T00:38:34Z</t>
  </si>
  <si>
    <t xml:space="preserve">ALEX </t>
  </si>
  <si>
    <t>2023-10-16T18:23:39Z</t>
  </si>
  <si>
    <t>2023-10-23T11:38:21Z</t>
  </si>
  <si>
    <t>2023-09-12T21:37:20Z</t>
  </si>
  <si>
    <t>Ask CMC</t>
  </si>
  <si>
    <t>2023-11-09T15:43:24Z</t>
  </si>
  <si>
    <t>2023-11-09T15:44:35Z</t>
  </si>
  <si>
    <t>2023-11-09T21:08:33Z</t>
  </si>
  <si>
    <t>2023-12-14T16:00:42Z</t>
  </si>
  <si>
    <t>2023-12-12T14:02:01Z</t>
  </si>
  <si>
    <t>2023-12-14T21:03:08Z</t>
  </si>
  <si>
    <t>2023-12-14T17:05:08Z</t>
  </si>
  <si>
    <t>2023-12-14T19:35:09Z</t>
  </si>
  <si>
    <t>2023-12-15T15:27:50Z</t>
  </si>
  <si>
    <t>2023-12-15T17:13:33Z</t>
  </si>
  <si>
    <t>2023-12-12T19:45:52Z</t>
  </si>
  <si>
    <t>2023-12-14T18:59:52Z</t>
  </si>
  <si>
    <t>2023-12-12T23:03:51Z</t>
  </si>
  <si>
    <t>2023-12-11T20:43:24Z</t>
  </si>
  <si>
    <t>2023-12-13T15:07:08Z</t>
  </si>
  <si>
    <t>2023-12-18T00:06:31Z</t>
  </si>
  <si>
    <t>2023-12-15T18:35:44Z</t>
  </si>
  <si>
    <t>2023-12-15T18:38:23Z</t>
  </si>
  <si>
    <t>2023-12-14T19:12:53Z</t>
  </si>
  <si>
    <t>2023-12-14T20:24:11Z</t>
  </si>
  <si>
    <t>2023-12-11T17:07:55Z</t>
  </si>
  <si>
    <t>2023-12-13T16:47:07Z</t>
  </si>
  <si>
    <t>2023-12-16T01:17:38Z</t>
  </si>
  <si>
    <t>2023-12-16T00:16:10Z</t>
  </si>
  <si>
    <t>2023-09-27T14:33:08Z</t>
  </si>
  <si>
    <t>2023-12-15T17:04:46Z</t>
  </si>
  <si>
    <t>2023-12-12T13:44:40Z</t>
  </si>
  <si>
    <t>2023-12-13T05:31:19Z</t>
  </si>
  <si>
    <t>2023-09-28T18:05:07Z</t>
  </si>
  <si>
    <t>2023-11-27T22:21:19Z</t>
  </si>
  <si>
    <t>2023-12-11T19:03:59Z</t>
  </si>
  <si>
    <t>2023-12-14T18:01:35Z</t>
  </si>
  <si>
    <t>2023-12-15T23:58:28Z</t>
  </si>
  <si>
    <t>2023-10-12T16:52:05Z</t>
  </si>
  <si>
    <t>2023-12-12T23:40:19Z</t>
  </si>
  <si>
    <t>2023-10-12T18:14:46Z</t>
  </si>
  <si>
    <t>2023-12-12T00:04:55Z</t>
  </si>
  <si>
    <t>2023-10-20T08:47:32Z</t>
  </si>
  <si>
    <t>2023-12-16T01:06:25Z</t>
  </si>
  <si>
    <t>2023-11-07T05:43:22Z</t>
  </si>
  <si>
    <t>2023-12-13T02:38:01Z</t>
  </si>
  <si>
    <t>2023-12-15T20:52:02Z</t>
  </si>
  <si>
    <t>2023-12-15T20:52:03Z</t>
  </si>
  <si>
    <t>2023-10-20T09:45:42Z</t>
  </si>
  <si>
    <t>2023-12-14T19:13:51Z</t>
  </si>
  <si>
    <t>2023-10-20T09:24:53Z</t>
  </si>
  <si>
    <t>2023-12-16T05:51:30Z</t>
  </si>
  <si>
    <t>2023-10-20T09:16:37Z</t>
  </si>
  <si>
    <t>2023-12-16T04:50:28Z</t>
  </si>
  <si>
    <t>2023-12-14T18:36:34Z</t>
  </si>
  <si>
    <t>2023-12-11T17:01:07Z</t>
  </si>
  <si>
    <t>2023-12-13T19:41:00Z</t>
  </si>
  <si>
    <t>2023-11-07T04:59:06Z</t>
  </si>
  <si>
    <t>2023-12-14T18:58:41Z</t>
  </si>
  <si>
    <t>2023-12-13T22:28:08Z</t>
  </si>
  <si>
    <t>2023-10-31T15:43:30Z</t>
  </si>
  <si>
    <t>2023-12-14T13:01:46Z</t>
  </si>
  <si>
    <t>2023-11-07T01:52:19Z</t>
  </si>
  <si>
    <t>2023-12-14T18:45:35Z</t>
  </si>
  <si>
    <t>2023-12-14T16:58:09Z</t>
  </si>
  <si>
    <t>2023-12-15T20:40:41Z</t>
  </si>
  <si>
    <t>2023-12-11T15:57:40Z</t>
  </si>
  <si>
    <t>2023-11-16T06:23:03Z</t>
  </si>
  <si>
    <t>2023-12-08T16:44:31Z</t>
  </si>
  <si>
    <t>2023-12-15T18:22:39Z</t>
  </si>
  <si>
    <t>2023-11-14T01:26:04Z</t>
  </si>
  <si>
    <t>2023-12-12T14:21:59Z</t>
  </si>
  <si>
    <t>2023-11-15T21:24:51Z</t>
  </si>
  <si>
    <t>2023-12-14T22:32:21Z</t>
  </si>
  <si>
    <t>2023-12-12T23:08:40Z</t>
  </si>
  <si>
    <t>2023-12-13T01:59:28Z</t>
  </si>
  <si>
    <t>2023-12-13T00:36:37Z</t>
  </si>
  <si>
    <t>2023-12-13T00:36:38Z</t>
  </si>
  <si>
    <t>2023-12-15T16:21:14Z</t>
  </si>
  <si>
    <t>2023-12-15T18:02:42Z</t>
  </si>
  <si>
    <t>2023-12-07T01:55:33Z</t>
  </si>
  <si>
    <t>2023-12-13T17:49:23Z</t>
  </si>
  <si>
    <t>2023-12-13T17:48:39Z</t>
  </si>
  <si>
    <t>2023-12-07T15:35:25Z</t>
  </si>
  <si>
    <t>2023-12-18T08:53:02Z</t>
  </si>
  <si>
    <t>2023-12-14T20:14:15Z</t>
  </si>
  <si>
    <t>2023-12-07T15:43:38Z</t>
  </si>
  <si>
    <t>2023-12-15T14:33:10Z</t>
  </si>
  <si>
    <t>2023-12-06T12:28:19Z</t>
  </si>
  <si>
    <t>2023-12-13T16:43:22Z</t>
  </si>
  <si>
    <t>2023-12-13T16:57:09Z</t>
  </si>
  <si>
    <t>2023-12-13T20:27:22Z</t>
  </si>
  <si>
    <t>2023-12-13T02:02:06Z</t>
  </si>
  <si>
    <t>2023-12-16T05:24:48Z</t>
  </si>
  <si>
    <t>2023-12-07T15:19:11Z</t>
  </si>
  <si>
    <t>2023-12-11T17:10:35Z</t>
  </si>
  <si>
    <t>2023-12-07T01:27:52Z</t>
  </si>
  <si>
    <t>2023-12-15T01:18:00Z</t>
  </si>
  <si>
    <t>2023-12-13T21:02:03Z</t>
  </si>
  <si>
    <t>2023-12-15T18:58:41Z</t>
  </si>
  <si>
    <t>2023-12-15T19:03:28Z</t>
  </si>
  <si>
    <t>2023-12-11T23:32:45Z</t>
  </si>
  <si>
    <t>2023-12-14T15:04:12Z</t>
  </si>
  <si>
    <t>2023-12-13T23:03:21Z</t>
  </si>
  <si>
    <t>2023-12-13T04:20:14Z</t>
  </si>
  <si>
    <t>2023-12-18T14:23:06Z</t>
  </si>
  <si>
    <t>2023-12-13T14:00:46Z</t>
  </si>
  <si>
    <t>2023-12-14T20:03:34Z</t>
  </si>
  <si>
    <t>2023-11-28T16:41:07Z</t>
  </si>
  <si>
    <t>2023-12-08T21:56:57Z</t>
  </si>
  <si>
    <t>2023-12-01T07:36:34Z</t>
  </si>
  <si>
    <t>2019-06-17T05:50:00Z</t>
  </si>
  <si>
    <t>2023-12-12T16:02:28Z</t>
  </si>
  <si>
    <t>2023-12-15T07:01:53Z</t>
  </si>
  <si>
    <t>2023-12-14T21:44:28Z</t>
  </si>
  <si>
    <t>2023-12-15T16:03:26Z</t>
  </si>
  <si>
    <t>2023-12-12T21:18:41Z</t>
  </si>
  <si>
    <t>2023-12-15T21:10:26Z</t>
  </si>
  <si>
    <t>2023-12-14T21:35:01Z</t>
  </si>
  <si>
    <t>2023-12-13T07:32:35Z</t>
  </si>
  <si>
    <t>2023-11-22T21:06:20Z</t>
  </si>
  <si>
    <t>2023-12-06T07:08:18Z</t>
  </si>
  <si>
    <t>2023-11-28T16:37:08Z</t>
  </si>
  <si>
    <t>2023-12-11T16:02:26Z</t>
  </si>
  <si>
    <t>2023-11-29T07:56:05Z</t>
  </si>
  <si>
    <t>2023-12-11T21:36:57Z</t>
  </si>
  <si>
    <t>2023-12-13T16:24:32Z</t>
  </si>
  <si>
    <t>2023-12-18T07:30:14Z</t>
  </si>
  <si>
    <t>2023-12-07T07:05:24Z</t>
  </si>
  <si>
    <t>2023-12-07T07:14:06Z</t>
  </si>
  <si>
    <t>2023-12-13T21:21:35Z</t>
  </si>
  <si>
    <t>2023-12-05T16:51:36Z</t>
  </si>
  <si>
    <t>2023-12-15T21:06:15Z</t>
  </si>
  <si>
    <t>2023-11-29T08:23:19Z</t>
  </si>
  <si>
    <t>2023-11-27T21:44:20Z</t>
  </si>
  <si>
    <t>2023-11-29T08:28:57Z</t>
  </si>
  <si>
    <t>2023-12-14T21:28:19Z</t>
  </si>
  <si>
    <t>2023-12-14T21:43:57Z</t>
  </si>
  <si>
    <t>2023-12-14T16:17:42Z</t>
  </si>
  <si>
    <t>2023-12-13T21:06:53Z</t>
  </si>
  <si>
    <t>2023-12-07T07:11:15Z</t>
  </si>
  <si>
    <t>2023-12-16T07:24:02Z</t>
  </si>
  <si>
    <t>2023-12-05T16:33:16Z</t>
  </si>
  <si>
    <t>2023-12-08T07:30:46Z</t>
  </si>
  <si>
    <t>2023-12-05T16:58:14Z</t>
  </si>
  <si>
    <t>2023-12-16T07:33:04Z</t>
  </si>
  <si>
    <t>2023-12-15T21:15:14Z</t>
  </si>
  <si>
    <t>2023-12-12T16:29:26Z</t>
  </si>
  <si>
    <t>2023-12-13T07:31:42Z</t>
  </si>
  <si>
    <t>2023-12-11T16:27:05Z</t>
  </si>
  <si>
    <t>2023-12-01T07:33:23Z</t>
  </si>
  <si>
    <t>2023-12-06T21:55:50Z</t>
  </si>
  <si>
    <t>2023-12-16T07:33:35Z</t>
  </si>
  <si>
    <t>2023-12-13T07:50:38Z</t>
  </si>
  <si>
    <t>2023-11-29T08:28:46Z</t>
  </si>
  <si>
    <t>2023-12-12T07:53:09Z</t>
  </si>
  <si>
    <t>2023-12-16T07:29:56Z</t>
  </si>
  <si>
    <t>2023-12-13T07:42:11Z</t>
  </si>
  <si>
    <t>2023-12-15T21:03:27Z</t>
  </si>
  <si>
    <t>2023-12-14T21:29:04Z</t>
  </si>
  <si>
    <t>2023-12-16T07:29:29Z</t>
  </si>
  <si>
    <t>2023-12-08T07:46:21Z</t>
  </si>
  <si>
    <t>2023-11-29T21:49:32Z</t>
  </si>
  <si>
    <t>2023-12-16T07:27:38Z</t>
  </si>
  <si>
    <t>2023-12-14T21:06:56Z</t>
  </si>
  <si>
    <t>2023-12-04T16:28:15Z</t>
  </si>
  <si>
    <t>2023-12-11T21:43:33Z</t>
  </si>
  <si>
    <t>2023-12-13T21:09:24Z</t>
  </si>
  <si>
    <t>2023-12-14T21:28:41Z</t>
  </si>
  <si>
    <t>2023-11-27T21:33:48Z</t>
  </si>
  <si>
    <t>2023-12-14T07:38:23Z</t>
  </si>
  <si>
    <t>2023-12-04T21:31:46Z</t>
  </si>
  <si>
    <t>2023-12-14T16:13:57Z</t>
  </si>
  <si>
    <t>2023-12-14T21:07:25Z</t>
  </si>
  <si>
    <t>2023-12-15T21:33:20Z</t>
  </si>
  <si>
    <t>2023-11-28T16:25:46Z</t>
  </si>
  <si>
    <t>2023-12-05T16:20:06Z</t>
  </si>
  <si>
    <t>2023-12-07T21:33:22Z</t>
  </si>
  <si>
    <t>2023-12-11T21:06:55Z</t>
  </si>
  <si>
    <t>2023-11-29T08:18:50Z</t>
  </si>
  <si>
    <t>2023-12-07T16:21:19Z</t>
  </si>
  <si>
    <t>2023-12-08T21:58:44Z</t>
  </si>
  <si>
    <t>2023-12-15T21:30:03Z</t>
  </si>
  <si>
    <t>2023-12-12T16:02:53Z</t>
  </si>
  <si>
    <t>2023-12-07T07:15:31Z</t>
  </si>
  <si>
    <t>2023-12-15T07:13:51Z</t>
  </si>
  <si>
    <t>2023-11-16T16:05:05Z</t>
  </si>
  <si>
    <t>2023-12-13T07:43:38Z</t>
  </si>
  <si>
    <t>2023-11-29T08:09:32Z</t>
  </si>
  <si>
    <t>2023-11-29T08:19:08Z</t>
  </si>
  <si>
    <t>2023-12-13T07:32:47Z</t>
  </si>
  <si>
    <t>2023-11-28T16:41:29Z</t>
  </si>
  <si>
    <t>2023-11-30T07:43:59Z</t>
  </si>
  <si>
    <t>2023-11-30T21:52:29Z</t>
  </si>
  <si>
    <t>2023-12-07T07:18:58Z</t>
  </si>
  <si>
    <t>2023-11-29T08:09:49Z</t>
  </si>
  <si>
    <t>2023-12-15T21:13:52Z</t>
  </si>
  <si>
    <t>2023-12-06T16:17:11Z</t>
  </si>
  <si>
    <t>2023-12-15T21:31:33Z</t>
  </si>
  <si>
    <t>2023-12-13T21:19:46Z</t>
  </si>
  <si>
    <t>2023-12-18T16:03:46Z</t>
  </si>
  <si>
    <t>2023-12-14T21:09:13Z</t>
  </si>
  <si>
    <t>2023-12-06T07:23:19Z</t>
  </si>
  <si>
    <t>2023-12-07T21:44:27Z</t>
  </si>
  <si>
    <t>2023-12-15T16:10:26Z</t>
  </si>
  <si>
    <t>2023-12-04T21:42:19Z</t>
  </si>
  <si>
    <t>2023-12-11T16:18:33Z</t>
  </si>
  <si>
    <t>2023-11-29T16:29:36Z</t>
  </si>
  <si>
    <t>2023-12-04T21:37:55Z</t>
  </si>
  <si>
    <t>2023-12-13T21:17:19Z</t>
  </si>
  <si>
    <t>2023-12-13T21:42:14Z</t>
  </si>
  <si>
    <t>2023-12-13T21:11:29Z</t>
  </si>
  <si>
    <t>2023-12-13T07:38:41Z</t>
  </si>
  <si>
    <t>2023-12-16T07:25:46Z</t>
  </si>
  <si>
    <t>2023-12-11T21:03:51Z</t>
  </si>
  <si>
    <t>2023-12-15T07:14:05Z</t>
  </si>
  <si>
    <t>2023-12-14T07:44:04Z</t>
  </si>
  <si>
    <t>2023-12-15T21:15:37Z</t>
  </si>
  <si>
    <t>2023-12-12T07:45:28Z</t>
  </si>
  <si>
    <t>2023-12-05T17:03:00Z</t>
  </si>
  <si>
    <t>2023-12-05T16:33:39Z</t>
  </si>
  <si>
    <t>2023-11-29T16:20:23Z</t>
  </si>
  <si>
    <t>2023-12-14T16:20:22Z</t>
  </si>
  <si>
    <t>2023-12-05T16:46:00Z</t>
  </si>
  <si>
    <t>2023-12-07T16:45:40Z</t>
  </si>
  <si>
    <t>2023-12-06T16:25:32Z</t>
  </si>
  <si>
    <t>2023-12-14T07:46:02Z</t>
  </si>
  <si>
    <t>2023-12-13T07:48:00Z</t>
  </si>
  <si>
    <t>2023-12-18T16:06:16Z</t>
  </si>
  <si>
    <t>2023-12-15T21:08:04Z</t>
  </si>
  <si>
    <t>2023-12-13T16:12:23Z</t>
  </si>
  <si>
    <t>2023-12-14T21:09:50Z</t>
  </si>
  <si>
    <t>2023-12-13T21:08:40Z</t>
  </si>
  <si>
    <t>Apply</t>
  </si>
  <si>
    <t>Latitude G2 Communicator</t>
  </si>
  <si>
    <t>Poland</t>
  </si>
  <si>
    <t>South Korea</t>
  </si>
  <si>
    <t>Device Difficult To Interrogate/Telemetry (Wand) (5191:1322), Device Communication Or Transmission Issue (5191:1122)</t>
  </si>
  <si>
    <t>Device Undersensing (5191:2434)</t>
  </si>
  <si>
    <t>Electrode End Damaged/Defective (5223:1163), Device User Used Incorrect Product For Intended Use (5191:2460)</t>
  </si>
  <si>
    <t>Device Difficult To Interrogate/Telemetry (Wand) (5191:1322), Device Premature Discharge Of Battery (5191:2233)</t>
  </si>
  <si>
    <t>Device Low Amplitude Or Poor Morphology (5191:1807), Device Difficult To Position (5191:1336), Electrode End Difficult/Unable to Extend/Retract Helix (5223:2699)</t>
  </si>
  <si>
    <t>Device Premature Discharge Of Battery (5191:2233), Device Brady Pacing Not Delivered When Required (5191:1046)</t>
  </si>
  <si>
    <t>Device Noisy Signals (5191:2124), Device Oversensing (5191:2168), Device Brady Pacing Not Delivered When Required (5191:1046), Device Pacing Impedance High Out Of Range (5191:2172)</t>
  </si>
  <si>
    <t>Device Pacing Impedance High (5191:2171), Device Non Specific Product Performance Allegation (5191:2867), Device High Capture Threshold (5191:1666)</t>
  </si>
  <si>
    <t>Device Brady Pacing Rate Not As Expected (5191:1047), Device No Reported Allegation (5191:2104)</t>
  </si>
  <si>
    <t>Device Oversensing (5191:2168), Device Inappropriate Shock (5191:1698), Device Noisy Signals (5191:2124), Device Low Amplitude Or Poor Morphology (5191:1807), Device Undersensing (5191:2434)</t>
  </si>
  <si>
    <t>Device Oversensing (5191:2168), Device Undersensing (5191:2434), Device Noisy Signals (5191:2124), Device Low Amplitude Or Poor Morphology (5191:1807), Device Inappropriate Shock (5191:1698)</t>
  </si>
  <si>
    <t>Insulation Damaged/Defective (5331:1163), Device Noisy Signals (5191:2124)</t>
  </si>
  <si>
    <t>Device No Reported Allegation (5191:2104), Device Oversensing (5191:2168), Device Low Amplitude Or Poor Morphology (5191:1807), Device Inappropriate Shock (5191:1698)</t>
  </si>
  <si>
    <t>Device Noisy Signals (5191:2124), Device Pacing Impedance Low Out Of Range (5191:2175), Device High Capture Threshold (5191:1666)</t>
  </si>
  <si>
    <t>Device Low Amplitude Or Poor Morphology (5191:1807), Device Inappropriate Shock (5191:1698), Device Oversensing (5191:2168), Device Noisy Signals (5191:2124)</t>
  </si>
  <si>
    <t>Device Failure To Convert Rhythm (5191:1504), Device Difficulty Converting Rhythm (Ambulatory) (5191:2870)</t>
  </si>
  <si>
    <t>Device No Reported Allegation (5191:2104), Device Gas Gauge/Longevity Not As Expected (5191:2869)</t>
  </si>
  <si>
    <t>Device Shock Impedance High Out Of Range (5191:2318), Device Low Amplitude Or Poor Morphology (5191:1807)</t>
  </si>
  <si>
    <t>Device Failure To Convert Rhythm (5191:1504), Device Inappropriate Shock (5191:1698), Device Shock Impedance High Within Normal Limits (5191:2319), Device Oversensing (5191:2168), Device Noisy Signals (5191:2124), Device Therapy Delivery/Effectiveness Problem (5191:2405)</t>
  </si>
  <si>
    <t>Device Premature Discharge Of Battery (5191:2233), Device Gas Gauge/Longevity Not As Expected (5191:2869), Device Device Displays Error Message (5191:1224), Device Data Issue (5191:1166)</t>
  </si>
  <si>
    <t>Device Pacing Impedance Low Out Of Range (5191:2175), Device Noisy Signals (5191:2124), Insulation Damaged/Defective (5331:1163)</t>
  </si>
  <si>
    <t>Device Inappropriate Shock (5191:1698), Device Shock Impedance High Within Normal Limits (5191:2319), Device Oversensing (5191:2168), Device Noisy Signals (5191:2124)</t>
  </si>
  <si>
    <t>Device Noisy Signals (5191:2124), Device Oversensing (5191:2168), Lead Conductor Fracture (5355:1636), Device Low Amplitude Or Poor Morphology (5191:1807), Device Inappropriate Shock (5191:1698)</t>
  </si>
  <si>
    <t>Device Failure To Convert Rhythm (5191:1504), Device Non Specific Product Performance Allegation (5191:2867)</t>
  </si>
  <si>
    <t>Device Inappropriate Shock (5191:1698), Device Device Displays Error Message (5191:1224), Device Shock Impedance High Out Of Range (5191:2318)</t>
  </si>
  <si>
    <t>Device Oversensing (5191:2168), Device Low Amplitude Or Poor Morphology (5191:1807), Device Inappropriate Shock (5191:1698), Device Undersensing (5191:2434)</t>
  </si>
  <si>
    <t>Device Impedance Issue (5191:1683), Device Shock Impedance High Out Of Range (5191:2318), Device Inappropriate Shock (5191:1698), Device Failure To Convert Rhythm (5191:1504)</t>
  </si>
  <si>
    <t>Device Noisy Signals (5191:2124), Device Oversensing (5191:2168), Device Device Displays Error Message (5191:1224), Device Low Amplitude Or Poor Morphology (5191:1807)</t>
  </si>
  <si>
    <t>Device Low Amplitude Or Poor Morphology (5191:1807), Device Tone Pattern As Expected (5191:2409), Device Device Displays Error Message (5191:1224), Device Inappropriate Shock (5191:1698), Device Programmed Parameters Different Than Expected (5191:2250)</t>
  </si>
  <si>
    <t>Device Difficulty Converting Rhythm (Ambulatory) (5191:2870), Device Inappropriate Shock (5191:1698), Device Low Amplitude Or Poor Morphology (5191:1807), Device Oversensing (5191:2168)</t>
  </si>
  <si>
    <t>Device Failure To Convert Rhythm (5191:1504), Device Inappropriate Shock (5191:1698), Device Impedance Issue (5191:1683), Device Shock Impedance High Out Of Range (5191:2318)</t>
  </si>
  <si>
    <t>Device Damaged (5191:1160)</t>
  </si>
  <si>
    <t>Device Inappropriate Shock (5191:1698), Device Oversensing (5191:2168), Device Premature Discharge Of Battery (5191:2233)</t>
  </si>
  <si>
    <t>Device Brady Pacing Rate Not As Expected (5191:1047), Device Data Issue (5191:1166)</t>
  </si>
  <si>
    <t>Device Shock Impedance Low (5191:2320), Device Sense B Artifact Noise (5191:2873), Device Inappropriate Shock (5191:1698), Device Delayed Charge Time (5191:1176)</t>
  </si>
  <si>
    <t>Device Oversensing (5191:2168), Device Therapy Delivery/Effectiveness Problem (5191:2405), Device Inappropriate Shock (5191:1698), Device Shock Impedance Low (5191:2320), Device Sense B Artifact Noise (5191:2873)</t>
  </si>
  <si>
    <t>Device Oversensing (5191:2168), Device Inappropriate Shock (5191:1698), Device Undersensing (5191:2434), Device Low Amplitude Or Poor Morphology (5191:1807)</t>
  </si>
  <si>
    <t>Device Oversensing (5191:2168), Device Undersensing (5191:2434), Device Noisy Signals (5191:2124), Device Inappropriate Shock (5191:1698)</t>
  </si>
  <si>
    <t>Device Error During Interrogation - Resolved (5191:2799), Display/Touch Screen Unresponsive (5201:2447)</t>
  </si>
  <si>
    <t>Device Noisy Signals (5191:2124), Device Undersensing (5191:2434), Device Oversensing (5191:2168)</t>
  </si>
  <si>
    <t>Device Communication/Connection Issue At Set-Up (5191:3114)</t>
  </si>
  <si>
    <t>Stylet Difficult To Insert (5608:1307)</t>
  </si>
  <si>
    <t>Device Noisy Signals (5191:2124), Device High Capture Threshold (5191:1666)</t>
  </si>
  <si>
    <t>Programmer Wand Damaged (5495:1160)</t>
  </si>
  <si>
    <t>Device High Capture Threshold (5191:1666), Device Failure To Capture (5191:1491), Device Pacing Impedance High (5191:2171)</t>
  </si>
  <si>
    <t>Device Oversensing (5191:2168), Device Device Displays Error Message (5191:1224), Device Inappropriate Shock (5191:1698), Device Premature Discharge Of Battery (5191:2233), Device Shock Impedance High Out Of Range (5191:2318)</t>
  </si>
  <si>
    <t>Device Device Displays Error Message (5191:1224), Device Noisy Signals (5191:2124), Device Oversensing (5191:2168), Device Premature Discharge Of Battery (5191:2233), Device Low Amplitude Or Poor Morphology (5191:1807), Device Inappropriate Shock (5191:1698)</t>
  </si>
  <si>
    <t>Device Miscellaneous/Other (5191:2068), Device Hardware Issue (5191:1662)</t>
  </si>
  <si>
    <t>Device Gas Gauge/Longevity Not As Expected (5191:2869), Device Message - Error Code 1003 (5191:2716), Device Premature Discharge Of Battery (5191:2233)</t>
  </si>
  <si>
    <t>Device Pacing Impedance High Out Of Range (5191:2172), Device MV/RRT Noise Or Oversensing (5191:2712)</t>
  </si>
  <si>
    <t>Device Error During Upgrade - Resolved (5191:2802)</t>
  </si>
  <si>
    <t>Device Oversensing (5191:2168), Device Noisy Signals (5191:2124), Device Tone Pattern As Expected (5191:2409), Device Impedance Issue (5191:1683), Device Pacing Impedance Low Out Of Range (5191:2175)</t>
  </si>
  <si>
    <t>Device Oversensing (5191:2168), Device Low Amplitude Or Poor Morphology (5191:1807), Device Brady Pacing Not Delivered When Required (5191:1046)</t>
  </si>
  <si>
    <t>Device Pacing Impedance High Out Of Range (5191:2172), Device Pacing Impedance Low Out Of Range (5191:2175)</t>
  </si>
  <si>
    <t>Device Sending Issue (5191:2300), Device Communication - RF Interference (5191:1118)</t>
  </si>
  <si>
    <t>Device Inappropriate Shock (5191:1698), Device Low Amplitude Or Poor Morphology (5191:1807), Device Undersensing (5191:2434), Device Oversensing (5191:2168)</t>
  </si>
  <si>
    <t>Device Website Patient Website Issue (5191:2467), Device Hardware Issue (5191:1662)</t>
  </si>
  <si>
    <t>Device Connection Issue (5191:1133), Device Communicator Issue (5191:1123)</t>
  </si>
  <si>
    <t>Device Connection Issue (5191:1133), Device Sending Issue (5191:2300)</t>
  </si>
  <si>
    <t>Device Communicator Issue (5191:1123), Device Screen Issue (5191:2294)</t>
  </si>
  <si>
    <t>Device Noisy Signals (5191:2124), Device Oversensing (5191:2168), Device Pacing Impedance Low Within Normal Limits (5191:2176)</t>
  </si>
  <si>
    <t>Lead Conductor Fracture (5355:1636), Device Noisy Signals (5191:2124), Device High Capture Threshold (5191:1666)</t>
  </si>
  <si>
    <t>Device Failure To Capture (5191:1491), Device High Capture Threshold (5191:1666), Device Pacing Impedance High Out Of Range (5191:2172)</t>
  </si>
  <si>
    <t>Device Pacing Impedance High Out Of Range (5191:2172), Device Oversensing (5191:2168), Device Noisy Signals (5191:2124)</t>
  </si>
  <si>
    <t>Device Connection Issue - Cellular (5191:1134), Device Communication - Incomplete Interrogation (5191:1116)</t>
  </si>
  <si>
    <t>Device Shock Impedance Low Out Of Range (5191:2321), Lead Conductor Fracture (5355:1636)</t>
  </si>
  <si>
    <t>Device Brady Pacing Not Delivered When Required (5191:1046), Device Noisy Signals (5191:2124), Device Pacing Impedance High Out Of Range (5191:2172), Device Oversensing (5191:2168), Device Failure To Capture (5191:1491)</t>
  </si>
  <si>
    <t>Device Noisy Signals (5191:2124), Device Oversensing (5191:2168), Device Low Amplitude Or Poor Morphology (5191:1807)</t>
  </si>
  <si>
    <t>Device Noisy Signals (5191:2124), Device Low Amplitude Or Poor Morphology (5191:1807), Device Oversensing (5191:2168)</t>
  </si>
  <si>
    <t>Device Failure To Capture (5191:1491), Device Pacing Impedance High Out Of Range (5191:2172)</t>
  </si>
  <si>
    <t>Device Gas Gauge/Longevity Not As Expected (5191:2869), Device Premature Discharge Of Battery (5191:2233), Device Device Displays Error Message (5191:1224), Device Impedance Issue (5191:1683)</t>
  </si>
  <si>
    <t>Device High Capture Threshold (5191:1666), Device Shock Impedance High Out Of Range (5191:2318)</t>
  </si>
  <si>
    <t>Ventricular Tachycardia (9300), Electric Shock (9087)</t>
  </si>
  <si>
    <t>Infection (9151), Perforation, Cardiac (9216)</t>
  </si>
  <si>
    <t>Syncope (9267)</t>
  </si>
  <si>
    <t>Dizziness (9073), Fatigue (9111), Palpitations (9209), No Code Available (9193), Dyspnea (9078), Chest Tightness/Pressure (9049), Asystole (9333), Syncope (9267)</t>
  </si>
  <si>
    <t>Erosion (9099), Inflammation, Skin (9157)</t>
  </si>
  <si>
    <t>Implant Pain (9354), Burning Sensation (9039)</t>
  </si>
  <si>
    <t>Erosion, Pocket (9100), Infection (9151)</t>
  </si>
  <si>
    <t>Palpitations (9209)</t>
  </si>
  <si>
    <t>Undesired Sensations, Non-Target Stimulation Area (9286)</t>
  </si>
  <si>
    <t>Bradycardia (9030), Dyspnea (9078), Surgery (9263)</t>
  </si>
  <si>
    <t>Israel</t>
  </si>
  <si>
    <t>Costa Rica</t>
  </si>
  <si>
    <t>Hungary</t>
  </si>
  <si>
    <t>Device Gas Gauge/Longevity Not As Expected (5191:2869), Device Difficult To Interrogate/Telemetry (Wand) (5191:1322), Device Noisy Signals (5191:2124), Device Brady Pacing Not Delivered When Required (5191:1046)</t>
  </si>
  <si>
    <t>Device Noisy Signals (5191:2124), Device Shock Impedance High (5191:2317), Insulation Damaged/Defective (5331:1163), Device Oversensing (5191:2168)</t>
  </si>
  <si>
    <t>Device Noisy Signals (5191:2124), Device Oversensing (5191:2168), Device Shock Impedance High Out Of Range (5191:2318)</t>
  </si>
  <si>
    <t>Device Failure To Capture (5191:1491), Device Premature Discharge Of Battery (5191:2233), Device Feature Unavailable Or Intermittent (5191:1604), Device Pacing Impedance Low (5191:2174), Device High Capture Threshold (5191:1666), Device Gas Gauge/Longevity Not As Expected (5191:2869)</t>
  </si>
  <si>
    <t>Device Tone Pattern As Expected (5191:2409), Device Delayed Charge Time (5191:1176), Device Device Displays Error Message (5191:1224), Device Impedance Issue (5191:1683)</t>
  </si>
  <si>
    <t>Device Oversensing (5191:2168), Device ATP Delivered When Not Required (5191:1022), Device Noisy Signals (5191:2124), Device Inappropriate Shock (5191:1698)</t>
  </si>
  <si>
    <t>Device Inappropriate Shock (5191:1698), Device Oversensing (5191:2168), Device Rhythm Acceleration (5191:2278), Device ATP Delivered When Not Required (5191:1022)</t>
  </si>
  <si>
    <t>Device Damaged/Defective (5191:1163), Device Failure To Capture (5191:1491)</t>
  </si>
  <si>
    <t>Device Difficulty Converting Rhythm (Induced) (5191:2871), Device Difficult To Induce An Arrhythmia During Induction/DFT Testing. (5191:2872)</t>
  </si>
  <si>
    <t>Lead Conductor Fracture (5355:1636), Device Noisy Signals (5191:2124), Device Inappropriate Shock (5191:1698), Device Oversensing (5191:2168)</t>
  </si>
  <si>
    <t>Device Brady Pacing Not Delivered When Required (5191:1046), Lead Conductor Fracture (5355:1636), Device Noisy Signals (5191:2124), Device Oversensing (5191:2168), Device Pacing Impedance Low Within Normal Limits (5191:2176), Device High Capture Threshold (5191:1666)</t>
  </si>
  <si>
    <t>Device Device Displays Error Message (5191:1224), Device Brady Pacing Not Delivered When Required (5191:1046)</t>
  </si>
  <si>
    <t>Device Shock Impedance High Out Of Range (5191:2318), Device Oversensing (5191:2168), Lead Conductor Fracture (5355:1636), Device Noisy Signals (5191:2124)</t>
  </si>
  <si>
    <t>Device Data Issue (5191:1166), Device No Reported Allegation (5191:2104), Device EGM Issue (5191:2868)</t>
  </si>
  <si>
    <t>Device Premature Discharge Of Battery (5191:2233), Device Difficult To Interrogate/Telemetry (RF) (5191:1321), Device Message - Error Code 1003 (5191:2716)</t>
  </si>
  <si>
    <t>Insulation Damaged/Defective (5331:1163), Lead Conductor Fracture (5355:1636), Device Oversensing (5191:2168), Device Noisy Signals (5191:2124), Device Pacing Impedance Low Within Normal Limits (5191:2176)</t>
  </si>
  <si>
    <t>Device Communication Or Transmission Issue (5191:1122), Device Device Displays Error Message (5191:1224)</t>
  </si>
  <si>
    <t>Device Inappropriate Shock (5191:1698), Device Feature Unavailable Or Intermittent (5191:1604), Device Sensing Intermittently (5191:2301), Device Oversensing (5191:2168), Device Low Amplitude Or Poor Morphology (5191:1807)</t>
  </si>
  <si>
    <t>Device Pacing Impedance High Out Of Range (5191:2172), Device Shock Impedance High Out Of Range (5191:2318), Device Damaged/Defective (5191:1163)</t>
  </si>
  <si>
    <t>Device Therapy Delivery/Effectiveness Problem (5191:2405), Device Shock Impedance High Out Of Range (5191:2318)</t>
  </si>
  <si>
    <t>Device Low Amplitude Or Poor Morphology (5191:1807), Device Oversensing (5191:2168), Device Noisy Signals (5191:2124)</t>
  </si>
  <si>
    <t>Device Premature Discharge Of Battery (5191:2233), Device Difficult To Interrogate/Telemetry (RF) (5191:1321), Device Device Displays Error Message (5191:1224)</t>
  </si>
  <si>
    <t>Device Shock Impedance High Within Normal Limits (5191:2319), Device Device Displays Error Message (5191:1224), Device Difficulty Converting Rhythm (Induced) (5191:2871)</t>
  </si>
  <si>
    <t>Device No Reported Allegation (5191:2104), Device Inappropriate Shock (5191:1698), Device Oversensing (5191:2168), Device Noisy Signals (5191:2124)</t>
  </si>
  <si>
    <t>Device Oversensing (5191:2168), Device Failure To Convert Rhythm (5191:1504), Device Noisy Signals (5191:2124), Device Therapy Induced Arrhythmia (5191:2406), Device Inappropriate Shock (5191:1698), Device Shock Impedance High Within Normal Limits (5191:2319)</t>
  </si>
  <si>
    <t>Device No Known Device Problem (5191:2099), Device No Reported Allegation (5191:2104)</t>
  </si>
  <si>
    <t>Device Noisy Signals (5191:2124), Device Failure To Capture (5191:1491)</t>
  </si>
  <si>
    <t>Device Tone Pattern As Expected (5191:2409), Device Message - Error Code 1003 (5191:2716), Device Premature Discharge Of Battery (5191:2233)</t>
  </si>
  <si>
    <t>Device Inappropriate Shock (5191:1698), Device Oversensing (5191:2168), Device No Reported Allegation (5191:2104), Device Low Amplitude Or Poor Morphology (5191:1807)</t>
  </si>
  <si>
    <t>Device Low Amplitude Or Poor Morphology (5191:1807), Device Inappropriate Shock (5191:1698), Device Noisy Signals (5191:2124), Device Oversensing (5191:2168)</t>
  </si>
  <si>
    <t>Device No Reported Allegation (5191:2104), Device No Known Device Problem (5191:2099)</t>
  </si>
  <si>
    <t>Device Device Displays Error Message (5191:1224), Device Difficult To Program Or Calibrate (5191:1339), Device Premature Discharge Of Battery (5191:2233)</t>
  </si>
  <si>
    <t>Device Programmed Parameters Different Than Expected (5191:2250), Device Inappropriate Shock (5191:1698), Device Noisy Signals (5191:2124), Device Oversensing (5191:2168)</t>
  </si>
  <si>
    <t>Device Premature Discharge Of Battery (5191:2233), Device Device Displays Error Message (5191:1224), Device Shock Impedance High Within Normal Limits (5191:2319), Device Difficulty Converting Rhythm (Ambulatory) (5191:2870)</t>
  </si>
  <si>
    <t>Device Pacing Impedance High Out Of Range (5191:2172), Device MV/RRT Noise Or Oversensing (5191:2712), Device Pacing Impedance Low Out Of Range (5191:2175), Device Brady Pacing Not Delivered When Required (5191:1046), Device Failure To Capture (5191:1491), Device Gas Gauge/Longevity Not As Expected (5191:2869), Device Premature Discharge Of Battery (5191:2233)</t>
  </si>
  <si>
    <t>Device High Capture Threshold (5191:1666), Device Low Amplitude Or Poor Morphology (5191:1807), Device Pacing Impedance High Within Normal Limits (5191:2173), Device Noisy Signals (5191:2124), Device Failure To Capture (5191:1491)</t>
  </si>
  <si>
    <t>Display/Touch Screen Unresponsive During Threshold Test (5201:2809)</t>
  </si>
  <si>
    <t>Device Noisy Signals (5191:2124), Device Inappropriate Shock (5191:1698), Device Sense B Artifact Noise (5191:2873), Device Oversensing (5191:2168), Device Low Amplitude Or Poor Morphology (5191:1807)</t>
  </si>
  <si>
    <t>Device Noisy Signals (5191:2124), Device Shock Impedance Low Out Of Range (5191:2321), Device Shock Impedance High Out Of Range (5191:2318), Device Difficulty Converting Rhythm (Induced) (5191:2871), Device Oversensing (5191:2168)</t>
  </si>
  <si>
    <t>Device High Capture Threshold (5191:1666), Device Impedance Issue (5191:1683), Lead Conductor Fracture (5355:1636)</t>
  </si>
  <si>
    <t>Device Inappropriate Shock (5191:1698), Device Oversensing (5191:2168), Device Feature Unavailable Or Intermittent (5191:1604), Device Low Amplitude Or Poor Morphology (5191:1807)</t>
  </si>
  <si>
    <t>Device Oversensing (5191:2168), Device Device Sensing Issue (5191:1261), Device Low Amplitude Or Poor Morphology (5191:1807), Device Inappropriate Shock (5191:1698), Device Noisy Signals (5191:2124)</t>
  </si>
  <si>
    <t>Device Inappropriate Shock (5191:1698), Device Premature Discharge Of Battery (5191:2233), Device Oversensing (5191:2168), Device Low Amplitude Or Poor Morphology (5191:1807), Device Gas Gauge/Longevity Not As Expected (5191:2869)</t>
  </si>
  <si>
    <t>Lead Conductor Fracture (5355:1636), Device Oversensing (5191:2168), Device Noisy Signals (5191:2124), Device Inappropriate Shock (5191:1698)</t>
  </si>
  <si>
    <t>Device Inappropriate Shock (5191:1698), Device Sense B Artifact Noise (5191:2873), Device Noisy Signals (5191:2124), Device Oversensing (5191:2168), Device Low Amplitude Or Poor Morphology (5191:1807)</t>
  </si>
  <si>
    <t>Device Noisy Signals (5191:2124), Device Sense B Artifact Noise (5191:2873), Device Low Amplitude Or Poor Morphology (5191:1807), Device Damaged/Defective (5191:1163), Device Inappropriate Shock (5191:1698), Device Oversensing (5191:2168)</t>
  </si>
  <si>
    <t>Device High Capture Threshold (5191:1666), Device Pacing Impedance High Out Of Range (5191:2172)</t>
  </si>
  <si>
    <t>Device Failure To Capture (5191:1491), Device Pacing Impedance High Out Of Range (5191:2172), Device Brady Pacing Not Delivered When Required (5191:1046)</t>
  </si>
  <si>
    <t>Device Oversensing (5191:2168), Device Low Amplitude Or Poor Morphology (5191:1807), Device Inappropriate Shock (5191:1698), Device Sense B Artifact Noise (5191:2873), Lead Conductor Fracture (5355:1636)</t>
  </si>
  <si>
    <t>Device ATP Delivered When Not Required (5191:1022), Device Oversensing (5191:2168), Device Inappropriate Shock (5191:1698), Device EGM Issue (5191:2868), Device Programmed Parameters Different Than Expected (5191:2250)</t>
  </si>
  <si>
    <t>Device Device Displays Error Message (5191:1224), Device Inappropriate Shock (5191:1698), Device ATP Delivered When Not Required (5191:1022), Device Oversensing (5191:2168), Device Shock Impedance High Out Of Range (5191:2318), Device MV/RRT Noise Or Oversensing (5191:2712), Device High Capture Threshold (5191:1666), Device Pacing Impedance High Out Of Range (5191:2172), Device Noisy Signals (5191:2124)</t>
  </si>
  <si>
    <t>Device Premature Discharge Of Battery (5191:2233), Device Impedance Issue (5191:1683), Device Difficulty Converting Rhythm (Induced) (5191:2871), Device Gas Gauge/Longevity Not As Expected (5191:2869), Device Shock Impedance High (5191:2317)</t>
  </si>
  <si>
    <t>Device Oversensing (5191:2168), Device Noisy Signals (5191:2124), Lead Conductor Fracture (5355:1636), Device Inappropriate Shock (5191:1698)</t>
  </si>
  <si>
    <t>Device Oversensing (5191:2168), Device Noisy Signals (5191:2124), Device Programmed Parameters Different Than Expected (5191:2250), Device Low Amplitude Or Poor Morphology (5191:1807)</t>
  </si>
  <si>
    <t>Device Noisy Signals (5191:2124), Device Low Amplitude Or Poor Morphology (5191:1807), Device Dislodged Or Dislocated (5191:1414), Device Undersensing (5191:2434), Device Oversensing (5191:2168)</t>
  </si>
  <si>
    <t>Device Device Displays Error Message (5191:1224), Display/Touch Screen Unresponsive (5201:2447)</t>
  </si>
  <si>
    <t>Device Device Displays Error Message (5191:1224), Device Inappropriate Or Unexpected Reset (5191:1697), Device Data Issue (5191:1166)</t>
  </si>
  <si>
    <t>Device Shock Impedance High Out Of Range (5191:2318), Device Tone Pattern As Expected (5191:2409)</t>
  </si>
  <si>
    <t>Device Noisy Signals (5191:2124), Device Device Displays Error Message (5191:1224), Device Oversensing (5191:2168), Device Failure To Capture (5191:1491)</t>
  </si>
  <si>
    <t>Device Noisy Signals (5191:2124), Device Oversensing (5191:2168), Device Pacing Impedance High Out Of Range (5191:2172)</t>
  </si>
  <si>
    <t>Device Oversensing (5191:2168), Device Failure To Capture (5191:1491), Device Pacing Impedance High Out Of Range (5191:2172), Device Low Amplitude Or Poor Morphology (5191:1807)</t>
  </si>
  <si>
    <t>Device Pacing Impedance High Out Of Range (5191:2172), Device Oversensing (5191:2168), Device Low Amplitude Or Poor Morphology (5191:1807), Device High Capture Threshold (5191:1666)</t>
  </si>
  <si>
    <t>Device Noisy Signals (5191:2124), Device Sense B Artifact Noise (5191:2873), Device Oversensing (5191:2168), Device Inappropriate Shock (5191:1698), Device Low Amplitude Or Poor Morphology (5191:1807)</t>
  </si>
  <si>
    <t>Device Gas Gauge/Longevity Not As Expected (5191:2869), Device Premature Discharge Of Battery (5191:2233), Device Message - Error Code 1003 (5191:2716)</t>
  </si>
  <si>
    <t>Device Oversensing (5191:2168), Device Low Amplitude Or Poor Morphology (5191:1807)</t>
  </si>
  <si>
    <t>Device Therapy Delivery/Effectiveness Problem (5191:2405), Device Difficulty Converting Rhythm (Induced) (5191:2871)</t>
  </si>
  <si>
    <t>Device Air Bubble Noise Or Oversensing (5191:2698), Device Inappropriate Shock (5191:1698)</t>
  </si>
  <si>
    <t>Device Non Specific Product Performance Allegation (5191:2867), Device Failure To Convert Rhythm (5191:1504)</t>
  </si>
  <si>
    <t>Display/Touch Screen Damaged (5201:1160), Device No Reported Allegation (5191:2104)</t>
  </si>
  <si>
    <t>Device Gas Gauge/Longevity Not As Expected (5191:2869), Device High Capture Threshold (5191:1666)</t>
  </si>
  <si>
    <t>Device Oversensing (5191:2168), Device Noisy Signals (5191:2124), Device Failure To Sense (5191:1584), Device Brady Pacing Not Delivered When Required (5191:1046)</t>
  </si>
  <si>
    <t>Device High Capture Threshold (5191:1666), Device Premature Discharge Of Battery (5191:2233), Device Pacing Impedance Low Out Of Range (5191:2175)</t>
  </si>
  <si>
    <t>Device Inappropriate Shock (5191:1698), Device Noisy Signals (5191:2124)</t>
  </si>
  <si>
    <t>Lead Conductor Fracture (5355:1636), Device Shock Impedance High (5191:2317), Device Oversensing (5191:2168), Device Inappropriate Shock (5191:1698)</t>
  </si>
  <si>
    <t>Device Pacing Impedance High Out Of Range (5191:2172), Device High Capture Threshold (5191:1666), Lead Conductor Fracture (5355:1636), Device Noisy Signals (5191:2124)</t>
  </si>
  <si>
    <t>Device Tone Pattern As Expected (5191:2409), Device Message - Error Code 1003 (5191:2716)</t>
  </si>
  <si>
    <t>Device Sense B Artifact Noise (5191:2873), Device Oversensing (5191:2168), Device Low Amplitude Or Poor Morphology (5191:1807)</t>
  </si>
  <si>
    <t>Device Low Amplitude Or Poor Morphology (5191:1807), Device Noisy Signals (5191:2124), Device Undersensing (5191:2434)</t>
  </si>
  <si>
    <t>Device Device Displays Error Message (5191:1224), Device Brady Pacing Not Delivered When Required (5191:1046), Device Oversensing (5191:2168)</t>
  </si>
  <si>
    <t>Device Pacing Impedance Low Out Of Range (5191:2175), Device Gas Gauge/Longevity Not As Expected (5191:2869), Device Premature Discharge Of Battery (5191:2233)</t>
  </si>
  <si>
    <t>Device Connection Issue (5191:1133), Device Inappropriate Shock (5191:1698), Device Shock Impedance High Out Of Range (5191:2318), Device Oversensing (5191:2168)</t>
  </si>
  <si>
    <t>Device Low Amplitude Or Poor Morphology (5191:1807), Device High Capture Threshold (5191:1666), Device Oversensing (5191:2168)</t>
  </si>
  <si>
    <t>Device Shock Impedance High Out Of Range (5191:2318), Device Pacing Impedance High Within Normal Limits (5191:2173), Device High Capture Threshold (5191:1666)</t>
  </si>
  <si>
    <t>Device Noisy Signals (5191:2124), Device High Capture Threshold (5191:1666), Device Failure To Capture (5191:1491), Device Pacing Impedance High Out Of Range (5191:2172), Device Failure To Sense (5191:1584)</t>
  </si>
  <si>
    <t>Device Device Displays Error Message (5191:1224), Device Brady Pacing Rate Not As Expected (5191:1047)</t>
  </si>
  <si>
    <t>Device Oversensing (5191:2168), Device Difficult To Interrogate/Telemetry (Wand) (5191:1322), Device Premature Discharge Of Battery (5191:2233), Device Failure To Convert Rhythm (5191:1504), Device Therapy Induced Arrhythmia (5191:2406), Device Inappropriate Shock (5191:1698)</t>
  </si>
  <si>
    <t>Device Oversensing (5191:2168), Device Inappropriate Shock (5191:1698), Device Sense B Artifact Noise (5191:2873)</t>
  </si>
  <si>
    <t>Device Device Displays Error Message (5191:1224), Device Tone Pattern As Expected (5191:2409)</t>
  </si>
  <si>
    <t>Device Gas Gauge/Longevity Not As Expected (5191:2869), Device Premature Discharge Of Battery (5191:2233), Device Tone Pattern As Expected (5191:2409)</t>
  </si>
  <si>
    <t>Device Inappropriate Shock (5191:1698), Device Therapy Delivery/Effectiveness Problem (5191:2405), Device Oversensing (5191:2168)</t>
  </si>
  <si>
    <t>Device Noisy Signals (5191:2124), Device Failure To Capture (5191:1491), Device Pacing Impedance High Out Of Range (5191:2172), Device Oversensing (5191:2168), Device Brady Pacing Not Delivered When Required (5191:1046)</t>
  </si>
  <si>
    <t>Device Low Amplitude Or Poor Morphology (5191:1807), Device High Capture Threshold (5191:1666), Device Noisy Signals (5191:2124), Device Oversensing (5191:2168)</t>
  </si>
  <si>
    <t>Device Communication Or Transmission Issue (5191:1122), Device Difficult To Interrogate/Telemetry (Wand) (5191:1322)</t>
  </si>
  <si>
    <t>Device Premature Discharge Of Battery (5191:2233), Device Oversensing (5191:2168)</t>
  </si>
  <si>
    <t>Device No Reported Allegation (5191:2104), Device Error At Startup (5191:2794)</t>
  </si>
  <si>
    <t>Device Damaged/Defective (5191:1163), Device Device Sensing Issue (5191:1261), Device Impedance Issue (5191:1683)</t>
  </si>
  <si>
    <t>Device Brady Pacing Delivered When Not Required (5191:1045), Device Oversensing (5191:2168), Device Failure To Capture (5191:1491)</t>
  </si>
  <si>
    <t>Device Inappropriate Shock (5191:1698), Device Low Amplitude Or Poor Morphology (5191:1807), Device Oversensing (5191:2168), Device Shock Impedance High Within Normal Limits (5191:2319)</t>
  </si>
  <si>
    <t>Device High Capture Threshold (5191:1666), Device Pacing Impedance Low (5191:2174)</t>
  </si>
  <si>
    <t>Lead Conductor Fracture (5355:1636), Device Noisy Signals (5191:2124), Device Impedance Issue (5191:1683)</t>
  </si>
  <si>
    <t>Device Power Source Issue (5191:2230), Device Connection Issue (5191:1133)</t>
  </si>
  <si>
    <t>Device Oversensing (5191:2168), Device Undersensing (5191:2434), Device Low Amplitude Or Poor Morphology (5191:1807), Device Inappropriate Shock (5191:1698)</t>
  </si>
  <si>
    <t>Device Oversensing (5191:2168), Device Pacing Impedance High Out Of Range (5191:2172), Device Noisy Signals (5191:2124)</t>
  </si>
  <si>
    <t>Device Therapy Induced Arrhythmia (5191:2406), Device Inappropriate Shock (5191:1698), Device Oversensing (5191:2168), Device Low Amplitude Or Poor Morphology (5191:1807), Device Difficulty Converting Rhythm (Ambulatory) (5191:2870), Device Shock Impedance High Within Normal Limits (5191:2319)</t>
  </si>
  <si>
    <t>Device Programmed Parameters Different Than Expected (5191:2250), Device Noisy Signals (5191:2124)</t>
  </si>
  <si>
    <t>Device Oversensing (5191:2168), Device Brady Pacing Not Delivered When Required (5191:1046), Device Pacing Impedance High Out Of Range (5191:2172), Device Pacing Impedance Low Out Of Range (5191:2175), Device Noisy Signals (5191:2124), Device Failure To Capture (5191:1491)</t>
  </si>
  <si>
    <t>Device Date-Related Software Issue (5191:1167)</t>
  </si>
  <si>
    <t>Device Failure To Shock Or Properly Shock (5191:1589)</t>
  </si>
  <si>
    <t>Device Inappropriate Shock (5191:1698), Device Oversensing (5191:2168), Device Low Amplitude Or Poor Morphology (5191:1807), Device Undersensing (5191:2434)</t>
  </si>
  <si>
    <t>Device Pacing Impedance High Out Of Range (5191:2172), Device MV/RRT Noise Or Oversensing (5191:2712), Device Noisy Signals (5191:2124), Device Oversensing (5191:2168)</t>
  </si>
  <si>
    <t>Device Connection Issue (5191:1133), Device Shock Impedance High Out Of Range (5191:2318)</t>
  </si>
  <si>
    <t>Device Oversensing (5191:2168), Device Noisy Signals (5191:2124), Lead Conductor Fracture (5355:1636), Device Brady Pacing Not Delivered When Required (5191:1046), Device Pacing Impedance Low Within Normal Limits (5191:2176)</t>
  </si>
  <si>
    <t>Device Oversensing (5191:2168), Device Inappropriate Shock (5191:1698), Device Sense B Artifact Noise (5191:2873), Device Low Amplitude Or Poor Morphology (5191:1807)</t>
  </si>
  <si>
    <t>Device User Used Incorrect Product For Intended Use (5191:2460)</t>
  </si>
  <si>
    <t>Electrode End Difficult/Unable to Extend/Retract Helix (5223:2699), Device Difficult To Position (5191:1336)</t>
  </si>
  <si>
    <t>Device Low Amplitude Or Poor Morphology (5191:1807), Device Inappropriate Shock (5191:1698)</t>
  </si>
  <si>
    <t>Device Therapy Delivery/Effectiveness Problem (5191:2405), Device Shock Impedance Low Out Of Range (5191:2321)</t>
  </si>
  <si>
    <t>Device High Capture Threshold (5191:1666), Device Dislodged Or Dislocated (5191:1414), Device Failure To Capture (5191:1491)</t>
  </si>
  <si>
    <t>Device Noisy Signals (5191:2124), Device Inappropriate Shock (5191:1698), Device Oversensing (5191:2168), Device Programmed Parameters Different Than Expected (5191:2250), Device Low Amplitude Or Poor Morphology (5191:1807)</t>
  </si>
  <si>
    <t>Device MV/RRT Noise Or Oversensing (5191:2712), Device Failure To Capture (5191:1491), Device High Capture Threshold (5191:1666), Device Pacing Impedance High Out Of Range (5191:2172)</t>
  </si>
  <si>
    <t>Device Noisy Signals (5191:2124), Device Oversensing (5191:2168), Device Feature Unavailable Or Intermittent (5191:1604), Device Low Amplitude Or Poor Morphology (5191:1807), Device Undersensing (5191:2434)</t>
  </si>
  <si>
    <t>Device Low Amplitude Or Poor Morphology (5191:1807), Device Oversensing (5191:2168), Device Device Displays Error Message (5191:1224), Device Inappropriate Shock (5191:1698), Device Noisy Signals (5191:2124), Device Premature Discharge Of Battery (5191:2233)</t>
  </si>
  <si>
    <t>Device Low Amplitude Or Poor Morphology (5191:1807), Device Noisy Signals (5191:2124), Device High Capture Threshold (5191:1666), Device Pacing Impedance High Within Normal Limits (5191:2173), Device Failure To Capture (5191:1491)</t>
  </si>
  <si>
    <t>Electric Shock (9087), No Clinical Signs, Symptoms or Conditions (9398)</t>
  </si>
  <si>
    <t>Tingling (9277)</t>
  </si>
  <si>
    <t>Dizziness (9073), Dyspnea (9078)</t>
  </si>
  <si>
    <t>Perforation, Ventricular (9314)</t>
  </si>
  <si>
    <t>Anxiety (9013)</t>
  </si>
  <si>
    <t>No Clinical Signs, Symptoms or Conditions (9398), Ventricular Fibrillation (9298)</t>
  </si>
  <si>
    <t>Infection (9151), Hypersensitivity (9137)</t>
  </si>
  <si>
    <t>Electric Shock (9087), Chest Pain (9048)</t>
  </si>
  <si>
    <t>Twiddlers Syndrome (9283), Anxiety (9013), Weakness (9307)</t>
  </si>
  <si>
    <t>Investigation in Progress - Age: 489 (Jacob Murawski-Harguth)</t>
  </si>
  <si>
    <t>Investigation in Progress - Age: 272 (Unassigned)</t>
  </si>
  <si>
    <t>Investigation in Progress - Age: 326 (Unassigned)</t>
  </si>
  <si>
    <t>Investigation in Progress - Age: 336 (Jacob Murawski-Harguth)</t>
  </si>
  <si>
    <t>Investigation in Progress - Age: 153 (Roy DeJong)</t>
  </si>
  <si>
    <t>Investigation in Progress - Age: 194 (Unassigned)</t>
  </si>
  <si>
    <t>Investigation in Progress - Age: 210 (Roy DeJong)</t>
  </si>
  <si>
    <t>Investigation in Progress - Age: 231 (Theodore Lahlum)</t>
  </si>
  <si>
    <t>Opened - Age: 231 (Madeleine Laurion)</t>
  </si>
  <si>
    <t>Investigation in Progress - Age: 210 (Unassigned)</t>
  </si>
  <si>
    <t>Investigation in Progress - Age: 207 (Jacob Murawski-Harguth)</t>
  </si>
  <si>
    <t>Opened - Age: 200 (Unassigned)</t>
  </si>
  <si>
    <t>Investigation in Progress - Age: 201 (Jacob Murawski-Harguth)</t>
  </si>
  <si>
    <t>Investigation in Progress - Age: 173 (Unassigned)</t>
  </si>
  <si>
    <t>Opened - Age: 187 (Kao Lee)</t>
  </si>
  <si>
    <t>Investigation in Progress - Age: 154 (Unassigned)</t>
  </si>
  <si>
    <t>Investigation in Progress - Age: 118 (Matthew Ward)</t>
  </si>
  <si>
    <t>Investigation in Progress - Age: 130 (Leon Smith)</t>
  </si>
  <si>
    <t>Investigation in Progress - Age: 168 (Unassigned)</t>
  </si>
  <si>
    <t>Opened - Age: 168 (Kao Lee)</t>
  </si>
  <si>
    <t>Investigation in Progress - Age: 133 (Unassigned)</t>
  </si>
  <si>
    <t>Investigation in Progress - Age: 153 (Unassigned)</t>
  </si>
  <si>
    <t>Investigation in Progress - Age: 138 (Unassigned)</t>
  </si>
  <si>
    <t>Investigation in Progress - Age: 146 (Jacob Murawski-Harguth)</t>
  </si>
  <si>
    <t>Opened - Age: 4 (Madeleine Laurion)</t>
  </si>
  <si>
    <t>Opened - Age: 133 (Sydney Kopecky)</t>
  </si>
  <si>
    <t>Pending Approval - Age: 4 (Kao Lee)</t>
  </si>
  <si>
    <t>Opened - Age: 136 (Kao Lee)</t>
  </si>
  <si>
    <t>Opened - Age: 132 (Kao Lee)</t>
  </si>
  <si>
    <t>Investigation in Progress - Age: 129 (Jacob Murawski-Harguth)</t>
  </si>
  <si>
    <t>Rework - Age: 132 (Unassigned)</t>
  </si>
  <si>
    <t>Opened - Age: 4 (Brian Stiepan)</t>
  </si>
  <si>
    <t>Opened - Age: 4 (Kao Lee)</t>
  </si>
  <si>
    <t>Investigation in Progress - Age: 111 (Unassigned)</t>
  </si>
  <si>
    <t>Investigation in Progress - Age: 118 (Unassigned)</t>
  </si>
  <si>
    <t>Investigation in Progress - Age: 91 (Unassigned)</t>
  </si>
  <si>
    <t>Investigation in Progress - Age: 103 (Unassigned)</t>
  </si>
  <si>
    <t>Investigation in Progress - Age: 96 (Unassigned)</t>
  </si>
  <si>
    <t>Investigation in Progress - Age: 108 (Unassigned)</t>
  </si>
  <si>
    <t>Investigation in Progress - Age: 75 (Jacob Murawski-Harguth)</t>
  </si>
  <si>
    <t>Opened - Age: 4 (Karla Martinez)</t>
  </si>
  <si>
    <t>Opened - Age: 97 (Kao Lee)</t>
  </si>
  <si>
    <t>Investigation in Progress - Age: 87 (Unassigned)</t>
  </si>
  <si>
    <t>Investigation in Progress - Age: 98 (Matthew Ward)</t>
  </si>
  <si>
    <t>Opened - Age: 55 (Unassigned)</t>
  </si>
  <si>
    <t>Investigation in Progress - Age: 82 (Unassigned)</t>
  </si>
  <si>
    <t>Opened - Age: 75 (Unassigned)</t>
  </si>
  <si>
    <t>Investigation in Progress - Age: 84 (Unassigned)</t>
  </si>
  <si>
    <t>Investigation in Progress - Age: 28 (David Solano)</t>
  </si>
  <si>
    <t>Investigation in Progress - Age: 41 (Unassigned)</t>
  </si>
  <si>
    <t>Opened - Age: 6 (Sydney Kopecky)</t>
  </si>
  <si>
    <t>Investigation in Progress - Age: 67 (Jennypher Murillo Hercules)</t>
  </si>
  <si>
    <t>Opened - Age: 4 (Christian Giraldo Leiton)</t>
  </si>
  <si>
    <t>Investigation in Progress - Age: 35 (Randall Acosta Navarro)</t>
  </si>
  <si>
    <t>Opened - Age: 3 (Randall Acosta Navarro)</t>
  </si>
  <si>
    <t>Opened - Age: 48 (Sherry Riebow)</t>
  </si>
  <si>
    <t>Opened - Age: 3 (Claire Manlove)</t>
  </si>
  <si>
    <t>Pending Approval - Age: 49 (Leann Wanless)</t>
  </si>
  <si>
    <t>Investigation in Progress - Age: 4 (Axel Picado Esquivel)</t>
  </si>
  <si>
    <t>Rework - Age: 39 (Jason Jimenez Esquivel)</t>
  </si>
  <si>
    <t>Opened - Age: 4 (Alexander Monge Obando)</t>
  </si>
  <si>
    <t>Pending Approval - Age: 33 (Farid Gustavo Castro Salas)</t>
  </si>
  <si>
    <t>Opened - Age: 6 (Unassigned)</t>
  </si>
  <si>
    <t>Pending Approval - Age: 38 (Maria Ortiz Zumbado)</t>
  </si>
  <si>
    <t>Opened - Age: 21 (Unassigned)</t>
  </si>
  <si>
    <t>Pending Approval - Age: 117 (Unassigned)</t>
  </si>
  <si>
    <t>Pending Approval - Age: 35 (Sydney Kopecky)</t>
  </si>
  <si>
    <t>Rework - Age: 26 (Randall Acosta Navarro)</t>
  </si>
  <si>
    <t>Investigation in Progress - Age: 27 (Marelyn Chavarria Acosta)</t>
  </si>
  <si>
    <t>Opened - Age: 18 (Unassigned)</t>
  </si>
  <si>
    <t>Opened - Age: 19 (Unassigned)</t>
  </si>
  <si>
    <t>Opened - Age: 24 (Unassigned)</t>
  </si>
  <si>
    <t>Opened - Age: 3 (Evanny Acuna Chinchilla)</t>
  </si>
  <si>
    <t>Investigation in Progress - Age: 20 (David Solano)</t>
  </si>
  <si>
    <t>Opened - Age: 4 (Jason Jimenez Esquivel)</t>
  </si>
  <si>
    <t>Opened - Age: 4 (Maria Ortiz Zumbado)</t>
  </si>
  <si>
    <t>Opened - Age: 3 (Bernard Weigel)</t>
  </si>
  <si>
    <t>Opened - Age: 5 (Ruvim Trofimovich)</t>
  </si>
  <si>
    <t>Opened - Age: 5 (Jason Jimenez Esquivel)</t>
  </si>
  <si>
    <t>Opened - Age: 4 (Johan Quiros Obando)</t>
  </si>
  <si>
    <t>Opened - Age: 4 (Farid Gustavo Castro Salas)</t>
  </si>
  <si>
    <t>Opened - Age: 3 (Jose Alvarado Hernandez)</t>
  </si>
  <si>
    <t>FARID-Done</t>
  </si>
  <si>
    <t>2024-01-03T19:50:36Z</t>
  </si>
  <si>
    <t>2023-12-19T20:43:24Z</t>
  </si>
  <si>
    <t>2023-12-19T20:48:48Z</t>
  </si>
  <si>
    <t>2019-02-13T00:04:02Z</t>
  </si>
  <si>
    <t>2024-01-03T16:59:05Z</t>
  </si>
  <si>
    <t>2023-12-20T00:00:48Z</t>
  </si>
  <si>
    <t>2023-12-18T17:06:26Z</t>
  </si>
  <si>
    <t>2023-12-21T14:57:54Z</t>
  </si>
  <si>
    <t>2023-12-26T22:09:09Z</t>
  </si>
  <si>
    <t>2023-11-16T17:40:57Z</t>
  </si>
  <si>
    <t>2023-12-18T19:49:40Z</t>
  </si>
  <si>
    <t>2023-12-27T07:22:44Z</t>
  </si>
  <si>
    <t>2023-12-27T07:15:47Z</t>
  </si>
  <si>
    <t>2023-12-21T06:22:15Z</t>
  </si>
  <si>
    <t>2024-01-04T16:32:18Z</t>
  </si>
  <si>
    <t>2023-12-20T23:53:51Z</t>
  </si>
  <si>
    <t>2023-12-18T20:01:57Z</t>
  </si>
  <si>
    <t>2023-12-21T15:15:00Z</t>
  </si>
  <si>
    <t>2024-01-02T16:22:01Z</t>
  </si>
  <si>
    <t>2024-01-08T13:45:50Z</t>
  </si>
  <si>
    <t>2021-10-04T11:19:46Z</t>
  </si>
  <si>
    <t>2023-12-20T15:45:40Z</t>
  </si>
  <si>
    <t>2023-12-20T15:53:58Z</t>
  </si>
  <si>
    <t>2023-12-21T15:27:55Z</t>
  </si>
  <si>
    <t>2023-12-18T15:15:18Z</t>
  </si>
  <si>
    <t>2024-01-02T16:29:01Z</t>
  </si>
  <si>
    <t>2023-12-31T17:40:17Z</t>
  </si>
  <si>
    <t>2023-12-31T17:43:27Z</t>
  </si>
  <si>
    <t>2023-12-21T19:37:32Z</t>
  </si>
  <si>
    <t>2024-01-03T21:42:04Z</t>
  </si>
  <si>
    <t>2022-04-15T02:55:16Z</t>
  </si>
  <si>
    <t>2023-12-29T14:19:30Z</t>
  </si>
  <si>
    <t>2024-01-05T15:04:04Z</t>
  </si>
  <si>
    <t>2024-01-05T15:16:08Z</t>
  </si>
  <si>
    <t>2023-12-27T22:42:26Z</t>
  </si>
  <si>
    <t>2024-01-05T15:48:33Z</t>
  </si>
  <si>
    <t>2024-01-05T15:50:11Z</t>
  </si>
  <si>
    <t>2024-01-05T16:35:49Z</t>
  </si>
  <si>
    <t>2023-12-18T23:42:26Z</t>
  </si>
  <si>
    <t>2023-12-04T03:32:51Z</t>
  </si>
  <si>
    <t>2023-09-29T20:19:45Z</t>
  </si>
  <si>
    <t>2023-12-21T13:55:42Z</t>
  </si>
  <si>
    <t>2022-08-10T13:15:20Z</t>
  </si>
  <si>
    <t>2023-12-22T15:41:56Z</t>
  </si>
  <si>
    <t>2023-12-22T15:43:18Z</t>
  </si>
  <si>
    <t>2024-01-05T13:30:28Z</t>
  </si>
  <si>
    <t>2023-12-20T22:01:56Z</t>
  </si>
  <si>
    <t>2024-01-02T00:13:21Z</t>
  </si>
  <si>
    <t>2024-01-03T18:01:02Z</t>
  </si>
  <si>
    <t>2024-01-03T17:58:43Z</t>
  </si>
  <si>
    <t>2024-01-03T18:10:46Z</t>
  </si>
  <si>
    <t>2023-12-20T15:11:14Z</t>
  </si>
  <si>
    <t>2023-12-19T14:35:05Z</t>
  </si>
  <si>
    <t>2023-12-14T18:00:15Z</t>
  </si>
  <si>
    <t>2024-01-03T12:43:05Z</t>
  </si>
  <si>
    <t>2024-01-02T19:55:06Z</t>
  </si>
  <si>
    <t>2024-01-02T19:56:09Z</t>
  </si>
  <si>
    <t>2023-12-29T15:16:16Z</t>
  </si>
  <si>
    <t>2023-12-18T13:21:01Z</t>
  </si>
  <si>
    <t>2024-01-02T14:24:32Z</t>
  </si>
  <si>
    <t>2023-12-20T20:53:19Z</t>
  </si>
  <si>
    <t>2023-12-20T01:36:10Z</t>
  </si>
  <si>
    <t>2023-12-20T01:21:10Z</t>
  </si>
  <si>
    <t>2023-12-20T19:32:58Z</t>
  </si>
  <si>
    <t>2023-05-10T21:32:24Z</t>
  </si>
  <si>
    <t>2024-01-02T14:18:33Z</t>
  </si>
  <si>
    <t>2023-12-19T16:09:38Z</t>
  </si>
  <si>
    <t>2024-01-05T20:02:24Z</t>
  </si>
  <si>
    <t>2023-05-30T22:07:56Z</t>
  </si>
  <si>
    <t>2023-12-27T21:03:42Z</t>
  </si>
  <si>
    <t>2023-07-07T15:44:37Z</t>
  </si>
  <si>
    <t>2023-12-19T22:15:28Z</t>
  </si>
  <si>
    <t>2023-10-10T15:22:17Z</t>
  </si>
  <si>
    <t>2024-01-03T16:56:05Z</t>
  </si>
  <si>
    <t>2023-12-27T14:03:52Z</t>
  </si>
  <si>
    <t>2023-12-27T14:06:07Z</t>
  </si>
  <si>
    <t>2023-12-18T08:20:25Z</t>
  </si>
  <si>
    <t>2023-12-22T02:37:29Z</t>
  </si>
  <si>
    <t>2024-01-05T20:07:33Z</t>
  </si>
  <si>
    <t>2024-01-08T15:48:22Z</t>
  </si>
  <si>
    <t>2024-01-03T17:07:26Z</t>
  </si>
  <si>
    <t>2023-12-20T21:59:05Z</t>
  </si>
  <si>
    <t>2023-09-08T12:08:29Z</t>
  </si>
  <si>
    <t>2023-08-08T05:24:47Z</t>
  </si>
  <si>
    <t>2023-12-20T17:24:51Z</t>
  </si>
  <si>
    <t>2023-12-27T19:28:03Z</t>
  </si>
  <si>
    <t>2023-08-08T02:22:37Z</t>
  </si>
  <si>
    <t>2023-12-26T17:47:16Z</t>
  </si>
  <si>
    <t>2023-12-20T17:00:56Z</t>
  </si>
  <si>
    <t>2024-01-07T13:46:41Z</t>
  </si>
  <si>
    <t>2024-01-07T13:48:35Z</t>
  </si>
  <si>
    <t>2023-08-31T17:33:56Z</t>
  </si>
  <si>
    <t>2023-12-29T17:12:58Z</t>
  </si>
  <si>
    <t>2023-12-29T17:12:39Z</t>
  </si>
  <si>
    <t>2023-09-07T02:31:26Z</t>
  </si>
  <si>
    <t>2024-01-03T00:50:37Z</t>
  </si>
  <si>
    <t>2023-12-20T14:05:53Z</t>
  </si>
  <si>
    <t>2024-01-02T16:28:22Z</t>
  </si>
  <si>
    <t>2023-08-31T23:17:32Z</t>
  </si>
  <si>
    <t>2024-01-02T17:18:15Z</t>
  </si>
  <si>
    <t>2023-09-21T19:58:32Z</t>
  </si>
  <si>
    <t>2024-01-04T22:24:46Z</t>
  </si>
  <si>
    <t>2024-01-08T13:11:55Z</t>
  </si>
  <si>
    <t>2023-11-22T16:53:22Z</t>
  </si>
  <si>
    <t>2023-12-18T18:29:58Z</t>
  </si>
  <si>
    <t>2023-12-18T18:08:55Z</t>
  </si>
  <si>
    <t>2023-09-27T15:19:18Z</t>
  </si>
  <si>
    <t>2023-12-31T15:54:33Z</t>
  </si>
  <si>
    <t>2024-01-02T15:41:17Z</t>
  </si>
  <si>
    <t>2023-12-20T21:16:49Z</t>
  </si>
  <si>
    <t>2023-09-27T14:19:17Z</t>
  </si>
  <si>
    <t>2023-12-21T00:28:17Z</t>
  </si>
  <si>
    <t>2023-12-20T18:43:51Z</t>
  </si>
  <si>
    <t>2024-01-02T16:58:24Z</t>
  </si>
  <si>
    <t>2024-01-02T23:38:59Z</t>
  </si>
  <si>
    <t>2024-01-02T23:39:22Z</t>
  </si>
  <si>
    <t>2023-09-28T16:15:34Z</t>
  </si>
  <si>
    <t>2024-01-08T11:47:02Z</t>
  </si>
  <si>
    <t>2024-01-08T18:09:42Z</t>
  </si>
  <si>
    <t>2023-10-11T01:13:12Z</t>
  </si>
  <si>
    <t>2023-12-20T13:38:58Z</t>
  </si>
  <si>
    <t>2023-12-20T13:25:57Z</t>
  </si>
  <si>
    <t>2023-10-04T16:09:40Z</t>
  </si>
  <si>
    <t>2023-12-18T15:48:31Z</t>
  </si>
  <si>
    <t>2023-12-18T15:56:29Z</t>
  </si>
  <si>
    <t>2024-01-04T13:45:19Z</t>
  </si>
  <si>
    <t>2023-12-23T00:26:58Z</t>
  </si>
  <si>
    <t>2023-10-04T14:52:19Z</t>
  </si>
  <si>
    <t>2024-01-03T17:54:48Z</t>
  </si>
  <si>
    <t>2023-12-20T23:24:07Z</t>
  </si>
  <si>
    <t>2023-12-19T21:46:07Z</t>
  </si>
  <si>
    <t>2023-12-27T13:33:26Z</t>
  </si>
  <si>
    <t>2023-10-18T14:07:51Z</t>
  </si>
  <si>
    <t>2024-01-05T14:19:54Z</t>
  </si>
  <si>
    <t>2023-10-12T17:39:17Z</t>
  </si>
  <si>
    <t>2023-12-21T19:13:18Z</t>
  </si>
  <si>
    <t>2023-10-16T15:44:09Z</t>
  </si>
  <si>
    <t>2023-12-26T14:32:22Z</t>
  </si>
  <si>
    <t>2024-01-04T13:47:49Z</t>
  </si>
  <si>
    <t>2023-12-24T16:22:21Z</t>
  </si>
  <si>
    <t>2023-10-16T16:20:12Z</t>
  </si>
  <si>
    <t>2023-12-18T18:22:24Z</t>
  </si>
  <si>
    <t>2023-12-18T14:22:41Z</t>
  </si>
  <si>
    <t>2023-10-20T08:39:12Z</t>
  </si>
  <si>
    <t>2024-01-03T14:57:51Z</t>
  </si>
  <si>
    <t>2023-10-20T08:51:37Z</t>
  </si>
  <si>
    <t>2023-12-19T21:59:43Z</t>
  </si>
  <si>
    <t>2023-12-26T22:19:13Z</t>
  </si>
  <si>
    <t>2023-12-20T04:44:50Z</t>
  </si>
  <si>
    <t>2023-11-14T00:29:35Z</t>
  </si>
  <si>
    <t>2023-12-23T17:02:25Z</t>
  </si>
  <si>
    <t>2023-12-20T19:32:14Z</t>
  </si>
  <si>
    <t>2023-10-27T00:02:56Z</t>
  </si>
  <si>
    <t>2024-01-05T19:34:03Z</t>
  </si>
  <si>
    <t>2023-12-27T19:27:25Z</t>
  </si>
  <si>
    <t>2023-10-23T23:57:08Z</t>
  </si>
  <si>
    <t>2023-12-19T16:46:04Z</t>
  </si>
  <si>
    <t>2024-01-02T18:03:39Z</t>
  </si>
  <si>
    <t>2023-12-07T22:16:00Z</t>
  </si>
  <si>
    <t>2024-01-02T15:06:39Z</t>
  </si>
  <si>
    <t>2024-01-08T02:17:34Z</t>
  </si>
  <si>
    <t>2023-10-31T15:27:00Z</t>
  </si>
  <si>
    <t>2024-01-02T06:10:36Z</t>
  </si>
  <si>
    <t>2023-12-20T22:24:22Z</t>
  </si>
  <si>
    <t>2023-10-26T23:58:40Z</t>
  </si>
  <si>
    <t>2023-12-28T16:30:58Z</t>
  </si>
  <si>
    <t>2023-12-21T19:04:06Z</t>
  </si>
  <si>
    <t>2023-12-21T09:24:34Z</t>
  </si>
  <si>
    <t>2023-11-07T05:38:59Z</t>
  </si>
  <si>
    <t>2023-12-26T21:56:08Z</t>
  </si>
  <si>
    <t>2023-12-29T18:38:32Z</t>
  </si>
  <si>
    <t>2023-12-21T22:03:27Z</t>
  </si>
  <si>
    <t>2023-12-27T15:19:51Z</t>
  </si>
  <si>
    <t>2023-11-14T08:45:02Z</t>
  </si>
  <si>
    <t>2024-01-05T14:28:55Z</t>
  </si>
  <si>
    <t>2023-11-13T22:50:52Z</t>
  </si>
  <si>
    <t>2023-12-26T14:34:18Z</t>
  </si>
  <si>
    <t>2023-12-26T14:34:49Z</t>
  </si>
  <si>
    <t>2024-01-04T19:38:17Z</t>
  </si>
  <si>
    <t>2024-01-04T14:14:46Z</t>
  </si>
  <si>
    <t>2023-11-12T11:22:26Z</t>
  </si>
  <si>
    <t>2023-12-19T16:44:57Z</t>
  </si>
  <si>
    <t>2023-11-07T06:09:41Z</t>
  </si>
  <si>
    <t>2024-01-05T19:11:30Z</t>
  </si>
  <si>
    <t>2023-12-29T18:02:46Z</t>
  </si>
  <si>
    <t>2023-11-14T01:00:03Z</t>
  </si>
  <si>
    <t>2023-12-19T04:48:25Z</t>
  </si>
  <si>
    <t>2023-12-22T16:37:00Z</t>
  </si>
  <si>
    <t>2024-01-04T20:00:58Z</t>
  </si>
  <si>
    <t>2023-11-13T18:29:06Z</t>
  </si>
  <si>
    <t>2024-01-02T19:48:35Z</t>
  </si>
  <si>
    <t>2023-12-26T15:51:52Z</t>
  </si>
  <si>
    <t>2023-11-16T05:58:56Z</t>
  </si>
  <si>
    <t>2024-01-08T02:50:11Z</t>
  </si>
  <si>
    <t>2023-11-12T10:55:17Z</t>
  </si>
  <si>
    <t>2024-01-05T21:22:51Z</t>
  </si>
  <si>
    <t>2023-12-19T04:38:14Z</t>
  </si>
  <si>
    <t>2023-11-15T23:15:02Z</t>
  </si>
  <si>
    <t>2023-12-26T18:18:10Z</t>
  </si>
  <si>
    <t>2024-01-02T20:49:47Z</t>
  </si>
  <si>
    <t>2023-12-26T16:23:29Z</t>
  </si>
  <si>
    <t>2023-11-30T23:04:49Z</t>
  </si>
  <si>
    <t>2024-01-03T13:32:32Z</t>
  </si>
  <si>
    <t>2024-01-05T21:27:45Z</t>
  </si>
  <si>
    <t>2023-12-20T16:40:27Z</t>
  </si>
  <si>
    <t>2024-01-03T16:49:01Z</t>
  </si>
  <si>
    <t>2023-12-19T16:57:44Z</t>
  </si>
  <si>
    <t>2023-12-28T22:37:51Z</t>
  </si>
  <si>
    <t>2023-12-26T16:06:41Z</t>
  </si>
  <si>
    <t>2023-11-23T08:35:15Z</t>
  </si>
  <si>
    <t>2024-01-03T22:07:55Z</t>
  </si>
  <si>
    <t>2023-12-01T14:39:47Z</t>
  </si>
  <si>
    <t>2023-12-28T15:33:33Z</t>
  </si>
  <si>
    <t>2023-12-20T05:58:32Z</t>
  </si>
  <si>
    <t>2024-01-03T14:47:46Z</t>
  </si>
  <si>
    <t>2023-12-22T16:55:02Z</t>
  </si>
  <si>
    <t>2023-12-19T22:06:27Z</t>
  </si>
  <si>
    <t>2023-12-22T15:38:13Z</t>
  </si>
  <si>
    <t>2023-11-23T08:04:38Z</t>
  </si>
  <si>
    <t>2023-12-19T15:30:47Z</t>
  </si>
  <si>
    <t>2023-12-28T21:23:04Z</t>
  </si>
  <si>
    <t>2023-12-07T06:04:10Z</t>
  </si>
  <si>
    <t>2023-12-20T16:14:27Z</t>
  </si>
  <si>
    <t>2023-12-22T00:45:28Z</t>
  </si>
  <si>
    <t>2023-12-20T07:05:16Z</t>
  </si>
  <si>
    <t>2023-12-20T19:04:43Z</t>
  </si>
  <si>
    <t>2023-12-07T03:52:15Z</t>
  </si>
  <si>
    <t>2023-12-20T23:06:57Z</t>
  </si>
  <si>
    <t>2023-12-23T00:46:39Z</t>
  </si>
  <si>
    <t>2024-01-04T14:56:53Z</t>
  </si>
  <si>
    <t>2023-12-07T01:03:58Z</t>
  </si>
  <si>
    <t>2023-12-20T03:59:02Z</t>
  </si>
  <si>
    <t>2024-01-04T14:40:19Z</t>
  </si>
  <si>
    <t>2023-12-18T15:28:11Z</t>
  </si>
  <si>
    <t>2023-12-06T23:56:30Z</t>
  </si>
  <si>
    <t>2023-12-21T13:23:21Z</t>
  </si>
  <si>
    <t>2023-12-20T23:46:49Z</t>
  </si>
  <si>
    <t>2024-01-03T20:39:59Z</t>
  </si>
  <si>
    <t>2023-12-21T21:39:35Z</t>
  </si>
  <si>
    <t>2023-12-18T22:43:12Z</t>
  </si>
  <si>
    <t>2023-12-20T17:19:48Z</t>
  </si>
  <si>
    <t>2023-12-19T13:04:10Z</t>
  </si>
  <si>
    <t>2024-01-04T12:38:42Z</t>
  </si>
  <si>
    <t>2023-12-27T22:12:48Z</t>
  </si>
  <si>
    <t>2024-01-03T17:14:39Z</t>
  </si>
  <si>
    <t>2023-12-20T00:49:21Z</t>
  </si>
  <si>
    <t>2023-12-20T06:56:25Z</t>
  </si>
  <si>
    <t>2023-12-19T21:37:11Z</t>
  </si>
  <si>
    <t>2023-12-21T11:36:49Z</t>
  </si>
  <si>
    <t>2023-12-07T18:08:51Z</t>
  </si>
  <si>
    <t>2024-01-01T12:42:27Z</t>
  </si>
  <si>
    <t>2023-12-22T00:47:04Z</t>
  </si>
  <si>
    <t>2023-12-19T17:22:07Z</t>
  </si>
  <si>
    <t>2023-12-21T13:45:50Z</t>
  </si>
  <si>
    <t>2023-12-20T17:16:02Z</t>
  </si>
  <si>
    <t>2023-12-18T20:59:11Z</t>
  </si>
  <si>
    <t>2023-12-21T00:40:11Z</t>
  </si>
  <si>
    <t>2023-12-20T08:07:38Z</t>
  </si>
  <si>
    <t>2023-12-20T21:08:37Z</t>
  </si>
  <si>
    <t>2023-12-13T17:31:52Z</t>
  </si>
  <si>
    <t>2023-12-19T15:47:18Z</t>
  </si>
  <si>
    <t>2023-12-19T15:47:45Z</t>
  </si>
  <si>
    <t>2023-12-20T08:35:12Z</t>
  </si>
  <si>
    <t>2023-12-27T16:27:04Z</t>
  </si>
  <si>
    <t>2023-12-20T21:16:20Z</t>
  </si>
  <si>
    <t>2023-12-29T18:29:19Z</t>
  </si>
  <si>
    <t>2023-12-21T00:09:41Z</t>
  </si>
  <si>
    <t>2023-12-20T15:53:54Z</t>
  </si>
  <si>
    <t>2023-12-25T05:23:15Z</t>
  </si>
  <si>
    <t>2023-12-28T17:15:58Z</t>
  </si>
  <si>
    <t>2024-01-04T20:46:07Z</t>
  </si>
  <si>
    <t>2023-12-20T15:50:33Z</t>
  </si>
  <si>
    <t>2023-12-20T15:00:11Z</t>
  </si>
  <si>
    <t>2023-12-21T00:57:48Z</t>
  </si>
  <si>
    <t>2023-12-20T01:16:14Z</t>
  </si>
  <si>
    <t>2024-01-02T14:30:52Z</t>
  </si>
  <si>
    <t>2024-01-03T04:14:56Z</t>
  </si>
  <si>
    <t>2023-12-21T16:13:06Z</t>
  </si>
  <si>
    <t>2023-12-20T20:57:40Z</t>
  </si>
  <si>
    <t>2023-12-20T01:32:29Z</t>
  </si>
  <si>
    <t>2024-01-02T23:37:25Z</t>
  </si>
  <si>
    <t>2024-01-02T23:56:01Z</t>
  </si>
  <si>
    <t>2024-01-02T14:31:58Z</t>
  </si>
  <si>
    <t>2023-12-20T12:36:22Z</t>
  </si>
  <si>
    <t>2023-12-18T16:57:45Z</t>
  </si>
  <si>
    <t>2023-12-22T15:26:59Z</t>
  </si>
  <si>
    <t>2023-12-21T01:19:55Z</t>
  </si>
  <si>
    <t>2023-12-20T16:28:53Z</t>
  </si>
  <si>
    <t>2024-01-03T21:01:56Z</t>
  </si>
  <si>
    <t>2023-12-21T17:03:25Z</t>
  </si>
  <si>
    <t>2023-12-28T15:09:25Z</t>
  </si>
  <si>
    <t>2024-01-02T20:51:40Z</t>
  </si>
  <si>
    <t>2024-01-02T15:28:23Z</t>
  </si>
  <si>
    <t>2024-01-02T15:48:37Z</t>
  </si>
  <si>
    <t>2024-01-05T15:17:09Z</t>
  </si>
  <si>
    <t>2023-12-21T00:13:32Z</t>
  </si>
  <si>
    <t>2023-12-19T13:39:10Z</t>
  </si>
  <si>
    <t>2023-12-18T17:35:41Z</t>
  </si>
  <si>
    <t>2023-12-18T16:19:02Z</t>
  </si>
  <si>
    <t>2024-01-05T14:37:29Z</t>
  </si>
  <si>
    <t>2023-12-22T12:58:35Z</t>
  </si>
  <si>
    <t>2024-01-04T14:39:47Z</t>
  </si>
  <si>
    <t>2024-01-04T13:59:39Z</t>
  </si>
  <si>
    <t>2024-01-03T05:55:24Z</t>
  </si>
  <si>
    <t>2023-12-26T16:24:49Z</t>
  </si>
  <si>
    <t>2023-12-22T12:50:21Z</t>
  </si>
  <si>
    <t>2023-12-20T16:09:43Z</t>
  </si>
  <si>
    <t>2023-12-21T01:28:46Z</t>
  </si>
  <si>
    <t>2024-01-05T17:44:36Z</t>
  </si>
  <si>
    <t>2024-01-05T16:53:30Z</t>
  </si>
  <si>
    <t>2024-01-05T18:18:43Z</t>
  </si>
  <si>
    <t>2023-12-22T13:33:39Z</t>
  </si>
  <si>
    <t>2024-01-03T21:02:55Z</t>
  </si>
  <si>
    <t>2023-12-21T17:23:31Z</t>
  </si>
  <si>
    <t>2024-01-03T15:54:39Z</t>
  </si>
  <si>
    <t>2023-12-27T14:35:24Z</t>
  </si>
  <si>
    <t>2024-01-03T02:46:37Z</t>
  </si>
  <si>
    <t>2024-01-04T04:58:38Z</t>
  </si>
  <si>
    <t>2024-01-03T06:03:32Z</t>
  </si>
  <si>
    <t>2024-01-07T21:27:27Z</t>
  </si>
  <si>
    <t>2024-01-02T20:22:54Z</t>
  </si>
  <si>
    <t>2023-12-21T13:12:42Z</t>
  </si>
  <si>
    <t>2024-01-05T15:23:08Z</t>
  </si>
  <si>
    <t>2024-01-05T15:24:15Z</t>
  </si>
  <si>
    <t>2023-12-29T07:09:42Z</t>
  </si>
  <si>
    <t>2023-12-22T15:08:08Z</t>
  </si>
  <si>
    <t>2024-01-03T21:17:05Z</t>
  </si>
  <si>
    <t>2023-12-19T21:16:43Z</t>
  </si>
  <si>
    <t>2019-02-13T00:06:34Z</t>
  </si>
  <si>
    <t>2023-12-18T21:36:14Z</t>
  </si>
  <si>
    <t>2023-12-27T07:44:51Z</t>
  </si>
  <si>
    <t>2023-11-16T21:35:02Z</t>
  </si>
  <si>
    <t>2023-12-18T21:23:41Z</t>
  </si>
  <si>
    <t>2023-12-27T16:16:01Z</t>
  </si>
  <si>
    <t>2023-12-21T07:40:40Z</t>
  </si>
  <si>
    <t>2023-12-18T21:32:25Z</t>
  </si>
  <si>
    <t>2023-12-21T16:30:04Z</t>
  </si>
  <si>
    <t>2024-01-08T16:10:12Z</t>
  </si>
  <si>
    <t>2023-12-20T16:17:41Z</t>
  </si>
  <si>
    <t>2023-12-21T16:26:30Z</t>
  </si>
  <si>
    <t>2023-12-18T16:32:23Z</t>
  </si>
  <si>
    <t>2024-01-02T21:14:48Z</t>
  </si>
  <si>
    <t>2023-12-31T21:12:12Z</t>
  </si>
  <si>
    <t>2023-12-21T21:32:50Z</t>
  </si>
  <si>
    <t>2024-01-04T07:27:10Z</t>
  </si>
  <si>
    <t>2023-12-30T07:32:03Z</t>
  </si>
  <si>
    <t>2024-01-05T16:17:10Z</t>
  </si>
  <si>
    <t>2023-12-28T07:43:14Z</t>
  </si>
  <si>
    <t>2024-01-05T16:14:38Z</t>
  </si>
  <si>
    <t>2024-01-05T21:16:30Z</t>
  </si>
  <si>
    <t>2023-12-19T16:17:23Z</t>
  </si>
  <si>
    <t>2023-12-04T07:24:56Z</t>
  </si>
  <si>
    <t>2023-12-21T16:33:12Z</t>
  </si>
  <si>
    <t>2023-12-22T16:23:06Z</t>
  </si>
  <si>
    <t>2024-01-05T16:13:19Z</t>
  </si>
  <si>
    <t>2024-01-02T16:31:48Z</t>
  </si>
  <si>
    <t>2023-12-23T07:55:15Z</t>
  </si>
  <si>
    <t>2023-12-20T16:25:36Z</t>
  </si>
  <si>
    <t>2023-12-19T16:25:30Z</t>
  </si>
  <si>
    <t>2023-12-20T07:27:21Z</t>
  </si>
  <si>
    <t>2024-01-02T21:30:00Z</t>
  </si>
  <si>
    <t>2024-01-02T21:02:56Z</t>
  </si>
  <si>
    <t>2023-12-30T07:58:09Z</t>
  </si>
  <si>
    <t>2023-12-18T16:18:45Z</t>
  </si>
  <si>
    <t>2024-01-02T16:12:12Z</t>
  </si>
  <si>
    <t>2023-12-20T07:48:32Z</t>
  </si>
  <si>
    <t>2023-12-20T07:39:25Z</t>
  </si>
  <si>
    <t>2023-12-20T21:41:17Z</t>
  </si>
  <si>
    <t>2024-01-02T16:04:57Z</t>
  </si>
  <si>
    <t>2023-12-19T21:35:18Z</t>
  </si>
  <si>
    <t>2024-01-05T21:13:53Z</t>
  </si>
  <si>
    <t>2023-12-28T08:03:16Z</t>
  </si>
  <si>
    <t>2023-12-20T07:48:07Z</t>
  </si>
  <si>
    <t>2023-10-10T16:50:19Z</t>
  </si>
  <si>
    <t>2024-01-03T21:24:13Z</t>
  </si>
  <si>
    <t>2023-12-27T16:10:26Z</t>
  </si>
  <si>
    <t>2023-12-27T16:24:04Z</t>
  </si>
  <si>
    <t>2023-12-18T16:30:49Z</t>
  </si>
  <si>
    <t>2023-12-22T07:24:56Z</t>
  </si>
  <si>
    <t>2024-01-05T21:07:19Z</t>
  </si>
  <si>
    <t>2024-01-08T16:14:20Z</t>
  </si>
  <si>
    <t>2024-01-03T21:28:11Z</t>
  </si>
  <si>
    <t>2023-12-21T07:24:49Z</t>
  </si>
  <si>
    <t>2023-12-20T21:27:49Z</t>
  </si>
  <si>
    <t>2023-12-28T07:36:15Z</t>
  </si>
  <si>
    <t>2023-12-20T21:23:01Z</t>
  </si>
  <si>
    <t>2024-01-07T16:01:12Z</t>
  </si>
  <si>
    <t>2023-12-30T07:37:12Z</t>
  </si>
  <si>
    <t>2024-01-03T07:01:20Z</t>
  </si>
  <si>
    <t>2023-12-20T16:14:55Z</t>
  </si>
  <si>
    <t>2024-01-02T21:19:06Z</t>
  </si>
  <si>
    <t>2024-01-02T21:03:22Z</t>
  </si>
  <si>
    <t>2024-01-05T07:31:30Z</t>
  </si>
  <si>
    <t>2023-09-19T21:44:18Z</t>
  </si>
  <si>
    <t>2023-12-20T21:42:12Z</t>
  </si>
  <si>
    <t>2024-01-08T16:21:01Z</t>
  </si>
  <si>
    <t>2023-12-18T21:35:06Z</t>
  </si>
  <si>
    <t>2023-12-31T21:04:43Z</t>
  </si>
  <si>
    <t>2024-01-02T16:24:52Z</t>
  </si>
  <si>
    <t>2023-12-21T07:24:08Z</t>
  </si>
  <si>
    <t>2023-12-21T07:38:05Z</t>
  </si>
  <si>
    <t>2023-12-20T21:16:23Z</t>
  </si>
  <si>
    <t>2024-01-02T21:02:26Z</t>
  </si>
  <si>
    <t>2024-01-03T07:05:36Z</t>
  </si>
  <si>
    <t>2024-01-08T16:19:05Z</t>
  </si>
  <si>
    <t>2023-12-19T16:49:39Z</t>
  </si>
  <si>
    <t>2023-12-20T16:33:51Z</t>
  </si>
  <si>
    <t>2023-12-18T16:28:33Z</t>
  </si>
  <si>
    <t>2024-01-04T16:13:55Z</t>
  </si>
  <si>
    <t>2023-12-23T08:00:20Z</t>
  </si>
  <si>
    <t>2024-01-03T21:03:21Z</t>
  </si>
  <si>
    <t>2023-12-18T21:37:37Z</t>
  </si>
  <si>
    <t>2023-12-18T21:38:07Z</t>
  </si>
  <si>
    <t>2023-12-27T16:10:04Z</t>
  </si>
  <si>
    <t>2023-12-22T16:03:24Z</t>
  </si>
  <si>
    <t>2023-12-21T21:15:03Z</t>
  </si>
  <si>
    <t>2023-12-26T16:22:16Z</t>
  </si>
  <si>
    <t>2024-01-04T16:16:15Z</t>
  </si>
  <si>
    <t>2023-12-24T21:01:00Z</t>
  </si>
  <si>
    <t>2023-12-18T21:12:45Z</t>
  </si>
  <si>
    <t>2023-12-18T16:12:27Z</t>
  </si>
  <si>
    <t>2024-01-03T16:20:27Z</t>
  </si>
  <si>
    <t>2023-12-27T07:51:07Z</t>
  </si>
  <si>
    <t>2023-12-20T07:35:27Z</t>
  </si>
  <si>
    <t>2023-12-23T21:03:19Z</t>
  </si>
  <si>
    <t>2023-12-20T21:45:41Z</t>
  </si>
  <si>
    <t>2024-01-05T21:21:02Z</t>
  </si>
  <si>
    <t>2023-12-28T07:51:37Z</t>
  </si>
  <si>
    <t>2023-12-19T21:32:56Z</t>
  </si>
  <si>
    <t>2024-01-02T21:13:03Z</t>
  </si>
  <si>
    <t>2024-01-02T16:13:24Z</t>
  </si>
  <si>
    <t>2023-12-22T07:39:03Z</t>
  </si>
  <si>
    <t>2024-01-02T16:40:26Z</t>
  </si>
  <si>
    <t>2023-12-21T07:30:23Z</t>
  </si>
  <si>
    <t>2023-12-28T21:42:49Z</t>
  </si>
  <si>
    <t>2023-12-21T16:11:32Z</t>
  </si>
  <si>
    <t>2023-12-27T07:50:47Z</t>
  </si>
  <si>
    <t>2023-12-30T07:24:34Z</t>
  </si>
  <si>
    <t>2023-12-22T07:39:28Z</t>
  </si>
  <si>
    <t>2023-12-27T16:24:42Z</t>
  </si>
  <si>
    <t>2024-01-05T16:06:12Z</t>
  </si>
  <si>
    <t>2023-12-26T16:19:31Z</t>
  </si>
  <si>
    <t>2024-01-04T21:26:59Z</t>
  </si>
  <si>
    <t>2024-01-04T16:03:16Z</t>
  </si>
  <si>
    <t>2023-12-19T21:26:42Z</t>
  </si>
  <si>
    <t>2024-01-05T21:04:37Z</t>
  </si>
  <si>
    <t>2023-12-30T07:49:26Z</t>
  </si>
  <si>
    <t>2023-12-19T16:11:20Z</t>
  </si>
  <si>
    <t>2023-12-23T07:39:12Z</t>
  </si>
  <si>
    <t>2024-01-04T21:09:02Z</t>
  </si>
  <si>
    <t>2024-01-02T21:09:37Z</t>
  </si>
  <si>
    <t>2023-12-26T16:02:41Z</t>
  </si>
  <si>
    <t>2024-01-08T07:24:03Z</t>
  </si>
  <si>
    <t>2024-01-06T07:32:11Z</t>
  </si>
  <si>
    <t>2023-12-19T16:05:21Z</t>
  </si>
  <si>
    <t>2023-12-20T21:06:22Z</t>
  </si>
  <si>
    <t>2024-01-02T21:14:21Z</t>
  </si>
  <si>
    <t>2023-12-26T21:02:17Z</t>
  </si>
  <si>
    <t>2024-01-03T07:02:22Z</t>
  </si>
  <si>
    <t>2024-01-06T07:24:58Z</t>
  </si>
  <si>
    <t>2023-12-20T21:10:55Z</t>
  </si>
  <si>
    <t>2024-01-03T21:10:04Z</t>
  </si>
  <si>
    <t>2023-12-19T21:25:02Z</t>
  </si>
  <si>
    <t>2023-12-29T07:33:20Z</t>
  </si>
  <si>
    <t>2023-12-27T07:37:45Z</t>
  </si>
  <si>
    <t>2024-01-04T07:29:53Z</t>
  </si>
  <si>
    <t>2023-12-28T21:46:36Z</t>
  </si>
  <si>
    <t>2024-01-03T16:13:57Z</t>
  </si>
  <si>
    <t>2023-12-20T07:29:21Z</t>
  </si>
  <si>
    <t>2023-12-22T16:03:53Z</t>
  </si>
  <si>
    <t>2023-12-19T16:19:05Z</t>
  </si>
  <si>
    <t>2023-12-29T07:26:34Z</t>
  </si>
  <si>
    <t>2023-12-20T21:31:18Z</t>
  </si>
  <si>
    <t>2023-12-22T07:25:51Z</t>
  </si>
  <si>
    <t>2023-12-20T21:21:32Z</t>
  </si>
  <si>
    <t>2023-12-21T07:37:44Z</t>
  </si>
  <si>
    <t>2023-12-23T07:24:54Z</t>
  </si>
  <si>
    <t>2024-01-04T16:06:51Z</t>
  </si>
  <si>
    <t>2023-12-20T07:32:58Z</t>
  </si>
  <si>
    <t>2024-01-04T16:06:26Z</t>
  </si>
  <si>
    <t>2023-12-18T16:22:35Z</t>
  </si>
  <si>
    <t>2023-12-21T16:16:21Z</t>
  </si>
  <si>
    <t>2023-12-21T07:39:01Z</t>
  </si>
  <si>
    <t>2024-01-03T21:15:13Z</t>
  </si>
  <si>
    <t>2023-12-22T07:50:35Z</t>
  </si>
  <si>
    <t>2023-12-19T16:23:13Z</t>
  </si>
  <si>
    <t>2023-12-19T16:20:10Z</t>
  </si>
  <si>
    <t>2024-01-04T16:19:02Z</t>
  </si>
  <si>
    <t>2023-12-28T07:32:39Z</t>
  </si>
  <si>
    <t>2024-01-03T21:35:11Z</t>
  </si>
  <si>
    <t>2023-12-20T07:42:12Z</t>
  </si>
  <si>
    <t>2023-12-21T16:02:15Z</t>
  </si>
  <si>
    <t>2024-01-02T16:06:50Z</t>
  </si>
  <si>
    <t>2023-12-22T07:26:06Z</t>
  </si>
  <si>
    <t>2023-12-20T21:23:18Z</t>
  </si>
  <si>
    <t>2023-12-19T16:14:21Z</t>
  </si>
  <si>
    <t>2023-12-21T07:25:15Z</t>
  </si>
  <si>
    <t>2023-12-19T16:35:55Z</t>
  </si>
  <si>
    <t>2023-12-28T08:00:49Z</t>
  </si>
  <si>
    <t>2023-12-21T07:30:02Z</t>
  </si>
  <si>
    <t>2023-12-30T07:40:15Z</t>
  </si>
  <si>
    <t>2023-12-20T16:24:17Z</t>
  </si>
  <si>
    <t>2023-12-25T07:24:06Z</t>
  </si>
  <si>
    <t>2023-12-28T21:56:40Z</t>
  </si>
  <si>
    <t>2024-01-04T21:22:42Z</t>
  </si>
  <si>
    <t>2023-12-20T16:30:16Z</t>
  </si>
  <si>
    <t>2023-12-20T16:25:11Z</t>
  </si>
  <si>
    <t>2024-01-02T16:10:29Z</t>
  </si>
  <si>
    <t>2023-12-21T21:34:44Z</t>
  </si>
  <si>
    <t>2023-12-21T07:26:55Z</t>
  </si>
  <si>
    <t>2024-01-02T21:10:43Z</t>
  </si>
  <si>
    <t>2023-12-20T16:09:14Z</t>
  </si>
  <si>
    <t>2023-12-18T21:34:27Z</t>
  </si>
  <si>
    <t>2023-12-22T16:12:30Z</t>
  </si>
  <si>
    <t>2023-12-20T21:31:42Z</t>
  </si>
  <si>
    <t>2024-01-04T07:40:52Z</t>
  </si>
  <si>
    <t>2024-01-02T21:25:46Z</t>
  </si>
  <si>
    <t>2024-01-02T16:29:12Z</t>
  </si>
  <si>
    <t>2024-01-05T16:14:09Z</t>
  </si>
  <si>
    <t>2024-01-03T21:29:31Z</t>
  </si>
  <si>
    <t>2023-12-18T21:16:17Z</t>
  </si>
  <si>
    <t>2023-12-18T21:35:18Z</t>
  </si>
  <si>
    <t>2024-01-05T16:13:46Z</t>
  </si>
  <si>
    <t>2024-01-04T16:13:42Z</t>
  </si>
  <si>
    <t>2024-01-04T16:07:27Z</t>
  </si>
  <si>
    <t>2023-12-26T21:10:08Z</t>
  </si>
  <si>
    <t>2023-12-20T21:40:44Z</t>
  </si>
  <si>
    <t>2024-01-05T21:08:20Z</t>
  </si>
  <si>
    <t>2024-01-05T21:16:48Z</t>
  </si>
  <si>
    <t>2024-01-05T21:08:53Z</t>
  </si>
  <si>
    <t>2023-12-22T16:08:41Z</t>
  </si>
  <si>
    <t>2024-01-04T07:33:34Z</t>
  </si>
  <si>
    <t>2024-01-03T21:01:16Z</t>
  </si>
  <si>
    <t>2023-12-27T16:10:56Z</t>
  </si>
  <si>
    <t>2024-01-04T07:41:48Z</t>
  </si>
  <si>
    <t>2024-01-08T07:23:39Z</t>
  </si>
  <si>
    <t>2024-01-02T21:27:45Z</t>
  </si>
  <si>
    <t>2023-12-21T16:27:48Z</t>
  </si>
  <si>
    <t>2024-01-05T16:16:24Z</t>
  </si>
  <si>
    <t>2023-12-30T07:54:06Z</t>
  </si>
  <si>
    <t>2024-01-03T07:16:26Z</t>
  </si>
  <si>
    <t>2023-12-22T16:12:08Z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</si>
</sst>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CCFFCC"/>
        <bgColor indexed="64"/>
      </patternFill>
    </fill>
  </fills>
  <borders count="5">
    <border>
      <left/>
      <right/>
      <top/>
      <bottom/>
      <diagonal/>
    </border>
    <border>
      <left style="thin">
        <color theme="4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/>
      </right>
      <top/>
      <bottom style="thin">
        <color theme="4" tint="0.39997558519241921"/>
      </bottom>
      <diagonal/>
    </border>
    <border>
      <left/>
      <right/>
      <top/>
      <bottom style="thin">
        <color rgb="FF8EA9DB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0" fillId="3" borderId="0" xfId="0" applyFill="1"/>
    <xf numFmtId="0" fontId="1" fillId="2" borderId="4" xfId="0" applyFont="1" applyFill="1" applyBorder="1"/>
    <xf numFmtId="15" fontId="0" fillId="0" borderId="0" xfId="0" applyNumberFormat="1"/>
    <xf numFmtId="0" fontId="0" fillId="0" borderId="0" xfId="0" applyNumberFormat="1"/>
    <xf numFmtId="14" fontId="0" fillId="0" borderId="0" xfId="0" applyNumberFormat="1"/>
  </cellXfs>
  <cellStyles count="1">
    <cellStyle name="Normal" xfId="0" builtinId="0"/>
  </cellStyles>
  <dxfs count="12">
    <dxf>
      <border outline="0">
        <top style="thin">
          <color rgb="FF4472C4"/>
        </top>
      </border>
    </dxf>
    <dxf>
      <border outline="0">
        <bottom style="thin">
          <color rgb="FF8EA9DB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border outline="0">
        <top style="thin">
          <color theme="4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4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</dxfs>
  <tableStyles count="1" defaultTableStyle="TableStyleMedium2" defaultPivotStyle="PivotStyleLight16">
    <tableStyle name="Invisible" pivot="0" table="0" count="0" xr9:uid="{30429C48-E51C-4562-AE16-0C434BABC278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CA6F066-C2DB-4508-9AC1-E819D6713146}" name="HighPri" displayName="HighPri" ref="A1:V208" totalsRowShown="0" headerRowDxfId="11" headerRowBorderDxfId="10" tableBorderDxfId="9">
  <autoFilter ref="A1:V208" xr:uid="{6CA6F066-C2DB-4508-9AC1-E819D6713146}"/>
  <tableColumns count="22">
    <tableColumn id="1" xr3:uid="{F4CB8F99-0970-43AC-9813-77F8C0AAD888}" name="Complaint ID"/>
    <tableColumn id="2" xr3:uid="{B0A52B8D-EB9B-4600-9355-193A1F720F50}" name="Category"/>
    <tableColumn id="3" xr3:uid="{33FC631A-341D-4809-A5B8-B90AFD492ACF}" name="Aging"/>
    <tableColumn id="4" xr3:uid="{3F7F6613-E0B1-4558-82B1-298BB9DF0272}" name="Status"/>
    <tableColumn id="5" xr3:uid="{7A25D259-2FEA-4669-95E1-6E88E8DBA2E5}" name="Date"/>
    <tableColumn id="6" xr3:uid="{10DD2413-A840-4B87-AFB5-DDFCE33FFA03}" name="Comments"/>
    <tableColumn id="7" xr3:uid="{CCB6DB33-D01C-4EAC-873A-FEB38CBC40E4}" name="Last Comments" dataDxfId="8"/>
    <tableColumn id="8" xr3:uid="{273A6857-B402-4B63-9EE4-B0351D78C397}" name="Date Received"/>
    <tableColumn id="9" xr3:uid="{2180877B-DA32-49BC-99F8-4E1DF70EB193}" name="Device Location"/>
    <tableColumn id="10" xr3:uid="{AF7CA52C-4DC1-4721-A19E-134990D23422}" name="Product Family"/>
    <tableColumn id="11" xr3:uid="{B36078FD-AF91-4847-9950-507945D8F569}" name="Country of Event"/>
    <tableColumn id="12" xr3:uid="{77EADBE9-50B3-4396-860B-EA9D1E54B8D3}" name="AR-Device Codes"/>
    <tableColumn id="13" xr3:uid="{C855D5F9-80A1-4B6A-AFB2-580AB0F3D3F5}" name="AR-Patient Codes"/>
    <tableColumn id="14" xr3:uid="{0E6E2624-A73F-4878-B2B2-1D84AAEE9B0E}" name="Investigation Status"/>
    <tableColumn id="15" xr3:uid="{83B84A9B-FAC4-4A6A-8B05-64120A07EBEF}" name="Product Status"/>
    <tableColumn id="16" xr3:uid="{77920E1B-CFD5-4385-A3C9-58F779A5DC6A}" name="PR_EXPECTED_CHANGE_DATE">
      <calculatedColumnFormula array="1">VLOOKUP(INDIRECT("A"&amp;ROW()), 'Recent Changes'!A:G, 2, FALSE)</calculatedColumnFormula>
    </tableColumn>
    <tableColumn id="17" xr3:uid="{5E883371-A30E-400C-B854-B0DFEA5EB039}" name="MODEL_CHANGE_DATE">
      <calculatedColumnFormula array="1">VLOOKUP(INDIRECT("A"&amp;ROW()), 'Recent Changes'!A:G, 3, FALSE)</calculatedColumnFormula>
    </tableColumn>
    <tableColumn id="18" xr3:uid="{9AA01905-4EAD-42D2-B44C-A31942241E5C}" name="UPN_CHANGE_DATE">
      <calculatedColumnFormula array="1">VLOOKUP(INDIRECT("A"&amp;ROW()), 'Recent Changes'!A:G, 4, FALSE)</calculatedColumnFormula>
    </tableColumn>
    <tableColumn id="19" xr3:uid="{B548E4DD-14C0-45F1-86E7-C172EE33A86E}" name="CODING_CHANGE_DATE">
      <calculatedColumnFormula array="1">VLOOKUP(INDIRECT("A"&amp;ROW()), 'Recent Changes'!A:G, 5, FALSE)</calculatedColumnFormula>
    </tableColumn>
    <tableColumn id="20" xr3:uid="{40279177-A277-4239-A736-2671EB91BFBC}" name="LOT_DATE_CHANGE">
      <calculatedColumnFormula array="1">VLOOKUP(INDIRECT("A"&amp;ROW()), 'Recent Changes'!A:G, 6, FALSE)</calculatedColumnFormula>
    </tableColumn>
    <tableColumn id="21" xr3:uid="{A39CA6B9-2EBB-4B5E-BC23-C73483B8DC61}" name="REP_DATE_CHANGE">
      <calculatedColumnFormula array="1">VLOOKUP(INDIRECT("A"&amp;ROW()), 'Recent Changes'!A:G, 7, FALSE)</calculatedColumnFormula>
    </tableColumn>
    <tableColumn id="22" xr3:uid="{07287C2D-533D-432A-849A-6F4607AA2C6F}" name="CIS_FLAG_DATE">
      <calculatedColumnFormula array="1">VLOOKUP(INDIRECT("A"&amp;ROW()), 'Recent Changes'!A:H, 8, FALSE)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D6A617C-023A-4E3A-A695-6556DB460A1B}" name="LowPri" displayName="LowPri" ref="A1:V488" totalsRowShown="0" headerRowDxfId="7" headerRowBorderDxfId="6" tableBorderDxfId="5">
  <autoFilter ref="A1:V488" xr:uid="{BD6A617C-023A-4E3A-A695-6556DB460A1B}"/>
  <tableColumns count="22">
    <tableColumn id="1" xr3:uid="{B4AA6975-8ECF-4697-B6B5-77CDA70FCE2A}" name="Complaint ID"/>
    <tableColumn id="2" xr3:uid="{14504B57-D4E6-4F6F-B197-31358C59BBF6}" name="Category"/>
    <tableColumn id="3" xr3:uid="{9CDD25DF-5927-47F4-9FB9-D47DAD98710F}" name="Aging"/>
    <tableColumn id="4" xr3:uid="{DD19E747-43B4-45C6-97D2-7DA185B9CD82}" name="Status"/>
    <tableColumn id="5" xr3:uid="{4EBA54B8-D54F-49FD-AED5-B3EBF85E708F}" name="Date"/>
    <tableColumn id="6" xr3:uid="{D9CD46D1-DB3C-426F-88B6-BCC1F2DEB81A}" name="Comments"/>
    <tableColumn id="7" xr3:uid="{41FA8D53-D337-4A1E-A527-D0CA818C3905}" name="Last Comments"/>
    <tableColumn id="8" xr3:uid="{6317B109-59FA-4473-BB07-4A9691A2A924}" name="Date Received"/>
    <tableColumn id="9" xr3:uid="{7B056348-EE10-4663-8FD5-F7D978318B2B}" name="Device Location"/>
    <tableColumn id="10" xr3:uid="{D4DF33D8-62BC-45E5-8734-FA3DF952D912}" name="Product Family"/>
    <tableColumn id="11" xr3:uid="{49B714D1-D189-474B-BDCC-B83D8B3AA158}" name="Country of Event"/>
    <tableColumn id="12" xr3:uid="{52DAF219-6601-49E5-8C59-CCFA6FC3748E}" name="AR-Device Codes"/>
    <tableColumn id="13" xr3:uid="{30A95EDF-7056-4F16-A574-9EF163F19D1F}" name="AR-Patient Codes"/>
    <tableColumn id="14" xr3:uid="{4068AFB6-06F0-40BE-898A-7225C3C07903}" name="Investigation Status"/>
    <tableColumn id="15" xr3:uid="{DFE6DF6F-C3D4-407B-AAA6-8D9CF8E4CD6F}" name="Product Status"/>
    <tableColumn id="16" xr3:uid="{D7009887-4172-42F6-B250-A01F48EA0868}" name="PR_EXPECTED_CHANGE_DATE">
      <calculatedColumnFormula array="1">VLOOKUP(INDIRECT("A"&amp;ROW()), 'Recent Changes'!A:G, 2, FALSE)</calculatedColumnFormula>
    </tableColumn>
    <tableColumn id="17" xr3:uid="{6AB77680-AFA6-4FD9-8816-11619D8AF583}" name="MODEL_CHANGE_DATE">
      <calculatedColumnFormula array="1">VLOOKUP(INDIRECT("A"&amp;ROW()), 'Recent Changes'!A:G, 3, FALSE)</calculatedColumnFormula>
    </tableColumn>
    <tableColumn id="18" xr3:uid="{656DF95F-BD9D-469A-9F01-CD9164B224C0}" name="UPN_CHANGE_DATE">
      <calculatedColumnFormula array="1">VLOOKUP(INDIRECT("A"&amp;ROW()), 'Recent Changes'!A:G, 4, FALSE)</calculatedColumnFormula>
    </tableColumn>
    <tableColumn id="19" xr3:uid="{275D480B-F52F-4550-B15D-F91D9895C7F9}" name="CODING_CHANGE_DATE">
      <calculatedColumnFormula array="1">VLOOKUP(INDIRECT("A"&amp;ROW()), 'Recent Changes'!A:G, 5, FALSE)</calculatedColumnFormula>
    </tableColumn>
    <tableColumn id="20" xr3:uid="{EA2AC425-7DDA-44B5-9B48-782E1F023A4B}" name="LOT_DATE_CHANGE">
      <calculatedColumnFormula array="1">VLOOKUP(INDIRECT("A"&amp;ROW()), 'Recent Changes'!A:G, 6, FALSE)</calculatedColumnFormula>
    </tableColumn>
    <tableColumn id="21" xr3:uid="{02323DE7-D3D9-48B5-86CC-FA9C2E36BCCB}" name="REP_DATE_CHANGE">
      <calculatedColumnFormula array="1">VLOOKUP(INDIRECT("A"&amp;ROW()), 'Recent Changes'!A:G, 7, FALSE)</calculatedColumnFormula>
    </tableColumn>
    <tableColumn id="22" xr3:uid="{9B55EBE8-60CC-4B31-B572-6E511F479244}" name="CIS_FLAG_DATE">
      <calculatedColumnFormula array="1">VLOOKUP(INDIRECT("A"&amp;ROW()), 'Recent Changes'!A:H, 8, FALSE)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72106BD-D27B-422D-8203-AF491CBBADFF}" name="Table1" displayName="Table1" ref="A1:V221" totalsRowShown="0" headerRowDxfId="4" headerRowBorderDxfId="3">
  <autoFilter ref="A1:V221" xr:uid="{C72106BD-D27B-422D-8203-AF491CBBADFF}"/>
  <tableColumns count="22">
    <tableColumn id="1" xr3:uid="{2D8A36C0-3690-42E5-8795-904C9D61AAA1}" name="Complaint ID"/>
    <tableColumn id="2" xr3:uid="{6F08D3FB-5C5D-422A-820D-AD5181C5FCD4}" name="Category"/>
    <tableColumn id="3" xr3:uid="{A9786C50-5FDB-4857-8D41-03B513D5E3A6}" name="Aging"/>
    <tableColumn id="4" xr3:uid="{3A6CC42D-28CC-4535-AAC3-8C324C0CA857}" name="Status"/>
    <tableColumn id="5" xr3:uid="{CC2DDF05-C266-4BB3-9BC7-7FA4562DFD35}" name="Date"/>
    <tableColumn id="6" xr3:uid="{DB66520C-4796-4605-A961-76C3FA085EAB}" name="Comments"/>
    <tableColumn id="7" xr3:uid="{1068FD6B-8D73-4EF4-BF4D-93DFAB4CE48F}" name="Last Comments"/>
    <tableColumn id="8" xr3:uid="{F78B36DA-D112-46AC-87DA-64894546120F}" name="Date Received"/>
    <tableColumn id="9" xr3:uid="{0DA23823-A122-4D52-BC0B-5CDDC3BB6366}" name="Device Location"/>
    <tableColumn id="10" xr3:uid="{3F14EB2F-3A07-41FD-AAAF-73007CFD1AFB}" name="Product Family"/>
    <tableColumn id="11" xr3:uid="{FA03F6EA-29BD-4341-9D7F-8335C7E3023B}" name="Country of Event"/>
    <tableColumn id="12" xr3:uid="{F5794FD8-46C3-40F9-A25F-4C34B2334A7D}" name="AR-Device Codes"/>
    <tableColumn id="13" xr3:uid="{DF711CBB-5913-4580-9E93-D3F47537F233}" name="AR-Patient Codes"/>
    <tableColumn id="14" xr3:uid="{EBEF069F-3FA9-48B0-81B7-89F80AAF6606}" name="Investigation Status"/>
    <tableColumn id="15" xr3:uid="{5FEE5F9F-2930-4614-80E6-A85097875DCB}" name="Product Status"/>
    <tableColumn id="16" xr3:uid="{BACD2999-A777-48DE-A076-79B1E7D3EF8C}" name="PR_EXPECTED_CHANGE_DATE"/>
    <tableColumn id="17" xr3:uid="{41B210C1-B0DE-4BCE-AD8D-D2636F18A470}" name="MODEL_CHANGE_DATE"/>
    <tableColumn id="18" xr3:uid="{8B670200-7DFE-4946-ABAF-F55746062A53}" name="UPN_CHANGE_DATE"/>
    <tableColumn id="19" xr3:uid="{2F94093F-7808-4188-9E6C-FE705E8AB519}" name="CODING_CHANGE_DATE"/>
    <tableColumn id="20" xr3:uid="{07121D8E-E65B-444B-AC1D-121C75893556}" name="LOT_DATE_CHANGE"/>
    <tableColumn id="21" xr3:uid="{79D8EB21-67D1-4224-944B-7E9CA7D23CC2}" name="REP_DATE_CHANGE"/>
    <tableColumn id="22" xr3:uid="{D5B44DA9-7FCF-412E-B596-B4EA7EF7EB50}" name="CIS_FLAG_DAT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E348160-8006-45CC-A0FE-10CA7E74ACE9}" name="OldData3" displayName="OldData3" ref="A1:V731" totalsRowShown="0" headerRowDxfId="2" headerRowBorderDxfId="1" tableBorderDxfId="0">
  <autoFilter ref="A1:V731" xr:uid="{FDBC647D-0FD7-4698-B053-BAD86D222C13}"/>
  <tableColumns count="22">
    <tableColumn id="1" xr3:uid="{AF00BD12-6CC9-4585-A34E-2332716A3B0B}" name="Complaint ID"/>
    <tableColumn id="2" xr3:uid="{1D2552ED-1D30-4604-99B5-2773F0D98DBD}" name="Category"/>
    <tableColumn id="3" xr3:uid="{32893679-1465-49A7-9B2A-26DB23F1C628}" name="Aging"/>
    <tableColumn id="4" xr3:uid="{94C8D29F-47DD-4594-84B0-2FAE80304BFF}" name="Status"/>
    <tableColumn id="5" xr3:uid="{D1621AEE-D5CD-45EE-8845-09F2058CA3B1}" name="Date"/>
    <tableColumn id="6" xr3:uid="{CBB1B187-6A84-4B5F-A2AD-5DDCCA051645}" name="Comments"/>
    <tableColumn id="7" xr3:uid="{48D6249D-A317-447D-97D8-4D7A2E1F7990}" name="Last Comments"/>
    <tableColumn id="8" xr3:uid="{763A3ACB-606F-49E0-A867-42181404AF92}" name="Date Received"/>
    <tableColumn id="9" xr3:uid="{5DE9FCE5-A0AB-45D1-B651-0B1EA40AC91F}" name="Device Location"/>
    <tableColumn id="10" xr3:uid="{4DE1DCA1-EED2-4AD9-AE13-776117DEFB3A}" name="Product Family"/>
    <tableColumn id="11" xr3:uid="{C409F423-232E-48CD-9CD4-5C69689AFE48}" name="Country of Event"/>
    <tableColumn id="12" xr3:uid="{BFB6C3AB-A169-424C-B8CC-6528400F0FBF}" name="AR-Device Codes"/>
    <tableColumn id="13" xr3:uid="{8919CC07-81D1-4667-9185-B56C444E0254}" name="AR-Patient Codes"/>
    <tableColumn id="14" xr3:uid="{CE57C608-6283-4D7B-A59F-098090223EB3}" name="Investigation Status"/>
    <tableColumn id="15" xr3:uid="{504F8DB0-48A9-4341-AD37-09768ED55CC4}" name="Product Status"/>
    <tableColumn id="16" xr3:uid="{BD36940F-5DD7-4DAF-903F-B98E27702F3A}" name="PR_EXPECTED_CHANGE_DATE"/>
    <tableColumn id="17" xr3:uid="{8EDC4C5A-496F-458A-819F-64AB8165B592}" name="MODEL_CHANGE_DATE"/>
    <tableColumn id="18" xr3:uid="{B25809BE-F6AF-4BAE-B38B-4585A92DD2D2}" name="UPN_CHANGE_DATE"/>
    <tableColumn id="19" xr3:uid="{E63280F3-B3CC-41CB-9C22-ACF7F02F99E5}" name="CODING_CHANGE_DATE"/>
    <tableColumn id="20" xr3:uid="{064810C2-59C2-49C3-A55A-7407D023785A}" name="LOT_DATE_CHANGE"/>
    <tableColumn id="21" xr3:uid="{47F22F4B-FC1D-48A5-9911-AD325D0F1C84}" name="REP_DATE_CHANGE"/>
    <tableColumn id="22" xr3:uid="{21C960D7-2C0F-4048-9547-BF63763FF946}" name="CIS_FLAG_DA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247409-0998-465F-84E6-E58B9FB36012}">
  <sheetPr codeName="Sheet9"/>
  <dimension ref="A1:BS208"/>
  <sheetViews>
    <sheetView tabSelected="1" zoomScale="85" zoomScaleNormal="85" workbookViewId="0">
      <selection activeCell="N34" sqref="N34"/>
    </sheetView>
  </sheetViews>
  <sheetFormatPr defaultRowHeight="15" x14ac:dyDescent="0.25"/>
  <cols>
    <col min="1" max="1" width="14.5703125" customWidth="1"/>
    <col min="2" max="2" width="11" customWidth="1"/>
    <col min="6" max="6" width="12.7109375" customWidth="1"/>
    <col min="7" max="7" width="16.5703125" customWidth="1"/>
    <col min="8" max="8" width="15.85546875" customWidth="1"/>
    <col min="9" max="9" width="17" customWidth="1"/>
    <col min="10" max="10" width="16.28515625" customWidth="1"/>
    <col min="11" max="11" width="17.85546875" customWidth="1"/>
    <col min="12" max="12" width="18.140625" customWidth="1"/>
    <col min="13" max="13" width="18.5703125" customWidth="1"/>
    <col min="14" max="14" width="20.5703125" customWidth="1"/>
    <col min="15" max="15" width="15.85546875" customWidth="1"/>
    <col min="18" max="18" width="11.140625" bestFit="1" customWidth="1"/>
    <col min="71" max="71" width="9.85546875" bestFit="1" customWidth="1"/>
  </cols>
  <sheetData>
    <row r="1" spans="1:71" x14ac:dyDescent="0.2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13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3" t="s">
        <v>92</v>
      </c>
      <c r="P1" s="2" t="s">
        <v>462</v>
      </c>
      <c r="Q1" s="2" t="s">
        <v>463</v>
      </c>
      <c r="R1" s="2" t="s">
        <v>464</v>
      </c>
      <c r="S1" s="2" t="s">
        <v>465</v>
      </c>
      <c r="T1" s="2" t="s">
        <v>466</v>
      </c>
      <c r="U1" s="2" t="s">
        <v>467</v>
      </c>
      <c r="V1" s="2" t="s">
        <v>1014</v>
      </c>
      <c r="AA1" cm="1">
        <f t="array" aca="1" ref="AA1" ca="1">SUMPRODUCT(SUBTOTAL(3,OFFSET(B2,ROW(B2:B10037)-ROW(B2),0)),(B2:B10037="Coyol")+0)</f>
        <v>141</v>
      </c>
      <c r="AB1" cm="1">
        <f t="array" aca="1" ref="AB1" ca="1">SUMPRODUCT(SUBTOTAL(3,OFFSET(B2,ROW(B2:B10037)-ROW(B2),0)),(B2:B10037="AH")+0)</f>
        <v>66</v>
      </c>
      <c r="BS1" s="8">
        <f ca="1">TODAY()</f>
        <v>45301</v>
      </c>
    </row>
    <row r="2" spans="1:71" x14ac:dyDescent="0.25">
      <c r="A2">
        <v>16221481</v>
      </c>
      <c r="B2" t="s" cm="1">
        <v>430</v>
      </c>
      <c r="C2">
        <v>335</v>
      </c>
      <c r="G2" t="e" cm="1">
        <v>#N/A</v>
      </c>
      <c r="H2" t="s">
        <v>14</v>
      </c>
      <c r="I2" t="s">
        <v>14</v>
      </c>
      <c r="J2" t="s">
        <v>18</v>
      </c>
      <c r="K2" t="s">
        <v>1976</v>
      </c>
      <c r="L2" t="s">
        <v>1978</v>
      </c>
      <c r="M2" t="s">
        <v>76</v>
      </c>
      <c r="N2" t="s">
        <v>83</v>
      </c>
      <c r="P2" t="str" cm="1">
        <f t="array" aca="1" ref="P2" ca="1">VLOOKUP(INDIRECT("A"&amp;ROW()), 'Recent Changes'!A:G, 2, FALSE)</f>
        <v>2024-01-02T19:55:06Z</v>
      </c>
      <c r="Q2" t="str" cm="1">
        <f t="array" aca="1" ref="Q2" ca="1">VLOOKUP(INDIRECT("A"&amp;ROW()), 'Recent Changes'!A:G, 3, FALSE)</f>
        <v>NULL</v>
      </c>
      <c r="R2" t="str" cm="1">
        <f t="array" aca="1" ref="R2" ca="1">VLOOKUP(INDIRECT("A"&amp;ROW()), 'Recent Changes'!A:G, 4, FALSE)</f>
        <v>NULL</v>
      </c>
      <c r="S2" t="str" cm="1">
        <f t="array" aca="1" ref="S2" ca="1">VLOOKUP(INDIRECT("A"&amp;ROW()), 'Recent Changes'!A:G, 5, FALSE)</f>
        <v>NULL</v>
      </c>
      <c r="T2" t="str" cm="1">
        <f t="array" aca="1" ref="T2" ca="1">VLOOKUP(INDIRECT("A"&amp;ROW()), 'Recent Changes'!A:G, 6, FALSE)</f>
        <v>NULL</v>
      </c>
      <c r="U2" t="str" cm="1">
        <f t="array" aca="1" ref="U2" ca="1">VLOOKUP(INDIRECT("A"&amp;ROW()), 'Recent Changes'!A:G, 7, FALSE)</f>
        <v>NULL</v>
      </c>
      <c r="V2" t="str" cm="1">
        <f t="array" aca="1" ref="V2" ca="1">VLOOKUP(INDIRECT("A"&amp;ROW()), 'Recent Changes'!A:H, 8, FALSE)</f>
        <v>2024-01-02T21:30:00Z</v>
      </c>
    </row>
    <row r="3" spans="1:71" x14ac:dyDescent="0.25">
      <c r="A3">
        <v>16221559</v>
      </c>
      <c r="B3" t="s">
        <v>430</v>
      </c>
      <c r="C3">
        <v>335</v>
      </c>
      <c r="G3" t="e" cm="1">
        <v>#N/A</v>
      </c>
      <c r="H3" t="s">
        <v>14</v>
      </c>
      <c r="I3" t="s">
        <v>380</v>
      </c>
      <c r="J3" t="s">
        <v>24</v>
      </c>
      <c r="K3" t="s">
        <v>1976</v>
      </c>
      <c r="L3" t="s">
        <v>1979</v>
      </c>
      <c r="M3" t="s">
        <v>76</v>
      </c>
      <c r="N3" t="s">
        <v>83</v>
      </c>
      <c r="P3" t="str" cm="1">
        <f t="array" aca="1" ref="P3" ca="1">VLOOKUP(INDIRECT("A"&amp;ROW()), 'Recent Changes'!A:G, 2, FALSE)</f>
        <v>2024-01-02T19:56:09Z</v>
      </c>
      <c r="Q3" t="str" cm="1">
        <f t="array" aca="1" ref="Q3" ca="1">VLOOKUP(INDIRECT("A"&amp;ROW()), 'Recent Changes'!A:G, 3, FALSE)</f>
        <v>NULL</v>
      </c>
      <c r="R3" t="str" cm="1">
        <f t="array" aca="1" ref="R3" ca="1">VLOOKUP(INDIRECT("A"&amp;ROW()), 'Recent Changes'!A:G, 4, FALSE)</f>
        <v>NULL</v>
      </c>
      <c r="S3" t="str" cm="1">
        <f t="array" aca="1" ref="S3" ca="1">VLOOKUP(INDIRECT("A"&amp;ROW()), 'Recent Changes'!A:G, 5, FALSE)</f>
        <v>NULL</v>
      </c>
      <c r="T3" t="str" cm="1">
        <f t="array" aca="1" ref="T3" ca="1">VLOOKUP(INDIRECT("A"&amp;ROW()), 'Recent Changes'!A:G, 6, FALSE)</f>
        <v>NULL</v>
      </c>
      <c r="U3" t="str" cm="1">
        <f t="array" aca="1" ref="U3" ca="1">VLOOKUP(INDIRECT("A"&amp;ROW()), 'Recent Changes'!A:G, 7, FALSE)</f>
        <v>NULL</v>
      </c>
      <c r="V3" t="str" cm="1">
        <f t="array" aca="1" ref="V3" ca="1">VLOOKUP(INDIRECT("A"&amp;ROW()), 'Recent Changes'!A:H, 8, FALSE)</f>
        <v>2024-01-02T21:02:56Z</v>
      </c>
    </row>
    <row r="4" spans="1:71" x14ac:dyDescent="0.25">
      <c r="A4">
        <v>16270208</v>
      </c>
      <c r="B4" t="s">
        <v>430</v>
      </c>
      <c r="C4">
        <v>325</v>
      </c>
      <c r="G4" t="e" cm="1">
        <v>#N/A</v>
      </c>
      <c r="H4" t="s">
        <v>14</v>
      </c>
      <c r="I4" t="s">
        <v>14</v>
      </c>
      <c r="J4" t="s">
        <v>25</v>
      </c>
      <c r="K4" t="s">
        <v>1682</v>
      </c>
      <c r="L4" t="s">
        <v>1980</v>
      </c>
      <c r="M4" t="s">
        <v>76</v>
      </c>
      <c r="N4" t="s">
        <v>83</v>
      </c>
      <c r="P4" t="str" cm="1">
        <f t="array" aca="1" ref="P4" ca="1">VLOOKUP(INDIRECT("A"&amp;ROW()), 'Recent Changes'!A:G, 2, FALSE)</f>
        <v>2023-12-29T15:16:16Z</v>
      </c>
      <c r="Q4" t="str" cm="1">
        <f t="array" aca="1" ref="Q4" ca="1">VLOOKUP(INDIRECT("A"&amp;ROW()), 'Recent Changes'!A:G, 3, FALSE)</f>
        <v>NULL</v>
      </c>
      <c r="R4" t="str" cm="1">
        <f t="array" aca="1" ref="R4" ca="1">VLOOKUP(INDIRECT("A"&amp;ROW()), 'Recent Changes'!A:G, 4, FALSE)</f>
        <v>NULL</v>
      </c>
      <c r="S4" t="str" cm="1">
        <f t="array" aca="1" ref="S4" ca="1">VLOOKUP(INDIRECT("A"&amp;ROW()), 'Recent Changes'!A:G, 5, FALSE)</f>
        <v>NULL</v>
      </c>
      <c r="T4" t="str" cm="1">
        <f t="array" aca="1" ref="T4" ca="1">VLOOKUP(INDIRECT("A"&amp;ROW()), 'Recent Changes'!A:G, 6, FALSE)</f>
        <v>NULL</v>
      </c>
      <c r="U4" t="str" cm="1">
        <f t="array" aca="1" ref="U4" ca="1">VLOOKUP(INDIRECT("A"&amp;ROW()), 'Recent Changes'!A:G, 7, FALSE)</f>
        <v>NULL</v>
      </c>
      <c r="V4" t="str" cm="1">
        <f t="array" aca="1" ref="V4" ca="1">VLOOKUP(INDIRECT("A"&amp;ROW()), 'Recent Changes'!A:H, 8, FALSE)</f>
        <v>2023-12-30T07:58:09Z</v>
      </c>
    </row>
    <row r="5" spans="1:71" x14ac:dyDescent="0.25">
      <c r="A5">
        <v>16364516</v>
      </c>
      <c r="B5" t="s">
        <v>433</v>
      </c>
      <c r="C5">
        <v>243</v>
      </c>
      <c r="G5" t="e" cm="1">
        <v>#N/A</v>
      </c>
      <c r="H5">
        <v>45056</v>
      </c>
      <c r="I5" t="s">
        <v>378</v>
      </c>
      <c r="J5" t="s">
        <v>24</v>
      </c>
      <c r="K5" t="s">
        <v>44</v>
      </c>
      <c r="L5" t="s">
        <v>86</v>
      </c>
      <c r="M5" t="s">
        <v>76</v>
      </c>
      <c r="N5" t="s">
        <v>83</v>
      </c>
      <c r="O5" t="s">
        <v>431</v>
      </c>
      <c r="P5" t="str" cm="1">
        <f t="array" aca="1" ref="P5" ca="1">VLOOKUP(INDIRECT("A"&amp;ROW()), 'Recent Changes'!A:G, 2, FALSE)</f>
        <v>NULL</v>
      </c>
      <c r="Q5" t="str" cm="1">
        <f t="array" aca="1" ref="Q5" ca="1">VLOOKUP(INDIRECT("A"&amp;ROW()), 'Recent Changes'!A:G, 3, FALSE)</f>
        <v>NULL</v>
      </c>
      <c r="R5" t="str" cm="1">
        <f t="array" aca="1" ref="R5" ca="1">VLOOKUP(INDIRECT("A"&amp;ROW()), 'Recent Changes'!A:G, 4, FALSE)</f>
        <v>NULL</v>
      </c>
      <c r="S5" t="str" cm="1">
        <f t="array" aca="1" ref="S5" ca="1">VLOOKUP(INDIRECT("A"&amp;ROW()), 'Recent Changes'!A:G, 5, FALSE)</f>
        <v>NULL</v>
      </c>
      <c r="T5" t="str" cm="1">
        <f t="array" aca="1" ref="T5" ca="1">VLOOKUP(INDIRECT("A"&amp;ROW()), 'Recent Changes'!A:G, 6, FALSE)</f>
        <v>NULL</v>
      </c>
      <c r="U5" t="str" cm="1">
        <f t="array" aca="1" ref="U5" ca="1">VLOOKUP(INDIRECT("A"&amp;ROW()), 'Recent Changes'!A:G, 7, FALSE)</f>
        <v>2023-12-20T20:53:19Z</v>
      </c>
      <c r="V5" t="str" cm="1">
        <f t="array" aca="1" ref="V5" ca="1">VLOOKUP(INDIRECT("A"&amp;ROW()), 'Recent Changes'!A:H, 8, FALSE)</f>
        <v>2023-12-13T21:21:35Z</v>
      </c>
    </row>
    <row r="6" spans="1:71" x14ac:dyDescent="0.25">
      <c r="A6">
        <v>16375417</v>
      </c>
      <c r="B6" t="s">
        <v>433</v>
      </c>
      <c r="C6">
        <v>238</v>
      </c>
      <c r="G6" t="e" cm="1">
        <v>#N/A</v>
      </c>
      <c r="H6">
        <v>45062</v>
      </c>
      <c r="I6" t="s">
        <v>15</v>
      </c>
      <c r="J6" t="s">
        <v>36</v>
      </c>
      <c r="K6" t="s">
        <v>44</v>
      </c>
      <c r="L6" t="s">
        <v>56</v>
      </c>
      <c r="M6" t="s">
        <v>76</v>
      </c>
      <c r="N6" t="s">
        <v>83</v>
      </c>
      <c r="O6" t="s">
        <v>431</v>
      </c>
      <c r="P6" t="str" cm="1">
        <f t="array" aca="1" ref="P6" ca="1">VLOOKUP(INDIRECT("A"&amp;ROW()), 'Recent Changes'!A:G, 2, FALSE)</f>
        <v>NULL</v>
      </c>
      <c r="Q6" t="str" cm="1">
        <f t="array" aca="1" ref="Q6" ca="1">VLOOKUP(INDIRECT("A"&amp;ROW()), 'Recent Changes'!A:G, 3, FALSE)</f>
        <v>NULL</v>
      </c>
      <c r="R6" t="str" cm="1">
        <f t="array" aca="1" ref="R6" ca="1">VLOOKUP(INDIRECT("A"&amp;ROW()), 'Recent Changes'!A:G, 4, FALSE)</f>
        <v>NULL</v>
      </c>
      <c r="S6" t="str" cm="1">
        <f t="array" aca="1" ref="S6" ca="1">VLOOKUP(INDIRECT("A"&amp;ROW()), 'Recent Changes'!A:G, 5, FALSE)</f>
        <v>2023-11-13T17:57:25Z</v>
      </c>
      <c r="T6" t="str" cm="1">
        <f t="array" aca="1" ref="T6" ca="1">VLOOKUP(INDIRECT("A"&amp;ROW()), 'Recent Changes'!A:G, 6, FALSE)</f>
        <v>NULL</v>
      </c>
      <c r="U6" t="str" cm="1">
        <f t="array" aca="1" ref="U6" ca="1">VLOOKUP(INDIRECT("A"&amp;ROW()), 'Recent Changes'!A:G, 7, FALSE)</f>
        <v>2023-11-09T16:36:02Z</v>
      </c>
      <c r="V6" t="str" cm="1">
        <f t="array" aca="1" ref="V6" ca="1">VLOOKUP(INDIRECT("A"&amp;ROW()), 'Recent Changes'!A:H, 8, FALSE)</f>
        <v>2023-11-09T21:05:48Z</v>
      </c>
    </row>
    <row r="7" spans="1:71" x14ac:dyDescent="0.25">
      <c r="A7">
        <v>16687946</v>
      </c>
      <c r="B7" t="s">
        <v>433</v>
      </c>
      <c r="C7">
        <v>228</v>
      </c>
      <c r="G7" t="s" cm="1">
        <v>442</v>
      </c>
      <c r="H7" t="s">
        <v>14</v>
      </c>
      <c r="I7" t="s">
        <v>14</v>
      </c>
      <c r="J7" t="s">
        <v>35</v>
      </c>
      <c r="K7" t="s">
        <v>49</v>
      </c>
      <c r="L7" t="s">
        <v>61</v>
      </c>
      <c r="M7" t="s">
        <v>76</v>
      </c>
      <c r="N7" t="s">
        <v>1974</v>
      </c>
      <c r="P7" t="e" cm="1">
        <f t="array" aca="1" ref="P7" ca="1">VLOOKUP(INDIRECT("A"&amp;ROW()), 'Recent Changes'!A:G, 2, FALSE)</f>
        <v>#N/A</v>
      </c>
      <c r="Q7" t="e" cm="1">
        <f t="array" aca="1" ref="Q7" ca="1">VLOOKUP(INDIRECT("A"&amp;ROW()), 'Recent Changes'!A:G, 3, FALSE)</f>
        <v>#N/A</v>
      </c>
      <c r="R7" t="e" cm="1">
        <f t="array" aca="1" ref="R7" ca="1">VLOOKUP(INDIRECT("A"&amp;ROW()), 'Recent Changes'!A:G, 4, FALSE)</f>
        <v>#N/A</v>
      </c>
      <c r="S7" t="e" cm="1">
        <f t="array" aca="1" ref="S7" ca="1">VLOOKUP(INDIRECT("A"&amp;ROW()), 'Recent Changes'!A:G, 5, FALSE)</f>
        <v>#N/A</v>
      </c>
      <c r="T7" t="e" cm="1">
        <f t="array" aca="1" ref="T7" ca="1">VLOOKUP(INDIRECT("A"&amp;ROW()), 'Recent Changes'!A:G, 6, FALSE)</f>
        <v>#N/A</v>
      </c>
      <c r="U7" t="e" cm="1">
        <f t="array" aca="1" ref="U7" ca="1">VLOOKUP(INDIRECT("A"&amp;ROW()), 'Recent Changes'!A:G, 7, FALSE)</f>
        <v>#N/A</v>
      </c>
      <c r="V7" t="e" cm="1">
        <f t="array" aca="1" ref="V7" ca="1">VLOOKUP(INDIRECT("A"&amp;ROW()), 'Recent Changes'!A:H, 8, FALSE)</f>
        <v>#N/A</v>
      </c>
    </row>
    <row r="8" spans="1:71" x14ac:dyDescent="0.25">
      <c r="A8">
        <v>16775800</v>
      </c>
      <c r="B8" t="s" cm="1">
        <v>430</v>
      </c>
      <c r="C8">
        <v>207</v>
      </c>
      <c r="G8" t="e" cm="1">
        <v>#N/A</v>
      </c>
      <c r="H8" t="s">
        <v>14</v>
      </c>
      <c r="I8" t="s">
        <v>14</v>
      </c>
      <c r="J8" t="s">
        <v>22</v>
      </c>
      <c r="K8" t="s">
        <v>43</v>
      </c>
      <c r="L8" t="s">
        <v>1981</v>
      </c>
      <c r="M8" t="s">
        <v>76</v>
      </c>
      <c r="N8" t="s">
        <v>83</v>
      </c>
      <c r="P8" t="str" cm="1">
        <f t="array" aca="1" ref="P8" ca="1">VLOOKUP(INDIRECT("A"&amp;ROW()), 'Recent Changes'!A:G, 2, FALSE)</f>
        <v>2024-01-03T16:56:05Z</v>
      </c>
      <c r="Q8" t="str" cm="1">
        <f t="array" aca="1" ref="Q8" ca="1">VLOOKUP(INDIRECT("A"&amp;ROW()), 'Recent Changes'!A:G, 3, FALSE)</f>
        <v>NULL</v>
      </c>
      <c r="R8" t="str" cm="1">
        <f t="array" aca="1" ref="R8" ca="1">VLOOKUP(INDIRECT("A"&amp;ROW()), 'Recent Changes'!A:G, 4, FALSE)</f>
        <v>NULL</v>
      </c>
      <c r="S8" t="str" cm="1">
        <f t="array" aca="1" ref="S8" ca="1">VLOOKUP(INDIRECT("A"&amp;ROW()), 'Recent Changes'!A:G, 5, FALSE)</f>
        <v>NULL</v>
      </c>
      <c r="T8" t="str" cm="1">
        <f t="array" aca="1" ref="T8" ca="1">VLOOKUP(INDIRECT("A"&amp;ROW()), 'Recent Changes'!A:G, 6, FALSE)</f>
        <v>NULL</v>
      </c>
      <c r="U8" t="str" cm="1">
        <f t="array" aca="1" ref="U8" ca="1">VLOOKUP(INDIRECT("A"&amp;ROW()), 'Recent Changes'!A:G, 7, FALSE)</f>
        <v>NULL</v>
      </c>
      <c r="V8" t="str" cm="1">
        <f t="array" aca="1" ref="V8" ca="1">VLOOKUP(INDIRECT("A"&amp;ROW()), 'Recent Changes'!A:H, 8, FALSE)</f>
        <v>2024-01-03T21:24:13Z</v>
      </c>
    </row>
    <row r="9" spans="1:71" x14ac:dyDescent="0.25">
      <c r="A9">
        <v>16776416</v>
      </c>
      <c r="B9" t="s">
        <v>433</v>
      </c>
      <c r="C9">
        <v>207</v>
      </c>
      <c r="G9" t="s" cm="1">
        <v>442</v>
      </c>
      <c r="H9" t="s">
        <v>14</v>
      </c>
      <c r="I9" t="s">
        <v>14</v>
      </c>
      <c r="J9" t="s">
        <v>35</v>
      </c>
      <c r="K9" t="s">
        <v>49</v>
      </c>
      <c r="L9" t="s">
        <v>65</v>
      </c>
      <c r="M9" t="s">
        <v>81</v>
      </c>
      <c r="N9" t="s">
        <v>1974</v>
      </c>
      <c r="P9" t="e" cm="1">
        <f t="array" aca="1" ref="P9" ca="1">VLOOKUP(INDIRECT("A"&amp;ROW()), 'Recent Changes'!A:G, 2, FALSE)</f>
        <v>#N/A</v>
      </c>
      <c r="Q9" t="e" cm="1">
        <f t="array" aca="1" ref="Q9" ca="1">VLOOKUP(INDIRECT("A"&amp;ROW()), 'Recent Changes'!A:G, 3, FALSE)</f>
        <v>#N/A</v>
      </c>
      <c r="R9" t="e" cm="1">
        <f t="array" aca="1" ref="R9" ca="1">VLOOKUP(INDIRECT("A"&amp;ROW()), 'Recent Changes'!A:G, 4, FALSE)</f>
        <v>#N/A</v>
      </c>
      <c r="S9" t="e" cm="1">
        <f t="array" aca="1" ref="S9" ca="1">VLOOKUP(INDIRECT("A"&amp;ROW()), 'Recent Changes'!A:G, 5, FALSE)</f>
        <v>#N/A</v>
      </c>
      <c r="T9" t="e" cm="1">
        <f t="array" aca="1" ref="T9" ca="1">VLOOKUP(INDIRECT("A"&amp;ROW()), 'Recent Changes'!A:G, 6, FALSE)</f>
        <v>#N/A</v>
      </c>
      <c r="U9" t="e" cm="1">
        <f t="array" aca="1" ref="U9" ca="1">VLOOKUP(INDIRECT("A"&amp;ROW()), 'Recent Changes'!A:G, 7, FALSE)</f>
        <v>#N/A</v>
      </c>
      <c r="V9" t="e" cm="1">
        <f t="array" aca="1" ref="V9" ca="1">VLOOKUP(INDIRECT("A"&amp;ROW()), 'Recent Changes'!A:H, 8, FALSE)</f>
        <v>#N/A</v>
      </c>
    </row>
    <row r="10" spans="1:71" x14ac:dyDescent="0.25">
      <c r="A10">
        <v>16831148</v>
      </c>
      <c r="B10" t="s">
        <v>433</v>
      </c>
      <c r="C10">
        <v>194</v>
      </c>
      <c r="G10" t="e" cm="1">
        <v>#N/A</v>
      </c>
      <c r="H10" t="s">
        <v>14</v>
      </c>
      <c r="I10" t="s">
        <v>754</v>
      </c>
      <c r="J10" t="s">
        <v>23</v>
      </c>
      <c r="K10" t="s">
        <v>47</v>
      </c>
      <c r="L10" t="s">
        <v>1982</v>
      </c>
      <c r="M10" t="s">
        <v>76</v>
      </c>
      <c r="N10" t="s">
        <v>83</v>
      </c>
      <c r="P10" t="str" cm="1">
        <f t="array" aca="1" ref="P10" ca="1">VLOOKUP(INDIRECT("A"&amp;ROW()), 'Recent Changes'!A:G, 2, FALSE)</f>
        <v>2023-12-22T02:37:29Z</v>
      </c>
      <c r="Q10" t="str" cm="1">
        <f t="array" aca="1" ref="Q10" ca="1">VLOOKUP(INDIRECT("A"&amp;ROW()), 'Recent Changes'!A:G, 3, FALSE)</f>
        <v>NULL</v>
      </c>
      <c r="R10" t="str" cm="1">
        <f t="array" aca="1" ref="R10" ca="1">VLOOKUP(INDIRECT("A"&amp;ROW()), 'Recent Changes'!A:G, 4, FALSE)</f>
        <v>NULL</v>
      </c>
      <c r="S10" t="str" cm="1">
        <f t="array" aca="1" ref="S10" ca="1">VLOOKUP(INDIRECT("A"&amp;ROW()), 'Recent Changes'!A:G, 5, FALSE)</f>
        <v>NULL</v>
      </c>
      <c r="T10" t="str" cm="1">
        <f t="array" aca="1" ref="T10" ca="1">VLOOKUP(INDIRECT("A"&amp;ROW()), 'Recent Changes'!A:G, 6, FALSE)</f>
        <v>NULL</v>
      </c>
      <c r="U10" t="str" cm="1">
        <f t="array" aca="1" ref="U10" ca="1">VLOOKUP(INDIRECT("A"&amp;ROW()), 'Recent Changes'!A:G, 7, FALSE)</f>
        <v>NULL</v>
      </c>
      <c r="V10" t="str" cm="1">
        <f t="array" aca="1" ref="V10" ca="1">VLOOKUP(INDIRECT("A"&amp;ROW()), 'Recent Changes'!A:H, 8, FALSE)</f>
        <v>2023-12-22T07:24:56Z</v>
      </c>
    </row>
    <row r="11" spans="1:71" x14ac:dyDescent="0.25">
      <c r="A11">
        <v>16876830</v>
      </c>
      <c r="B11" t="s" cm="1">
        <v>430</v>
      </c>
      <c r="C11">
        <v>182</v>
      </c>
      <c r="G11" t="e" cm="1">
        <v>#N/A</v>
      </c>
      <c r="H11" t="s">
        <v>14</v>
      </c>
      <c r="I11" t="s">
        <v>14</v>
      </c>
      <c r="J11" t="s">
        <v>22</v>
      </c>
      <c r="K11" t="s">
        <v>53</v>
      </c>
      <c r="L11" t="s">
        <v>1983</v>
      </c>
      <c r="M11" t="s">
        <v>410</v>
      </c>
      <c r="N11" t="s">
        <v>83</v>
      </c>
      <c r="P11" t="str" cm="1">
        <f t="array" aca="1" ref="P11" ca="1">VLOOKUP(INDIRECT("A"&amp;ROW()), 'Recent Changes'!A:G, 2, FALSE)</f>
        <v>2024-01-03T17:07:26Z</v>
      </c>
      <c r="Q11" t="str" cm="1">
        <f t="array" aca="1" ref="Q11" ca="1">VLOOKUP(INDIRECT("A"&amp;ROW()), 'Recent Changes'!A:G, 3, FALSE)</f>
        <v>NULL</v>
      </c>
      <c r="R11" t="str" cm="1">
        <f t="array" aca="1" ref="R11" ca="1">VLOOKUP(INDIRECT("A"&amp;ROW()), 'Recent Changes'!A:G, 4, FALSE)</f>
        <v>NULL</v>
      </c>
      <c r="S11" t="str" cm="1">
        <f t="array" aca="1" ref="S11" ca="1">VLOOKUP(INDIRECT("A"&amp;ROW()), 'Recent Changes'!A:G, 5, FALSE)</f>
        <v>NULL</v>
      </c>
      <c r="T11" t="str" cm="1">
        <f t="array" aca="1" ref="T11" ca="1">VLOOKUP(INDIRECT("A"&amp;ROW()), 'Recent Changes'!A:G, 6, FALSE)</f>
        <v>NULL</v>
      </c>
      <c r="U11" t="str" cm="1">
        <f t="array" aca="1" ref="U11" ca="1">VLOOKUP(INDIRECT("A"&amp;ROW()), 'Recent Changes'!A:G, 7, FALSE)</f>
        <v>NULL</v>
      </c>
      <c r="V11" t="str" cm="1">
        <f t="array" aca="1" ref="V11" ca="1">VLOOKUP(INDIRECT("A"&amp;ROW()), 'Recent Changes'!A:H, 8, FALSE)</f>
        <v>2024-01-03T21:28:11Z</v>
      </c>
    </row>
    <row r="12" spans="1:71" ht="15" customHeight="1" x14ac:dyDescent="0.25">
      <c r="A12">
        <v>16887884</v>
      </c>
      <c r="B12" t="s">
        <v>433</v>
      </c>
      <c r="C12">
        <v>180</v>
      </c>
      <c r="G12" t="s" cm="1">
        <v>442</v>
      </c>
      <c r="H12" t="s">
        <v>14</v>
      </c>
      <c r="I12" t="s">
        <v>14</v>
      </c>
      <c r="J12" t="s">
        <v>84</v>
      </c>
      <c r="K12" t="s">
        <v>44</v>
      </c>
      <c r="L12" t="s">
        <v>87</v>
      </c>
      <c r="M12" t="s">
        <v>76</v>
      </c>
      <c r="N12" t="s">
        <v>1974</v>
      </c>
      <c r="P12" t="e" cm="1">
        <f t="array" aca="1" ref="P12" ca="1">VLOOKUP(INDIRECT("A"&amp;ROW()), 'Recent Changes'!A:G, 2, FALSE)</f>
        <v>#N/A</v>
      </c>
      <c r="Q12" t="e" cm="1">
        <f t="array" aca="1" ref="Q12" ca="1">VLOOKUP(INDIRECT("A"&amp;ROW()), 'Recent Changes'!A:G, 3, FALSE)</f>
        <v>#N/A</v>
      </c>
      <c r="R12" t="e" cm="1">
        <f t="array" aca="1" ref="R12" ca="1">VLOOKUP(INDIRECT("A"&amp;ROW()), 'Recent Changes'!A:G, 4, FALSE)</f>
        <v>#N/A</v>
      </c>
      <c r="S12" t="e" cm="1">
        <f t="array" aca="1" ref="S12" ca="1">VLOOKUP(INDIRECT("A"&amp;ROW()), 'Recent Changes'!A:G, 5, FALSE)</f>
        <v>#N/A</v>
      </c>
      <c r="T12" t="e" cm="1">
        <f t="array" aca="1" ref="T12" ca="1">VLOOKUP(INDIRECT("A"&amp;ROW()), 'Recent Changes'!A:G, 6, FALSE)</f>
        <v>#N/A</v>
      </c>
      <c r="U12" t="e" cm="1">
        <f t="array" aca="1" ref="U12" ca="1">VLOOKUP(INDIRECT("A"&amp;ROW()), 'Recent Changes'!A:G, 7, FALSE)</f>
        <v>#N/A</v>
      </c>
      <c r="V12" t="e" cm="1">
        <f t="array" aca="1" ref="V12" ca="1">VLOOKUP(INDIRECT("A"&amp;ROW()), 'Recent Changes'!A:H, 8, FALSE)</f>
        <v>#N/A</v>
      </c>
    </row>
    <row r="13" spans="1:71" x14ac:dyDescent="0.25">
      <c r="A13">
        <v>16896957</v>
      </c>
      <c r="B13" t="s" cm="1">
        <v>430</v>
      </c>
      <c r="C13">
        <v>179</v>
      </c>
      <c r="G13" t="e" cm="1">
        <v>#N/A</v>
      </c>
      <c r="H13" t="s">
        <v>14</v>
      </c>
      <c r="I13" t="s">
        <v>14</v>
      </c>
      <c r="J13" t="s">
        <v>18</v>
      </c>
      <c r="K13" t="s">
        <v>46</v>
      </c>
      <c r="L13" t="s">
        <v>55</v>
      </c>
      <c r="M13" t="s">
        <v>76</v>
      </c>
      <c r="N13" t="s">
        <v>83</v>
      </c>
      <c r="P13" t="str" cm="1">
        <f t="array" aca="1" ref="P13" ca="1">VLOOKUP(INDIRECT("A"&amp;ROW()), 'Recent Changes'!A:G, 2, FALSE)</f>
        <v>2023-12-20T21:59:05Z</v>
      </c>
      <c r="Q13" t="str" cm="1">
        <f t="array" aca="1" ref="Q13" ca="1">VLOOKUP(INDIRECT("A"&amp;ROW()), 'Recent Changes'!A:G, 3, FALSE)</f>
        <v>NULL</v>
      </c>
      <c r="R13" t="str" cm="1">
        <f t="array" aca="1" ref="R13" ca="1">VLOOKUP(INDIRECT("A"&amp;ROW()), 'Recent Changes'!A:G, 4, FALSE)</f>
        <v>NULL</v>
      </c>
      <c r="S13" t="str" cm="1">
        <f t="array" aca="1" ref="S13" ca="1">VLOOKUP(INDIRECT("A"&amp;ROW()), 'Recent Changes'!A:G, 5, FALSE)</f>
        <v>2023-09-08T12:08:29Z</v>
      </c>
      <c r="T13" t="str" cm="1">
        <f t="array" aca="1" ref="T13" ca="1">VLOOKUP(INDIRECT("A"&amp;ROW()), 'Recent Changes'!A:G, 6, FALSE)</f>
        <v>NULL</v>
      </c>
      <c r="U13" t="str" cm="1">
        <f t="array" aca="1" ref="U13" ca="1">VLOOKUP(INDIRECT("A"&amp;ROW()), 'Recent Changes'!A:G, 7, FALSE)</f>
        <v>2023-08-08T05:24:47Z</v>
      </c>
      <c r="V13" t="str" cm="1">
        <f t="array" aca="1" ref="V13" ca="1">VLOOKUP(INDIRECT("A"&amp;ROW()), 'Recent Changes'!A:H, 8, FALSE)</f>
        <v>2023-12-21T07:24:49Z</v>
      </c>
    </row>
    <row r="14" spans="1:71" x14ac:dyDescent="0.25">
      <c r="A14">
        <v>10181305</v>
      </c>
      <c r="B14" t="s">
        <v>433</v>
      </c>
      <c r="C14">
        <v>175</v>
      </c>
      <c r="G14" t="e" cm="1">
        <v>#N/A</v>
      </c>
      <c r="H14">
        <v>45124</v>
      </c>
      <c r="I14" t="s">
        <v>15</v>
      </c>
      <c r="J14" t="s">
        <v>22</v>
      </c>
      <c r="K14" t="s">
        <v>44</v>
      </c>
      <c r="L14" t="s">
        <v>1984</v>
      </c>
      <c r="M14" t="s">
        <v>91</v>
      </c>
      <c r="N14" t="s">
        <v>83</v>
      </c>
      <c r="O14" t="s">
        <v>431</v>
      </c>
      <c r="P14" t="str" cm="1">
        <f t="array" aca="1" ref="P14" ca="1">VLOOKUP(INDIRECT("A"&amp;ROW()), 'Recent Changes'!A:G, 2, FALSE)</f>
        <v>NULL</v>
      </c>
      <c r="Q14" t="str" cm="1">
        <f t="array" aca="1" ref="Q14" ca="1">VLOOKUP(INDIRECT("A"&amp;ROW()), 'Recent Changes'!A:G, 3, FALSE)</f>
        <v>NULL</v>
      </c>
      <c r="R14" t="str" cm="1">
        <f t="array" aca="1" ref="R14" ca="1">VLOOKUP(INDIRECT("A"&amp;ROW()), 'Recent Changes'!A:G, 4, FALSE)</f>
        <v>NULL</v>
      </c>
      <c r="S14" t="str" cm="1">
        <f t="array" aca="1" ref="S14" ca="1">VLOOKUP(INDIRECT("A"&amp;ROW()), 'Recent Changes'!A:G, 5, FALSE)</f>
        <v>2023-11-21T16:03:42Z</v>
      </c>
      <c r="T14" t="str" cm="1">
        <f t="array" aca="1" ref="T14" ca="1">VLOOKUP(INDIRECT("A"&amp;ROW()), 'Recent Changes'!A:G, 6, FALSE)</f>
        <v>NULL</v>
      </c>
      <c r="U14" t="str" cm="1">
        <f t="array" aca="1" ref="U14" ca="1">VLOOKUP(INDIRECT("A"&amp;ROW()), 'Recent Changes'!A:G, 7, FALSE)</f>
        <v>NULL</v>
      </c>
      <c r="V14" t="str" cm="1">
        <f t="array" aca="1" ref="V14" ca="1">VLOOKUP(INDIRECT("A"&amp;ROW()), 'Recent Changes'!A:H, 8, FALSE)</f>
        <v>2023-11-21T21:21:10Z</v>
      </c>
    </row>
    <row r="15" spans="1:71" x14ac:dyDescent="0.25">
      <c r="A15">
        <v>16961068</v>
      </c>
      <c r="B15" t="s">
        <v>433</v>
      </c>
      <c r="C15">
        <v>164</v>
      </c>
      <c r="G15" t="s" cm="1">
        <v>442</v>
      </c>
      <c r="H15" t="s">
        <v>14</v>
      </c>
      <c r="I15" t="s">
        <v>14</v>
      </c>
      <c r="J15" t="s">
        <v>84</v>
      </c>
      <c r="K15" t="s">
        <v>44</v>
      </c>
      <c r="L15" t="s">
        <v>1985</v>
      </c>
      <c r="M15" t="s">
        <v>76</v>
      </c>
      <c r="N15" t="s">
        <v>1974</v>
      </c>
      <c r="P15" t="e" cm="1">
        <f t="array" aca="1" ref="P15" ca="1">VLOOKUP(INDIRECT("A"&amp;ROW()), 'Recent Changes'!A:G, 2, FALSE)</f>
        <v>#N/A</v>
      </c>
      <c r="Q15" t="e" cm="1">
        <f t="array" aca="1" ref="Q15" ca="1">VLOOKUP(INDIRECT("A"&amp;ROW()), 'Recent Changes'!A:G, 3, FALSE)</f>
        <v>#N/A</v>
      </c>
      <c r="R15" t="e" cm="1">
        <f t="array" aca="1" ref="R15" ca="1">VLOOKUP(INDIRECT("A"&amp;ROW()), 'Recent Changes'!A:G, 4, FALSE)</f>
        <v>#N/A</v>
      </c>
      <c r="S15" t="e" cm="1">
        <f t="array" aca="1" ref="S15" ca="1">VLOOKUP(INDIRECT("A"&amp;ROW()), 'Recent Changes'!A:G, 5, FALSE)</f>
        <v>#N/A</v>
      </c>
      <c r="T15" t="e" cm="1">
        <f t="array" aca="1" ref="T15" ca="1">VLOOKUP(INDIRECT("A"&amp;ROW()), 'Recent Changes'!A:G, 6, FALSE)</f>
        <v>#N/A</v>
      </c>
      <c r="U15" t="e" cm="1">
        <f t="array" aca="1" ref="U15" ca="1">VLOOKUP(INDIRECT("A"&amp;ROW()), 'Recent Changes'!A:G, 7, FALSE)</f>
        <v>#N/A</v>
      </c>
      <c r="V15" t="e" cm="1">
        <f t="array" aca="1" ref="V15" ca="1">VLOOKUP(INDIRECT("A"&amp;ROW()), 'Recent Changes'!A:H, 8, FALSE)</f>
        <v>#N/A</v>
      </c>
    </row>
    <row r="16" spans="1:71" x14ac:dyDescent="0.25">
      <c r="A16">
        <v>16967017</v>
      </c>
      <c r="B16" t="s">
        <v>433</v>
      </c>
      <c r="C16">
        <v>162</v>
      </c>
      <c r="G16" t="e" cm="1">
        <v>#N/A</v>
      </c>
      <c r="H16" t="s">
        <v>14</v>
      </c>
      <c r="I16" t="s">
        <v>14</v>
      </c>
      <c r="J16" t="s">
        <v>1681</v>
      </c>
      <c r="K16" t="s">
        <v>51</v>
      </c>
      <c r="L16" t="s">
        <v>1686</v>
      </c>
      <c r="M16" t="s">
        <v>76</v>
      </c>
      <c r="N16" t="s">
        <v>83</v>
      </c>
      <c r="P16" t="str" cm="1">
        <f t="array" aca="1" ref="P16" ca="1">VLOOKUP(INDIRECT("A"&amp;ROW()), 'Recent Changes'!A:G, 2, FALSE)</f>
        <v>2023-12-13T16:47:07Z</v>
      </c>
      <c r="Q16" t="str" cm="1">
        <f t="array" aca="1" ref="Q16" ca="1">VLOOKUP(INDIRECT("A"&amp;ROW()), 'Recent Changes'!A:G, 3, FALSE)</f>
        <v>NULL</v>
      </c>
      <c r="R16" t="str" cm="1">
        <f t="array" aca="1" ref="R16" ca="1">VLOOKUP(INDIRECT("A"&amp;ROW()), 'Recent Changes'!A:G, 4, FALSE)</f>
        <v>NULL</v>
      </c>
      <c r="S16" t="str" cm="1">
        <f t="array" aca="1" ref="S16" ca="1">VLOOKUP(INDIRECT("A"&amp;ROW()), 'Recent Changes'!A:G, 5, FALSE)</f>
        <v>NULL</v>
      </c>
      <c r="T16" t="str" cm="1">
        <f t="array" aca="1" ref="T16" ca="1">VLOOKUP(INDIRECT("A"&amp;ROW()), 'Recent Changes'!A:G, 6, FALSE)</f>
        <v>NULL</v>
      </c>
      <c r="U16" t="str" cm="1">
        <f t="array" aca="1" ref="U16" ca="1">VLOOKUP(INDIRECT("A"&amp;ROW()), 'Recent Changes'!A:G, 7, FALSE)</f>
        <v>NULL</v>
      </c>
      <c r="V16" t="str" cm="1">
        <f t="array" aca="1" ref="V16" ca="1">VLOOKUP(INDIRECT("A"&amp;ROW()), 'Recent Changes'!A:H, 8, FALSE)</f>
        <v>2023-12-13T21:06:53Z</v>
      </c>
    </row>
    <row r="17" spans="1:22" x14ac:dyDescent="0.25">
      <c r="A17">
        <v>11207992</v>
      </c>
      <c r="B17" t="s">
        <v>433</v>
      </c>
      <c r="C17">
        <v>160</v>
      </c>
      <c r="G17" t="e" cm="1">
        <v>#N/A</v>
      </c>
      <c r="H17">
        <v>45139</v>
      </c>
      <c r="I17" t="s">
        <v>15</v>
      </c>
      <c r="J17" t="s">
        <v>31</v>
      </c>
      <c r="K17" t="s">
        <v>44</v>
      </c>
      <c r="L17" t="s">
        <v>404</v>
      </c>
      <c r="M17" t="s">
        <v>78</v>
      </c>
      <c r="N17" t="s">
        <v>83</v>
      </c>
      <c r="O17" t="s">
        <v>431</v>
      </c>
      <c r="P17" t="str" cm="1">
        <f t="array" aca="1" ref="P17" ca="1">VLOOKUP(INDIRECT("A"&amp;ROW()), 'Recent Changes'!A:G, 2, FALSE)</f>
        <v>NULL</v>
      </c>
      <c r="Q17" t="str" cm="1">
        <f t="array" aca="1" ref="Q17" ca="1">VLOOKUP(INDIRECT("A"&amp;ROW()), 'Recent Changes'!A:G, 3, FALSE)</f>
        <v>NULL</v>
      </c>
      <c r="R17" t="str" cm="1">
        <f t="array" aca="1" ref="R17" ca="1">VLOOKUP(INDIRECT("A"&amp;ROW()), 'Recent Changes'!A:G, 4, FALSE)</f>
        <v>NULL</v>
      </c>
      <c r="S17" t="str" cm="1">
        <f t="array" aca="1" ref="S17" ca="1">VLOOKUP(INDIRECT("A"&amp;ROW()), 'Recent Changes'!A:G, 5, FALSE)</f>
        <v>2023-12-18T17:06:26Z</v>
      </c>
      <c r="T17" t="str" cm="1">
        <f t="array" aca="1" ref="T17" ca="1">VLOOKUP(INDIRECT("A"&amp;ROW()), 'Recent Changes'!A:G, 6, FALSE)</f>
        <v>NULL</v>
      </c>
      <c r="U17" t="str" cm="1">
        <f t="array" aca="1" ref="U17" ca="1">VLOOKUP(INDIRECT("A"&amp;ROW()), 'Recent Changes'!A:G, 7, FALSE)</f>
        <v>NULL</v>
      </c>
      <c r="V17" t="str" cm="1">
        <f t="array" aca="1" ref="V17" ca="1">VLOOKUP(INDIRECT("A"&amp;ROW()), 'Recent Changes'!A:H, 8, FALSE)</f>
        <v>2023-12-18T21:36:14Z</v>
      </c>
    </row>
    <row r="18" spans="1:22" x14ac:dyDescent="0.25">
      <c r="A18">
        <v>17003765</v>
      </c>
      <c r="B18" t="s">
        <v>433</v>
      </c>
      <c r="C18">
        <v>153</v>
      </c>
      <c r="G18" t="s" cm="1">
        <v>442</v>
      </c>
      <c r="H18" t="s">
        <v>14</v>
      </c>
      <c r="I18" t="s">
        <v>14</v>
      </c>
      <c r="J18" t="s">
        <v>84</v>
      </c>
      <c r="K18" t="s">
        <v>44</v>
      </c>
      <c r="L18" t="s">
        <v>69</v>
      </c>
      <c r="M18" t="s">
        <v>76</v>
      </c>
      <c r="N18" t="s">
        <v>1974</v>
      </c>
      <c r="P18" t="e" cm="1">
        <f t="array" aca="1" ref="P18" ca="1">VLOOKUP(INDIRECT("A"&amp;ROW()), 'Recent Changes'!A:G, 2, FALSE)</f>
        <v>#N/A</v>
      </c>
      <c r="Q18" t="e" cm="1">
        <f t="array" aca="1" ref="Q18" ca="1">VLOOKUP(INDIRECT("A"&amp;ROW()), 'Recent Changes'!A:G, 3, FALSE)</f>
        <v>#N/A</v>
      </c>
      <c r="R18" t="e" cm="1">
        <f t="array" aca="1" ref="R18" ca="1">VLOOKUP(INDIRECT("A"&amp;ROW()), 'Recent Changes'!A:G, 4, FALSE)</f>
        <v>#N/A</v>
      </c>
      <c r="S18" t="e" cm="1">
        <f t="array" aca="1" ref="S18" ca="1">VLOOKUP(INDIRECT("A"&amp;ROW()), 'Recent Changes'!A:G, 5, FALSE)</f>
        <v>#N/A</v>
      </c>
      <c r="T18" t="e" cm="1">
        <f t="array" aca="1" ref="T18" ca="1">VLOOKUP(INDIRECT("A"&amp;ROW()), 'Recent Changes'!A:G, 6, FALSE)</f>
        <v>#N/A</v>
      </c>
      <c r="U18" t="e" cm="1">
        <f t="array" aca="1" ref="U18" ca="1">VLOOKUP(INDIRECT("A"&amp;ROW()), 'Recent Changes'!A:G, 7, FALSE)</f>
        <v>#N/A</v>
      </c>
      <c r="V18" t="e" cm="1">
        <f t="array" aca="1" ref="V18" ca="1">VLOOKUP(INDIRECT("A"&amp;ROW()), 'Recent Changes'!A:H, 8, FALSE)</f>
        <v>#N/A</v>
      </c>
    </row>
    <row r="19" spans="1:22" x14ac:dyDescent="0.25">
      <c r="A19">
        <v>16848517</v>
      </c>
      <c r="B19" t="s">
        <v>433</v>
      </c>
      <c r="C19">
        <v>140</v>
      </c>
      <c r="G19" t="s" cm="1">
        <v>442</v>
      </c>
      <c r="H19">
        <v>45135</v>
      </c>
      <c r="I19" t="s">
        <v>15</v>
      </c>
      <c r="J19" t="s">
        <v>445</v>
      </c>
      <c r="K19" t="s">
        <v>49</v>
      </c>
      <c r="L19" t="s">
        <v>446</v>
      </c>
      <c r="M19" t="s">
        <v>76</v>
      </c>
      <c r="N19" t="s">
        <v>83</v>
      </c>
      <c r="O19" t="s">
        <v>431</v>
      </c>
      <c r="P19" t="str" cm="1">
        <f t="array" aca="1" ref="P19" ca="1">VLOOKUP(INDIRECT("A"&amp;ROW()), 'Recent Changes'!A:G, 2, FALSE)</f>
        <v>NULL</v>
      </c>
      <c r="Q19" t="str" cm="1">
        <f t="array" aca="1" ref="Q19" ca="1">VLOOKUP(INDIRECT("A"&amp;ROW()), 'Recent Changes'!A:G, 3, FALSE)</f>
        <v>NULL</v>
      </c>
      <c r="R19" t="str" cm="1">
        <f t="array" aca="1" ref="R19" ca="1">VLOOKUP(INDIRECT("A"&amp;ROW()), 'Recent Changes'!A:G, 4, FALSE)</f>
        <v>NULL</v>
      </c>
      <c r="S19" t="str" cm="1">
        <f t="array" aca="1" ref="S19" ca="1">VLOOKUP(INDIRECT("A"&amp;ROW()), 'Recent Changes'!A:G, 5, FALSE)</f>
        <v>NULL</v>
      </c>
      <c r="T19" t="str" cm="1">
        <f t="array" aca="1" ref="T19" ca="1">VLOOKUP(INDIRECT("A"&amp;ROW()), 'Recent Changes'!A:G, 6, FALSE)</f>
        <v>NULL</v>
      </c>
      <c r="U19" t="str" cm="1">
        <f t="array" aca="1" ref="U19" ca="1">VLOOKUP(INDIRECT("A"&amp;ROW()), 'Recent Changes'!A:G, 7, FALSE)</f>
        <v>NULL</v>
      </c>
      <c r="V19" t="str" cm="1">
        <f t="array" aca="1" ref="V19" ca="1">VLOOKUP(INDIRECT("A"&amp;ROW()), 'Recent Changes'!A:H, 8, FALSE)</f>
        <v>2023-08-22T07:32:24Z</v>
      </c>
    </row>
    <row r="20" spans="1:22" x14ac:dyDescent="0.25">
      <c r="A20">
        <v>13210112</v>
      </c>
      <c r="B20" t="s">
        <v>433</v>
      </c>
      <c r="C20">
        <v>133</v>
      </c>
      <c r="G20" t="s" cm="1">
        <v>442</v>
      </c>
      <c r="H20">
        <v>45166</v>
      </c>
      <c r="I20" t="s">
        <v>15</v>
      </c>
      <c r="J20" t="s">
        <v>24</v>
      </c>
      <c r="K20" t="s">
        <v>44</v>
      </c>
      <c r="L20" t="s">
        <v>88</v>
      </c>
      <c r="M20" t="s">
        <v>77</v>
      </c>
      <c r="N20" t="s">
        <v>83</v>
      </c>
      <c r="O20" t="s">
        <v>431</v>
      </c>
      <c r="P20" t="str" cm="1">
        <f t="array" aca="1" ref="P20" ca="1">VLOOKUP(INDIRECT("A"&amp;ROW()), 'Recent Changes'!A:G, 2, FALSE)</f>
        <v>2023-11-14T21:57:35Z</v>
      </c>
      <c r="Q20" t="str" cm="1">
        <f t="array" aca="1" ref="Q20" ca="1">VLOOKUP(INDIRECT("A"&amp;ROW()), 'Recent Changes'!A:G, 3, FALSE)</f>
        <v>NULL</v>
      </c>
      <c r="R20" t="str" cm="1">
        <f t="array" aca="1" ref="R20" ca="1">VLOOKUP(INDIRECT("A"&amp;ROW()), 'Recent Changes'!A:G, 4, FALSE)</f>
        <v>NULL</v>
      </c>
      <c r="S20" t="str" cm="1">
        <f t="array" aca="1" ref="S20" ca="1">VLOOKUP(INDIRECT("A"&amp;ROW()), 'Recent Changes'!A:G, 5, FALSE)</f>
        <v>NULL</v>
      </c>
      <c r="T20" t="str" cm="1">
        <f t="array" aca="1" ref="T20" ca="1">VLOOKUP(INDIRECT("A"&amp;ROW()), 'Recent Changes'!A:G, 6, FALSE)</f>
        <v>NULL</v>
      </c>
      <c r="U20" t="str" cm="1">
        <f t="array" aca="1" ref="U20" ca="1">VLOOKUP(INDIRECT("A"&amp;ROW()), 'Recent Changes'!A:G, 7, FALSE)</f>
        <v>NULL</v>
      </c>
      <c r="V20" t="str" cm="1">
        <f t="array" aca="1" ref="V20" ca="1">VLOOKUP(INDIRECT("A"&amp;ROW()), 'Recent Changes'!A:H, 8, FALSE)</f>
        <v>2023-11-15T07:22:53Z</v>
      </c>
    </row>
    <row r="21" spans="1:22" x14ac:dyDescent="0.25">
      <c r="A21">
        <v>16624635</v>
      </c>
      <c r="B21" t="s">
        <v>433</v>
      </c>
      <c r="C21">
        <v>130</v>
      </c>
      <c r="G21" t="s" cm="1">
        <v>442</v>
      </c>
      <c r="H21">
        <v>45169</v>
      </c>
      <c r="I21" t="s">
        <v>15</v>
      </c>
      <c r="J21" t="s">
        <v>25</v>
      </c>
      <c r="K21" t="s">
        <v>44</v>
      </c>
      <c r="L21" t="s">
        <v>56</v>
      </c>
      <c r="M21" t="s">
        <v>569</v>
      </c>
      <c r="N21" t="s">
        <v>83</v>
      </c>
      <c r="O21" t="s">
        <v>431</v>
      </c>
      <c r="P21" t="str" cm="1">
        <f t="array" aca="1" ref="P21" ca="1">VLOOKUP(INDIRECT("A"&amp;ROW()), 'Recent Changes'!A:G, 2, FALSE)</f>
        <v>NULL</v>
      </c>
      <c r="Q21" t="str" cm="1">
        <f t="array" aca="1" ref="Q21" ca="1">VLOOKUP(INDIRECT("A"&amp;ROW()), 'Recent Changes'!A:G, 3, FALSE)</f>
        <v>NULL</v>
      </c>
      <c r="R21" t="str" cm="1">
        <f t="array" aca="1" ref="R21" ca="1">VLOOKUP(INDIRECT("A"&amp;ROW()), 'Recent Changes'!A:G, 4, FALSE)</f>
        <v>NULL</v>
      </c>
      <c r="S21" t="str" cm="1">
        <f t="array" aca="1" ref="S21" ca="1">VLOOKUP(INDIRECT("A"&amp;ROW()), 'Recent Changes'!A:G, 5, FALSE)</f>
        <v>2023-10-20T14:19:25Z</v>
      </c>
      <c r="T21" t="str" cm="1">
        <f t="array" aca="1" ref="T21" ca="1">VLOOKUP(INDIRECT("A"&amp;ROW()), 'Recent Changes'!A:G, 6, FALSE)</f>
        <v>NULL</v>
      </c>
      <c r="U21" t="str" cm="1">
        <f t="array" aca="1" ref="U21" ca="1">VLOOKUP(INDIRECT("A"&amp;ROW()), 'Recent Changes'!A:G, 7, FALSE)</f>
        <v>NULL</v>
      </c>
      <c r="V21" t="str" cm="1">
        <f t="array" aca="1" ref="V21" ca="1">VLOOKUP(INDIRECT("A"&amp;ROW()), 'Recent Changes'!A:H, 8, FALSE)</f>
        <v>2023-10-20T16:46:33Z</v>
      </c>
    </row>
    <row r="22" spans="1:22" x14ac:dyDescent="0.25">
      <c r="A22">
        <v>17108753</v>
      </c>
      <c r="B22" t="s" cm="1">
        <v>430</v>
      </c>
      <c r="C22">
        <v>130</v>
      </c>
      <c r="G22" t="e" cm="1">
        <v>#N/A</v>
      </c>
      <c r="H22" t="s">
        <v>14</v>
      </c>
      <c r="I22" t="s">
        <v>14</v>
      </c>
      <c r="J22" t="s">
        <v>18</v>
      </c>
      <c r="K22" t="s">
        <v>46</v>
      </c>
      <c r="L22" t="s">
        <v>86</v>
      </c>
      <c r="M22" t="s">
        <v>76</v>
      </c>
      <c r="N22" t="s">
        <v>83</v>
      </c>
      <c r="P22" t="str" cm="1">
        <f t="array" aca="1" ref="P22" ca="1">VLOOKUP(INDIRECT("A"&amp;ROW()), 'Recent Changes'!A:G, 2, FALSE)</f>
        <v>2023-12-18T18:29:58Z</v>
      </c>
      <c r="Q22" t="str" cm="1">
        <f t="array" aca="1" ref="Q22" ca="1">VLOOKUP(INDIRECT("A"&amp;ROW()), 'Recent Changes'!A:G, 3, FALSE)</f>
        <v>NULL</v>
      </c>
      <c r="R22" t="str" cm="1">
        <f t="array" aca="1" ref="R22" ca="1">VLOOKUP(INDIRECT("A"&amp;ROW()), 'Recent Changes'!A:G, 4, FALSE)</f>
        <v>NULL</v>
      </c>
      <c r="S22" t="str" cm="1">
        <f t="array" aca="1" ref="S22" ca="1">VLOOKUP(INDIRECT("A"&amp;ROW()), 'Recent Changes'!A:G, 5, FALSE)</f>
        <v>2023-12-18T18:08:55Z</v>
      </c>
      <c r="T22" t="str" cm="1">
        <f t="array" aca="1" ref="T22" ca="1">VLOOKUP(INDIRECT("A"&amp;ROW()), 'Recent Changes'!A:G, 6, FALSE)</f>
        <v>NULL</v>
      </c>
      <c r="U22" t="str" cm="1">
        <f t="array" aca="1" ref="U22" ca="1">VLOOKUP(INDIRECT("A"&amp;ROW()), 'Recent Changes'!A:G, 7, FALSE)</f>
        <v>2023-09-27T15:19:18Z</v>
      </c>
      <c r="V22" t="str" cm="1">
        <f t="array" aca="1" ref="V22" ca="1">VLOOKUP(INDIRECT("A"&amp;ROW()), 'Recent Changes'!A:H, 8, FALSE)</f>
        <v>2023-12-18T21:35:06Z</v>
      </c>
    </row>
    <row r="23" spans="1:22" x14ac:dyDescent="0.25">
      <c r="A23">
        <v>17115925</v>
      </c>
      <c r="B23" t="s">
        <v>430</v>
      </c>
      <c r="C23">
        <v>128</v>
      </c>
      <c r="G23" t="e" cm="1">
        <v>#N/A</v>
      </c>
      <c r="H23" t="s">
        <v>14</v>
      </c>
      <c r="I23" t="s">
        <v>380</v>
      </c>
      <c r="J23" t="s">
        <v>24</v>
      </c>
      <c r="K23" t="s">
        <v>571</v>
      </c>
      <c r="L23" t="s">
        <v>733</v>
      </c>
      <c r="M23" t="s">
        <v>76</v>
      </c>
      <c r="N23" t="s">
        <v>83</v>
      </c>
      <c r="P23" t="str" cm="1">
        <f t="array" aca="1" ref="P23" ca="1">VLOOKUP(INDIRECT("A"&amp;ROW()), 'Recent Changes'!A:G, 2, FALSE)</f>
        <v>NULL</v>
      </c>
      <c r="Q23" t="str" cm="1">
        <f t="array" aca="1" ref="Q23" ca="1">VLOOKUP(INDIRECT("A"&amp;ROW()), 'Recent Changes'!A:G, 3, FALSE)</f>
        <v>NULL</v>
      </c>
      <c r="R23" t="str" cm="1">
        <f t="array" aca="1" ref="R23" ca="1">VLOOKUP(INDIRECT("A"&amp;ROW()), 'Recent Changes'!A:G, 4, FALSE)</f>
        <v>NULL</v>
      </c>
      <c r="S23" t="str" cm="1">
        <f t="array" aca="1" ref="S23" ca="1">VLOOKUP(INDIRECT("A"&amp;ROW()), 'Recent Changes'!A:G, 5, FALSE)</f>
        <v>2023-12-31T15:54:33Z</v>
      </c>
      <c r="T23" t="str" cm="1">
        <f t="array" aca="1" ref="T23" ca="1">VLOOKUP(INDIRECT("A"&amp;ROW()), 'Recent Changes'!A:G, 6, FALSE)</f>
        <v>NULL</v>
      </c>
      <c r="U23" t="str" cm="1">
        <f t="array" aca="1" ref="U23" ca="1">VLOOKUP(INDIRECT("A"&amp;ROW()), 'Recent Changes'!A:G, 7, FALSE)</f>
        <v>NULL</v>
      </c>
      <c r="V23" t="str" cm="1">
        <f t="array" aca="1" ref="V23" ca="1">VLOOKUP(INDIRECT("A"&amp;ROW()), 'Recent Changes'!A:H, 8, FALSE)</f>
        <v>2023-12-31T21:04:43Z</v>
      </c>
    </row>
    <row r="24" spans="1:22" x14ac:dyDescent="0.25">
      <c r="A24">
        <v>17129782</v>
      </c>
      <c r="B24" t="s">
        <v>433</v>
      </c>
      <c r="C24">
        <v>124</v>
      </c>
      <c r="G24" t="e" cm="1">
        <v>#N/A</v>
      </c>
      <c r="H24">
        <v>45245</v>
      </c>
      <c r="I24" t="s">
        <v>15</v>
      </c>
      <c r="J24" t="s">
        <v>30</v>
      </c>
      <c r="K24" t="s">
        <v>44</v>
      </c>
      <c r="L24" t="s">
        <v>74</v>
      </c>
      <c r="M24" t="s">
        <v>76</v>
      </c>
      <c r="N24" t="s">
        <v>83</v>
      </c>
      <c r="O24" t="s">
        <v>431</v>
      </c>
      <c r="P24" t="str" cm="1">
        <f t="array" aca="1" ref="P24" ca="1">VLOOKUP(INDIRECT("A"&amp;ROW()), 'Recent Changes'!A:G, 2, FALSE)</f>
        <v>NULL</v>
      </c>
      <c r="Q24" t="str" cm="1">
        <f t="array" aca="1" ref="Q24" ca="1">VLOOKUP(INDIRECT("A"&amp;ROW()), 'Recent Changes'!A:G, 3, FALSE)</f>
        <v>NULL</v>
      </c>
      <c r="R24" t="str" cm="1">
        <f t="array" aca="1" ref="R24" ca="1">VLOOKUP(INDIRECT("A"&amp;ROW()), 'Recent Changes'!A:G, 4, FALSE)</f>
        <v>NULL</v>
      </c>
      <c r="S24" t="str" cm="1">
        <f t="array" aca="1" ref="S24" ca="1">VLOOKUP(INDIRECT("A"&amp;ROW()), 'Recent Changes'!A:G, 5, FALSE)</f>
        <v>2023-12-12T13:44:40Z</v>
      </c>
      <c r="T24" t="str" cm="1">
        <f t="array" aca="1" ref="T24" ca="1">VLOOKUP(INDIRECT("A"&amp;ROW()), 'Recent Changes'!A:G, 6, FALSE)</f>
        <v>NULL</v>
      </c>
      <c r="U24" t="str" cm="1">
        <f t="array" aca="1" ref="U24" ca="1">VLOOKUP(INDIRECT("A"&amp;ROW()), 'Recent Changes'!A:G, 7, FALSE)</f>
        <v>NULL</v>
      </c>
      <c r="V24" t="str" cm="1">
        <f t="array" aca="1" ref="V24" ca="1">VLOOKUP(INDIRECT("A"&amp;ROW()), 'Recent Changes'!A:H, 8, FALSE)</f>
        <v>2023-12-12T16:29:26Z</v>
      </c>
    </row>
    <row r="25" spans="1:22" x14ac:dyDescent="0.25">
      <c r="A25">
        <v>10252758</v>
      </c>
      <c r="B25" t="s">
        <v>433</v>
      </c>
      <c r="C25">
        <v>123</v>
      </c>
      <c r="G25" t="e" cm="1">
        <v>#N/A</v>
      </c>
      <c r="H25">
        <v>45176</v>
      </c>
      <c r="I25" t="s">
        <v>15</v>
      </c>
      <c r="J25" t="s">
        <v>31</v>
      </c>
      <c r="K25" t="s">
        <v>44</v>
      </c>
      <c r="L25" t="s">
        <v>407</v>
      </c>
      <c r="M25" t="s">
        <v>77</v>
      </c>
      <c r="N25" t="s">
        <v>83</v>
      </c>
      <c r="O25" t="s">
        <v>431</v>
      </c>
      <c r="P25" t="str" cm="1">
        <f t="array" aca="1" ref="P25" ca="1">VLOOKUP(INDIRECT("A"&amp;ROW()), 'Recent Changes'!A:G, 2, FALSE)</f>
        <v>NULL</v>
      </c>
      <c r="Q25" t="str" cm="1">
        <f t="array" aca="1" ref="Q25" ca="1">VLOOKUP(INDIRECT("A"&amp;ROW()), 'Recent Changes'!A:G, 3, FALSE)</f>
        <v>NULL</v>
      </c>
      <c r="R25" t="str" cm="1">
        <f t="array" aca="1" ref="R25" ca="1">VLOOKUP(INDIRECT("A"&amp;ROW()), 'Recent Changes'!A:G, 4, FALSE)</f>
        <v>NULL</v>
      </c>
      <c r="S25" t="str" cm="1">
        <f t="array" aca="1" ref="S25" ca="1">VLOOKUP(INDIRECT("A"&amp;ROW()), 'Recent Changes'!A:G, 5, FALSE)</f>
        <v>2024-01-03T19:50:36Z</v>
      </c>
      <c r="T25" t="str" cm="1">
        <f t="array" aca="1" ref="T25" ca="1">VLOOKUP(INDIRECT("A"&amp;ROW()), 'Recent Changes'!A:G, 6, FALSE)</f>
        <v>NULL</v>
      </c>
      <c r="U25" t="str" cm="1">
        <f t="array" aca="1" ref="U25" ca="1">VLOOKUP(INDIRECT("A"&amp;ROW()), 'Recent Changes'!A:G, 7, FALSE)</f>
        <v>NULL</v>
      </c>
      <c r="V25" t="str" cm="1">
        <f t="array" aca="1" ref="V25" ca="1">VLOOKUP(INDIRECT("A"&amp;ROW()), 'Recent Changes'!A:H, 8, FALSE)</f>
        <v>2024-01-03T21:17:05Z</v>
      </c>
    </row>
    <row r="26" spans="1:22" x14ac:dyDescent="0.25">
      <c r="A26">
        <v>17156537</v>
      </c>
      <c r="B26" t="s" cm="1">
        <v>430</v>
      </c>
      <c r="C26">
        <v>117</v>
      </c>
      <c r="G26" t="e" cm="1">
        <v>#N/A</v>
      </c>
      <c r="H26" t="s">
        <v>14</v>
      </c>
      <c r="I26" t="s">
        <v>14</v>
      </c>
      <c r="J26" t="s">
        <v>22</v>
      </c>
      <c r="K26" t="s">
        <v>52</v>
      </c>
      <c r="L26" t="s">
        <v>63</v>
      </c>
      <c r="M26" t="s">
        <v>76</v>
      </c>
      <c r="N26" t="s">
        <v>83</v>
      </c>
      <c r="P26" t="str" cm="1">
        <f t="array" aca="1" ref="P26" ca="1">VLOOKUP(INDIRECT("A"&amp;ROW()), 'Recent Changes'!A:G, 2, FALSE)</f>
        <v>2024-01-02T16:58:24Z</v>
      </c>
      <c r="Q26" t="str" cm="1">
        <f t="array" aca="1" ref="Q26" ca="1">VLOOKUP(INDIRECT("A"&amp;ROW()), 'Recent Changes'!A:G, 3, FALSE)</f>
        <v>NULL</v>
      </c>
      <c r="R26" t="str" cm="1">
        <f t="array" aca="1" ref="R26" ca="1">VLOOKUP(INDIRECT("A"&amp;ROW()), 'Recent Changes'!A:G, 4, FALSE)</f>
        <v>NULL</v>
      </c>
      <c r="S26" t="str" cm="1">
        <f t="array" aca="1" ref="S26" ca="1">VLOOKUP(INDIRECT("A"&amp;ROW()), 'Recent Changes'!A:G, 5, FALSE)</f>
        <v>NULL</v>
      </c>
      <c r="T26" t="str" cm="1">
        <f t="array" aca="1" ref="T26" ca="1">VLOOKUP(INDIRECT("A"&amp;ROW()), 'Recent Changes'!A:G, 6, FALSE)</f>
        <v>NULL</v>
      </c>
      <c r="U26" t="str" cm="1">
        <f t="array" aca="1" ref="U26" ca="1">VLOOKUP(INDIRECT("A"&amp;ROW()), 'Recent Changes'!A:G, 7, FALSE)</f>
        <v>NULL</v>
      </c>
      <c r="V26" t="str" cm="1">
        <f t="array" aca="1" ref="V26" ca="1">VLOOKUP(INDIRECT("A"&amp;ROW()), 'Recent Changes'!A:H, 8, FALSE)</f>
        <v>2024-01-02T21:02:26Z</v>
      </c>
    </row>
    <row r="27" spans="1:22" x14ac:dyDescent="0.25">
      <c r="A27">
        <v>11415787</v>
      </c>
      <c r="B27" t="s">
        <v>433</v>
      </c>
      <c r="C27">
        <v>115</v>
      </c>
      <c r="G27" t="e" cm="1">
        <v>#N/A</v>
      </c>
      <c r="H27">
        <v>45184</v>
      </c>
      <c r="I27" t="s">
        <v>15</v>
      </c>
      <c r="J27" t="s">
        <v>27</v>
      </c>
      <c r="K27" t="s">
        <v>44</v>
      </c>
      <c r="L27" t="s">
        <v>1986</v>
      </c>
      <c r="M27" t="s">
        <v>76</v>
      </c>
      <c r="N27" t="s">
        <v>83</v>
      </c>
      <c r="O27" t="s">
        <v>431</v>
      </c>
      <c r="P27" t="str" cm="1">
        <f t="array" aca="1" ref="P27" ca="1">VLOOKUP(INDIRECT("A"&amp;ROW()), 'Recent Changes'!A:G, 2, FALSE)</f>
        <v>NULL</v>
      </c>
      <c r="Q27" t="str" cm="1">
        <f t="array" aca="1" ref="Q27" ca="1">VLOOKUP(INDIRECT("A"&amp;ROW()), 'Recent Changes'!A:G, 3, FALSE)</f>
        <v>NULL</v>
      </c>
      <c r="R27" t="str" cm="1">
        <f t="array" aca="1" ref="R27" ca="1">VLOOKUP(INDIRECT("A"&amp;ROW()), 'Recent Changes'!A:G, 4, FALSE)</f>
        <v>NULL</v>
      </c>
      <c r="S27" t="str" cm="1">
        <f t="array" aca="1" ref="S27" ca="1">VLOOKUP(INDIRECT("A"&amp;ROW()), 'Recent Changes'!A:G, 5, FALSE)</f>
        <v>NULL</v>
      </c>
      <c r="T27" t="str" cm="1">
        <f t="array" aca="1" ref="T27" ca="1">VLOOKUP(INDIRECT("A"&amp;ROW()), 'Recent Changes'!A:G, 6, FALSE)</f>
        <v>NULL</v>
      </c>
      <c r="U27" t="str" cm="1">
        <f t="array" aca="1" ref="U27" ca="1">VLOOKUP(INDIRECT("A"&amp;ROW()), 'Recent Changes'!A:G, 7, FALSE)</f>
        <v>2023-12-14T21:03:08Z</v>
      </c>
      <c r="V27" t="str" cm="1">
        <f t="array" aca="1" ref="V27" ca="1">VLOOKUP(INDIRECT("A"&amp;ROW()), 'Recent Changes'!A:H, 8, FALSE)</f>
        <v>2023-12-15T07:01:53Z</v>
      </c>
    </row>
    <row r="28" spans="1:22" x14ac:dyDescent="0.25">
      <c r="A28">
        <v>17172387</v>
      </c>
      <c r="B28" t="s">
        <v>433</v>
      </c>
      <c r="C28">
        <v>114</v>
      </c>
      <c r="G28" t="e" cm="1">
        <v>#N/A</v>
      </c>
      <c r="H28">
        <v>45202</v>
      </c>
      <c r="I28" t="s">
        <v>15</v>
      </c>
      <c r="J28" t="s">
        <v>32</v>
      </c>
      <c r="K28" t="s">
        <v>44</v>
      </c>
      <c r="L28" t="s">
        <v>505</v>
      </c>
      <c r="M28" t="s">
        <v>76</v>
      </c>
      <c r="N28" t="s">
        <v>83</v>
      </c>
      <c r="O28" t="s">
        <v>431</v>
      </c>
      <c r="P28" t="str" cm="1">
        <f t="array" aca="1" ref="P28" ca="1">VLOOKUP(INDIRECT("A"&amp;ROW()), 'Recent Changes'!A:G, 2, FALSE)</f>
        <v>NULL</v>
      </c>
      <c r="Q28" t="str" cm="1">
        <f t="array" aca="1" ref="Q28" ca="1">VLOOKUP(INDIRECT("A"&amp;ROW()), 'Recent Changes'!A:G, 3, FALSE)</f>
        <v>NULL</v>
      </c>
      <c r="R28" t="str" cm="1">
        <f t="array" aca="1" ref="R28" ca="1">VLOOKUP(INDIRECT("A"&amp;ROW()), 'Recent Changes'!A:G, 4, FALSE)</f>
        <v>NULL</v>
      </c>
      <c r="S28" t="str" cm="1">
        <f t="array" aca="1" ref="S28" ca="1">VLOOKUP(INDIRECT("A"&amp;ROW()), 'Recent Changes'!A:G, 5, FALSE)</f>
        <v>NULL</v>
      </c>
      <c r="T28" t="str" cm="1">
        <f t="array" aca="1" ref="T28" ca="1">VLOOKUP(INDIRECT("A"&amp;ROW()), 'Recent Changes'!A:G, 6, FALSE)</f>
        <v>NULL</v>
      </c>
      <c r="U28" t="str" cm="1">
        <f t="array" aca="1" ref="U28" ca="1">VLOOKUP(INDIRECT("A"&amp;ROW()), 'Recent Changes'!A:G, 7, FALSE)</f>
        <v>2023-12-01T06:16:50Z</v>
      </c>
      <c r="V28" t="str" cm="1">
        <f t="array" aca="1" ref="V28" ca="1">VLOOKUP(INDIRECT("A"&amp;ROW()), 'Recent Changes'!A:H, 8, FALSE)</f>
        <v>2023-12-01T07:33:23Z</v>
      </c>
    </row>
    <row r="29" spans="1:22" x14ac:dyDescent="0.25">
      <c r="A29">
        <v>17185610</v>
      </c>
      <c r="B29" t="s">
        <v>433</v>
      </c>
      <c r="C29">
        <v>110</v>
      </c>
      <c r="G29" t="e" cm="1">
        <v>#N/A</v>
      </c>
      <c r="H29" t="s">
        <v>14</v>
      </c>
      <c r="I29" t="s">
        <v>380</v>
      </c>
      <c r="J29" t="s">
        <v>383</v>
      </c>
      <c r="K29" t="s">
        <v>53</v>
      </c>
      <c r="L29" t="s">
        <v>89</v>
      </c>
      <c r="M29" t="s">
        <v>76</v>
      </c>
      <c r="N29" t="s">
        <v>83</v>
      </c>
      <c r="P29" t="str" cm="1">
        <f t="array" aca="1" ref="P29" ca="1">VLOOKUP(INDIRECT("A"&amp;ROW()), 'Recent Changes'!A:G, 2, FALSE)</f>
        <v>NULL</v>
      </c>
      <c r="Q29" t="str" cm="1">
        <f t="array" aca="1" ref="Q29" ca="1">VLOOKUP(INDIRECT("A"&amp;ROW()), 'Recent Changes'!A:G, 3, FALSE)</f>
        <v>NULL</v>
      </c>
      <c r="R29" t="str" cm="1">
        <f t="array" aca="1" ref="R29" ca="1">VLOOKUP(INDIRECT("A"&amp;ROW()), 'Recent Changes'!A:G, 4, FALSE)</f>
        <v>NULL</v>
      </c>
      <c r="S29" t="str" cm="1">
        <f t="array" aca="1" ref="S29" ca="1">VLOOKUP(INDIRECT("A"&amp;ROW()), 'Recent Changes'!A:G, 5, FALSE)</f>
        <v>2023-12-14T18:01:35Z</v>
      </c>
      <c r="T29" t="str" cm="1">
        <f t="array" aca="1" ref="T29" ca="1">VLOOKUP(INDIRECT("A"&amp;ROW()), 'Recent Changes'!A:G, 6, FALSE)</f>
        <v>NULL</v>
      </c>
      <c r="U29" t="str" cm="1">
        <f t="array" aca="1" ref="U29" ca="1">VLOOKUP(INDIRECT("A"&amp;ROW()), 'Recent Changes'!A:G, 7, FALSE)</f>
        <v>NULL</v>
      </c>
      <c r="V29" t="str" cm="1">
        <f t="array" aca="1" ref="V29" ca="1">VLOOKUP(INDIRECT("A"&amp;ROW()), 'Recent Changes'!A:H, 8, FALSE)</f>
        <v>2023-10-13T07:42:32Z</v>
      </c>
    </row>
    <row r="30" spans="1:22" x14ac:dyDescent="0.25">
      <c r="A30">
        <v>17193769</v>
      </c>
      <c r="B30" t="s" cm="1">
        <v>430</v>
      </c>
      <c r="C30">
        <v>109</v>
      </c>
      <c r="G30" t="e" cm="1">
        <v>#N/A</v>
      </c>
      <c r="H30" t="s">
        <v>14</v>
      </c>
      <c r="I30" t="s">
        <v>14</v>
      </c>
      <c r="J30" t="s">
        <v>26</v>
      </c>
      <c r="K30" t="s">
        <v>44</v>
      </c>
      <c r="L30" t="s">
        <v>1987</v>
      </c>
      <c r="M30" t="s">
        <v>78</v>
      </c>
      <c r="N30" t="s">
        <v>83</v>
      </c>
      <c r="P30" t="str" cm="1">
        <f t="array" aca="1" ref="P30" ca="1">VLOOKUP(INDIRECT("A"&amp;ROW()), 'Recent Changes'!A:G, 2, FALSE)</f>
        <v>NULL</v>
      </c>
      <c r="Q30" t="str" cm="1">
        <f t="array" aca="1" ref="Q30" ca="1">VLOOKUP(INDIRECT("A"&amp;ROW()), 'Recent Changes'!A:G, 3, FALSE)</f>
        <v>NULL</v>
      </c>
      <c r="R30" t="str" cm="1">
        <f t="array" aca="1" ref="R30" ca="1">VLOOKUP(INDIRECT("A"&amp;ROW()), 'Recent Changes'!A:G, 4, FALSE)</f>
        <v>NULL</v>
      </c>
      <c r="S30" t="str" cm="1">
        <f t="array" aca="1" ref="S30" ca="1">VLOOKUP(INDIRECT("A"&amp;ROW()), 'Recent Changes'!A:G, 5, FALSE)</f>
        <v>2023-12-27T13:33:26Z</v>
      </c>
      <c r="T30" t="str" cm="1">
        <f t="array" aca="1" ref="T30" ca="1">VLOOKUP(INDIRECT("A"&amp;ROW()), 'Recent Changes'!A:G, 6, FALSE)</f>
        <v>NULL</v>
      </c>
      <c r="U30" t="str" cm="1">
        <f t="array" aca="1" ref="U30" ca="1">VLOOKUP(INDIRECT("A"&amp;ROW()), 'Recent Changes'!A:G, 7, FALSE)</f>
        <v>2023-10-18T14:07:51Z</v>
      </c>
      <c r="V30" t="str" cm="1">
        <f t="array" aca="1" ref="V30" ca="1">VLOOKUP(INDIRECT("A"&amp;ROW()), 'Recent Changes'!A:H, 8, FALSE)</f>
        <v>2023-12-27T16:10:04Z</v>
      </c>
    </row>
    <row r="31" spans="1:22" x14ac:dyDescent="0.25">
      <c r="A31">
        <v>17201090</v>
      </c>
      <c r="B31" t="s" cm="1">
        <v>430</v>
      </c>
      <c r="C31">
        <v>108</v>
      </c>
      <c r="G31" t="e" cm="1">
        <v>#N/A</v>
      </c>
      <c r="H31" t="s">
        <v>14</v>
      </c>
      <c r="I31" t="s">
        <v>14</v>
      </c>
      <c r="J31" t="s">
        <v>30</v>
      </c>
      <c r="K31" t="s">
        <v>53</v>
      </c>
      <c r="L31" t="s">
        <v>1531</v>
      </c>
      <c r="M31" t="s">
        <v>76</v>
      </c>
      <c r="N31" t="s">
        <v>83</v>
      </c>
      <c r="P31" t="str" cm="1">
        <f t="array" aca="1" ref="P31" ca="1">VLOOKUP(INDIRECT("A"&amp;ROW()), 'Recent Changes'!A:G, 2, FALSE)</f>
        <v>NULL</v>
      </c>
      <c r="Q31" t="str" cm="1">
        <f t="array" aca="1" ref="Q31" ca="1">VLOOKUP(INDIRECT("A"&amp;ROW()), 'Recent Changes'!A:G, 3, FALSE)</f>
        <v>NULL</v>
      </c>
      <c r="R31" t="str" cm="1">
        <f t="array" aca="1" ref="R31" ca="1">VLOOKUP(INDIRECT("A"&amp;ROW()), 'Recent Changes'!A:G, 4, FALSE)</f>
        <v>NULL</v>
      </c>
      <c r="S31" t="str" cm="1">
        <f t="array" aca="1" ref="S31" ca="1">VLOOKUP(INDIRECT("A"&amp;ROW()), 'Recent Changes'!A:G, 5, FALSE)</f>
        <v>2023-12-15T23:58:28Z</v>
      </c>
      <c r="T31" t="str" cm="1">
        <f t="array" aca="1" ref="T31" ca="1">VLOOKUP(INDIRECT("A"&amp;ROW()), 'Recent Changes'!A:G, 6, FALSE)</f>
        <v>NULL</v>
      </c>
      <c r="U31" t="str" cm="1">
        <f t="array" aca="1" ref="U31" ca="1">VLOOKUP(INDIRECT("A"&amp;ROW()), 'Recent Changes'!A:G, 7, FALSE)</f>
        <v>2023-10-12T16:52:05Z</v>
      </c>
      <c r="V31" t="str" cm="1">
        <f t="array" aca="1" ref="V31" ca="1">VLOOKUP(INDIRECT("A"&amp;ROW()), 'Recent Changes'!A:H, 8, FALSE)</f>
        <v>2023-12-16T07:33:35Z</v>
      </c>
    </row>
    <row r="32" spans="1:22" x14ac:dyDescent="0.25">
      <c r="A32">
        <v>10489552</v>
      </c>
      <c r="B32" t="s" cm="1">
        <v>430</v>
      </c>
      <c r="C32">
        <v>104</v>
      </c>
      <c r="G32" t="e" cm="1">
        <v>#N/A</v>
      </c>
      <c r="H32" t="s">
        <v>14</v>
      </c>
      <c r="I32" t="s">
        <v>14</v>
      </c>
      <c r="J32" t="s">
        <v>30</v>
      </c>
      <c r="K32" t="s">
        <v>44</v>
      </c>
      <c r="L32" t="s">
        <v>1988</v>
      </c>
      <c r="M32" t="s">
        <v>1533</v>
      </c>
      <c r="N32" t="s">
        <v>83</v>
      </c>
      <c r="P32" t="str" cm="1">
        <f t="array" aca="1" ref="P32" ca="1">VLOOKUP(INDIRECT("A"&amp;ROW()), 'Recent Changes'!A:G, 2, FALSE)</f>
        <v>NULL</v>
      </c>
      <c r="Q32" t="str" cm="1">
        <f t="array" aca="1" ref="Q32" ca="1">VLOOKUP(INDIRECT("A"&amp;ROW()), 'Recent Changes'!A:G, 3, FALSE)</f>
        <v>NULL</v>
      </c>
      <c r="R32" t="str" cm="1">
        <f t="array" aca="1" ref="R32" ca="1">VLOOKUP(INDIRECT("A"&amp;ROW()), 'Recent Changes'!A:G, 4, FALSE)</f>
        <v>NULL</v>
      </c>
      <c r="S32" t="str" cm="1">
        <f t="array" aca="1" ref="S32" ca="1">VLOOKUP(INDIRECT("A"&amp;ROW()), 'Recent Changes'!A:G, 5, FALSE)</f>
        <v>2023-11-28T15:46:22Z</v>
      </c>
      <c r="T32" t="str" cm="1">
        <f t="array" aca="1" ref="T32" ca="1">VLOOKUP(INDIRECT("A"&amp;ROW()), 'Recent Changes'!A:G, 6, FALSE)</f>
        <v>NULL</v>
      </c>
      <c r="U32" t="str" cm="1">
        <f t="array" aca="1" ref="U32" ca="1">VLOOKUP(INDIRECT("A"&amp;ROW()), 'Recent Changes'!A:G, 7, FALSE)</f>
        <v>NULL</v>
      </c>
      <c r="V32" t="str" cm="1">
        <f t="array" aca="1" ref="V32" ca="1">VLOOKUP(INDIRECT("A"&amp;ROW()), 'Recent Changes'!A:H, 8, FALSE)</f>
        <v>2023-11-28T16:41:07Z</v>
      </c>
    </row>
    <row r="33" spans="1:22" x14ac:dyDescent="0.25">
      <c r="A33">
        <v>16172764</v>
      </c>
      <c r="B33" t="s" cm="1">
        <v>430</v>
      </c>
      <c r="C33">
        <v>104</v>
      </c>
      <c r="G33" t="e" cm="1">
        <v>#N/A</v>
      </c>
      <c r="H33" t="s">
        <v>14</v>
      </c>
      <c r="I33" t="s">
        <v>14</v>
      </c>
      <c r="J33" t="s">
        <v>30</v>
      </c>
      <c r="K33" t="s">
        <v>52</v>
      </c>
      <c r="L33" t="s">
        <v>74</v>
      </c>
      <c r="M33" t="s">
        <v>76</v>
      </c>
      <c r="N33" t="s">
        <v>83</v>
      </c>
      <c r="P33" t="str" cm="1">
        <f t="array" aca="1" ref="P33" ca="1">VLOOKUP(INDIRECT("A"&amp;ROW()), 'Recent Changes'!A:G, 2, FALSE)</f>
        <v>2023-12-20T15:11:14Z</v>
      </c>
      <c r="Q33" t="str" cm="1">
        <f t="array" aca="1" ref="Q33" ca="1">VLOOKUP(INDIRECT("A"&amp;ROW()), 'Recent Changes'!A:G, 3, FALSE)</f>
        <v>NULL</v>
      </c>
      <c r="R33" t="str" cm="1">
        <f t="array" aca="1" ref="R33" ca="1">VLOOKUP(INDIRECT("A"&amp;ROW()), 'Recent Changes'!A:G, 4, FALSE)</f>
        <v>NULL</v>
      </c>
      <c r="S33" t="str" cm="1">
        <f t="array" aca="1" ref="S33" ca="1">VLOOKUP(INDIRECT("A"&amp;ROW()), 'Recent Changes'!A:G, 5, FALSE)</f>
        <v>NULL</v>
      </c>
      <c r="T33" t="str" cm="1">
        <f t="array" aca="1" ref="T33" ca="1">VLOOKUP(INDIRECT("A"&amp;ROW()), 'Recent Changes'!A:G, 6, FALSE)</f>
        <v>NULL</v>
      </c>
      <c r="U33" t="str" cm="1">
        <f t="array" aca="1" ref="U33" ca="1">VLOOKUP(INDIRECT("A"&amp;ROW()), 'Recent Changes'!A:G, 7, FALSE)</f>
        <v>NULL</v>
      </c>
      <c r="V33" t="str" cm="1">
        <f t="array" aca="1" ref="V33" ca="1">VLOOKUP(INDIRECT("A"&amp;ROW()), 'Recent Changes'!A:H, 8, FALSE)</f>
        <v>2023-12-20T16:25:36Z</v>
      </c>
    </row>
    <row r="34" spans="1:22" x14ac:dyDescent="0.25">
      <c r="A34">
        <v>17212204</v>
      </c>
      <c r="B34" t="s">
        <v>433</v>
      </c>
      <c r="C34">
        <v>104</v>
      </c>
      <c r="G34" t="s" cm="1">
        <v>442</v>
      </c>
      <c r="H34" t="s">
        <v>14</v>
      </c>
      <c r="I34" t="s">
        <v>14</v>
      </c>
      <c r="J34" t="s">
        <v>34</v>
      </c>
      <c r="K34" t="s">
        <v>44</v>
      </c>
      <c r="L34" t="s">
        <v>1989</v>
      </c>
      <c r="M34" t="s">
        <v>82</v>
      </c>
      <c r="N34" t="s">
        <v>1974</v>
      </c>
      <c r="P34" t="e" cm="1">
        <f t="array" aca="1" ref="P34" ca="1">VLOOKUP(INDIRECT("A"&amp;ROW()), 'Recent Changes'!A:G, 2, FALSE)</f>
        <v>#N/A</v>
      </c>
      <c r="Q34" t="e" cm="1">
        <f t="array" aca="1" ref="Q34" ca="1">VLOOKUP(INDIRECT("A"&amp;ROW()), 'Recent Changes'!A:G, 3, FALSE)</f>
        <v>#N/A</v>
      </c>
      <c r="R34" t="e" cm="1">
        <f t="array" aca="1" ref="R34" ca="1">VLOOKUP(INDIRECT("A"&amp;ROW()), 'Recent Changes'!A:G, 4, FALSE)</f>
        <v>#N/A</v>
      </c>
      <c r="S34" t="e" cm="1">
        <f t="array" aca="1" ref="S34" ca="1">VLOOKUP(INDIRECT("A"&amp;ROW()), 'Recent Changes'!A:G, 5, FALSE)</f>
        <v>#N/A</v>
      </c>
      <c r="T34" t="e" cm="1">
        <f t="array" aca="1" ref="T34" ca="1">VLOOKUP(INDIRECT("A"&amp;ROW()), 'Recent Changes'!A:G, 6, FALSE)</f>
        <v>#N/A</v>
      </c>
      <c r="U34" t="e" cm="1">
        <f t="array" aca="1" ref="U34" ca="1">VLOOKUP(INDIRECT("A"&amp;ROW()), 'Recent Changes'!A:G, 7, FALSE)</f>
        <v>#N/A</v>
      </c>
      <c r="V34" t="e" cm="1">
        <f t="array" aca="1" ref="V34" ca="1">VLOOKUP(INDIRECT("A"&amp;ROW()), 'Recent Changes'!A:H, 8, FALSE)</f>
        <v>#N/A</v>
      </c>
    </row>
    <row r="35" spans="1:22" x14ac:dyDescent="0.25">
      <c r="A35">
        <v>10628459</v>
      </c>
      <c r="B35" t="s">
        <v>433</v>
      </c>
      <c r="C35">
        <v>103</v>
      </c>
      <c r="G35" t="e" cm="1">
        <v>#N/A</v>
      </c>
      <c r="H35">
        <v>45196</v>
      </c>
      <c r="I35" t="s">
        <v>15</v>
      </c>
      <c r="J35" t="s">
        <v>30</v>
      </c>
      <c r="K35" t="s">
        <v>44</v>
      </c>
      <c r="L35" t="s">
        <v>1990</v>
      </c>
      <c r="M35" t="s">
        <v>78</v>
      </c>
      <c r="N35" t="s">
        <v>83</v>
      </c>
      <c r="O35" t="s">
        <v>431</v>
      </c>
      <c r="P35" t="str" cm="1">
        <f t="array" aca="1" ref="P35" ca="1">VLOOKUP(INDIRECT("A"&amp;ROW()), 'Recent Changes'!A:G, 2, FALSE)</f>
        <v>NULL</v>
      </c>
      <c r="Q35" t="str" cm="1">
        <f t="array" aca="1" ref="Q35" ca="1">VLOOKUP(INDIRECT("A"&amp;ROW()), 'Recent Changes'!A:G, 3, FALSE)</f>
        <v>NULL</v>
      </c>
      <c r="R35" t="str" cm="1">
        <f t="array" aca="1" ref="R35" ca="1">VLOOKUP(INDIRECT("A"&amp;ROW()), 'Recent Changes'!A:G, 4, FALSE)</f>
        <v>NULL</v>
      </c>
      <c r="S35" t="str" cm="1">
        <f t="array" aca="1" ref="S35" ca="1">VLOOKUP(INDIRECT("A"&amp;ROW()), 'Recent Changes'!A:G, 5, FALSE)</f>
        <v>2023-12-08T16:23:29Z</v>
      </c>
      <c r="T35" t="str" cm="1">
        <f t="array" aca="1" ref="T35" ca="1">VLOOKUP(INDIRECT("A"&amp;ROW()), 'Recent Changes'!A:G, 6, FALSE)</f>
        <v>NULL</v>
      </c>
      <c r="U35" t="str" cm="1">
        <f t="array" aca="1" ref="U35" ca="1">VLOOKUP(INDIRECT("A"&amp;ROW()), 'Recent Changes'!A:G, 7, FALSE)</f>
        <v>2023-12-20T00:00:48Z</v>
      </c>
      <c r="V35" t="str" cm="1">
        <f t="array" aca="1" ref="V35" ca="1">VLOOKUP(INDIRECT("A"&amp;ROW()), 'Recent Changes'!A:H, 8, FALSE)</f>
        <v>2023-12-08T21:56:57Z</v>
      </c>
    </row>
    <row r="36" spans="1:22" x14ac:dyDescent="0.25">
      <c r="A36">
        <v>10765101</v>
      </c>
      <c r="B36" t="s">
        <v>433</v>
      </c>
      <c r="C36">
        <v>102</v>
      </c>
      <c r="G36" t="s" cm="1">
        <v>442</v>
      </c>
      <c r="H36">
        <v>45197</v>
      </c>
      <c r="I36" t="s">
        <v>15</v>
      </c>
      <c r="J36" t="s">
        <v>18</v>
      </c>
      <c r="K36" t="s">
        <v>44</v>
      </c>
      <c r="L36" t="s">
        <v>597</v>
      </c>
      <c r="M36" t="s">
        <v>1322</v>
      </c>
      <c r="N36" t="s">
        <v>83</v>
      </c>
      <c r="O36" t="s">
        <v>431</v>
      </c>
      <c r="P36" t="str" cm="1">
        <f t="array" aca="1" ref="P36" ca="1">VLOOKUP(INDIRECT("A"&amp;ROW()), 'Recent Changes'!A:G, 2, FALSE)</f>
        <v>NULL</v>
      </c>
      <c r="Q36" t="str" cm="1">
        <f t="array" aca="1" ref="Q36" ca="1">VLOOKUP(INDIRECT("A"&amp;ROW()), 'Recent Changes'!A:G, 3, FALSE)</f>
        <v>NULL</v>
      </c>
      <c r="R36" t="str" cm="1">
        <f t="array" aca="1" ref="R36" ca="1">VLOOKUP(INDIRECT("A"&amp;ROW()), 'Recent Changes'!A:G, 4, FALSE)</f>
        <v>NULL</v>
      </c>
      <c r="S36" t="str" cm="1">
        <f t="array" aca="1" ref="S36" ca="1">VLOOKUP(INDIRECT("A"&amp;ROW()), 'Recent Changes'!A:G, 5, FALSE)</f>
        <v>2023-12-01T05:53:31Z</v>
      </c>
      <c r="T36" t="str" cm="1">
        <f t="array" aca="1" ref="T36" ca="1">VLOOKUP(INDIRECT("A"&amp;ROW()), 'Recent Changes'!A:G, 6, FALSE)</f>
        <v>NULL</v>
      </c>
      <c r="U36" t="str" cm="1">
        <f t="array" aca="1" ref="U36" ca="1">VLOOKUP(INDIRECT("A"&amp;ROW()), 'Recent Changes'!A:G, 7, FALSE)</f>
        <v>2023-12-01T05:41:14Z</v>
      </c>
      <c r="V36" t="str" cm="1">
        <f t="array" aca="1" ref="V36" ca="1">VLOOKUP(INDIRECT("A"&amp;ROW()), 'Recent Changes'!A:H, 8, FALSE)</f>
        <v>2023-12-01T07:36:34Z</v>
      </c>
    </row>
    <row r="37" spans="1:22" x14ac:dyDescent="0.25">
      <c r="A37">
        <v>17234132</v>
      </c>
      <c r="B37" t="s" cm="1">
        <v>430</v>
      </c>
      <c r="C37">
        <v>100</v>
      </c>
      <c r="G37" t="e" cm="1">
        <v>#N/A</v>
      </c>
      <c r="H37" t="s">
        <v>14</v>
      </c>
      <c r="I37" t="s">
        <v>14</v>
      </c>
      <c r="J37" t="s">
        <v>18</v>
      </c>
      <c r="K37" t="s">
        <v>48</v>
      </c>
      <c r="L37" t="s">
        <v>395</v>
      </c>
      <c r="M37" t="s">
        <v>76</v>
      </c>
      <c r="N37" t="s">
        <v>83</v>
      </c>
      <c r="P37" t="str" cm="1">
        <f t="array" aca="1" ref="P37" ca="1">VLOOKUP(INDIRECT("A"&amp;ROW()), 'Recent Changes'!A:G, 2, FALSE)</f>
        <v>NULL</v>
      </c>
      <c r="Q37" t="str" cm="1">
        <f t="array" aca="1" ref="Q37" ca="1">VLOOKUP(INDIRECT("A"&amp;ROW()), 'Recent Changes'!A:G, 3, FALSE)</f>
        <v>NULL</v>
      </c>
      <c r="R37" t="str" cm="1">
        <f t="array" aca="1" ref="R37" ca="1">VLOOKUP(INDIRECT("A"&amp;ROW()), 'Recent Changes'!A:G, 4, FALSE)</f>
        <v>NULL</v>
      </c>
      <c r="S37" t="str" cm="1">
        <f t="array" aca="1" ref="S37" ca="1">VLOOKUP(INDIRECT("A"&amp;ROW()), 'Recent Changes'!A:G, 5, FALSE)</f>
        <v>2023-12-16T01:06:25Z</v>
      </c>
      <c r="T37" t="str" cm="1">
        <f t="array" aca="1" ref="T37" ca="1">VLOOKUP(INDIRECT("A"&amp;ROW()), 'Recent Changes'!A:G, 6, FALSE)</f>
        <v>NULL</v>
      </c>
      <c r="U37" t="str" cm="1">
        <f t="array" aca="1" ref="U37" ca="1">VLOOKUP(INDIRECT("A"&amp;ROW()), 'Recent Changes'!A:G, 7, FALSE)</f>
        <v>2023-11-07T05:43:22Z</v>
      </c>
      <c r="V37" t="str" cm="1">
        <f t="array" aca="1" ref="V37" ca="1">VLOOKUP(INDIRECT("A"&amp;ROW()), 'Recent Changes'!A:H, 8, FALSE)</f>
        <v>2023-12-16T07:29:56Z</v>
      </c>
    </row>
    <row r="38" spans="1:22" x14ac:dyDescent="0.25">
      <c r="A38">
        <v>17235727</v>
      </c>
      <c r="B38" t="s">
        <v>433</v>
      </c>
      <c r="C38">
        <v>98</v>
      </c>
      <c r="G38" t="e" cm="1">
        <v>#N/A</v>
      </c>
      <c r="H38" t="s">
        <v>14</v>
      </c>
      <c r="I38" t="s">
        <v>380</v>
      </c>
      <c r="J38" t="s">
        <v>383</v>
      </c>
      <c r="K38" t="s">
        <v>388</v>
      </c>
      <c r="L38" t="s">
        <v>56</v>
      </c>
      <c r="M38" t="s">
        <v>76</v>
      </c>
      <c r="N38" t="s">
        <v>83</v>
      </c>
      <c r="P38" t="str" cm="1">
        <f t="array" aca="1" ref="P38" ca="1">VLOOKUP(INDIRECT("A"&amp;ROW()), 'Recent Changes'!A:G, 2, FALSE)</f>
        <v>NULL</v>
      </c>
      <c r="Q38" t="str" cm="1">
        <f t="array" aca="1" ref="Q38" ca="1">VLOOKUP(INDIRECT("A"&amp;ROW()), 'Recent Changes'!A:G, 3, FALSE)</f>
        <v>NULL</v>
      </c>
      <c r="R38" t="str" cm="1">
        <f t="array" aca="1" ref="R38" ca="1">VLOOKUP(INDIRECT("A"&amp;ROW()), 'Recent Changes'!A:G, 4, FALSE)</f>
        <v>NULL</v>
      </c>
      <c r="S38" t="str" cm="1">
        <f t="array" aca="1" ref="S38" ca="1">VLOOKUP(INDIRECT("A"&amp;ROW()), 'Recent Changes'!A:G, 5, FALSE)</f>
        <v>2023-12-13T02:38:01Z</v>
      </c>
      <c r="T38" t="str" cm="1">
        <f t="array" aca="1" ref="T38" ca="1">VLOOKUP(INDIRECT("A"&amp;ROW()), 'Recent Changes'!A:G, 6, FALSE)</f>
        <v>NULL</v>
      </c>
      <c r="U38" t="str" cm="1">
        <f t="array" aca="1" ref="U38" ca="1">VLOOKUP(INDIRECT("A"&amp;ROW()), 'Recent Changes'!A:G, 7, FALSE)</f>
        <v>NULL</v>
      </c>
      <c r="V38" t="str" cm="1">
        <f t="array" aca="1" ref="V38" ca="1">VLOOKUP(INDIRECT("A"&amp;ROW()), 'Recent Changes'!A:H, 8, FALSE)</f>
        <v>2023-12-13T07:42:11Z</v>
      </c>
    </row>
    <row r="39" spans="1:22" x14ac:dyDescent="0.25">
      <c r="A39">
        <v>17246139</v>
      </c>
      <c r="B39" t="s">
        <v>433</v>
      </c>
      <c r="C39">
        <v>97</v>
      </c>
      <c r="G39" t="s" cm="1">
        <v>442</v>
      </c>
      <c r="H39" t="s">
        <v>14</v>
      </c>
      <c r="I39" t="s">
        <v>14</v>
      </c>
      <c r="J39" t="s">
        <v>84</v>
      </c>
      <c r="K39" t="s">
        <v>44</v>
      </c>
      <c r="L39" t="s">
        <v>1991</v>
      </c>
      <c r="M39" t="s">
        <v>76</v>
      </c>
      <c r="N39" t="s">
        <v>1974</v>
      </c>
      <c r="P39" t="e" cm="1">
        <f t="array" aca="1" ref="P39" ca="1">VLOOKUP(INDIRECT("A"&amp;ROW()), 'Recent Changes'!A:G, 2, FALSE)</f>
        <v>#N/A</v>
      </c>
      <c r="Q39" t="e" cm="1">
        <f t="array" aca="1" ref="Q39" ca="1">VLOOKUP(INDIRECT("A"&amp;ROW()), 'Recent Changes'!A:G, 3, FALSE)</f>
        <v>#N/A</v>
      </c>
      <c r="R39" t="e" cm="1">
        <f t="array" aca="1" ref="R39" ca="1">VLOOKUP(INDIRECT("A"&amp;ROW()), 'Recent Changes'!A:G, 4, FALSE)</f>
        <v>#N/A</v>
      </c>
      <c r="S39" t="e" cm="1">
        <f t="array" aca="1" ref="S39" ca="1">VLOOKUP(INDIRECT("A"&amp;ROW()), 'Recent Changes'!A:G, 5, FALSE)</f>
        <v>#N/A</v>
      </c>
      <c r="T39" t="e" cm="1">
        <f t="array" aca="1" ref="T39" ca="1">VLOOKUP(INDIRECT("A"&amp;ROW()), 'Recent Changes'!A:G, 6, FALSE)</f>
        <v>#N/A</v>
      </c>
      <c r="U39" t="e" cm="1">
        <f t="array" aca="1" ref="U39" ca="1">VLOOKUP(INDIRECT("A"&amp;ROW()), 'Recent Changes'!A:G, 7, FALSE)</f>
        <v>#N/A</v>
      </c>
      <c r="V39" t="e" cm="1">
        <f t="array" aca="1" ref="V39" ca="1">VLOOKUP(INDIRECT("A"&amp;ROW()), 'Recent Changes'!A:H, 8, FALSE)</f>
        <v>#N/A</v>
      </c>
    </row>
    <row r="40" spans="1:22" x14ac:dyDescent="0.25">
      <c r="A40">
        <v>12196087</v>
      </c>
      <c r="B40" t="s">
        <v>433</v>
      </c>
      <c r="C40">
        <v>97</v>
      </c>
      <c r="G40" t="s" cm="1">
        <v>442</v>
      </c>
      <c r="H40">
        <v>45197</v>
      </c>
      <c r="I40" t="s">
        <v>15</v>
      </c>
      <c r="J40" t="s">
        <v>382</v>
      </c>
      <c r="K40" t="s">
        <v>44</v>
      </c>
      <c r="L40" t="s">
        <v>69</v>
      </c>
      <c r="M40" t="s">
        <v>91</v>
      </c>
      <c r="N40" t="s">
        <v>83</v>
      </c>
      <c r="O40" t="s">
        <v>431</v>
      </c>
      <c r="P40" t="str" cm="1">
        <f t="array" aca="1" ref="P40" ca="1">VLOOKUP(INDIRECT("A"&amp;ROW()), 'Recent Changes'!A:G, 2, FALSE)</f>
        <v>2023-11-14T21:49:15Z</v>
      </c>
      <c r="Q40" t="str" cm="1">
        <f t="array" aca="1" ref="Q40" ca="1">VLOOKUP(INDIRECT("A"&amp;ROW()), 'Recent Changes'!A:G, 3, FALSE)</f>
        <v>NULL</v>
      </c>
      <c r="R40" t="str" cm="1">
        <f t="array" aca="1" ref="R40" ca="1">VLOOKUP(INDIRECT("A"&amp;ROW()), 'Recent Changes'!A:G, 4, FALSE)</f>
        <v>NULL</v>
      </c>
      <c r="S40" t="str" cm="1">
        <f t="array" aca="1" ref="S40" ca="1">VLOOKUP(INDIRECT("A"&amp;ROW()), 'Recent Changes'!A:G, 5, FALSE)</f>
        <v>NULL</v>
      </c>
      <c r="T40" t="str" cm="1">
        <f t="array" aca="1" ref="T40" ca="1">VLOOKUP(INDIRECT("A"&amp;ROW()), 'Recent Changes'!A:G, 6, FALSE)</f>
        <v>NULL</v>
      </c>
      <c r="U40" t="str" cm="1">
        <f t="array" aca="1" ref="U40" ca="1">VLOOKUP(INDIRECT("A"&amp;ROW()), 'Recent Changes'!A:G, 7, FALSE)</f>
        <v>NULL</v>
      </c>
      <c r="V40" t="str" cm="1">
        <f t="array" aca="1" ref="V40" ca="1">VLOOKUP(INDIRECT("A"&amp;ROW()), 'Recent Changes'!A:H, 8, FALSE)</f>
        <v>2023-11-15T07:26:42Z</v>
      </c>
    </row>
    <row r="41" spans="1:22" x14ac:dyDescent="0.25">
      <c r="A41">
        <v>16394148</v>
      </c>
      <c r="B41" t="s">
        <v>433</v>
      </c>
      <c r="C41">
        <v>96</v>
      </c>
      <c r="G41" t="e" cm="1">
        <v>#N/A</v>
      </c>
      <c r="H41">
        <v>45203</v>
      </c>
      <c r="I41" t="s">
        <v>15</v>
      </c>
      <c r="J41" t="s">
        <v>27</v>
      </c>
      <c r="K41" t="s">
        <v>44</v>
      </c>
      <c r="L41" t="s">
        <v>395</v>
      </c>
      <c r="M41" t="s">
        <v>76</v>
      </c>
      <c r="N41" t="s">
        <v>83</v>
      </c>
      <c r="O41" t="s">
        <v>431</v>
      </c>
      <c r="P41" t="str" cm="1">
        <f t="array" aca="1" ref="P41" ca="1">VLOOKUP(INDIRECT("A"&amp;ROW()), 'Recent Changes'!A:G, 2, FALSE)</f>
        <v>NULL</v>
      </c>
      <c r="Q41" t="str" cm="1">
        <f t="array" aca="1" ref="Q41" ca="1">VLOOKUP(INDIRECT("A"&amp;ROW()), 'Recent Changes'!A:G, 3, FALSE)</f>
        <v>NULL</v>
      </c>
      <c r="R41" t="str" cm="1">
        <f t="array" aca="1" ref="R41" ca="1">VLOOKUP(INDIRECT("A"&amp;ROW()), 'Recent Changes'!A:G, 4, FALSE)</f>
        <v>NULL</v>
      </c>
      <c r="S41" t="str" cm="1">
        <f t="array" aca="1" ref="S41" ca="1">VLOOKUP(INDIRECT("A"&amp;ROW()), 'Recent Changes'!A:G, 5, FALSE)</f>
        <v>NULL</v>
      </c>
      <c r="T41" t="str" cm="1">
        <f t="array" aca="1" ref="T41" ca="1">VLOOKUP(INDIRECT("A"&amp;ROW()), 'Recent Changes'!A:G, 6, FALSE)</f>
        <v>NULL</v>
      </c>
      <c r="U41" t="str" cm="1">
        <f t="array" aca="1" ref="U41" ca="1">VLOOKUP(INDIRECT("A"&amp;ROW()), 'Recent Changes'!A:G, 7, FALSE)</f>
        <v>2023-12-05T14:57:27Z</v>
      </c>
      <c r="V41" t="str" cm="1">
        <f t="array" aca="1" ref="V41" ca="1">VLOOKUP(INDIRECT("A"&amp;ROW()), 'Recent Changes'!A:H, 8, FALSE)</f>
        <v>2023-12-05T16:51:36Z</v>
      </c>
    </row>
    <row r="42" spans="1:22" x14ac:dyDescent="0.25">
      <c r="A42">
        <v>10995517</v>
      </c>
      <c r="B42" t="s">
        <v>433</v>
      </c>
      <c r="C42">
        <v>95</v>
      </c>
      <c r="G42" t="s" cm="1">
        <v>442</v>
      </c>
      <c r="H42">
        <v>45201</v>
      </c>
      <c r="I42" t="s">
        <v>15</v>
      </c>
      <c r="J42" t="s">
        <v>382</v>
      </c>
      <c r="K42" t="s">
        <v>44</v>
      </c>
      <c r="L42" t="s">
        <v>377</v>
      </c>
      <c r="M42" t="s">
        <v>82</v>
      </c>
      <c r="N42" t="s">
        <v>83</v>
      </c>
      <c r="O42" t="s">
        <v>431</v>
      </c>
      <c r="P42" t="str" cm="1">
        <f t="array" aca="1" ref="P42" ca="1">VLOOKUP(INDIRECT("A"&amp;ROW()), 'Recent Changes'!A:G, 2, FALSE)</f>
        <v>2023-11-14T21:33:51Z</v>
      </c>
      <c r="Q42" t="str" cm="1">
        <f t="array" aca="1" ref="Q42" ca="1">VLOOKUP(INDIRECT("A"&amp;ROW()), 'Recent Changes'!A:G, 3, FALSE)</f>
        <v>NULL</v>
      </c>
      <c r="R42" t="str" cm="1">
        <f t="array" aca="1" ref="R42" ca="1">VLOOKUP(INDIRECT("A"&amp;ROW()), 'Recent Changes'!A:G, 4, FALSE)</f>
        <v>NULL</v>
      </c>
      <c r="S42" t="str" cm="1">
        <f t="array" aca="1" ref="S42" ca="1">VLOOKUP(INDIRECT("A"&amp;ROW()), 'Recent Changes'!A:G, 5, FALSE)</f>
        <v>NULL</v>
      </c>
      <c r="T42" t="str" cm="1">
        <f t="array" aca="1" ref="T42" ca="1">VLOOKUP(INDIRECT("A"&amp;ROW()), 'Recent Changes'!A:G, 6, FALSE)</f>
        <v>NULL</v>
      </c>
      <c r="U42" t="str" cm="1">
        <f t="array" aca="1" ref="U42" ca="1">VLOOKUP(INDIRECT("A"&amp;ROW()), 'Recent Changes'!A:G, 7, FALSE)</f>
        <v>NULL</v>
      </c>
      <c r="V42" t="str" cm="1">
        <f t="array" aca="1" ref="V42" ca="1">VLOOKUP(INDIRECT("A"&amp;ROW()), 'Recent Changes'!A:H, 8, FALSE)</f>
        <v>2023-11-15T07:09:27Z</v>
      </c>
    </row>
    <row r="43" spans="1:22" x14ac:dyDescent="0.25">
      <c r="A43">
        <v>17259608</v>
      </c>
      <c r="B43" t="s">
        <v>433</v>
      </c>
      <c r="C43">
        <v>94</v>
      </c>
      <c r="G43" t="e" cm="1">
        <v>#N/A</v>
      </c>
      <c r="H43" t="s">
        <v>14</v>
      </c>
      <c r="I43" t="s">
        <v>380</v>
      </c>
      <c r="J43" t="s">
        <v>23</v>
      </c>
      <c r="K43" t="s">
        <v>48</v>
      </c>
      <c r="L43" t="s">
        <v>87</v>
      </c>
      <c r="M43" t="s">
        <v>76</v>
      </c>
      <c r="N43" t="s">
        <v>83</v>
      </c>
      <c r="P43" t="str" cm="1">
        <f t="array" aca="1" ref="P43" ca="1">VLOOKUP(INDIRECT("A"&amp;ROW()), 'Recent Changes'!A:G, 2, FALSE)</f>
        <v>NULL</v>
      </c>
      <c r="Q43" t="str" cm="1">
        <f t="array" aca="1" ref="Q43" ca="1">VLOOKUP(INDIRECT("A"&amp;ROW()), 'Recent Changes'!A:G, 3, FALSE)</f>
        <v>NULL</v>
      </c>
      <c r="R43" t="str" cm="1">
        <f t="array" aca="1" ref="R43" ca="1">VLOOKUP(INDIRECT("A"&amp;ROW()), 'Recent Changes'!A:G, 4, FALSE)</f>
        <v>NULL</v>
      </c>
      <c r="S43" t="str" cm="1">
        <f t="array" aca="1" ref="S43" ca="1">VLOOKUP(INDIRECT("A"&amp;ROW()), 'Recent Changes'!A:G, 5, FALSE)</f>
        <v>2023-12-07T22:20:42Z</v>
      </c>
      <c r="T43" t="str" cm="1">
        <f t="array" aca="1" ref="T43" ca="1">VLOOKUP(INDIRECT("A"&amp;ROW()), 'Recent Changes'!A:G, 6, FALSE)</f>
        <v>NULL</v>
      </c>
      <c r="U43" t="str" cm="1">
        <f t="array" aca="1" ref="U43" ca="1">VLOOKUP(INDIRECT("A"&amp;ROW()), 'Recent Changes'!A:G, 7, FALSE)</f>
        <v>NULL</v>
      </c>
      <c r="V43" t="str" cm="1">
        <f t="array" aca="1" ref="V43" ca="1">VLOOKUP(INDIRECT("A"&amp;ROW()), 'Recent Changes'!A:H, 8, FALSE)</f>
        <v>2023-12-08T07:46:21Z</v>
      </c>
    </row>
    <row r="44" spans="1:22" x14ac:dyDescent="0.25">
      <c r="A44">
        <v>17261825</v>
      </c>
      <c r="B44" t="s" cm="1">
        <v>430</v>
      </c>
      <c r="C44">
        <v>94</v>
      </c>
      <c r="G44" t="e" cm="1">
        <v>#N/A</v>
      </c>
      <c r="H44" t="s">
        <v>14</v>
      </c>
      <c r="I44" t="s">
        <v>14</v>
      </c>
      <c r="J44" t="s">
        <v>26</v>
      </c>
      <c r="K44" t="s">
        <v>44</v>
      </c>
      <c r="L44" t="s">
        <v>735</v>
      </c>
      <c r="M44" t="s">
        <v>1350</v>
      </c>
      <c r="N44" t="s">
        <v>83</v>
      </c>
      <c r="P44" t="str" cm="1">
        <f t="array" aca="1" ref="P44" ca="1">VLOOKUP(INDIRECT("A"&amp;ROW()), 'Recent Changes'!A:G, 2, FALSE)</f>
        <v>NULL</v>
      </c>
      <c r="Q44" t="str" cm="1">
        <f t="array" aca="1" ref="Q44" ca="1">VLOOKUP(INDIRECT("A"&amp;ROW()), 'Recent Changes'!A:G, 3, FALSE)</f>
        <v>NULL</v>
      </c>
      <c r="R44" t="str" cm="1">
        <f t="array" aca="1" ref="R44" ca="1">VLOOKUP(INDIRECT("A"&amp;ROW()), 'Recent Changes'!A:G, 4, FALSE)</f>
        <v>NULL</v>
      </c>
      <c r="S44" t="str" cm="1">
        <f t="array" aca="1" ref="S44" ca="1">VLOOKUP(INDIRECT("A"&amp;ROW()), 'Recent Changes'!A:G, 5, FALSE)</f>
        <v>2023-12-07T22:25:15Z</v>
      </c>
      <c r="T44" t="str" cm="1">
        <f t="array" aca="1" ref="T44" ca="1">VLOOKUP(INDIRECT("A"&amp;ROW()), 'Recent Changes'!A:G, 6, FALSE)</f>
        <v>NULL</v>
      </c>
      <c r="U44" t="str" cm="1">
        <f t="array" aca="1" ref="U44" ca="1">VLOOKUP(INDIRECT("A"&amp;ROW()), 'Recent Changes'!A:G, 7, FALSE)</f>
        <v>NULL</v>
      </c>
      <c r="V44" t="str" cm="1">
        <f t="array" aca="1" ref="V44" ca="1">VLOOKUP(INDIRECT("A"&amp;ROW()), 'Recent Changes'!A:H, 8, FALSE)</f>
        <v>2023-11-29T21:49:32Z</v>
      </c>
    </row>
    <row r="45" spans="1:22" x14ac:dyDescent="0.25">
      <c r="A45">
        <v>17264946</v>
      </c>
      <c r="B45" t="s" cm="1">
        <v>430</v>
      </c>
      <c r="C45">
        <v>93</v>
      </c>
      <c r="G45" t="e" cm="1">
        <v>#N/A</v>
      </c>
      <c r="H45" t="s">
        <v>14</v>
      </c>
      <c r="I45" t="s">
        <v>14</v>
      </c>
      <c r="J45" t="s">
        <v>30</v>
      </c>
      <c r="K45" t="s">
        <v>432</v>
      </c>
      <c r="L45" t="s">
        <v>1992</v>
      </c>
      <c r="M45" t="s">
        <v>78</v>
      </c>
      <c r="N45" t="s">
        <v>83</v>
      </c>
      <c r="P45" t="str" cm="1">
        <f t="array" aca="1" ref="P45" ca="1">VLOOKUP(INDIRECT("A"&amp;ROW()), 'Recent Changes'!A:G, 2, FALSE)</f>
        <v>NULL</v>
      </c>
      <c r="Q45" t="str" cm="1">
        <f t="array" aca="1" ref="Q45" ca="1">VLOOKUP(INDIRECT("A"&amp;ROW()), 'Recent Changes'!A:G, 3, FALSE)</f>
        <v>NULL</v>
      </c>
      <c r="R45" t="str" cm="1">
        <f t="array" aca="1" ref="R45" ca="1">VLOOKUP(INDIRECT("A"&amp;ROW()), 'Recent Changes'!A:G, 4, FALSE)</f>
        <v>NULL</v>
      </c>
      <c r="S45" t="str" cm="1">
        <f t="array" aca="1" ref="S45" ca="1">VLOOKUP(INDIRECT("A"&amp;ROW()), 'Recent Changes'!A:G, 5, FALSE)</f>
        <v>2023-12-19T16:46:04Z</v>
      </c>
      <c r="T45" t="str" cm="1">
        <f t="array" aca="1" ref="T45" ca="1">VLOOKUP(INDIRECT("A"&amp;ROW()), 'Recent Changes'!A:G, 6, FALSE)</f>
        <v>NULL</v>
      </c>
      <c r="U45" t="str" cm="1">
        <f t="array" aca="1" ref="U45" ca="1">VLOOKUP(INDIRECT("A"&amp;ROW()), 'Recent Changes'!A:G, 7, FALSE)</f>
        <v>NULL</v>
      </c>
      <c r="V45" t="str" cm="1">
        <f t="array" aca="1" ref="V45" ca="1">VLOOKUP(INDIRECT("A"&amp;ROW()), 'Recent Changes'!A:H, 8, FALSE)</f>
        <v>2023-12-19T21:32:56Z</v>
      </c>
    </row>
    <row r="46" spans="1:22" x14ac:dyDescent="0.25">
      <c r="A46">
        <v>17265057</v>
      </c>
      <c r="B46" t="s">
        <v>430</v>
      </c>
      <c r="C46">
        <v>93</v>
      </c>
      <c r="G46" t="e" cm="1">
        <v>#N/A</v>
      </c>
      <c r="H46" t="s">
        <v>14</v>
      </c>
      <c r="I46" t="s">
        <v>14</v>
      </c>
      <c r="J46" t="s">
        <v>32</v>
      </c>
      <c r="K46" t="s">
        <v>44</v>
      </c>
      <c r="L46" t="s">
        <v>1993</v>
      </c>
      <c r="M46" t="s">
        <v>2050</v>
      </c>
      <c r="N46" t="s">
        <v>83</v>
      </c>
      <c r="P46" t="str" cm="1">
        <f t="array" aca="1" ref="P46" ca="1">VLOOKUP(INDIRECT("A"&amp;ROW()), 'Recent Changes'!A:G, 2, FALSE)</f>
        <v>NULL</v>
      </c>
      <c r="Q46" t="str" cm="1">
        <f t="array" aca="1" ref="Q46" ca="1">VLOOKUP(INDIRECT("A"&amp;ROW()), 'Recent Changes'!A:G, 3, FALSE)</f>
        <v>NULL</v>
      </c>
      <c r="R46" t="str" cm="1">
        <f t="array" aca="1" ref="R46" ca="1">VLOOKUP(INDIRECT("A"&amp;ROW()), 'Recent Changes'!A:G, 4, FALSE)</f>
        <v>NULL</v>
      </c>
      <c r="S46" t="str" cm="1">
        <f t="array" aca="1" ref="S46" ca="1">VLOOKUP(INDIRECT("A"&amp;ROW()), 'Recent Changes'!A:G, 5, FALSE)</f>
        <v>2024-01-02T18:03:39Z</v>
      </c>
      <c r="T46" t="str" cm="1">
        <f t="array" aca="1" ref="T46" ca="1">VLOOKUP(INDIRECT("A"&amp;ROW()), 'Recent Changes'!A:G, 6, FALSE)</f>
        <v>NULL</v>
      </c>
      <c r="U46" t="str" cm="1">
        <f t="array" aca="1" ref="U46" ca="1">VLOOKUP(INDIRECT("A"&amp;ROW()), 'Recent Changes'!A:G, 7, FALSE)</f>
        <v>NULL</v>
      </c>
      <c r="V46" t="str" cm="1">
        <f t="array" aca="1" ref="V46" ca="1">VLOOKUP(INDIRECT("A"&amp;ROW()), 'Recent Changes'!A:H, 8, FALSE)</f>
        <v>2024-01-02T21:13:03Z</v>
      </c>
    </row>
    <row r="47" spans="1:22" x14ac:dyDescent="0.25">
      <c r="A47">
        <v>11002538</v>
      </c>
      <c r="B47" t="s">
        <v>433</v>
      </c>
      <c r="C47">
        <v>91</v>
      </c>
      <c r="G47" t="s" cm="1">
        <v>442</v>
      </c>
      <c r="H47">
        <v>45205</v>
      </c>
      <c r="I47" t="s">
        <v>15</v>
      </c>
      <c r="J47" t="s">
        <v>18</v>
      </c>
      <c r="K47" t="s">
        <v>44</v>
      </c>
      <c r="L47" t="s">
        <v>56</v>
      </c>
      <c r="M47" t="s">
        <v>77</v>
      </c>
      <c r="N47" t="s">
        <v>83</v>
      </c>
      <c r="O47" t="s">
        <v>431</v>
      </c>
      <c r="P47" t="str" cm="1">
        <f t="array" aca="1" ref="P47" ca="1">VLOOKUP(INDIRECT("A"&amp;ROW()), 'Recent Changes'!A:G, 2, FALSE)</f>
        <v>NULL</v>
      </c>
      <c r="Q47" t="str" cm="1">
        <f t="array" aca="1" ref="Q47" ca="1">VLOOKUP(INDIRECT("A"&amp;ROW()), 'Recent Changes'!A:G, 3, FALSE)</f>
        <v>NULL</v>
      </c>
      <c r="R47" t="str" cm="1">
        <f t="array" aca="1" ref="R47" ca="1">VLOOKUP(INDIRECT("A"&amp;ROW()), 'Recent Changes'!A:G, 4, FALSE)</f>
        <v>NULL</v>
      </c>
      <c r="S47" t="str" cm="1">
        <f t="array" aca="1" ref="S47" ca="1">VLOOKUP(INDIRECT("A"&amp;ROW()), 'Recent Changes'!A:G, 5, FALSE)</f>
        <v>NULL</v>
      </c>
      <c r="T47" t="str" cm="1">
        <f t="array" aca="1" ref="T47" ca="1">VLOOKUP(INDIRECT("A"&amp;ROW()), 'Recent Changes'!A:G, 6, FALSE)</f>
        <v>NULL</v>
      </c>
      <c r="U47" t="str" cm="1">
        <f t="array" aca="1" ref="U47" ca="1">VLOOKUP(INDIRECT("A"&amp;ROW()), 'Recent Changes'!A:G, 7, FALSE)</f>
        <v>NULL</v>
      </c>
      <c r="V47" t="str" cm="1">
        <f t="array" aca="1" ref="V47" ca="1">VLOOKUP(INDIRECT("A"&amp;ROW()), 'Recent Changes'!A:H, 8, FALSE)</f>
        <v>2019-06-17T05:50:00Z</v>
      </c>
    </row>
    <row r="48" spans="1:22" x14ac:dyDescent="0.25">
      <c r="A48">
        <v>17240483</v>
      </c>
      <c r="B48" t="s">
        <v>433</v>
      </c>
      <c r="C48">
        <v>90</v>
      </c>
      <c r="G48" t="s" cm="1">
        <v>442</v>
      </c>
      <c r="H48" t="s">
        <v>14</v>
      </c>
      <c r="I48" t="s">
        <v>14</v>
      </c>
      <c r="J48" t="s">
        <v>34</v>
      </c>
      <c r="K48" t="s">
        <v>44</v>
      </c>
      <c r="L48" t="s">
        <v>56</v>
      </c>
      <c r="M48" t="s">
        <v>1410</v>
      </c>
      <c r="N48" t="s">
        <v>1974</v>
      </c>
      <c r="P48" t="e" cm="1">
        <f t="array" aca="1" ref="P48" ca="1">VLOOKUP(INDIRECT("A"&amp;ROW()), 'Recent Changes'!A:G, 2, FALSE)</f>
        <v>#N/A</v>
      </c>
      <c r="Q48" t="e" cm="1">
        <f t="array" aca="1" ref="Q48" ca="1">VLOOKUP(INDIRECT("A"&amp;ROW()), 'Recent Changes'!A:G, 3, FALSE)</f>
        <v>#N/A</v>
      </c>
      <c r="R48" t="e" cm="1">
        <f t="array" aca="1" ref="R48" ca="1">VLOOKUP(INDIRECT("A"&amp;ROW()), 'Recent Changes'!A:G, 4, FALSE)</f>
        <v>#N/A</v>
      </c>
      <c r="S48" t="e" cm="1">
        <f t="array" aca="1" ref="S48" ca="1">VLOOKUP(INDIRECT("A"&amp;ROW()), 'Recent Changes'!A:G, 5, FALSE)</f>
        <v>#N/A</v>
      </c>
      <c r="T48" t="e" cm="1">
        <f t="array" aca="1" ref="T48" ca="1">VLOOKUP(INDIRECT("A"&amp;ROW()), 'Recent Changes'!A:G, 6, FALSE)</f>
        <v>#N/A</v>
      </c>
      <c r="U48" t="e" cm="1">
        <f t="array" aca="1" ref="U48" ca="1">VLOOKUP(INDIRECT("A"&amp;ROW()), 'Recent Changes'!A:G, 7, FALSE)</f>
        <v>#N/A</v>
      </c>
      <c r="V48" t="e" cm="1">
        <f t="array" aca="1" ref="V48" ca="1">VLOOKUP(INDIRECT("A"&amp;ROW()), 'Recent Changes'!A:H, 8, FALSE)</f>
        <v>#N/A</v>
      </c>
    </row>
    <row r="49" spans="1:22" x14ac:dyDescent="0.25">
      <c r="A49">
        <v>17274812</v>
      </c>
      <c r="B49" t="s" cm="1">
        <v>430</v>
      </c>
      <c r="C49">
        <v>90</v>
      </c>
      <c r="G49" t="e" cm="1">
        <v>#N/A</v>
      </c>
      <c r="H49" t="s">
        <v>14</v>
      </c>
      <c r="I49" t="s">
        <v>14</v>
      </c>
      <c r="J49" t="s">
        <v>30</v>
      </c>
      <c r="K49" t="s">
        <v>52</v>
      </c>
      <c r="L49" t="s">
        <v>74</v>
      </c>
      <c r="M49" t="s">
        <v>76</v>
      </c>
      <c r="N49" t="s">
        <v>83</v>
      </c>
      <c r="P49" t="str" cm="1">
        <f t="array" aca="1" ref="P49" ca="1">VLOOKUP(INDIRECT("A"&amp;ROW()), 'Recent Changes'!A:G, 2, FALSE)</f>
        <v>NULL</v>
      </c>
      <c r="Q49" t="str" cm="1">
        <f t="array" aca="1" ref="Q49" ca="1">VLOOKUP(INDIRECT("A"&amp;ROW()), 'Recent Changes'!A:G, 3, FALSE)</f>
        <v>NULL</v>
      </c>
      <c r="R49" t="str" cm="1">
        <f t="array" aca="1" ref="R49" ca="1">VLOOKUP(INDIRECT("A"&amp;ROW()), 'Recent Changes'!A:G, 4, FALSE)</f>
        <v>NULL</v>
      </c>
      <c r="S49" t="str" cm="1">
        <f t="array" aca="1" ref="S49" ca="1">VLOOKUP(INDIRECT("A"&amp;ROW()), 'Recent Changes'!A:G, 5, FALSE)</f>
        <v>2023-12-20T22:24:22Z</v>
      </c>
      <c r="T49" t="str" cm="1">
        <f t="array" aca="1" ref="T49" ca="1">VLOOKUP(INDIRECT("A"&amp;ROW()), 'Recent Changes'!A:G, 6, FALSE)</f>
        <v>NULL</v>
      </c>
      <c r="U49" t="str" cm="1">
        <f t="array" aca="1" ref="U49" ca="1">VLOOKUP(INDIRECT("A"&amp;ROW()), 'Recent Changes'!A:G, 7, FALSE)</f>
        <v>2023-10-26T23:58:40Z</v>
      </c>
      <c r="V49" t="str" cm="1">
        <f t="array" aca="1" ref="V49" ca="1">VLOOKUP(INDIRECT("A"&amp;ROW()), 'Recent Changes'!A:H, 8, FALSE)</f>
        <v>2023-12-21T07:30:23Z</v>
      </c>
    </row>
    <row r="50" spans="1:22" x14ac:dyDescent="0.25">
      <c r="A50">
        <v>17154677</v>
      </c>
      <c r="B50" t="s">
        <v>433</v>
      </c>
      <c r="C50">
        <v>90</v>
      </c>
      <c r="G50" t="e" cm="1">
        <v>#N/A</v>
      </c>
      <c r="H50">
        <v>45209</v>
      </c>
      <c r="I50" t="s">
        <v>15</v>
      </c>
      <c r="J50" t="s">
        <v>22</v>
      </c>
      <c r="K50" t="s">
        <v>44</v>
      </c>
      <c r="L50" t="s">
        <v>1994</v>
      </c>
      <c r="M50" t="s">
        <v>76</v>
      </c>
      <c r="N50" t="s">
        <v>83</v>
      </c>
      <c r="O50" t="s">
        <v>431</v>
      </c>
      <c r="P50" t="str" cm="1">
        <f t="array" aca="1" ref="P50" ca="1">VLOOKUP(INDIRECT("A"&amp;ROW()), 'Recent Changes'!A:G, 2, FALSE)</f>
        <v>NULL</v>
      </c>
      <c r="Q50" t="str" cm="1">
        <f t="array" aca="1" ref="Q50" ca="1">VLOOKUP(INDIRECT("A"&amp;ROW()), 'Recent Changes'!A:G, 3, FALSE)</f>
        <v>NULL</v>
      </c>
      <c r="R50" t="str" cm="1">
        <f t="array" aca="1" ref="R50" ca="1">VLOOKUP(INDIRECT("A"&amp;ROW()), 'Recent Changes'!A:G, 4, FALSE)</f>
        <v>NULL</v>
      </c>
      <c r="S50" t="str" cm="1">
        <f t="array" aca="1" ref="S50" ca="1">VLOOKUP(INDIRECT("A"&amp;ROW()), 'Recent Changes'!A:G, 5, FALSE)</f>
        <v>NULL</v>
      </c>
      <c r="T50" t="str" cm="1">
        <f t="array" aca="1" ref="T50" ca="1">VLOOKUP(INDIRECT("A"&amp;ROW()), 'Recent Changes'!A:G, 6, FALSE)</f>
        <v>NULL</v>
      </c>
      <c r="U50" t="str" cm="1">
        <f t="array" aca="1" ref="U50" ca="1">VLOOKUP(INDIRECT("A"&amp;ROW()), 'Recent Changes'!A:G, 7, FALSE)</f>
        <v>2023-12-20T18:43:51Z</v>
      </c>
      <c r="V50" t="str" cm="1">
        <f t="array" aca="1" ref="V50" ca="1">VLOOKUP(INDIRECT("A"&amp;ROW()), 'Recent Changes'!A:H, 8, FALSE)</f>
        <v>2023-12-20T21:16:23Z</v>
      </c>
    </row>
    <row r="51" spans="1:22" x14ac:dyDescent="0.25">
      <c r="A51">
        <v>17240370</v>
      </c>
      <c r="B51" t="s">
        <v>433</v>
      </c>
      <c r="C51">
        <v>90</v>
      </c>
      <c r="G51" t="s" cm="1">
        <v>442</v>
      </c>
      <c r="H51" t="s">
        <v>14</v>
      </c>
      <c r="I51" t="s">
        <v>14</v>
      </c>
      <c r="J51" t="s">
        <v>34</v>
      </c>
      <c r="K51" t="s">
        <v>44</v>
      </c>
      <c r="L51" t="s">
        <v>56</v>
      </c>
      <c r="M51" t="s">
        <v>568</v>
      </c>
      <c r="N51" t="s">
        <v>1974</v>
      </c>
      <c r="P51" t="e" cm="1">
        <f t="array" aca="1" ref="P51" ca="1">VLOOKUP(INDIRECT("A"&amp;ROW()), 'Recent Changes'!A:G, 2, FALSE)</f>
        <v>#N/A</v>
      </c>
      <c r="Q51" t="e" cm="1">
        <f t="array" aca="1" ref="Q51" ca="1">VLOOKUP(INDIRECT("A"&amp;ROW()), 'Recent Changes'!A:G, 3, FALSE)</f>
        <v>#N/A</v>
      </c>
      <c r="R51" t="e" cm="1">
        <f t="array" aca="1" ref="R51" ca="1">VLOOKUP(INDIRECT("A"&amp;ROW()), 'Recent Changes'!A:G, 4, FALSE)</f>
        <v>#N/A</v>
      </c>
      <c r="S51" t="e" cm="1">
        <f t="array" aca="1" ref="S51" ca="1">VLOOKUP(INDIRECT("A"&amp;ROW()), 'Recent Changes'!A:G, 5, FALSE)</f>
        <v>#N/A</v>
      </c>
      <c r="T51" t="e" cm="1">
        <f t="array" aca="1" ref="T51" ca="1">VLOOKUP(INDIRECT("A"&amp;ROW()), 'Recent Changes'!A:G, 6, FALSE)</f>
        <v>#N/A</v>
      </c>
      <c r="U51" t="e" cm="1">
        <f t="array" aca="1" ref="U51" ca="1">VLOOKUP(INDIRECT("A"&amp;ROW()), 'Recent Changes'!A:G, 7, FALSE)</f>
        <v>#N/A</v>
      </c>
      <c r="V51" t="e" cm="1">
        <f t="array" aca="1" ref="V51" ca="1">VLOOKUP(INDIRECT("A"&amp;ROW()), 'Recent Changes'!A:H, 8, FALSE)</f>
        <v>#N/A</v>
      </c>
    </row>
    <row r="52" spans="1:22" x14ac:dyDescent="0.25">
      <c r="A52">
        <v>17284715</v>
      </c>
      <c r="B52" t="s" cm="1">
        <v>430</v>
      </c>
      <c r="C52">
        <v>89</v>
      </c>
      <c r="G52" t="e" cm="1">
        <v>#N/A</v>
      </c>
      <c r="H52" t="s">
        <v>14</v>
      </c>
      <c r="I52" t="s">
        <v>14</v>
      </c>
      <c r="J52" t="s">
        <v>30</v>
      </c>
      <c r="K52" t="s">
        <v>44</v>
      </c>
      <c r="L52" t="s">
        <v>59</v>
      </c>
      <c r="M52" t="s">
        <v>76</v>
      </c>
      <c r="N52" t="s">
        <v>83</v>
      </c>
      <c r="P52" t="str" cm="1">
        <f t="array" aca="1" ref="P52" ca="1">VLOOKUP(INDIRECT("A"&amp;ROW()), 'Recent Changes'!A:G, 2, FALSE)</f>
        <v>NULL</v>
      </c>
      <c r="Q52" t="str" cm="1">
        <f t="array" aca="1" ref="Q52" ca="1">VLOOKUP(INDIRECT("A"&amp;ROW()), 'Recent Changes'!A:G, 3, FALSE)</f>
        <v>NULL</v>
      </c>
      <c r="R52" t="str" cm="1">
        <f t="array" aca="1" ref="R52" ca="1">VLOOKUP(INDIRECT("A"&amp;ROW()), 'Recent Changes'!A:G, 4, FALSE)</f>
        <v>NULL</v>
      </c>
      <c r="S52" t="str" cm="1">
        <f t="array" aca="1" ref="S52" ca="1">VLOOKUP(INDIRECT("A"&amp;ROW()), 'Recent Changes'!A:G, 5, FALSE)</f>
        <v>2023-12-04T17:38:47Z</v>
      </c>
      <c r="T52" t="str" cm="1">
        <f t="array" aca="1" ref="T52" ca="1">VLOOKUP(INDIRECT("A"&amp;ROW()), 'Recent Changes'!A:G, 6, FALSE)</f>
        <v>NULL</v>
      </c>
      <c r="U52" t="str" cm="1">
        <f t="array" aca="1" ref="U52" ca="1">VLOOKUP(INDIRECT("A"&amp;ROW()), 'Recent Changes'!A:G, 7, FALSE)</f>
        <v>NULL</v>
      </c>
      <c r="V52" t="str" cm="1">
        <f t="array" aca="1" ref="V52" ca="1">VLOOKUP(INDIRECT("A"&amp;ROW()), 'Recent Changes'!A:H, 8, FALSE)</f>
        <v>2023-12-04T21:31:46Z</v>
      </c>
    </row>
    <row r="53" spans="1:22" x14ac:dyDescent="0.25">
      <c r="A53">
        <v>17279874</v>
      </c>
      <c r="B53" t="s">
        <v>433</v>
      </c>
      <c r="C53">
        <v>89</v>
      </c>
      <c r="G53" t="e" cm="1">
        <v>#N/A</v>
      </c>
      <c r="H53" t="s">
        <v>14</v>
      </c>
      <c r="I53" t="s">
        <v>380</v>
      </c>
      <c r="J53" t="s">
        <v>23</v>
      </c>
      <c r="K53" t="s">
        <v>48</v>
      </c>
      <c r="L53" t="s">
        <v>1995</v>
      </c>
      <c r="M53" t="s">
        <v>78</v>
      </c>
      <c r="N53" t="s">
        <v>83</v>
      </c>
      <c r="P53" t="str" cm="1">
        <f t="array" aca="1" ref="P53" ca="1">VLOOKUP(INDIRECT("A"&amp;ROW()), 'Recent Changes'!A:G, 2, FALSE)</f>
        <v>NULL</v>
      </c>
      <c r="Q53" t="str" cm="1">
        <f t="array" aca="1" ref="Q53" ca="1">VLOOKUP(INDIRECT("A"&amp;ROW()), 'Recent Changes'!A:G, 3, FALSE)</f>
        <v>NULL</v>
      </c>
      <c r="R53" t="str" cm="1">
        <f t="array" aca="1" ref="R53" ca="1">VLOOKUP(INDIRECT("A"&amp;ROW()), 'Recent Changes'!A:G, 4, FALSE)</f>
        <v>NULL</v>
      </c>
      <c r="S53" t="str" cm="1">
        <f t="array" aca="1" ref="S53" ca="1">VLOOKUP(INDIRECT("A"&amp;ROW()), 'Recent Changes'!A:G, 5, FALSE)</f>
        <v>2023-12-14T18:58:41Z</v>
      </c>
      <c r="T53" t="str" cm="1">
        <f t="array" aca="1" ref="T53" ca="1">VLOOKUP(INDIRECT("A"&amp;ROW()), 'Recent Changes'!A:G, 6, FALSE)</f>
        <v>NULL</v>
      </c>
      <c r="U53" t="str" cm="1">
        <f t="array" aca="1" ref="U53" ca="1">VLOOKUP(INDIRECT("A"&amp;ROW()), 'Recent Changes'!A:G, 7, FALSE)</f>
        <v>NULL</v>
      </c>
      <c r="V53" t="str" cm="1">
        <f t="array" aca="1" ref="V53" ca="1">VLOOKUP(INDIRECT("A"&amp;ROW()), 'Recent Changes'!A:H, 8, FALSE)</f>
        <v>2023-12-14T21:28:41Z</v>
      </c>
    </row>
    <row r="54" spans="1:22" x14ac:dyDescent="0.25">
      <c r="A54">
        <v>17283142</v>
      </c>
      <c r="B54" t="s" cm="1">
        <v>430</v>
      </c>
      <c r="C54">
        <v>89</v>
      </c>
      <c r="G54" t="e" cm="1">
        <v>#N/A</v>
      </c>
      <c r="H54" t="s">
        <v>14</v>
      </c>
      <c r="I54" t="s">
        <v>14</v>
      </c>
      <c r="J54" t="s">
        <v>30</v>
      </c>
      <c r="K54" t="s">
        <v>52</v>
      </c>
      <c r="L54" t="s">
        <v>58</v>
      </c>
      <c r="M54" t="s">
        <v>76</v>
      </c>
      <c r="N54" t="s">
        <v>83</v>
      </c>
      <c r="P54" t="str" cm="1">
        <f t="array" aca="1" ref="P54" ca="1">VLOOKUP(INDIRECT("A"&amp;ROW()), 'Recent Changes'!A:G, 2, FALSE)</f>
        <v>NULL</v>
      </c>
      <c r="Q54" t="str" cm="1">
        <f t="array" aca="1" ref="Q54" ca="1">VLOOKUP(INDIRECT("A"&amp;ROW()), 'Recent Changes'!A:G, 3, FALSE)</f>
        <v>NULL</v>
      </c>
      <c r="R54" t="str" cm="1">
        <f t="array" aca="1" ref="R54" ca="1">VLOOKUP(INDIRECT("A"&amp;ROW()), 'Recent Changes'!A:G, 4, FALSE)</f>
        <v>NULL</v>
      </c>
      <c r="S54" t="str" cm="1">
        <f t="array" aca="1" ref="S54" ca="1">VLOOKUP(INDIRECT("A"&amp;ROW()), 'Recent Changes'!A:G, 5, FALSE)</f>
        <v>2023-12-13T22:28:08Z</v>
      </c>
      <c r="T54" t="str" cm="1">
        <f t="array" aca="1" ref="T54" ca="1">VLOOKUP(INDIRECT("A"&amp;ROW()), 'Recent Changes'!A:G, 6, FALSE)</f>
        <v>NULL</v>
      </c>
      <c r="U54" t="str" cm="1">
        <f t="array" aca="1" ref="U54" ca="1">VLOOKUP(INDIRECT("A"&amp;ROW()), 'Recent Changes'!A:G, 7, FALSE)</f>
        <v>2023-10-31T15:43:30Z</v>
      </c>
      <c r="V54" t="str" cm="1">
        <f t="array" aca="1" ref="V54" ca="1">VLOOKUP(INDIRECT("A"&amp;ROW()), 'Recent Changes'!A:H, 8, FALSE)</f>
        <v>2023-12-14T07:38:23Z</v>
      </c>
    </row>
    <row r="55" spans="1:22" x14ac:dyDescent="0.25">
      <c r="A55">
        <v>17291015</v>
      </c>
      <c r="B55" t="s">
        <v>433</v>
      </c>
      <c r="C55">
        <v>88</v>
      </c>
      <c r="G55" t="e" cm="1">
        <v>#N/A</v>
      </c>
      <c r="H55">
        <v>45247</v>
      </c>
      <c r="I55" t="s">
        <v>15</v>
      </c>
      <c r="J55" t="s">
        <v>32</v>
      </c>
      <c r="K55" t="s">
        <v>44</v>
      </c>
      <c r="L55" t="s">
        <v>56</v>
      </c>
      <c r="M55" t="s">
        <v>81</v>
      </c>
      <c r="N55" t="s">
        <v>83</v>
      </c>
      <c r="O55" t="s">
        <v>431</v>
      </c>
      <c r="P55" t="str" cm="1">
        <f t="array" aca="1" ref="P55" ca="1">VLOOKUP(INDIRECT("A"&amp;ROW()), 'Recent Changes'!A:G, 2, FALSE)</f>
        <v>NULL</v>
      </c>
      <c r="Q55" t="str" cm="1">
        <f t="array" aca="1" ref="Q55" ca="1">VLOOKUP(INDIRECT("A"&amp;ROW()), 'Recent Changes'!A:G, 3, FALSE)</f>
        <v>NULL</v>
      </c>
      <c r="R55" t="str" cm="1">
        <f t="array" aca="1" ref="R55" ca="1">VLOOKUP(INDIRECT("A"&amp;ROW()), 'Recent Changes'!A:G, 4, FALSE)</f>
        <v>NULL</v>
      </c>
      <c r="S55" t="str" cm="1">
        <f t="array" aca="1" ref="S55" ca="1">VLOOKUP(INDIRECT("A"&amp;ROW()), 'Recent Changes'!A:G, 5, FALSE)</f>
        <v>2023-12-29T18:38:32Z</v>
      </c>
      <c r="T55" t="str" cm="1">
        <f t="array" aca="1" ref="T55" ca="1">VLOOKUP(INDIRECT("A"&amp;ROW()), 'Recent Changes'!A:G, 6, FALSE)</f>
        <v>NULL</v>
      </c>
      <c r="U55" t="str" cm="1">
        <f t="array" aca="1" ref="U55" ca="1">VLOOKUP(INDIRECT("A"&amp;ROW()), 'Recent Changes'!A:G, 7, FALSE)</f>
        <v>NULL</v>
      </c>
      <c r="V55" t="str" cm="1">
        <f t="array" aca="1" ref="V55" ca="1">VLOOKUP(INDIRECT("A"&amp;ROW()), 'Recent Changes'!A:H, 8, FALSE)</f>
        <v>2023-12-30T07:24:34Z</v>
      </c>
    </row>
    <row r="56" spans="1:22" x14ac:dyDescent="0.25">
      <c r="A56">
        <v>17299934</v>
      </c>
      <c r="B56" t="s" cm="1">
        <v>430</v>
      </c>
      <c r="C56">
        <v>84</v>
      </c>
      <c r="G56" t="e" cm="1">
        <v>#N/A</v>
      </c>
      <c r="H56" t="s">
        <v>14</v>
      </c>
      <c r="I56" t="s">
        <v>14</v>
      </c>
      <c r="J56" t="s">
        <v>26</v>
      </c>
      <c r="K56" t="s">
        <v>432</v>
      </c>
      <c r="L56" t="s">
        <v>1513</v>
      </c>
      <c r="M56" t="s">
        <v>78</v>
      </c>
      <c r="N56" t="s">
        <v>83</v>
      </c>
      <c r="P56" t="str" cm="1">
        <f t="array" aca="1" ref="P56" ca="1">VLOOKUP(INDIRECT("A"&amp;ROW()), 'Recent Changes'!A:G, 2, FALSE)</f>
        <v>NULL</v>
      </c>
      <c r="Q56" t="str" cm="1">
        <f t="array" aca="1" ref="Q56" ca="1">VLOOKUP(INDIRECT("A"&amp;ROW()), 'Recent Changes'!A:G, 3, FALSE)</f>
        <v>NULL</v>
      </c>
      <c r="R56" t="str" cm="1">
        <f t="array" aca="1" ref="R56" ca="1">VLOOKUP(INDIRECT("A"&amp;ROW()), 'Recent Changes'!A:G, 4, FALSE)</f>
        <v>NULL</v>
      </c>
      <c r="S56" t="str" cm="1">
        <f t="array" aca="1" ref="S56" ca="1">VLOOKUP(INDIRECT("A"&amp;ROW()), 'Recent Changes'!A:G, 5, FALSE)</f>
        <v>2023-12-19T16:44:57Z</v>
      </c>
      <c r="T56" t="str" cm="1">
        <f t="array" aca="1" ref="T56" ca="1">VLOOKUP(INDIRECT("A"&amp;ROW()), 'Recent Changes'!A:G, 6, FALSE)</f>
        <v>NULL</v>
      </c>
      <c r="U56" t="str" cm="1">
        <f t="array" aca="1" ref="U56" ca="1">VLOOKUP(INDIRECT("A"&amp;ROW()), 'Recent Changes'!A:G, 7, FALSE)</f>
        <v>2023-11-07T06:09:41Z</v>
      </c>
      <c r="V56" t="str" cm="1">
        <f t="array" aca="1" ref="V56" ca="1">VLOOKUP(INDIRECT("A"&amp;ROW()), 'Recent Changes'!A:H, 8, FALSE)</f>
        <v>2023-12-19T21:26:42Z</v>
      </c>
    </row>
    <row r="57" spans="1:22" x14ac:dyDescent="0.25">
      <c r="A57">
        <v>11962883</v>
      </c>
      <c r="B57" t="s" cm="1">
        <v>433</v>
      </c>
      <c r="C57">
        <v>84</v>
      </c>
      <c r="G57" t="e" cm="1">
        <v>#N/A</v>
      </c>
      <c r="H57" t="s">
        <v>14</v>
      </c>
      <c r="I57" t="s">
        <v>14</v>
      </c>
      <c r="J57" t="s">
        <v>20</v>
      </c>
      <c r="K57" t="s">
        <v>44</v>
      </c>
      <c r="L57" t="s">
        <v>1996</v>
      </c>
      <c r="M57" t="s">
        <v>444</v>
      </c>
      <c r="N57" t="s">
        <v>83</v>
      </c>
      <c r="P57" t="str" cm="1">
        <f t="array" aca="1" ref="P57" ca="1">VLOOKUP(INDIRECT("A"&amp;ROW()), 'Recent Changes'!A:G, 2, FALSE)</f>
        <v>NULL</v>
      </c>
      <c r="Q57" t="str" cm="1">
        <f t="array" aca="1" ref="Q57" ca="1">VLOOKUP(INDIRECT("A"&amp;ROW()), 'Recent Changes'!A:G, 3, FALSE)</f>
        <v>NULL</v>
      </c>
      <c r="R57" t="str" cm="1">
        <f t="array" aca="1" ref="R57" ca="1">VLOOKUP(INDIRECT("A"&amp;ROW()), 'Recent Changes'!A:G, 4, FALSE)</f>
        <v>NULL</v>
      </c>
      <c r="S57" t="str" cm="1">
        <f t="array" aca="1" ref="S57" ca="1">VLOOKUP(INDIRECT("A"&amp;ROW()), 'Recent Changes'!A:G, 5, FALSE)</f>
        <v>2023-12-14T17:05:08Z</v>
      </c>
      <c r="T57" t="str" cm="1">
        <f t="array" aca="1" ref="T57" ca="1">VLOOKUP(INDIRECT("A"&amp;ROW()), 'Recent Changes'!A:G, 6, FALSE)</f>
        <v>NULL</v>
      </c>
      <c r="U57" t="str" cm="1">
        <f t="array" aca="1" ref="U57" ca="1">VLOOKUP(INDIRECT("A"&amp;ROW()), 'Recent Changes'!A:G, 7, FALSE)</f>
        <v>NULL</v>
      </c>
      <c r="V57" t="str" cm="1">
        <f t="array" aca="1" ref="V57" ca="1">VLOOKUP(INDIRECT("A"&amp;ROW()), 'Recent Changes'!A:H, 8, FALSE)</f>
        <v>2023-10-16T21:41:06Z</v>
      </c>
    </row>
    <row r="58" spans="1:22" x14ac:dyDescent="0.25">
      <c r="A58">
        <v>16721585</v>
      </c>
      <c r="B58" t="s" cm="1">
        <v>433</v>
      </c>
      <c r="C58">
        <v>82</v>
      </c>
      <c r="G58" t="s" cm="1">
        <v>442</v>
      </c>
      <c r="H58" t="s">
        <v>14</v>
      </c>
      <c r="I58" t="s">
        <v>14</v>
      </c>
      <c r="J58" t="s">
        <v>30</v>
      </c>
      <c r="K58" t="s">
        <v>44</v>
      </c>
      <c r="L58" t="s">
        <v>1997</v>
      </c>
      <c r="M58" t="s">
        <v>76</v>
      </c>
      <c r="N58" t="s">
        <v>83</v>
      </c>
      <c r="P58" t="str" cm="1">
        <f t="array" aca="1" ref="P58" ca="1">VLOOKUP(INDIRECT("A"&amp;ROW()), 'Recent Changes'!A:G, 2, FALSE)</f>
        <v>2023-11-14T21:52:24Z</v>
      </c>
      <c r="Q58" t="str" cm="1">
        <f t="array" aca="1" ref="Q58" ca="1">VLOOKUP(INDIRECT("A"&amp;ROW()), 'Recent Changes'!A:G, 3, FALSE)</f>
        <v>NULL</v>
      </c>
      <c r="R58" t="str" cm="1">
        <f t="array" aca="1" ref="R58" ca="1">VLOOKUP(INDIRECT("A"&amp;ROW()), 'Recent Changes'!A:G, 4, FALSE)</f>
        <v>NULL</v>
      </c>
      <c r="S58" t="str" cm="1">
        <f t="array" aca="1" ref="S58" ca="1">VLOOKUP(INDIRECT("A"&amp;ROW()), 'Recent Changes'!A:G, 5, FALSE)</f>
        <v>2023-11-14T21:48:01Z</v>
      </c>
      <c r="T58" t="str" cm="1">
        <f t="array" aca="1" ref="T58" ca="1">VLOOKUP(INDIRECT("A"&amp;ROW()), 'Recent Changes'!A:G, 6, FALSE)</f>
        <v>NULL</v>
      </c>
      <c r="U58" t="str" cm="1">
        <f t="array" aca="1" ref="U58" ca="1">VLOOKUP(INDIRECT("A"&amp;ROW()), 'Recent Changes'!A:G, 7, FALSE)</f>
        <v>2023-07-11T12:24:18Z</v>
      </c>
      <c r="V58" t="str" cm="1">
        <f t="array" aca="1" ref="V58" ca="1">VLOOKUP(INDIRECT("A"&amp;ROW()), 'Recent Changes'!A:H, 8, FALSE)</f>
        <v>2023-10-19T07:31:11Z</v>
      </c>
    </row>
    <row r="59" spans="1:22" x14ac:dyDescent="0.25">
      <c r="A59">
        <v>17315539</v>
      </c>
      <c r="B59" t="s">
        <v>433</v>
      </c>
      <c r="C59">
        <v>82</v>
      </c>
      <c r="G59" t="e" cm="1">
        <v>#N/A</v>
      </c>
      <c r="H59">
        <v>45223</v>
      </c>
      <c r="I59" t="s">
        <v>15</v>
      </c>
      <c r="J59" t="s">
        <v>382</v>
      </c>
      <c r="K59" t="s">
        <v>44</v>
      </c>
      <c r="L59" t="s">
        <v>526</v>
      </c>
      <c r="M59" t="s">
        <v>76</v>
      </c>
      <c r="N59" t="s">
        <v>83</v>
      </c>
      <c r="O59" t="s">
        <v>431</v>
      </c>
      <c r="P59" t="str" cm="1">
        <f t="array" aca="1" ref="P59" ca="1">VLOOKUP(INDIRECT("A"&amp;ROW()), 'Recent Changes'!A:G, 2, FALSE)</f>
        <v>NULL</v>
      </c>
      <c r="Q59" t="str" cm="1">
        <f t="array" aca="1" ref="Q59" ca="1">VLOOKUP(INDIRECT("A"&amp;ROW()), 'Recent Changes'!A:G, 3, FALSE)</f>
        <v>NULL</v>
      </c>
      <c r="R59" t="str" cm="1">
        <f t="array" aca="1" ref="R59" ca="1">VLOOKUP(INDIRECT("A"&amp;ROW()), 'Recent Changes'!A:G, 4, FALSE)</f>
        <v>NULL</v>
      </c>
      <c r="S59" t="str" cm="1">
        <f t="array" aca="1" ref="S59" ca="1">VLOOKUP(INDIRECT("A"&amp;ROW()), 'Recent Changes'!A:G, 5, FALSE)</f>
        <v>2023-11-28T09:35:48Z</v>
      </c>
      <c r="T59" t="str" cm="1">
        <f t="array" aca="1" ref="T59" ca="1">VLOOKUP(INDIRECT("A"&amp;ROW()), 'Recent Changes'!A:G, 6, FALSE)</f>
        <v>NULL</v>
      </c>
      <c r="U59" t="str" cm="1">
        <f t="array" aca="1" ref="U59" ca="1">VLOOKUP(INDIRECT("A"&amp;ROW()), 'Recent Changes'!A:G, 7, FALSE)</f>
        <v>2023-11-30T14:22:18Z</v>
      </c>
      <c r="V59" t="str" cm="1">
        <f t="array" aca="1" ref="V59" ca="1">VLOOKUP(INDIRECT("A"&amp;ROW()), 'Recent Changes'!A:H, 8, FALSE)</f>
        <v>2023-11-28T16:25:46Z</v>
      </c>
    </row>
    <row r="60" spans="1:22" x14ac:dyDescent="0.25">
      <c r="A60">
        <v>17317069</v>
      </c>
      <c r="B60" t="s">
        <v>433</v>
      </c>
      <c r="C60">
        <v>81</v>
      </c>
      <c r="G60" t="e" cm="1">
        <v>#N/A</v>
      </c>
      <c r="H60">
        <v>45219</v>
      </c>
      <c r="I60" t="s">
        <v>15</v>
      </c>
      <c r="J60" t="s">
        <v>382</v>
      </c>
      <c r="K60" t="s">
        <v>44</v>
      </c>
      <c r="L60" t="s">
        <v>1453</v>
      </c>
      <c r="M60" t="s">
        <v>76</v>
      </c>
      <c r="N60" t="s">
        <v>83</v>
      </c>
      <c r="O60" t="s">
        <v>431</v>
      </c>
      <c r="P60" t="str" cm="1">
        <f t="array" aca="1" ref="P60" ca="1">VLOOKUP(INDIRECT("A"&amp;ROW()), 'Recent Changes'!A:G, 2, FALSE)</f>
        <v>NULL</v>
      </c>
      <c r="Q60" t="str" cm="1">
        <f t="array" aca="1" ref="Q60" ca="1">VLOOKUP(INDIRECT("A"&amp;ROW()), 'Recent Changes'!A:G, 3, FALSE)</f>
        <v>NULL</v>
      </c>
      <c r="R60" t="str" cm="1">
        <f t="array" aca="1" ref="R60" ca="1">VLOOKUP(INDIRECT("A"&amp;ROW()), 'Recent Changes'!A:G, 4, FALSE)</f>
        <v>NULL</v>
      </c>
      <c r="S60" t="str" cm="1">
        <f t="array" aca="1" ref="S60" ca="1">VLOOKUP(INDIRECT("A"&amp;ROW()), 'Recent Changes'!A:G, 5, FALSE)</f>
        <v>2023-12-22T16:37:00Z</v>
      </c>
      <c r="T60" t="str" cm="1">
        <f t="array" aca="1" ref="T60" ca="1">VLOOKUP(INDIRECT("A"&amp;ROW()), 'Recent Changes'!A:G, 6, FALSE)</f>
        <v>NULL</v>
      </c>
      <c r="U60" t="str" cm="1">
        <f t="array" aca="1" ref="U60" ca="1">VLOOKUP(INDIRECT("A"&amp;ROW()), 'Recent Changes'!A:G, 7, FALSE)</f>
        <v>NULL</v>
      </c>
      <c r="V60" t="str" cm="1">
        <f t="array" aca="1" ref="V60" ca="1">VLOOKUP(INDIRECT("A"&amp;ROW()), 'Recent Changes'!A:H, 8, FALSE)</f>
        <v>2023-12-23T07:39:12Z</v>
      </c>
    </row>
    <row r="61" spans="1:22" x14ac:dyDescent="0.25">
      <c r="A61">
        <v>17317001</v>
      </c>
      <c r="B61" t="s" cm="1">
        <v>433</v>
      </c>
      <c r="C61">
        <v>81</v>
      </c>
      <c r="G61" t="e" cm="1">
        <v>#N/A</v>
      </c>
      <c r="H61" t="s">
        <v>14</v>
      </c>
      <c r="I61" t="s">
        <v>14</v>
      </c>
      <c r="J61" t="s">
        <v>30</v>
      </c>
      <c r="K61" t="s">
        <v>53</v>
      </c>
      <c r="L61" t="s">
        <v>1464</v>
      </c>
      <c r="M61" t="s">
        <v>76</v>
      </c>
      <c r="N61" t="s">
        <v>83</v>
      </c>
      <c r="P61" t="str" cm="1">
        <f t="array" aca="1" ref="P61" ca="1">VLOOKUP(INDIRECT("A"&amp;ROW()), 'Recent Changes'!A:G, 2, FALSE)</f>
        <v>NULL</v>
      </c>
      <c r="Q61" t="str" cm="1">
        <f t="array" aca="1" ref="Q61" ca="1">VLOOKUP(INDIRECT("A"&amp;ROW()), 'Recent Changes'!A:G, 3, FALSE)</f>
        <v>NULL</v>
      </c>
      <c r="R61" t="str" cm="1">
        <f t="array" aca="1" ref="R61" ca="1">VLOOKUP(INDIRECT("A"&amp;ROW()), 'Recent Changes'!A:G, 4, FALSE)</f>
        <v>NULL</v>
      </c>
      <c r="S61" t="str" cm="1">
        <f t="array" aca="1" ref="S61" ca="1">VLOOKUP(INDIRECT("A"&amp;ROW()), 'Recent Changes'!A:G, 5, FALSE)</f>
        <v>NULL</v>
      </c>
      <c r="T61" t="str" cm="1">
        <f t="array" aca="1" ref="T61" ca="1">VLOOKUP(INDIRECT("A"&amp;ROW()), 'Recent Changes'!A:G, 6, FALSE)</f>
        <v>NULL</v>
      </c>
      <c r="U61" t="str" cm="1">
        <f t="array" aca="1" ref="U61" ca="1">VLOOKUP(INDIRECT("A"&amp;ROW()), 'Recent Changes'!A:G, 7, FALSE)</f>
        <v>2023-11-13T23:19:41Z</v>
      </c>
      <c r="V61" t="str" cm="1">
        <f t="array" aca="1" ref="V61" ca="1">VLOOKUP(INDIRECT("A"&amp;ROW()), 'Recent Changes'!A:H, 8, FALSE)</f>
        <v>2023-11-14T07:31:53Z</v>
      </c>
    </row>
    <row r="62" spans="1:22" x14ac:dyDescent="0.25">
      <c r="A62">
        <v>16014728</v>
      </c>
      <c r="B62" t="s">
        <v>433</v>
      </c>
      <c r="C62">
        <v>80</v>
      </c>
      <c r="G62" t="s" cm="1">
        <v>442</v>
      </c>
      <c r="H62" t="s">
        <v>14</v>
      </c>
      <c r="I62" t="s">
        <v>14</v>
      </c>
      <c r="J62" t="s">
        <v>84</v>
      </c>
      <c r="K62" t="s">
        <v>44</v>
      </c>
      <c r="L62" t="s">
        <v>1998</v>
      </c>
      <c r="M62" t="s">
        <v>82</v>
      </c>
      <c r="N62" t="s">
        <v>1974</v>
      </c>
      <c r="P62" t="e" cm="1">
        <f t="array" aca="1" ref="P62" ca="1">VLOOKUP(INDIRECT("A"&amp;ROW()), 'Recent Changes'!A:G, 2, FALSE)</f>
        <v>#N/A</v>
      </c>
      <c r="Q62" t="e" cm="1">
        <f t="array" aca="1" ref="Q62" ca="1">VLOOKUP(INDIRECT("A"&amp;ROW()), 'Recent Changes'!A:G, 3, FALSE)</f>
        <v>#N/A</v>
      </c>
      <c r="R62" t="e" cm="1">
        <f t="array" aca="1" ref="R62" ca="1">VLOOKUP(INDIRECT("A"&amp;ROW()), 'Recent Changes'!A:G, 4, FALSE)</f>
        <v>#N/A</v>
      </c>
      <c r="S62" t="e" cm="1">
        <f t="array" aca="1" ref="S62" ca="1">VLOOKUP(INDIRECT("A"&amp;ROW()), 'Recent Changes'!A:G, 5, FALSE)</f>
        <v>#N/A</v>
      </c>
      <c r="T62" t="e" cm="1">
        <f t="array" aca="1" ref="T62" ca="1">VLOOKUP(INDIRECT("A"&amp;ROW()), 'Recent Changes'!A:G, 6, FALSE)</f>
        <v>#N/A</v>
      </c>
      <c r="U62" t="e" cm="1">
        <f t="array" aca="1" ref="U62" ca="1">VLOOKUP(INDIRECT("A"&amp;ROW()), 'Recent Changes'!A:G, 7, FALSE)</f>
        <v>#N/A</v>
      </c>
      <c r="V62" t="e" cm="1">
        <f t="array" aca="1" ref="V62" ca="1">VLOOKUP(INDIRECT("A"&amp;ROW()), 'Recent Changes'!A:H, 8, FALSE)</f>
        <v>#N/A</v>
      </c>
    </row>
    <row r="63" spans="1:22" x14ac:dyDescent="0.25">
      <c r="A63">
        <v>17328450</v>
      </c>
      <c r="B63" t="s">
        <v>433</v>
      </c>
      <c r="C63">
        <v>79</v>
      </c>
      <c r="G63" t="e" cm="1">
        <v>#N/A</v>
      </c>
      <c r="H63">
        <v>45222</v>
      </c>
      <c r="I63" t="s">
        <v>15</v>
      </c>
      <c r="J63" t="s">
        <v>25</v>
      </c>
      <c r="K63" t="s">
        <v>44</v>
      </c>
      <c r="L63" t="s">
        <v>56</v>
      </c>
      <c r="M63" t="s">
        <v>81</v>
      </c>
      <c r="N63" t="s">
        <v>83</v>
      </c>
      <c r="O63" t="s">
        <v>431</v>
      </c>
      <c r="P63" t="str" cm="1">
        <f t="array" aca="1" ref="P63" ca="1">VLOOKUP(INDIRECT("A"&amp;ROW()), 'Recent Changes'!A:G, 2, FALSE)</f>
        <v>NULL</v>
      </c>
      <c r="Q63" t="str" cm="1">
        <f t="array" aca="1" ref="Q63" ca="1">VLOOKUP(INDIRECT("A"&amp;ROW()), 'Recent Changes'!A:G, 3, FALSE)</f>
        <v>NULL</v>
      </c>
      <c r="R63" t="str" cm="1">
        <f t="array" aca="1" ref="R63" ca="1">VLOOKUP(INDIRECT("A"&amp;ROW()), 'Recent Changes'!A:G, 4, FALSE)</f>
        <v>NULL</v>
      </c>
      <c r="S63" t="str" cm="1">
        <f t="array" aca="1" ref="S63" ca="1">VLOOKUP(INDIRECT("A"&amp;ROW()), 'Recent Changes'!A:G, 5, FALSE)</f>
        <v>NULL</v>
      </c>
      <c r="T63" t="str" cm="1">
        <f t="array" aca="1" ref="T63" ca="1">VLOOKUP(INDIRECT("A"&amp;ROW()), 'Recent Changes'!A:G, 6, FALSE)</f>
        <v>NULL</v>
      </c>
      <c r="U63" t="str" cm="1">
        <f t="array" aca="1" ref="U63" ca="1">VLOOKUP(INDIRECT("A"&amp;ROW()), 'Recent Changes'!A:G, 7, FALSE)</f>
        <v>NULL</v>
      </c>
      <c r="V63" t="str" cm="1">
        <f t="array" aca="1" ref="V63" ca="1">VLOOKUP(INDIRECT("A"&amp;ROW()), 'Recent Changes'!A:H, 8, FALSE)</f>
        <v>2023-12-07T21:33:22Z</v>
      </c>
    </row>
    <row r="64" spans="1:22" x14ac:dyDescent="0.25">
      <c r="A64">
        <v>17338475</v>
      </c>
      <c r="B64" t="s" cm="1">
        <v>430</v>
      </c>
      <c r="C64">
        <v>76</v>
      </c>
      <c r="G64" t="e" cm="1">
        <v>#N/A</v>
      </c>
      <c r="H64" t="s">
        <v>14</v>
      </c>
      <c r="I64" t="s">
        <v>14</v>
      </c>
      <c r="J64" t="s">
        <v>30</v>
      </c>
      <c r="K64" t="s">
        <v>44</v>
      </c>
      <c r="L64" t="s">
        <v>63</v>
      </c>
      <c r="M64" t="s">
        <v>76</v>
      </c>
      <c r="N64" t="s">
        <v>83</v>
      </c>
      <c r="P64" t="str" cm="1">
        <f t="array" aca="1" ref="P64" ca="1">VLOOKUP(INDIRECT("A"&amp;ROW()), 'Recent Changes'!A:G, 2, FALSE)</f>
        <v>NULL</v>
      </c>
      <c r="Q64" t="str" cm="1">
        <f t="array" aca="1" ref="Q64" ca="1">VLOOKUP(INDIRECT("A"&amp;ROW()), 'Recent Changes'!A:G, 3, FALSE)</f>
        <v>NULL</v>
      </c>
      <c r="R64" t="str" cm="1">
        <f t="array" aca="1" ref="R64" ca="1">VLOOKUP(INDIRECT("A"&amp;ROW()), 'Recent Changes'!A:G, 4, FALSE)</f>
        <v>NULL</v>
      </c>
      <c r="S64" t="str" cm="1">
        <f t="array" aca="1" ref="S64" ca="1">VLOOKUP(INDIRECT("A"&amp;ROW()), 'Recent Changes'!A:G, 5, FALSE)</f>
        <v>NULL</v>
      </c>
      <c r="T64" t="str" cm="1">
        <f t="array" aca="1" ref="T64" ca="1">VLOOKUP(INDIRECT("A"&amp;ROW()), 'Recent Changes'!A:G, 6, FALSE)</f>
        <v>NULL</v>
      </c>
      <c r="U64" t="str" cm="1">
        <f t="array" aca="1" ref="U64" ca="1">VLOOKUP(INDIRECT("A"&amp;ROW()), 'Recent Changes'!A:G, 7, FALSE)</f>
        <v>2023-11-13T19:07:49Z</v>
      </c>
      <c r="V64" t="str" cm="1">
        <f t="array" aca="1" ref="V64" ca="1">VLOOKUP(INDIRECT("A"&amp;ROW()), 'Recent Changes'!A:H, 8, FALSE)</f>
        <v>2023-11-13T21:24:56Z</v>
      </c>
    </row>
    <row r="65" spans="1:22" x14ac:dyDescent="0.25">
      <c r="A65">
        <v>17334983</v>
      </c>
      <c r="B65" t="s" cm="1">
        <v>430</v>
      </c>
      <c r="C65">
        <v>76</v>
      </c>
      <c r="G65" t="e" cm="1">
        <v>#N/A</v>
      </c>
      <c r="H65" t="s">
        <v>14</v>
      </c>
      <c r="I65" t="s">
        <v>14</v>
      </c>
      <c r="J65" t="s">
        <v>30</v>
      </c>
      <c r="K65" t="s">
        <v>49</v>
      </c>
      <c r="L65" t="s">
        <v>63</v>
      </c>
      <c r="M65" t="s">
        <v>76</v>
      </c>
      <c r="N65" t="s">
        <v>83</v>
      </c>
      <c r="P65" t="str" cm="1">
        <f t="array" aca="1" ref="P65" ca="1">VLOOKUP(INDIRECT("A"&amp;ROW()), 'Recent Changes'!A:G, 2, FALSE)</f>
        <v>NULL</v>
      </c>
      <c r="Q65" t="str" cm="1">
        <f t="array" aca="1" ref="Q65" ca="1">VLOOKUP(INDIRECT("A"&amp;ROW()), 'Recent Changes'!A:G, 3, FALSE)</f>
        <v>NULL</v>
      </c>
      <c r="R65" t="str" cm="1">
        <f t="array" aca="1" ref="R65" ca="1">VLOOKUP(INDIRECT("A"&amp;ROW()), 'Recent Changes'!A:G, 4, FALSE)</f>
        <v>NULL</v>
      </c>
      <c r="S65" t="str" cm="1">
        <f t="array" aca="1" ref="S65" ca="1">VLOOKUP(INDIRECT("A"&amp;ROW()), 'Recent Changes'!A:G, 5, FALSE)</f>
        <v>NULL</v>
      </c>
      <c r="T65" t="str" cm="1">
        <f t="array" aca="1" ref="T65" ca="1">VLOOKUP(INDIRECT("A"&amp;ROW()), 'Recent Changes'!A:G, 6, FALSE)</f>
        <v>NULL</v>
      </c>
      <c r="U65" t="str" cm="1">
        <f t="array" aca="1" ref="U65" ca="1">VLOOKUP(INDIRECT("A"&amp;ROW()), 'Recent Changes'!A:G, 7, FALSE)</f>
        <v>2023-11-20T17:38:22Z</v>
      </c>
      <c r="V65" t="str" cm="1">
        <f t="array" aca="1" ref="V65" ca="1">VLOOKUP(INDIRECT("A"&amp;ROW()), 'Recent Changes'!A:H, 8, FALSE)</f>
        <v>2023-11-21T08:08:29Z</v>
      </c>
    </row>
    <row r="66" spans="1:22" x14ac:dyDescent="0.25">
      <c r="A66">
        <v>17347694</v>
      </c>
      <c r="B66" t="s" cm="1">
        <v>430</v>
      </c>
      <c r="C66">
        <v>75</v>
      </c>
      <c r="G66" t="e" cm="1">
        <v>#N/A</v>
      </c>
      <c r="H66" t="s">
        <v>14</v>
      </c>
      <c r="I66" t="s">
        <v>14</v>
      </c>
      <c r="J66" t="s">
        <v>30</v>
      </c>
      <c r="K66" t="s">
        <v>52</v>
      </c>
      <c r="L66" t="s">
        <v>63</v>
      </c>
      <c r="M66" t="s">
        <v>76</v>
      </c>
      <c r="N66" t="s">
        <v>83</v>
      </c>
      <c r="P66" t="str" cm="1">
        <f t="array" aca="1" ref="P66" ca="1">VLOOKUP(INDIRECT("A"&amp;ROW()), 'Recent Changes'!A:G, 2, FALSE)</f>
        <v>NULL</v>
      </c>
      <c r="Q66" t="str" cm="1">
        <f t="array" aca="1" ref="Q66" ca="1">VLOOKUP(INDIRECT("A"&amp;ROW()), 'Recent Changes'!A:G, 3, FALSE)</f>
        <v>NULL</v>
      </c>
      <c r="R66" t="str" cm="1">
        <f t="array" aca="1" ref="R66" ca="1">VLOOKUP(INDIRECT("A"&amp;ROW()), 'Recent Changes'!A:G, 4, FALSE)</f>
        <v>NULL</v>
      </c>
      <c r="S66" t="str" cm="1">
        <f t="array" aca="1" ref="S66" ca="1">VLOOKUP(INDIRECT("A"&amp;ROW()), 'Recent Changes'!A:G, 5, FALSE)</f>
        <v>NULL</v>
      </c>
      <c r="T66" t="str" cm="1">
        <f t="array" aca="1" ref="T66" ca="1">VLOOKUP(INDIRECT("A"&amp;ROW()), 'Recent Changes'!A:G, 6, FALSE)</f>
        <v>NULL</v>
      </c>
      <c r="U66" t="str" cm="1">
        <f t="array" aca="1" ref="U66" ca="1">VLOOKUP(INDIRECT("A"&amp;ROW()), 'Recent Changes'!A:G, 7, FALSE)</f>
        <v>2023-11-22T16:48:41Z</v>
      </c>
      <c r="V66" t="str" cm="1">
        <f t="array" aca="1" ref="V66" ca="1">VLOOKUP(INDIRECT("A"&amp;ROW()), 'Recent Changes'!A:H, 8, FALSE)</f>
        <v>2023-11-22T21:10:22Z</v>
      </c>
    </row>
    <row r="67" spans="1:22" x14ac:dyDescent="0.25">
      <c r="A67">
        <v>17346768</v>
      </c>
      <c r="B67" t="s" cm="1">
        <v>433</v>
      </c>
      <c r="C67">
        <v>75</v>
      </c>
      <c r="G67" t="e" cm="1">
        <v>#N/A</v>
      </c>
      <c r="H67" t="s">
        <v>14</v>
      </c>
      <c r="I67" t="s">
        <v>14</v>
      </c>
      <c r="J67" t="s">
        <v>30</v>
      </c>
      <c r="K67" t="s">
        <v>44</v>
      </c>
      <c r="L67" t="s">
        <v>1340</v>
      </c>
      <c r="M67" t="s">
        <v>76</v>
      </c>
      <c r="N67" t="s">
        <v>83</v>
      </c>
      <c r="P67" t="str" cm="1">
        <f t="array" aca="1" ref="P67" ca="1">VLOOKUP(INDIRECT("A"&amp;ROW()), 'Recent Changes'!A:G, 2, FALSE)</f>
        <v>NULL</v>
      </c>
      <c r="Q67" t="str" cm="1">
        <f t="array" aca="1" ref="Q67" ca="1">VLOOKUP(INDIRECT("A"&amp;ROW()), 'Recent Changes'!A:G, 3, FALSE)</f>
        <v>NULL</v>
      </c>
      <c r="R67" t="str" cm="1">
        <f t="array" aca="1" ref="R67" ca="1">VLOOKUP(INDIRECT("A"&amp;ROW()), 'Recent Changes'!A:G, 4, FALSE)</f>
        <v>NULL</v>
      </c>
      <c r="S67" t="str" cm="1">
        <f t="array" aca="1" ref="S67" ca="1">VLOOKUP(INDIRECT("A"&amp;ROW()), 'Recent Changes'!A:G, 5, FALSE)</f>
        <v>NULL</v>
      </c>
      <c r="T67" t="str" cm="1">
        <f t="array" aca="1" ref="T67" ca="1">VLOOKUP(INDIRECT("A"&amp;ROW()), 'Recent Changes'!A:G, 6, FALSE)</f>
        <v>NULL</v>
      </c>
      <c r="U67" t="str" cm="1">
        <f t="array" aca="1" ref="U67" ca="1">VLOOKUP(INDIRECT("A"&amp;ROW()), 'Recent Changes'!A:G, 7, FALSE)</f>
        <v>2023-11-21T21:08:18Z</v>
      </c>
      <c r="V67" t="str" cm="1">
        <f t="array" aca="1" ref="V67" ca="1">VLOOKUP(INDIRECT("A"&amp;ROW()), 'Recent Changes'!A:H, 8, FALSE)</f>
        <v>2023-11-22T07:10:06Z</v>
      </c>
    </row>
    <row r="68" spans="1:22" x14ac:dyDescent="0.25">
      <c r="A68">
        <v>17345330</v>
      </c>
      <c r="B68" t="s" cm="1">
        <v>430</v>
      </c>
      <c r="C68">
        <v>75</v>
      </c>
      <c r="G68" t="e" cm="1">
        <v>#N/A</v>
      </c>
      <c r="H68" t="s">
        <v>14</v>
      </c>
      <c r="I68" t="s">
        <v>14</v>
      </c>
      <c r="J68" t="s">
        <v>18</v>
      </c>
      <c r="K68" t="s">
        <v>44</v>
      </c>
      <c r="L68" t="s">
        <v>392</v>
      </c>
      <c r="M68" t="s">
        <v>76</v>
      </c>
      <c r="N68" t="s">
        <v>83</v>
      </c>
      <c r="P68" t="str" cm="1">
        <f t="array" aca="1" ref="P68" ca="1">VLOOKUP(INDIRECT("A"&amp;ROW()), 'Recent Changes'!A:G, 2, FALSE)</f>
        <v>NULL</v>
      </c>
      <c r="Q68" t="str" cm="1">
        <f t="array" aca="1" ref="Q68" ca="1">VLOOKUP(INDIRECT("A"&amp;ROW()), 'Recent Changes'!A:G, 3, FALSE)</f>
        <v>NULL</v>
      </c>
      <c r="R68" t="str" cm="1">
        <f t="array" aca="1" ref="R68" ca="1">VLOOKUP(INDIRECT("A"&amp;ROW()), 'Recent Changes'!A:G, 4, FALSE)</f>
        <v>NULL</v>
      </c>
      <c r="S68" t="str" cm="1">
        <f t="array" aca="1" ref="S68" ca="1">VLOOKUP(INDIRECT("A"&amp;ROW()), 'Recent Changes'!A:G, 5, FALSE)</f>
        <v>2023-12-26T16:23:29Z</v>
      </c>
      <c r="T68" t="str" cm="1">
        <f t="array" aca="1" ref="T68" ca="1">VLOOKUP(INDIRECT("A"&amp;ROW()), 'Recent Changes'!A:G, 6, FALSE)</f>
        <v>NULL</v>
      </c>
      <c r="U68" t="str" cm="1">
        <f t="array" aca="1" ref="U68" ca="1">VLOOKUP(INDIRECT("A"&amp;ROW()), 'Recent Changes'!A:G, 7, FALSE)</f>
        <v>2023-11-30T23:04:49Z</v>
      </c>
      <c r="V68" t="str" cm="1">
        <f t="array" aca="1" ref="V68" ca="1">VLOOKUP(INDIRECT("A"&amp;ROW()), 'Recent Changes'!A:H, 8, FALSE)</f>
        <v>2023-12-26T21:02:17Z</v>
      </c>
    </row>
    <row r="69" spans="1:22" x14ac:dyDescent="0.25">
      <c r="A69">
        <v>17354077</v>
      </c>
      <c r="B69" t="s" cm="1">
        <v>433</v>
      </c>
      <c r="C69">
        <v>74</v>
      </c>
      <c r="G69" t="e" cm="1">
        <v>#N/A</v>
      </c>
      <c r="H69" t="s">
        <v>14</v>
      </c>
      <c r="I69" t="s">
        <v>14</v>
      </c>
      <c r="J69" t="s">
        <v>26</v>
      </c>
      <c r="K69" t="s">
        <v>53</v>
      </c>
      <c r="L69" t="s">
        <v>736</v>
      </c>
      <c r="M69" t="s">
        <v>76</v>
      </c>
      <c r="N69" t="s">
        <v>83</v>
      </c>
      <c r="P69" t="str" cm="1">
        <f t="array" aca="1" ref="P69" ca="1">VLOOKUP(INDIRECT("A"&amp;ROW()), 'Recent Changes'!A:G, 2, FALSE)</f>
        <v>NULL</v>
      </c>
      <c r="Q69" t="str" cm="1">
        <f t="array" aca="1" ref="Q69" ca="1">VLOOKUP(INDIRECT("A"&amp;ROW()), 'Recent Changes'!A:G, 3, FALSE)</f>
        <v>NULL</v>
      </c>
      <c r="R69" t="str" cm="1">
        <f t="array" aca="1" ref="R69" ca="1">VLOOKUP(INDIRECT("A"&amp;ROW()), 'Recent Changes'!A:G, 4, FALSE)</f>
        <v>NULL</v>
      </c>
      <c r="S69" t="str" cm="1">
        <f t="array" aca="1" ref="S69" ca="1">VLOOKUP(INDIRECT("A"&amp;ROW()), 'Recent Changes'!A:G, 5, FALSE)</f>
        <v>2023-11-14T15:39:01Z</v>
      </c>
      <c r="T69" t="str" cm="1">
        <f t="array" aca="1" ref="T69" ca="1">VLOOKUP(INDIRECT("A"&amp;ROW()), 'Recent Changes'!A:G, 6, FALSE)</f>
        <v>NULL</v>
      </c>
      <c r="U69" t="str" cm="1">
        <f t="array" aca="1" ref="U69" ca="1">VLOOKUP(INDIRECT("A"&amp;ROW()), 'Recent Changes'!A:G, 7, FALSE)</f>
        <v>NULL</v>
      </c>
      <c r="V69" t="str" cm="1">
        <f t="array" aca="1" ref="V69" ca="1">VLOOKUP(INDIRECT("A"&amp;ROW()), 'Recent Changes'!A:H, 8, FALSE)</f>
        <v>2023-11-14T16:39:08Z</v>
      </c>
    </row>
    <row r="70" spans="1:22" x14ac:dyDescent="0.25">
      <c r="A70">
        <v>17350803</v>
      </c>
      <c r="B70" t="s" cm="1">
        <v>430</v>
      </c>
      <c r="C70">
        <v>74</v>
      </c>
      <c r="G70" t="e" cm="1">
        <v>#N/A</v>
      </c>
      <c r="H70" t="s">
        <v>14</v>
      </c>
      <c r="I70" t="s">
        <v>14</v>
      </c>
      <c r="J70" t="s">
        <v>26</v>
      </c>
      <c r="K70" t="s">
        <v>432</v>
      </c>
      <c r="L70" t="s">
        <v>741</v>
      </c>
      <c r="M70" t="s">
        <v>76</v>
      </c>
      <c r="N70" t="s">
        <v>83</v>
      </c>
      <c r="P70" t="str" cm="1">
        <f t="array" aca="1" ref="P70" ca="1">VLOOKUP(INDIRECT("A"&amp;ROW()), 'Recent Changes'!A:G, 2, FALSE)</f>
        <v>NULL</v>
      </c>
      <c r="Q70" t="str" cm="1">
        <f t="array" aca="1" ref="Q70" ca="1">VLOOKUP(INDIRECT("A"&amp;ROW()), 'Recent Changes'!A:G, 3, FALSE)</f>
        <v>NULL</v>
      </c>
      <c r="R70" t="str" cm="1">
        <f t="array" aca="1" ref="R70" ca="1">VLOOKUP(INDIRECT("A"&amp;ROW()), 'Recent Changes'!A:G, 4, FALSE)</f>
        <v>NULL</v>
      </c>
      <c r="S70" t="str" cm="1">
        <f t="array" aca="1" ref="S70" ca="1">VLOOKUP(INDIRECT("A"&amp;ROW()), 'Recent Changes'!A:G, 5, FALSE)</f>
        <v>2023-12-15T18:22:39Z</v>
      </c>
      <c r="T70" t="str" cm="1">
        <f t="array" aca="1" ref="T70" ca="1">VLOOKUP(INDIRECT("A"&amp;ROW()), 'Recent Changes'!A:G, 6, FALSE)</f>
        <v>NULL</v>
      </c>
      <c r="U70" t="str" cm="1">
        <f t="array" aca="1" ref="U70" ca="1">VLOOKUP(INDIRECT("A"&amp;ROW()), 'Recent Changes'!A:G, 7, FALSE)</f>
        <v>2023-11-14T01:26:04Z</v>
      </c>
      <c r="V70" t="str" cm="1">
        <f t="array" aca="1" ref="V70" ca="1">VLOOKUP(INDIRECT("A"&amp;ROW()), 'Recent Changes'!A:H, 8, FALSE)</f>
        <v>2023-12-15T21:30:03Z</v>
      </c>
    </row>
    <row r="71" spans="1:22" x14ac:dyDescent="0.25">
      <c r="A71">
        <v>15525773</v>
      </c>
      <c r="B71" t="s">
        <v>433</v>
      </c>
      <c r="C71">
        <v>73</v>
      </c>
      <c r="G71" t="s" cm="1">
        <v>442</v>
      </c>
      <c r="H71">
        <v>45226</v>
      </c>
      <c r="I71" t="s">
        <v>15</v>
      </c>
      <c r="J71" t="s">
        <v>41</v>
      </c>
      <c r="K71" t="s">
        <v>44</v>
      </c>
      <c r="L71" t="s">
        <v>59</v>
      </c>
      <c r="M71" t="s">
        <v>76</v>
      </c>
      <c r="N71" t="s">
        <v>83</v>
      </c>
      <c r="O71" t="s">
        <v>431</v>
      </c>
      <c r="P71" t="str" cm="1">
        <f t="array" aca="1" ref="P71" ca="1">VLOOKUP(INDIRECT("A"&amp;ROW()), 'Recent Changes'!A:G, 2, FALSE)</f>
        <v>NULL</v>
      </c>
      <c r="Q71" t="str" cm="1">
        <f t="array" aca="1" ref="Q71" ca="1">VLOOKUP(INDIRECT("A"&amp;ROW()), 'Recent Changes'!A:G, 3, FALSE)</f>
        <v>NULL</v>
      </c>
      <c r="R71" t="str" cm="1">
        <f t="array" aca="1" ref="R71" ca="1">VLOOKUP(INDIRECT("A"&amp;ROW()), 'Recent Changes'!A:G, 4, FALSE)</f>
        <v>NULL</v>
      </c>
      <c r="S71" t="str" cm="1">
        <f t="array" aca="1" ref="S71" ca="1">VLOOKUP(INDIRECT("A"&amp;ROW()), 'Recent Changes'!A:G, 5, FALSE)</f>
        <v>NULL</v>
      </c>
      <c r="T71" t="str" cm="1">
        <f t="array" aca="1" ref="T71" ca="1">VLOOKUP(INDIRECT("A"&amp;ROW()), 'Recent Changes'!A:G, 6, FALSE)</f>
        <v>NULL</v>
      </c>
      <c r="U71" t="str" cm="1">
        <f t="array" aca="1" ref="U71" ca="1">VLOOKUP(INDIRECT("A"&amp;ROW()), 'Recent Changes'!A:G, 7, FALSE)</f>
        <v>NULL</v>
      </c>
      <c r="V71" t="str" cm="1">
        <f t="array" aca="1" ref="V71" ca="1">VLOOKUP(INDIRECT("A"&amp;ROW()), 'Recent Changes'!A:H, 8, FALSE)</f>
        <v>2023-11-15T07:28:36Z</v>
      </c>
    </row>
    <row r="72" spans="1:22" x14ac:dyDescent="0.25">
      <c r="A72">
        <v>17365326</v>
      </c>
      <c r="B72" t="s" cm="1">
        <v>430</v>
      </c>
      <c r="C72">
        <v>70</v>
      </c>
      <c r="G72" t="e" cm="1">
        <v>#N/A</v>
      </c>
      <c r="H72" t="s">
        <v>14</v>
      </c>
      <c r="I72" t="s">
        <v>14</v>
      </c>
      <c r="J72" t="s">
        <v>26</v>
      </c>
      <c r="K72" t="s">
        <v>44</v>
      </c>
      <c r="L72" t="s">
        <v>1999</v>
      </c>
      <c r="M72" t="s">
        <v>78</v>
      </c>
      <c r="N72" t="s">
        <v>83</v>
      </c>
      <c r="P72" t="str" cm="1">
        <f t="array" aca="1" ref="P72" ca="1">VLOOKUP(INDIRECT("A"&amp;ROW()), 'Recent Changes'!A:G, 2, FALSE)</f>
        <v>NULL</v>
      </c>
      <c r="Q72" t="str" cm="1">
        <f t="array" aca="1" ref="Q72" ca="1">VLOOKUP(INDIRECT("A"&amp;ROW()), 'Recent Changes'!A:G, 3, FALSE)</f>
        <v>NULL</v>
      </c>
      <c r="R72" t="str" cm="1">
        <f t="array" aca="1" ref="R72" ca="1">VLOOKUP(INDIRECT("A"&amp;ROW()), 'Recent Changes'!A:G, 4, FALSE)</f>
        <v>NULL</v>
      </c>
      <c r="S72" t="str" cm="1">
        <f t="array" aca="1" ref="S72" ca="1">VLOOKUP(INDIRECT("A"&amp;ROW()), 'Recent Changes'!A:G, 5, FALSE)</f>
        <v>2023-12-20T16:40:27Z</v>
      </c>
      <c r="T72" t="str" cm="1">
        <f t="array" aca="1" ref="T72" ca="1">VLOOKUP(INDIRECT("A"&amp;ROW()), 'Recent Changes'!A:G, 6, FALSE)</f>
        <v>NULL</v>
      </c>
      <c r="U72" t="str" cm="1">
        <f t="array" aca="1" ref="U72" ca="1">VLOOKUP(INDIRECT("A"&amp;ROW()), 'Recent Changes'!A:G, 7, FALSE)</f>
        <v>NULL</v>
      </c>
      <c r="V72" t="str" cm="1">
        <f t="array" aca="1" ref="V72" ca="1">VLOOKUP(INDIRECT("A"&amp;ROW()), 'Recent Changes'!A:H, 8, FALSE)</f>
        <v>2023-12-20T21:10:55Z</v>
      </c>
    </row>
    <row r="73" spans="1:22" x14ac:dyDescent="0.25">
      <c r="A73">
        <v>17362701</v>
      </c>
      <c r="B73" t="s" cm="1">
        <v>433</v>
      </c>
      <c r="C73">
        <v>70</v>
      </c>
      <c r="G73" t="e" cm="1">
        <v>#N/A</v>
      </c>
      <c r="H73" t="s">
        <v>14</v>
      </c>
      <c r="I73" t="s">
        <v>14</v>
      </c>
      <c r="J73" t="s">
        <v>26</v>
      </c>
      <c r="K73" t="s">
        <v>48</v>
      </c>
      <c r="L73" t="s">
        <v>1702</v>
      </c>
      <c r="M73" t="s">
        <v>78</v>
      </c>
      <c r="N73" t="s">
        <v>83</v>
      </c>
      <c r="P73" t="str" cm="1">
        <f t="array" aca="1" ref="P73" ca="1">VLOOKUP(INDIRECT("A"&amp;ROW()), 'Recent Changes'!A:G, 2, FALSE)</f>
        <v>NULL</v>
      </c>
      <c r="Q73" t="str" cm="1">
        <f t="array" aca="1" ref="Q73" ca="1">VLOOKUP(INDIRECT("A"&amp;ROW()), 'Recent Changes'!A:G, 3, FALSE)</f>
        <v>NULL</v>
      </c>
      <c r="R73" t="str" cm="1">
        <f t="array" aca="1" ref="R73" ca="1">VLOOKUP(INDIRECT("A"&amp;ROW()), 'Recent Changes'!A:G, 4, FALSE)</f>
        <v>NULL</v>
      </c>
      <c r="S73" t="str" cm="1">
        <f t="array" aca="1" ref="S73" ca="1">VLOOKUP(INDIRECT("A"&amp;ROW()), 'Recent Changes'!A:G, 5, FALSE)</f>
        <v>2023-12-14T22:32:21Z</v>
      </c>
      <c r="T73" t="str" cm="1">
        <f t="array" aca="1" ref="T73" ca="1">VLOOKUP(INDIRECT("A"&amp;ROW()), 'Recent Changes'!A:G, 6, FALSE)</f>
        <v>NULL</v>
      </c>
      <c r="U73" t="str" cm="1">
        <f t="array" aca="1" ref="U73" ca="1">VLOOKUP(INDIRECT("A"&amp;ROW()), 'Recent Changes'!A:G, 7, FALSE)</f>
        <v>NULL</v>
      </c>
      <c r="V73" t="str" cm="1">
        <f t="array" aca="1" ref="V73" ca="1">VLOOKUP(INDIRECT("A"&amp;ROW()), 'Recent Changes'!A:H, 8, FALSE)</f>
        <v>2023-12-15T07:13:51Z</v>
      </c>
    </row>
    <row r="74" spans="1:22" x14ac:dyDescent="0.25">
      <c r="A74">
        <v>17368410</v>
      </c>
      <c r="B74" t="s">
        <v>433</v>
      </c>
      <c r="C74">
        <v>69</v>
      </c>
      <c r="G74" t="s" cm="1">
        <v>442</v>
      </c>
      <c r="H74" t="s">
        <v>14</v>
      </c>
      <c r="I74" t="s">
        <v>14</v>
      </c>
      <c r="J74" t="s">
        <v>84</v>
      </c>
      <c r="K74" t="s">
        <v>44</v>
      </c>
      <c r="L74" t="s">
        <v>401</v>
      </c>
      <c r="M74" t="s">
        <v>76</v>
      </c>
      <c r="N74" t="s">
        <v>1974</v>
      </c>
      <c r="P74" t="e" cm="1">
        <f t="array" aca="1" ref="P74" ca="1">VLOOKUP(INDIRECT("A"&amp;ROW()), 'Recent Changes'!A:G, 2, FALSE)</f>
        <v>#N/A</v>
      </c>
      <c r="Q74" t="e" cm="1">
        <f t="array" aca="1" ref="Q74" ca="1">VLOOKUP(INDIRECT("A"&amp;ROW()), 'Recent Changes'!A:G, 3, FALSE)</f>
        <v>#N/A</v>
      </c>
      <c r="R74" t="e" cm="1">
        <f t="array" aca="1" ref="R74" ca="1">VLOOKUP(INDIRECT("A"&amp;ROW()), 'Recent Changes'!A:G, 4, FALSE)</f>
        <v>#N/A</v>
      </c>
      <c r="S74" t="e" cm="1">
        <f t="array" aca="1" ref="S74" ca="1">VLOOKUP(INDIRECT("A"&amp;ROW()), 'Recent Changes'!A:G, 5, FALSE)</f>
        <v>#N/A</v>
      </c>
      <c r="T74" t="e" cm="1">
        <f t="array" aca="1" ref="T74" ca="1">VLOOKUP(INDIRECT("A"&amp;ROW()), 'Recent Changes'!A:G, 6, FALSE)</f>
        <v>#N/A</v>
      </c>
      <c r="U74" t="e" cm="1">
        <f t="array" aca="1" ref="U74" ca="1">VLOOKUP(INDIRECT("A"&amp;ROW()), 'Recent Changes'!A:G, 7, FALSE)</f>
        <v>#N/A</v>
      </c>
      <c r="V74" t="e" cm="1">
        <f t="array" aca="1" ref="V74" ca="1">VLOOKUP(INDIRECT("A"&amp;ROW()), 'Recent Changes'!A:H, 8, FALSE)</f>
        <v>#N/A</v>
      </c>
    </row>
    <row r="75" spans="1:22" x14ac:dyDescent="0.25">
      <c r="A75">
        <v>17381267</v>
      </c>
      <c r="B75" t="s" cm="1">
        <v>433</v>
      </c>
      <c r="C75">
        <v>68</v>
      </c>
      <c r="G75" t="e" cm="1">
        <v>#N/A</v>
      </c>
      <c r="H75" t="s">
        <v>14</v>
      </c>
      <c r="I75" t="s">
        <v>14</v>
      </c>
      <c r="J75" t="s">
        <v>30</v>
      </c>
      <c r="K75" t="s">
        <v>46</v>
      </c>
      <c r="L75" t="s">
        <v>88</v>
      </c>
      <c r="M75" t="s">
        <v>76</v>
      </c>
      <c r="N75" t="s">
        <v>83</v>
      </c>
      <c r="P75" t="str" cm="1">
        <f t="array" aca="1" ref="P75" ca="1">VLOOKUP(INDIRECT("A"&amp;ROW()), 'Recent Changes'!A:G, 2, FALSE)</f>
        <v>NULL</v>
      </c>
      <c r="Q75" t="str" cm="1">
        <f t="array" aca="1" ref="Q75" ca="1">VLOOKUP(INDIRECT("A"&amp;ROW()), 'Recent Changes'!A:G, 3, FALSE)</f>
        <v>NULL</v>
      </c>
      <c r="R75" t="str" cm="1">
        <f t="array" aca="1" ref="R75" ca="1">VLOOKUP(INDIRECT("A"&amp;ROW()), 'Recent Changes'!A:G, 4, FALSE)</f>
        <v>NULL</v>
      </c>
      <c r="S75" t="str" cm="1">
        <f t="array" aca="1" ref="S75" ca="1">VLOOKUP(INDIRECT("A"&amp;ROW()), 'Recent Changes'!A:G, 5, FALSE)</f>
        <v>NULL</v>
      </c>
      <c r="T75" t="str" cm="1">
        <f t="array" aca="1" ref="T75" ca="1">VLOOKUP(INDIRECT("A"&amp;ROW()), 'Recent Changes'!A:G, 6, FALSE)</f>
        <v>NULL</v>
      </c>
      <c r="U75" t="str" cm="1">
        <f t="array" aca="1" ref="U75" ca="1">VLOOKUP(INDIRECT("A"&amp;ROW()), 'Recent Changes'!A:G, 7, FALSE)</f>
        <v>2023-11-28T15:47:34Z</v>
      </c>
      <c r="V75" t="str" cm="1">
        <f t="array" aca="1" ref="V75" ca="1">VLOOKUP(INDIRECT("A"&amp;ROW()), 'Recent Changes'!A:H, 8, FALSE)</f>
        <v>2023-11-28T16:41:29Z</v>
      </c>
    </row>
    <row r="76" spans="1:22" x14ac:dyDescent="0.25">
      <c r="A76">
        <v>17380701</v>
      </c>
      <c r="B76" t="s" cm="1">
        <v>430</v>
      </c>
      <c r="C76">
        <v>68</v>
      </c>
      <c r="G76" t="e" cm="1">
        <v>#N/A</v>
      </c>
      <c r="H76" t="s">
        <v>14</v>
      </c>
      <c r="I76" t="s">
        <v>14</v>
      </c>
      <c r="J76" t="s">
        <v>26</v>
      </c>
      <c r="K76" t="s">
        <v>44</v>
      </c>
      <c r="L76" t="s">
        <v>1708</v>
      </c>
      <c r="M76" t="s">
        <v>78</v>
      </c>
      <c r="N76" t="s">
        <v>83</v>
      </c>
      <c r="P76" t="str" cm="1">
        <f t="array" aca="1" ref="P76" ca="1">VLOOKUP(INDIRECT("A"&amp;ROW()), 'Recent Changes'!A:G, 2, FALSE)</f>
        <v>2023-12-13T00:36:37Z</v>
      </c>
      <c r="Q76" t="str" cm="1">
        <f t="array" aca="1" ref="Q76" ca="1">VLOOKUP(INDIRECT("A"&amp;ROW()), 'Recent Changes'!A:G, 3, FALSE)</f>
        <v>NULL</v>
      </c>
      <c r="R76" t="str" cm="1">
        <f t="array" aca="1" ref="R76" ca="1">VLOOKUP(INDIRECT("A"&amp;ROW()), 'Recent Changes'!A:G, 4, FALSE)</f>
        <v>NULL</v>
      </c>
      <c r="S76" t="str" cm="1">
        <f t="array" aca="1" ref="S76" ca="1">VLOOKUP(INDIRECT("A"&amp;ROW()), 'Recent Changes'!A:G, 5, FALSE)</f>
        <v>2023-12-13T00:36:38Z</v>
      </c>
      <c r="T76" t="str" cm="1">
        <f t="array" aca="1" ref="T76" ca="1">VLOOKUP(INDIRECT("A"&amp;ROW()), 'Recent Changes'!A:G, 6, FALSE)</f>
        <v>NULL</v>
      </c>
      <c r="U76" t="str" cm="1">
        <f t="array" aca="1" ref="U76" ca="1">VLOOKUP(INDIRECT("A"&amp;ROW()), 'Recent Changes'!A:G, 7, FALSE)</f>
        <v>NULL</v>
      </c>
      <c r="V76" t="str" cm="1">
        <f t="array" aca="1" ref="V76" ca="1">VLOOKUP(INDIRECT("A"&amp;ROW()), 'Recent Changes'!A:H, 8, FALSE)</f>
        <v>2023-12-13T07:32:47Z</v>
      </c>
    </row>
    <row r="77" spans="1:22" x14ac:dyDescent="0.25">
      <c r="A77">
        <v>17386176</v>
      </c>
      <c r="B77" t="s" cm="1">
        <v>430</v>
      </c>
      <c r="C77">
        <v>67</v>
      </c>
      <c r="G77" t="e" cm="1">
        <v>#N/A</v>
      </c>
      <c r="H77" t="s">
        <v>14</v>
      </c>
      <c r="I77" t="s">
        <v>14</v>
      </c>
      <c r="J77" t="s">
        <v>22</v>
      </c>
      <c r="K77" t="s">
        <v>53</v>
      </c>
      <c r="L77" t="s">
        <v>55</v>
      </c>
      <c r="M77" t="s">
        <v>76</v>
      </c>
      <c r="N77" t="s">
        <v>83</v>
      </c>
      <c r="P77" t="str" cm="1">
        <f t="array" aca="1" ref="P77" ca="1">VLOOKUP(INDIRECT("A"&amp;ROW()), 'Recent Changes'!A:G, 2, FALSE)</f>
        <v>2023-12-22T16:55:02Z</v>
      </c>
      <c r="Q77" t="str" cm="1">
        <f t="array" aca="1" ref="Q77" ca="1">VLOOKUP(INDIRECT("A"&amp;ROW()), 'Recent Changes'!A:G, 3, FALSE)</f>
        <v>NULL</v>
      </c>
      <c r="R77" t="str" cm="1">
        <f t="array" aca="1" ref="R77" ca="1">VLOOKUP(INDIRECT("A"&amp;ROW()), 'Recent Changes'!A:G, 4, FALSE)</f>
        <v>NULL</v>
      </c>
      <c r="S77" t="str" cm="1">
        <f t="array" aca="1" ref="S77" ca="1">VLOOKUP(INDIRECT("A"&amp;ROW()), 'Recent Changes'!A:G, 5, FALSE)</f>
        <v>2023-12-19T22:06:27Z</v>
      </c>
      <c r="T77" t="str" cm="1">
        <f t="array" aca="1" ref="T77" ca="1">VLOOKUP(INDIRECT("A"&amp;ROW()), 'Recent Changes'!A:G, 6, FALSE)</f>
        <v>NULL</v>
      </c>
      <c r="U77" t="str" cm="1">
        <f t="array" aca="1" ref="U77" ca="1">VLOOKUP(INDIRECT("A"&amp;ROW()), 'Recent Changes'!A:G, 7, FALSE)</f>
        <v>NULL</v>
      </c>
      <c r="V77" t="str" cm="1">
        <f t="array" aca="1" ref="V77" ca="1">VLOOKUP(INDIRECT("A"&amp;ROW()), 'Recent Changes'!A:H, 8, FALSE)</f>
        <v>2023-12-20T07:29:21Z</v>
      </c>
    </row>
    <row r="78" spans="1:22" x14ac:dyDescent="0.25">
      <c r="A78">
        <v>17384222</v>
      </c>
      <c r="B78" t="s" cm="1">
        <v>430</v>
      </c>
      <c r="C78">
        <v>67</v>
      </c>
      <c r="G78" t="e" cm="1">
        <v>#N/A</v>
      </c>
      <c r="H78" t="s">
        <v>14</v>
      </c>
      <c r="I78" t="s">
        <v>14</v>
      </c>
      <c r="J78" t="s">
        <v>30</v>
      </c>
      <c r="K78" t="s">
        <v>48</v>
      </c>
      <c r="L78" t="s">
        <v>761</v>
      </c>
      <c r="M78" t="s">
        <v>78</v>
      </c>
      <c r="N78" t="s">
        <v>83</v>
      </c>
      <c r="P78" t="str" cm="1">
        <f t="array" aca="1" ref="P78" ca="1">VLOOKUP(INDIRECT("A"&amp;ROW()), 'Recent Changes'!A:G, 2, FALSE)</f>
        <v>2023-11-17T15:17:23Z</v>
      </c>
      <c r="Q78" t="str" cm="1">
        <f t="array" aca="1" ref="Q78" ca="1">VLOOKUP(INDIRECT("A"&amp;ROW()), 'Recent Changes'!A:G, 3, FALSE)</f>
        <v>NULL</v>
      </c>
      <c r="R78" t="str" cm="1">
        <f t="array" aca="1" ref="R78" ca="1">VLOOKUP(INDIRECT("A"&amp;ROW()), 'Recent Changes'!A:G, 4, FALSE)</f>
        <v>NULL</v>
      </c>
      <c r="S78" t="str" cm="1">
        <f t="array" aca="1" ref="S78" ca="1">VLOOKUP(INDIRECT("A"&amp;ROW()), 'Recent Changes'!A:G, 5, FALSE)</f>
        <v>2023-11-17T15:17:55Z</v>
      </c>
      <c r="T78" t="str" cm="1">
        <f t="array" aca="1" ref="T78" ca="1">VLOOKUP(INDIRECT("A"&amp;ROW()), 'Recent Changes'!A:G, 6, FALSE)</f>
        <v>NULL</v>
      </c>
      <c r="U78" t="str" cm="1">
        <f t="array" aca="1" ref="U78" ca="1">VLOOKUP(INDIRECT("A"&amp;ROW()), 'Recent Changes'!A:G, 7, FALSE)</f>
        <v>NULL</v>
      </c>
      <c r="V78" t="str" cm="1">
        <f t="array" aca="1" ref="V78" ca="1">VLOOKUP(INDIRECT("A"&amp;ROW()), 'Recent Changes'!A:H, 8, FALSE)</f>
        <v>2023-11-17T16:19:22Z</v>
      </c>
    </row>
    <row r="79" spans="1:22" x14ac:dyDescent="0.25">
      <c r="A79">
        <v>17387164</v>
      </c>
      <c r="B79" t="s" cm="1">
        <v>430</v>
      </c>
      <c r="C79">
        <v>67</v>
      </c>
      <c r="G79" t="e" cm="1">
        <v>#N/A</v>
      </c>
      <c r="H79" t="s">
        <v>14</v>
      </c>
      <c r="I79" t="s">
        <v>14</v>
      </c>
      <c r="J79" t="s">
        <v>30</v>
      </c>
      <c r="K79" t="s">
        <v>44</v>
      </c>
      <c r="L79" t="s">
        <v>58</v>
      </c>
      <c r="M79" t="s">
        <v>76</v>
      </c>
      <c r="N79" t="s">
        <v>83</v>
      </c>
      <c r="P79" t="str" cm="1">
        <f t="array" aca="1" ref="P79" ca="1">VLOOKUP(INDIRECT("A"&amp;ROW()), 'Recent Changes'!A:G, 2, FALSE)</f>
        <v>NULL</v>
      </c>
      <c r="Q79" t="str" cm="1">
        <f t="array" aca="1" ref="Q79" ca="1">VLOOKUP(INDIRECT("A"&amp;ROW()), 'Recent Changes'!A:G, 3, FALSE)</f>
        <v>NULL</v>
      </c>
      <c r="R79" t="str" cm="1">
        <f t="array" aca="1" ref="R79" ca="1">VLOOKUP(INDIRECT("A"&amp;ROW()), 'Recent Changes'!A:G, 4, FALSE)</f>
        <v>NULL</v>
      </c>
      <c r="S79" t="str" cm="1">
        <f t="array" aca="1" ref="S79" ca="1">VLOOKUP(INDIRECT("A"&amp;ROW()), 'Recent Changes'!A:G, 5, FALSE)</f>
        <v>2023-12-22T15:38:13Z</v>
      </c>
      <c r="T79" t="str" cm="1">
        <f t="array" aca="1" ref="T79" ca="1">VLOOKUP(INDIRECT("A"&amp;ROW()), 'Recent Changes'!A:G, 6, FALSE)</f>
        <v>NULL</v>
      </c>
      <c r="U79" t="str" cm="1">
        <f t="array" aca="1" ref="U79" ca="1">VLOOKUP(INDIRECT("A"&amp;ROW()), 'Recent Changes'!A:G, 7, FALSE)</f>
        <v>2023-11-23T08:04:38Z</v>
      </c>
      <c r="V79" t="str" cm="1">
        <f t="array" aca="1" ref="V79" ca="1">VLOOKUP(INDIRECT("A"&amp;ROW()), 'Recent Changes'!A:H, 8, FALSE)</f>
        <v>2023-12-22T16:03:53Z</v>
      </c>
    </row>
    <row r="80" spans="1:22" x14ac:dyDescent="0.25">
      <c r="A80">
        <v>17388325</v>
      </c>
      <c r="B80" t="s">
        <v>430</v>
      </c>
      <c r="C80">
        <v>67</v>
      </c>
      <c r="G80" t="e" cm="1">
        <v>#N/A</v>
      </c>
      <c r="H80" t="s">
        <v>14</v>
      </c>
      <c r="I80" t="s">
        <v>14</v>
      </c>
      <c r="J80" t="s">
        <v>25</v>
      </c>
      <c r="K80" t="s">
        <v>49</v>
      </c>
      <c r="L80" t="s">
        <v>56</v>
      </c>
      <c r="M80" t="s">
        <v>2051</v>
      </c>
      <c r="N80" t="s">
        <v>83</v>
      </c>
      <c r="P80" t="str" cm="1">
        <f t="array" aca="1" ref="P80" ca="1">VLOOKUP(INDIRECT("A"&amp;ROW()), 'Recent Changes'!A:G, 2, FALSE)</f>
        <v>NULL</v>
      </c>
      <c r="Q80" t="str" cm="1">
        <f t="array" aca="1" ref="Q80" ca="1">VLOOKUP(INDIRECT("A"&amp;ROW()), 'Recent Changes'!A:G, 3, FALSE)</f>
        <v>NULL</v>
      </c>
      <c r="R80" t="str" cm="1">
        <f t="array" aca="1" ref="R80" ca="1">VLOOKUP(INDIRECT("A"&amp;ROW()), 'Recent Changes'!A:G, 4, FALSE)</f>
        <v>NULL</v>
      </c>
      <c r="S80" t="str" cm="1">
        <f t="array" aca="1" ref="S80" ca="1">VLOOKUP(INDIRECT("A"&amp;ROW()), 'Recent Changes'!A:G, 5, FALSE)</f>
        <v>2023-12-19T15:30:47Z</v>
      </c>
      <c r="T80" t="str" cm="1">
        <f t="array" aca="1" ref="T80" ca="1">VLOOKUP(INDIRECT("A"&amp;ROW()), 'Recent Changes'!A:G, 6, FALSE)</f>
        <v>NULL</v>
      </c>
      <c r="U80" t="str" cm="1">
        <f t="array" aca="1" ref="U80" ca="1">VLOOKUP(INDIRECT("A"&amp;ROW()), 'Recent Changes'!A:G, 7, FALSE)</f>
        <v>NULL</v>
      </c>
      <c r="V80" t="str" cm="1">
        <f t="array" aca="1" ref="V80" ca="1">VLOOKUP(INDIRECT("A"&amp;ROW()), 'Recent Changes'!A:H, 8, FALSE)</f>
        <v>2023-12-19T16:19:05Z</v>
      </c>
    </row>
    <row r="81" spans="1:22" x14ac:dyDescent="0.25">
      <c r="A81">
        <v>17385433</v>
      </c>
      <c r="B81" t="s" cm="1">
        <v>430</v>
      </c>
      <c r="C81">
        <v>67</v>
      </c>
      <c r="G81" t="e" cm="1">
        <v>#N/A</v>
      </c>
      <c r="H81" t="s">
        <v>14</v>
      </c>
      <c r="I81" t="s">
        <v>14</v>
      </c>
      <c r="J81" t="s">
        <v>30</v>
      </c>
      <c r="K81" t="s">
        <v>44</v>
      </c>
      <c r="L81" t="s">
        <v>63</v>
      </c>
      <c r="M81" t="s">
        <v>76</v>
      </c>
      <c r="N81" t="s">
        <v>83</v>
      </c>
      <c r="P81" t="str" cm="1">
        <f t="array" aca="1" ref="P81" ca="1">VLOOKUP(INDIRECT("A"&amp;ROW()), 'Recent Changes'!A:G, 2, FALSE)</f>
        <v>NULL</v>
      </c>
      <c r="Q81" t="str" cm="1">
        <f t="array" aca="1" ref="Q81" ca="1">VLOOKUP(INDIRECT("A"&amp;ROW()), 'Recent Changes'!A:G, 3, FALSE)</f>
        <v>NULL</v>
      </c>
      <c r="R81" t="str" cm="1">
        <f t="array" aca="1" ref="R81" ca="1">VLOOKUP(INDIRECT("A"&amp;ROW()), 'Recent Changes'!A:G, 4, FALSE)</f>
        <v>NULL</v>
      </c>
      <c r="S81" t="str" cm="1">
        <f t="array" aca="1" ref="S81" ca="1">VLOOKUP(INDIRECT("A"&amp;ROW()), 'Recent Changes'!A:G, 5, FALSE)</f>
        <v>NULL</v>
      </c>
      <c r="T81" t="str" cm="1">
        <f t="array" aca="1" ref="T81" ca="1">VLOOKUP(INDIRECT("A"&amp;ROW()), 'Recent Changes'!A:G, 6, FALSE)</f>
        <v>NULL</v>
      </c>
      <c r="U81" t="str" cm="1">
        <f t="array" aca="1" ref="U81" ca="1">VLOOKUP(INDIRECT("A"&amp;ROW()), 'Recent Changes'!A:G, 7, FALSE)</f>
        <v>2023-11-30T01:14:55Z</v>
      </c>
      <c r="V81" t="str" cm="1">
        <f t="array" aca="1" ref="V81" ca="1">VLOOKUP(INDIRECT("A"&amp;ROW()), 'Recent Changes'!A:H, 8, FALSE)</f>
        <v>2023-11-30T07:43:59Z</v>
      </c>
    </row>
    <row r="82" spans="1:22" x14ac:dyDescent="0.25">
      <c r="A82">
        <v>17394069</v>
      </c>
      <c r="B82" t="s" cm="1">
        <v>433</v>
      </c>
      <c r="C82">
        <v>66</v>
      </c>
      <c r="G82" t="e" cm="1">
        <v>#N/A</v>
      </c>
      <c r="H82" t="s">
        <v>14</v>
      </c>
      <c r="I82" t="s">
        <v>14</v>
      </c>
      <c r="J82" t="s">
        <v>26</v>
      </c>
      <c r="K82" t="s">
        <v>48</v>
      </c>
      <c r="L82" t="s">
        <v>2000</v>
      </c>
      <c r="M82" t="s">
        <v>78</v>
      </c>
      <c r="N82" t="s">
        <v>83</v>
      </c>
      <c r="P82" t="str" cm="1">
        <f t="array" aca="1" ref="P82" ca="1">VLOOKUP(INDIRECT("A"&amp;ROW()), 'Recent Changes'!A:G, 2, FALSE)</f>
        <v>NULL</v>
      </c>
      <c r="Q82" t="str" cm="1">
        <f t="array" aca="1" ref="Q82" ca="1">VLOOKUP(INDIRECT("A"&amp;ROW()), 'Recent Changes'!A:G, 3, FALSE)</f>
        <v>NULL</v>
      </c>
      <c r="R82" t="str" cm="1">
        <f t="array" aca="1" ref="R82" ca="1">VLOOKUP(INDIRECT("A"&amp;ROW()), 'Recent Changes'!A:G, 4, FALSE)</f>
        <v>NULL</v>
      </c>
      <c r="S82" t="str" cm="1">
        <f t="array" aca="1" ref="S82" ca="1">VLOOKUP(INDIRECT("A"&amp;ROW()), 'Recent Changes'!A:G, 5, FALSE)</f>
        <v>2023-11-17T15:25:04Z</v>
      </c>
      <c r="T82" t="str" cm="1">
        <f t="array" aca="1" ref="T82" ca="1">VLOOKUP(INDIRECT("A"&amp;ROW()), 'Recent Changes'!A:G, 6, FALSE)</f>
        <v>NULL</v>
      </c>
      <c r="U82" t="str" cm="1">
        <f t="array" aca="1" ref="U82" ca="1">VLOOKUP(INDIRECT("A"&amp;ROW()), 'Recent Changes'!A:G, 7, FALSE)</f>
        <v>2023-11-23T06:27:05Z</v>
      </c>
      <c r="V82" t="str" cm="1">
        <f t="array" aca="1" ref="V82" ca="1">VLOOKUP(INDIRECT("A"&amp;ROW()), 'Recent Changes'!A:H, 8, FALSE)</f>
        <v>2023-11-17T16:24:34Z</v>
      </c>
    </row>
    <row r="83" spans="1:22" x14ac:dyDescent="0.25">
      <c r="A83">
        <v>17396386</v>
      </c>
      <c r="B83" t="s" cm="1">
        <v>430</v>
      </c>
      <c r="C83">
        <v>64</v>
      </c>
      <c r="G83" t="e" cm="1">
        <v>#N/A</v>
      </c>
      <c r="H83" t="s">
        <v>14</v>
      </c>
      <c r="I83" t="s">
        <v>14</v>
      </c>
      <c r="J83" t="s">
        <v>30</v>
      </c>
      <c r="K83" t="s">
        <v>44</v>
      </c>
      <c r="L83" t="s">
        <v>2001</v>
      </c>
      <c r="M83" t="s">
        <v>76</v>
      </c>
      <c r="N83" t="s">
        <v>83</v>
      </c>
      <c r="P83" t="str" cm="1">
        <f t="array" aca="1" ref="P83" ca="1">VLOOKUP(INDIRECT("A"&amp;ROW()), 'Recent Changes'!A:G, 2, FALSE)</f>
        <v>NULL</v>
      </c>
      <c r="Q83" t="str" cm="1">
        <f t="array" aca="1" ref="Q83" ca="1">VLOOKUP(INDIRECT("A"&amp;ROW()), 'Recent Changes'!A:G, 3, FALSE)</f>
        <v>NULL</v>
      </c>
      <c r="R83" t="str" cm="1">
        <f t="array" aca="1" ref="R83" ca="1">VLOOKUP(INDIRECT("A"&amp;ROW()), 'Recent Changes'!A:G, 4, FALSE)</f>
        <v>NULL</v>
      </c>
      <c r="S83" t="str" cm="1">
        <f t="array" aca="1" ref="S83" ca="1">VLOOKUP(INDIRECT("A"&amp;ROW()), 'Recent Changes'!A:G, 5, FALSE)</f>
        <v>2023-12-22T00:45:28Z</v>
      </c>
      <c r="T83" t="str" cm="1">
        <f t="array" aca="1" ref="T83" ca="1">VLOOKUP(INDIRECT("A"&amp;ROW()), 'Recent Changes'!A:G, 6, FALSE)</f>
        <v>NULL</v>
      </c>
      <c r="U83" t="str" cm="1">
        <f t="array" aca="1" ref="U83" ca="1">VLOOKUP(INDIRECT("A"&amp;ROW()), 'Recent Changes'!A:G, 7, FALSE)</f>
        <v>2023-12-20T07:05:16Z</v>
      </c>
      <c r="V83" t="str" cm="1">
        <f t="array" aca="1" ref="V83" ca="1">VLOOKUP(INDIRECT("A"&amp;ROW()), 'Recent Changes'!A:H, 8, FALSE)</f>
        <v>2023-12-22T07:25:51Z</v>
      </c>
    </row>
    <row r="84" spans="1:22" x14ac:dyDescent="0.25">
      <c r="A84">
        <v>17396713</v>
      </c>
      <c r="B84" t="s">
        <v>430</v>
      </c>
      <c r="C84">
        <v>63</v>
      </c>
      <c r="G84" t="e" cm="1">
        <v>#N/A</v>
      </c>
      <c r="H84" t="s">
        <v>14</v>
      </c>
      <c r="I84" t="s">
        <v>14</v>
      </c>
      <c r="J84" t="s">
        <v>32</v>
      </c>
      <c r="K84" t="s">
        <v>44</v>
      </c>
      <c r="L84" t="s">
        <v>90</v>
      </c>
      <c r="M84" t="s">
        <v>2052</v>
      </c>
      <c r="N84" t="s">
        <v>83</v>
      </c>
      <c r="P84" t="str" cm="1">
        <f t="array" aca="1" ref="P84" ca="1">VLOOKUP(INDIRECT("A"&amp;ROW()), 'Recent Changes'!A:G, 2, FALSE)</f>
        <v>NULL</v>
      </c>
      <c r="Q84" t="str" cm="1">
        <f t="array" aca="1" ref="Q84" ca="1">VLOOKUP(INDIRECT("A"&amp;ROW()), 'Recent Changes'!A:G, 3, FALSE)</f>
        <v>NULL</v>
      </c>
      <c r="R84" t="str" cm="1">
        <f t="array" aca="1" ref="R84" ca="1">VLOOKUP(INDIRECT("A"&amp;ROW()), 'Recent Changes'!A:G, 4, FALSE)</f>
        <v>NULL</v>
      </c>
      <c r="S84" t="str" cm="1">
        <f t="array" aca="1" ref="S84" ca="1">VLOOKUP(INDIRECT("A"&amp;ROW()), 'Recent Changes'!A:G, 5, FALSE)</f>
        <v>2023-12-20T19:04:43Z</v>
      </c>
      <c r="T84" t="str" cm="1">
        <f t="array" aca="1" ref="T84" ca="1">VLOOKUP(INDIRECT("A"&amp;ROW()), 'Recent Changes'!A:G, 6, FALSE)</f>
        <v>NULL</v>
      </c>
      <c r="U84" t="str" cm="1">
        <f t="array" aca="1" ref="U84" ca="1">VLOOKUP(INDIRECT("A"&amp;ROW()), 'Recent Changes'!A:G, 7, FALSE)</f>
        <v>2023-12-07T03:52:15Z</v>
      </c>
      <c r="V84" t="str" cm="1">
        <f t="array" aca="1" ref="V84" ca="1">VLOOKUP(INDIRECT("A"&amp;ROW()), 'Recent Changes'!A:H, 8, FALSE)</f>
        <v>2023-12-20T21:21:32Z</v>
      </c>
    </row>
    <row r="85" spans="1:22" x14ac:dyDescent="0.25">
      <c r="A85">
        <v>17406356</v>
      </c>
      <c r="B85" t="s" cm="1">
        <v>430</v>
      </c>
      <c r="C85">
        <v>62</v>
      </c>
      <c r="G85" t="e" cm="1">
        <v>#N/A</v>
      </c>
      <c r="H85" t="s">
        <v>14</v>
      </c>
      <c r="I85" t="s">
        <v>14</v>
      </c>
      <c r="J85" t="s">
        <v>30</v>
      </c>
      <c r="K85" t="s">
        <v>44</v>
      </c>
      <c r="L85" t="s">
        <v>63</v>
      </c>
      <c r="M85" t="s">
        <v>76</v>
      </c>
      <c r="N85" t="s">
        <v>83</v>
      </c>
      <c r="P85" t="str" cm="1">
        <f t="array" aca="1" ref="P85" ca="1">VLOOKUP(INDIRECT("A"&amp;ROW()), 'Recent Changes'!A:G, 2, FALSE)</f>
        <v>NULL</v>
      </c>
      <c r="Q85" t="str" cm="1">
        <f t="array" aca="1" ref="Q85" ca="1">VLOOKUP(INDIRECT("A"&amp;ROW()), 'Recent Changes'!A:G, 3, FALSE)</f>
        <v>NULL</v>
      </c>
      <c r="R85" t="str" cm="1">
        <f t="array" aca="1" ref="R85" ca="1">VLOOKUP(INDIRECT("A"&amp;ROW()), 'Recent Changes'!A:G, 4, FALSE)</f>
        <v>NULL</v>
      </c>
      <c r="S85" t="str" cm="1">
        <f t="array" aca="1" ref="S85" ca="1">VLOOKUP(INDIRECT("A"&amp;ROW()), 'Recent Changes'!A:G, 5, FALSE)</f>
        <v>NULL</v>
      </c>
      <c r="T85" t="str" cm="1">
        <f t="array" aca="1" ref="T85" ca="1">VLOOKUP(INDIRECT("A"&amp;ROW()), 'Recent Changes'!A:G, 6, FALSE)</f>
        <v>NULL</v>
      </c>
      <c r="U85" t="str" cm="1">
        <f t="array" aca="1" ref="U85" ca="1">VLOOKUP(INDIRECT("A"&amp;ROW()), 'Recent Changes'!A:G, 7, FALSE)</f>
        <v>2023-11-28T21:10:39Z</v>
      </c>
      <c r="V85" t="str" cm="1">
        <f t="array" aca="1" ref="V85" ca="1">VLOOKUP(INDIRECT("A"&amp;ROW()), 'Recent Changes'!A:H, 8, FALSE)</f>
        <v>2023-11-29T08:09:49Z</v>
      </c>
    </row>
    <row r="86" spans="1:22" x14ac:dyDescent="0.25">
      <c r="A86">
        <v>17402229</v>
      </c>
      <c r="B86" t="s">
        <v>433</v>
      </c>
      <c r="C86">
        <v>62</v>
      </c>
      <c r="G86" t="e" cm="1">
        <v>#N/A</v>
      </c>
      <c r="H86" t="s">
        <v>14</v>
      </c>
      <c r="I86" t="s">
        <v>14</v>
      </c>
      <c r="J86" t="s">
        <v>729</v>
      </c>
      <c r="K86" t="s">
        <v>49</v>
      </c>
      <c r="L86" t="s">
        <v>738</v>
      </c>
      <c r="M86" t="s">
        <v>76</v>
      </c>
      <c r="N86" t="s">
        <v>1974</v>
      </c>
      <c r="P86" t="e" cm="1">
        <f t="array" aca="1" ref="P86" ca="1">VLOOKUP(INDIRECT("A"&amp;ROW()), 'Recent Changes'!A:G, 2, FALSE)</f>
        <v>#N/A</v>
      </c>
      <c r="Q86" t="e" cm="1">
        <f t="array" aca="1" ref="Q86" ca="1">VLOOKUP(INDIRECT("A"&amp;ROW()), 'Recent Changes'!A:G, 3, FALSE)</f>
        <v>#N/A</v>
      </c>
      <c r="R86" t="e" cm="1">
        <f t="array" aca="1" ref="R86" ca="1">VLOOKUP(INDIRECT("A"&amp;ROW()), 'Recent Changes'!A:G, 4, FALSE)</f>
        <v>#N/A</v>
      </c>
      <c r="S86" t="e" cm="1">
        <f t="array" aca="1" ref="S86" ca="1">VLOOKUP(INDIRECT("A"&amp;ROW()), 'Recent Changes'!A:G, 5, FALSE)</f>
        <v>#N/A</v>
      </c>
      <c r="T86" t="e" cm="1">
        <f t="array" aca="1" ref="T86" ca="1">VLOOKUP(INDIRECT("A"&amp;ROW()), 'Recent Changes'!A:G, 6, FALSE)</f>
        <v>#N/A</v>
      </c>
      <c r="U86" t="e" cm="1">
        <f t="array" aca="1" ref="U86" ca="1">VLOOKUP(INDIRECT("A"&amp;ROW()), 'Recent Changes'!A:G, 7, FALSE)</f>
        <v>#N/A</v>
      </c>
      <c r="V86" t="e" cm="1">
        <f t="array" aca="1" ref="V86" ca="1">VLOOKUP(INDIRECT("A"&amp;ROW()), 'Recent Changes'!A:H, 8, FALSE)</f>
        <v>#N/A</v>
      </c>
    </row>
    <row r="87" spans="1:22" x14ac:dyDescent="0.25">
      <c r="A87">
        <v>11093453</v>
      </c>
      <c r="B87" t="s">
        <v>433</v>
      </c>
      <c r="C87">
        <v>62</v>
      </c>
      <c r="G87" t="s" cm="1">
        <v>442</v>
      </c>
      <c r="H87">
        <v>43733</v>
      </c>
      <c r="I87" t="s">
        <v>15</v>
      </c>
      <c r="J87" t="s">
        <v>27</v>
      </c>
      <c r="K87" t="s">
        <v>44</v>
      </c>
      <c r="L87" t="s">
        <v>1697</v>
      </c>
      <c r="M87" t="s">
        <v>91</v>
      </c>
      <c r="N87" t="s">
        <v>83</v>
      </c>
      <c r="O87" t="s">
        <v>431</v>
      </c>
      <c r="P87" t="str" cm="1">
        <f t="array" aca="1" ref="P87" ca="1">VLOOKUP(INDIRECT("A"&amp;ROW()), 'Recent Changes'!A:G, 2, FALSE)</f>
        <v>NULL</v>
      </c>
      <c r="Q87" t="str" cm="1">
        <f t="array" aca="1" ref="Q87" ca="1">VLOOKUP(INDIRECT("A"&amp;ROW()), 'Recent Changes'!A:G, 3, FALSE)</f>
        <v>NULL</v>
      </c>
      <c r="R87" t="str" cm="1">
        <f t="array" aca="1" ref="R87" ca="1">VLOOKUP(INDIRECT("A"&amp;ROW()), 'Recent Changes'!A:G, 4, FALSE)</f>
        <v>NULL</v>
      </c>
      <c r="S87" t="str" cm="1">
        <f t="array" aca="1" ref="S87" ca="1">VLOOKUP(INDIRECT("A"&amp;ROW()), 'Recent Changes'!A:G, 5, FALSE)</f>
        <v>2023-11-07T19:26:15Z</v>
      </c>
      <c r="T87" t="str" cm="1">
        <f t="array" aca="1" ref="T87" ca="1">VLOOKUP(INDIRECT("A"&amp;ROW()), 'Recent Changes'!A:G, 6, FALSE)</f>
        <v>NULL</v>
      </c>
      <c r="U87" t="str" cm="1">
        <f t="array" aca="1" ref="U87" ca="1">VLOOKUP(INDIRECT("A"&amp;ROW()), 'Recent Changes'!A:G, 7, FALSE)</f>
        <v>NULL</v>
      </c>
      <c r="V87" t="str" cm="1">
        <f t="array" aca="1" ref="V87" ca="1">VLOOKUP(INDIRECT("A"&amp;ROW()), 'Recent Changes'!A:H, 8, FALSE)</f>
        <v>2023-11-07T21:21:49Z</v>
      </c>
    </row>
    <row r="88" spans="1:22" x14ac:dyDescent="0.25">
      <c r="A88">
        <v>17278973</v>
      </c>
      <c r="B88" t="s" cm="1">
        <v>430</v>
      </c>
      <c r="C88">
        <v>62</v>
      </c>
      <c r="G88" t="e" cm="1">
        <v>#N/A</v>
      </c>
      <c r="H88" t="s">
        <v>14</v>
      </c>
      <c r="I88" t="s">
        <v>570</v>
      </c>
      <c r="J88" t="s">
        <v>30</v>
      </c>
      <c r="K88" t="s">
        <v>49</v>
      </c>
      <c r="L88" t="s">
        <v>406</v>
      </c>
      <c r="M88" t="s">
        <v>76</v>
      </c>
      <c r="N88" t="s">
        <v>83</v>
      </c>
      <c r="P88" t="str" cm="1">
        <f t="array" aca="1" ref="P88" ca="1">VLOOKUP(INDIRECT("A"&amp;ROW()), 'Recent Changes'!A:G, 2, FALSE)</f>
        <v>2023-12-28T16:30:58Z</v>
      </c>
      <c r="Q88" t="str" cm="1">
        <f t="array" aca="1" ref="Q88" ca="1">VLOOKUP(INDIRECT("A"&amp;ROW()), 'Recent Changes'!A:G, 3, FALSE)</f>
        <v>NULL</v>
      </c>
      <c r="R88" t="str" cm="1">
        <f t="array" aca="1" ref="R88" ca="1">VLOOKUP(INDIRECT("A"&amp;ROW()), 'Recent Changes'!A:G, 4, FALSE)</f>
        <v>NULL</v>
      </c>
      <c r="S88" t="str" cm="1">
        <f t="array" aca="1" ref="S88" ca="1">VLOOKUP(INDIRECT("A"&amp;ROW()), 'Recent Changes'!A:G, 5, FALSE)</f>
        <v>2023-12-21T19:04:06Z</v>
      </c>
      <c r="T88" t="str" cm="1">
        <f t="array" aca="1" ref="T88" ca="1">VLOOKUP(INDIRECT("A"&amp;ROW()), 'Recent Changes'!A:G, 6, FALSE)</f>
        <v>NULL</v>
      </c>
      <c r="U88" t="str" cm="1">
        <f t="array" aca="1" ref="U88" ca="1">VLOOKUP(INDIRECT("A"&amp;ROW()), 'Recent Changes'!A:G, 7, FALSE)</f>
        <v>NULL</v>
      </c>
      <c r="V88" t="str" cm="1">
        <f t="array" aca="1" ref="V88" ca="1">VLOOKUP(INDIRECT("A"&amp;ROW()), 'Recent Changes'!A:H, 8, FALSE)</f>
        <v>2023-12-28T21:42:49Z</v>
      </c>
    </row>
    <row r="89" spans="1:22" x14ac:dyDescent="0.25">
      <c r="A89">
        <v>17407897</v>
      </c>
      <c r="B89" t="s">
        <v>430</v>
      </c>
      <c r="C89">
        <v>62</v>
      </c>
      <c r="G89" t="e" cm="1">
        <v>#N/A</v>
      </c>
      <c r="H89" t="s">
        <v>14</v>
      </c>
      <c r="I89" t="s">
        <v>14</v>
      </c>
      <c r="J89" t="s">
        <v>24</v>
      </c>
      <c r="K89" t="s">
        <v>44</v>
      </c>
      <c r="L89" t="s">
        <v>2002</v>
      </c>
      <c r="M89" t="s">
        <v>78</v>
      </c>
      <c r="N89" t="s">
        <v>83</v>
      </c>
      <c r="P89" t="str" cm="1">
        <f t="array" aca="1" ref="P89" ca="1">VLOOKUP(INDIRECT("A"&amp;ROW()), 'Recent Changes'!A:G, 2, FALSE)</f>
        <v>NULL</v>
      </c>
      <c r="Q89" t="str" cm="1">
        <f t="array" aca="1" ref="Q89" ca="1">VLOOKUP(INDIRECT("A"&amp;ROW()), 'Recent Changes'!A:G, 3, FALSE)</f>
        <v>NULL</v>
      </c>
      <c r="R89" t="str" cm="1">
        <f t="array" aca="1" ref="R89" ca="1">VLOOKUP(INDIRECT("A"&amp;ROW()), 'Recent Changes'!A:G, 4, FALSE)</f>
        <v>NULL</v>
      </c>
      <c r="S89" t="str" cm="1">
        <f t="array" aca="1" ref="S89" ca="1">VLOOKUP(INDIRECT("A"&amp;ROW()), 'Recent Changes'!A:G, 5, FALSE)</f>
        <v>2023-12-20T03:59:02Z</v>
      </c>
      <c r="T89" t="str" cm="1">
        <f t="array" aca="1" ref="T89" ca="1">VLOOKUP(INDIRECT("A"&amp;ROW()), 'Recent Changes'!A:G, 6, FALSE)</f>
        <v>NULL</v>
      </c>
      <c r="U89" t="str" cm="1">
        <f t="array" aca="1" ref="U89" ca="1">VLOOKUP(INDIRECT("A"&amp;ROW()), 'Recent Changes'!A:G, 7, FALSE)</f>
        <v>NULL</v>
      </c>
      <c r="V89" t="str" cm="1">
        <f t="array" aca="1" ref="V89" ca="1">VLOOKUP(INDIRECT("A"&amp;ROW()), 'Recent Changes'!A:H, 8, FALSE)</f>
        <v>2023-12-20T07:32:58Z</v>
      </c>
    </row>
    <row r="90" spans="1:22" x14ac:dyDescent="0.25">
      <c r="A90">
        <v>17415549</v>
      </c>
      <c r="B90" t="s">
        <v>430</v>
      </c>
      <c r="C90">
        <v>61</v>
      </c>
      <c r="G90" t="e" cm="1">
        <v>#N/A</v>
      </c>
      <c r="H90" t="s">
        <v>14</v>
      </c>
      <c r="I90" t="s">
        <v>14</v>
      </c>
      <c r="J90" t="s">
        <v>21</v>
      </c>
      <c r="K90" t="s">
        <v>44</v>
      </c>
      <c r="L90" t="s">
        <v>63</v>
      </c>
      <c r="M90" t="s">
        <v>76</v>
      </c>
      <c r="N90" t="s">
        <v>83</v>
      </c>
      <c r="P90" t="str" cm="1">
        <f t="array" aca="1" ref="P90" ca="1">VLOOKUP(INDIRECT("A"&amp;ROW()), 'Recent Changes'!A:G, 2, FALSE)</f>
        <v>2023-12-21T13:23:21Z</v>
      </c>
      <c r="Q90" t="str" cm="1">
        <f t="array" aca="1" ref="Q90" ca="1">VLOOKUP(INDIRECT("A"&amp;ROW()), 'Recent Changes'!A:G, 3, FALSE)</f>
        <v>NULL</v>
      </c>
      <c r="R90" t="str" cm="1">
        <f t="array" aca="1" ref="R90" ca="1">VLOOKUP(INDIRECT("A"&amp;ROW()), 'Recent Changes'!A:G, 4, FALSE)</f>
        <v>NULL</v>
      </c>
      <c r="S90" t="str" cm="1">
        <f t="array" aca="1" ref="S90" ca="1">VLOOKUP(INDIRECT("A"&amp;ROW()), 'Recent Changes'!A:G, 5, FALSE)</f>
        <v>NULL</v>
      </c>
      <c r="T90" t="str" cm="1">
        <f t="array" aca="1" ref="T90" ca="1">VLOOKUP(INDIRECT("A"&amp;ROW()), 'Recent Changes'!A:G, 6, FALSE)</f>
        <v>NULL</v>
      </c>
      <c r="U90" t="str" cm="1">
        <f t="array" aca="1" ref="U90" ca="1">VLOOKUP(INDIRECT("A"&amp;ROW()), 'Recent Changes'!A:G, 7, FALSE)</f>
        <v>NULL</v>
      </c>
      <c r="V90" t="str" cm="1">
        <f t="array" aca="1" ref="V90" ca="1">VLOOKUP(INDIRECT("A"&amp;ROW()), 'Recent Changes'!A:H, 8, FALSE)</f>
        <v>2023-12-21T16:16:21Z</v>
      </c>
    </row>
    <row r="91" spans="1:22" x14ac:dyDescent="0.25">
      <c r="A91">
        <v>17414755</v>
      </c>
      <c r="B91" t="s" cm="1">
        <v>430</v>
      </c>
      <c r="C91">
        <v>61</v>
      </c>
      <c r="G91" t="e" cm="1">
        <v>#N/A</v>
      </c>
      <c r="H91" t="s">
        <v>14</v>
      </c>
      <c r="I91" t="s">
        <v>14</v>
      </c>
      <c r="J91" t="s">
        <v>30</v>
      </c>
      <c r="K91" t="s">
        <v>44</v>
      </c>
      <c r="L91" t="s">
        <v>74</v>
      </c>
      <c r="M91" t="s">
        <v>76</v>
      </c>
      <c r="N91" t="s">
        <v>83</v>
      </c>
      <c r="P91" t="str" cm="1">
        <f t="array" aca="1" ref="P91" ca="1">VLOOKUP(INDIRECT("A"&amp;ROW()), 'Recent Changes'!A:G, 2, FALSE)</f>
        <v>NULL</v>
      </c>
      <c r="Q91" t="str" cm="1">
        <f t="array" aca="1" ref="Q91" ca="1">VLOOKUP(INDIRECT("A"&amp;ROW()), 'Recent Changes'!A:G, 3, FALSE)</f>
        <v>NULL</v>
      </c>
      <c r="R91" t="str" cm="1">
        <f t="array" aca="1" ref="R91" ca="1">VLOOKUP(INDIRECT("A"&amp;ROW()), 'Recent Changes'!A:G, 4, FALSE)</f>
        <v>NULL</v>
      </c>
      <c r="S91" t="str" cm="1">
        <f t="array" aca="1" ref="S91" ca="1">VLOOKUP(INDIRECT("A"&amp;ROW()), 'Recent Changes'!A:G, 5, FALSE)</f>
        <v>2023-12-18T15:28:11Z</v>
      </c>
      <c r="T91" t="str" cm="1">
        <f t="array" aca="1" ref="T91" ca="1">VLOOKUP(INDIRECT("A"&amp;ROW()), 'Recent Changes'!A:G, 6, FALSE)</f>
        <v>NULL</v>
      </c>
      <c r="U91" t="str" cm="1">
        <f t="array" aca="1" ref="U91" ca="1">VLOOKUP(INDIRECT("A"&amp;ROW()), 'Recent Changes'!A:G, 7, FALSE)</f>
        <v>2023-12-06T23:56:30Z</v>
      </c>
      <c r="V91" t="str" cm="1">
        <f t="array" aca="1" ref="V91" ca="1">VLOOKUP(INDIRECT("A"&amp;ROW()), 'Recent Changes'!A:H, 8, FALSE)</f>
        <v>2023-12-18T16:22:35Z</v>
      </c>
    </row>
    <row r="92" spans="1:22" x14ac:dyDescent="0.25">
      <c r="A92">
        <v>17414704</v>
      </c>
      <c r="B92" t="s">
        <v>430</v>
      </c>
      <c r="C92">
        <v>61</v>
      </c>
      <c r="G92" t="e" cm="1">
        <v>#N/A</v>
      </c>
      <c r="H92" t="s">
        <v>14</v>
      </c>
      <c r="I92" t="s">
        <v>14</v>
      </c>
      <c r="J92" t="s">
        <v>24</v>
      </c>
      <c r="K92" t="s">
        <v>44</v>
      </c>
      <c r="L92" t="s">
        <v>60</v>
      </c>
      <c r="M92" t="s">
        <v>76</v>
      </c>
      <c r="N92" t="s">
        <v>83</v>
      </c>
      <c r="P92" t="str" cm="1">
        <f t="array" aca="1" ref="P92" ca="1">VLOOKUP(INDIRECT("A"&amp;ROW()), 'Recent Changes'!A:G, 2, FALSE)</f>
        <v>NULL</v>
      </c>
      <c r="Q92" t="str" cm="1">
        <f t="array" aca="1" ref="Q92" ca="1">VLOOKUP(INDIRECT("A"&amp;ROW()), 'Recent Changes'!A:G, 3, FALSE)</f>
        <v>NULL</v>
      </c>
      <c r="R92" t="str" cm="1">
        <f t="array" aca="1" ref="R92" ca="1">VLOOKUP(INDIRECT("A"&amp;ROW()), 'Recent Changes'!A:G, 4, FALSE)</f>
        <v>NULL</v>
      </c>
      <c r="S92" t="str" cm="1">
        <f t="array" aca="1" ref="S92" ca="1">VLOOKUP(INDIRECT("A"&amp;ROW()), 'Recent Changes'!A:G, 5, FALSE)</f>
        <v>2023-12-18T08:53:02Z</v>
      </c>
      <c r="T92" t="str" cm="1">
        <f t="array" aca="1" ref="T92" ca="1">VLOOKUP(INDIRECT("A"&amp;ROW()), 'Recent Changes'!A:G, 6, FALSE)</f>
        <v>NULL</v>
      </c>
      <c r="U92" t="str" cm="1">
        <f t="array" aca="1" ref="U92" ca="1">VLOOKUP(INDIRECT("A"&amp;ROW()), 'Recent Changes'!A:G, 7, FALSE)</f>
        <v>NULL</v>
      </c>
      <c r="V92" t="str" cm="1">
        <f t="array" aca="1" ref="V92" ca="1">VLOOKUP(INDIRECT("A"&amp;ROW()), 'Recent Changes'!A:H, 8, FALSE)</f>
        <v>2023-12-18T16:03:46Z</v>
      </c>
    </row>
    <row r="93" spans="1:22" x14ac:dyDescent="0.25">
      <c r="A93">
        <v>17409621</v>
      </c>
      <c r="B93" t="s" cm="1">
        <v>430</v>
      </c>
      <c r="C93">
        <v>61</v>
      </c>
      <c r="G93" t="e" cm="1">
        <v>#N/A</v>
      </c>
      <c r="H93" t="s">
        <v>14</v>
      </c>
      <c r="I93" t="s">
        <v>14</v>
      </c>
      <c r="J93" t="s">
        <v>30</v>
      </c>
      <c r="K93" t="s">
        <v>44</v>
      </c>
      <c r="L93" t="s">
        <v>2003</v>
      </c>
      <c r="M93" t="s">
        <v>78</v>
      </c>
      <c r="N93" t="s">
        <v>83</v>
      </c>
      <c r="P93" t="str" cm="1">
        <f t="array" aca="1" ref="P93" ca="1">VLOOKUP(INDIRECT("A"&amp;ROW()), 'Recent Changes'!A:G, 2, FALSE)</f>
        <v>NULL</v>
      </c>
      <c r="Q93" t="str" cm="1">
        <f t="array" aca="1" ref="Q93" ca="1">VLOOKUP(INDIRECT("A"&amp;ROW()), 'Recent Changes'!A:G, 3, FALSE)</f>
        <v>NULL</v>
      </c>
      <c r="R93" t="str" cm="1">
        <f t="array" aca="1" ref="R93" ca="1">VLOOKUP(INDIRECT("A"&amp;ROW()), 'Recent Changes'!A:G, 4, FALSE)</f>
        <v>NULL</v>
      </c>
      <c r="S93" t="str" cm="1">
        <f t="array" aca="1" ref="S93" ca="1">VLOOKUP(INDIRECT("A"&amp;ROW()), 'Recent Changes'!A:G, 5, FALSE)</f>
        <v>2023-12-06T09:11:28Z</v>
      </c>
      <c r="T93" t="str" cm="1">
        <f t="array" aca="1" ref="T93" ca="1">VLOOKUP(INDIRECT("A"&amp;ROW()), 'Recent Changes'!A:G, 6, FALSE)</f>
        <v>NULL</v>
      </c>
      <c r="U93" t="str" cm="1">
        <f t="array" aca="1" ref="U93" ca="1">VLOOKUP(INDIRECT("A"&amp;ROW()), 'Recent Changes'!A:G, 7, FALSE)</f>
        <v>NULL</v>
      </c>
      <c r="V93" t="str" cm="1">
        <f t="array" aca="1" ref="V93" ca="1">VLOOKUP(INDIRECT("A"&amp;ROW()), 'Recent Changes'!A:H, 8, FALSE)</f>
        <v>2023-12-06T16:17:11Z</v>
      </c>
    </row>
    <row r="94" spans="1:22" x14ac:dyDescent="0.25">
      <c r="A94">
        <v>16985175</v>
      </c>
      <c r="B94" t="s">
        <v>433</v>
      </c>
      <c r="C94">
        <v>61</v>
      </c>
      <c r="G94" t="s" cm="1">
        <v>442</v>
      </c>
      <c r="H94">
        <v>45149</v>
      </c>
      <c r="I94" t="s">
        <v>15</v>
      </c>
      <c r="J94" t="s">
        <v>18</v>
      </c>
      <c r="K94" t="s">
        <v>44</v>
      </c>
      <c r="L94" t="s">
        <v>734</v>
      </c>
      <c r="M94" t="s">
        <v>2053</v>
      </c>
      <c r="N94" t="s">
        <v>83</v>
      </c>
      <c r="O94" t="s">
        <v>431</v>
      </c>
      <c r="P94" t="str" cm="1">
        <f t="array" aca="1" ref="P94" ca="1">VLOOKUP(INDIRECT("A"&amp;ROW()), 'Recent Changes'!A:G, 2, FALSE)</f>
        <v>NULL</v>
      </c>
      <c r="Q94" t="str" cm="1">
        <f t="array" aca="1" ref="Q94" ca="1">VLOOKUP(INDIRECT("A"&amp;ROW()), 'Recent Changes'!A:G, 3, FALSE)</f>
        <v>NULL</v>
      </c>
      <c r="R94" t="str" cm="1">
        <f t="array" aca="1" ref="R94" ca="1">VLOOKUP(INDIRECT("A"&amp;ROW()), 'Recent Changes'!A:G, 4, FALSE)</f>
        <v>NULL</v>
      </c>
      <c r="S94" t="str" cm="1">
        <f t="array" aca="1" ref="S94" ca="1">VLOOKUP(INDIRECT("A"&amp;ROW()), 'Recent Changes'!A:G, 5, FALSE)</f>
        <v>2023-11-08T13:37:27Z</v>
      </c>
      <c r="T94" t="str" cm="1">
        <f t="array" aca="1" ref="T94" ca="1">VLOOKUP(INDIRECT("A"&amp;ROW()), 'Recent Changes'!A:G, 6, FALSE)</f>
        <v>NULL</v>
      </c>
      <c r="U94" t="str" cm="1">
        <f t="array" aca="1" ref="U94" ca="1">VLOOKUP(INDIRECT("A"&amp;ROW()), 'Recent Changes'!A:G, 7, FALSE)</f>
        <v>2023-09-21T19:27:30Z</v>
      </c>
      <c r="V94" t="str" cm="1">
        <f t="array" aca="1" ref="V94" ca="1">VLOOKUP(INDIRECT("A"&amp;ROW()), 'Recent Changes'!A:H, 8, FALSE)</f>
        <v>2023-11-08T16:10:49Z</v>
      </c>
    </row>
    <row r="95" spans="1:22" x14ac:dyDescent="0.25">
      <c r="A95">
        <v>16681476</v>
      </c>
      <c r="B95" t="s" cm="1">
        <v>430</v>
      </c>
      <c r="C95">
        <v>61</v>
      </c>
      <c r="G95" t="e" cm="1">
        <v>#N/A</v>
      </c>
      <c r="H95" t="s">
        <v>14</v>
      </c>
      <c r="I95" t="s">
        <v>14</v>
      </c>
      <c r="J95" t="s">
        <v>30</v>
      </c>
      <c r="K95" t="s">
        <v>44</v>
      </c>
      <c r="L95" t="s">
        <v>1346</v>
      </c>
      <c r="M95" t="s">
        <v>78</v>
      </c>
      <c r="N95" t="s">
        <v>83</v>
      </c>
      <c r="P95" t="str" cm="1">
        <f t="array" aca="1" ref="P95" ca="1">VLOOKUP(INDIRECT("A"&amp;ROW()), 'Recent Changes'!A:G, 2, FALSE)</f>
        <v>NULL</v>
      </c>
      <c r="Q95" t="str" cm="1">
        <f t="array" aca="1" ref="Q95" ca="1">VLOOKUP(INDIRECT("A"&amp;ROW()), 'Recent Changes'!A:G, 3, FALSE)</f>
        <v>NULL</v>
      </c>
      <c r="R95" t="str" cm="1">
        <f t="array" aca="1" ref="R95" ca="1">VLOOKUP(INDIRECT("A"&amp;ROW()), 'Recent Changes'!A:G, 4, FALSE)</f>
        <v>NULL</v>
      </c>
      <c r="S95" t="str" cm="1">
        <f t="array" aca="1" ref="S95" ca="1">VLOOKUP(INDIRECT("A"&amp;ROW()), 'Recent Changes'!A:G, 5, FALSE)</f>
        <v>2023-11-28T22:26:43Z</v>
      </c>
      <c r="T95" t="str" cm="1">
        <f t="array" aca="1" ref="T95" ca="1">VLOOKUP(INDIRECT("A"&amp;ROW()), 'Recent Changes'!A:G, 6, FALSE)</f>
        <v>NULL</v>
      </c>
      <c r="U95" t="str" cm="1">
        <f t="array" aca="1" ref="U95" ca="1">VLOOKUP(INDIRECT("A"&amp;ROW()), 'Recent Changes'!A:G, 7, FALSE)</f>
        <v>NULL</v>
      </c>
      <c r="V95" t="str" cm="1">
        <f t="array" aca="1" ref="V95" ca="1">VLOOKUP(INDIRECT("A"&amp;ROW()), 'Recent Changes'!A:H, 8, FALSE)</f>
        <v>2023-11-29T08:23:19Z</v>
      </c>
    </row>
    <row r="96" spans="1:22" x14ac:dyDescent="0.25">
      <c r="A96">
        <v>16740646</v>
      </c>
      <c r="B96" t="s" cm="1">
        <v>430</v>
      </c>
      <c r="C96">
        <v>61</v>
      </c>
      <c r="G96" t="e" cm="1">
        <v>#N/A</v>
      </c>
      <c r="H96" t="s">
        <v>14</v>
      </c>
      <c r="I96" t="s">
        <v>14</v>
      </c>
      <c r="J96" t="s">
        <v>26</v>
      </c>
      <c r="K96" t="s">
        <v>44</v>
      </c>
      <c r="L96" t="s">
        <v>507</v>
      </c>
      <c r="M96" t="s">
        <v>78</v>
      </c>
      <c r="N96" t="s">
        <v>83</v>
      </c>
      <c r="P96" t="str" cm="1">
        <f t="array" aca="1" ref="P96" ca="1">VLOOKUP(INDIRECT("A"&amp;ROW()), 'Recent Changes'!A:G, 2, FALSE)</f>
        <v>NULL</v>
      </c>
      <c r="Q96" t="str" cm="1">
        <f t="array" aca="1" ref="Q96" ca="1">VLOOKUP(INDIRECT("A"&amp;ROW()), 'Recent Changes'!A:G, 3, FALSE)</f>
        <v>NULL</v>
      </c>
      <c r="R96" t="str" cm="1">
        <f t="array" aca="1" ref="R96" ca="1">VLOOKUP(INDIRECT("A"&amp;ROW()), 'Recent Changes'!A:G, 4, FALSE)</f>
        <v>NULL</v>
      </c>
      <c r="S96" t="str" cm="1">
        <f t="array" aca="1" ref="S96" ca="1">VLOOKUP(INDIRECT("A"&amp;ROW()), 'Recent Changes'!A:G, 5, FALSE)</f>
        <v>2023-11-28T22:24:36Z</v>
      </c>
      <c r="T96" t="str" cm="1">
        <f t="array" aca="1" ref="T96" ca="1">VLOOKUP(INDIRECT("A"&amp;ROW()), 'Recent Changes'!A:G, 6, FALSE)</f>
        <v>NULL</v>
      </c>
      <c r="U96" t="str" cm="1">
        <f t="array" aca="1" ref="U96" ca="1">VLOOKUP(INDIRECT("A"&amp;ROW()), 'Recent Changes'!A:G, 7, FALSE)</f>
        <v>NULL</v>
      </c>
      <c r="V96" t="str" cm="1">
        <f t="array" aca="1" ref="V96" ca="1">VLOOKUP(INDIRECT("A"&amp;ROW()), 'Recent Changes'!A:H, 8, FALSE)</f>
        <v>2023-11-29T08:28:57Z</v>
      </c>
    </row>
    <row r="97" spans="1:22" x14ac:dyDescent="0.25">
      <c r="A97">
        <v>17420040</v>
      </c>
      <c r="B97" t="s" cm="1">
        <v>430</v>
      </c>
      <c r="C97">
        <v>60</v>
      </c>
      <c r="G97" t="e" cm="1">
        <v>#N/A</v>
      </c>
      <c r="H97" t="s">
        <v>14</v>
      </c>
      <c r="I97" t="s">
        <v>14</v>
      </c>
      <c r="J97" t="s">
        <v>30</v>
      </c>
      <c r="K97" t="s">
        <v>44</v>
      </c>
      <c r="L97" t="s">
        <v>443</v>
      </c>
      <c r="M97" t="s">
        <v>76</v>
      </c>
      <c r="N97" t="s">
        <v>83</v>
      </c>
      <c r="P97" t="str" cm="1">
        <f t="array" aca="1" ref="P97" ca="1">VLOOKUP(INDIRECT("A"&amp;ROW()), 'Recent Changes'!A:G, 2, FALSE)</f>
        <v>NULL</v>
      </c>
      <c r="Q97" t="str" cm="1">
        <f t="array" aca="1" ref="Q97" ca="1">VLOOKUP(INDIRECT("A"&amp;ROW()), 'Recent Changes'!A:G, 3, FALSE)</f>
        <v>NULL</v>
      </c>
      <c r="R97" t="str" cm="1">
        <f t="array" aca="1" ref="R97" ca="1">VLOOKUP(INDIRECT("A"&amp;ROW()), 'Recent Changes'!A:G, 4, FALSE)</f>
        <v>NULL</v>
      </c>
      <c r="S97" t="str" cm="1">
        <f t="array" aca="1" ref="S97" ca="1">VLOOKUP(INDIRECT("A"&amp;ROW()), 'Recent Changes'!A:G, 5, FALSE)</f>
        <v>NULL</v>
      </c>
      <c r="T97" t="str" cm="1">
        <f t="array" aca="1" ref="T97" ca="1">VLOOKUP(INDIRECT("A"&amp;ROW()), 'Recent Changes'!A:G, 6, FALSE)</f>
        <v>NULL</v>
      </c>
      <c r="U97" t="str" cm="1">
        <f t="array" aca="1" ref="U97" ca="1">VLOOKUP(INDIRECT("A"&amp;ROW()), 'Recent Changes'!A:G, 7, FALSE)</f>
        <v>2023-12-04T16:30:24Z</v>
      </c>
      <c r="V97" t="str" cm="1">
        <f t="array" aca="1" ref="V97" ca="1">VLOOKUP(INDIRECT("A"&amp;ROW()), 'Recent Changes'!A:H, 8, FALSE)</f>
        <v>2023-12-04T21:42:19Z</v>
      </c>
    </row>
    <row r="98" spans="1:22" x14ac:dyDescent="0.25">
      <c r="A98">
        <v>17419976</v>
      </c>
      <c r="B98" t="s" cm="1">
        <v>430</v>
      </c>
      <c r="C98">
        <v>60</v>
      </c>
      <c r="G98" t="e" cm="1">
        <v>#N/A</v>
      </c>
      <c r="H98" t="s">
        <v>14</v>
      </c>
      <c r="I98" t="s">
        <v>14</v>
      </c>
      <c r="J98" t="s">
        <v>30</v>
      </c>
      <c r="K98" t="s">
        <v>44</v>
      </c>
      <c r="L98" t="s">
        <v>58</v>
      </c>
      <c r="M98" t="s">
        <v>76</v>
      </c>
      <c r="N98" t="s">
        <v>83</v>
      </c>
      <c r="P98" t="str" cm="1">
        <f t="array" aca="1" ref="P98" ca="1">VLOOKUP(INDIRECT("A"&amp;ROW()), 'Recent Changes'!A:G, 2, FALSE)</f>
        <v>NULL</v>
      </c>
      <c r="Q98" t="str" cm="1">
        <f t="array" aca="1" ref="Q98" ca="1">VLOOKUP(INDIRECT("A"&amp;ROW()), 'Recent Changes'!A:G, 3, FALSE)</f>
        <v>NULL</v>
      </c>
      <c r="R98" t="str" cm="1">
        <f t="array" aca="1" ref="R98" ca="1">VLOOKUP(INDIRECT("A"&amp;ROW()), 'Recent Changes'!A:G, 4, FALSE)</f>
        <v>NULL</v>
      </c>
      <c r="S98" t="str" cm="1">
        <f t="array" aca="1" ref="S98" ca="1">VLOOKUP(INDIRECT("A"&amp;ROW()), 'Recent Changes'!A:G, 5, FALSE)</f>
        <v>2023-12-15T14:33:10Z</v>
      </c>
      <c r="T98" t="str" cm="1">
        <f t="array" aca="1" ref="T98" ca="1">VLOOKUP(INDIRECT("A"&amp;ROW()), 'Recent Changes'!A:G, 6, FALSE)</f>
        <v>NULL</v>
      </c>
      <c r="U98" t="str" cm="1">
        <f t="array" aca="1" ref="U98" ca="1">VLOOKUP(INDIRECT("A"&amp;ROW()), 'Recent Changes'!A:G, 7, FALSE)</f>
        <v>2023-12-06T12:28:19Z</v>
      </c>
      <c r="V98" t="str" cm="1">
        <f t="array" aca="1" ref="V98" ca="1">VLOOKUP(INDIRECT("A"&amp;ROW()), 'Recent Changes'!A:H, 8, FALSE)</f>
        <v>2023-12-15T16:10:26Z</v>
      </c>
    </row>
    <row r="99" spans="1:22" x14ac:dyDescent="0.25">
      <c r="A99">
        <v>17416134</v>
      </c>
      <c r="B99" t="s" cm="1">
        <v>430</v>
      </c>
      <c r="C99">
        <v>60</v>
      </c>
      <c r="G99" t="e" cm="1">
        <v>#N/A</v>
      </c>
      <c r="H99" t="s">
        <v>14</v>
      </c>
      <c r="I99" t="s">
        <v>14</v>
      </c>
      <c r="J99" t="s">
        <v>30</v>
      </c>
      <c r="K99" t="s">
        <v>44</v>
      </c>
      <c r="L99" t="s">
        <v>58</v>
      </c>
      <c r="M99" t="s">
        <v>76</v>
      </c>
      <c r="N99" t="s">
        <v>83</v>
      </c>
      <c r="P99" t="str" cm="1">
        <f t="array" aca="1" ref="P99" ca="1">VLOOKUP(INDIRECT("A"&amp;ROW()), 'Recent Changes'!A:G, 2, FALSE)</f>
        <v>NULL</v>
      </c>
      <c r="Q99" t="str" cm="1">
        <f t="array" aca="1" ref="Q99" ca="1">VLOOKUP(INDIRECT("A"&amp;ROW()), 'Recent Changes'!A:G, 3, FALSE)</f>
        <v>NULL</v>
      </c>
      <c r="R99" t="str" cm="1">
        <f t="array" aca="1" ref="R99" ca="1">VLOOKUP(INDIRECT("A"&amp;ROW()), 'Recent Changes'!A:G, 4, FALSE)</f>
        <v>NULL</v>
      </c>
      <c r="S99" t="str" cm="1">
        <f t="array" aca="1" ref="S99" ca="1">VLOOKUP(INDIRECT("A"&amp;ROW()), 'Recent Changes'!A:G, 5, FALSE)</f>
        <v>2023-12-14T20:14:15Z</v>
      </c>
      <c r="T99" t="str" cm="1">
        <f t="array" aca="1" ref="T99" ca="1">VLOOKUP(INDIRECT("A"&amp;ROW()), 'Recent Changes'!A:G, 6, FALSE)</f>
        <v>NULL</v>
      </c>
      <c r="U99" t="str" cm="1">
        <f t="array" aca="1" ref="U99" ca="1">VLOOKUP(INDIRECT("A"&amp;ROW()), 'Recent Changes'!A:G, 7, FALSE)</f>
        <v>2023-12-07T15:43:38Z</v>
      </c>
      <c r="V99" t="str" cm="1">
        <f t="array" aca="1" ref="V99" ca="1">VLOOKUP(INDIRECT("A"&amp;ROW()), 'Recent Changes'!A:H, 8, FALSE)</f>
        <v>2023-12-14T21:09:13Z</v>
      </c>
    </row>
    <row r="100" spans="1:22" x14ac:dyDescent="0.25">
      <c r="A100">
        <v>17427684</v>
      </c>
      <c r="B100" t="s" cm="1">
        <v>430</v>
      </c>
      <c r="C100">
        <v>59</v>
      </c>
      <c r="G100" t="e" cm="1">
        <v>#N/A</v>
      </c>
      <c r="H100" t="s">
        <v>14</v>
      </c>
      <c r="I100" t="s">
        <v>14</v>
      </c>
      <c r="J100" t="s">
        <v>30</v>
      </c>
      <c r="K100" t="s">
        <v>44</v>
      </c>
      <c r="L100" t="s">
        <v>63</v>
      </c>
      <c r="M100" t="s">
        <v>76</v>
      </c>
      <c r="N100" t="s">
        <v>83</v>
      </c>
      <c r="P100" t="str" cm="1">
        <f t="array" aca="1" ref="P100" ca="1">VLOOKUP(INDIRECT("A"&amp;ROW()), 'Recent Changes'!A:G, 2, FALSE)</f>
        <v>NULL</v>
      </c>
      <c r="Q100" t="str" cm="1">
        <f t="array" aca="1" ref="Q100" ca="1">VLOOKUP(INDIRECT("A"&amp;ROW()), 'Recent Changes'!A:G, 3, FALSE)</f>
        <v>NULL</v>
      </c>
      <c r="R100" t="str" cm="1">
        <f t="array" aca="1" ref="R100" ca="1">VLOOKUP(INDIRECT("A"&amp;ROW()), 'Recent Changes'!A:G, 4, FALSE)</f>
        <v>NULL</v>
      </c>
      <c r="S100" t="str" cm="1">
        <f t="array" aca="1" ref="S100" ca="1">VLOOKUP(INDIRECT("A"&amp;ROW()), 'Recent Changes'!A:G, 5, FALSE)</f>
        <v>NULL</v>
      </c>
      <c r="T100" t="str" cm="1">
        <f t="array" aca="1" ref="T100" ca="1">VLOOKUP(INDIRECT("A"&amp;ROW()), 'Recent Changes'!A:G, 6, FALSE)</f>
        <v>NULL</v>
      </c>
      <c r="U100" t="str" cm="1">
        <f t="array" aca="1" ref="U100" ca="1">VLOOKUP(INDIRECT("A"&amp;ROW()), 'Recent Changes'!A:G, 7, FALSE)</f>
        <v>2023-12-04T16:38:23Z</v>
      </c>
      <c r="V100" t="str" cm="1">
        <f t="array" aca="1" ref="V100" ca="1">VLOOKUP(INDIRECT("A"&amp;ROW()), 'Recent Changes'!A:H, 8, FALSE)</f>
        <v>2023-12-04T21:37:55Z</v>
      </c>
    </row>
    <row r="101" spans="1:22" x14ac:dyDescent="0.25">
      <c r="A101">
        <v>17427157</v>
      </c>
      <c r="B101" t="s" cm="1">
        <v>430</v>
      </c>
      <c r="C101">
        <v>59</v>
      </c>
      <c r="G101" t="e" cm="1">
        <v>#N/A</v>
      </c>
      <c r="H101" t="s">
        <v>14</v>
      </c>
      <c r="I101" t="s">
        <v>14</v>
      </c>
      <c r="J101" t="s">
        <v>30</v>
      </c>
      <c r="K101" t="s">
        <v>44</v>
      </c>
      <c r="L101" t="s">
        <v>2004</v>
      </c>
      <c r="M101" t="s">
        <v>76</v>
      </c>
      <c r="N101" t="s">
        <v>83</v>
      </c>
      <c r="P101" t="str" cm="1">
        <f t="array" aca="1" ref="P101" ca="1">VLOOKUP(INDIRECT("A"&amp;ROW()), 'Recent Changes'!A:G, 2, FALSE)</f>
        <v>NULL</v>
      </c>
      <c r="Q101" t="str" cm="1">
        <f t="array" aca="1" ref="Q101" ca="1">VLOOKUP(INDIRECT("A"&amp;ROW()), 'Recent Changes'!A:G, 3, FALSE)</f>
        <v>NULL</v>
      </c>
      <c r="R101" t="str" cm="1">
        <f t="array" aca="1" ref="R101" ca="1">VLOOKUP(INDIRECT("A"&amp;ROW()), 'Recent Changes'!A:G, 4, FALSE)</f>
        <v>NULL</v>
      </c>
      <c r="S101" t="str" cm="1">
        <f t="array" aca="1" ref="S101" ca="1">VLOOKUP(INDIRECT("A"&amp;ROW()), 'Recent Changes'!A:G, 5, FALSE)</f>
        <v>2023-11-29T14:19:19Z</v>
      </c>
      <c r="T101" t="str" cm="1">
        <f t="array" aca="1" ref="T101" ca="1">VLOOKUP(INDIRECT("A"&amp;ROW()), 'Recent Changes'!A:G, 6, FALSE)</f>
        <v>NULL</v>
      </c>
      <c r="U101" t="str" cm="1">
        <f t="array" aca="1" ref="U101" ca="1">VLOOKUP(INDIRECT("A"&amp;ROW()), 'Recent Changes'!A:G, 7, FALSE)</f>
        <v>NULL</v>
      </c>
      <c r="V101" t="str" cm="1">
        <f t="array" aca="1" ref="V101" ca="1">VLOOKUP(INDIRECT("A"&amp;ROW()), 'Recent Changes'!A:H, 8, FALSE)</f>
        <v>2023-11-29T16:29:36Z</v>
      </c>
    </row>
    <row r="102" spans="1:22" x14ac:dyDescent="0.25">
      <c r="A102">
        <v>17428424</v>
      </c>
      <c r="B102" t="s" cm="1">
        <v>430</v>
      </c>
      <c r="C102">
        <v>58</v>
      </c>
      <c r="G102" t="e" cm="1">
        <v>#N/A</v>
      </c>
      <c r="H102" t="s">
        <v>14</v>
      </c>
      <c r="I102" t="s">
        <v>14</v>
      </c>
      <c r="J102" t="s">
        <v>30</v>
      </c>
      <c r="K102" t="s">
        <v>49</v>
      </c>
      <c r="L102" t="s">
        <v>2005</v>
      </c>
      <c r="M102" t="s">
        <v>78</v>
      </c>
      <c r="N102" t="s">
        <v>83</v>
      </c>
      <c r="P102" t="str" cm="1">
        <f t="array" aca="1" ref="P102" ca="1">VLOOKUP(INDIRECT("A"&amp;ROW()), 'Recent Changes'!A:G, 2, FALSE)</f>
        <v>NULL</v>
      </c>
      <c r="Q102" t="str" cm="1">
        <f t="array" aca="1" ref="Q102" ca="1">VLOOKUP(INDIRECT("A"&amp;ROW()), 'Recent Changes'!A:G, 3, FALSE)</f>
        <v>NULL</v>
      </c>
      <c r="R102" t="str" cm="1">
        <f t="array" aca="1" ref="R102" ca="1">VLOOKUP(INDIRECT("A"&amp;ROW()), 'Recent Changes'!A:G, 4, FALSE)</f>
        <v>NULL</v>
      </c>
      <c r="S102" t="str" cm="1">
        <f t="array" aca="1" ref="S102" ca="1">VLOOKUP(INDIRECT("A"&amp;ROW()), 'Recent Changes'!A:G, 5, FALSE)</f>
        <v>NULL</v>
      </c>
      <c r="T102" t="str" cm="1">
        <f t="array" aca="1" ref="T102" ca="1">VLOOKUP(INDIRECT("A"&amp;ROW()), 'Recent Changes'!A:G, 6, FALSE)</f>
        <v>NULL</v>
      </c>
      <c r="U102" t="str" cm="1">
        <f t="array" aca="1" ref="U102" ca="1">VLOOKUP(INDIRECT("A"&amp;ROW()), 'Recent Changes'!A:G, 7, FALSE)</f>
        <v>2023-12-13T16:43:22Z</v>
      </c>
      <c r="V102" t="str" cm="1">
        <f t="array" aca="1" ref="V102" ca="1">VLOOKUP(INDIRECT("A"&amp;ROW()), 'Recent Changes'!A:H, 8, FALSE)</f>
        <v>2023-12-13T21:17:19Z</v>
      </c>
    </row>
    <row r="103" spans="1:22" x14ac:dyDescent="0.25">
      <c r="A103">
        <v>16935601</v>
      </c>
      <c r="B103" t="s" cm="1">
        <v>430</v>
      </c>
      <c r="C103">
        <v>56</v>
      </c>
      <c r="G103" t="e" cm="1">
        <v>#N/A</v>
      </c>
      <c r="H103" t="s">
        <v>14</v>
      </c>
      <c r="I103" t="s">
        <v>14</v>
      </c>
      <c r="J103" t="s">
        <v>30</v>
      </c>
      <c r="K103" t="s">
        <v>44</v>
      </c>
      <c r="L103" t="s">
        <v>2006</v>
      </c>
      <c r="M103" t="s">
        <v>78</v>
      </c>
      <c r="N103" t="s">
        <v>83</v>
      </c>
      <c r="P103" t="str" cm="1">
        <f t="array" aca="1" ref="P103" ca="1">VLOOKUP(INDIRECT("A"&amp;ROW()), 'Recent Changes'!A:G, 2, FALSE)</f>
        <v>NULL</v>
      </c>
      <c r="Q103" t="str" cm="1">
        <f t="array" aca="1" ref="Q103" ca="1">VLOOKUP(INDIRECT("A"&amp;ROW()), 'Recent Changes'!A:G, 3, FALSE)</f>
        <v>NULL</v>
      </c>
      <c r="R103" t="str" cm="1">
        <f t="array" aca="1" ref="R103" ca="1">VLOOKUP(INDIRECT("A"&amp;ROW()), 'Recent Changes'!A:G, 4, FALSE)</f>
        <v>NULL</v>
      </c>
      <c r="S103" t="str" cm="1">
        <f t="array" aca="1" ref="S103" ca="1">VLOOKUP(INDIRECT("A"&amp;ROW()), 'Recent Changes'!A:G, 5, FALSE)</f>
        <v>2023-11-13T19:16:37Z</v>
      </c>
      <c r="T103" t="str" cm="1">
        <f t="array" aca="1" ref="T103" ca="1">VLOOKUP(INDIRECT("A"&amp;ROW()), 'Recent Changes'!A:G, 6, FALSE)</f>
        <v>NULL</v>
      </c>
      <c r="U103" t="str" cm="1">
        <f t="array" aca="1" ref="U103" ca="1">VLOOKUP(INDIRECT("A"&amp;ROW()), 'Recent Changes'!A:G, 7, FALSE)</f>
        <v>NULL</v>
      </c>
      <c r="V103" t="str" cm="1">
        <f t="array" aca="1" ref="V103" ca="1">VLOOKUP(INDIRECT("A"&amp;ROW()), 'Recent Changes'!A:H, 8, FALSE)</f>
        <v>2023-11-13T21:38:14Z</v>
      </c>
    </row>
    <row r="104" spans="1:22" x14ac:dyDescent="0.25">
      <c r="A104">
        <v>17440407</v>
      </c>
      <c r="B104" t="s" cm="1">
        <v>430</v>
      </c>
      <c r="C104">
        <v>55</v>
      </c>
      <c r="G104" t="e" cm="1">
        <v>#N/A</v>
      </c>
      <c r="H104" t="s">
        <v>14</v>
      </c>
      <c r="I104" t="s">
        <v>14</v>
      </c>
      <c r="J104" t="s">
        <v>30</v>
      </c>
      <c r="K104" t="s">
        <v>44</v>
      </c>
      <c r="L104" t="s">
        <v>1709</v>
      </c>
      <c r="M104" t="s">
        <v>76</v>
      </c>
      <c r="N104" t="s">
        <v>83</v>
      </c>
      <c r="P104" t="str" cm="1">
        <f t="array" aca="1" ref="P104" ca="1">VLOOKUP(INDIRECT("A"&amp;ROW()), 'Recent Changes'!A:G, 2, FALSE)</f>
        <v>NULL</v>
      </c>
      <c r="Q104" t="str" cm="1">
        <f t="array" aca="1" ref="Q104" ca="1">VLOOKUP(INDIRECT("A"&amp;ROW()), 'Recent Changes'!A:G, 3, FALSE)</f>
        <v>NULL</v>
      </c>
      <c r="R104" t="str" cm="1">
        <f t="array" aca="1" ref="R104" ca="1">VLOOKUP(INDIRECT("A"&amp;ROW()), 'Recent Changes'!A:G, 4, FALSE)</f>
        <v>NULL</v>
      </c>
      <c r="S104" t="str" cm="1">
        <f t="array" aca="1" ref="S104" ca="1">VLOOKUP(INDIRECT("A"&amp;ROW()), 'Recent Changes'!A:G, 5, FALSE)</f>
        <v>2023-12-11T17:10:35Z</v>
      </c>
      <c r="T104" t="str" cm="1">
        <f t="array" aca="1" ref="T104" ca="1">VLOOKUP(INDIRECT("A"&amp;ROW()), 'Recent Changes'!A:G, 6, FALSE)</f>
        <v>NULL</v>
      </c>
      <c r="U104" t="str" cm="1">
        <f t="array" aca="1" ref="U104" ca="1">VLOOKUP(INDIRECT("A"&amp;ROW()), 'Recent Changes'!A:G, 7, FALSE)</f>
        <v>2023-12-07T01:27:52Z</v>
      </c>
      <c r="V104" t="str" cm="1">
        <f t="array" aca="1" ref="V104" ca="1">VLOOKUP(INDIRECT("A"&amp;ROW()), 'Recent Changes'!A:H, 8, FALSE)</f>
        <v>2023-12-11T21:03:51Z</v>
      </c>
    </row>
    <row r="105" spans="1:22" x14ac:dyDescent="0.25">
      <c r="A105">
        <v>17436945</v>
      </c>
      <c r="B105" t="s">
        <v>430</v>
      </c>
      <c r="C105">
        <v>55</v>
      </c>
      <c r="G105" t="e" cm="1">
        <v>#N/A</v>
      </c>
      <c r="H105" t="s">
        <v>14</v>
      </c>
      <c r="I105" t="s">
        <v>14</v>
      </c>
      <c r="J105" t="s">
        <v>21</v>
      </c>
      <c r="K105" t="s">
        <v>49</v>
      </c>
      <c r="L105" t="s">
        <v>396</v>
      </c>
      <c r="M105" t="s">
        <v>76</v>
      </c>
      <c r="N105" t="s">
        <v>83</v>
      </c>
      <c r="P105" t="str" cm="1">
        <f t="array" aca="1" ref="P105" ca="1">VLOOKUP(INDIRECT("A"&amp;ROW()), 'Recent Changes'!A:G, 2, FALSE)</f>
        <v>NULL</v>
      </c>
      <c r="Q105" t="str" cm="1">
        <f t="array" aca="1" ref="Q105" ca="1">VLOOKUP(INDIRECT("A"&amp;ROW()), 'Recent Changes'!A:G, 3, FALSE)</f>
        <v>NULL</v>
      </c>
      <c r="R105" t="str" cm="1">
        <f t="array" aca="1" ref="R105" ca="1">VLOOKUP(INDIRECT("A"&amp;ROW()), 'Recent Changes'!A:G, 4, FALSE)</f>
        <v>NULL</v>
      </c>
      <c r="S105" t="str" cm="1">
        <f t="array" aca="1" ref="S105" ca="1">VLOOKUP(INDIRECT("A"&amp;ROW()), 'Recent Changes'!A:G, 5, FALSE)</f>
        <v>NULL</v>
      </c>
      <c r="T105" t="str" cm="1">
        <f t="array" aca="1" ref="T105" ca="1">VLOOKUP(INDIRECT("A"&amp;ROW()), 'Recent Changes'!A:G, 6, FALSE)</f>
        <v>NULL</v>
      </c>
      <c r="U105" t="str" cm="1">
        <f t="array" aca="1" ref="U105" ca="1">VLOOKUP(INDIRECT("A"&amp;ROW()), 'Recent Changes'!A:G, 7, FALSE)</f>
        <v>2023-12-19T13:04:10Z</v>
      </c>
      <c r="V105" t="str" cm="1">
        <f t="array" aca="1" ref="V105" ca="1">VLOOKUP(INDIRECT("A"&amp;ROW()), 'Recent Changes'!A:H, 8, FALSE)</f>
        <v>2023-12-19T16:20:10Z</v>
      </c>
    </row>
    <row r="106" spans="1:22" x14ac:dyDescent="0.25">
      <c r="A106">
        <v>17449918</v>
      </c>
      <c r="B106" t="s">
        <v>430</v>
      </c>
      <c r="C106">
        <v>54</v>
      </c>
      <c r="G106" t="e" cm="1">
        <v>#N/A</v>
      </c>
      <c r="H106" t="s">
        <v>14</v>
      </c>
      <c r="I106" t="s">
        <v>14</v>
      </c>
      <c r="J106" t="s">
        <v>24</v>
      </c>
      <c r="K106" t="s">
        <v>44</v>
      </c>
      <c r="L106" t="s">
        <v>391</v>
      </c>
      <c r="M106" t="s">
        <v>76</v>
      </c>
      <c r="N106" t="s">
        <v>83</v>
      </c>
      <c r="P106" t="str" cm="1">
        <f t="array" aca="1" ref="P106" ca="1">VLOOKUP(INDIRECT("A"&amp;ROW()), 'Recent Changes'!A:G, 2, FALSE)</f>
        <v>NULL</v>
      </c>
      <c r="Q106" t="str" cm="1">
        <f t="array" aca="1" ref="Q106" ca="1">VLOOKUP(INDIRECT("A"&amp;ROW()), 'Recent Changes'!A:G, 3, FALSE)</f>
        <v>NULL</v>
      </c>
      <c r="R106" t="str" cm="1">
        <f t="array" aca="1" ref="R106" ca="1">VLOOKUP(INDIRECT("A"&amp;ROW()), 'Recent Changes'!A:G, 4, FALSE)</f>
        <v>NULL</v>
      </c>
      <c r="S106" t="str" cm="1">
        <f t="array" aca="1" ref="S106" ca="1">VLOOKUP(INDIRECT("A"&amp;ROW()), 'Recent Changes'!A:G, 5, FALSE)</f>
        <v>2024-01-01T12:42:27Z</v>
      </c>
      <c r="T106" t="str" cm="1">
        <f t="array" aca="1" ref="T106" ca="1">VLOOKUP(INDIRECT("A"&amp;ROW()), 'Recent Changes'!A:G, 6, FALSE)</f>
        <v>NULL</v>
      </c>
      <c r="U106" t="str" cm="1">
        <f t="array" aca="1" ref="U106" ca="1">VLOOKUP(INDIRECT("A"&amp;ROW()), 'Recent Changes'!A:G, 7, FALSE)</f>
        <v>NULL</v>
      </c>
      <c r="V106" t="str" cm="1">
        <f t="array" aca="1" ref="V106" ca="1">VLOOKUP(INDIRECT("A"&amp;ROW()), 'Recent Changes'!A:H, 8, FALSE)</f>
        <v>2024-01-02T16:06:50Z</v>
      </c>
    </row>
    <row r="107" spans="1:22" x14ac:dyDescent="0.25">
      <c r="A107">
        <v>17449744</v>
      </c>
      <c r="B107" t="s" cm="1">
        <v>430</v>
      </c>
      <c r="C107">
        <v>54</v>
      </c>
      <c r="G107" t="e" cm="1">
        <v>#N/A</v>
      </c>
      <c r="H107" t="s">
        <v>14</v>
      </c>
      <c r="I107" t="s">
        <v>14</v>
      </c>
      <c r="J107" t="s">
        <v>18</v>
      </c>
      <c r="K107" t="s">
        <v>44</v>
      </c>
      <c r="L107" t="s">
        <v>395</v>
      </c>
      <c r="M107" t="s">
        <v>76</v>
      </c>
      <c r="N107" t="s">
        <v>83</v>
      </c>
      <c r="P107" t="str" cm="1">
        <f t="array" aca="1" ref="P107" ca="1">VLOOKUP(INDIRECT("A"&amp;ROW()), 'Recent Changes'!A:G, 2, FALSE)</f>
        <v>NULL</v>
      </c>
      <c r="Q107" t="str" cm="1">
        <f t="array" aca="1" ref="Q107" ca="1">VLOOKUP(INDIRECT("A"&amp;ROW()), 'Recent Changes'!A:G, 3, FALSE)</f>
        <v>NULL</v>
      </c>
      <c r="R107" t="str" cm="1">
        <f t="array" aca="1" ref="R107" ca="1">VLOOKUP(INDIRECT("A"&amp;ROW()), 'Recent Changes'!A:G, 4, FALSE)</f>
        <v>NULL</v>
      </c>
      <c r="S107" t="str" cm="1">
        <f t="array" aca="1" ref="S107" ca="1">VLOOKUP(INDIRECT("A"&amp;ROW()), 'Recent Changes'!A:G, 5, FALSE)</f>
        <v>2023-12-21T11:36:49Z</v>
      </c>
      <c r="T107" t="str" cm="1">
        <f t="array" aca="1" ref="T107" ca="1">VLOOKUP(INDIRECT("A"&amp;ROW()), 'Recent Changes'!A:G, 6, FALSE)</f>
        <v>NULL</v>
      </c>
      <c r="U107" t="str" cm="1">
        <f t="array" aca="1" ref="U107" ca="1">VLOOKUP(INDIRECT("A"&amp;ROW()), 'Recent Changes'!A:G, 7, FALSE)</f>
        <v>2023-12-07T18:08:51Z</v>
      </c>
      <c r="V107" t="str" cm="1">
        <f t="array" aca="1" ref="V107" ca="1">VLOOKUP(INDIRECT("A"&amp;ROW()), 'Recent Changes'!A:H, 8, FALSE)</f>
        <v>2023-12-21T16:02:15Z</v>
      </c>
    </row>
    <row r="108" spans="1:22" x14ac:dyDescent="0.25">
      <c r="A108">
        <v>17448947</v>
      </c>
      <c r="B108" t="s" cm="1">
        <v>430</v>
      </c>
      <c r="C108">
        <v>54</v>
      </c>
      <c r="G108" t="e" cm="1">
        <v>#N/A</v>
      </c>
      <c r="H108" t="s">
        <v>14</v>
      </c>
      <c r="I108" t="s">
        <v>14</v>
      </c>
      <c r="J108" t="s">
        <v>30</v>
      </c>
      <c r="K108" t="s">
        <v>44</v>
      </c>
      <c r="L108" t="s">
        <v>2007</v>
      </c>
      <c r="M108" t="s">
        <v>78</v>
      </c>
      <c r="N108" t="s">
        <v>83</v>
      </c>
      <c r="P108" t="str" cm="1">
        <f t="array" aca="1" ref="P108" ca="1">VLOOKUP(INDIRECT("A"&amp;ROW()), 'Recent Changes'!A:G, 2, FALSE)</f>
        <v>NULL</v>
      </c>
      <c r="Q108" t="str" cm="1">
        <f t="array" aca="1" ref="Q108" ca="1">VLOOKUP(INDIRECT("A"&amp;ROW()), 'Recent Changes'!A:G, 3, FALSE)</f>
        <v>NULL</v>
      </c>
      <c r="R108" t="str" cm="1">
        <f t="array" aca="1" ref="R108" ca="1">VLOOKUP(INDIRECT("A"&amp;ROW()), 'Recent Changes'!A:G, 4, FALSE)</f>
        <v>NULL</v>
      </c>
      <c r="S108" t="str" cm="1">
        <f t="array" aca="1" ref="S108" ca="1">VLOOKUP(INDIRECT("A"&amp;ROW()), 'Recent Changes'!A:G, 5, FALSE)</f>
        <v>2023-12-19T21:37:11Z</v>
      </c>
      <c r="T108" t="str" cm="1">
        <f t="array" aca="1" ref="T108" ca="1">VLOOKUP(INDIRECT("A"&amp;ROW()), 'Recent Changes'!A:G, 6, FALSE)</f>
        <v>NULL</v>
      </c>
      <c r="U108" t="str" cm="1">
        <f t="array" aca="1" ref="U108" ca="1">VLOOKUP(INDIRECT("A"&amp;ROW()), 'Recent Changes'!A:G, 7, FALSE)</f>
        <v>NULL</v>
      </c>
      <c r="V108" t="str" cm="1">
        <f t="array" aca="1" ref="V108" ca="1">VLOOKUP(INDIRECT("A"&amp;ROW()), 'Recent Changes'!A:H, 8, FALSE)</f>
        <v>2023-12-20T07:42:12Z</v>
      </c>
    </row>
    <row r="109" spans="1:22" x14ac:dyDescent="0.25">
      <c r="A109">
        <v>17448260</v>
      </c>
      <c r="B109" t="s" cm="1">
        <v>430</v>
      </c>
      <c r="C109">
        <v>54</v>
      </c>
      <c r="G109" t="e" cm="1">
        <v>#N/A</v>
      </c>
      <c r="H109" t="s">
        <v>14</v>
      </c>
      <c r="I109" t="s">
        <v>14</v>
      </c>
      <c r="J109" t="s">
        <v>30</v>
      </c>
      <c r="K109" t="s">
        <v>48</v>
      </c>
      <c r="L109" t="s">
        <v>507</v>
      </c>
      <c r="M109" t="s">
        <v>78</v>
      </c>
      <c r="N109" t="s">
        <v>83</v>
      </c>
      <c r="P109" t="str" cm="1">
        <f t="array" aca="1" ref="P109" ca="1">VLOOKUP(INDIRECT("A"&amp;ROW()), 'Recent Changes'!A:G, 2, FALSE)</f>
        <v>NULL</v>
      </c>
      <c r="Q109" t="str" cm="1">
        <f t="array" aca="1" ref="Q109" ca="1">VLOOKUP(INDIRECT("A"&amp;ROW()), 'Recent Changes'!A:G, 3, FALSE)</f>
        <v>NULL</v>
      </c>
      <c r="R109" t="str" cm="1">
        <f t="array" aca="1" ref="R109" ca="1">VLOOKUP(INDIRECT("A"&amp;ROW()), 'Recent Changes'!A:G, 4, FALSE)</f>
        <v>NULL</v>
      </c>
      <c r="S109" t="str" cm="1">
        <f t="array" aca="1" ref="S109" ca="1">VLOOKUP(INDIRECT("A"&amp;ROW()), 'Recent Changes'!A:G, 5, FALSE)</f>
        <v>2023-12-05T14:45:44Z</v>
      </c>
      <c r="T109" t="str" cm="1">
        <f t="array" aca="1" ref="T109" ca="1">VLOOKUP(INDIRECT("A"&amp;ROW()), 'Recent Changes'!A:G, 6, FALSE)</f>
        <v>NULL</v>
      </c>
      <c r="U109" t="str" cm="1">
        <f t="array" aca="1" ref="U109" ca="1">VLOOKUP(INDIRECT("A"&amp;ROW()), 'Recent Changes'!A:G, 7, FALSE)</f>
        <v>NULL</v>
      </c>
      <c r="V109" t="str" cm="1">
        <f t="array" aca="1" ref="V109" ca="1">VLOOKUP(INDIRECT("A"&amp;ROW()), 'Recent Changes'!A:H, 8, FALSE)</f>
        <v>2023-12-05T17:03:00Z</v>
      </c>
    </row>
    <row r="110" spans="1:22" x14ac:dyDescent="0.25">
      <c r="A110">
        <v>16617212</v>
      </c>
      <c r="B110" t="s" cm="1">
        <v>430</v>
      </c>
      <c r="C110">
        <v>53</v>
      </c>
      <c r="G110" t="e" cm="1">
        <v>#N/A</v>
      </c>
      <c r="H110" t="s">
        <v>14</v>
      </c>
      <c r="I110" t="s">
        <v>14</v>
      </c>
      <c r="J110" t="s">
        <v>30</v>
      </c>
      <c r="K110" t="s">
        <v>44</v>
      </c>
      <c r="L110" t="s">
        <v>1703</v>
      </c>
      <c r="M110" t="s">
        <v>78</v>
      </c>
      <c r="N110" t="s">
        <v>83</v>
      </c>
      <c r="P110" t="str" cm="1">
        <f t="array" aca="1" ref="P110" ca="1">VLOOKUP(INDIRECT("A"&amp;ROW()), 'Recent Changes'!A:G, 2, FALSE)</f>
        <v>NULL</v>
      </c>
      <c r="Q110" t="str" cm="1">
        <f t="array" aca="1" ref="Q110" ca="1">VLOOKUP(INDIRECT("A"&amp;ROW()), 'Recent Changes'!A:G, 3, FALSE)</f>
        <v>NULL</v>
      </c>
      <c r="R110" t="str" cm="1">
        <f t="array" aca="1" ref="R110" ca="1">VLOOKUP(INDIRECT("A"&amp;ROW()), 'Recent Changes'!A:G, 4, FALSE)</f>
        <v>NULL</v>
      </c>
      <c r="S110" t="str" cm="1">
        <f t="array" aca="1" ref="S110" ca="1">VLOOKUP(INDIRECT("A"&amp;ROW()), 'Recent Changes'!A:G, 5, FALSE)</f>
        <v>2023-11-16T19:14:39Z</v>
      </c>
      <c r="T110" t="str" cm="1">
        <f t="array" aca="1" ref="T110" ca="1">VLOOKUP(INDIRECT("A"&amp;ROW()), 'Recent Changes'!A:G, 6, FALSE)</f>
        <v>NULL</v>
      </c>
      <c r="U110" t="str" cm="1">
        <f t="array" aca="1" ref="U110" ca="1">VLOOKUP(INDIRECT("A"&amp;ROW()), 'Recent Changes'!A:G, 7, FALSE)</f>
        <v>NULL</v>
      </c>
      <c r="V110" t="str" cm="1">
        <f t="array" aca="1" ref="V110" ca="1">VLOOKUP(INDIRECT("A"&amp;ROW()), 'Recent Changes'!A:H, 8, FALSE)</f>
        <v>2023-11-16T21:17:08Z</v>
      </c>
    </row>
    <row r="111" spans="1:22" x14ac:dyDescent="0.25">
      <c r="A111">
        <v>17453337</v>
      </c>
      <c r="B111" t="s" cm="1">
        <v>433</v>
      </c>
      <c r="C111">
        <v>53</v>
      </c>
      <c r="G111" t="e" cm="1">
        <v>#N/A</v>
      </c>
      <c r="H111" t="s">
        <v>14</v>
      </c>
      <c r="I111" t="s">
        <v>14</v>
      </c>
      <c r="J111" t="s">
        <v>20</v>
      </c>
      <c r="K111" t="s">
        <v>44</v>
      </c>
      <c r="L111" t="s">
        <v>2008</v>
      </c>
      <c r="M111" t="s">
        <v>76</v>
      </c>
      <c r="N111" t="s">
        <v>83</v>
      </c>
      <c r="P111" t="str" cm="1">
        <f t="array" aca="1" ref="P111" ca="1">VLOOKUP(INDIRECT("A"&amp;ROW()), 'Recent Changes'!A:G, 2, FALSE)</f>
        <v>NULL</v>
      </c>
      <c r="Q111" t="str" cm="1">
        <f t="array" aca="1" ref="Q111" ca="1">VLOOKUP(INDIRECT("A"&amp;ROW()), 'Recent Changes'!A:G, 3, FALSE)</f>
        <v>NULL</v>
      </c>
      <c r="R111" t="str" cm="1">
        <f t="array" aca="1" ref="R111" ca="1">VLOOKUP(INDIRECT("A"&amp;ROW()), 'Recent Changes'!A:G, 4, FALSE)</f>
        <v>NULL</v>
      </c>
      <c r="S111" t="str" cm="1">
        <f t="array" aca="1" ref="S111" ca="1">VLOOKUP(INDIRECT("A"&amp;ROW()), 'Recent Changes'!A:G, 5, FALSE)</f>
        <v>2023-11-29T14:21:53Z</v>
      </c>
      <c r="T111" t="str" cm="1">
        <f t="array" aca="1" ref="T111" ca="1">VLOOKUP(INDIRECT("A"&amp;ROW()), 'Recent Changes'!A:G, 6, FALSE)</f>
        <v>NULL</v>
      </c>
      <c r="U111" t="str" cm="1">
        <f t="array" aca="1" ref="U111" ca="1">VLOOKUP(INDIRECT("A"&amp;ROW()), 'Recent Changes'!A:G, 7, FALSE)</f>
        <v>NULL</v>
      </c>
      <c r="V111" t="str" cm="1">
        <f t="array" aca="1" ref="V111" ca="1">VLOOKUP(INDIRECT("A"&amp;ROW()), 'Recent Changes'!A:H, 8, FALSE)</f>
        <v>2023-11-29T16:20:23Z</v>
      </c>
    </row>
    <row r="112" spans="1:22" x14ac:dyDescent="0.25">
      <c r="A112">
        <v>17073115</v>
      </c>
      <c r="B112" t="s">
        <v>430</v>
      </c>
      <c r="C112">
        <v>53</v>
      </c>
      <c r="G112" t="e" cm="1">
        <v>#N/A</v>
      </c>
      <c r="H112">
        <v>45196</v>
      </c>
      <c r="I112" t="s">
        <v>16</v>
      </c>
      <c r="J112" t="s">
        <v>21</v>
      </c>
      <c r="K112" t="s">
        <v>44</v>
      </c>
      <c r="L112" t="s">
        <v>2009</v>
      </c>
      <c r="M112" t="s">
        <v>76</v>
      </c>
      <c r="N112" t="s">
        <v>83</v>
      </c>
      <c r="O112" t="s">
        <v>431</v>
      </c>
      <c r="P112" t="str" cm="1">
        <f t="array" aca="1" ref="P112" ca="1">VLOOKUP(INDIRECT("A"&amp;ROW()), 'Recent Changes'!A:G, 2, FALSE)</f>
        <v>NULL</v>
      </c>
      <c r="Q112" t="str" cm="1">
        <f t="array" aca="1" ref="Q112" ca="1">VLOOKUP(INDIRECT("A"&amp;ROW()), 'Recent Changes'!A:G, 3, FALSE)</f>
        <v>NULL</v>
      </c>
      <c r="R112" t="str" cm="1">
        <f t="array" aca="1" ref="R112" ca="1">VLOOKUP(INDIRECT("A"&amp;ROW()), 'Recent Changes'!A:G, 4, FALSE)</f>
        <v>NULL</v>
      </c>
      <c r="S112" t="str" cm="1">
        <f t="array" aca="1" ref="S112" ca="1">VLOOKUP(INDIRECT("A"&amp;ROW()), 'Recent Changes'!A:G, 5, FALSE)</f>
        <v>NULL</v>
      </c>
      <c r="T112" t="str" cm="1">
        <f t="array" aca="1" ref="T112" ca="1">VLOOKUP(INDIRECT("A"&amp;ROW()), 'Recent Changes'!A:G, 6, FALSE)</f>
        <v>NULL</v>
      </c>
      <c r="U112" t="str" cm="1">
        <f t="array" aca="1" ref="U112" ca="1">VLOOKUP(INDIRECT("A"&amp;ROW()), 'Recent Changes'!A:G, 7, FALSE)</f>
        <v>NULL</v>
      </c>
      <c r="V112" t="str" cm="1">
        <f t="array" aca="1" ref="V112" ca="1">VLOOKUP(INDIRECT("A"&amp;ROW()), 'Recent Changes'!A:H, 8, FALSE)</f>
        <v>2023-12-20T21:42:12Z</v>
      </c>
    </row>
    <row r="113" spans="1:22" x14ac:dyDescent="0.25">
      <c r="A113">
        <v>16015473</v>
      </c>
      <c r="B113" t="s" cm="1">
        <v>430</v>
      </c>
      <c r="C113">
        <v>53</v>
      </c>
      <c r="G113" t="e" cm="1">
        <v>#N/A</v>
      </c>
      <c r="H113" t="s">
        <v>14</v>
      </c>
      <c r="I113" t="s">
        <v>14</v>
      </c>
      <c r="J113" t="s">
        <v>30</v>
      </c>
      <c r="K113" t="s">
        <v>44</v>
      </c>
      <c r="L113" t="s">
        <v>2010</v>
      </c>
      <c r="M113" t="s">
        <v>78</v>
      </c>
      <c r="N113" t="s">
        <v>83</v>
      </c>
      <c r="P113" t="str" cm="1">
        <f t="array" aca="1" ref="P113" ca="1">VLOOKUP(INDIRECT("A"&amp;ROW()), 'Recent Changes'!A:G, 2, FALSE)</f>
        <v>NULL</v>
      </c>
      <c r="Q113" t="str" cm="1">
        <f t="array" aca="1" ref="Q113" ca="1">VLOOKUP(INDIRECT("A"&amp;ROW()), 'Recent Changes'!A:G, 3, FALSE)</f>
        <v>NULL</v>
      </c>
      <c r="R113" t="str" cm="1">
        <f t="array" aca="1" ref="R113" ca="1">VLOOKUP(INDIRECT("A"&amp;ROW()), 'Recent Changes'!A:G, 4, FALSE)</f>
        <v>NULL</v>
      </c>
      <c r="S113" t="str" cm="1">
        <f t="array" aca="1" ref="S113" ca="1">VLOOKUP(INDIRECT("A"&amp;ROW()), 'Recent Changes'!A:G, 5, FALSE)</f>
        <v>2023-11-16T18:48:30Z</v>
      </c>
      <c r="T113" t="str" cm="1">
        <f t="array" aca="1" ref="T113" ca="1">VLOOKUP(INDIRECT("A"&amp;ROW()), 'Recent Changes'!A:G, 6, FALSE)</f>
        <v>NULL</v>
      </c>
      <c r="U113" t="str" cm="1">
        <f t="array" aca="1" ref="U113" ca="1">VLOOKUP(INDIRECT("A"&amp;ROW()), 'Recent Changes'!A:G, 7, FALSE)</f>
        <v>2023-11-16T17:14:12Z</v>
      </c>
      <c r="V113" t="str" cm="1">
        <f t="array" aca="1" ref="V113" ca="1">VLOOKUP(INDIRECT("A"&amp;ROW()), 'Recent Changes'!A:H, 8, FALSE)</f>
        <v>2023-11-16T21:28:24Z</v>
      </c>
    </row>
    <row r="114" spans="1:22" x14ac:dyDescent="0.25">
      <c r="A114">
        <v>17460392</v>
      </c>
      <c r="B114" t="s" cm="1">
        <v>430</v>
      </c>
      <c r="C114">
        <v>52</v>
      </c>
      <c r="G114" t="e" cm="1">
        <v>#N/A</v>
      </c>
      <c r="H114" t="s">
        <v>14</v>
      </c>
      <c r="I114" t="s">
        <v>14</v>
      </c>
      <c r="J114" t="s">
        <v>30</v>
      </c>
      <c r="K114" t="s">
        <v>50</v>
      </c>
      <c r="L114" t="s">
        <v>55</v>
      </c>
      <c r="M114" t="s">
        <v>76</v>
      </c>
      <c r="N114" t="s">
        <v>83</v>
      </c>
      <c r="P114" t="str" cm="1">
        <f t="array" aca="1" ref="P114" ca="1">VLOOKUP(INDIRECT("A"&amp;ROW()), 'Recent Changes'!A:G, 2, FALSE)</f>
        <v>NULL</v>
      </c>
      <c r="Q114" t="str" cm="1">
        <f t="array" aca="1" ref="Q114" ca="1">VLOOKUP(INDIRECT("A"&amp;ROW()), 'Recent Changes'!A:G, 3, FALSE)</f>
        <v>NULL</v>
      </c>
      <c r="R114" t="str" cm="1">
        <f t="array" aca="1" ref="R114" ca="1">VLOOKUP(INDIRECT("A"&amp;ROW()), 'Recent Changes'!A:G, 4, FALSE)</f>
        <v>NULL</v>
      </c>
      <c r="S114" t="str" cm="1">
        <f t="array" aca="1" ref="S114" ca="1">VLOOKUP(INDIRECT("A"&amp;ROW()), 'Recent Changes'!A:G, 5, FALSE)</f>
        <v>NULL</v>
      </c>
      <c r="T114" t="str" cm="1">
        <f t="array" aca="1" ref="T114" ca="1">VLOOKUP(INDIRECT("A"&amp;ROW()), 'Recent Changes'!A:G, 6, FALSE)</f>
        <v>NULL</v>
      </c>
      <c r="U114" t="str" cm="1">
        <f t="array" aca="1" ref="U114" ca="1">VLOOKUP(INDIRECT("A"&amp;ROW()), 'Recent Changes'!A:G, 7, FALSE)</f>
        <v>2023-12-20T08:07:38Z</v>
      </c>
      <c r="V114" t="str" cm="1">
        <f t="array" aca="1" ref="V114" ca="1">VLOOKUP(INDIRECT("A"&amp;ROW()), 'Recent Changes'!A:H, 8, FALSE)</f>
        <v>2023-12-05T16:46:00Z</v>
      </c>
    </row>
    <row r="115" spans="1:22" x14ac:dyDescent="0.25">
      <c r="A115">
        <v>17458480</v>
      </c>
      <c r="B115" t="s">
        <v>430</v>
      </c>
      <c r="C115">
        <v>52</v>
      </c>
      <c r="G115" t="e" cm="1">
        <v>#N/A</v>
      </c>
      <c r="H115" t="s">
        <v>14</v>
      </c>
      <c r="I115" t="s">
        <v>14</v>
      </c>
      <c r="J115" t="s">
        <v>32</v>
      </c>
      <c r="K115" t="s">
        <v>44</v>
      </c>
      <c r="L115" t="s">
        <v>2011</v>
      </c>
      <c r="M115" t="s">
        <v>81</v>
      </c>
      <c r="N115" t="s">
        <v>83</v>
      </c>
      <c r="P115" t="str" cm="1">
        <f t="array" aca="1" ref="P115" ca="1">VLOOKUP(INDIRECT("A"&amp;ROW()), 'Recent Changes'!A:G, 2, FALSE)</f>
        <v>2023-12-18T20:59:11Z</v>
      </c>
      <c r="Q115" t="str" cm="1">
        <f t="array" aca="1" ref="Q115" ca="1">VLOOKUP(INDIRECT("A"&amp;ROW()), 'Recent Changes'!A:G, 3, FALSE)</f>
        <v>NULL</v>
      </c>
      <c r="R115" t="str" cm="1">
        <f t="array" aca="1" ref="R115" ca="1">VLOOKUP(INDIRECT("A"&amp;ROW()), 'Recent Changes'!A:G, 4, FALSE)</f>
        <v>NULL</v>
      </c>
      <c r="S115" t="str" cm="1">
        <f t="array" aca="1" ref="S115" ca="1">VLOOKUP(INDIRECT("A"&amp;ROW()), 'Recent Changes'!A:G, 5, FALSE)</f>
        <v>NULL</v>
      </c>
      <c r="T115" t="str" cm="1">
        <f t="array" aca="1" ref="T115" ca="1">VLOOKUP(INDIRECT("A"&amp;ROW()), 'Recent Changes'!A:G, 6, FALSE)</f>
        <v>NULL</v>
      </c>
      <c r="U115" t="str" cm="1">
        <f t="array" aca="1" ref="U115" ca="1">VLOOKUP(INDIRECT("A"&amp;ROW()), 'Recent Changes'!A:G, 7, FALSE)</f>
        <v>2023-12-21T00:40:11Z</v>
      </c>
      <c r="V115" t="str" cm="1">
        <f t="array" aca="1" ref="V115" ca="1">VLOOKUP(INDIRECT("A"&amp;ROW()), 'Recent Changes'!A:H, 8, FALSE)</f>
        <v>2023-12-19T16:14:21Z</v>
      </c>
    </row>
    <row r="116" spans="1:22" x14ac:dyDescent="0.25">
      <c r="A116">
        <v>13733756</v>
      </c>
      <c r="B116" t="s" cm="1">
        <v>433</v>
      </c>
      <c r="C116">
        <v>52</v>
      </c>
      <c r="G116" t="e" cm="1">
        <v>#N/A</v>
      </c>
      <c r="H116" t="s">
        <v>14</v>
      </c>
      <c r="I116" t="s">
        <v>14</v>
      </c>
      <c r="J116" t="s">
        <v>30</v>
      </c>
      <c r="K116" t="s">
        <v>44</v>
      </c>
      <c r="L116" t="s">
        <v>2012</v>
      </c>
      <c r="M116" t="s">
        <v>78</v>
      </c>
      <c r="N116" t="s">
        <v>83</v>
      </c>
      <c r="P116" t="str" cm="1">
        <f t="array" aca="1" ref="P116" ca="1">VLOOKUP(INDIRECT("A"&amp;ROW()), 'Recent Changes'!A:G, 2, FALSE)</f>
        <v>NULL</v>
      </c>
      <c r="Q116" t="str" cm="1">
        <f t="array" aca="1" ref="Q116" ca="1">VLOOKUP(INDIRECT("A"&amp;ROW()), 'Recent Changes'!A:G, 3, FALSE)</f>
        <v>NULL</v>
      </c>
      <c r="R116" t="str" cm="1">
        <f t="array" aca="1" ref="R116" ca="1">VLOOKUP(INDIRECT("A"&amp;ROW()), 'Recent Changes'!A:G, 4, FALSE)</f>
        <v>NULL</v>
      </c>
      <c r="S116" t="str" cm="1">
        <f t="array" aca="1" ref="S116" ca="1">VLOOKUP(INDIRECT("A"&amp;ROW()), 'Recent Changes'!A:G, 5, FALSE)</f>
        <v>2023-12-12T19:45:52Z</v>
      </c>
      <c r="T116" t="str" cm="1">
        <f t="array" aca="1" ref="T116" ca="1">VLOOKUP(INDIRECT("A"&amp;ROW()), 'Recent Changes'!A:G, 6, FALSE)</f>
        <v>NULL</v>
      </c>
      <c r="U116" t="str" cm="1">
        <f t="array" aca="1" ref="U116" ca="1">VLOOKUP(INDIRECT("A"&amp;ROW()), 'Recent Changes'!A:G, 7, FALSE)</f>
        <v>2021-07-07T22:55:20Z</v>
      </c>
      <c r="V116" t="str" cm="1">
        <f t="array" aca="1" ref="V116" ca="1">VLOOKUP(INDIRECT("A"&amp;ROW()), 'Recent Changes'!A:H, 8, FALSE)</f>
        <v>2023-11-17T21:31:55Z</v>
      </c>
    </row>
    <row r="117" spans="1:22" x14ac:dyDescent="0.25">
      <c r="A117">
        <v>13825590</v>
      </c>
      <c r="B117" t="s" cm="1">
        <v>433</v>
      </c>
      <c r="C117">
        <v>52</v>
      </c>
      <c r="G117" t="e" cm="1">
        <v>#N/A</v>
      </c>
      <c r="H117" t="s">
        <v>14</v>
      </c>
      <c r="I117" t="s">
        <v>14</v>
      </c>
      <c r="J117" t="s">
        <v>26</v>
      </c>
      <c r="K117" t="s">
        <v>44</v>
      </c>
      <c r="L117" t="s">
        <v>2013</v>
      </c>
      <c r="M117" t="s">
        <v>78</v>
      </c>
      <c r="N117" t="s">
        <v>83</v>
      </c>
      <c r="P117" t="str" cm="1">
        <f t="array" aca="1" ref="P117" ca="1">VLOOKUP(INDIRECT("A"&amp;ROW()), 'Recent Changes'!A:G, 2, FALSE)</f>
        <v>NULL</v>
      </c>
      <c r="Q117" t="str" cm="1">
        <f t="array" aca="1" ref="Q117" ca="1">VLOOKUP(INDIRECT("A"&amp;ROW()), 'Recent Changes'!A:G, 3, FALSE)</f>
        <v>NULL</v>
      </c>
      <c r="R117" t="str" cm="1">
        <f t="array" aca="1" ref="R117" ca="1">VLOOKUP(INDIRECT("A"&amp;ROW()), 'Recent Changes'!A:G, 4, FALSE)</f>
        <v>NULL</v>
      </c>
      <c r="S117" t="str" cm="1">
        <f t="array" aca="1" ref="S117" ca="1">VLOOKUP(INDIRECT("A"&amp;ROW()), 'Recent Changes'!A:G, 5, FALSE)</f>
        <v>2023-11-20T15:04:09Z</v>
      </c>
      <c r="T117" t="str" cm="1">
        <f t="array" aca="1" ref="T117" ca="1">VLOOKUP(INDIRECT("A"&amp;ROW()), 'Recent Changes'!A:G, 6, FALSE)</f>
        <v>NULL</v>
      </c>
      <c r="U117" t="str" cm="1">
        <f t="array" aca="1" ref="U117" ca="1">VLOOKUP(INDIRECT("A"&amp;ROW()), 'Recent Changes'!A:G, 7, FALSE)</f>
        <v>2023-11-20T15:13:34Z</v>
      </c>
      <c r="V117" t="str" cm="1">
        <f t="array" aca="1" ref="V117" ca="1">VLOOKUP(INDIRECT("A"&amp;ROW()), 'Recent Changes'!A:H, 8, FALSE)</f>
        <v>2023-11-20T16:10:40Z</v>
      </c>
    </row>
    <row r="118" spans="1:22" x14ac:dyDescent="0.25">
      <c r="A118">
        <v>17471544</v>
      </c>
      <c r="B118" t="s" cm="1">
        <v>430</v>
      </c>
      <c r="C118">
        <v>49</v>
      </c>
      <c r="G118" t="e" cm="1">
        <v>#N/A</v>
      </c>
      <c r="H118" t="s">
        <v>14</v>
      </c>
      <c r="I118" t="s">
        <v>14</v>
      </c>
      <c r="J118" t="s">
        <v>26</v>
      </c>
      <c r="K118" t="s">
        <v>44</v>
      </c>
      <c r="L118" t="s">
        <v>2014</v>
      </c>
      <c r="M118" t="s">
        <v>78</v>
      </c>
      <c r="N118" t="s">
        <v>83</v>
      </c>
      <c r="P118" t="str" cm="1">
        <f t="array" aca="1" ref="P118" ca="1">VLOOKUP(INDIRECT("A"&amp;ROW()), 'Recent Changes'!A:G, 2, FALSE)</f>
        <v>NULL</v>
      </c>
      <c r="Q118" t="str" cm="1">
        <f t="array" aca="1" ref="Q118" ca="1">VLOOKUP(INDIRECT("A"&amp;ROW()), 'Recent Changes'!A:G, 3, FALSE)</f>
        <v>NULL</v>
      </c>
      <c r="R118" t="str" cm="1">
        <f t="array" aca="1" ref="R118" ca="1">VLOOKUP(INDIRECT("A"&amp;ROW()), 'Recent Changes'!A:G, 4, FALSE)</f>
        <v>NULL</v>
      </c>
      <c r="S118" t="str" cm="1">
        <f t="array" aca="1" ref="S118" ca="1">VLOOKUP(INDIRECT("A"&amp;ROW()), 'Recent Changes'!A:G, 5, FALSE)</f>
        <v>2023-12-06T09:18:21Z</v>
      </c>
      <c r="T118" t="str" cm="1">
        <f t="array" aca="1" ref="T118" ca="1">VLOOKUP(INDIRECT("A"&amp;ROW()), 'Recent Changes'!A:G, 6, FALSE)</f>
        <v>NULL</v>
      </c>
      <c r="U118" t="str" cm="1">
        <f t="array" aca="1" ref="U118" ca="1">VLOOKUP(INDIRECT("A"&amp;ROW()), 'Recent Changes'!A:G, 7, FALSE)</f>
        <v>NULL</v>
      </c>
      <c r="V118" t="str" cm="1">
        <f t="array" aca="1" ref="V118" ca="1">VLOOKUP(INDIRECT("A"&amp;ROW()), 'Recent Changes'!A:H, 8, FALSE)</f>
        <v>2023-12-06T16:25:32Z</v>
      </c>
    </row>
    <row r="119" spans="1:22" x14ac:dyDescent="0.25">
      <c r="A119">
        <v>13601167</v>
      </c>
      <c r="B119" t="s" cm="1">
        <v>430</v>
      </c>
      <c r="C119">
        <v>49</v>
      </c>
      <c r="G119" t="e" cm="1">
        <v>#N/A</v>
      </c>
      <c r="H119" t="s">
        <v>14</v>
      </c>
      <c r="I119" t="s">
        <v>14</v>
      </c>
      <c r="J119" t="s">
        <v>26</v>
      </c>
      <c r="K119" t="s">
        <v>44</v>
      </c>
      <c r="L119" t="s">
        <v>2015</v>
      </c>
      <c r="M119" t="s">
        <v>78</v>
      </c>
      <c r="N119" t="s">
        <v>83</v>
      </c>
      <c r="P119" t="str" cm="1">
        <f t="array" aca="1" ref="P119" ca="1">VLOOKUP(INDIRECT("A"&amp;ROW()), 'Recent Changes'!A:G, 2, FALSE)</f>
        <v>NULL</v>
      </c>
      <c r="Q119" t="str" cm="1">
        <f t="array" aca="1" ref="Q119" ca="1">VLOOKUP(INDIRECT("A"&amp;ROW()), 'Recent Changes'!A:G, 3, FALSE)</f>
        <v>NULL</v>
      </c>
      <c r="R119" t="str" cm="1">
        <f t="array" aca="1" ref="R119" ca="1">VLOOKUP(INDIRECT("A"&amp;ROW()), 'Recent Changes'!A:G, 4, FALSE)</f>
        <v>NULL</v>
      </c>
      <c r="S119" t="str" cm="1">
        <f t="array" aca="1" ref="S119" ca="1">VLOOKUP(INDIRECT("A"&amp;ROW()), 'Recent Changes'!A:G, 5, FALSE)</f>
        <v>2023-11-20T16:26:33Z</v>
      </c>
      <c r="T119" t="str" cm="1">
        <f t="array" aca="1" ref="T119" ca="1">VLOOKUP(INDIRECT("A"&amp;ROW()), 'Recent Changes'!A:G, 6, FALSE)</f>
        <v>NULL</v>
      </c>
      <c r="U119" t="str" cm="1">
        <f t="array" aca="1" ref="U119" ca="1">VLOOKUP(INDIRECT("A"&amp;ROW()), 'Recent Changes'!A:G, 7, FALSE)</f>
        <v>NULL</v>
      </c>
      <c r="V119" t="str" cm="1">
        <f t="array" aca="1" ref="V119" ca="1">VLOOKUP(INDIRECT("A"&amp;ROW()), 'Recent Changes'!A:H, 8, FALSE)</f>
        <v>2023-11-20T21:05:21Z</v>
      </c>
    </row>
    <row r="120" spans="1:22" x14ac:dyDescent="0.25">
      <c r="A120">
        <v>17471838</v>
      </c>
      <c r="B120" t="s">
        <v>430</v>
      </c>
      <c r="C120">
        <v>48</v>
      </c>
      <c r="G120" t="e" cm="1">
        <v>#N/A</v>
      </c>
      <c r="H120" t="s">
        <v>14</v>
      </c>
      <c r="I120" t="s">
        <v>14</v>
      </c>
      <c r="J120" t="s">
        <v>21</v>
      </c>
      <c r="K120" t="s">
        <v>49</v>
      </c>
      <c r="L120" t="s">
        <v>2016</v>
      </c>
      <c r="M120" t="s">
        <v>76</v>
      </c>
      <c r="N120" t="s">
        <v>83</v>
      </c>
      <c r="P120" t="str" cm="1">
        <f t="array" aca="1" ref="P120" ca="1">VLOOKUP(INDIRECT("A"&amp;ROW()), 'Recent Changes'!A:G, 2, FALSE)</f>
        <v>NULL</v>
      </c>
      <c r="Q120" t="str" cm="1">
        <f t="array" aca="1" ref="Q120" ca="1">VLOOKUP(INDIRECT("A"&amp;ROW()), 'Recent Changes'!A:G, 3, FALSE)</f>
        <v>NULL</v>
      </c>
      <c r="R120" t="str" cm="1">
        <f t="array" aca="1" ref="R120" ca="1">VLOOKUP(INDIRECT("A"&amp;ROW()), 'Recent Changes'!A:G, 4, FALSE)</f>
        <v>NULL</v>
      </c>
      <c r="S120" t="str" cm="1">
        <f t="array" aca="1" ref="S120" ca="1">VLOOKUP(INDIRECT("A"&amp;ROW()), 'Recent Changes'!A:G, 5, FALSE)</f>
        <v>NULL</v>
      </c>
      <c r="T120" t="str" cm="1">
        <f t="array" aca="1" ref="T120" ca="1">VLOOKUP(INDIRECT("A"&amp;ROW()), 'Recent Changes'!A:G, 6, FALSE)</f>
        <v>NULL</v>
      </c>
      <c r="U120" t="str" cm="1">
        <f t="array" aca="1" ref="U120" ca="1">VLOOKUP(INDIRECT("A"&amp;ROW()), 'Recent Changes'!A:G, 7, FALSE)</f>
        <v>2023-12-25T05:23:15Z</v>
      </c>
      <c r="V120" t="str" cm="1">
        <f t="array" aca="1" ref="V120" ca="1">VLOOKUP(INDIRECT("A"&amp;ROW()), 'Recent Changes'!A:H, 8, FALSE)</f>
        <v>2023-12-25T07:24:06Z</v>
      </c>
    </row>
    <row r="121" spans="1:22" x14ac:dyDescent="0.25">
      <c r="A121">
        <v>14736972</v>
      </c>
      <c r="B121" t="s" cm="1">
        <v>430</v>
      </c>
      <c r="C121">
        <v>47</v>
      </c>
      <c r="G121" t="e" cm="1">
        <v>#N/A</v>
      </c>
      <c r="H121" t="s">
        <v>14</v>
      </c>
      <c r="I121" t="s">
        <v>14</v>
      </c>
      <c r="J121" t="s">
        <v>30</v>
      </c>
      <c r="K121" t="s">
        <v>44</v>
      </c>
      <c r="L121" t="s">
        <v>2017</v>
      </c>
      <c r="M121" t="s">
        <v>78</v>
      </c>
      <c r="N121" t="s">
        <v>83</v>
      </c>
      <c r="P121" t="str" cm="1">
        <f t="array" aca="1" ref="P121" ca="1">VLOOKUP(INDIRECT("A"&amp;ROW()), 'Recent Changes'!A:G, 2, FALSE)</f>
        <v>NULL</v>
      </c>
      <c r="Q121" t="str" cm="1">
        <f t="array" aca="1" ref="Q121" ca="1">VLOOKUP(INDIRECT("A"&amp;ROW()), 'Recent Changes'!A:G, 3, FALSE)</f>
        <v>NULL</v>
      </c>
      <c r="R121" t="str" cm="1">
        <f t="array" aca="1" ref="R121" ca="1">VLOOKUP(INDIRECT("A"&amp;ROW()), 'Recent Changes'!A:G, 4, FALSE)</f>
        <v>NULL</v>
      </c>
      <c r="S121" t="str" cm="1">
        <f t="array" aca="1" ref="S121" ca="1">VLOOKUP(INDIRECT("A"&amp;ROW()), 'Recent Changes'!A:G, 5, FALSE)</f>
        <v>2023-11-22T16:54:37Z</v>
      </c>
      <c r="T121" t="str" cm="1">
        <f t="array" aca="1" ref="T121" ca="1">VLOOKUP(INDIRECT("A"&amp;ROW()), 'Recent Changes'!A:G, 6, FALSE)</f>
        <v>NULL</v>
      </c>
      <c r="U121" t="str" cm="1">
        <f t="array" aca="1" ref="U121" ca="1">VLOOKUP(INDIRECT("A"&amp;ROW()), 'Recent Changes'!A:G, 7, FALSE)</f>
        <v>2023-11-22T17:00:30Z</v>
      </c>
      <c r="V121" t="str" cm="1">
        <f t="array" aca="1" ref="V121" ca="1">VLOOKUP(INDIRECT("A"&amp;ROW()), 'Recent Changes'!A:H, 8, FALSE)</f>
        <v>2023-11-22T21:06:20Z</v>
      </c>
    </row>
    <row r="122" spans="1:22" x14ac:dyDescent="0.25">
      <c r="A122">
        <v>17494204</v>
      </c>
      <c r="B122" t="s">
        <v>433</v>
      </c>
      <c r="C122">
        <v>45</v>
      </c>
      <c r="G122" t="e" cm="1">
        <v>#N/A</v>
      </c>
      <c r="H122" t="s">
        <v>14</v>
      </c>
      <c r="I122" t="s">
        <v>14</v>
      </c>
      <c r="J122" t="s">
        <v>36</v>
      </c>
      <c r="K122" t="s">
        <v>389</v>
      </c>
      <c r="L122" t="s">
        <v>2018</v>
      </c>
      <c r="M122" t="s">
        <v>76</v>
      </c>
      <c r="N122" t="s">
        <v>83</v>
      </c>
      <c r="P122" t="str" cm="1">
        <f t="array" aca="1" ref="P122" ca="1">VLOOKUP(INDIRECT("A"&amp;ROW()), 'Recent Changes'!A:G, 2, FALSE)</f>
        <v>NULL</v>
      </c>
      <c r="Q122" t="str" cm="1">
        <f t="array" aca="1" ref="Q122" ca="1">VLOOKUP(INDIRECT("A"&amp;ROW()), 'Recent Changes'!A:G, 3, FALSE)</f>
        <v>NULL</v>
      </c>
      <c r="R122" t="str" cm="1">
        <f t="array" aca="1" ref="R122" ca="1">VLOOKUP(INDIRECT("A"&amp;ROW()), 'Recent Changes'!A:G, 4, FALSE)</f>
        <v>2023-12-18T16:57:45Z</v>
      </c>
      <c r="S122" t="str" cm="1">
        <f t="array" aca="1" ref="S122" ca="1">VLOOKUP(INDIRECT("A"&amp;ROW()), 'Recent Changes'!A:G, 5, FALSE)</f>
        <v>NULL</v>
      </c>
      <c r="T122" t="str" cm="1">
        <f t="array" aca="1" ref="T122" ca="1">VLOOKUP(INDIRECT("A"&amp;ROW()), 'Recent Changes'!A:G, 6, FALSE)</f>
        <v>2023-12-18T16:57:45Z</v>
      </c>
      <c r="U122" t="str" cm="1">
        <f t="array" aca="1" ref="U122" ca="1">VLOOKUP(INDIRECT("A"&amp;ROW()), 'Recent Changes'!A:G, 7, FALSE)</f>
        <v>NULL</v>
      </c>
      <c r="V122" t="str" cm="1">
        <f t="array" aca="1" ref="V122" ca="1">VLOOKUP(INDIRECT("A"&amp;ROW()), 'Recent Changes'!A:H, 8, FALSE)</f>
        <v>2023-12-18T21:34:27Z</v>
      </c>
    </row>
    <row r="123" spans="1:22" x14ac:dyDescent="0.25">
      <c r="A123">
        <v>17497217</v>
      </c>
      <c r="B123" t="s" cm="1">
        <v>430</v>
      </c>
      <c r="C123">
        <v>44</v>
      </c>
      <c r="G123" t="e" cm="1">
        <v>#N/A</v>
      </c>
      <c r="H123" t="s">
        <v>14</v>
      </c>
      <c r="I123" t="s">
        <v>14</v>
      </c>
      <c r="J123" t="s">
        <v>30</v>
      </c>
      <c r="K123" t="s">
        <v>44</v>
      </c>
      <c r="L123" t="s">
        <v>74</v>
      </c>
      <c r="M123" t="s">
        <v>76</v>
      </c>
      <c r="N123" t="s">
        <v>83</v>
      </c>
      <c r="P123" t="str" cm="1">
        <f t="array" aca="1" ref="P123" ca="1">VLOOKUP(INDIRECT("A"&amp;ROW()), 'Recent Changes'!A:G, 2, FALSE)</f>
        <v>NULL</v>
      </c>
      <c r="Q123" t="str" cm="1">
        <f t="array" aca="1" ref="Q123" ca="1">VLOOKUP(INDIRECT("A"&amp;ROW()), 'Recent Changes'!A:G, 3, FALSE)</f>
        <v>NULL</v>
      </c>
      <c r="R123" t="str" cm="1">
        <f t="array" aca="1" ref="R123" ca="1">VLOOKUP(INDIRECT("A"&amp;ROW()), 'Recent Changes'!A:G, 4, FALSE)</f>
        <v>NULL</v>
      </c>
      <c r="S123" t="str" cm="1">
        <f t="array" aca="1" ref="S123" ca="1">VLOOKUP(INDIRECT("A"&amp;ROW()), 'Recent Changes'!A:G, 5, FALSE)</f>
        <v>2023-12-22T15:26:59Z</v>
      </c>
      <c r="T123" t="str" cm="1">
        <f t="array" aca="1" ref="T123" ca="1">VLOOKUP(INDIRECT("A"&amp;ROW()), 'Recent Changes'!A:G, 6, FALSE)</f>
        <v>NULL</v>
      </c>
      <c r="U123" t="str" cm="1">
        <f t="array" aca="1" ref="U123" ca="1">VLOOKUP(INDIRECT("A"&amp;ROW()), 'Recent Changes'!A:G, 7, FALSE)</f>
        <v>2023-12-21T01:19:55Z</v>
      </c>
      <c r="V123" t="str" cm="1">
        <f t="array" aca="1" ref="V123" ca="1">VLOOKUP(INDIRECT("A"&amp;ROW()), 'Recent Changes'!A:H, 8, FALSE)</f>
        <v>2023-12-22T16:12:30Z</v>
      </c>
    </row>
    <row r="124" spans="1:22" x14ac:dyDescent="0.25">
      <c r="A124">
        <v>17496962</v>
      </c>
      <c r="B124" t="s">
        <v>430</v>
      </c>
      <c r="C124">
        <v>44</v>
      </c>
      <c r="G124" t="e" cm="1">
        <v>#N/A</v>
      </c>
      <c r="H124" t="s">
        <v>14</v>
      </c>
      <c r="I124" t="s">
        <v>14</v>
      </c>
      <c r="J124" t="s">
        <v>38</v>
      </c>
      <c r="K124" t="s">
        <v>49</v>
      </c>
      <c r="L124" t="s">
        <v>71</v>
      </c>
      <c r="M124" t="s">
        <v>76</v>
      </c>
      <c r="N124" t="s">
        <v>1974</v>
      </c>
      <c r="P124" t="e" cm="1">
        <f t="array" aca="1" ref="P124" ca="1">VLOOKUP(INDIRECT("A"&amp;ROW()), 'Recent Changes'!A:G, 2, FALSE)</f>
        <v>#N/A</v>
      </c>
      <c r="Q124" t="e" cm="1">
        <f t="array" aca="1" ref="Q124" ca="1">VLOOKUP(INDIRECT("A"&amp;ROW()), 'Recent Changes'!A:G, 3, FALSE)</f>
        <v>#N/A</v>
      </c>
      <c r="R124" t="e" cm="1">
        <f t="array" aca="1" ref="R124" ca="1">VLOOKUP(INDIRECT("A"&amp;ROW()), 'Recent Changes'!A:G, 4, FALSE)</f>
        <v>#N/A</v>
      </c>
      <c r="S124" t="e" cm="1">
        <f t="array" aca="1" ref="S124" ca="1">VLOOKUP(INDIRECT("A"&amp;ROW()), 'Recent Changes'!A:G, 5, FALSE)</f>
        <v>#N/A</v>
      </c>
      <c r="T124" t="e" cm="1">
        <f t="array" aca="1" ref="T124" ca="1">VLOOKUP(INDIRECT("A"&amp;ROW()), 'Recent Changes'!A:G, 6, FALSE)</f>
        <v>#N/A</v>
      </c>
      <c r="U124" t="e" cm="1">
        <f t="array" aca="1" ref="U124" ca="1">VLOOKUP(INDIRECT("A"&amp;ROW()), 'Recent Changes'!A:G, 7, FALSE)</f>
        <v>#N/A</v>
      </c>
      <c r="V124" t="e" cm="1">
        <f t="array" aca="1" ref="V124" ca="1">VLOOKUP(INDIRECT("A"&amp;ROW()), 'Recent Changes'!A:H, 8, FALSE)</f>
        <v>#N/A</v>
      </c>
    </row>
    <row r="125" spans="1:22" x14ac:dyDescent="0.25">
      <c r="A125">
        <v>16720781</v>
      </c>
      <c r="B125" t="s" cm="1">
        <v>430</v>
      </c>
      <c r="C125">
        <v>42</v>
      </c>
      <c r="G125" t="e" cm="1">
        <v>#N/A</v>
      </c>
      <c r="H125" t="s">
        <v>14</v>
      </c>
      <c r="I125" t="s">
        <v>14</v>
      </c>
      <c r="J125" t="s">
        <v>30</v>
      </c>
      <c r="K125" t="s">
        <v>48</v>
      </c>
      <c r="L125" t="s">
        <v>56</v>
      </c>
      <c r="M125" t="s">
        <v>1353</v>
      </c>
      <c r="N125" t="s">
        <v>83</v>
      </c>
      <c r="P125" t="str" cm="1">
        <f t="array" aca="1" ref="P125" ca="1">VLOOKUP(INDIRECT("A"&amp;ROW()), 'Recent Changes'!A:G, 2, FALSE)</f>
        <v>NULL</v>
      </c>
      <c r="Q125" t="str" cm="1">
        <f t="array" aca="1" ref="Q125" ca="1">VLOOKUP(INDIRECT("A"&amp;ROW()), 'Recent Changes'!A:G, 3, FALSE)</f>
        <v>NULL</v>
      </c>
      <c r="R125" t="str" cm="1">
        <f t="array" aca="1" ref="R125" ca="1">VLOOKUP(INDIRECT("A"&amp;ROW()), 'Recent Changes'!A:G, 4, FALSE)</f>
        <v>NULL</v>
      </c>
      <c r="S125" t="str" cm="1">
        <f t="array" aca="1" ref="S125" ca="1">VLOOKUP(INDIRECT("A"&amp;ROW()), 'Recent Changes'!A:G, 5, FALSE)</f>
        <v>2023-11-27T15:58:52Z</v>
      </c>
      <c r="T125" t="str" cm="1">
        <f t="array" aca="1" ref="T125" ca="1">VLOOKUP(INDIRECT("A"&amp;ROW()), 'Recent Changes'!A:G, 6, FALSE)</f>
        <v>NULL</v>
      </c>
      <c r="U125" t="str" cm="1">
        <f t="array" aca="1" ref="U125" ca="1">VLOOKUP(INDIRECT("A"&amp;ROW()), 'Recent Changes'!A:G, 7, FALSE)</f>
        <v>NULL</v>
      </c>
      <c r="V125" t="str" cm="1">
        <f t="array" aca="1" ref="V125" ca="1">VLOOKUP(INDIRECT("A"&amp;ROW()), 'Recent Changes'!A:H, 8, FALSE)</f>
        <v>2023-11-27T21:44:20Z</v>
      </c>
    </row>
    <row r="126" spans="1:22" x14ac:dyDescent="0.25">
      <c r="A126">
        <v>17500239</v>
      </c>
      <c r="B126" t="s">
        <v>433</v>
      </c>
      <c r="C126">
        <v>42</v>
      </c>
      <c r="G126" t="e" cm="1">
        <v>#N/A</v>
      </c>
      <c r="H126" t="s">
        <v>14</v>
      </c>
      <c r="I126" t="s">
        <v>14</v>
      </c>
      <c r="J126" t="s">
        <v>1323</v>
      </c>
      <c r="K126" t="s">
        <v>46</v>
      </c>
      <c r="L126" t="s">
        <v>2019</v>
      </c>
      <c r="M126" t="s">
        <v>76</v>
      </c>
      <c r="N126" t="s">
        <v>1974</v>
      </c>
      <c r="P126" t="e" cm="1">
        <f t="array" aca="1" ref="P126" ca="1">VLOOKUP(INDIRECT("A"&amp;ROW()), 'Recent Changes'!A:G, 2, FALSE)</f>
        <v>#N/A</v>
      </c>
      <c r="Q126" t="e" cm="1">
        <f t="array" aca="1" ref="Q126" ca="1">VLOOKUP(INDIRECT("A"&amp;ROW()), 'Recent Changes'!A:G, 3, FALSE)</f>
        <v>#N/A</v>
      </c>
      <c r="R126" t="e" cm="1">
        <f t="array" aca="1" ref="R126" ca="1">VLOOKUP(INDIRECT("A"&amp;ROW()), 'Recent Changes'!A:G, 4, FALSE)</f>
        <v>#N/A</v>
      </c>
      <c r="S126" t="e" cm="1">
        <f t="array" aca="1" ref="S126" ca="1">VLOOKUP(INDIRECT("A"&amp;ROW()), 'Recent Changes'!A:G, 5, FALSE)</f>
        <v>#N/A</v>
      </c>
      <c r="T126" t="e" cm="1">
        <f t="array" aca="1" ref="T126" ca="1">VLOOKUP(INDIRECT("A"&amp;ROW()), 'Recent Changes'!A:G, 6, FALSE)</f>
        <v>#N/A</v>
      </c>
      <c r="U126" t="e" cm="1">
        <f t="array" aca="1" ref="U126" ca="1">VLOOKUP(INDIRECT("A"&amp;ROW()), 'Recent Changes'!A:G, 7, FALSE)</f>
        <v>#N/A</v>
      </c>
      <c r="V126" t="e" cm="1">
        <f t="array" aca="1" ref="V126" ca="1">VLOOKUP(INDIRECT("A"&amp;ROW()), 'Recent Changes'!A:H, 8, FALSE)</f>
        <v>#N/A</v>
      </c>
    </row>
    <row r="127" spans="1:22" x14ac:dyDescent="0.25">
      <c r="A127">
        <v>17509910</v>
      </c>
      <c r="B127" t="s">
        <v>430</v>
      </c>
      <c r="C127">
        <v>40</v>
      </c>
      <c r="G127" t="e" cm="1">
        <v>#N/A</v>
      </c>
      <c r="H127" t="s">
        <v>14</v>
      </c>
      <c r="I127" t="s">
        <v>14</v>
      </c>
      <c r="J127" t="s">
        <v>37</v>
      </c>
      <c r="K127" t="s">
        <v>44</v>
      </c>
      <c r="L127" t="s">
        <v>399</v>
      </c>
      <c r="M127" t="s">
        <v>76</v>
      </c>
      <c r="N127" t="s">
        <v>1974</v>
      </c>
      <c r="P127" t="e" cm="1">
        <f t="array" aca="1" ref="P127" ca="1">VLOOKUP(INDIRECT("A"&amp;ROW()), 'Recent Changes'!A:G, 2, FALSE)</f>
        <v>#N/A</v>
      </c>
      <c r="Q127" t="e" cm="1">
        <f t="array" aca="1" ref="Q127" ca="1">VLOOKUP(INDIRECT("A"&amp;ROW()), 'Recent Changes'!A:G, 3, FALSE)</f>
        <v>#N/A</v>
      </c>
      <c r="R127" t="e" cm="1">
        <f t="array" aca="1" ref="R127" ca="1">VLOOKUP(INDIRECT("A"&amp;ROW()), 'Recent Changes'!A:G, 4, FALSE)</f>
        <v>#N/A</v>
      </c>
      <c r="S127" t="e" cm="1">
        <f t="array" aca="1" ref="S127" ca="1">VLOOKUP(INDIRECT("A"&amp;ROW()), 'Recent Changes'!A:G, 5, FALSE)</f>
        <v>#N/A</v>
      </c>
      <c r="T127" t="e" cm="1">
        <f t="array" aca="1" ref="T127" ca="1">VLOOKUP(INDIRECT("A"&amp;ROW()), 'Recent Changes'!A:G, 6, FALSE)</f>
        <v>#N/A</v>
      </c>
      <c r="U127" t="e" cm="1">
        <f t="array" aca="1" ref="U127" ca="1">VLOOKUP(INDIRECT("A"&amp;ROW()), 'Recent Changes'!A:G, 7, FALSE)</f>
        <v>#N/A</v>
      </c>
      <c r="V127" t="e" cm="1">
        <f t="array" aca="1" ref="V127" ca="1">VLOOKUP(INDIRECT("A"&amp;ROW()), 'Recent Changes'!A:H, 8, FALSE)</f>
        <v>#N/A</v>
      </c>
    </row>
    <row r="128" spans="1:22" x14ac:dyDescent="0.25">
      <c r="A128">
        <v>17540900</v>
      </c>
      <c r="B128" t="s">
        <v>433</v>
      </c>
      <c r="C128">
        <v>34</v>
      </c>
      <c r="G128" t="s" cm="1">
        <v>442</v>
      </c>
      <c r="H128" t="s">
        <v>14</v>
      </c>
      <c r="I128" t="s">
        <v>14</v>
      </c>
      <c r="J128" t="s">
        <v>381</v>
      </c>
      <c r="K128" t="s">
        <v>48</v>
      </c>
      <c r="L128" t="s">
        <v>755</v>
      </c>
      <c r="M128" t="s">
        <v>76</v>
      </c>
      <c r="N128" t="s">
        <v>1974</v>
      </c>
      <c r="P128" t="e" cm="1">
        <f t="array" aca="1" ref="P128" ca="1">VLOOKUP(INDIRECT("A"&amp;ROW()), 'Recent Changes'!A:G, 2, FALSE)</f>
        <v>#N/A</v>
      </c>
      <c r="Q128" t="e" cm="1">
        <f t="array" aca="1" ref="Q128" ca="1">VLOOKUP(INDIRECT("A"&amp;ROW()), 'Recent Changes'!A:G, 3, FALSE)</f>
        <v>#N/A</v>
      </c>
      <c r="R128" t="e" cm="1">
        <f t="array" aca="1" ref="R128" ca="1">VLOOKUP(INDIRECT("A"&amp;ROW()), 'Recent Changes'!A:G, 4, FALSE)</f>
        <v>#N/A</v>
      </c>
      <c r="S128" t="e" cm="1">
        <f t="array" aca="1" ref="S128" ca="1">VLOOKUP(INDIRECT("A"&amp;ROW()), 'Recent Changes'!A:G, 5, FALSE)</f>
        <v>#N/A</v>
      </c>
      <c r="T128" t="e" cm="1">
        <f t="array" aca="1" ref="T128" ca="1">VLOOKUP(INDIRECT("A"&amp;ROW()), 'Recent Changes'!A:G, 6, FALSE)</f>
        <v>#N/A</v>
      </c>
      <c r="U128" t="e" cm="1">
        <f t="array" aca="1" ref="U128" ca="1">VLOOKUP(INDIRECT("A"&amp;ROW()), 'Recent Changes'!A:G, 7, FALSE)</f>
        <v>#N/A</v>
      </c>
      <c r="V128" t="e" cm="1">
        <f t="array" aca="1" ref="V128" ca="1">VLOOKUP(INDIRECT("A"&amp;ROW()), 'Recent Changes'!A:H, 8, FALSE)</f>
        <v>#N/A</v>
      </c>
    </row>
    <row r="129" spans="1:22" x14ac:dyDescent="0.25">
      <c r="A129">
        <v>17539417</v>
      </c>
      <c r="B129" t="s">
        <v>430</v>
      </c>
      <c r="C129">
        <v>34</v>
      </c>
      <c r="G129" t="e" cm="1">
        <v>#N/A</v>
      </c>
      <c r="H129" t="s">
        <v>14</v>
      </c>
      <c r="I129" t="s">
        <v>14</v>
      </c>
      <c r="J129" t="s">
        <v>24</v>
      </c>
      <c r="K129" t="s">
        <v>44</v>
      </c>
      <c r="L129" t="s">
        <v>392</v>
      </c>
      <c r="M129" t="s">
        <v>76</v>
      </c>
      <c r="N129" t="s">
        <v>83</v>
      </c>
      <c r="P129" t="str" cm="1">
        <f t="array" aca="1" ref="P129" ca="1">VLOOKUP(INDIRECT("A"&amp;ROW()), 'Recent Changes'!A:G, 2, FALSE)</f>
        <v>NULL</v>
      </c>
      <c r="Q129" t="str" cm="1">
        <f t="array" aca="1" ref="Q129" ca="1">VLOOKUP(INDIRECT("A"&amp;ROW()), 'Recent Changes'!A:G, 3, FALSE)</f>
        <v>NULL</v>
      </c>
      <c r="R129" t="str" cm="1">
        <f t="array" aca="1" ref="R129" ca="1">VLOOKUP(INDIRECT("A"&amp;ROW()), 'Recent Changes'!A:G, 4, FALSE)</f>
        <v>NULL</v>
      </c>
      <c r="S129" t="str" cm="1">
        <f t="array" aca="1" ref="S129" ca="1">VLOOKUP(INDIRECT("A"&amp;ROW()), 'Recent Changes'!A:G, 5, FALSE)</f>
        <v>2024-01-05T17:44:36Z</v>
      </c>
      <c r="T129" t="str" cm="1">
        <f t="array" aca="1" ref="T129" ca="1">VLOOKUP(INDIRECT("A"&amp;ROW()), 'Recent Changes'!A:G, 6, FALSE)</f>
        <v>NULL</v>
      </c>
      <c r="U129" t="str" cm="1">
        <f t="array" aca="1" ref="U129" ca="1">VLOOKUP(INDIRECT("A"&amp;ROW()), 'Recent Changes'!A:G, 7, FALSE)</f>
        <v>NULL</v>
      </c>
      <c r="V129" t="str" cm="1">
        <f t="array" aca="1" ref="V129" ca="1">VLOOKUP(INDIRECT("A"&amp;ROW()), 'Recent Changes'!A:H, 8, FALSE)</f>
        <v>2024-01-05T21:08:20Z</v>
      </c>
    </row>
    <row r="130" spans="1:22" x14ac:dyDescent="0.25">
      <c r="A130">
        <v>17553790</v>
      </c>
      <c r="B130" t="s" cm="1">
        <v>430</v>
      </c>
      <c r="C130">
        <v>32</v>
      </c>
      <c r="G130" t="e" cm="1">
        <v>#N/A</v>
      </c>
      <c r="H130" t="s">
        <v>14</v>
      </c>
      <c r="I130" t="s">
        <v>14</v>
      </c>
      <c r="J130" t="s">
        <v>20</v>
      </c>
      <c r="K130" t="s">
        <v>46</v>
      </c>
      <c r="L130" t="s">
        <v>89</v>
      </c>
      <c r="M130" t="s">
        <v>76</v>
      </c>
      <c r="N130" t="s">
        <v>1974</v>
      </c>
      <c r="P130" t="e" cm="1">
        <f t="array" aca="1" ref="P130" ca="1">VLOOKUP(INDIRECT("A"&amp;ROW()), 'Recent Changes'!A:G, 2, FALSE)</f>
        <v>#N/A</v>
      </c>
      <c r="Q130" t="e" cm="1">
        <f t="array" aca="1" ref="Q130" ca="1">VLOOKUP(INDIRECT("A"&amp;ROW()), 'Recent Changes'!A:G, 3, FALSE)</f>
        <v>#N/A</v>
      </c>
      <c r="R130" t="e" cm="1">
        <f t="array" aca="1" ref="R130" ca="1">VLOOKUP(INDIRECT("A"&amp;ROW()), 'Recent Changes'!A:G, 4, FALSE)</f>
        <v>#N/A</v>
      </c>
      <c r="S130" t="e" cm="1">
        <f t="array" aca="1" ref="S130" ca="1">VLOOKUP(INDIRECT("A"&amp;ROW()), 'Recent Changes'!A:G, 5, FALSE)</f>
        <v>#N/A</v>
      </c>
      <c r="T130" t="e" cm="1">
        <f t="array" aca="1" ref="T130" ca="1">VLOOKUP(INDIRECT("A"&amp;ROW()), 'Recent Changes'!A:G, 6, FALSE)</f>
        <v>#N/A</v>
      </c>
      <c r="U130" t="e" cm="1">
        <f t="array" aca="1" ref="U130" ca="1">VLOOKUP(INDIRECT("A"&amp;ROW()), 'Recent Changes'!A:G, 7, FALSE)</f>
        <v>#N/A</v>
      </c>
      <c r="V130" t="e" cm="1">
        <f t="array" aca="1" ref="V130" ca="1">VLOOKUP(INDIRECT("A"&amp;ROW()), 'Recent Changes'!A:H, 8, FALSE)</f>
        <v>#N/A</v>
      </c>
    </row>
    <row r="131" spans="1:22" x14ac:dyDescent="0.25">
      <c r="A131">
        <v>17227318</v>
      </c>
      <c r="B131" t="s" cm="1">
        <v>430</v>
      </c>
      <c r="C131">
        <v>28</v>
      </c>
      <c r="G131" t="e" cm="1">
        <v>#N/A</v>
      </c>
      <c r="H131" t="s">
        <v>14</v>
      </c>
      <c r="I131" t="s">
        <v>14</v>
      </c>
      <c r="J131" t="s">
        <v>30</v>
      </c>
      <c r="K131" t="s">
        <v>1615</v>
      </c>
      <c r="L131" t="s">
        <v>58</v>
      </c>
      <c r="M131" t="s">
        <v>76</v>
      </c>
      <c r="N131" t="s">
        <v>83</v>
      </c>
      <c r="P131" t="str" cm="1">
        <f t="array" aca="1" ref="P131" ca="1">VLOOKUP(INDIRECT("A"&amp;ROW()), 'Recent Changes'!A:G, 2, FALSE)</f>
        <v>NULL</v>
      </c>
      <c r="Q131" t="str" cm="1">
        <f t="array" aca="1" ref="Q131" ca="1">VLOOKUP(INDIRECT("A"&amp;ROW()), 'Recent Changes'!A:G, 3, FALSE)</f>
        <v>NULL</v>
      </c>
      <c r="R131" t="str" cm="1">
        <f t="array" aca="1" ref="R131" ca="1">VLOOKUP(INDIRECT("A"&amp;ROW()), 'Recent Changes'!A:G, 4, FALSE)</f>
        <v>NULL</v>
      </c>
      <c r="S131" t="str" cm="1">
        <f t="array" aca="1" ref="S131" ca="1">VLOOKUP(INDIRECT("A"&amp;ROW()), 'Recent Changes'!A:G, 5, FALSE)</f>
        <v>2023-12-12T00:04:55Z</v>
      </c>
      <c r="T131" t="str" cm="1">
        <f t="array" aca="1" ref="T131" ca="1">VLOOKUP(INDIRECT("A"&amp;ROW()), 'Recent Changes'!A:G, 6, FALSE)</f>
        <v>NULL</v>
      </c>
      <c r="U131" t="str" cm="1">
        <f t="array" aca="1" ref="U131" ca="1">VLOOKUP(INDIRECT("A"&amp;ROW()), 'Recent Changes'!A:G, 7, FALSE)</f>
        <v>2023-10-20T08:47:32Z</v>
      </c>
      <c r="V131" t="str" cm="1">
        <f t="array" aca="1" ref="V131" ca="1">VLOOKUP(INDIRECT("A"&amp;ROW()), 'Recent Changes'!A:H, 8, FALSE)</f>
        <v>2023-12-12T07:53:09Z</v>
      </c>
    </row>
    <row r="132" spans="1:22" x14ac:dyDescent="0.25">
      <c r="A132">
        <v>15716112</v>
      </c>
      <c r="B132" t="s" cm="1">
        <v>430</v>
      </c>
      <c r="C132">
        <v>28</v>
      </c>
      <c r="G132" t="e" cm="1">
        <v>#N/A</v>
      </c>
      <c r="H132" t="s">
        <v>14</v>
      </c>
      <c r="I132" t="s">
        <v>14</v>
      </c>
      <c r="J132" t="s">
        <v>30</v>
      </c>
      <c r="K132" t="s">
        <v>45</v>
      </c>
      <c r="L132" t="s">
        <v>56</v>
      </c>
      <c r="M132" t="s">
        <v>2054</v>
      </c>
      <c r="N132" t="s">
        <v>83</v>
      </c>
      <c r="P132" t="str" cm="1">
        <f t="array" aca="1" ref="P132" ca="1">VLOOKUP(INDIRECT("A"&amp;ROW()), 'Recent Changes'!A:G, 2, FALSE)</f>
        <v>NULL</v>
      </c>
      <c r="Q132" t="str" cm="1">
        <f t="array" aca="1" ref="Q132" ca="1">VLOOKUP(INDIRECT("A"&amp;ROW()), 'Recent Changes'!A:G, 3, FALSE)</f>
        <v>NULL</v>
      </c>
      <c r="R132" t="str" cm="1">
        <f t="array" aca="1" ref="R132" ca="1">VLOOKUP(INDIRECT("A"&amp;ROW()), 'Recent Changes'!A:G, 4, FALSE)</f>
        <v>NULL</v>
      </c>
      <c r="S132" t="str" cm="1">
        <f t="array" aca="1" ref="S132" ca="1">VLOOKUP(INDIRECT("A"&amp;ROW()), 'Recent Changes'!A:G, 5, FALSE)</f>
        <v>2023-12-11T20:43:24Z</v>
      </c>
      <c r="T132" t="str" cm="1">
        <f t="array" aca="1" ref="T132" ca="1">VLOOKUP(INDIRECT("A"&amp;ROW()), 'Recent Changes'!A:G, 6, FALSE)</f>
        <v>NULL</v>
      </c>
      <c r="U132" t="str" cm="1">
        <f t="array" aca="1" ref="U132" ca="1">VLOOKUP(INDIRECT("A"&amp;ROW()), 'Recent Changes'!A:G, 7, FALSE)</f>
        <v>2023-12-20T22:01:56Z</v>
      </c>
      <c r="V132" t="str" cm="1">
        <f t="array" aca="1" ref="V132" ca="1">VLOOKUP(INDIRECT("A"&amp;ROW()), 'Recent Changes'!A:H, 8, FALSE)</f>
        <v>2023-12-11T21:36:57Z</v>
      </c>
    </row>
    <row r="133" spans="1:22" x14ac:dyDescent="0.25">
      <c r="A133">
        <v>17570486</v>
      </c>
      <c r="B133" t="s">
        <v>430</v>
      </c>
      <c r="C133">
        <v>27</v>
      </c>
      <c r="G133" t="e" cm="1">
        <v>#N/A</v>
      </c>
      <c r="H133" t="s">
        <v>14</v>
      </c>
      <c r="I133" t="s">
        <v>14</v>
      </c>
      <c r="J133" t="s">
        <v>38</v>
      </c>
      <c r="K133" t="s">
        <v>48</v>
      </c>
      <c r="L133" t="s">
        <v>1524</v>
      </c>
      <c r="M133" t="s">
        <v>76</v>
      </c>
      <c r="N133" t="s">
        <v>1974</v>
      </c>
      <c r="P133" t="e" cm="1">
        <f t="array" aca="1" ref="P133" ca="1">VLOOKUP(INDIRECT("A"&amp;ROW()), 'Recent Changes'!A:G, 2, FALSE)</f>
        <v>#N/A</v>
      </c>
      <c r="Q133" t="e" cm="1">
        <f t="array" aca="1" ref="Q133" ca="1">VLOOKUP(INDIRECT("A"&amp;ROW()), 'Recent Changes'!A:G, 3, FALSE)</f>
        <v>#N/A</v>
      </c>
      <c r="R133" t="e" cm="1">
        <f t="array" aca="1" ref="R133" ca="1">VLOOKUP(INDIRECT("A"&amp;ROW()), 'Recent Changes'!A:G, 4, FALSE)</f>
        <v>#N/A</v>
      </c>
      <c r="S133" t="e" cm="1">
        <f t="array" aca="1" ref="S133" ca="1">VLOOKUP(INDIRECT("A"&amp;ROW()), 'Recent Changes'!A:G, 5, FALSE)</f>
        <v>#N/A</v>
      </c>
      <c r="T133" t="e" cm="1">
        <f t="array" aca="1" ref="T133" ca="1">VLOOKUP(INDIRECT("A"&amp;ROW()), 'Recent Changes'!A:G, 6, FALSE)</f>
        <v>#N/A</v>
      </c>
      <c r="U133" t="e" cm="1">
        <f t="array" aca="1" ref="U133" ca="1">VLOOKUP(INDIRECT("A"&amp;ROW()), 'Recent Changes'!A:G, 7, FALSE)</f>
        <v>#N/A</v>
      </c>
      <c r="V133" t="e" cm="1">
        <f t="array" aca="1" ref="V133" ca="1">VLOOKUP(INDIRECT("A"&amp;ROW()), 'Recent Changes'!A:H, 8, FALSE)</f>
        <v>#N/A</v>
      </c>
    </row>
    <row r="134" spans="1:22" x14ac:dyDescent="0.25">
      <c r="A134">
        <v>12688994</v>
      </c>
      <c r="B134" t="s" cm="1">
        <v>430</v>
      </c>
      <c r="C134">
        <v>27</v>
      </c>
      <c r="G134" s="7" t="e" cm="1">
        <v>#N/A</v>
      </c>
      <c r="H134" t="s">
        <v>14</v>
      </c>
      <c r="I134" t="s">
        <v>14</v>
      </c>
      <c r="J134" t="s">
        <v>30</v>
      </c>
      <c r="K134" t="s">
        <v>44</v>
      </c>
      <c r="L134" t="s">
        <v>1530</v>
      </c>
      <c r="M134" t="s">
        <v>78</v>
      </c>
      <c r="N134" t="s">
        <v>83</v>
      </c>
      <c r="P134" t="str" cm="1">
        <f t="array" aca="1" ref="P134" ca="1">VLOOKUP(INDIRECT("A"&amp;ROW()), 'Recent Changes'!A:G, 2, FALSE)</f>
        <v>NULL</v>
      </c>
      <c r="Q134" t="str" cm="1">
        <f t="array" aca="1" ref="Q134" ca="1">VLOOKUP(INDIRECT("A"&amp;ROW()), 'Recent Changes'!A:G, 3, FALSE)</f>
        <v>NULL</v>
      </c>
      <c r="R134" t="str" cm="1">
        <f t="array" aca="1" ref="R134" ca="1">VLOOKUP(INDIRECT("A"&amp;ROW()), 'Recent Changes'!A:G, 4, FALSE)</f>
        <v>NULL</v>
      </c>
      <c r="S134" t="str" cm="1">
        <f t="array" aca="1" ref="S134" ca="1">VLOOKUP(INDIRECT("A"&amp;ROW()), 'Recent Changes'!A:G, 5, FALSE)</f>
        <v>2024-01-04T16:32:18Z</v>
      </c>
      <c r="T134" t="str" cm="1">
        <f t="array" aca="1" ref="T134" ca="1">VLOOKUP(INDIRECT("A"&amp;ROW()), 'Recent Changes'!A:G, 6, FALSE)</f>
        <v>NULL</v>
      </c>
      <c r="U134" t="str" cm="1">
        <f t="array" aca="1" ref="U134" ca="1">VLOOKUP(INDIRECT("A"&amp;ROW()), 'Recent Changes'!A:G, 7, FALSE)</f>
        <v>2023-12-20T23:53:51Z</v>
      </c>
      <c r="V134" t="str" cm="1">
        <f t="array" aca="1" ref="V134" ca="1">VLOOKUP(INDIRECT("A"&amp;ROW()), 'Recent Changes'!A:H, 8, FALSE)</f>
        <v>2023-12-12T21:18:41Z</v>
      </c>
    </row>
    <row r="135" spans="1:22" x14ac:dyDescent="0.25">
      <c r="A135">
        <v>17580637</v>
      </c>
      <c r="B135" t="s">
        <v>430</v>
      </c>
      <c r="C135">
        <v>26</v>
      </c>
      <c r="G135" s="7" t="e" cm="1">
        <v>#N/A</v>
      </c>
      <c r="H135" t="s">
        <v>14</v>
      </c>
      <c r="I135" t="s">
        <v>14</v>
      </c>
      <c r="J135" t="s">
        <v>38</v>
      </c>
      <c r="K135" t="s">
        <v>46</v>
      </c>
      <c r="L135" t="s">
        <v>1524</v>
      </c>
      <c r="M135" t="s">
        <v>76</v>
      </c>
      <c r="N135" t="s">
        <v>1974</v>
      </c>
      <c r="P135" t="e" cm="1">
        <f t="array" aca="1" ref="P135" ca="1">VLOOKUP(INDIRECT("A"&amp;ROW()), 'Recent Changes'!A:G, 2, FALSE)</f>
        <v>#N/A</v>
      </c>
      <c r="Q135" t="e" cm="1">
        <f t="array" aca="1" ref="Q135" ca="1">VLOOKUP(INDIRECT("A"&amp;ROW()), 'Recent Changes'!A:G, 3, FALSE)</f>
        <v>#N/A</v>
      </c>
      <c r="R135" t="e" cm="1">
        <f t="array" aca="1" ref="R135" ca="1">VLOOKUP(INDIRECT("A"&amp;ROW()), 'Recent Changes'!A:G, 4, FALSE)</f>
        <v>#N/A</v>
      </c>
      <c r="S135" t="e" cm="1">
        <f t="array" aca="1" ref="S135" ca="1">VLOOKUP(INDIRECT("A"&amp;ROW()), 'Recent Changes'!A:G, 5, FALSE)</f>
        <v>#N/A</v>
      </c>
      <c r="T135" t="e" cm="1">
        <f t="array" aca="1" ref="T135" ca="1">VLOOKUP(INDIRECT("A"&amp;ROW()), 'Recent Changes'!A:G, 6, FALSE)</f>
        <v>#N/A</v>
      </c>
      <c r="U135" t="e" cm="1">
        <f t="array" aca="1" ref="U135" ca="1">VLOOKUP(INDIRECT("A"&amp;ROW()), 'Recent Changes'!A:G, 7, FALSE)</f>
        <v>#N/A</v>
      </c>
      <c r="V135" t="e" cm="1">
        <f t="array" aca="1" ref="V135" ca="1">VLOOKUP(INDIRECT("A"&amp;ROW()), 'Recent Changes'!A:H, 8, FALSE)</f>
        <v>#N/A</v>
      </c>
    </row>
    <row r="136" spans="1:22" x14ac:dyDescent="0.25">
      <c r="A136">
        <v>17579734</v>
      </c>
      <c r="B136" t="s">
        <v>430</v>
      </c>
      <c r="C136">
        <v>26</v>
      </c>
      <c r="G136" s="7" t="e" cm="1">
        <v>#N/A</v>
      </c>
      <c r="H136" t="s">
        <v>14</v>
      </c>
      <c r="I136" t="s">
        <v>14</v>
      </c>
      <c r="J136" t="s">
        <v>37</v>
      </c>
      <c r="K136" t="s">
        <v>44</v>
      </c>
      <c r="L136" t="s">
        <v>2020</v>
      </c>
      <c r="M136" t="s">
        <v>76</v>
      </c>
      <c r="N136" t="s">
        <v>1974</v>
      </c>
      <c r="P136" t="e" cm="1">
        <f t="array" aca="1" ref="P136" ca="1">VLOOKUP(INDIRECT("A"&amp;ROW()), 'Recent Changes'!A:G, 2, FALSE)</f>
        <v>#N/A</v>
      </c>
      <c r="Q136" t="e" cm="1">
        <f t="array" aca="1" ref="Q136" ca="1">VLOOKUP(INDIRECT("A"&amp;ROW()), 'Recent Changes'!A:G, 3, FALSE)</f>
        <v>#N/A</v>
      </c>
      <c r="R136" t="e" cm="1">
        <f t="array" aca="1" ref="R136" ca="1">VLOOKUP(INDIRECT("A"&amp;ROW()), 'Recent Changes'!A:G, 4, FALSE)</f>
        <v>#N/A</v>
      </c>
      <c r="S136" t="e" cm="1">
        <f t="array" aca="1" ref="S136" ca="1">VLOOKUP(INDIRECT("A"&amp;ROW()), 'Recent Changes'!A:G, 5, FALSE)</f>
        <v>#N/A</v>
      </c>
      <c r="T136" t="e" cm="1">
        <f t="array" aca="1" ref="T136" ca="1">VLOOKUP(INDIRECT("A"&amp;ROW()), 'Recent Changes'!A:G, 6, FALSE)</f>
        <v>#N/A</v>
      </c>
      <c r="U136" t="e" cm="1">
        <f t="array" aca="1" ref="U136" ca="1">VLOOKUP(INDIRECT("A"&amp;ROW()), 'Recent Changes'!A:G, 7, FALSE)</f>
        <v>#N/A</v>
      </c>
      <c r="V136" t="e" cm="1">
        <f t="array" aca="1" ref="V136" ca="1">VLOOKUP(INDIRECT("A"&amp;ROW()), 'Recent Changes'!A:H, 8, FALSE)</f>
        <v>#N/A</v>
      </c>
    </row>
    <row r="137" spans="1:22" x14ac:dyDescent="0.25">
      <c r="A137">
        <v>16847118</v>
      </c>
      <c r="B137" t="s">
        <v>430</v>
      </c>
      <c r="C137">
        <v>25</v>
      </c>
      <c r="G137" s="7" t="e" cm="1">
        <v>#N/A</v>
      </c>
      <c r="H137" t="s">
        <v>14</v>
      </c>
      <c r="I137" t="s">
        <v>14</v>
      </c>
      <c r="J137" t="s">
        <v>32</v>
      </c>
      <c r="K137" t="s">
        <v>44</v>
      </c>
      <c r="L137" t="s">
        <v>1693</v>
      </c>
      <c r="M137" t="s">
        <v>76</v>
      </c>
      <c r="N137" t="s">
        <v>83</v>
      </c>
      <c r="P137" t="str" cm="1">
        <f t="array" aca="1" ref="P137" ca="1">VLOOKUP(INDIRECT("A"&amp;ROW()), 'Recent Changes'!A:G, 2, FALSE)</f>
        <v>NULL</v>
      </c>
      <c r="Q137" t="str" cm="1">
        <f t="array" aca="1" ref="Q137" ca="1">VLOOKUP(INDIRECT("A"&amp;ROW()), 'Recent Changes'!A:G, 3, FALSE)</f>
        <v>NULL</v>
      </c>
      <c r="R137" t="str" cm="1">
        <f t="array" aca="1" ref="R137" ca="1">VLOOKUP(INDIRECT("A"&amp;ROW()), 'Recent Changes'!A:G, 4, FALSE)</f>
        <v>NULL</v>
      </c>
      <c r="S137" t="str" cm="1">
        <f t="array" aca="1" ref="S137" ca="1">VLOOKUP(INDIRECT("A"&amp;ROW()), 'Recent Changes'!A:G, 5, FALSE)</f>
        <v>2023-12-14T19:12:53Z</v>
      </c>
      <c r="T137" t="str" cm="1">
        <f t="array" aca="1" ref="T137" ca="1">VLOOKUP(INDIRECT("A"&amp;ROW()), 'Recent Changes'!A:G, 6, FALSE)</f>
        <v>NULL</v>
      </c>
      <c r="U137" t="str" cm="1">
        <f t="array" aca="1" ref="U137" ca="1">VLOOKUP(INDIRECT("A"&amp;ROW()), 'Recent Changes'!A:G, 7, FALSE)</f>
        <v>NULL</v>
      </c>
      <c r="V137" t="str" cm="1">
        <f t="array" aca="1" ref="V137" ca="1">VLOOKUP(INDIRECT("A"&amp;ROW()), 'Recent Changes'!A:H, 8, FALSE)</f>
        <v>2023-12-14T21:28:19Z</v>
      </c>
    </row>
    <row r="138" spans="1:22" x14ac:dyDescent="0.25">
      <c r="A138">
        <v>17584411</v>
      </c>
      <c r="B138" t="s">
        <v>430</v>
      </c>
      <c r="C138">
        <v>25</v>
      </c>
      <c r="G138" s="7" t="e" cm="1">
        <v>#N/A</v>
      </c>
      <c r="H138" t="s">
        <v>14</v>
      </c>
      <c r="I138" t="s">
        <v>14</v>
      </c>
      <c r="J138" t="s">
        <v>21</v>
      </c>
      <c r="K138" t="s">
        <v>44</v>
      </c>
      <c r="L138" t="s">
        <v>2021</v>
      </c>
      <c r="M138" t="s">
        <v>76</v>
      </c>
      <c r="N138" t="s">
        <v>1974</v>
      </c>
      <c r="P138" t="e" cm="1">
        <f t="array" aca="1" ref="P138" ca="1">VLOOKUP(INDIRECT("A"&amp;ROW()), 'Recent Changes'!A:G, 2, FALSE)</f>
        <v>#N/A</v>
      </c>
      <c r="Q138" t="e" cm="1">
        <f t="array" aca="1" ref="Q138" ca="1">VLOOKUP(INDIRECT("A"&amp;ROW()), 'Recent Changes'!A:G, 3, FALSE)</f>
        <v>#N/A</v>
      </c>
      <c r="R138" t="e" cm="1">
        <f t="array" aca="1" ref="R138" ca="1">VLOOKUP(INDIRECT("A"&amp;ROW()), 'Recent Changes'!A:G, 4, FALSE)</f>
        <v>#N/A</v>
      </c>
      <c r="S138" t="e" cm="1">
        <f t="array" aca="1" ref="S138" ca="1">VLOOKUP(INDIRECT("A"&amp;ROW()), 'Recent Changes'!A:G, 5, FALSE)</f>
        <v>#N/A</v>
      </c>
      <c r="T138" t="e" cm="1">
        <f t="array" aca="1" ref="T138" ca="1">VLOOKUP(INDIRECT("A"&amp;ROW()), 'Recent Changes'!A:G, 6, FALSE)</f>
        <v>#N/A</v>
      </c>
      <c r="U138" t="e" cm="1">
        <f t="array" aca="1" ref="U138" ca="1">VLOOKUP(INDIRECT("A"&amp;ROW()), 'Recent Changes'!A:G, 7, FALSE)</f>
        <v>#N/A</v>
      </c>
      <c r="V138" t="e" cm="1">
        <f t="array" aca="1" ref="V138" ca="1">VLOOKUP(INDIRECT("A"&amp;ROW()), 'Recent Changes'!A:H, 8, FALSE)</f>
        <v>#N/A</v>
      </c>
    </row>
    <row r="139" spans="1:22" x14ac:dyDescent="0.25">
      <c r="A139">
        <v>17582407</v>
      </c>
      <c r="B139" t="s">
        <v>430</v>
      </c>
      <c r="C139">
        <v>25</v>
      </c>
      <c r="G139" s="7" t="e" cm="1">
        <v>#N/A</v>
      </c>
      <c r="H139" t="s">
        <v>14</v>
      </c>
      <c r="I139" t="s">
        <v>14</v>
      </c>
      <c r="J139" t="s">
        <v>37</v>
      </c>
      <c r="K139" t="s">
        <v>44</v>
      </c>
      <c r="L139" t="s">
        <v>2022</v>
      </c>
      <c r="M139" t="s">
        <v>76</v>
      </c>
      <c r="N139" t="s">
        <v>1974</v>
      </c>
      <c r="P139" t="e" cm="1">
        <f t="array" aca="1" ref="P139" ca="1">VLOOKUP(INDIRECT("A"&amp;ROW()), 'Recent Changes'!A:G, 2, FALSE)</f>
        <v>#N/A</v>
      </c>
      <c r="Q139" t="e" cm="1">
        <f t="array" aca="1" ref="Q139" ca="1">VLOOKUP(INDIRECT("A"&amp;ROW()), 'Recent Changes'!A:G, 3, FALSE)</f>
        <v>#N/A</v>
      </c>
      <c r="R139" t="e" cm="1">
        <f t="array" aca="1" ref="R139" ca="1">VLOOKUP(INDIRECT("A"&amp;ROW()), 'Recent Changes'!A:G, 4, FALSE)</f>
        <v>#N/A</v>
      </c>
      <c r="S139" t="e" cm="1">
        <f t="array" aca="1" ref="S139" ca="1">VLOOKUP(INDIRECT("A"&amp;ROW()), 'Recent Changes'!A:G, 5, FALSE)</f>
        <v>#N/A</v>
      </c>
      <c r="T139" t="e" cm="1">
        <f t="array" aca="1" ref="T139" ca="1">VLOOKUP(INDIRECT("A"&amp;ROW()), 'Recent Changes'!A:G, 6, FALSE)</f>
        <v>#N/A</v>
      </c>
      <c r="U139" t="e" cm="1">
        <f t="array" aca="1" ref="U139" ca="1">VLOOKUP(INDIRECT("A"&amp;ROW()), 'Recent Changes'!A:G, 7, FALSE)</f>
        <v>#N/A</v>
      </c>
      <c r="V139" t="e" cm="1">
        <f t="array" aca="1" ref="V139" ca="1">VLOOKUP(INDIRECT("A"&amp;ROW()), 'Recent Changes'!A:H, 8, FALSE)</f>
        <v>#N/A</v>
      </c>
    </row>
    <row r="140" spans="1:22" x14ac:dyDescent="0.25">
      <c r="A140">
        <v>17587086</v>
      </c>
      <c r="B140" t="s">
        <v>430</v>
      </c>
      <c r="C140">
        <v>25</v>
      </c>
      <c r="G140" s="7" t="e" cm="1">
        <v>#N/A</v>
      </c>
      <c r="H140" t="s">
        <v>14</v>
      </c>
      <c r="I140" t="s">
        <v>14</v>
      </c>
      <c r="J140" t="s">
        <v>38</v>
      </c>
      <c r="K140" t="s">
        <v>44</v>
      </c>
      <c r="L140" t="s">
        <v>1711</v>
      </c>
      <c r="M140" t="s">
        <v>76</v>
      </c>
      <c r="N140" t="s">
        <v>1974</v>
      </c>
      <c r="P140" t="e" cm="1">
        <f t="array" aca="1" ref="P140" ca="1">VLOOKUP(INDIRECT("A"&amp;ROW()), 'Recent Changes'!A:G, 2, FALSE)</f>
        <v>#N/A</v>
      </c>
      <c r="Q140" t="e" cm="1">
        <f t="array" aca="1" ref="Q140" ca="1">VLOOKUP(INDIRECT("A"&amp;ROW()), 'Recent Changes'!A:G, 3, FALSE)</f>
        <v>#N/A</v>
      </c>
      <c r="R140" t="e" cm="1">
        <f t="array" aca="1" ref="R140" ca="1">VLOOKUP(INDIRECT("A"&amp;ROW()), 'Recent Changes'!A:G, 4, FALSE)</f>
        <v>#N/A</v>
      </c>
      <c r="S140" t="e" cm="1">
        <f t="array" aca="1" ref="S140" ca="1">VLOOKUP(INDIRECT("A"&amp;ROW()), 'Recent Changes'!A:G, 5, FALSE)</f>
        <v>#N/A</v>
      </c>
      <c r="T140" t="e" cm="1">
        <f t="array" aca="1" ref="T140" ca="1">VLOOKUP(INDIRECT("A"&amp;ROW()), 'Recent Changes'!A:G, 6, FALSE)</f>
        <v>#N/A</v>
      </c>
      <c r="U140" t="e" cm="1">
        <f t="array" aca="1" ref="U140" ca="1">VLOOKUP(INDIRECT("A"&amp;ROW()), 'Recent Changes'!A:G, 7, FALSE)</f>
        <v>#N/A</v>
      </c>
      <c r="V140" t="e" cm="1">
        <f t="array" aca="1" ref="V140" ca="1">VLOOKUP(INDIRECT("A"&amp;ROW()), 'Recent Changes'!A:H, 8, FALSE)</f>
        <v>#N/A</v>
      </c>
    </row>
    <row r="141" spans="1:22" x14ac:dyDescent="0.25">
      <c r="A141">
        <v>17166477</v>
      </c>
      <c r="B141" t="s" cm="1">
        <v>430</v>
      </c>
      <c r="C141">
        <v>25</v>
      </c>
      <c r="G141" s="7" t="e" cm="1">
        <v>#N/A</v>
      </c>
      <c r="H141" t="s">
        <v>14</v>
      </c>
      <c r="I141" t="s">
        <v>14</v>
      </c>
      <c r="J141" t="s">
        <v>30</v>
      </c>
      <c r="K141" t="s">
        <v>44</v>
      </c>
      <c r="L141" t="s">
        <v>675</v>
      </c>
      <c r="M141" t="s">
        <v>2055</v>
      </c>
      <c r="N141" t="s">
        <v>83</v>
      </c>
      <c r="P141" t="str" cm="1">
        <f t="array" aca="1" ref="P141" ca="1">VLOOKUP(INDIRECT("A"&amp;ROW()), 'Recent Changes'!A:G, 2, FALSE)</f>
        <v>NULL</v>
      </c>
      <c r="Q141" t="str" cm="1">
        <f t="array" aca="1" ref="Q141" ca="1">VLOOKUP(INDIRECT("A"&amp;ROW()), 'Recent Changes'!A:G, 3, FALSE)</f>
        <v>NULL</v>
      </c>
      <c r="R141" t="str" cm="1">
        <f t="array" aca="1" ref="R141" ca="1">VLOOKUP(INDIRECT("A"&amp;ROW()), 'Recent Changes'!A:G, 4, FALSE)</f>
        <v>NULL</v>
      </c>
      <c r="S141" t="str" cm="1">
        <f t="array" aca="1" ref="S141" ca="1">VLOOKUP(INDIRECT("A"&amp;ROW()), 'Recent Changes'!A:G, 5, FALSE)</f>
        <v>2024-01-08T18:09:42Z</v>
      </c>
      <c r="T141" t="str" cm="1">
        <f t="array" aca="1" ref="T141" ca="1">VLOOKUP(INDIRECT("A"&amp;ROW()), 'Recent Changes'!A:G, 6, FALSE)</f>
        <v>NULL</v>
      </c>
      <c r="U141" t="str" cm="1">
        <f t="array" aca="1" ref="U141" ca="1">VLOOKUP(INDIRECT("A"&amp;ROW()), 'Recent Changes'!A:G, 7, FALSE)</f>
        <v>2023-10-11T01:13:12Z</v>
      </c>
      <c r="V141" t="str" cm="1">
        <f t="array" aca="1" ref="V141" ca="1">VLOOKUP(INDIRECT("A"&amp;ROW()), 'Recent Changes'!A:H, 8, FALSE)</f>
        <v>2023-12-19T16:49:39Z</v>
      </c>
    </row>
    <row r="142" spans="1:22" x14ac:dyDescent="0.25">
      <c r="A142">
        <v>17588418</v>
      </c>
      <c r="B142" t="s">
        <v>430</v>
      </c>
      <c r="C142">
        <v>24</v>
      </c>
      <c r="G142" s="7" t="e" cm="1">
        <v>#N/A</v>
      </c>
      <c r="H142" t="s">
        <v>14</v>
      </c>
      <c r="I142" t="s">
        <v>14</v>
      </c>
      <c r="J142" t="s">
        <v>37</v>
      </c>
      <c r="K142" t="s">
        <v>44</v>
      </c>
      <c r="L142" t="s">
        <v>1519</v>
      </c>
      <c r="M142" t="s">
        <v>76</v>
      </c>
      <c r="N142" t="s">
        <v>1974</v>
      </c>
      <c r="P142" t="e" cm="1">
        <f t="array" aca="1" ref="P142" ca="1">VLOOKUP(INDIRECT("A"&amp;ROW()), 'Recent Changes'!A:G, 2, FALSE)</f>
        <v>#N/A</v>
      </c>
      <c r="Q142" t="e" cm="1">
        <f t="array" aca="1" ref="Q142" ca="1">VLOOKUP(INDIRECT("A"&amp;ROW()), 'Recent Changes'!A:G, 3, FALSE)</f>
        <v>#N/A</v>
      </c>
      <c r="R142" t="e" cm="1">
        <f t="array" aca="1" ref="R142" ca="1">VLOOKUP(INDIRECT("A"&amp;ROW()), 'Recent Changes'!A:G, 4, FALSE)</f>
        <v>#N/A</v>
      </c>
      <c r="S142" t="e" cm="1">
        <f t="array" aca="1" ref="S142" ca="1">VLOOKUP(INDIRECT("A"&amp;ROW()), 'Recent Changes'!A:G, 5, FALSE)</f>
        <v>#N/A</v>
      </c>
      <c r="T142" t="e" cm="1">
        <f t="array" aca="1" ref="T142" ca="1">VLOOKUP(INDIRECT("A"&amp;ROW()), 'Recent Changes'!A:G, 6, FALSE)</f>
        <v>#N/A</v>
      </c>
      <c r="U142" t="e" cm="1">
        <f t="array" aca="1" ref="U142" ca="1">VLOOKUP(INDIRECT("A"&amp;ROW()), 'Recent Changes'!A:G, 7, FALSE)</f>
        <v>#N/A</v>
      </c>
      <c r="V142" t="e" cm="1">
        <f t="array" aca="1" ref="V142" ca="1">VLOOKUP(INDIRECT("A"&amp;ROW()), 'Recent Changes'!A:H, 8, FALSE)</f>
        <v>#N/A</v>
      </c>
    </row>
    <row r="143" spans="1:22" x14ac:dyDescent="0.25">
      <c r="A143">
        <v>17116053</v>
      </c>
      <c r="B143" t="s" cm="1">
        <v>430</v>
      </c>
      <c r="C143">
        <v>24</v>
      </c>
      <c r="G143" s="7" t="e" cm="1">
        <v>#N/A</v>
      </c>
      <c r="H143" t="s">
        <v>14</v>
      </c>
      <c r="I143" t="s">
        <v>14</v>
      </c>
      <c r="J143" t="s">
        <v>30</v>
      </c>
      <c r="K143" t="s">
        <v>44</v>
      </c>
      <c r="L143" t="s">
        <v>2023</v>
      </c>
      <c r="M143" t="s">
        <v>78</v>
      </c>
      <c r="N143" t="s">
        <v>83</v>
      </c>
      <c r="P143" t="str" cm="1">
        <f t="array" aca="1" ref="P143" ca="1">VLOOKUP(INDIRECT("A"&amp;ROW()), 'Recent Changes'!A:G, 2, FALSE)</f>
        <v>NULL</v>
      </c>
      <c r="Q143" t="str" cm="1">
        <f t="array" aca="1" ref="Q143" ca="1">VLOOKUP(INDIRECT("A"&amp;ROW()), 'Recent Changes'!A:G, 3, FALSE)</f>
        <v>NULL</v>
      </c>
      <c r="R143" t="str" cm="1">
        <f t="array" aca="1" ref="R143" ca="1">VLOOKUP(INDIRECT("A"&amp;ROW()), 'Recent Changes'!A:G, 4, FALSE)</f>
        <v>NULL</v>
      </c>
      <c r="S143" t="str" cm="1">
        <f t="array" aca="1" ref="S143" ca="1">VLOOKUP(INDIRECT("A"&amp;ROW()), 'Recent Changes'!A:G, 5, FALSE)</f>
        <v>2023-12-15T17:04:46Z</v>
      </c>
      <c r="T143" t="str" cm="1">
        <f t="array" aca="1" ref="T143" ca="1">VLOOKUP(INDIRECT("A"&amp;ROW()), 'Recent Changes'!A:G, 6, FALSE)</f>
        <v>NULL</v>
      </c>
      <c r="U143" t="str" cm="1">
        <f t="array" aca="1" ref="U143" ca="1">VLOOKUP(INDIRECT("A"&amp;ROW()), 'Recent Changes'!A:G, 7, FALSE)</f>
        <v>NULL</v>
      </c>
      <c r="V143" t="str" cm="1">
        <f t="array" aca="1" ref="V143" ca="1">VLOOKUP(INDIRECT("A"&amp;ROW()), 'Recent Changes'!A:H, 8, FALSE)</f>
        <v>2023-12-15T21:15:14Z</v>
      </c>
    </row>
    <row r="144" spans="1:22" x14ac:dyDescent="0.25">
      <c r="A144">
        <v>13321704</v>
      </c>
      <c r="B144" t="s" cm="1">
        <v>430</v>
      </c>
      <c r="C144">
        <v>24</v>
      </c>
      <c r="G144" s="7" t="e" cm="1">
        <v>#N/A</v>
      </c>
      <c r="H144" t="s">
        <v>14</v>
      </c>
      <c r="I144" t="s">
        <v>14</v>
      </c>
      <c r="J144" t="s">
        <v>30</v>
      </c>
      <c r="K144" t="s">
        <v>44</v>
      </c>
      <c r="L144" t="s">
        <v>2024</v>
      </c>
      <c r="M144" t="s">
        <v>78</v>
      </c>
      <c r="N144" t="s">
        <v>83</v>
      </c>
      <c r="P144" t="str" cm="1">
        <f t="array" aca="1" ref="P144" ca="1">VLOOKUP(INDIRECT("A"&amp;ROW()), 'Recent Changes'!A:G, 2, FALSE)</f>
        <v>NULL</v>
      </c>
      <c r="Q144" t="str" cm="1">
        <f t="array" aca="1" ref="Q144" ca="1">VLOOKUP(INDIRECT("A"&amp;ROW()), 'Recent Changes'!A:G, 3, FALSE)</f>
        <v>NULL</v>
      </c>
      <c r="R144" t="str" cm="1">
        <f t="array" aca="1" ref="R144" ca="1">VLOOKUP(INDIRECT("A"&amp;ROW()), 'Recent Changes'!A:G, 4, FALSE)</f>
        <v>NULL</v>
      </c>
      <c r="S144" t="str" cm="1">
        <f t="array" aca="1" ref="S144" ca="1">VLOOKUP(INDIRECT("A"&amp;ROW()), 'Recent Changes'!A:G, 5, FALSE)</f>
        <v>2023-12-15T17:13:33Z</v>
      </c>
      <c r="T144" t="str" cm="1">
        <f t="array" aca="1" ref="T144" ca="1">VLOOKUP(INDIRECT("A"&amp;ROW()), 'Recent Changes'!A:G, 6, FALSE)</f>
        <v>NULL</v>
      </c>
      <c r="U144" t="str" cm="1">
        <f t="array" aca="1" ref="U144" ca="1">VLOOKUP(INDIRECT("A"&amp;ROW()), 'Recent Changes'!A:G, 7, FALSE)</f>
        <v>NULL</v>
      </c>
      <c r="V144" t="str" cm="1">
        <f t="array" aca="1" ref="V144" ca="1">VLOOKUP(INDIRECT("A"&amp;ROW()), 'Recent Changes'!A:H, 8, FALSE)</f>
        <v>2023-12-15T21:10:26Z</v>
      </c>
    </row>
    <row r="145" spans="1:22" x14ac:dyDescent="0.25">
      <c r="A145">
        <v>17593279</v>
      </c>
      <c r="B145" t="s">
        <v>430</v>
      </c>
      <c r="C145">
        <v>23</v>
      </c>
      <c r="G145" s="7" t="e" cm="1">
        <v>#N/A</v>
      </c>
      <c r="H145" t="s">
        <v>14</v>
      </c>
      <c r="I145" t="s">
        <v>14</v>
      </c>
      <c r="J145" t="s">
        <v>38</v>
      </c>
      <c r="K145" t="s">
        <v>1415</v>
      </c>
      <c r="L145" t="s">
        <v>1690</v>
      </c>
      <c r="M145" t="s">
        <v>76</v>
      </c>
      <c r="N145" t="s">
        <v>1974</v>
      </c>
      <c r="P145" t="e" cm="1">
        <f t="array" aca="1" ref="P145" ca="1">VLOOKUP(INDIRECT("A"&amp;ROW()), 'Recent Changes'!A:G, 2, FALSE)</f>
        <v>#N/A</v>
      </c>
      <c r="Q145" t="e" cm="1">
        <f t="array" aca="1" ref="Q145" ca="1">VLOOKUP(INDIRECT("A"&amp;ROW()), 'Recent Changes'!A:G, 3, FALSE)</f>
        <v>#N/A</v>
      </c>
      <c r="R145" t="e" cm="1">
        <f t="array" aca="1" ref="R145" ca="1">VLOOKUP(INDIRECT("A"&amp;ROW()), 'Recent Changes'!A:G, 4, FALSE)</f>
        <v>#N/A</v>
      </c>
      <c r="S145" t="e" cm="1">
        <f t="array" aca="1" ref="S145" ca="1">VLOOKUP(INDIRECT("A"&amp;ROW()), 'Recent Changes'!A:G, 5, FALSE)</f>
        <v>#N/A</v>
      </c>
      <c r="T145" t="e" cm="1">
        <f t="array" aca="1" ref="T145" ca="1">VLOOKUP(INDIRECT("A"&amp;ROW()), 'Recent Changes'!A:G, 6, FALSE)</f>
        <v>#N/A</v>
      </c>
      <c r="U145" t="e" cm="1">
        <f t="array" aca="1" ref="U145" ca="1">VLOOKUP(INDIRECT("A"&amp;ROW()), 'Recent Changes'!A:G, 7, FALSE)</f>
        <v>#N/A</v>
      </c>
      <c r="V145" t="e" cm="1">
        <f t="array" aca="1" ref="V145" ca="1">VLOOKUP(INDIRECT("A"&amp;ROW()), 'Recent Changes'!A:H, 8, FALSE)</f>
        <v>#N/A</v>
      </c>
    </row>
    <row r="146" spans="1:22" x14ac:dyDescent="0.25">
      <c r="A146">
        <v>17593195</v>
      </c>
      <c r="B146" t="s">
        <v>430</v>
      </c>
      <c r="C146">
        <v>23</v>
      </c>
      <c r="G146" s="7" t="e" cm="1">
        <v>#N/A</v>
      </c>
      <c r="H146" t="s">
        <v>14</v>
      </c>
      <c r="I146" t="s">
        <v>14</v>
      </c>
      <c r="J146" t="s">
        <v>38</v>
      </c>
      <c r="K146" t="s">
        <v>45</v>
      </c>
      <c r="L146" t="s">
        <v>2025</v>
      </c>
      <c r="M146" t="s">
        <v>76</v>
      </c>
      <c r="N146" t="s">
        <v>1974</v>
      </c>
      <c r="P146" t="e" cm="1">
        <f t="array" aca="1" ref="P146" ca="1">VLOOKUP(INDIRECT("A"&amp;ROW()), 'Recent Changes'!A:G, 2, FALSE)</f>
        <v>#N/A</v>
      </c>
      <c r="Q146" t="e" cm="1">
        <f t="array" aca="1" ref="Q146" ca="1">VLOOKUP(INDIRECT("A"&amp;ROW()), 'Recent Changes'!A:G, 3, FALSE)</f>
        <v>#N/A</v>
      </c>
      <c r="R146" t="e" cm="1">
        <f t="array" aca="1" ref="R146" ca="1">VLOOKUP(INDIRECT("A"&amp;ROW()), 'Recent Changes'!A:G, 4, FALSE)</f>
        <v>#N/A</v>
      </c>
      <c r="S146" t="e" cm="1">
        <f t="array" aca="1" ref="S146" ca="1">VLOOKUP(INDIRECT("A"&amp;ROW()), 'Recent Changes'!A:G, 5, FALSE)</f>
        <v>#N/A</v>
      </c>
      <c r="T146" t="e" cm="1">
        <f t="array" aca="1" ref="T146" ca="1">VLOOKUP(INDIRECT("A"&amp;ROW()), 'Recent Changes'!A:G, 6, FALSE)</f>
        <v>#N/A</v>
      </c>
      <c r="U146" t="e" cm="1">
        <f t="array" aca="1" ref="U146" ca="1">VLOOKUP(INDIRECT("A"&amp;ROW()), 'Recent Changes'!A:G, 7, FALSE)</f>
        <v>#N/A</v>
      </c>
      <c r="V146" t="e" cm="1">
        <f t="array" aca="1" ref="V146" ca="1">VLOOKUP(INDIRECT("A"&amp;ROW()), 'Recent Changes'!A:H, 8, FALSE)</f>
        <v>#N/A</v>
      </c>
    </row>
    <row r="147" spans="1:22" x14ac:dyDescent="0.25">
      <c r="A147">
        <v>17593823</v>
      </c>
      <c r="B147" t="s">
        <v>430</v>
      </c>
      <c r="C147">
        <v>22</v>
      </c>
      <c r="G147" s="7" t="e" cm="1">
        <v>#N/A</v>
      </c>
      <c r="H147" t="s">
        <v>14</v>
      </c>
      <c r="I147" t="s">
        <v>14</v>
      </c>
      <c r="J147" t="s">
        <v>19</v>
      </c>
      <c r="K147" t="s">
        <v>43</v>
      </c>
      <c r="L147" t="s">
        <v>1691</v>
      </c>
      <c r="M147" t="s">
        <v>76</v>
      </c>
      <c r="N147" t="s">
        <v>1974</v>
      </c>
      <c r="P147" t="e" cm="1">
        <f t="array" aca="1" ref="P147" ca="1">VLOOKUP(INDIRECT("A"&amp;ROW()), 'Recent Changes'!A:G, 2, FALSE)</f>
        <v>#N/A</v>
      </c>
      <c r="Q147" t="e" cm="1">
        <f t="array" aca="1" ref="Q147" ca="1">VLOOKUP(INDIRECT("A"&amp;ROW()), 'Recent Changes'!A:G, 3, FALSE)</f>
        <v>#N/A</v>
      </c>
      <c r="R147" t="e" cm="1">
        <f t="array" aca="1" ref="R147" ca="1">VLOOKUP(INDIRECT("A"&amp;ROW()), 'Recent Changes'!A:G, 4, FALSE)</f>
        <v>#N/A</v>
      </c>
      <c r="S147" t="e" cm="1">
        <f t="array" aca="1" ref="S147" ca="1">VLOOKUP(INDIRECT("A"&amp;ROW()), 'Recent Changes'!A:G, 5, FALSE)</f>
        <v>#N/A</v>
      </c>
      <c r="T147" t="e" cm="1">
        <f t="array" aca="1" ref="T147" ca="1">VLOOKUP(INDIRECT("A"&amp;ROW()), 'Recent Changes'!A:G, 6, FALSE)</f>
        <v>#N/A</v>
      </c>
      <c r="U147" t="e" cm="1">
        <f t="array" aca="1" ref="U147" ca="1">VLOOKUP(INDIRECT("A"&amp;ROW()), 'Recent Changes'!A:G, 7, FALSE)</f>
        <v>#N/A</v>
      </c>
      <c r="V147" t="e" cm="1">
        <f t="array" aca="1" ref="V147" ca="1">VLOOKUP(INDIRECT("A"&amp;ROW()), 'Recent Changes'!A:H, 8, FALSE)</f>
        <v>#N/A</v>
      </c>
    </row>
    <row r="148" spans="1:22" x14ac:dyDescent="0.25">
      <c r="A148">
        <v>17594711</v>
      </c>
      <c r="B148" t="s">
        <v>430</v>
      </c>
      <c r="C148">
        <v>21</v>
      </c>
      <c r="G148" s="7" t="e" cm="1">
        <v>#N/A</v>
      </c>
      <c r="H148" t="s">
        <v>14</v>
      </c>
      <c r="I148" t="s">
        <v>14</v>
      </c>
      <c r="J148" t="s">
        <v>19</v>
      </c>
      <c r="K148" t="s">
        <v>43</v>
      </c>
      <c r="L148" t="s">
        <v>1691</v>
      </c>
      <c r="M148" t="s">
        <v>76</v>
      </c>
      <c r="N148" t="s">
        <v>1974</v>
      </c>
      <c r="P148" t="e" cm="1">
        <f t="array" aca="1" ref="P148" ca="1">VLOOKUP(INDIRECT("A"&amp;ROW()), 'Recent Changes'!A:G, 2, FALSE)</f>
        <v>#N/A</v>
      </c>
      <c r="Q148" t="e" cm="1">
        <f t="array" aca="1" ref="Q148" ca="1">VLOOKUP(INDIRECT("A"&amp;ROW()), 'Recent Changes'!A:G, 3, FALSE)</f>
        <v>#N/A</v>
      </c>
      <c r="R148" t="e" cm="1">
        <f t="array" aca="1" ref="R148" ca="1">VLOOKUP(INDIRECT("A"&amp;ROW()), 'Recent Changes'!A:G, 4, FALSE)</f>
        <v>#N/A</v>
      </c>
      <c r="S148" t="e" cm="1">
        <f t="array" aca="1" ref="S148" ca="1">VLOOKUP(INDIRECT("A"&amp;ROW()), 'Recent Changes'!A:G, 5, FALSE)</f>
        <v>#N/A</v>
      </c>
      <c r="T148" t="e" cm="1">
        <f t="array" aca="1" ref="T148" ca="1">VLOOKUP(INDIRECT("A"&amp;ROW()), 'Recent Changes'!A:G, 6, FALSE)</f>
        <v>#N/A</v>
      </c>
      <c r="U148" t="e" cm="1">
        <f t="array" aca="1" ref="U148" ca="1">VLOOKUP(INDIRECT("A"&amp;ROW()), 'Recent Changes'!A:G, 7, FALSE)</f>
        <v>#N/A</v>
      </c>
      <c r="V148" t="e" cm="1">
        <f t="array" aca="1" ref="V148" ca="1">VLOOKUP(INDIRECT("A"&amp;ROW()), 'Recent Changes'!A:H, 8, FALSE)</f>
        <v>#N/A</v>
      </c>
    </row>
    <row r="149" spans="1:22" x14ac:dyDescent="0.25">
      <c r="A149">
        <v>16817799</v>
      </c>
      <c r="B149" t="s">
        <v>430</v>
      </c>
      <c r="C149">
        <v>21</v>
      </c>
      <c r="G149" s="7" t="e" cm="1">
        <v>#N/A</v>
      </c>
      <c r="H149" t="s">
        <v>14</v>
      </c>
      <c r="I149" t="s">
        <v>14</v>
      </c>
      <c r="J149" t="s">
        <v>27</v>
      </c>
      <c r="K149" t="s">
        <v>44</v>
      </c>
      <c r="L149" t="s">
        <v>2026</v>
      </c>
      <c r="M149" t="s">
        <v>76</v>
      </c>
      <c r="N149" t="s">
        <v>83</v>
      </c>
      <c r="P149" t="str" cm="1">
        <f t="array" aca="1" ref="P149" ca="1">VLOOKUP(INDIRECT("A"&amp;ROW()), 'Recent Changes'!A:G, 2, FALSE)</f>
        <v>NULL</v>
      </c>
      <c r="Q149" t="str" cm="1">
        <f t="array" aca="1" ref="Q149" ca="1">VLOOKUP(INDIRECT("A"&amp;ROW()), 'Recent Changes'!A:G, 3, FALSE)</f>
        <v>NULL</v>
      </c>
      <c r="R149" t="str" cm="1">
        <f t="array" aca="1" ref="R149" ca="1">VLOOKUP(INDIRECT("A"&amp;ROW()), 'Recent Changes'!A:G, 4, FALSE)</f>
        <v>NULL</v>
      </c>
      <c r="S149" t="str" cm="1">
        <f t="array" aca="1" ref="S149" ca="1">VLOOKUP(INDIRECT("A"&amp;ROW()), 'Recent Changes'!A:G, 5, FALSE)</f>
        <v>2023-12-18T08:20:25Z</v>
      </c>
      <c r="T149" t="str" cm="1">
        <f t="array" aca="1" ref="T149" ca="1">VLOOKUP(INDIRECT("A"&amp;ROW()), 'Recent Changes'!A:G, 6, FALSE)</f>
        <v>NULL</v>
      </c>
      <c r="U149" t="str" cm="1">
        <f t="array" aca="1" ref="U149" ca="1">VLOOKUP(INDIRECT("A"&amp;ROW()), 'Recent Changes'!A:G, 7, FALSE)</f>
        <v>NULL</v>
      </c>
      <c r="V149" t="str" cm="1">
        <f t="array" aca="1" ref="V149" ca="1">VLOOKUP(INDIRECT("A"&amp;ROW()), 'Recent Changes'!A:H, 8, FALSE)</f>
        <v>2023-12-18T16:30:49Z</v>
      </c>
    </row>
    <row r="150" spans="1:22" x14ac:dyDescent="0.25">
      <c r="A150">
        <v>17233451</v>
      </c>
      <c r="B150" t="s" cm="1">
        <v>430</v>
      </c>
      <c r="C150">
        <v>21</v>
      </c>
      <c r="G150" s="7" t="e" cm="1">
        <v>#N/A</v>
      </c>
      <c r="H150" t="s">
        <v>14</v>
      </c>
      <c r="I150" t="s">
        <v>14</v>
      </c>
      <c r="J150" t="s">
        <v>30</v>
      </c>
      <c r="K150" t="s">
        <v>44</v>
      </c>
      <c r="L150" t="s">
        <v>58</v>
      </c>
      <c r="M150" t="s">
        <v>76</v>
      </c>
      <c r="N150" t="s">
        <v>83</v>
      </c>
      <c r="P150" t="str" cm="1">
        <f t="array" aca="1" ref="P150" ca="1">VLOOKUP(INDIRECT("A"&amp;ROW()), 'Recent Changes'!A:G, 2, FALSE)</f>
        <v>NULL</v>
      </c>
      <c r="Q150" t="str" cm="1">
        <f t="array" aca="1" ref="Q150" ca="1">VLOOKUP(INDIRECT("A"&amp;ROW()), 'Recent Changes'!A:G, 3, FALSE)</f>
        <v>NULL</v>
      </c>
      <c r="R150" t="str" cm="1">
        <f t="array" aca="1" ref="R150" ca="1">VLOOKUP(INDIRECT("A"&amp;ROW()), 'Recent Changes'!A:G, 4, FALSE)</f>
        <v>NULL</v>
      </c>
      <c r="S150" t="str" cm="1">
        <f t="array" aca="1" ref="S150" ca="1">VLOOKUP(INDIRECT("A"&amp;ROW()), 'Recent Changes'!A:G, 5, FALSE)</f>
        <v>2023-12-18T14:22:41Z</v>
      </c>
      <c r="T150" t="str" cm="1">
        <f t="array" aca="1" ref="T150" ca="1">VLOOKUP(INDIRECT("A"&amp;ROW()), 'Recent Changes'!A:G, 6, FALSE)</f>
        <v>NULL</v>
      </c>
      <c r="U150" t="str" cm="1">
        <f t="array" aca="1" ref="U150" ca="1">VLOOKUP(INDIRECT("A"&amp;ROW()), 'Recent Changes'!A:G, 7, FALSE)</f>
        <v>2023-10-20T08:39:12Z</v>
      </c>
      <c r="V150" t="str" cm="1">
        <f t="array" aca="1" ref="V150" ca="1">VLOOKUP(INDIRECT("A"&amp;ROW()), 'Recent Changes'!A:H, 8, FALSE)</f>
        <v>2023-12-18T16:12:27Z</v>
      </c>
    </row>
    <row r="151" spans="1:22" x14ac:dyDescent="0.25">
      <c r="A151">
        <v>11879769</v>
      </c>
      <c r="B151" t="s">
        <v>433</v>
      </c>
      <c r="C151">
        <v>21</v>
      </c>
      <c r="G151" s="7" t="e" cm="1">
        <v>#N/A</v>
      </c>
      <c r="H151">
        <v>45167</v>
      </c>
      <c r="I151" t="s">
        <v>15</v>
      </c>
      <c r="J151" t="s">
        <v>18</v>
      </c>
      <c r="K151" t="s">
        <v>44</v>
      </c>
      <c r="L151" t="s">
        <v>2027</v>
      </c>
      <c r="M151" t="s">
        <v>77</v>
      </c>
      <c r="N151" t="s">
        <v>83</v>
      </c>
      <c r="O151" t="s">
        <v>431</v>
      </c>
      <c r="P151" t="str" cm="1">
        <f t="array" aca="1" ref="P151" ca="1">VLOOKUP(INDIRECT("A"&amp;ROW()), 'Recent Changes'!A:G, 2, FALSE)</f>
        <v>NULL</v>
      </c>
      <c r="Q151" t="str" cm="1">
        <f t="array" aca="1" ref="Q151" ca="1">VLOOKUP(INDIRECT("A"&amp;ROW()), 'Recent Changes'!A:G, 3, FALSE)</f>
        <v>NULL</v>
      </c>
      <c r="R151" t="str" cm="1">
        <f t="array" aca="1" ref="R151" ca="1">VLOOKUP(INDIRECT("A"&amp;ROW()), 'Recent Changes'!A:G, 4, FALSE)</f>
        <v>NULL</v>
      </c>
      <c r="S151" t="str" cm="1">
        <f t="array" aca="1" ref="S151" ca="1">VLOOKUP(INDIRECT("A"&amp;ROW()), 'Recent Changes'!A:G, 5, FALSE)</f>
        <v>2023-12-18T19:49:40Z</v>
      </c>
      <c r="T151" t="str" cm="1">
        <f t="array" aca="1" ref="T151" ca="1">VLOOKUP(INDIRECT("A"&amp;ROW()), 'Recent Changes'!A:G, 6, FALSE)</f>
        <v>NULL</v>
      </c>
      <c r="U151" t="str" cm="1">
        <f t="array" aca="1" ref="U151" ca="1">VLOOKUP(INDIRECT("A"&amp;ROW()), 'Recent Changes'!A:G, 7, FALSE)</f>
        <v>NULL</v>
      </c>
      <c r="V151" t="str" cm="1">
        <f t="array" aca="1" ref="V151" ca="1">VLOOKUP(INDIRECT("A"&amp;ROW()), 'Recent Changes'!A:H, 8, FALSE)</f>
        <v>2023-12-18T21:23:41Z</v>
      </c>
    </row>
    <row r="152" spans="1:22" x14ac:dyDescent="0.25">
      <c r="A152">
        <v>17230205</v>
      </c>
      <c r="B152" t="s">
        <v>430</v>
      </c>
      <c r="C152">
        <v>21</v>
      </c>
      <c r="G152" s="7" t="e" cm="1">
        <v>#N/A</v>
      </c>
      <c r="H152" t="s">
        <v>14</v>
      </c>
      <c r="I152" t="s">
        <v>593</v>
      </c>
      <c r="J152" t="s">
        <v>21</v>
      </c>
      <c r="K152" t="s">
        <v>389</v>
      </c>
      <c r="L152" t="s">
        <v>2028</v>
      </c>
      <c r="M152" t="s">
        <v>76</v>
      </c>
      <c r="N152" t="s">
        <v>83</v>
      </c>
      <c r="P152" t="str" cm="1">
        <f t="array" aca="1" ref="P152" ca="1">VLOOKUP(INDIRECT("A"&amp;ROW()), 'Recent Changes'!A:G, 2, FALSE)</f>
        <v>2023-12-18T18:22:24Z</v>
      </c>
      <c r="Q152" t="str" cm="1">
        <f t="array" aca="1" ref="Q152" ca="1">VLOOKUP(INDIRECT("A"&amp;ROW()), 'Recent Changes'!A:G, 3, FALSE)</f>
        <v>NULL</v>
      </c>
      <c r="R152" t="str" cm="1">
        <f t="array" aca="1" ref="R152" ca="1">VLOOKUP(INDIRECT("A"&amp;ROW()), 'Recent Changes'!A:G, 4, FALSE)</f>
        <v>NULL</v>
      </c>
      <c r="S152" t="str" cm="1">
        <f t="array" aca="1" ref="S152" ca="1">VLOOKUP(INDIRECT("A"&amp;ROW()), 'Recent Changes'!A:G, 5, FALSE)</f>
        <v>NULL</v>
      </c>
      <c r="T152" t="str" cm="1">
        <f t="array" aca="1" ref="T152" ca="1">VLOOKUP(INDIRECT("A"&amp;ROW()), 'Recent Changes'!A:G, 6, FALSE)</f>
        <v>NULL</v>
      </c>
      <c r="U152" t="str" cm="1">
        <f t="array" aca="1" ref="U152" ca="1">VLOOKUP(INDIRECT("A"&amp;ROW()), 'Recent Changes'!A:G, 7, FALSE)</f>
        <v>NULL</v>
      </c>
      <c r="V152" t="str" cm="1">
        <f t="array" aca="1" ref="V152" ca="1">VLOOKUP(INDIRECT("A"&amp;ROW()), 'Recent Changes'!A:H, 8, FALSE)</f>
        <v>2023-12-18T21:12:45Z</v>
      </c>
    </row>
    <row r="153" spans="1:22" x14ac:dyDescent="0.25">
      <c r="A153">
        <v>16451521</v>
      </c>
      <c r="B153" t="s" cm="1">
        <v>430</v>
      </c>
      <c r="C153">
        <v>21</v>
      </c>
      <c r="G153" s="7" t="e" cm="1">
        <v>#N/A</v>
      </c>
      <c r="H153" t="s">
        <v>14</v>
      </c>
      <c r="I153" t="s">
        <v>14</v>
      </c>
      <c r="J153" t="s">
        <v>22</v>
      </c>
      <c r="K153" t="s">
        <v>44</v>
      </c>
      <c r="L153" t="s">
        <v>395</v>
      </c>
      <c r="M153" t="s">
        <v>76</v>
      </c>
      <c r="N153" t="s">
        <v>83</v>
      </c>
      <c r="P153" t="e" cm="1">
        <f t="array" aca="1" ref="P153" ca="1">VLOOKUP(INDIRECT("A"&amp;ROW()), 'Recent Changes'!A:G, 2, FALSE)</f>
        <v>#N/A</v>
      </c>
      <c r="Q153" t="e" cm="1">
        <f t="array" aca="1" ref="Q153" ca="1">VLOOKUP(INDIRECT("A"&amp;ROW()), 'Recent Changes'!A:G, 3, FALSE)</f>
        <v>#N/A</v>
      </c>
      <c r="R153" t="e" cm="1">
        <f t="array" aca="1" ref="R153" ca="1">VLOOKUP(INDIRECT("A"&amp;ROW()), 'Recent Changes'!A:G, 4, FALSE)</f>
        <v>#N/A</v>
      </c>
      <c r="S153" t="e" cm="1">
        <f t="array" aca="1" ref="S153" ca="1">VLOOKUP(INDIRECT("A"&amp;ROW()), 'Recent Changes'!A:G, 5, FALSE)</f>
        <v>#N/A</v>
      </c>
      <c r="T153" t="e" cm="1">
        <f t="array" aca="1" ref="T153" ca="1">VLOOKUP(INDIRECT("A"&amp;ROW()), 'Recent Changes'!A:G, 6, FALSE)</f>
        <v>#N/A</v>
      </c>
      <c r="U153" t="e" cm="1">
        <f t="array" aca="1" ref="U153" ca="1">VLOOKUP(INDIRECT("A"&amp;ROW()), 'Recent Changes'!A:G, 7, FALSE)</f>
        <v>#N/A</v>
      </c>
      <c r="V153" t="e" cm="1">
        <f t="array" aca="1" ref="V153" ca="1">VLOOKUP(INDIRECT("A"&amp;ROW()), 'Recent Changes'!A:H, 8, FALSE)</f>
        <v>#N/A</v>
      </c>
    </row>
    <row r="154" spans="1:22" x14ac:dyDescent="0.25">
      <c r="A154">
        <v>14579863</v>
      </c>
      <c r="B154" t="s">
        <v>430</v>
      </c>
      <c r="C154">
        <v>21</v>
      </c>
      <c r="G154" s="7" t="e" cm="1">
        <v>#N/A</v>
      </c>
      <c r="H154" t="s">
        <v>14</v>
      </c>
      <c r="I154" t="s">
        <v>14</v>
      </c>
      <c r="J154" t="s">
        <v>37</v>
      </c>
      <c r="K154" t="s">
        <v>44</v>
      </c>
      <c r="L154" t="s">
        <v>399</v>
      </c>
      <c r="M154" t="s">
        <v>76</v>
      </c>
      <c r="N154" t="s">
        <v>1974</v>
      </c>
      <c r="P154" t="e" cm="1">
        <f t="array" aca="1" ref="P154" ca="1">VLOOKUP(INDIRECT("A"&amp;ROW()), 'Recent Changes'!A:G, 2, FALSE)</f>
        <v>#N/A</v>
      </c>
      <c r="Q154" t="e" cm="1">
        <f t="array" aca="1" ref="Q154" ca="1">VLOOKUP(INDIRECT("A"&amp;ROW()), 'Recent Changes'!A:G, 3, FALSE)</f>
        <v>#N/A</v>
      </c>
      <c r="R154" t="e" cm="1">
        <f t="array" aca="1" ref="R154" ca="1">VLOOKUP(INDIRECT("A"&amp;ROW()), 'Recent Changes'!A:G, 4, FALSE)</f>
        <v>#N/A</v>
      </c>
      <c r="S154" t="e" cm="1">
        <f t="array" aca="1" ref="S154" ca="1">VLOOKUP(INDIRECT("A"&amp;ROW()), 'Recent Changes'!A:G, 5, FALSE)</f>
        <v>#N/A</v>
      </c>
      <c r="T154" t="e" cm="1">
        <f t="array" aca="1" ref="T154" ca="1">VLOOKUP(INDIRECT("A"&amp;ROW()), 'Recent Changes'!A:G, 6, FALSE)</f>
        <v>#N/A</v>
      </c>
      <c r="U154" t="e" cm="1">
        <f t="array" aca="1" ref="U154" ca="1">VLOOKUP(INDIRECT("A"&amp;ROW()), 'Recent Changes'!A:G, 7, FALSE)</f>
        <v>#N/A</v>
      </c>
      <c r="V154" t="e" cm="1">
        <f t="array" aca="1" ref="V154" ca="1">VLOOKUP(INDIRECT("A"&amp;ROW()), 'Recent Changes'!A:H, 8, FALSE)</f>
        <v>#N/A</v>
      </c>
    </row>
    <row r="155" spans="1:22" x14ac:dyDescent="0.25">
      <c r="A155">
        <v>15038090</v>
      </c>
      <c r="B155" t="s">
        <v>430</v>
      </c>
      <c r="C155">
        <v>21</v>
      </c>
      <c r="G155" s="7" t="e" cm="1">
        <v>#N/A</v>
      </c>
      <c r="H155" t="s">
        <v>14</v>
      </c>
      <c r="I155" t="s">
        <v>14</v>
      </c>
      <c r="J155" t="s">
        <v>24</v>
      </c>
      <c r="K155" t="s">
        <v>44</v>
      </c>
      <c r="L155" t="s">
        <v>2029</v>
      </c>
      <c r="M155" t="s">
        <v>76</v>
      </c>
      <c r="N155" t="s">
        <v>83</v>
      </c>
      <c r="P155" t="str" cm="1">
        <f t="array" aca="1" ref="P155" ca="1">VLOOKUP(INDIRECT("A"&amp;ROW()), 'Recent Changes'!A:G, 2, FALSE)</f>
        <v>NULL</v>
      </c>
      <c r="Q155" t="str" cm="1">
        <f t="array" aca="1" ref="Q155" ca="1">VLOOKUP(INDIRECT("A"&amp;ROW()), 'Recent Changes'!A:G, 3, FALSE)</f>
        <v>NULL</v>
      </c>
      <c r="R155" t="str" cm="1">
        <f t="array" aca="1" ref="R155" ca="1">VLOOKUP(INDIRECT("A"&amp;ROW()), 'Recent Changes'!A:G, 4, FALSE)</f>
        <v>NULL</v>
      </c>
      <c r="S155" t="str" cm="1">
        <f t="array" aca="1" ref="S155" ca="1">VLOOKUP(INDIRECT("A"&amp;ROW()), 'Recent Changes'!A:G, 5, FALSE)</f>
        <v>2023-12-18T23:42:26Z</v>
      </c>
      <c r="T155" t="str" cm="1">
        <f t="array" aca="1" ref="T155" ca="1">VLOOKUP(INDIRECT("A"&amp;ROW()), 'Recent Changes'!A:G, 6, FALSE)</f>
        <v>NULL</v>
      </c>
      <c r="U155" t="str" cm="1">
        <f t="array" aca="1" ref="U155" ca="1">VLOOKUP(INDIRECT("A"&amp;ROW()), 'Recent Changes'!A:G, 7, FALSE)</f>
        <v>NULL</v>
      </c>
      <c r="V155" t="str" cm="1">
        <f t="array" aca="1" ref="V155" ca="1">VLOOKUP(INDIRECT("A"&amp;ROW()), 'Recent Changes'!A:H, 8, FALSE)</f>
        <v>2023-12-19T16:17:23Z</v>
      </c>
    </row>
    <row r="156" spans="1:22" x14ac:dyDescent="0.25">
      <c r="A156">
        <v>10370705</v>
      </c>
      <c r="B156" t="s" cm="1">
        <v>430</v>
      </c>
      <c r="C156">
        <v>21</v>
      </c>
      <c r="G156" s="7" t="e" cm="1">
        <v>#N/A</v>
      </c>
      <c r="H156" t="s">
        <v>14</v>
      </c>
      <c r="I156" t="s">
        <v>14</v>
      </c>
      <c r="J156" t="s">
        <v>22</v>
      </c>
      <c r="K156" t="s">
        <v>51</v>
      </c>
      <c r="L156" t="s">
        <v>2030</v>
      </c>
      <c r="M156" t="s">
        <v>76</v>
      </c>
      <c r="N156" t="s">
        <v>83</v>
      </c>
      <c r="P156" t="str" cm="1">
        <f t="array" aca="1" ref="P156" ca="1">VLOOKUP(INDIRECT("A"&amp;ROW()), 'Recent Changes'!A:G, 2, FALSE)</f>
        <v>NULL</v>
      </c>
      <c r="Q156" t="str" cm="1">
        <f t="array" aca="1" ref="Q156" ca="1">VLOOKUP(INDIRECT("A"&amp;ROW()), 'Recent Changes'!A:G, 3, FALSE)</f>
        <v>NULL</v>
      </c>
      <c r="R156" t="str" cm="1">
        <f t="array" aca="1" ref="R156" ca="1">VLOOKUP(INDIRECT("A"&amp;ROW()), 'Recent Changes'!A:G, 4, FALSE)</f>
        <v>NULL</v>
      </c>
      <c r="S156" t="str" cm="1">
        <f t="array" aca="1" ref="S156" ca="1">VLOOKUP(INDIRECT("A"&amp;ROW()), 'Recent Changes'!A:G, 5, FALSE)</f>
        <v>2023-12-19T20:43:24Z</v>
      </c>
      <c r="T156" t="str" cm="1">
        <f t="array" aca="1" ref="T156" ca="1">VLOOKUP(INDIRECT("A"&amp;ROW()), 'Recent Changes'!A:G, 6, FALSE)</f>
        <v>NULL</v>
      </c>
      <c r="U156" t="str" cm="1">
        <f t="array" aca="1" ref="U156" ca="1">VLOOKUP(INDIRECT("A"&amp;ROW()), 'Recent Changes'!A:G, 7, FALSE)</f>
        <v>2023-12-19T20:48:48Z</v>
      </c>
      <c r="V156" t="str" cm="1">
        <f t="array" aca="1" ref="V156" ca="1">VLOOKUP(INDIRECT("A"&amp;ROW()), 'Recent Changes'!A:H, 8, FALSE)</f>
        <v>2023-12-19T21:16:43Z</v>
      </c>
    </row>
    <row r="157" spans="1:22" x14ac:dyDescent="0.25">
      <c r="A157">
        <v>17603812</v>
      </c>
      <c r="B157" t="s">
        <v>430</v>
      </c>
      <c r="C157">
        <v>20</v>
      </c>
      <c r="G157" s="7" t="e" cm="1">
        <v>#N/A</v>
      </c>
      <c r="H157" t="s">
        <v>14</v>
      </c>
      <c r="I157" t="s">
        <v>14</v>
      </c>
      <c r="J157" t="s">
        <v>38</v>
      </c>
      <c r="K157" t="s">
        <v>43</v>
      </c>
      <c r="L157" t="s">
        <v>71</v>
      </c>
      <c r="M157" t="s">
        <v>76</v>
      </c>
      <c r="N157" t="s">
        <v>1974</v>
      </c>
      <c r="P157" t="e" cm="1">
        <f t="array" aca="1" ref="P157" ca="1">VLOOKUP(INDIRECT("A"&amp;ROW()), 'Recent Changes'!A:G, 2, FALSE)</f>
        <v>#N/A</v>
      </c>
      <c r="Q157" t="e" cm="1">
        <f t="array" aca="1" ref="Q157" ca="1">VLOOKUP(INDIRECT("A"&amp;ROW()), 'Recent Changes'!A:G, 3, FALSE)</f>
        <v>#N/A</v>
      </c>
      <c r="R157" t="e" cm="1">
        <f t="array" aca="1" ref="R157" ca="1">VLOOKUP(INDIRECT("A"&amp;ROW()), 'Recent Changes'!A:G, 4, FALSE)</f>
        <v>#N/A</v>
      </c>
      <c r="S157" t="e" cm="1">
        <f t="array" aca="1" ref="S157" ca="1">VLOOKUP(INDIRECT("A"&amp;ROW()), 'Recent Changes'!A:G, 5, FALSE)</f>
        <v>#N/A</v>
      </c>
      <c r="T157" t="e" cm="1">
        <f t="array" aca="1" ref="T157" ca="1">VLOOKUP(INDIRECT("A"&amp;ROW()), 'Recent Changes'!A:G, 6, FALSE)</f>
        <v>#N/A</v>
      </c>
      <c r="U157" t="e" cm="1">
        <f t="array" aca="1" ref="U157" ca="1">VLOOKUP(INDIRECT("A"&amp;ROW()), 'Recent Changes'!A:G, 7, FALSE)</f>
        <v>#N/A</v>
      </c>
      <c r="V157" t="e" cm="1">
        <f t="array" aca="1" ref="V157" ca="1">VLOOKUP(INDIRECT("A"&amp;ROW()), 'Recent Changes'!A:H, 8, FALSE)</f>
        <v>#N/A</v>
      </c>
    </row>
    <row r="158" spans="1:22" x14ac:dyDescent="0.25">
      <c r="A158">
        <v>17602896</v>
      </c>
      <c r="B158" t="s">
        <v>430</v>
      </c>
      <c r="C158">
        <v>20</v>
      </c>
      <c r="G158" s="7" t="e" cm="1">
        <v>#N/A</v>
      </c>
      <c r="H158" t="s">
        <v>14</v>
      </c>
      <c r="I158" t="s">
        <v>14</v>
      </c>
      <c r="J158" t="s">
        <v>19</v>
      </c>
      <c r="K158" t="s">
        <v>46</v>
      </c>
      <c r="L158" t="s">
        <v>435</v>
      </c>
      <c r="M158" t="s">
        <v>76</v>
      </c>
      <c r="N158" t="s">
        <v>1974</v>
      </c>
      <c r="P158" t="e" cm="1">
        <f t="array" aca="1" ref="P158" ca="1">VLOOKUP(INDIRECT("A"&amp;ROW()), 'Recent Changes'!A:G, 2, FALSE)</f>
        <v>#N/A</v>
      </c>
      <c r="Q158" t="e" cm="1">
        <f t="array" aca="1" ref="Q158" ca="1">VLOOKUP(INDIRECT("A"&amp;ROW()), 'Recent Changes'!A:G, 3, FALSE)</f>
        <v>#N/A</v>
      </c>
      <c r="R158" t="e" cm="1">
        <f t="array" aca="1" ref="R158" ca="1">VLOOKUP(INDIRECT("A"&amp;ROW()), 'Recent Changes'!A:G, 4, FALSE)</f>
        <v>#N/A</v>
      </c>
      <c r="S158" t="e" cm="1">
        <f t="array" aca="1" ref="S158" ca="1">VLOOKUP(INDIRECT("A"&amp;ROW()), 'Recent Changes'!A:G, 5, FALSE)</f>
        <v>#N/A</v>
      </c>
      <c r="T158" t="e" cm="1">
        <f t="array" aca="1" ref="T158" ca="1">VLOOKUP(INDIRECT("A"&amp;ROW()), 'Recent Changes'!A:G, 6, FALSE)</f>
        <v>#N/A</v>
      </c>
      <c r="U158" t="e" cm="1">
        <f t="array" aca="1" ref="U158" ca="1">VLOOKUP(INDIRECT("A"&amp;ROW()), 'Recent Changes'!A:G, 7, FALSE)</f>
        <v>#N/A</v>
      </c>
      <c r="V158" t="e" cm="1">
        <f t="array" aca="1" ref="V158" ca="1">VLOOKUP(INDIRECT("A"&amp;ROW()), 'Recent Changes'!A:H, 8, FALSE)</f>
        <v>#N/A</v>
      </c>
    </row>
    <row r="159" spans="1:22" x14ac:dyDescent="0.25">
      <c r="A159">
        <v>17599796</v>
      </c>
      <c r="B159" t="s">
        <v>430</v>
      </c>
      <c r="C159">
        <v>20</v>
      </c>
      <c r="G159" s="7" t="e" cm="1">
        <v>#N/A</v>
      </c>
      <c r="H159" t="s">
        <v>14</v>
      </c>
      <c r="I159" t="s">
        <v>14</v>
      </c>
      <c r="J159" t="s">
        <v>19</v>
      </c>
      <c r="K159" t="s">
        <v>1683</v>
      </c>
      <c r="L159" t="s">
        <v>755</v>
      </c>
      <c r="M159" t="s">
        <v>76</v>
      </c>
      <c r="N159" t="s">
        <v>1974</v>
      </c>
      <c r="P159" t="e" cm="1">
        <f t="array" aca="1" ref="P159" ca="1">VLOOKUP(INDIRECT("A"&amp;ROW()), 'Recent Changes'!A:G, 2, FALSE)</f>
        <v>#N/A</v>
      </c>
      <c r="Q159" t="e" cm="1">
        <f t="array" aca="1" ref="Q159" ca="1">VLOOKUP(INDIRECT("A"&amp;ROW()), 'Recent Changes'!A:G, 3, FALSE)</f>
        <v>#N/A</v>
      </c>
      <c r="R159" t="e" cm="1">
        <f t="array" aca="1" ref="R159" ca="1">VLOOKUP(INDIRECT("A"&amp;ROW()), 'Recent Changes'!A:G, 4, FALSE)</f>
        <v>#N/A</v>
      </c>
      <c r="S159" t="e" cm="1">
        <f t="array" aca="1" ref="S159" ca="1">VLOOKUP(INDIRECT("A"&amp;ROW()), 'Recent Changes'!A:G, 5, FALSE)</f>
        <v>#N/A</v>
      </c>
      <c r="T159" t="e" cm="1">
        <f t="array" aca="1" ref="T159" ca="1">VLOOKUP(INDIRECT("A"&amp;ROW()), 'Recent Changes'!A:G, 6, FALSE)</f>
        <v>#N/A</v>
      </c>
      <c r="U159" t="e" cm="1">
        <f t="array" aca="1" ref="U159" ca="1">VLOOKUP(INDIRECT("A"&amp;ROW()), 'Recent Changes'!A:G, 7, FALSE)</f>
        <v>#N/A</v>
      </c>
      <c r="V159" t="e" cm="1">
        <f t="array" aca="1" ref="V159" ca="1">VLOOKUP(INDIRECT("A"&amp;ROW()), 'Recent Changes'!A:H, 8, FALSE)</f>
        <v>#N/A</v>
      </c>
    </row>
    <row r="160" spans="1:22" x14ac:dyDescent="0.25">
      <c r="A160">
        <v>17599790</v>
      </c>
      <c r="B160" t="s">
        <v>430</v>
      </c>
      <c r="C160">
        <v>20</v>
      </c>
      <c r="G160" s="7" t="e" cm="1">
        <v>#N/A</v>
      </c>
      <c r="H160" t="s">
        <v>14</v>
      </c>
      <c r="I160" t="s">
        <v>14</v>
      </c>
      <c r="J160" t="s">
        <v>19</v>
      </c>
      <c r="K160" t="s">
        <v>1683</v>
      </c>
      <c r="L160" t="s">
        <v>63</v>
      </c>
      <c r="M160" t="s">
        <v>76</v>
      </c>
      <c r="N160" t="s">
        <v>1974</v>
      </c>
      <c r="P160" t="e" cm="1">
        <f t="array" aca="1" ref="P160" ca="1">VLOOKUP(INDIRECT("A"&amp;ROW()), 'Recent Changes'!A:G, 2, FALSE)</f>
        <v>#N/A</v>
      </c>
      <c r="Q160" t="e" cm="1">
        <f t="array" aca="1" ref="Q160" ca="1">VLOOKUP(INDIRECT("A"&amp;ROW()), 'Recent Changes'!A:G, 3, FALSE)</f>
        <v>#N/A</v>
      </c>
      <c r="R160" t="e" cm="1">
        <f t="array" aca="1" ref="R160" ca="1">VLOOKUP(INDIRECT("A"&amp;ROW()), 'Recent Changes'!A:G, 4, FALSE)</f>
        <v>#N/A</v>
      </c>
      <c r="S160" t="e" cm="1">
        <f t="array" aca="1" ref="S160" ca="1">VLOOKUP(INDIRECT("A"&amp;ROW()), 'Recent Changes'!A:G, 5, FALSE)</f>
        <v>#N/A</v>
      </c>
      <c r="T160" t="e" cm="1">
        <f t="array" aca="1" ref="T160" ca="1">VLOOKUP(INDIRECT("A"&amp;ROW()), 'Recent Changes'!A:G, 6, FALSE)</f>
        <v>#N/A</v>
      </c>
      <c r="U160" t="e" cm="1">
        <f t="array" aca="1" ref="U160" ca="1">VLOOKUP(INDIRECT("A"&amp;ROW()), 'Recent Changes'!A:G, 7, FALSE)</f>
        <v>#N/A</v>
      </c>
      <c r="V160" t="e" cm="1">
        <f t="array" aca="1" ref="V160" ca="1">VLOOKUP(INDIRECT("A"&amp;ROW()), 'Recent Changes'!A:H, 8, FALSE)</f>
        <v>#N/A</v>
      </c>
    </row>
    <row r="161" spans="1:22" x14ac:dyDescent="0.25">
      <c r="A161">
        <v>17561142</v>
      </c>
      <c r="B161" t="s">
        <v>433</v>
      </c>
      <c r="C161">
        <v>20</v>
      </c>
      <c r="G161" s="7" t="e" cm="1">
        <v>#N/A</v>
      </c>
      <c r="H161" t="s">
        <v>14</v>
      </c>
      <c r="I161" t="s">
        <v>14</v>
      </c>
      <c r="J161" t="s">
        <v>34</v>
      </c>
      <c r="K161" t="s">
        <v>44</v>
      </c>
      <c r="L161" t="s">
        <v>2031</v>
      </c>
      <c r="M161" t="s">
        <v>76</v>
      </c>
      <c r="N161" t="s">
        <v>1974</v>
      </c>
      <c r="P161" t="e" cm="1">
        <f t="array" aca="1" ref="P161" ca="1">VLOOKUP(INDIRECT("A"&amp;ROW()), 'Recent Changes'!A:G, 2, FALSE)</f>
        <v>#N/A</v>
      </c>
      <c r="Q161" t="e" cm="1">
        <f t="array" aca="1" ref="Q161" ca="1">VLOOKUP(INDIRECT("A"&amp;ROW()), 'Recent Changes'!A:G, 3, FALSE)</f>
        <v>#N/A</v>
      </c>
      <c r="R161" t="e" cm="1">
        <f t="array" aca="1" ref="R161" ca="1">VLOOKUP(INDIRECT("A"&amp;ROW()), 'Recent Changes'!A:G, 4, FALSE)</f>
        <v>#N/A</v>
      </c>
      <c r="S161" t="e" cm="1">
        <f t="array" aca="1" ref="S161" ca="1">VLOOKUP(INDIRECT("A"&amp;ROW()), 'Recent Changes'!A:G, 5, FALSE)</f>
        <v>#N/A</v>
      </c>
      <c r="T161" t="e" cm="1">
        <f t="array" aca="1" ref="T161" ca="1">VLOOKUP(INDIRECT("A"&amp;ROW()), 'Recent Changes'!A:G, 6, FALSE)</f>
        <v>#N/A</v>
      </c>
      <c r="U161" t="e" cm="1">
        <f t="array" aca="1" ref="U161" ca="1">VLOOKUP(INDIRECT("A"&amp;ROW()), 'Recent Changes'!A:G, 7, FALSE)</f>
        <v>#N/A</v>
      </c>
      <c r="V161" t="e" cm="1">
        <f t="array" aca="1" ref="V161" ca="1">VLOOKUP(INDIRECT("A"&amp;ROW()), 'Recent Changes'!A:H, 8, FALSE)</f>
        <v>#N/A</v>
      </c>
    </row>
    <row r="162" spans="1:22" x14ac:dyDescent="0.25">
      <c r="A162">
        <v>16695467</v>
      </c>
      <c r="B162" t="s" cm="1">
        <v>430</v>
      </c>
      <c r="C162">
        <v>20</v>
      </c>
      <c r="G162" s="7" t="e" cm="1">
        <v>#N/A</v>
      </c>
      <c r="H162" t="s">
        <v>14</v>
      </c>
      <c r="I162" t="s">
        <v>14</v>
      </c>
      <c r="J162" t="s">
        <v>30</v>
      </c>
      <c r="K162" t="s">
        <v>44</v>
      </c>
      <c r="L162" t="s">
        <v>1709</v>
      </c>
      <c r="M162" t="s">
        <v>76</v>
      </c>
      <c r="N162" t="s">
        <v>83</v>
      </c>
      <c r="P162" t="str" cm="1">
        <f t="array" aca="1" ref="P162" ca="1">VLOOKUP(INDIRECT("A"&amp;ROW()), 'Recent Changes'!A:G, 2, FALSE)</f>
        <v>NULL</v>
      </c>
      <c r="Q162" t="str" cm="1">
        <f t="array" aca="1" ref="Q162" ca="1">VLOOKUP(INDIRECT("A"&amp;ROW()), 'Recent Changes'!A:G, 3, FALSE)</f>
        <v>NULL</v>
      </c>
      <c r="R162" t="str" cm="1">
        <f t="array" aca="1" ref="R162" ca="1">VLOOKUP(INDIRECT("A"&amp;ROW()), 'Recent Changes'!A:G, 4, FALSE)</f>
        <v>NULL</v>
      </c>
      <c r="S162" t="str" cm="1">
        <f t="array" aca="1" ref="S162" ca="1">VLOOKUP(INDIRECT("A"&amp;ROW()), 'Recent Changes'!A:G, 5, FALSE)</f>
        <v>2023-12-19T22:15:28Z</v>
      </c>
      <c r="T162" t="str" cm="1">
        <f t="array" aca="1" ref="T162" ca="1">VLOOKUP(INDIRECT("A"&amp;ROW()), 'Recent Changes'!A:G, 6, FALSE)</f>
        <v>NULL</v>
      </c>
      <c r="U162" t="str" cm="1">
        <f t="array" aca="1" ref="U162" ca="1">VLOOKUP(INDIRECT("A"&amp;ROW()), 'Recent Changes'!A:G, 7, FALSE)</f>
        <v>NULL</v>
      </c>
      <c r="V162" t="str" cm="1">
        <f t="array" aca="1" ref="V162" ca="1">VLOOKUP(INDIRECT("A"&amp;ROW()), 'Recent Changes'!A:H, 8, FALSE)</f>
        <v>2023-12-20T07:48:07Z</v>
      </c>
    </row>
    <row r="163" spans="1:22" x14ac:dyDescent="0.25">
      <c r="A163">
        <v>14864100</v>
      </c>
      <c r="B163" t="s">
        <v>430</v>
      </c>
      <c r="C163">
        <v>20</v>
      </c>
      <c r="G163" s="7" t="e" cm="1">
        <v>#N/A</v>
      </c>
      <c r="H163" t="s">
        <v>14</v>
      </c>
      <c r="I163" t="s">
        <v>14</v>
      </c>
      <c r="J163" t="s">
        <v>37</v>
      </c>
      <c r="K163" t="s">
        <v>44</v>
      </c>
      <c r="L163" t="s">
        <v>87</v>
      </c>
      <c r="M163" t="s">
        <v>81</v>
      </c>
      <c r="N163" t="s">
        <v>1974</v>
      </c>
      <c r="P163" t="e" cm="1">
        <f t="array" aca="1" ref="P163" ca="1">VLOOKUP(INDIRECT("A"&amp;ROW()), 'Recent Changes'!A:G, 2, FALSE)</f>
        <v>#N/A</v>
      </c>
      <c r="Q163" t="e" cm="1">
        <f t="array" aca="1" ref="Q163" ca="1">VLOOKUP(INDIRECT("A"&amp;ROW()), 'Recent Changes'!A:G, 3, FALSE)</f>
        <v>#N/A</v>
      </c>
      <c r="R163" t="e" cm="1">
        <f t="array" aca="1" ref="R163" ca="1">VLOOKUP(INDIRECT("A"&amp;ROW()), 'Recent Changes'!A:G, 4, FALSE)</f>
        <v>#N/A</v>
      </c>
      <c r="S163" t="e" cm="1">
        <f t="array" aca="1" ref="S163" ca="1">VLOOKUP(INDIRECT("A"&amp;ROW()), 'Recent Changes'!A:G, 5, FALSE)</f>
        <v>#N/A</v>
      </c>
      <c r="T163" t="e" cm="1">
        <f t="array" aca="1" ref="T163" ca="1">VLOOKUP(INDIRECT("A"&amp;ROW()), 'Recent Changes'!A:G, 6, FALSE)</f>
        <v>#N/A</v>
      </c>
      <c r="U163" t="e" cm="1">
        <f t="array" aca="1" ref="U163" ca="1">VLOOKUP(INDIRECT("A"&amp;ROW()), 'Recent Changes'!A:G, 7, FALSE)</f>
        <v>#N/A</v>
      </c>
      <c r="V163" t="e" cm="1">
        <f t="array" aca="1" ref="V163" ca="1">VLOOKUP(INDIRECT("A"&amp;ROW()), 'Recent Changes'!A:H, 8, FALSE)</f>
        <v>#N/A</v>
      </c>
    </row>
    <row r="164" spans="1:22" x14ac:dyDescent="0.25">
      <c r="A164">
        <v>17608342</v>
      </c>
      <c r="B164" t="s">
        <v>430</v>
      </c>
      <c r="C164">
        <v>19</v>
      </c>
      <c r="G164" s="7" t="e" cm="1">
        <v>#N/A</v>
      </c>
      <c r="H164" t="s">
        <v>14</v>
      </c>
      <c r="I164" t="s">
        <v>14</v>
      </c>
      <c r="J164" t="s">
        <v>38</v>
      </c>
      <c r="K164" t="s">
        <v>53</v>
      </c>
      <c r="L164" t="s">
        <v>2032</v>
      </c>
      <c r="M164" t="s">
        <v>76</v>
      </c>
      <c r="N164" t="s">
        <v>1974</v>
      </c>
      <c r="P164" t="e" cm="1">
        <f t="array" aca="1" ref="P164" ca="1">VLOOKUP(INDIRECT("A"&amp;ROW()), 'Recent Changes'!A:G, 2, FALSE)</f>
        <v>#N/A</v>
      </c>
      <c r="Q164" t="e" cm="1">
        <f t="array" aca="1" ref="Q164" ca="1">VLOOKUP(INDIRECT("A"&amp;ROW()), 'Recent Changes'!A:G, 3, FALSE)</f>
        <v>#N/A</v>
      </c>
      <c r="R164" t="e" cm="1">
        <f t="array" aca="1" ref="R164" ca="1">VLOOKUP(INDIRECT("A"&amp;ROW()), 'Recent Changes'!A:G, 4, FALSE)</f>
        <v>#N/A</v>
      </c>
      <c r="S164" t="e" cm="1">
        <f t="array" aca="1" ref="S164" ca="1">VLOOKUP(INDIRECT("A"&amp;ROW()), 'Recent Changes'!A:G, 5, FALSE)</f>
        <v>#N/A</v>
      </c>
      <c r="T164" t="e" cm="1">
        <f t="array" aca="1" ref="T164" ca="1">VLOOKUP(INDIRECT("A"&amp;ROW()), 'Recent Changes'!A:G, 6, FALSE)</f>
        <v>#N/A</v>
      </c>
      <c r="U164" t="e" cm="1">
        <f t="array" aca="1" ref="U164" ca="1">VLOOKUP(INDIRECT("A"&amp;ROW()), 'Recent Changes'!A:G, 7, FALSE)</f>
        <v>#N/A</v>
      </c>
      <c r="V164" t="e" cm="1">
        <f t="array" aca="1" ref="V164" ca="1">VLOOKUP(INDIRECT("A"&amp;ROW()), 'Recent Changes'!A:H, 8, FALSE)</f>
        <v>#N/A</v>
      </c>
    </row>
    <row r="165" spans="1:22" x14ac:dyDescent="0.25">
      <c r="A165">
        <v>17137759</v>
      </c>
      <c r="B165" t="s" cm="1">
        <v>430</v>
      </c>
      <c r="C165">
        <v>19</v>
      </c>
      <c r="G165" s="7" t="e" cm="1">
        <v>#N/A</v>
      </c>
      <c r="H165" t="s">
        <v>14</v>
      </c>
      <c r="I165" t="s">
        <v>14</v>
      </c>
      <c r="J165" t="s">
        <v>30</v>
      </c>
      <c r="K165" t="s">
        <v>48</v>
      </c>
      <c r="L165" t="s">
        <v>86</v>
      </c>
      <c r="M165" t="s">
        <v>76</v>
      </c>
      <c r="N165" t="s">
        <v>83</v>
      </c>
      <c r="P165" t="str" cm="1">
        <f t="array" aca="1" ref="P165" ca="1">VLOOKUP(INDIRECT("A"&amp;ROW()), 'Recent Changes'!A:G, 2, FALSE)</f>
        <v>2023-12-20T21:16:49Z</v>
      </c>
      <c r="Q165" t="str" cm="1">
        <f t="array" aca="1" ref="Q165" ca="1">VLOOKUP(INDIRECT("A"&amp;ROW()), 'Recent Changes'!A:G, 3, FALSE)</f>
        <v>NULL</v>
      </c>
      <c r="R165" t="str" cm="1">
        <f t="array" aca="1" ref="R165" ca="1">VLOOKUP(INDIRECT("A"&amp;ROW()), 'Recent Changes'!A:G, 4, FALSE)</f>
        <v>NULL</v>
      </c>
      <c r="S165" t="str" cm="1">
        <f t="array" aca="1" ref="S165" ca="1">VLOOKUP(INDIRECT("A"&amp;ROW()), 'Recent Changes'!A:G, 5, FALSE)</f>
        <v>2023-12-20T21:16:49Z</v>
      </c>
      <c r="T165" t="str" cm="1">
        <f t="array" aca="1" ref="T165" ca="1">VLOOKUP(INDIRECT("A"&amp;ROW()), 'Recent Changes'!A:G, 6, FALSE)</f>
        <v>NULL</v>
      </c>
      <c r="U165" t="str" cm="1">
        <f t="array" aca="1" ref="U165" ca="1">VLOOKUP(INDIRECT("A"&amp;ROW()), 'Recent Changes'!A:G, 7, FALSE)</f>
        <v>2023-09-27T14:19:17Z</v>
      </c>
      <c r="V165" t="str" cm="1">
        <f t="array" aca="1" ref="V165" ca="1">VLOOKUP(INDIRECT("A"&amp;ROW()), 'Recent Changes'!A:H, 8, FALSE)</f>
        <v>2023-12-21T07:24:08Z</v>
      </c>
    </row>
    <row r="166" spans="1:22" x14ac:dyDescent="0.25">
      <c r="A166">
        <v>17338478</v>
      </c>
      <c r="B166" t="s" cm="1">
        <v>430</v>
      </c>
      <c r="C166">
        <v>19</v>
      </c>
      <c r="G166" s="7" t="e" cm="1">
        <v>#N/A</v>
      </c>
      <c r="H166" t="s">
        <v>14</v>
      </c>
      <c r="I166" t="s">
        <v>14</v>
      </c>
      <c r="J166" t="s">
        <v>18</v>
      </c>
      <c r="K166" t="s">
        <v>44</v>
      </c>
      <c r="L166" t="s">
        <v>1472</v>
      </c>
      <c r="M166" t="s">
        <v>76</v>
      </c>
      <c r="N166" t="s">
        <v>83</v>
      </c>
      <c r="P166" t="str" cm="1">
        <f t="array" aca="1" ref="P166" ca="1">VLOOKUP(INDIRECT("A"&amp;ROW()), 'Recent Changes'!A:G, 2, FALSE)</f>
        <v>NULL</v>
      </c>
      <c r="Q166" t="str" cm="1">
        <f t="array" aca="1" ref="Q166" ca="1">VLOOKUP(INDIRECT("A"&amp;ROW()), 'Recent Changes'!A:G, 3, FALSE)</f>
        <v>NULL</v>
      </c>
      <c r="R166" t="str" cm="1">
        <f t="array" aca="1" ref="R166" ca="1">VLOOKUP(INDIRECT("A"&amp;ROW()), 'Recent Changes'!A:G, 4, FALSE)</f>
        <v>NULL</v>
      </c>
      <c r="S166" t="str" cm="1">
        <f t="array" aca="1" ref="S166" ca="1">VLOOKUP(INDIRECT("A"&amp;ROW()), 'Recent Changes'!A:G, 5, FALSE)</f>
        <v>2023-12-26T18:18:10Z</v>
      </c>
      <c r="T166" t="str" cm="1">
        <f t="array" aca="1" ref="T166" ca="1">VLOOKUP(INDIRECT("A"&amp;ROW()), 'Recent Changes'!A:G, 6, FALSE)</f>
        <v>NULL</v>
      </c>
      <c r="U166" t="str" cm="1">
        <f t="array" aca="1" ref="U166" ca="1">VLOOKUP(INDIRECT("A"&amp;ROW()), 'Recent Changes'!A:G, 7, FALSE)</f>
        <v>NULL</v>
      </c>
      <c r="V166" t="str" cm="1">
        <f t="array" aca="1" ref="V166" ca="1">VLOOKUP(INDIRECT("A"&amp;ROW()), 'Recent Changes'!A:H, 8, FALSE)</f>
        <v>2023-12-20T21:06:22Z</v>
      </c>
    </row>
    <row r="167" spans="1:22" x14ac:dyDescent="0.25">
      <c r="A167">
        <v>17026648</v>
      </c>
      <c r="B167" t="s" cm="1">
        <v>430</v>
      </c>
      <c r="C167">
        <v>19</v>
      </c>
      <c r="G167" s="7" t="e" cm="1">
        <v>#N/A</v>
      </c>
      <c r="H167" t="s">
        <v>14</v>
      </c>
      <c r="I167" t="s">
        <v>14</v>
      </c>
      <c r="J167" t="s">
        <v>30</v>
      </c>
      <c r="K167" t="s">
        <v>44</v>
      </c>
      <c r="L167" t="s">
        <v>448</v>
      </c>
      <c r="M167" t="s">
        <v>76</v>
      </c>
      <c r="N167" t="s">
        <v>83</v>
      </c>
      <c r="P167" t="str" cm="1">
        <f t="array" aca="1" ref="P167" ca="1">VLOOKUP(INDIRECT("A"&amp;ROW()), 'Recent Changes'!A:G, 2, FALSE)</f>
        <v>NULL</v>
      </c>
      <c r="Q167" t="str" cm="1">
        <f t="array" aca="1" ref="Q167" ca="1">VLOOKUP(INDIRECT("A"&amp;ROW()), 'Recent Changes'!A:G, 3, FALSE)</f>
        <v>NULL</v>
      </c>
      <c r="R167" t="str" cm="1">
        <f t="array" aca="1" ref="R167" ca="1">VLOOKUP(INDIRECT("A"&amp;ROW()), 'Recent Changes'!A:G, 4, FALSE)</f>
        <v>NULL</v>
      </c>
      <c r="S167" t="str" cm="1">
        <f t="array" aca="1" ref="S167" ca="1">VLOOKUP(INDIRECT("A"&amp;ROW()), 'Recent Changes'!A:G, 5, FALSE)</f>
        <v>2023-12-20T14:05:53Z</v>
      </c>
      <c r="T167" t="str" cm="1">
        <f t="array" aca="1" ref="T167" ca="1">VLOOKUP(INDIRECT("A"&amp;ROW()), 'Recent Changes'!A:G, 6, FALSE)</f>
        <v>NULL</v>
      </c>
      <c r="U167" t="str" cm="1">
        <f t="array" aca="1" ref="U167" ca="1">VLOOKUP(INDIRECT("A"&amp;ROW()), 'Recent Changes'!A:G, 7, FALSE)</f>
        <v>NULL</v>
      </c>
      <c r="V167" t="str" cm="1">
        <f t="array" aca="1" ref="V167" ca="1">VLOOKUP(INDIRECT("A"&amp;ROW()), 'Recent Changes'!A:H, 8, FALSE)</f>
        <v>2023-12-20T16:14:55Z</v>
      </c>
    </row>
    <row r="168" spans="1:22" x14ac:dyDescent="0.25">
      <c r="A168">
        <v>16404151</v>
      </c>
      <c r="B168" t="s" cm="1">
        <v>430</v>
      </c>
      <c r="C168">
        <v>19</v>
      </c>
      <c r="G168" s="7" t="e" cm="1">
        <v>#N/A</v>
      </c>
      <c r="H168" t="s">
        <v>14</v>
      </c>
      <c r="I168" t="s">
        <v>14</v>
      </c>
      <c r="J168" t="s">
        <v>30</v>
      </c>
      <c r="K168" t="s">
        <v>44</v>
      </c>
      <c r="L168" t="s">
        <v>2033</v>
      </c>
      <c r="M168" t="s">
        <v>78</v>
      </c>
      <c r="N168" t="s">
        <v>83</v>
      </c>
      <c r="P168" t="str" cm="1">
        <f t="array" aca="1" ref="P168" ca="1">VLOOKUP(INDIRECT("A"&amp;ROW()), 'Recent Changes'!A:G, 2, FALSE)</f>
        <v>NULL</v>
      </c>
      <c r="Q168" t="str" cm="1">
        <f t="array" aca="1" ref="Q168" ca="1">VLOOKUP(INDIRECT("A"&amp;ROW()), 'Recent Changes'!A:G, 3, FALSE)</f>
        <v>NULL</v>
      </c>
      <c r="R168" t="str" cm="1">
        <f t="array" aca="1" ref="R168" ca="1">VLOOKUP(INDIRECT("A"&amp;ROW()), 'Recent Changes'!A:G, 4, FALSE)</f>
        <v>NULL</v>
      </c>
      <c r="S168" t="str" cm="1">
        <f t="array" aca="1" ref="S168" ca="1">VLOOKUP(INDIRECT("A"&amp;ROW()), 'Recent Changes'!A:G, 5, FALSE)</f>
        <v>2023-12-20T01:36:10Z</v>
      </c>
      <c r="T168" t="str" cm="1">
        <f t="array" aca="1" ref="T168" ca="1">VLOOKUP(INDIRECT("A"&amp;ROW()), 'Recent Changes'!A:G, 6, FALSE)</f>
        <v>NULL</v>
      </c>
      <c r="U168" t="str" cm="1">
        <f t="array" aca="1" ref="U168" ca="1">VLOOKUP(INDIRECT("A"&amp;ROW()), 'Recent Changes'!A:G, 7, FALSE)</f>
        <v>NULL</v>
      </c>
      <c r="V168" t="str" cm="1">
        <f t="array" aca="1" ref="V168" ca="1">VLOOKUP(INDIRECT("A"&amp;ROW()), 'Recent Changes'!A:H, 8, FALSE)</f>
        <v>2023-12-20T07:48:32Z</v>
      </c>
    </row>
    <row r="169" spans="1:22" x14ac:dyDescent="0.25">
      <c r="A169">
        <v>17618748</v>
      </c>
      <c r="B169" t="s">
        <v>430</v>
      </c>
      <c r="C169">
        <v>18</v>
      </c>
      <c r="G169" s="7" t="e" cm="1">
        <v>#N/A</v>
      </c>
      <c r="H169" t="s">
        <v>14</v>
      </c>
      <c r="I169" t="s">
        <v>14</v>
      </c>
      <c r="J169" t="s">
        <v>38</v>
      </c>
      <c r="K169" t="s">
        <v>571</v>
      </c>
      <c r="L169" t="s">
        <v>71</v>
      </c>
      <c r="M169" t="s">
        <v>76</v>
      </c>
      <c r="N169" t="s">
        <v>1974</v>
      </c>
      <c r="P169" t="e" cm="1">
        <f t="array" aca="1" ref="P169" ca="1">VLOOKUP(INDIRECT("A"&amp;ROW()), 'Recent Changes'!A:G, 2, FALSE)</f>
        <v>#N/A</v>
      </c>
      <c r="Q169" t="e" cm="1">
        <f t="array" aca="1" ref="Q169" ca="1">VLOOKUP(INDIRECT("A"&amp;ROW()), 'Recent Changes'!A:G, 3, FALSE)</f>
        <v>#N/A</v>
      </c>
      <c r="R169" t="e" cm="1">
        <f t="array" aca="1" ref="R169" ca="1">VLOOKUP(INDIRECT("A"&amp;ROW()), 'Recent Changes'!A:G, 4, FALSE)</f>
        <v>#N/A</v>
      </c>
      <c r="S169" t="e" cm="1">
        <f t="array" aca="1" ref="S169" ca="1">VLOOKUP(INDIRECT("A"&amp;ROW()), 'Recent Changes'!A:G, 5, FALSE)</f>
        <v>#N/A</v>
      </c>
      <c r="T169" t="e" cm="1">
        <f t="array" aca="1" ref="T169" ca="1">VLOOKUP(INDIRECT("A"&amp;ROW()), 'Recent Changes'!A:G, 6, FALSE)</f>
        <v>#N/A</v>
      </c>
      <c r="U169" t="e" cm="1">
        <f t="array" aca="1" ref="U169" ca="1">VLOOKUP(INDIRECT("A"&amp;ROW()), 'Recent Changes'!A:G, 7, FALSE)</f>
        <v>#N/A</v>
      </c>
      <c r="V169" t="e" cm="1">
        <f t="array" aca="1" ref="V169" ca="1">VLOOKUP(INDIRECT("A"&amp;ROW()), 'Recent Changes'!A:H, 8, FALSE)</f>
        <v>#N/A</v>
      </c>
    </row>
    <row r="170" spans="1:22" x14ac:dyDescent="0.25">
      <c r="A170">
        <v>17616467</v>
      </c>
      <c r="B170" t="s">
        <v>430</v>
      </c>
      <c r="C170">
        <v>18</v>
      </c>
      <c r="G170" s="7" t="e" cm="1">
        <v>#N/A</v>
      </c>
      <c r="H170" t="s">
        <v>14</v>
      </c>
      <c r="I170" t="s">
        <v>14</v>
      </c>
      <c r="J170" t="s">
        <v>38</v>
      </c>
      <c r="K170" t="s">
        <v>53</v>
      </c>
      <c r="L170" t="s">
        <v>70</v>
      </c>
      <c r="M170" t="s">
        <v>76</v>
      </c>
      <c r="N170" t="s">
        <v>1974</v>
      </c>
      <c r="P170" t="e" cm="1">
        <f t="array" aca="1" ref="P170" ca="1">VLOOKUP(INDIRECT("A"&amp;ROW()), 'Recent Changes'!A:G, 2, FALSE)</f>
        <v>#N/A</v>
      </c>
      <c r="Q170" t="e" cm="1">
        <f t="array" aca="1" ref="Q170" ca="1">VLOOKUP(INDIRECT("A"&amp;ROW()), 'Recent Changes'!A:G, 3, FALSE)</f>
        <v>#N/A</v>
      </c>
      <c r="R170" t="e" cm="1">
        <f t="array" aca="1" ref="R170" ca="1">VLOOKUP(INDIRECT("A"&amp;ROW()), 'Recent Changes'!A:G, 4, FALSE)</f>
        <v>#N/A</v>
      </c>
      <c r="S170" t="e" cm="1">
        <f t="array" aca="1" ref="S170" ca="1">VLOOKUP(INDIRECT("A"&amp;ROW()), 'Recent Changes'!A:G, 5, FALSE)</f>
        <v>#N/A</v>
      </c>
      <c r="T170" t="e" cm="1">
        <f t="array" aca="1" ref="T170" ca="1">VLOOKUP(INDIRECT("A"&amp;ROW()), 'Recent Changes'!A:G, 6, FALSE)</f>
        <v>#N/A</v>
      </c>
      <c r="U170" t="e" cm="1">
        <f t="array" aca="1" ref="U170" ca="1">VLOOKUP(INDIRECT("A"&amp;ROW()), 'Recent Changes'!A:G, 7, FALSE)</f>
        <v>#N/A</v>
      </c>
      <c r="V170" t="e" cm="1">
        <f t="array" aca="1" ref="V170" ca="1">VLOOKUP(INDIRECT("A"&amp;ROW()), 'Recent Changes'!A:H, 8, FALSE)</f>
        <v>#N/A</v>
      </c>
    </row>
    <row r="171" spans="1:22" x14ac:dyDescent="0.25">
      <c r="A171">
        <v>15373275</v>
      </c>
      <c r="B171" t="s" cm="1">
        <v>430</v>
      </c>
      <c r="C171">
        <v>18</v>
      </c>
      <c r="G171" s="7" t="e" cm="1">
        <v>#N/A</v>
      </c>
      <c r="H171" t="s">
        <v>14</v>
      </c>
      <c r="I171" t="s">
        <v>14</v>
      </c>
      <c r="J171" t="s">
        <v>18</v>
      </c>
      <c r="K171" t="s">
        <v>44</v>
      </c>
      <c r="L171" t="s">
        <v>55</v>
      </c>
      <c r="M171" t="s">
        <v>76</v>
      </c>
      <c r="N171" t="s">
        <v>83</v>
      </c>
      <c r="P171" t="str" cm="1">
        <f t="array" aca="1" ref="P171" ca="1">VLOOKUP(INDIRECT("A"&amp;ROW()), 'Recent Changes'!A:G, 2, FALSE)</f>
        <v>NULL</v>
      </c>
      <c r="Q171" t="str" cm="1">
        <f t="array" aca="1" ref="Q171" ca="1">VLOOKUP(INDIRECT("A"&amp;ROW()), 'Recent Changes'!A:G, 3, FALSE)</f>
        <v>NULL</v>
      </c>
      <c r="R171" t="str" cm="1">
        <f t="array" aca="1" ref="R171" ca="1">VLOOKUP(INDIRECT("A"&amp;ROW()), 'Recent Changes'!A:G, 4, FALSE)</f>
        <v>NULL</v>
      </c>
      <c r="S171" t="str" cm="1">
        <f t="array" aca="1" ref="S171" ca="1">VLOOKUP(INDIRECT("A"&amp;ROW()), 'Recent Changes'!A:G, 5, FALSE)</f>
        <v>2023-12-21T13:55:42Z</v>
      </c>
      <c r="T171" t="str" cm="1">
        <f t="array" aca="1" ref="T171" ca="1">VLOOKUP(INDIRECT("A"&amp;ROW()), 'Recent Changes'!A:G, 6, FALSE)</f>
        <v>NULL</v>
      </c>
      <c r="U171" t="str" cm="1">
        <f t="array" aca="1" ref="U171" ca="1">VLOOKUP(INDIRECT("A"&amp;ROW()), 'Recent Changes'!A:G, 7, FALSE)</f>
        <v>2022-08-10T13:15:20Z</v>
      </c>
      <c r="V171" t="str" cm="1">
        <f t="array" aca="1" ref="V171" ca="1">VLOOKUP(INDIRECT("A"&amp;ROW()), 'Recent Changes'!A:H, 8, FALSE)</f>
        <v>2023-12-21T16:33:12Z</v>
      </c>
    </row>
    <row r="172" spans="1:22" x14ac:dyDescent="0.25">
      <c r="A172">
        <v>17212585</v>
      </c>
      <c r="B172" t="s" cm="1">
        <v>430</v>
      </c>
      <c r="C172">
        <v>18</v>
      </c>
      <c r="G172" s="7" t="e" cm="1">
        <v>#N/A</v>
      </c>
      <c r="H172" t="s">
        <v>14</v>
      </c>
      <c r="I172" t="s">
        <v>14</v>
      </c>
      <c r="J172" t="s">
        <v>30</v>
      </c>
      <c r="K172" t="s">
        <v>44</v>
      </c>
      <c r="L172" t="s">
        <v>58</v>
      </c>
      <c r="M172" t="s">
        <v>76</v>
      </c>
      <c r="N172" t="s">
        <v>83</v>
      </c>
      <c r="P172" t="str" cm="1">
        <f t="array" aca="1" ref="P172" ca="1">VLOOKUP(INDIRECT("A"&amp;ROW()), 'Recent Changes'!A:G, 2, FALSE)</f>
        <v>NULL</v>
      </c>
      <c r="Q172" t="str" cm="1">
        <f t="array" aca="1" ref="Q172" ca="1">VLOOKUP(INDIRECT("A"&amp;ROW()), 'Recent Changes'!A:G, 3, FALSE)</f>
        <v>NULL</v>
      </c>
      <c r="R172" t="str" cm="1">
        <f t="array" aca="1" ref="R172" ca="1">VLOOKUP(INDIRECT("A"&amp;ROW()), 'Recent Changes'!A:G, 4, FALSE)</f>
        <v>NULL</v>
      </c>
      <c r="S172" t="str" cm="1">
        <f t="array" aca="1" ref="S172" ca="1">VLOOKUP(INDIRECT("A"&amp;ROW()), 'Recent Changes'!A:G, 5, FALSE)</f>
        <v>2023-12-21T19:13:18Z</v>
      </c>
      <c r="T172" t="str" cm="1">
        <f t="array" aca="1" ref="T172" ca="1">VLOOKUP(INDIRECT("A"&amp;ROW()), 'Recent Changes'!A:G, 6, FALSE)</f>
        <v>NULL</v>
      </c>
      <c r="U172" t="str" cm="1">
        <f t="array" aca="1" ref="U172" ca="1">VLOOKUP(INDIRECT("A"&amp;ROW()), 'Recent Changes'!A:G, 7, FALSE)</f>
        <v>2023-10-16T15:44:09Z</v>
      </c>
      <c r="V172" t="str" cm="1">
        <f t="array" aca="1" ref="V172" ca="1">VLOOKUP(INDIRECT("A"&amp;ROW()), 'Recent Changes'!A:H, 8, FALSE)</f>
        <v>2023-12-21T21:15:03Z</v>
      </c>
    </row>
    <row r="173" spans="1:22" x14ac:dyDescent="0.25">
      <c r="A173">
        <v>12480306</v>
      </c>
      <c r="B173" t="s">
        <v>430</v>
      </c>
      <c r="C173">
        <v>18</v>
      </c>
      <c r="G173" s="7" t="e" cm="1">
        <v>#N/A</v>
      </c>
      <c r="H173" t="s">
        <v>14</v>
      </c>
      <c r="I173" t="s">
        <v>14</v>
      </c>
      <c r="J173" t="s">
        <v>32</v>
      </c>
      <c r="K173" t="s">
        <v>44</v>
      </c>
      <c r="L173" t="s">
        <v>60</v>
      </c>
      <c r="M173" t="s">
        <v>76</v>
      </c>
      <c r="N173" t="s">
        <v>83</v>
      </c>
      <c r="P173" t="str" cm="1">
        <f t="array" aca="1" ref="P173" ca="1">VLOOKUP(INDIRECT("A"&amp;ROW()), 'Recent Changes'!A:G, 2, FALSE)</f>
        <v>NULL</v>
      </c>
      <c r="Q173" t="str" cm="1">
        <f t="array" aca="1" ref="Q173" ca="1">VLOOKUP(INDIRECT("A"&amp;ROW()), 'Recent Changes'!A:G, 3, FALSE)</f>
        <v>NULL</v>
      </c>
      <c r="R173" t="str" cm="1">
        <f t="array" aca="1" ref="R173" ca="1">VLOOKUP(INDIRECT("A"&amp;ROW()), 'Recent Changes'!A:G, 4, FALSE)</f>
        <v>NULL</v>
      </c>
      <c r="S173" t="str" cm="1">
        <f t="array" aca="1" ref="S173" ca="1">VLOOKUP(INDIRECT("A"&amp;ROW()), 'Recent Changes'!A:G, 5, FALSE)</f>
        <v>2023-12-21T06:22:15Z</v>
      </c>
      <c r="T173" t="str" cm="1">
        <f t="array" aca="1" ref="T173" ca="1">VLOOKUP(INDIRECT("A"&amp;ROW()), 'Recent Changes'!A:G, 6, FALSE)</f>
        <v>NULL</v>
      </c>
      <c r="U173" t="str" cm="1">
        <f t="array" aca="1" ref="U173" ca="1">VLOOKUP(INDIRECT("A"&amp;ROW()), 'Recent Changes'!A:G, 7, FALSE)</f>
        <v>NULL</v>
      </c>
      <c r="V173" t="str" cm="1">
        <f t="array" aca="1" ref="V173" ca="1">VLOOKUP(INDIRECT("A"&amp;ROW()), 'Recent Changes'!A:H, 8, FALSE)</f>
        <v>2023-12-21T07:40:40Z</v>
      </c>
    </row>
    <row r="174" spans="1:22" x14ac:dyDescent="0.25">
      <c r="A174">
        <v>17620030</v>
      </c>
      <c r="B174" t="s">
        <v>430</v>
      </c>
      <c r="C174">
        <v>18</v>
      </c>
      <c r="G174" s="7" t="e" cm="1">
        <v>#N/A</v>
      </c>
      <c r="H174" t="s">
        <v>14</v>
      </c>
      <c r="I174" t="s">
        <v>14</v>
      </c>
      <c r="J174" t="s">
        <v>21</v>
      </c>
      <c r="K174" t="s">
        <v>45</v>
      </c>
      <c r="L174" t="s">
        <v>2021</v>
      </c>
      <c r="M174" t="s">
        <v>76</v>
      </c>
      <c r="N174" t="s">
        <v>1974</v>
      </c>
      <c r="P174" t="e" cm="1">
        <f t="array" aca="1" ref="P174" ca="1">VLOOKUP(INDIRECT("A"&amp;ROW()), 'Recent Changes'!A:G, 2, FALSE)</f>
        <v>#N/A</v>
      </c>
      <c r="Q174" t="e" cm="1">
        <f t="array" aca="1" ref="Q174" ca="1">VLOOKUP(INDIRECT("A"&amp;ROW()), 'Recent Changes'!A:G, 3, FALSE)</f>
        <v>#N/A</v>
      </c>
      <c r="R174" t="e" cm="1">
        <f t="array" aca="1" ref="R174" ca="1">VLOOKUP(INDIRECT("A"&amp;ROW()), 'Recent Changes'!A:G, 4, FALSE)</f>
        <v>#N/A</v>
      </c>
      <c r="S174" t="e" cm="1">
        <f t="array" aca="1" ref="S174" ca="1">VLOOKUP(INDIRECT("A"&amp;ROW()), 'Recent Changes'!A:G, 5, FALSE)</f>
        <v>#N/A</v>
      </c>
      <c r="T174" t="e" cm="1">
        <f t="array" aca="1" ref="T174" ca="1">VLOOKUP(INDIRECT("A"&amp;ROW()), 'Recent Changes'!A:G, 6, FALSE)</f>
        <v>#N/A</v>
      </c>
      <c r="U174" t="e" cm="1">
        <f t="array" aca="1" ref="U174" ca="1">VLOOKUP(INDIRECT("A"&amp;ROW()), 'Recent Changes'!A:G, 7, FALSE)</f>
        <v>#N/A</v>
      </c>
      <c r="V174" t="e" cm="1">
        <f t="array" aca="1" ref="V174" ca="1">VLOOKUP(INDIRECT("A"&amp;ROW()), 'Recent Changes'!A:H, 8, FALSE)</f>
        <v>#N/A</v>
      </c>
    </row>
    <row r="175" spans="1:22" x14ac:dyDescent="0.25">
      <c r="A175">
        <v>17622022</v>
      </c>
      <c r="B175" t="s">
        <v>430</v>
      </c>
      <c r="C175">
        <v>17</v>
      </c>
      <c r="G175" s="7" t="e" cm="1">
        <v>#N/A</v>
      </c>
      <c r="H175" t="s">
        <v>14</v>
      </c>
      <c r="I175" t="s">
        <v>14</v>
      </c>
      <c r="J175" t="s">
        <v>38</v>
      </c>
      <c r="K175" t="s">
        <v>1684</v>
      </c>
      <c r="L175" t="s">
        <v>2034</v>
      </c>
      <c r="M175" t="s">
        <v>76</v>
      </c>
      <c r="N175" t="s">
        <v>1974</v>
      </c>
      <c r="P175" t="e" cm="1">
        <f t="array" aca="1" ref="P175" ca="1">VLOOKUP(INDIRECT("A"&amp;ROW()), 'Recent Changes'!A:G, 2, FALSE)</f>
        <v>#N/A</v>
      </c>
      <c r="Q175" t="e" cm="1">
        <f t="array" aca="1" ref="Q175" ca="1">VLOOKUP(INDIRECT("A"&amp;ROW()), 'Recent Changes'!A:G, 3, FALSE)</f>
        <v>#N/A</v>
      </c>
      <c r="R175" t="e" cm="1">
        <f t="array" aca="1" ref="R175" ca="1">VLOOKUP(INDIRECT("A"&amp;ROW()), 'Recent Changes'!A:G, 4, FALSE)</f>
        <v>#N/A</v>
      </c>
      <c r="S175" t="e" cm="1">
        <f t="array" aca="1" ref="S175" ca="1">VLOOKUP(INDIRECT("A"&amp;ROW()), 'Recent Changes'!A:G, 5, FALSE)</f>
        <v>#N/A</v>
      </c>
      <c r="T175" t="e" cm="1">
        <f t="array" aca="1" ref="T175" ca="1">VLOOKUP(INDIRECT("A"&amp;ROW()), 'Recent Changes'!A:G, 6, FALSE)</f>
        <v>#N/A</v>
      </c>
      <c r="U175" t="e" cm="1">
        <f t="array" aca="1" ref="U175" ca="1">VLOOKUP(INDIRECT("A"&amp;ROW()), 'Recent Changes'!A:G, 7, FALSE)</f>
        <v>#N/A</v>
      </c>
      <c r="V175" t="e" cm="1">
        <f t="array" aca="1" ref="V175" ca="1">VLOOKUP(INDIRECT("A"&amp;ROW()), 'Recent Changes'!A:H, 8, FALSE)</f>
        <v>#N/A</v>
      </c>
    </row>
    <row r="176" spans="1:22" x14ac:dyDescent="0.25">
      <c r="A176">
        <v>17172728</v>
      </c>
      <c r="B176" t="s">
        <v>430</v>
      </c>
      <c r="C176">
        <v>16</v>
      </c>
      <c r="G176" s="7" t="e" cm="1">
        <v>#N/A</v>
      </c>
      <c r="H176" t="s">
        <v>14</v>
      </c>
      <c r="I176" t="s">
        <v>14</v>
      </c>
      <c r="J176" t="s">
        <v>31</v>
      </c>
      <c r="K176" t="s">
        <v>44</v>
      </c>
      <c r="L176" t="s">
        <v>60</v>
      </c>
      <c r="M176" t="s">
        <v>76</v>
      </c>
      <c r="N176" t="s">
        <v>83</v>
      </c>
      <c r="P176" t="str" cm="1">
        <f t="array" aca="1" ref="P176" ca="1">VLOOKUP(INDIRECT("A"&amp;ROW()), 'Recent Changes'!A:G, 2, FALSE)</f>
        <v>NULL</v>
      </c>
      <c r="Q176" t="str" cm="1">
        <f t="array" aca="1" ref="Q176" ca="1">VLOOKUP(INDIRECT("A"&amp;ROW()), 'Recent Changes'!A:G, 3, FALSE)</f>
        <v>NULL</v>
      </c>
      <c r="R176" t="str" cm="1">
        <f t="array" aca="1" ref="R176" ca="1">VLOOKUP(INDIRECT("A"&amp;ROW()), 'Recent Changes'!A:G, 4, FALSE)</f>
        <v>NULL</v>
      </c>
      <c r="S176" t="str" cm="1">
        <f t="array" aca="1" ref="S176" ca="1">VLOOKUP(INDIRECT("A"&amp;ROW()), 'Recent Changes'!A:G, 5, FALSE)</f>
        <v>2023-12-23T00:26:58Z</v>
      </c>
      <c r="T176" t="str" cm="1">
        <f t="array" aca="1" ref="T176" ca="1">VLOOKUP(INDIRECT("A"&amp;ROW()), 'Recent Changes'!A:G, 6, FALSE)</f>
        <v>NULL</v>
      </c>
      <c r="U176" t="str" cm="1">
        <f t="array" aca="1" ref="U176" ca="1">VLOOKUP(INDIRECT("A"&amp;ROW()), 'Recent Changes'!A:G, 7, FALSE)</f>
        <v>2023-10-04T14:52:19Z</v>
      </c>
      <c r="V176" t="str" cm="1">
        <f t="array" aca="1" ref="V176" ca="1">VLOOKUP(INDIRECT("A"&amp;ROW()), 'Recent Changes'!A:H, 8, FALSE)</f>
        <v>2023-12-23T08:00:20Z</v>
      </c>
    </row>
    <row r="177" spans="1:22" x14ac:dyDescent="0.25">
      <c r="A177">
        <v>17628434</v>
      </c>
      <c r="B177" t="s">
        <v>430</v>
      </c>
      <c r="C177">
        <v>16</v>
      </c>
      <c r="G177" s="7" t="e" cm="1">
        <v>#N/A</v>
      </c>
      <c r="H177" t="s">
        <v>14</v>
      </c>
      <c r="I177" t="s">
        <v>14</v>
      </c>
      <c r="J177" t="s">
        <v>38</v>
      </c>
      <c r="K177" t="s">
        <v>44</v>
      </c>
      <c r="L177" t="s">
        <v>2035</v>
      </c>
      <c r="M177" t="s">
        <v>76</v>
      </c>
      <c r="N177" t="s">
        <v>1974</v>
      </c>
      <c r="P177" t="e" cm="1">
        <f t="array" aca="1" ref="P177" ca="1">VLOOKUP(INDIRECT("A"&amp;ROW()), 'Recent Changes'!A:G, 2, FALSE)</f>
        <v>#N/A</v>
      </c>
      <c r="Q177" t="e" cm="1">
        <f t="array" aca="1" ref="Q177" ca="1">VLOOKUP(INDIRECT("A"&amp;ROW()), 'Recent Changes'!A:G, 3, FALSE)</f>
        <v>#N/A</v>
      </c>
      <c r="R177" t="e" cm="1">
        <f t="array" aca="1" ref="R177" ca="1">VLOOKUP(INDIRECT("A"&amp;ROW()), 'Recent Changes'!A:G, 4, FALSE)</f>
        <v>#N/A</v>
      </c>
      <c r="S177" t="e" cm="1">
        <f t="array" aca="1" ref="S177" ca="1">VLOOKUP(INDIRECT("A"&amp;ROW()), 'Recent Changes'!A:G, 5, FALSE)</f>
        <v>#N/A</v>
      </c>
      <c r="T177" t="e" cm="1">
        <f t="array" aca="1" ref="T177" ca="1">VLOOKUP(INDIRECT("A"&amp;ROW()), 'Recent Changes'!A:G, 6, FALSE)</f>
        <v>#N/A</v>
      </c>
      <c r="U177" t="e" cm="1">
        <f t="array" aca="1" ref="U177" ca="1">VLOOKUP(INDIRECT("A"&amp;ROW()), 'Recent Changes'!A:G, 7, FALSE)</f>
        <v>#N/A</v>
      </c>
      <c r="V177" t="e" cm="1">
        <f t="array" aca="1" ref="V177" ca="1">VLOOKUP(INDIRECT("A"&amp;ROW()), 'Recent Changes'!A:H, 8, FALSE)</f>
        <v>#N/A</v>
      </c>
    </row>
    <row r="178" spans="1:22" x14ac:dyDescent="0.25">
      <c r="A178">
        <v>17628285</v>
      </c>
      <c r="B178" t="s">
        <v>430</v>
      </c>
      <c r="C178">
        <v>16</v>
      </c>
      <c r="G178" s="7" t="e" cm="1">
        <v>#N/A</v>
      </c>
      <c r="H178" t="s">
        <v>14</v>
      </c>
      <c r="I178" t="s">
        <v>14</v>
      </c>
      <c r="J178" t="s">
        <v>38</v>
      </c>
      <c r="K178" t="s">
        <v>44</v>
      </c>
      <c r="L178" t="s">
        <v>2036</v>
      </c>
      <c r="M178" t="s">
        <v>76</v>
      </c>
      <c r="N178" t="s">
        <v>1974</v>
      </c>
      <c r="P178" t="e" cm="1">
        <f t="array" aca="1" ref="P178" ca="1">VLOOKUP(INDIRECT("A"&amp;ROW()), 'Recent Changes'!A:G, 2, FALSE)</f>
        <v>#N/A</v>
      </c>
      <c r="Q178" t="e" cm="1">
        <f t="array" aca="1" ref="Q178" ca="1">VLOOKUP(INDIRECT("A"&amp;ROW()), 'Recent Changes'!A:G, 3, FALSE)</f>
        <v>#N/A</v>
      </c>
      <c r="R178" t="e" cm="1">
        <f t="array" aca="1" ref="R178" ca="1">VLOOKUP(INDIRECT("A"&amp;ROW()), 'Recent Changes'!A:G, 4, FALSE)</f>
        <v>#N/A</v>
      </c>
      <c r="S178" t="e" cm="1">
        <f t="array" aca="1" ref="S178" ca="1">VLOOKUP(INDIRECT("A"&amp;ROW()), 'Recent Changes'!A:G, 5, FALSE)</f>
        <v>#N/A</v>
      </c>
      <c r="T178" t="e" cm="1">
        <f t="array" aca="1" ref="T178" ca="1">VLOOKUP(INDIRECT("A"&amp;ROW()), 'Recent Changes'!A:G, 6, FALSE)</f>
        <v>#N/A</v>
      </c>
      <c r="U178" t="e" cm="1">
        <f t="array" aca="1" ref="U178" ca="1">VLOOKUP(INDIRECT("A"&amp;ROW()), 'Recent Changes'!A:G, 7, FALSE)</f>
        <v>#N/A</v>
      </c>
      <c r="V178" t="e" cm="1">
        <f t="array" aca="1" ref="V178" ca="1">VLOOKUP(INDIRECT("A"&amp;ROW()), 'Recent Changes'!A:H, 8, FALSE)</f>
        <v>#N/A</v>
      </c>
    </row>
    <row r="179" spans="1:22" x14ac:dyDescent="0.25">
      <c r="A179">
        <v>17628212</v>
      </c>
      <c r="B179" t="s">
        <v>433</v>
      </c>
      <c r="C179">
        <v>16</v>
      </c>
      <c r="G179" s="7" t="e" cm="1">
        <v>#N/A</v>
      </c>
      <c r="H179" t="s">
        <v>14</v>
      </c>
      <c r="I179" t="s">
        <v>14</v>
      </c>
      <c r="J179" t="s">
        <v>1975</v>
      </c>
      <c r="K179" t="s">
        <v>48</v>
      </c>
      <c r="L179" t="s">
        <v>2037</v>
      </c>
      <c r="M179" t="s">
        <v>76</v>
      </c>
      <c r="N179" t="s">
        <v>1974</v>
      </c>
      <c r="P179" t="e" cm="1">
        <f t="array" aca="1" ref="P179" ca="1">VLOOKUP(INDIRECT("A"&amp;ROW()), 'Recent Changes'!A:G, 2, FALSE)</f>
        <v>#N/A</v>
      </c>
      <c r="Q179" t="e" cm="1">
        <f t="array" aca="1" ref="Q179" ca="1">VLOOKUP(INDIRECT("A"&amp;ROW()), 'Recent Changes'!A:G, 3, FALSE)</f>
        <v>#N/A</v>
      </c>
      <c r="R179" t="e" cm="1">
        <f t="array" aca="1" ref="R179" ca="1">VLOOKUP(INDIRECT("A"&amp;ROW()), 'Recent Changes'!A:G, 4, FALSE)</f>
        <v>#N/A</v>
      </c>
      <c r="S179" t="e" cm="1">
        <f t="array" aca="1" ref="S179" ca="1">VLOOKUP(INDIRECT("A"&amp;ROW()), 'Recent Changes'!A:G, 5, FALSE)</f>
        <v>#N/A</v>
      </c>
      <c r="T179" t="e" cm="1">
        <f t="array" aca="1" ref="T179" ca="1">VLOOKUP(INDIRECT("A"&amp;ROW()), 'Recent Changes'!A:G, 6, FALSE)</f>
        <v>#N/A</v>
      </c>
      <c r="U179" t="e" cm="1">
        <f t="array" aca="1" ref="U179" ca="1">VLOOKUP(INDIRECT("A"&amp;ROW()), 'Recent Changes'!A:G, 7, FALSE)</f>
        <v>#N/A</v>
      </c>
      <c r="V179" t="e" cm="1">
        <f t="array" aca="1" ref="V179" ca="1">VLOOKUP(INDIRECT("A"&amp;ROW()), 'Recent Changes'!A:H, 8, FALSE)</f>
        <v>#N/A</v>
      </c>
    </row>
    <row r="180" spans="1:22" x14ac:dyDescent="0.25">
      <c r="A180">
        <v>17214290</v>
      </c>
      <c r="B180" t="s" cm="1">
        <v>430</v>
      </c>
      <c r="C180">
        <v>13</v>
      </c>
      <c r="G180" s="7" t="e" cm="1">
        <v>#N/A</v>
      </c>
      <c r="H180" t="s">
        <v>14</v>
      </c>
      <c r="I180" t="s">
        <v>14</v>
      </c>
      <c r="J180" t="s">
        <v>30</v>
      </c>
      <c r="K180" t="s">
        <v>44</v>
      </c>
      <c r="L180" t="s">
        <v>448</v>
      </c>
      <c r="M180" t="s">
        <v>76</v>
      </c>
      <c r="N180" t="s">
        <v>83</v>
      </c>
      <c r="P180" t="str" cm="1">
        <f t="array" aca="1" ref="P180" ca="1">VLOOKUP(INDIRECT("A"&amp;ROW()), 'Recent Changes'!A:G, 2, FALSE)</f>
        <v>NULL</v>
      </c>
      <c r="Q180" t="str" cm="1">
        <f t="array" aca="1" ref="Q180" ca="1">VLOOKUP(INDIRECT("A"&amp;ROW()), 'Recent Changes'!A:G, 3, FALSE)</f>
        <v>NULL</v>
      </c>
      <c r="R180" t="str" cm="1">
        <f t="array" aca="1" ref="R180" ca="1">VLOOKUP(INDIRECT("A"&amp;ROW()), 'Recent Changes'!A:G, 4, FALSE)</f>
        <v>NULL</v>
      </c>
      <c r="S180" t="str" cm="1">
        <f t="array" aca="1" ref="S180" ca="1">VLOOKUP(INDIRECT("A"&amp;ROW()), 'Recent Changes'!A:G, 5, FALSE)</f>
        <v>2023-12-26T14:32:22Z</v>
      </c>
      <c r="T180" t="str" cm="1">
        <f t="array" aca="1" ref="T180" ca="1">VLOOKUP(INDIRECT("A"&amp;ROW()), 'Recent Changes'!A:G, 6, FALSE)</f>
        <v>NULL</v>
      </c>
      <c r="U180" t="str" cm="1">
        <f t="array" aca="1" ref="U180" ca="1">VLOOKUP(INDIRECT("A"&amp;ROW()), 'Recent Changes'!A:G, 7, FALSE)</f>
        <v>NULL</v>
      </c>
      <c r="V180" t="str" cm="1">
        <f t="array" aca="1" ref="V180" ca="1">VLOOKUP(INDIRECT("A"&amp;ROW()), 'Recent Changes'!A:H, 8, FALSE)</f>
        <v>2023-12-26T16:22:16Z</v>
      </c>
    </row>
    <row r="181" spans="1:22" x14ac:dyDescent="0.25">
      <c r="A181">
        <v>11443957</v>
      </c>
      <c r="B181" t="s" cm="1">
        <v>430</v>
      </c>
      <c r="C181">
        <v>13</v>
      </c>
      <c r="G181" s="7" t="e" cm="1">
        <v>#N/A</v>
      </c>
      <c r="H181" t="s">
        <v>14</v>
      </c>
      <c r="I181" t="s">
        <v>14</v>
      </c>
      <c r="J181" t="s">
        <v>30</v>
      </c>
      <c r="K181" t="s">
        <v>44</v>
      </c>
      <c r="L181" t="s">
        <v>1707</v>
      </c>
      <c r="M181" t="s">
        <v>76</v>
      </c>
      <c r="N181" t="s">
        <v>83</v>
      </c>
      <c r="P181" t="str" cm="1">
        <f t="array" aca="1" ref="P181" ca="1">VLOOKUP(INDIRECT("A"&amp;ROW()), 'Recent Changes'!A:G, 2, FALSE)</f>
        <v>NULL</v>
      </c>
      <c r="Q181" t="str" cm="1">
        <f t="array" aca="1" ref="Q181" ca="1">VLOOKUP(INDIRECT("A"&amp;ROW()), 'Recent Changes'!A:G, 3, FALSE)</f>
        <v>NULL</v>
      </c>
      <c r="R181" t="str" cm="1">
        <f t="array" aca="1" ref="R181" ca="1">VLOOKUP(INDIRECT("A"&amp;ROW()), 'Recent Changes'!A:G, 4, FALSE)</f>
        <v>NULL</v>
      </c>
      <c r="S181" t="str" cm="1">
        <f t="array" aca="1" ref="S181" ca="1">VLOOKUP(INDIRECT("A"&amp;ROW()), 'Recent Changes'!A:G, 5, FALSE)</f>
        <v>2023-12-26T22:09:09Z</v>
      </c>
      <c r="T181" t="str" cm="1">
        <f t="array" aca="1" ref="T181" ca="1">VLOOKUP(INDIRECT("A"&amp;ROW()), 'Recent Changes'!A:G, 6, FALSE)</f>
        <v>NULL</v>
      </c>
      <c r="U181" t="str" cm="1">
        <f t="array" aca="1" ref="U181" ca="1">VLOOKUP(INDIRECT("A"&amp;ROW()), 'Recent Changes'!A:G, 7, FALSE)</f>
        <v>NULL</v>
      </c>
      <c r="V181" t="str" cm="1">
        <f t="array" aca="1" ref="V181" ca="1">VLOOKUP(INDIRECT("A"&amp;ROW()), 'Recent Changes'!A:H, 8, FALSE)</f>
        <v>2023-12-27T07:44:51Z</v>
      </c>
    </row>
    <row r="182" spans="1:22" x14ac:dyDescent="0.25">
      <c r="A182">
        <v>17326868</v>
      </c>
      <c r="B182" t="s" cm="1">
        <v>430</v>
      </c>
      <c r="C182">
        <v>13</v>
      </c>
      <c r="G182" s="7" t="e" cm="1">
        <v>#N/A</v>
      </c>
      <c r="H182" t="s">
        <v>14</v>
      </c>
      <c r="I182" t="s">
        <v>14</v>
      </c>
      <c r="J182" t="s">
        <v>30</v>
      </c>
      <c r="K182" t="s">
        <v>44</v>
      </c>
      <c r="L182" t="s">
        <v>55</v>
      </c>
      <c r="M182" t="s">
        <v>76</v>
      </c>
      <c r="N182" t="s">
        <v>83</v>
      </c>
      <c r="P182" t="str" cm="1">
        <f t="array" aca="1" ref="P182" ca="1">VLOOKUP(INDIRECT("A"&amp;ROW()), 'Recent Changes'!A:G, 2, FALSE)</f>
        <v>NULL</v>
      </c>
      <c r="Q182" t="str" cm="1">
        <f t="array" aca="1" ref="Q182" ca="1">VLOOKUP(INDIRECT("A"&amp;ROW()), 'Recent Changes'!A:G, 3, FALSE)</f>
        <v>NULL</v>
      </c>
      <c r="R182" t="str" cm="1">
        <f t="array" aca="1" ref="R182" ca="1">VLOOKUP(INDIRECT("A"&amp;ROW()), 'Recent Changes'!A:G, 4, FALSE)</f>
        <v>NULL</v>
      </c>
      <c r="S182" t="str" cm="1">
        <f t="array" aca="1" ref="S182" ca="1">VLOOKUP(INDIRECT("A"&amp;ROW()), 'Recent Changes'!A:G, 5, FALSE)</f>
        <v>2023-12-26T15:51:52Z</v>
      </c>
      <c r="T182" t="str" cm="1">
        <f t="array" aca="1" ref="T182" ca="1">VLOOKUP(INDIRECT("A"&amp;ROW()), 'Recent Changes'!A:G, 6, FALSE)</f>
        <v>NULL</v>
      </c>
      <c r="U182" t="str" cm="1">
        <f t="array" aca="1" ref="U182" ca="1">VLOOKUP(INDIRECT("A"&amp;ROW()), 'Recent Changes'!A:G, 7, FALSE)</f>
        <v>2023-11-16T05:58:56Z</v>
      </c>
      <c r="V182" t="str" cm="1">
        <f t="array" aca="1" ref="V182" ca="1">VLOOKUP(INDIRECT("A"&amp;ROW()), 'Recent Changes'!A:H, 8, FALSE)</f>
        <v>2023-12-26T16:02:41Z</v>
      </c>
    </row>
    <row r="183" spans="1:22" x14ac:dyDescent="0.25">
      <c r="A183">
        <v>17616366</v>
      </c>
      <c r="B183" t="s">
        <v>430</v>
      </c>
      <c r="C183">
        <v>12</v>
      </c>
      <c r="G183" s="7" t="e" cm="1">
        <v>#N/A</v>
      </c>
      <c r="H183" t="s">
        <v>14</v>
      </c>
      <c r="I183" t="s">
        <v>14</v>
      </c>
      <c r="J183" t="s">
        <v>37</v>
      </c>
      <c r="K183" t="s">
        <v>44</v>
      </c>
      <c r="L183" t="s">
        <v>1519</v>
      </c>
      <c r="M183" t="s">
        <v>76</v>
      </c>
      <c r="N183" t="s">
        <v>1974</v>
      </c>
      <c r="P183" t="e" cm="1">
        <f t="array" aca="1" ref="P183" ca="1">VLOOKUP(INDIRECT("A"&amp;ROW()), 'Recent Changes'!A:G, 2, FALSE)</f>
        <v>#N/A</v>
      </c>
      <c r="Q183" t="e" cm="1">
        <f t="array" aca="1" ref="Q183" ca="1">VLOOKUP(INDIRECT("A"&amp;ROW()), 'Recent Changes'!A:G, 3, FALSE)</f>
        <v>#N/A</v>
      </c>
      <c r="R183" t="e" cm="1">
        <f t="array" aca="1" ref="R183" ca="1">VLOOKUP(INDIRECT("A"&amp;ROW()), 'Recent Changes'!A:G, 4, FALSE)</f>
        <v>#N/A</v>
      </c>
      <c r="S183" t="e" cm="1">
        <f t="array" aca="1" ref="S183" ca="1">VLOOKUP(INDIRECT("A"&amp;ROW()), 'Recent Changes'!A:G, 5, FALSE)</f>
        <v>#N/A</v>
      </c>
      <c r="T183" t="e" cm="1">
        <f t="array" aca="1" ref="T183" ca="1">VLOOKUP(INDIRECT("A"&amp;ROW()), 'Recent Changes'!A:G, 6, FALSE)</f>
        <v>#N/A</v>
      </c>
      <c r="U183" t="e" cm="1">
        <f t="array" aca="1" ref="U183" ca="1">VLOOKUP(INDIRECT("A"&amp;ROW()), 'Recent Changes'!A:G, 7, FALSE)</f>
        <v>#N/A</v>
      </c>
      <c r="V183" t="e" cm="1">
        <f t="array" aca="1" ref="V183" ca="1">VLOOKUP(INDIRECT("A"&amp;ROW()), 'Recent Changes'!A:H, 8, FALSE)</f>
        <v>#N/A</v>
      </c>
    </row>
    <row r="184" spans="1:22" x14ac:dyDescent="0.25">
      <c r="A184">
        <v>17561963</v>
      </c>
      <c r="B184" t="s">
        <v>430</v>
      </c>
      <c r="C184">
        <v>11</v>
      </c>
      <c r="G184" s="7" t="e" cm="1">
        <v>#N/A</v>
      </c>
      <c r="H184" t="s">
        <v>14</v>
      </c>
      <c r="I184" t="s">
        <v>14</v>
      </c>
      <c r="J184" t="s">
        <v>37</v>
      </c>
      <c r="K184" t="s">
        <v>44</v>
      </c>
      <c r="L184" t="s">
        <v>2038</v>
      </c>
      <c r="M184" t="s">
        <v>2057</v>
      </c>
      <c r="N184" t="s">
        <v>1974</v>
      </c>
      <c r="P184" t="e" cm="1">
        <f t="array" aca="1" ref="P184" ca="1">VLOOKUP(INDIRECT("A"&amp;ROW()), 'Recent Changes'!A:G, 2, FALSE)</f>
        <v>#N/A</v>
      </c>
      <c r="Q184" t="e" cm="1">
        <f t="array" aca="1" ref="Q184" ca="1">VLOOKUP(INDIRECT("A"&amp;ROW()), 'Recent Changes'!A:G, 3, FALSE)</f>
        <v>#N/A</v>
      </c>
      <c r="R184" t="e" cm="1">
        <f t="array" aca="1" ref="R184" ca="1">VLOOKUP(INDIRECT("A"&amp;ROW()), 'Recent Changes'!A:G, 4, FALSE)</f>
        <v>#N/A</v>
      </c>
      <c r="S184" t="e" cm="1">
        <f t="array" aca="1" ref="S184" ca="1">VLOOKUP(INDIRECT("A"&amp;ROW()), 'Recent Changes'!A:G, 5, FALSE)</f>
        <v>#N/A</v>
      </c>
      <c r="T184" t="e" cm="1">
        <f t="array" aca="1" ref="T184" ca="1">VLOOKUP(INDIRECT("A"&amp;ROW()), 'Recent Changes'!A:G, 6, FALSE)</f>
        <v>#N/A</v>
      </c>
      <c r="U184" t="e" cm="1">
        <f t="array" aca="1" ref="U184" ca="1">VLOOKUP(INDIRECT("A"&amp;ROW()), 'Recent Changes'!A:G, 7, FALSE)</f>
        <v>#N/A</v>
      </c>
      <c r="V184" t="e" cm="1">
        <f t="array" aca="1" ref="V184" ca="1">VLOOKUP(INDIRECT("A"&amp;ROW()), 'Recent Changes'!A:H, 8, FALSE)</f>
        <v>#N/A</v>
      </c>
    </row>
    <row r="185" spans="1:22" x14ac:dyDescent="0.25">
      <c r="A185">
        <v>17297275</v>
      </c>
      <c r="B185" t="s">
        <v>430</v>
      </c>
      <c r="C185">
        <v>11</v>
      </c>
      <c r="G185" s="7" t="e" cm="1">
        <v>#N/A</v>
      </c>
      <c r="H185" t="s">
        <v>14</v>
      </c>
      <c r="I185" t="s">
        <v>14</v>
      </c>
      <c r="J185" t="s">
        <v>38</v>
      </c>
      <c r="K185" t="s">
        <v>53</v>
      </c>
      <c r="L185" t="s">
        <v>62</v>
      </c>
      <c r="M185" t="s">
        <v>76</v>
      </c>
      <c r="N185" t="s">
        <v>1974</v>
      </c>
      <c r="P185" t="e" cm="1">
        <f t="array" aca="1" ref="P185" ca="1">VLOOKUP(INDIRECT("A"&amp;ROW()), 'Recent Changes'!A:G, 2, FALSE)</f>
        <v>#N/A</v>
      </c>
      <c r="Q185" t="e" cm="1">
        <f t="array" aca="1" ref="Q185" ca="1">VLOOKUP(INDIRECT("A"&amp;ROW()), 'Recent Changes'!A:G, 3, FALSE)</f>
        <v>#N/A</v>
      </c>
      <c r="R185" t="e" cm="1">
        <f t="array" aca="1" ref="R185" ca="1">VLOOKUP(INDIRECT("A"&amp;ROW()), 'Recent Changes'!A:G, 4, FALSE)</f>
        <v>#N/A</v>
      </c>
      <c r="S185" t="e" cm="1">
        <f t="array" aca="1" ref="S185" ca="1">VLOOKUP(INDIRECT("A"&amp;ROW()), 'Recent Changes'!A:G, 5, FALSE)</f>
        <v>#N/A</v>
      </c>
      <c r="T185" t="e" cm="1">
        <f t="array" aca="1" ref="T185" ca="1">VLOOKUP(INDIRECT("A"&amp;ROW()), 'Recent Changes'!A:G, 6, FALSE)</f>
        <v>#N/A</v>
      </c>
      <c r="U185" t="e" cm="1">
        <f t="array" aca="1" ref="U185" ca="1">VLOOKUP(INDIRECT("A"&amp;ROW()), 'Recent Changes'!A:G, 7, FALSE)</f>
        <v>#N/A</v>
      </c>
      <c r="V185" t="e" cm="1">
        <f t="array" aca="1" ref="V185" ca="1">VLOOKUP(INDIRECT("A"&amp;ROW()), 'Recent Changes'!A:H, 8, FALSE)</f>
        <v>#N/A</v>
      </c>
    </row>
    <row r="186" spans="1:22" x14ac:dyDescent="0.25">
      <c r="A186">
        <v>17640816</v>
      </c>
      <c r="B186" t="s">
        <v>430</v>
      </c>
      <c r="C186">
        <v>11</v>
      </c>
      <c r="G186" s="7" t="e" cm="1">
        <v>#N/A</v>
      </c>
      <c r="H186" t="s">
        <v>14</v>
      </c>
      <c r="I186" t="s">
        <v>14</v>
      </c>
      <c r="J186" t="s">
        <v>37</v>
      </c>
      <c r="K186" t="s">
        <v>44</v>
      </c>
      <c r="L186" t="s">
        <v>2039</v>
      </c>
      <c r="M186" t="s">
        <v>76</v>
      </c>
      <c r="N186" t="s">
        <v>1974</v>
      </c>
      <c r="P186" t="e" cm="1">
        <f t="array" aca="1" ref="P186" ca="1">VLOOKUP(INDIRECT("A"&amp;ROW()), 'Recent Changes'!A:G, 2, FALSE)</f>
        <v>#N/A</v>
      </c>
      <c r="Q186" t="e" cm="1">
        <f t="array" aca="1" ref="Q186" ca="1">VLOOKUP(INDIRECT("A"&amp;ROW()), 'Recent Changes'!A:G, 3, FALSE)</f>
        <v>#N/A</v>
      </c>
      <c r="R186" t="e" cm="1">
        <f t="array" aca="1" ref="R186" ca="1">VLOOKUP(INDIRECT("A"&amp;ROW()), 'Recent Changes'!A:G, 4, FALSE)</f>
        <v>#N/A</v>
      </c>
      <c r="S186" t="e" cm="1">
        <f t="array" aca="1" ref="S186" ca="1">VLOOKUP(INDIRECT("A"&amp;ROW()), 'Recent Changes'!A:G, 5, FALSE)</f>
        <v>#N/A</v>
      </c>
      <c r="T186" t="e" cm="1">
        <f t="array" aca="1" ref="T186" ca="1">VLOOKUP(INDIRECT("A"&amp;ROW()), 'Recent Changes'!A:G, 6, FALSE)</f>
        <v>#N/A</v>
      </c>
      <c r="U186" t="e" cm="1">
        <f t="array" aca="1" ref="U186" ca="1">VLOOKUP(INDIRECT("A"&amp;ROW()), 'Recent Changes'!A:G, 7, FALSE)</f>
        <v>#N/A</v>
      </c>
      <c r="V186" t="e" cm="1">
        <f t="array" aca="1" ref="V186" ca="1">VLOOKUP(INDIRECT("A"&amp;ROW()), 'Recent Changes'!A:H, 8, FALSE)</f>
        <v>#N/A</v>
      </c>
    </row>
    <row r="187" spans="1:22" x14ac:dyDescent="0.25">
      <c r="A187">
        <v>15204932</v>
      </c>
      <c r="B187" t="s" cm="1">
        <v>430</v>
      </c>
      <c r="C187">
        <v>10</v>
      </c>
      <c r="G187" s="7" t="e" cm="1">
        <v>#N/A</v>
      </c>
      <c r="H187" t="s">
        <v>14</v>
      </c>
      <c r="I187" t="s">
        <v>14</v>
      </c>
      <c r="J187" t="s">
        <v>18</v>
      </c>
      <c r="K187" t="s">
        <v>1977</v>
      </c>
      <c r="L187" t="s">
        <v>2040</v>
      </c>
      <c r="M187" t="s">
        <v>76</v>
      </c>
      <c r="N187" t="s">
        <v>83</v>
      </c>
      <c r="P187" t="str" cm="1">
        <f t="array" aca="1" ref="P187" ca="1">VLOOKUP(INDIRECT("A"&amp;ROW()), 'Recent Changes'!A:G, 2, FALSE)</f>
        <v>2023-12-04T03:32:51Z</v>
      </c>
      <c r="Q187" t="str" cm="1">
        <f t="array" aca="1" ref="Q187" ca="1">VLOOKUP(INDIRECT("A"&amp;ROW()), 'Recent Changes'!A:G, 3, FALSE)</f>
        <v>NULL</v>
      </c>
      <c r="R187" t="str" cm="1">
        <f t="array" aca="1" ref="R187" ca="1">VLOOKUP(INDIRECT("A"&amp;ROW()), 'Recent Changes'!A:G, 4, FALSE)</f>
        <v>NULL</v>
      </c>
      <c r="S187" t="str" cm="1">
        <f t="array" aca="1" ref="S187" ca="1">VLOOKUP(INDIRECT("A"&amp;ROW()), 'Recent Changes'!A:G, 5, FALSE)</f>
        <v>2023-09-29T20:19:45Z</v>
      </c>
      <c r="T187" t="str" cm="1">
        <f t="array" aca="1" ref="T187" ca="1">VLOOKUP(INDIRECT("A"&amp;ROW()), 'Recent Changes'!A:G, 6, FALSE)</f>
        <v>NULL</v>
      </c>
      <c r="U187" t="str" cm="1">
        <f t="array" aca="1" ref="U187" ca="1">VLOOKUP(INDIRECT("A"&amp;ROW()), 'Recent Changes'!A:G, 7, FALSE)</f>
        <v>NULL</v>
      </c>
      <c r="V187" t="str" cm="1">
        <f t="array" aca="1" ref="V187" ca="1">VLOOKUP(INDIRECT("A"&amp;ROW()), 'Recent Changes'!A:H, 8, FALSE)</f>
        <v>2023-12-04T07:24:56Z</v>
      </c>
    </row>
    <row r="188" spans="1:22" x14ac:dyDescent="0.25">
      <c r="A188">
        <v>14686584</v>
      </c>
      <c r="B188" t="s" cm="1">
        <v>430</v>
      </c>
      <c r="C188">
        <v>10</v>
      </c>
      <c r="G188" s="7" t="e" cm="1">
        <v>#N/A</v>
      </c>
      <c r="H188" t="s">
        <v>14</v>
      </c>
      <c r="I188" t="s">
        <v>14</v>
      </c>
      <c r="J188" t="s">
        <v>22</v>
      </c>
      <c r="K188" t="s">
        <v>44</v>
      </c>
      <c r="L188" t="s">
        <v>2041</v>
      </c>
      <c r="M188" t="s">
        <v>2052</v>
      </c>
      <c r="N188" t="s">
        <v>83</v>
      </c>
      <c r="P188" t="str" cm="1">
        <f t="array" aca="1" ref="P188" ca="1">VLOOKUP(INDIRECT("A"&amp;ROW()), 'Recent Changes'!A:G, 2, FALSE)</f>
        <v>NULL</v>
      </c>
      <c r="Q188" t="str" cm="1">
        <f t="array" aca="1" ref="Q188" ca="1">VLOOKUP(INDIRECT("A"&amp;ROW()), 'Recent Changes'!A:G, 3, FALSE)</f>
        <v>NULL</v>
      </c>
      <c r="R188" t="str" cm="1">
        <f t="array" aca="1" ref="R188" ca="1">VLOOKUP(INDIRECT("A"&amp;ROW()), 'Recent Changes'!A:G, 4, FALSE)</f>
        <v>NULL</v>
      </c>
      <c r="S188" t="str" cm="1">
        <f t="array" aca="1" ref="S188" ca="1">VLOOKUP(INDIRECT("A"&amp;ROW()), 'Recent Changes'!A:G, 5, FALSE)</f>
        <v>2023-12-29T14:19:30Z</v>
      </c>
      <c r="T188" t="str" cm="1">
        <f t="array" aca="1" ref="T188" ca="1">VLOOKUP(INDIRECT("A"&amp;ROW()), 'Recent Changes'!A:G, 6, FALSE)</f>
        <v>NULL</v>
      </c>
      <c r="U188" t="str" cm="1">
        <f t="array" aca="1" ref="U188" ca="1">VLOOKUP(INDIRECT("A"&amp;ROW()), 'Recent Changes'!A:G, 7, FALSE)</f>
        <v>NULL</v>
      </c>
      <c r="V188" t="str" cm="1">
        <f t="array" aca="1" ref="V188" ca="1">VLOOKUP(INDIRECT("A"&amp;ROW()), 'Recent Changes'!A:H, 8, FALSE)</f>
        <v>2023-12-30T07:32:03Z</v>
      </c>
    </row>
    <row r="189" spans="1:22" x14ac:dyDescent="0.25">
      <c r="A189">
        <v>17328698</v>
      </c>
      <c r="B189" t="s" cm="1">
        <v>430</v>
      </c>
      <c r="C189">
        <v>10</v>
      </c>
      <c r="G189" s="7" t="e" cm="1">
        <v>#N/A</v>
      </c>
      <c r="H189" t="s">
        <v>14</v>
      </c>
      <c r="I189" t="s">
        <v>14</v>
      </c>
      <c r="J189" t="s">
        <v>30</v>
      </c>
      <c r="K189" t="s">
        <v>44</v>
      </c>
      <c r="L189" t="s">
        <v>74</v>
      </c>
      <c r="M189" t="s">
        <v>76</v>
      </c>
      <c r="N189" t="s">
        <v>83</v>
      </c>
      <c r="P189" t="e" cm="1">
        <f t="array" aca="1" ref="P189" ca="1">VLOOKUP(INDIRECT("A"&amp;ROW()), 'Recent Changes'!A:G, 2, FALSE)</f>
        <v>#N/A</v>
      </c>
      <c r="Q189" t="e" cm="1">
        <f t="array" aca="1" ref="Q189" ca="1">VLOOKUP(INDIRECT("A"&amp;ROW()), 'Recent Changes'!A:G, 3, FALSE)</f>
        <v>#N/A</v>
      </c>
      <c r="R189" t="e" cm="1">
        <f t="array" aca="1" ref="R189" ca="1">VLOOKUP(INDIRECT("A"&amp;ROW()), 'Recent Changes'!A:G, 4, FALSE)</f>
        <v>#N/A</v>
      </c>
      <c r="S189" t="e" cm="1">
        <f t="array" aca="1" ref="S189" ca="1">VLOOKUP(INDIRECT("A"&amp;ROW()), 'Recent Changes'!A:G, 5, FALSE)</f>
        <v>#N/A</v>
      </c>
      <c r="T189" t="e" cm="1">
        <f t="array" aca="1" ref="T189" ca="1">VLOOKUP(INDIRECT("A"&amp;ROW()), 'Recent Changes'!A:G, 6, FALSE)</f>
        <v>#N/A</v>
      </c>
      <c r="U189" t="e" cm="1">
        <f t="array" aca="1" ref="U189" ca="1">VLOOKUP(INDIRECT("A"&amp;ROW()), 'Recent Changes'!A:G, 7, FALSE)</f>
        <v>#N/A</v>
      </c>
      <c r="V189" t="e" cm="1">
        <f t="array" aca="1" ref="V189" ca="1">VLOOKUP(INDIRECT("A"&amp;ROW()), 'Recent Changes'!A:H, 8, FALSE)</f>
        <v>#N/A</v>
      </c>
    </row>
    <row r="190" spans="1:22" x14ac:dyDescent="0.25">
      <c r="A190">
        <v>17309415</v>
      </c>
      <c r="B190" t="s" cm="1">
        <v>430</v>
      </c>
      <c r="C190">
        <v>10</v>
      </c>
      <c r="G190" s="7" t="e" cm="1">
        <v>#N/A</v>
      </c>
      <c r="H190" t="s">
        <v>14</v>
      </c>
      <c r="I190" t="s">
        <v>14</v>
      </c>
      <c r="J190" t="s">
        <v>30</v>
      </c>
      <c r="K190" t="s">
        <v>44</v>
      </c>
      <c r="L190" t="s">
        <v>58</v>
      </c>
      <c r="M190" t="s">
        <v>76</v>
      </c>
      <c r="N190" t="s">
        <v>83</v>
      </c>
      <c r="P190" t="str" cm="1">
        <f t="array" aca="1" ref="P190" ca="1">VLOOKUP(INDIRECT("A"&amp;ROW()), 'Recent Changes'!A:G, 2, FALSE)</f>
        <v>NULL</v>
      </c>
      <c r="Q190" t="str" cm="1">
        <f t="array" aca="1" ref="Q190" ca="1">VLOOKUP(INDIRECT("A"&amp;ROW()), 'Recent Changes'!A:G, 3, FALSE)</f>
        <v>NULL</v>
      </c>
      <c r="R190" t="str" cm="1">
        <f t="array" aca="1" ref="R190" ca="1">VLOOKUP(INDIRECT("A"&amp;ROW()), 'Recent Changes'!A:G, 4, FALSE)</f>
        <v>NULL</v>
      </c>
      <c r="S190" t="str" cm="1">
        <f t="array" aca="1" ref="S190" ca="1">VLOOKUP(INDIRECT("A"&amp;ROW()), 'Recent Changes'!A:G, 5, FALSE)</f>
        <v>2023-12-29T18:02:46Z</v>
      </c>
      <c r="T190" t="str" cm="1">
        <f t="array" aca="1" ref="T190" ca="1">VLOOKUP(INDIRECT("A"&amp;ROW()), 'Recent Changes'!A:G, 6, FALSE)</f>
        <v>NULL</v>
      </c>
      <c r="U190" t="str" cm="1">
        <f t="array" aca="1" ref="U190" ca="1">VLOOKUP(INDIRECT("A"&amp;ROW()), 'Recent Changes'!A:G, 7, FALSE)</f>
        <v>2023-11-14T01:00:03Z</v>
      </c>
      <c r="V190" t="str" cm="1">
        <f t="array" aca="1" ref="V190" ca="1">VLOOKUP(INDIRECT("A"&amp;ROW()), 'Recent Changes'!A:H, 8, FALSE)</f>
        <v>2023-12-30T07:49:26Z</v>
      </c>
    </row>
    <row r="191" spans="1:22" x14ac:dyDescent="0.25">
      <c r="A191">
        <v>17649137</v>
      </c>
      <c r="B191" t="s">
        <v>430</v>
      </c>
      <c r="C191">
        <v>9</v>
      </c>
      <c r="G191" s="7" t="e" cm="1">
        <v>#N/A</v>
      </c>
      <c r="H191" t="s">
        <v>14</v>
      </c>
      <c r="I191" t="s">
        <v>14</v>
      </c>
      <c r="J191" t="s">
        <v>38</v>
      </c>
      <c r="K191" t="s">
        <v>44</v>
      </c>
      <c r="L191" t="s">
        <v>2042</v>
      </c>
      <c r="M191" t="s">
        <v>76</v>
      </c>
      <c r="N191" t="s">
        <v>1974</v>
      </c>
      <c r="P191" t="e" cm="1">
        <f t="array" aca="1" ref="P191" ca="1">VLOOKUP(INDIRECT("A"&amp;ROW()), 'Recent Changes'!A:G, 2, FALSE)</f>
        <v>#N/A</v>
      </c>
      <c r="Q191" t="e" cm="1">
        <f t="array" aca="1" ref="Q191" ca="1">VLOOKUP(INDIRECT("A"&amp;ROW()), 'Recent Changes'!A:G, 3, FALSE)</f>
        <v>#N/A</v>
      </c>
      <c r="R191" t="e" cm="1">
        <f t="array" aca="1" ref="R191" ca="1">VLOOKUP(INDIRECT("A"&amp;ROW()), 'Recent Changes'!A:G, 4, FALSE)</f>
        <v>#N/A</v>
      </c>
      <c r="S191" t="e" cm="1">
        <f t="array" aca="1" ref="S191" ca="1">VLOOKUP(INDIRECT("A"&amp;ROW()), 'Recent Changes'!A:G, 5, FALSE)</f>
        <v>#N/A</v>
      </c>
      <c r="T191" t="e" cm="1">
        <f t="array" aca="1" ref="T191" ca="1">VLOOKUP(INDIRECT("A"&amp;ROW()), 'Recent Changes'!A:G, 6, FALSE)</f>
        <v>#N/A</v>
      </c>
      <c r="U191" t="e" cm="1">
        <f t="array" aca="1" ref="U191" ca="1">VLOOKUP(INDIRECT("A"&amp;ROW()), 'Recent Changes'!A:G, 7, FALSE)</f>
        <v>#N/A</v>
      </c>
      <c r="V191" t="e" cm="1">
        <f t="array" aca="1" ref="V191" ca="1">VLOOKUP(INDIRECT("A"&amp;ROW()), 'Recent Changes'!A:H, 8, FALSE)</f>
        <v>#N/A</v>
      </c>
    </row>
    <row r="192" spans="1:22" x14ac:dyDescent="0.25">
      <c r="A192">
        <v>16713959</v>
      </c>
      <c r="B192" t="s">
        <v>433</v>
      </c>
      <c r="C192">
        <v>6</v>
      </c>
      <c r="G192" s="7" t="e" cm="1">
        <v>#N/A</v>
      </c>
      <c r="H192">
        <v>45181</v>
      </c>
      <c r="I192" t="s">
        <v>15</v>
      </c>
      <c r="J192" t="s">
        <v>30</v>
      </c>
      <c r="K192" t="s">
        <v>46</v>
      </c>
      <c r="L192" t="s">
        <v>58</v>
      </c>
      <c r="M192" t="s">
        <v>76</v>
      </c>
      <c r="N192" t="s">
        <v>83</v>
      </c>
      <c r="O192" t="s">
        <v>431</v>
      </c>
      <c r="P192" t="str" cm="1">
        <f t="array" aca="1" ref="P192" ca="1">VLOOKUP(INDIRECT("A"&amp;ROW()), 'Recent Changes'!A:G, 2, FALSE)</f>
        <v>2023-10-10T15:22:17Z</v>
      </c>
      <c r="Q192" t="str" cm="1">
        <f t="array" aca="1" ref="Q192" ca="1">VLOOKUP(INDIRECT("A"&amp;ROW()), 'Recent Changes'!A:G, 3, FALSE)</f>
        <v>NULL</v>
      </c>
      <c r="R192" t="str" cm="1">
        <f t="array" aca="1" ref="R192" ca="1">VLOOKUP(INDIRECT("A"&amp;ROW()), 'Recent Changes'!A:G, 4, FALSE)</f>
        <v>NULL</v>
      </c>
      <c r="S192" t="str" cm="1">
        <f t="array" aca="1" ref="S192" ca="1">VLOOKUP(INDIRECT("A"&amp;ROW()), 'Recent Changes'!A:G, 5, FALSE)</f>
        <v>NULL</v>
      </c>
      <c r="T192" t="str" cm="1">
        <f t="array" aca="1" ref="T192" ca="1">VLOOKUP(INDIRECT("A"&amp;ROW()), 'Recent Changes'!A:G, 6, FALSE)</f>
        <v>NULL</v>
      </c>
      <c r="U192" t="str" cm="1">
        <f t="array" aca="1" ref="U192" ca="1">VLOOKUP(INDIRECT("A"&amp;ROW()), 'Recent Changes'!A:G, 7, FALSE)</f>
        <v>NULL</v>
      </c>
      <c r="V192" t="str" cm="1">
        <f t="array" aca="1" ref="V192" ca="1">VLOOKUP(INDIRECT("A"&amp;ROW()), 'Recent Changes'!A:H, 8, FALSE)</f>
        <v>2023-10-10T16:50:19Z</v>
      </c>
    </row>
    <row r="193" spans="1:22" x14ac:dyDescent="0.25">
      <c r="A193">
        <v>17360958</v>
      </c>
      <c r="B193" t="s" cm="1">
        <v>433</v>
      </c>
      <c r="C193">
        <v>6</v>
      </c>
      <c r="G193" s="7" t="e" cm="1">
        <v>#N/A</v>
      </c>
      <c r="H193" t="s">
        <v>14</v>
      </c>
      <c r="I193" t="s">
        <v>14</v>
      </c>
      <c r="J193" t="s">
        <v>28</v>
      </c>
      <c r="K193" t="s">
        <v>44</v>
      </c>
      <c r="L193" t="s">
        <v>2043</v>
      </c>
      <c r="M193" t="s">
        <v>2058</v>
      </c>
      <c r="N193" t="s">
        <v>83</v>
      </c>
      <c r="P193" t="str" cm="1">
        <f t="array" aca="1" ref="P193" ca="1">VLOOKUP(INDIRECT("A"&amp;ROW()), 'Recent Changes'!A:G, 2, FALSE)</f>
        <v>NULL</v>
      </c>
      <c r="Q193" t="str" cm="1">
        <f t="array" aca="1" ref="Q193" ca="1">VLOOKUP(INDIRECT("A"&amp;ROW()), 'Recent Changes'!A:G, 3, FALSE)</f>
        <v>NULL</v>
      </c>
      <c r="R193" t="str" cm="1">
        <f t="array" aca="1" ref="R193" ca="1">VLOOKUP(INDIRECT("A"&amp;ROW()), 'Recent Changes'!A:G, 4, FALSE)</f>
        <v>NULL</v>
      </c>
      <c r="S193" t="str" cm="1">
        <f t="array" aca="1" ref="S193" ca="1">VLOOKUP(INDIRECT("A"&amp;ROW()), 'Recent Changes'!A:G, 5, FALSE)</f>
        <v>2024-01-03T13:32:32Z</v>
      </c>
      <c r="T193" t="str" cm="1">
        <f t="array" aca="1" ref="T193" ca="1">VLOOKUP(INDIRECT("A"&amp;ROW()), 'Recent Changes'!A:G, 6, FALSE)</f>
        <v>NULL</v>
      </c>
      <c r="U193" t="str" cm="1">
        <f t="array" aca="1" ref="U193" ca="1">VLOOKUP(INDIRECT("A"&amp;ROW()), 'Recent Changes'!A:G, 7, FALSE)</f>
        <v>NULL</v>
      </c>
      <c r="V193" t="str" cm="1">
        <f t="array" aca="1" ref="V193" ca="1">VLOOKUP(INDIRECT("A"&amp;ROW()), 'Recent Changes'!A:H, 8, FALSE)</f>
        <v>2024-01-03T07:02:22Z</v>
      </c>
    </row>
    <row r="194" spans="1:22" x14ac:dyDescent="0.25">
      <c r="A194">
        <v>17042944</v>
      </c>
      <c r="B194" t="s" cm="1">
        <v>430</v>
      </c>
      <c r="C194">
        <v>6</v>
      </c>
      <c r="G194" s="7" t="e" cm="1">
        <v>#N/A</v>
      </c>
      <c r="H194" t="s">
        <v>14</v>
      </c>
      <c r="I194" t="s">
        <v>14</v>
      </c>
      <c r="J194" t="s">
        <v>18</v>
      </c>
      <c r="K194" t="s">
        <v>44</v>
      </c>
      <c r="L194" t="s">
        <v>55</v>
      </c>
      <c r="M194" t="s">
        <v>76</v>
      </c>
      <c r="N194" t="s">
        <v>83</v>
      </c>
      <c r="P194" t="str" cm="1">
        <f t="array" aca="1" ref="P194" ca="1">VLOOKUP(INDIRECT("A"&amp;ROW()), 'Recent Changes'!A:G, 2, FALSE)</f>
        <v>NULL</v>
      </c>
      <c r="Q194" t="str" cm="1">
        <f t="array" aca="1" ref="Q194" ca="1">VLOOKUP(INDIRECT("A"&amp;ROW()), 'Recent Changes'!A:G, 3, FALSE)</f>
        <v>NULL</v>
      </c>
      <c r="R194" t="str" cm="1">
        <f t="array" aca="1" ref="R194" ca="1">VLOOKUP(INDIRECT("A"&amp;ROW()), 'Recent Changes'!A:G, 4, FALSE)</f>
        <v>NULL</v>
      </c>
      <c r="S194" t="str" cm="1">
        <f t="array" aca="1" ref="S194" ca="1">VLOOKUP(INDIRECT("A"&amp;ROW()), 'Recent Changes'!A:G, 5, FALSE)</f>
        <v>2024-01-02T17:18:15Z</v>
      </c>
      <c r="T194" t="str" cm="1">
        <f t="array" aca="1" ref="T194" ca="1">VLOOKUP(INDIRECT("A"&amp;ROW()), 'Recent Changes'!A:G, 6, FALSE)</f>
        <v>NULL</v>
      </c>
      <c r="U194" t="str" cm="1">
        <f t="array" aca="1" ref="U194" ca="1">VLOOKUP(INDIRECT("A"&amp;ROW()), 'Recent Changes'!A:G, 7, FALSE)</f>
        <v>2023-09-21T19:58:32Z</v>
      </c>
      <c r="V194" t="str" cm="1">
        <f t="array" aca="1" ref="V194" ca="1">VLOOKUP(INDIRECT("A"&amp;ROW()), 'Recent Changes'!A:H, 8, FALSE)</f>
        <v>2024-01-02T21:03:22Z</v>
      </c>
    </row>
    <row r="195" spans="1:22" x14ac:dyDescent="0.25">
      <c r="A195">
        <v>11799023</v>
      </c>
      <c r="B195" t="s">
        <v>433</v>
      </c>
      <c r="C195">
        <v>6</v>
      </c>
      <c r="G195" s="7" t="e" cm="1">
        <v>#N/A</v>
      </c>
      <c r="H195">
        <v>45159</v>
      </c>
      <c r="I195" t="s">
        <v>15</v>
      </c>
      <c r="J195" t="s">
        <v>22</v>
      </c>
      <c r="K195" t="s">
        <v>44</v>
      </c>
      <c r="L195" t="s">
        <v>2044</v>
      </c>
      <c r="M195" t="s">
        <v>2059</v>
      </c>
      <c r="N195" t="s">
        <v>83</v>
      </c>
      <c r="O195" t="s">
        <v>431</v>
      </c>
      <c r="P195" t="str" cm="1">
        <f t="array" aca="1" ref="P195" ca="1">VLOOKUP(INDIRECT("A"&amp;ROW()), 'Recent Changes'!A:G, 2, FALSE)</f>
        <v>NULL</v>
      </c>
      <c r="Q195" t="str" cm="1">
        <f t="array" aca="1" ref="Q195" ca="1">VLOOKUP(INDIRECT("A"&amp;ROW()), 'Recent Changes'!A:G, 3, FALSE)</f>
        <v>NULL</v>
      </c>
      <c r="R195" t="str" cm="1">
        <f t="array" aca="1" ref="R195" ca="1">VLOOKUP(INDIRECT("A"&amp;ROW()), 'Recent Changes'!A:G, 4, FALSE)</f>
        <v>NULL</v>
      </c>
      <c r="S195" t="str" cm="1">
        <f t="array" aca="1" ref="S195" ca="1">VLOOKUP(INDIRECT("A"&amp;ROW()), 'Recent Changes'!A:G, 5, FALSE)</f>
        <v>2023-11-16T17:40:57Z</v>
      </c>
      <c r="T195" t="str" cm="1">
        <f t="array" aca="1" ref="T195" ca="1">VLOOKUP(INDIRECT("A"&amp;ROW()), 'Recent Changes'!A:G, 6, FALSE)</f>
        <v>NULL</v>
      </c>
      <c r="U195" t="str" cm="1">
        <f t="array" aca="1" ref="U195" ca="1">VLOOKUP(INDIRECT("A"&amp;ROW()), 'Recent Changes'!A:G, 7, FALSE)</f>
        <v>NULL</v>
      </c>
      <c r="V195" t="str" cm="1">
        <f t="array" aca="1" ref="V195" ca="1">VLOOKUP(INDIRECT("A"&amp;ROW()), 'Recent Changes'!A:H, 8, FALSE)</f>
        <v>2023-11-16T21:35:02Z</v>
      </c>
    </row>
    <row r="196" spans="1:22" x14ac:dyDescent="0.25">
      <c r="A196">
        <v>17234159</v>
      </c>
      <c r="B196" t="s" cm="1">
        <v>430</v>
      </c>
      <c r="C196">
        <v>5</v>
      </c>
      <c r="G196" s="7" t="e" cm="1">
        <v>#N/A</v>
      </c>
      <c r="H196" t="s">
        <v>14</v>
      </c>
      <c r="I196" t="s">
        <v>14</v>
      </c>
      <c r="J196" t="s">
        <v>30</v>
      </c>
      <c r="K196" t="s">
        <v>44</v>
      </c>
      <c r="L196" t="s">
        <v>55</v>
      </c>
      <c r="M196" t="s">
        <v>76</v>
      </c>
      <c r="N196" t="s">
        <v>83</v>
      </c>
      <c r="P196" t="str" cm="1">
        <f t="array" aca="1" ref="P196" ca="1">VLOOKUP(INDIRECT("A"&amp;ROW()), 'Recent Changes'!A:G, 2, FALSE)</f>
        <v>NULL</v>
      </c>
      <c r="Q196" t="str" cm="1">
        <f t="array" aca="1" ref="Q196" ca="1">VLOOKUP(INDIRECT("A"&amp;ROW()), 'Recent Changes'!A:G, 3, FALSE)</f>
        <v>NULL</v>
      </c>
      <c r="R196" t="str" cm="1">
        <f t="array" aca="1" ref="R196" ca="1">VLOOKUP(INDIRECT("A"&amp;ROW()), 'Recent Changes'!A:G, 4, FALSE)</f>
        <v>NULL</v>
      </c>
      <c r="S196" t="str" cm="1">
        <f t="array" aca="1" ref="S196" ca="1">VLOOKUP(INDIRECT("A"&amp;ROW()), 'Recent Changes'!A:G, 5, FALSE)</f>
        <v>2024-01-03T14:57:51Z</v>
      </c>
      <c r="T196" t="str" cm="1">
        <f t="array" aca="1" ref="T196" ca="1">VLOOKUP(INDIRECT("A"&amp;ROW()), 'Recent Changes'!A:G, 6, FALSE)</f>
        <v>NULL</v>
      </c>
      <c r="U196" t="str" cm="1">
        <f t="array" aca="1" ref="U196" ca="1">VLOOKUP(INDIRECT("A"&amp;ROW()), 'Recent Changes'!A:G, 7, FALSE)</f>
        <v>2023-10-20T08:51:37Z</v>
      </c>
      <c r="V196" t="str" cm="1">
        <f t="array" aca="1" ref="V196" ca="1">VLOOKUP(INDIRECT("A"&amp;ROW()), 'Recent Changes'!A:H, 8, FALSE)</f>
        <v>2024-01-03T16:20:27Z</v>
      </c>
    </row>
    <row r="197" spans="1:22" x14ac:dyDescent="0.25">
      <c r="A197">
        <v>17367711</v>
      </c>
      <c r="B197" t="s" cm="1">
        <v>430</v>
      </c>
      <c r="C197">
        <v>5</v>
      </c>
      <c r="G197" s="7" t="e" cm="1">
        <v>#N/A</v>
      </c>
      <c r="H197" t="s">
        <v>14</v>
      </c>
      <c r="I197" t="s">
        <v>14</v>
      </c>
      <c r="J197" t="s">
        <v>30</v>
      </c>
      <c r="K197" t="s">
        <v>44</v>
      </c>
      <c r="L197" t="s">
        <v>67</v>
      </c>
      <c r="M197" t="s">
        <v>76</v>
      </c>
      <c r="N197" t="s">
        <v>83</v>
      </c>
      <c r="P197" t="str" cm="1">
        <f t="array" aca="1" ref="P197" ca="1">VLOOKUP(INDIRECT("A"&amp;ROW()), 'Recent Changes'!A:G, 2, FALSE)</f>
        <v>2024-01-03T16:49:01Z</v>
      </c>
      <c r="Q197" t="str" cm="1">
        <f t="array" aca="1" ref="Q197" ca="1">VLOOKUP(INDIRECT("A"&amp;ROW()), 'Recent Changes'!A:G, 3, FALSE)</f>
        <v>NULL</v>
      </c>
      <c r="R197" t="str" cm="1">
        <f t="array" aca="1" ref="R197" ca="1">VLOOKUP(INDIRECT("A"&amp;ROW()), 'Recent Changes'!A:G, 4, FALSE)</f>
        <v>NULL</v>
      </c>
      <c r="S197" t="str" cm="1">
        <f t="array" aca="1" ref="S197" ca="1">VLOOKUP(INDIRECT("A"&amp;ROW()), 'Recent Changes'!A:G, 5, FALSE)</f>
        <v>2024-01-03T16:49:01Z</v>
      </c>
      <c r="T197" t="str" cm="1">
        <f t="array" aca="1" ref="T197" ca="1">VLOOKUP(INDIRECT("A"&amp;ROW()), 'Recent Changes'!A:G, 6, FALSE)</f>
        <v>NULL</v>
      </c>
      <c r="U197" t="str" cm="1">
        <f t="array" aca="1" ref="U197" ca="1">VLOOKUP(INDIRECT("A"&amp;ROW()), 'Recent Changes'!A:G, 7, FALSE)</f>
        <v>NULL</v>
      </c>
      <c r="V197" t="str" cm="1">
        <f t="array" aca="1" ref="V197" ca="1">VLOOKUP(INDIRECT("A"&amp;ROW()), 'Recent Changes'!A:H, 8, FALSE)</f>
        <v>2024-01-03T21:10:04Z</v>
      </c>
    </row>
    <row r="198" spans="1:22" x14ac:dyDescent="0.25">
      <c r="A198">
        <v>17178665</v>
      </c>
      <c r="B198" t="s" cm="1">
        <v>430</v>
      </c>
      <c r="C198">
        <v>5</v>
      </c>
      <c r="G198" s="7" t="e" cm="1">
        <v>#N/A</v>
      </c>
      <c r="H198" t="s">
        <v>14</v>
      </c>
      <c r="I198" t="s">
        <v>14</v>
      </c>
      <c r="J198" t="s">
        <v>30</v>
      </c>
      <c r="K198" t="s">
        <v>51</v>
      </c>
      <c r="L198" t="s">
        <v>2045</v>
      </c>
      <c r="M198" t="s">
        <v>76</v>
      </c>
      <c r="N198" t="s">
        <v>83</v>
      </c>
      <c r="P198" t="str" cm="1">
        <f t="array" aca="1" ref="P198" ca="1">VLOOKUP(INDIRECT("A"&amp;ROW()), 'Recent Changes'!A:G, 2, FALSE)</f>
        <v>NULL</v>
      </c>
      <c r="Q198" t="str" cm="1">
        <f t="array" aca="1" ref="Q198" ca="1">VLOOKUP(INDIRECT("A"&amp;ROW()), 'Recent Changes'!A:G, 3, FALSE)</f>
        <v>NULL</v>
      </c>
      <c r="R198" t="str" cm="1">
        <f t="array" aca="1" ref="R198" ca="1">VLOOKUP(INDIRECT("A"&amp;ROW()), 'Recent Changes'!A:G, 4, FALSE)</f>
        <v>NULL</v>
      </c>
      <c r="S198" t="str" cm="1">
        <f t="array" aca="1" ref="S198" ca="1">VLOOKUP(INDIRECT("A"&amp;ROW()), 'Recent Changes'!A:G, 5, FALSE)</f>
        <v>2024-01-03T17:54:48Z</v>
      </c>
      <c r="T198" t="str" cm="1">
        <f t="array" aca="1" ref="T198" ca="1">VLOOKUP(INDIRECT("A"&amp;ROW()), 'Recent Changes'!A:G, 6, FALSE)</f>
        <v>NULL</v>
      </c>
      <c r="U198" t="str" cm="1">
        <f t="array" aca="1" ref="U198" ca="1">VLOOKUP(INDIRECT("A"&amp;ROW()), 'Recent Changes'!A:G, 7, FALSE)</f>
        <v>NULL</v>
      </c>
      <c r="V198" t="str" cm="1">
        <f t="array" aca="1" ref="V198" ca="1">VLOOKUP(INDIRECT("A"&amp;ROW()), 'Recent Changes'!A:H, 8, FALSE)</f>
        <v>2024-01-03T21:03:21Z</v>
      </c>
    </row>
    <row r="199" spans="1:22" x14ac:dyDescent="0.25">
      <c r="A199">
        <v>17181792</v>
      </c>
      <c r="B199" t="s" cm="1">
        <v>430</v>
      </c>
      <c r="C199">
        <v>5</v>
      </c>
      <c r="G199" s="7" t="e" cm="1">
        <v>#N/A</v>
      </c>
      <c r="H199" t="s">
        <v>14</v>
      </c>
      <c r="I199" t="s">
        <v>14</v>
      </c>
      <c r="J199" t="s">
        <v>28</v>
      </c>
      <c r="K199" t="s">
        <v>51</v>
      </c>
      <c r="L199" t="s">
        <v>2046</v>
      </c>
      <c r="M199" t="s">
        <v>76</v>
      </c>
      <c r="N199" t="s">
        <v>1974</v>
      </c>
      <c r="P199" t="e" cm="1">
        <f t="array" aca="1" ref="P199" ca="1">VLOOKUP(INDIRECT("A"&amp;ROW()), 'Recent Changes'!A:G, 2, FALSE)</f>
        <v>#N/A</v>
      </c>
      <c r="Q199" t="e" cm="1">
        <f t="array" aca="1" ref="Q199" ca="1">VLOOKUP(INDIRECT("A"&amp;ROW()), 'Recent Changes'!A:G, 3, FALSE)</f>
        <v>#N/A</v>
      </c>
      <c r="R199" t="e" cm="1">
        <f t="array" aca="1" ref="R199" ca="1">VLOOKUP(INDIRECT("A"&amp;ROW()), 'Recent Changes'!A:G, 4, FALSE)</f>
        <v>#N/A</v>
      </c>
      <c r="S199" t="e" cm="1">
        <f t="array" aca="1" ref="S199" ca="1">VLOOKUP(INDIRECT("A"&amp;ROW()), 'Recent Changes'!A:G, 5, FALSE)</f>
        <v>#N/A</v>
      </c>
      <c r="T199" t="e" cm="1">
        <f t="array" aca="1" ref="T199" ca="1">VLOOKUP(INDIRECT("A"&amp;ROW()), 'Recent Changes'!A:G, 6, FALSE)</f>
        <v>#N/A</v>
      </c>
      <c r="U199" t="e" cm="1">
        <f t="array" aca="1" ref="U199" ca="1">VLOOKUP(INDIRECT("A"&amp;ROW()), 'Recent Changes'!A:G, 7, FALSE)</f>
        <v>#N/A</v>
      </c>
      <c r="V199" t="e" cm="1">
        <f t="array" aca="1" ref="V199" ca="1">VLOOKUP(INDIRECT("A"&amp;ROW()), 'Recent Changes'!A:H, 8, FALSE)</f>
        <v>#N/A</v>
      </c>
    </row>
    <row r="200" spans="1:22" x14ac:dyDescent="0.25">
      <c r="A200">
        <v>15866930</v>
      </c>
      <c r="B200" t="s">
        <v>433</v>
      </c>
      <c r="C200">
        <v>5</v>
      </c>
      <c r="G200" s="7" t="e" cm="1">
        <v>#N/A</v>
      </c>
      <c r="H200" t="s">
        <v>14</v>
      </c>
      <c r="I200" t="s">
        <v>14</v>
      </c>
      <c r="J200" t="s">
        <v>34</v>
      </c>
      <c r="K200" t="s">
        <v>44</v>
      </c>
      <c r="L200" t="s">
        <v>2047</v>
      </c>
      <c r="M200" t="s">
        <v>76</v>
      </c>
      <c r="N200" t="s">
        <v>1974</v>
      </c>
      <c r="P200" t="e" cm="1">
        <f t="array" aca="1" ref="P200" ca="1">VLOOKUP(INDIRECT("A"&amp;ROW()), 'Recent Changes'!A:G, 2, FALSE)</f>
        <v>#N/A</v>
      </c>
      <c r="Q200" t="e" cm="1">
        <f t="array" aca="1" ref="Q200" ca="1">VLOOKUP(INDIRECT("A"&amp;ROW()), 'Recent Changes'!A:G, 3, FALSE)</f>
        <v>#N/A</v>
      </c>
      <c r="R200" t="e" cm="1">
        <f t="array" aca="1" ref="R200" ca="1">VLOOKUP(INDIRECT("A"&amp;ROW()), 'Recent Changes'!A:G, 4, FALSE)</f>
        <v>#N/A</v>
      </c>
      <c r="S200" t="e" cm="1">
        <f t="array" aca="1" ref="S200" ca="1">VLOOKUP(INDIRECT("A"&amp;ROW()), 'Recent Changes'!A:G, 5, FALSE)</f>
        <v>#N/A</v>
      </c>
      <c r="T200" t="e" cm="1">
        <f t="array" aca="1" ref="T200" ca="1">VLOOKUP(INDIRECT("A"&amp;ROW()), 'Recent Changes'!A:G, 6, FALSE)</f>
        <v>#N/A</v>
      </c>
      <c r="U200" t="e" cm="1">
        <f t="array" aca="1" ref="U200" ca="1">VLOOKUP(INDIRECT("A"&amp;ROW()), 'Recent Changes'!A:G, 7, FALSE)</f>
        <v>#N/A</v>
      </c>
      <c r="V200" t="e" cm="1">
        <f t="array" aca="1" ref="V200" ca="1">VLOOKUP(INDIRECT("A"&amp;ROW()), 'Recent Changes'!A:H, 8, FALSE)</f>
        <v>#N/A</v>
      </c>
    </row>
    <row r="201" spans="1:22" x14ac:dyDescent="0.25">
      <c r="A201">
        <v>17594802</v>
      </c>
      <c r="B201" t="s">
        <v>433</v>
      </c>
      <c r="C201">
        <v>5</v>
      </c>
      <c r="G201" s="7" t="e" cm="1">
        <v>#N/A</v>
      </c>
      <c r="H201" t="s">
        <v>14</v>
      </c>
      <c r="I201" t="s">
        <v>14</v>
      </c>
      <c r="J201" t="s">
        <v>34</v>
      </c>
      <c r="K201" t="s">
        <v>44</v>
      </c>
      <c r="L201" t="s">
        <v>66</v>
      </c>
      <c r="M201" t="s">
        <v>78</v>
      </c>
      <c r="N201" t="s">
        <v>1974</v>
      </c>
      <c r="P201" t="e" cm="1">
        <f t="array" aca="1" ref="P201" ca="1">VLOOKUP(INDIRECT("A"&amp;ROW()), 'Recent Changes'!A:G, 2, FALSE)</f>
        <v>#N/A</v>
      </c>
      <c r="Q201" t="e" cm="1">
        <f t="array" aca="1" ref="Q201" ca="1">VLOOKUP(INDIRECT("A"&amp;ROW()), 'Recent Changes'!A:G, 3, FALSE)</f>
        <v>#N/A</v>
      </c>
      <c r="R201" t="e" cm="1">
        <f t="array" aca="1" ref="R201" ca="1">VLOOKUP(INDIRECT("A"&amp;ROW()), 'Recent Changes'!A:G, 4, FALSE)</f>
        <v>#N/A</v>
      </c>
      <c r="S201" t="e" cm="1">
        <f t="array" aca="1" ref="S201" ca="1">VLOOKUP(INDIRECT("A"&amp;ROW()), 'Recent Changes'!A:G, 5, FALSE)</f>
        <v>#N/A</v>
      </c>
      <c r="T201" t="e" cm="1">
        <f t="array" aca="1" ref="T201" ca="1">VLOOKUP(INDIRECT("A"&amp;ROW()), 'Recent Changes'!A:G, 6, FALSE)</f>
        <v>#N/A</v>
      </c>
      <c r="U201" t="e" cm="1">
        <f t="array" aca="1" ref="U201" ca="1">VLOOKUP(INDIRECT("A"&amp;ROW()), 'Recent Changes'!A:G, 7, FALSE)</f>
        <v>#N/A</v>
      </c>
      <c r="V201" t="e" cm="1">
        <f t="array" aca="1" ref="V201" ca="1">VLOOKUP(INDIRECT("A"&amp;ROW()), 'Recent Changes'!A:H, 8, FALSE)</f>
        <v>#N/A</v>
      </c>
    </row>
    <row r="202" spans="1:22" x14ac:dyDescent="0.25">
      <c r="A202">
        <v>17660202</v>
      </c>
      <c r="B202" t="s">
        <v>430</v>
      </c>
      <c r="C202">
        <v>5</v>
      </c>
      <c r="G202" s="7" t="e" cm="1">
        <v>#N/A</v>
      </c>
      <c r="H202" t="s">
        <v>14</v>
      </c>
      <c r="I202" t="s">
        <v>14</v>
      </c>
      <c r="J202" t="s">
        <v>38</v>
      </c>
      <c r="K202" t="s">
        <v>48</v>
      </c>
      <c r="L202" t="s">
        <v>71</v>
      </c>
      <c r="M202" t="s">
        <v>76</v>
      </c>
      <c r="N202" t="s">
        <v>1974</v>
      </c>
      <c r="P202" t="e" cm="1">
        <f t="array" aca="1" ref="P202" ca="1">VLOOKUP(INDIRECT("A"&amp;ROW()), 'Recent Changes'!A:G, 2, FALSE)</f>
        <v>#N/A</v>
      </c>
      <c r="Q202" t="e" cm="1">
        <f t="array" aca="1" ref="Q202" ca="1">VLOOKUP(INDIRECT("A"&amp;ROW()), 'Recent Changes'!A:G, 3, FALSE)</f>
        <v>#N/A</v>
      </c>
      <c r="R202" t="e" cm="1">
        <f t="array" aca="1" ref="R202" ca="1">VLOOKUP(INDIRECT("A"&amp;ROW()), 'Recent Changes'!A:G, 4, FALSE)</f>
        <v>#N/A</v>
      </c>
      <c r="S202" t="e" cm="1">
        <f t="array" aca="1" ref="S202" ca="1">VLOOKUP(INDIRECT("A"&amp;ROW()), 'Recent Changes'!A:G, 5, FALSE)</f>
        <v>#N/A</v>
      </c>
      <c r="T202" t="e" cm="1">
        <f t="array" aca="1" ref="T202" ca="1">VLOOKUP(INDIRECT("A"&amp;ROW()), 'Recent Changes'!A:G, 6, FALSE)</f>
        <v>#N/A</v>
      </c>
      <c r="U202" t="e" cm="1">
        <f t="array" aca="1" ref="U202" ca="1">VLOOKUP(INDIRECT("A"&amp;ROW()), 'Recent Changes'!A:G, 7, FALSE)</f>
        <v>#N/A</v>
      </c>
      <c r="V202" t="e" cm="1">
        <f t="array" aca="1" ref="V202" ca="1">VLOOKUP(INDIRECT("A"&amp;ROW()), 'Recent Changes'!A:H, 8, FALSE)</f>
        <v>#N/A</v>
      </c>
    </row>
    <row r="203" spans="1:22" x14ac:dyDescent="0.25">
      <c r="A203">
        <v>17659797</v>
      </c>
      <c r="B203" t="s">
        <v>430</v>
      </c>
      <c r="C203">
        <v>5</v>
      </c>
      <c r="G203" s="7" t="e" cm="1">
        <v>#N/A</v>
      </c>
      <c r="H203" t="s">
        <v>14</v>
      </c>
      <c r="I203" t="s">
        <v>14</v>
      </c>
      <c r="J203" t="s">
        <v>19</v>
      </c>
      <c r="K203" t="s">
        <v>43</v>
      </c>
      <c r="L203" t="s">
        <v>757</v>
      </c>
      <c r="M203" t="s">
        <v>76</v>
      </c>
      <c r="N203" t="s">
        <v>1974</v>
      </c>
      <c r="P203" t="e" cm="1">
        <f t="array" aca="1" ref="P203" ca="1">VLOOKUP(INDIRECT("A"&amp;ROW()), 'Recent Changes'!A:G, 2, FALSE)</f>
        <v>#N/A</v>
      </c>
      <c r="Q203" t="e" cm="1">
        <f t="array" aca="1" ref="Q203" ca="1">VLOOKUP(INDIRECT("A"&amp;ROW()), 'Recent Changes'!A:G, 3, FALSE)</f>
        <v>#N/A</v>
      </c>
      <c r="R203" t="e" cm="1">
        <f t="array" aca="1" ref="R203" ca="1">VLOOKUP(INDIRECT("A"&amp;ROW()), 'Recent Changes'!A:G, 4, FALSE)</f>
        <v>#N/A</v>
      </c>
      <c r="S203" t="e" cm="1">
        <f t="array" aca="1" ref="S203" ca="1">VLOOKUP(INDIRECT("A"&amp;ROW()), 'Recent Changes'!A:G, 5, FALSE)</f>
        <v>#N/A</v>
      </c>
      <c r="T203" t="e" cm="1">
        <f t="array" aca="1" ref="T203" ca="1">VLOOKUP(INDIRECT("A"&amp;ROW()), 'Recent Changes'!A:G, 6, FALSE)</f>
        <v>#N/A</v>
      </c>
      <c r="U203" t="e" cm="1">
        <f t="array" aca="1" ref="U203" ca="1">VLOOKUP(INDIRECT("A"&amp;ROW()), 'Recent Changes'!A:G, 7, FALSE)</f>
        <v>#N/A</v>
      </c>
      <c r="V203" t="e" cm="1">
        <f t="array" aca="1" ref="V203" ca="1">VLOOKUP(INDIRECT("A"&amp;ROW()), 'Recent Changes'!A:H, 8, FALSE)</f>
        <v>#N/A</v>
      </c>
    </row>
    <row r="204" spans="1:22" x14ac:dyDescent="0.25">
      <c r="A204">
        <v>16567666</v>
      </c>
      <c r="B204" t="s">
        <v>430</v>
      </c>
      <c r="C204">
        <v>4</v>
      </c>
      <c r="G204" s="7" t="e" cm="1">
        <v>#N/A</v>
      </c>
      <c r="H204" t="s">
        <v>14</v>
      </c>
      <c r="I204" t="s">
        <v>14</v>
      </c>
      <c r="J204" t="s">
        <v>38</v>
      </c>
      <c r="K204" t="s">
        <v>48</v>
      </c>
      <c r="L204" t="s">
        <v>1711</v>
      </c>
      <c r="M204" t="s">
        <v>76</v>
      </c>
      <c r="N204" t="s">
        <v>1974</v>
      </c>
      <c r="P204" t="e" cm="1">
        <f t="array" aca="1" ref="P204" ca="1">VLOOKUP(INDIRECT("A"&amp;ROW()), 'Recent Changes'!A:G, 2, FALSE)</f>
        <v>#N/A</v>
      </c>
      <c r="Q204" t="e" cm="1">
        <f t="array" aca="1" ref="Q204" ca="1">VLOOKUP(INDIRECT("A"&amp;ROW()), 'Recent Changes'!A:G, 3, FALSE)</f>
        <v>#N/A</v>
      </c>
      <c r="R204" t="e" cm="1">
        <f t="array" aca="1" ref="R204" ca="1">VLOOKUP(INDIRECT("A"&amp;ROW()), 'Recent Changes'!A:G, 4, FALSE)</f>
        <v>#N/A</v>
      </c>
      <c r="S204" t="e" cm="1">
        <f t="array" aca="1" ref="S204" ca="1">VLOOKUP(INDIRECT("A"&amp;ROW()), 'Recent Changes'!A:G, 5, FALSE)</f>
        <v>#N/A</v>
      </c>
      <c r="T204" t="e" cm="1">
        <f t="array" aca="1" ref="T204" ca="1">VLOOKUP(INDIRECT("A"&amp;ROW()), 'Recent Changes'!A:G, 6, FALSE)</f>
        <v>#N/A</v>
      </c>
      <c r="U204" t="e" cm="1">
        <f t="array" aca="1" ref="U204" ca="1">VLOOKUP(INDIRECT("A"&amp;ROW()), 'Recent Changes'!A:G, 7, FALSE)</f>
        <v>#N/A</v>
      </c>
      <c r="V204" t="e" cm="1">
        <f t="array" aca="1" ref="V204" ca="1">VLOOKUP(INDIRECT("A"&amp;ROW()), 'Recent Changes'!A:H, 8, FALSE)</f>
        <v>#N/A</v>
      </c>
    </row>
    <row r="205" spans="1:22" x14ac:dyDescent="0.25">
      <c r="A205">
        <v>17406052</v>
      </c>
      <c r="B205" t="s" cm="1">
        <v>430</v>
      </c>
      <c r="C205">
        <v>4</v>
      </c>
      <c r="G205" s="7" t="e" cm="1">
        <v>#N/A</v>
      </c>
      <c r="H205" t="s">
        <v>14</v>
      </c>
      <c r="I205" t="s">
        <v>14</v>
      </c>
      <c r="J205" t="s">
        <v>30</v>
      </c>
      <c r="K205" t="s">
        <v>44</v>
      </c>
      <c r="L205" t="s">
        <v>2048</v>
      </c>
      <c r="M205" t="s">
        <v>76</v>
      </c>
      <c r="N205" t="s">
        <v>83</v>
      </c>
      <c r="P205" t="str" cm="1">
        <f t="array" aca="1" ref="P205" ca="1">VLOOKUP(INDIRECT("A"&amp;ROW()), 'Recent Changes'!A:G, 2, FALSE)</f>
        <v>NULL</v>
      </c>
      <c r="Q205" t="str" cm="1">
        <f t="array" aca="1" ref="Q205" ca="1">VLOOKUP(INDIRECT("A"&amp;ROW()), 'Recent Changes'!A:G, 3, FALSE)</f>
        <v>NULL</v>
      </c>
      <c r="R205" t="str" cm="1">
        <f t="array" aca="1" ref="R205" ca="1">VLOOKUP(INDIRECT("A"&amp;ROW()), 'Recent Changes'!A:G, 4, FALSE)</f>
        <v>NULL</v>
      </c>
      <c r="S205" t="str" cm="1">
        <f t="array" aca="1" ref="S205" ca="1">VLOOKUP(INDIRECT("A"&amp;ROW()), 'Recent Changes'!A:G, 5, FALSE)</f>
        <v>2024-01-04T14:56:53Z</v>
      </c>
      <c r="T205" t="str" cm="1">
        <f t="array" aca="1" ref="T205" ca="1">VLOOKUP(INDIRECT("A"&amp;ROW()), 'Recent Changes'!A:G, 6, FALSE)</f>
        <v>NULL</v>
      </c>
      <c r="U205" t="str" cm="1">
        <f t="array" aca="1" ref="U205" ca="1">VLOOKUP(INDIRECT("A"&amp;ROW()), 'Recent Changes'!A:G, 7, FALSE)</f>
        <v>2023-12-07T01:03:58Z</v>
      </c>
      <c r="V205" t="str" cm="1">
        <f t="array" aca="1" ref="V205" ca="1">VLOOKUP(INDIRECT("A"&amp;ROW()), 'Recent Changes'!A:H, 8, FALSE)</f>
        <v>2024-01-04T16:06:51Z</v>
      </c>
    </row>
    <row r="206" spans="1:22" x14ac:dyDescent="0.25">
      <c r="A206">
        <v>17045897</v>
      </c>
      <c r="B206" t="s">
        <v>433</v>
      </c>
      <c r="C206">
        <v>4</v>
      </c>
      <c r="G206" s="7" t="e" cm="1">
        <v>#N/A</v>
      </c>
      <c r="H206" t="s">
        <v>14</v>
      </c>
      <c r="I206" t="s">
        <v>380</v>
      </c>
      <c r="J206" t="s">
        <v>23</v>
      </c>
      <c r="K206" t="s">
        <v>389</v>
      </c>
      <c r="L206" t="s">
        <v>2049</v>
      </c>
      <c r="M206" t="s">
        <v>76</v>
      </c>
      <c r="N206" t="s">
        <v>83</v>
      </c>
      <c r="P206" t="str" cm="1">
        <f t="array" aca="1" ref="P206" ca="1">VLOOKUP(INDIRECT("A"&amp;ROW()), 'Recent Changes'!A:G, 2, FALSE)</f>
        <v>NULL</v>
      </c>
      <c r="Q206" t="str" cm="1">
        <f t="array" aca="1" ref="Q206" ca="1">VLOOKUP(INDIRECT("A"&amp;ROW()), 'Recent Changes'!A:G, 3, FALSE)</f>
        <v>NULL</v>
      </c>
      <c r="R206" t="str" cm="1">
        <f t="array" aca="1" ref="R206" ca="1">VLOOKUP(INDIRECT("A"&amp;ROW()), 'Recent Changes'!A:G, 4, FALSE)</f>
        <v>NULL</v>
      </c>
      <c r="S206" t="str" cm="1">
        <f t="array" aca="1" ref="S206" ca="1">VLOOKUP(INDIRECT("A"&amp;ROW()), 'Recent Changes'!A:G, 5, FALSE)</f>
        <v>2024-01-04T22:24:46Z</v>
      </c>
      <c r="T206" t="str" cm="1">
        <f t="array" aca="1" ref="T206" ca="1">VLOOKUP(INDIRECT("A"&amp;ROW()), 'Recent Changes'!A:G, 6, FALSE)</f>
        <v>NULL</v>
      </c>
      <c r="U206" t="str" cm="1">
        <f t="array" aca="1" ref="U206" ca="1">VLOOKUP(INDIRECT("A"&amp;ROW()), 'Recent Changes'!A:G, 7, FALSE)</f>
        <v>NULL</v>
      </c>
      <c r="V206" t="str" cm="1">
        <f t="array" aca="1" ref="V206" ca="1">VLOOKUP(INDIRECT("A"&amp;ROW()), 'Recent Changes'!A:H, 8, FALSE)</f>
        <v>2024-01-05T07:31:30Z</v>
      </c>
    </row>
    <row r="207" spans="1:22" x14ac:dyDescent="0.25">
      <c r="A207">
        <v>17623984</v>
      </c>
      <c r="B207" t="s">
        <v>430</v>
      </c>
      <c r="C207">
        <v>4</v>
      </c>
      <c r="G207" s="7" t="e" cm="1">
        <v>#N/A</v>
      </c>
      <c r="H207" t="s">
        <v>14</v>
      </c>
      <c r="I207" t="s">
        <v>14</v>
      </c>
      <c r="J207" t="s">
        <v>38</v>
      </c>
      <c r="K207" t="s">
        <v>48</v>
      </c>
      <c r="L207" t="s">
        <v>70</v>
      </c>
      <c r="M207" t="s">
        <v>76</v>
      </c>
      <c r="N207" t="s">
        <v>1974</v>
      </c>
      <c r="P207" t="e" cm="1">
        <f t="array" aca="1" ref="P207" ca="1">VLOOKUP(INDIRECT("A"&amp;ROW()), 'Recent Changes'!A:G, 2, FALSE)</f>
        <v>#N/A</v>
      </c>
      <c r="Q207" t="e" cm="1">
        <f t="array" aca="1" ref="Q207" ca="1">VLOOKUP(INDIRECT("A"&amp;ROW()), 'Recent Changes'!A:G, 3, FALSE)</f>
        <v>#N/A</v>
      </c>
      <c r="R207" t="e" cm="1">
        <f t="array" aca="1" ref="R207" ca="1">VLOOKUP(INDIRECT("A"&amp;ROW()), 'Recent Changes'!A:G, 4, FALSE)</f>
        <v>#N/A</v>
      </c>
      <c r="S207" t="e" cm="1">
        <f t="array" aca="1" ref="S207" ca="1">VLOOKUP(INDIRECT("A"&amp;ROW()), 'Recent Changes'!A:G, 5, FALSE)</f>
        <v>#N/A</v>
      </c>
      <c r="T207" t="e" cm="1">
        <f t="array" aca="1" ref="T207" ca="1">VLOOKUP(INDIRECT("A"&amp;ROW()), 'Recent Changes'!A:G, 6, FALSE)</f>
        <v>#N/A</v>
      </c>
      <c r="U207" t="e" cm="1">
        <f t="array" aca="1" ref="U207" ca="1">VLOOKUP(INDIRECT("A"&amp;ROW()), 'Recent Changes'!A:G, 7, FALSE)</f>
        <v>#N/A</v>
      </c>
      <c r="V207" t="e" cm="1">
        <f t="array" aca="1" ref="V207" ca="1">VLOOKUP(INDIRECT("A"&amp;ROW()), 'Recent Changes'!A:H, 8, FALSE)</f>
        <v>#N/A</v>
      </c>
    </row>
    <row r="208" spans="1:22" x14ac:dyDescent="0.25">
      <c r="A208">
        <v>14927813</v>
      </c>
      <c r="B208" t="s">
        <v>430</v>
      </c>
      <c r="C208">
        <v>3</v>
      </c>
      <c r="G208" s="7" t="e">
        <v>#N/A</v>
      </c>
      <c r="H208" t="s">
        <v>14</v>
      </c>
      <c r="I208" t="s">
        <v>14</v>
      </c>
      <c r="J208" t="s">
        <v>30</v>
      </c>
      <c r="K208" t="s">
        <v>44</v>
      </c>
      <c r="L208" t="s">
        <v>624</v>
      </c>
      <c r="M208" t="s">
        <v>76</v>
      </c>
      <c r="N208" t="s">
        <v>83</v>
      </c>
      <c r="P208" t="str" cm="1">
        <f t="array" aca="1" ref="P208" ca="1">VLOOKUP(INDIRECT("A"&amp;ROW()), 'Recent Changes'!A:G, 2, FALSE)</f>
        <v>NULL</v>
      </c>
      <c r="Q208" t="str" cm="1">
        <f t="array" aca="1" ref="Q208" ca="1">VLOOKUP(INDIRECT("A"&amp;ROW()), 'Recent Changes'!A:G, 3, FALSE)</f>
        <v>NULL</v>
      </c>
      <c r="R208" t="str" cm="1">
        <f t="array" aca="1" ref="R208" ca="1">VLOOKUP(INDIRECT("A"&amp;ROW()), 'Recent Changes'!A:G, 4, FALSE)</f>
        <v>NULL</v>
      </c>
      <c r="S208" t="str" cm="1">
        <f t="array" aca="1" ref="S208" ca="1">VLOOKUP(INDIRECT("A"&amp;ROW()), 'Recent Changes'!A:G, 5, FALSE)</f>
        <v>2024-01-05T16:35:49Z</v>
      </c>
      <c r="T208" t="str" cm="1">
        <f t="array" aca="1" ref="T208" ca="1">VLOOKUP(INDIRECT("A"&amp;ROW()), 'Recent Changes'!A:G, 6, FALSE)</f>
        <v>NULL</v>
      </c>
      <c r="U208" t="str" cm="1">
        <f t="array" aca="1" ref="U208" ca="1">VLOOKUP(INDIRECT("A"&amp;ROW()), 'Recent Changes'!A:G, 7, FALSE)</f>
        <v>NULL</v>
      </c>
      <c r="V208" t="str" cm="1">
        <f t="array" aca="1" ref="V208" ca="1">VLOOKUP(INDIRECT("A"&amp;ROW()), 'Recent Changes'!A:H, 8, FALSE)</f>
        <v>2024-01-05T21:16:30Z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9C8C7-AD1B-4783-8BD6-1272EC2C6B62}">
  <sheetPr codeName="Sheet10"/>
  <dimension ref="A1:AB488"/>
  <sheetViews>
    <sheetView topLeftCell="A444" zoomScale="85" zoomScaleNormal="85" workbookViewId="0">
      <selection activeCell="H461" sqref="H461"/>
    </sheetView>
  </sheetViews>
  <sheetFormatPr defaultRowHeight="15" x14ac:dyDescent="0.25"/>
  <cols>
    <col min="1" max="1" width="14.5703125" customWidth="1"/>
    <col min="2" max="2" width="11" customWidth="1"/>
    <col min="6" max="6" width="12.7109375" customWidth="1"/>
    <col min="7" max="7" width="16.5703125" customWidth="1"/>
    <col min="8" max="8" width="15.85546875" customWidth="1"/>
    <col min="9" max="9" width="17" customWidth="1"/>
    <col min="10" max="10" width="16.28515625" customWidth="1"/>
    <col min="11" max="11" width="17.85546875" customWidth="1"/>
    <col min="12" max="12" width="18.140625" customWidth="1"/>
    <col min="13" max="13" width="18.5703125" customWidth="1"/>
    <col min="14" max="14" width="20.5703125" customWidth="1"/>
    <col min="15" max="15" width="15.85546875" customWidth="1"/>
    <col min="18" max="18" width="11.140625" bestFit="1" customWidth="1"/>
  </cols>
  <sheetData>
    <row r="1" spans="1:28" x14ac:dyDescent="0.2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13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3" t="s">
        <v>92</v>
      </c>
      <c r="P1" s="2" t="s">
        <v>462</v>
      </c>
      <c r="Q1" s="2" t="s">
        <v>463</v>
      </c>
      <c r="R1" s="2" t="s">
        <v>464</v>
      </c>
      <c r="S1" s="2" t="s">
        <v>465</v>
      </c>
      <c r="T1" s="2" t="s">
        <v>466</v>
      </c>
      <c r="U1" s="2" t="s">
        <v>467</v>
      </c>
      <c r="V1" s="2" t="s">
        <v>1014</v>
      </c>
      <c r="AA1" cm="1">
        <f t="array" aca="1" ref="AA1" ca="1">SUMPRODUCT(SUBTOTAL(3,OFFSET(B2,ROW(B2:B9749)-ROW(B2),0)),(B2:B9749="Coyol")+0)</f>
        <v>222</v>
      </c>
      <c r="AB1" cm="1">
        <f t="array" aca="1" ref="AB1" ca="1">SUMPRODUCT(SUBTOTAL(3,OFFSET(B2,ROW(B2:B9749)-ROW(B2),0)),(B2:B9749="AH")+0)</f>
        <v>265</v>
      </c>
    </row>
    <row r="2" spans="1:28" x14ac:dyDescent="0.25">
      <c r="A2">
        <v>15584073</v>
      </c>
      <c r="B2" t="s">
        <v>430</v>
      </c>
      <c r="C2">
        <v>492</v>
      </c>
      <c r="G2" t="s" cm="1">
        <v>442</v>
      </c>
      <c r="H2">
        <v>44908</v>
      </c>
      <c r="I2" t="s">
        <v>378</v>
      </c>
      <c r="J2" t="s">
        <v>24</v>
      </c>
      <c r="K2" t="s">
        <v>50</v>
      </c>
      <c r="L2" t="s">
        <v>391</v>
      </c>
      <c r="M2" t="s">
        <v>76</v>
      </c>
      <c r="N2" t="s">
        <v>2195</v>
      </c>
      <c r="O2" t="s">
        <v>431</v>
      </c>
      <c r="P2" t="e" cm="1">
        <f t="array" aca="1" ref="P2" ca="1">VLOOKUP(INDIRECT("A"&amp;ROW()), 'Recent Changes'!A:G, 2, FALSE)</f>
        <v>#N/A</v>
      </c>
      <c r="Q2" t="e" cm="1">
        <f t="array" aca="1" ref="Q2" ca="1">VLOOKUP(INDIRECT("A"&amp;ROW()), 'Recent Changes'!A:G, 3, FALSE)</f>
        <v>#N/A</v>
      </c>
      <c r="R2" t="e" cm="1">
        <f t="array" aca="1" ref="R2" ca="1">VLOOKUP(INDIRECT("A"&amp;ROW()), 'Recent Changes'!A:G, 4, FALSE)</f>
        <v>#N/A</v>
      </c>
      <c r="S2" t="e" cm="1">
        <f t="array" aca="1" ref="S2" ca="1">VLOOKUP(INDIRECT("A"&amp;ROW()), 'Recent Changes'!A:G, 5, FALSE)</f>
        <v>#N/A</v>
      </c>
      <c r="T2" t="e" cm="1">
        <f t="array" aca="1" ref="T2" ca="1">VLOOKUP(INDIRECT("A"&amp;ROW()), 'Recent Changes'!A:G, 6, FALSE)</f>
        <v>#N/A</v>
      </c>
      <c r="U2" t="e" cm="1">
        <f t="array" aca="1" ref="U2" ca="1">VLOOKUP(INDIRECT("A"&amp;ROW()), 'Recent Changes'!A:G, 7, FALSE)</f>
        <v>#N/A</v>
      </c>
      <c r="V2" t="e" cm="1">
        <f t="array" aca="1" ref="V2" ca="1">VLOOKUP(INDIRECT("A"&amp;ROW()), 'Recent Changes'!A:H, 8, FALSE)</f>
        <v>#N/A</v>
      </c>
    </row>
    <row r="3" spans="1:28" x14ac:dyDescent="0.25">
      <c r="A3">
        <v>16101075</v>
      </c>
      <c r="B3" t="s">
        <v>430</v>
      </c>
      <c r="C3">
        <v>364</v>
      </c>
      <c r="G3" t="s" cm="1">
        <v>442</v>
      </c>
      <c r="H3">
        <v>45027</v>
      </c>
      <c r="I3" t="s">
        <v>17</v>
      </c>
      <c r="J3" t="s">
        <v>34</v>
      </c>
      <c r="K3" t="s">
        <v>53</v>
      </c>
      <c r="L3" t="s">
        <v>72</v>
      </c>
      <c r="M3" t="s">
        <v>76</v>
      </c>
      <c r="N3" t="s">
        <v>2196</v>
      </c>
      <c r="P3" t="e" cm="1">
        <f t="array" aca="1" ref="P3" ca="1">VLOOKUP(INDIRECT("A"&amp;ROW()), 'Recent Changes'!A:G, 2, FALSE)</f>
        <v>#N/A</v>
      </c>
      <c r="Q3" t="e" cm="1">
        <f t="array" aca="1" ref="Q3" ca="1">VLOOKUP(INDIRECT("A"&amp;ROW()), 'Recent Changes'!A:G, 3, FALSE)</f>
        <v>#N/A</v>
      </c>
      <c r="R3" t="e" cm="1">
        <f t="array" aca="1" ref="R3" ca="1">VLOOKUP(INDIRECT("A"&amp;ROW()), 'Recent Changes'!A:G, 4, FALSE)</f>
        <v>#N/A</v>
      </c>
      <c r="S3" t="e" cm="1">
        <f t="array" aca="1" ref="S3" ca="1">VLOOKUP(INDIRECT("A"&amp;ROW()), 'Recent Changes'!A:G, 5, FALSE)</f>
        <v>#N/A</v>
      </c>
      <c r="T3" t="e" cm="1">
        <f t="array" aca="1" ref="T3" ca="1">VLOOKUP(INDIRECT("A"&amp;ROW()), 'Recent Changes'!A:G, 6, FALSE)</f>
        <v>#N/A</v>
      </c>
      <c r="U3" t="e" cm="1">
        <f t="array" aca="1" ref="U3" ca="1">VLOOKUP(INDIRECT("A"&amp;ROW()), 'Recent Changes'!A:G, 7, FALSE)</f>
        <v>#N/A</v>
      </c>
      <c r="V3" t="e" cm="1">
        <f t="array" aca="1" ref="V3" ca="1">VLOOKUP(INDIRECT("A"&amp;ROW()), 'Recent Changes'!A:H, 8, FALSE)</f>
        <v>#N/A</v>
      </c>
    </row>
    <row r="4" spans="1:28" x14ac:dyDescent="0.25">
      <c r="A4">
        <v>16105234</v>
      </c>
      <c r="B4" t="s">
        <v>430</v>
      </c>
      <c r="C4">
        <v>363</v>
      </c>
      <c r="G4" t="s" cm="1">
        <v>442</v>
      </c>
      <c r="H4">
        <v>44973</v>
      </c>
      <c r="I4" t="s">
        <v>15</v>
      </c>
      <c r="J4" t="s">
        <v>22</v>
      </c>
      <c r="K4" t="s">
        <v>46</v>
      </c>
      <c r="L4" t="s">
        <v>2063</v>
      </c>
      <c r="M4" t="s">
        <v>76</v>
      </c>
      <c r="N4" t="s">
        <v>2197</v>
      </c>
      <c r="O4" t="s">
        <v>431</v>
      </c>
      <c r="P4" t="e" cm="1">
        <f t="array" aca="1" ref="P4" ca="1">VLOOKUP(INDIRECT("A"&amp;ROW()), 'Recent Changes'!A:G, 2, FALSE)</f>
        <v>#N/A</v>
      </c>
      <c r="Q4" t="e" cm="1">
        <f t="array" aca="1" ref="Q4" ca="1">VLOOKUP(INDIRECT("A"&amp;ROW()), 'Recent Changes'!A:G, 3, FALSE)</f>
        <v>#N/A</v>
      </c>
      <c r="R4" t="e" cm="1">
        <f t="array" aca="1" ref="R4" ca="1">VLOOKUP(INDIRECT("A"&amp;ROW()), 'Recent Changes'!A:G, 4, FALSE)</f>
        <v>#N/A</v>
      </c>
      <c r="S4" t="e" cm="1">
        <f t="array" aca="1" ref="S4" ca="1">VLOOKUP(INDIRECT("A"&amp;ROW()), 'Recent Changes'!A:G, 5, FALSE)</f>
        <v>#N/A</v>
      </c>
      <c r="T4" t="e" cm="1">
        <f t="array" aca="1" ref="T4" ca="1">VLOOKUP(INDIRECT("A"&amp;ROW()), 'Recent Changes'!A:G, 6, FALSE)</f>
        <v>#N/A</v>
      </c>
      <c r="U4" t="e" cm="1">
        <f t="array" aca="1" ref="U4" ca="1">VLOOKUP(INDIRECT("A"&amp;ROW()), 'Recent Changes'!A:G, 7, FALSE)</f>
        <v>#N/A</v>
      </c>
      <c r="V4" t="e" cm="1">
        <f t="array" aca="1" ref="V4" ca="1">VLOOKUP(INDIRECT("A"&amp;ROW()), 'Recent Changes'!A:H, 8, FALSE)</f>
        <v>#N/A</v>
      </c>
    </row>
    <row r="5" spans="1:28" x14ac:dyDescent="0.25">
      <c r="A5">
        <v>16200141</v>
      </c>
      <c r="B5" t="s">
        <v>430</v>
      </c>
      <c r="C5">
        <v>341</v>
      </c>
      <c r="G5" t="s" cm="1">
        <v>442</v>
      </c>
      <c r="H5">
        <v>45084</v>
      </c>
      <c r="I5" t="s">
        <v>378</v>
      </c>
      <c r="J5" t="s">
        <v>24</v>
      </c>
      <c r="K5" t="s">
        <v>53</v>
      </c>
      <c r="L5" t="s">
        <v>392</v>
      </c>
      <c r="M5" t="s">
        <v>76</v>
      </c>
      <c r="N5" t="s">
        <v>2198</v>
      </c>
      <c r="O5" t="s">
        <v>431</v>
      </c>
      <c r="P5" t="e" cm="1">
        <f t="array" aca="1" ref="P5" ca="1">VLOOKUP(INDIRECT("A"&amp;ROW()), 'Recent Changes'!A:G, 2, FALSE)</f>
        <v>#N/A</v>
      </c>
      <c r="Q5" t="e" cm="1">
        <f t="array" aca="1" ref="Q5" ca="1">VLOOKUP(INDIRECT("A"&amp;ROW()), 'Recent Changes'!A:G, 3, FALSE)</f>
        <v>#N/A</v>
      </c>
      <c r="R5" t="e" cm="1">
        <f t="array" aca="1" ref="R5" ca="1">VLOOKUP(INDIRECT("A"&amp;ROW()), 'Recent Changes'!A:G, 4, FALSE)</f>
        <v>#N/A</v>
      </c>
      <c r="S5" t="e" cm="1">
        <f t="array" aca="1" ref="S5" ca="1">VLOOKUP(INDIRECT("A"&amp;ROW()), 'Recent Changes'!A:G, 5, FALSE)</f>
        <v>#N/A</v>
      </c>
      <c r="T5" t="e" cm="1">
        <f t="array" aca="1" ref="T5" ca="1">VLOOKUP(INDIRECT("A"&amp;ROW()), 'Recent Changes'!A:G, 6, FALSE)</f>
        <v>#N/A</v>
      </c>
      <c r="U5" t="e" cm="1">
        <f t="array" aca="1" ref="U5" ca="1">VLOOKUP(INDIRECT("A"&amp;ROW()), 'Recent Changes'!A:G, 7, FALSE)</f>
        <v>#N/A</v>
      </c>
      <c r="V5" t="e" cm="1">
        <f t="array" aca="1" ref="V5" ca="1">VLOOKUP(INDIRECT("A"&amp;ROW()), 'Recent Changes'!A:H, 8, FALSE)</f>
        <v>#N/A</v>
      </c>
    </row>
    <row r="6" spans="1:28" x14ac:dyDescent="0.25">
      <c r="A6">
        <v>16344010</v>
      </c>
      <c r="B6" t="s">
        <v>430</v>
      </c>
      <c r="C6">
        <v>307</v>
      </c>
      <c r="G6" t="e" cm="1">
        <v>#N/A</v>
      </c>
      <c r="H6">
        <v>44992</v>
      </c>
      <c r="I6" t="s">
        <v>15</v>
      </c>
      <c r="J6" t="s">
        <v>18</v>
      </c>
      <c r="K6" t="s">
        <v>44</v>
      </c>
      <c r="L6" t="s">
        <v>597</v>
      </c>
      <c r="M6" t="s">
        <v>76</v>
      </c>
      <c r="N6" t="s">
        <v>83</v>
      </c>
      <c r="O6" t="s">
        <v>431</v>
      </c>
      <c r="P6" t="str" cm="1">
        <f t="array" aca="1" ref="P6" ca="1">VLOOKUP(INDIRECT("A"&amp;ROW()), 'Recent Changes'!A:G, 2, FALSE)</f>
        <v>NULL</v>
      </c>
      <c r="Q6" t="str" cm="1">
        <f t="array" aca="1" ref="Q6" ca="1">VLOOKUP(INDIRECT("A"&amp;ROW()), 'Recent Changes'!A:G, 3, FALSE)</f>
        <v>NULL</v>
      </c>
      <c r="R6" t="str" cm="1">
        <f t="array" aca="1" ref="R6" ca="1">VLOOKUP(INDIRECT("A"&amp;ROW()), 'Recent Changes'!A:G, 4, FALSE)</f>
        <v>NULL</v>
      </c>
      <c r="S6" t="str" cm="1">
        <f t="array" aca="1" ref="S6" ca="1">VLOOKUP(INDIRECT("A"&amp;ROW()), 'Recent Changes'!A:G, 5, FALSE)</f>
        <v>NULL</v>
      </c>
      <c r="T6" t="str" cm="1">
        <f t="array" aca="1" ref="T6" ca="1">VLOOKUP(INDIRECT("A"&amp;ROW()), 'Recent Changes'!A:G, 6, FALSE)</f>
        <v>NULL</v>
      </c>
      <c r="U6" t="str" cm="1">
        <f t="array" aca="1" ref="U6" ca="1">VLOOKUP(INDIRECT("A"&amp;ROW()), 'Recent Changes'!A:G, 7, FALSE)</f>
        <v>2024-01-02T14:24:32Z</v>
      </c>
      <c r="V6" t="str" cm="1">
        <f t="array" aca="1" ref="V6" ca="1">VLOOKUP(INDIRECT("A"&amp;ROW()), 'Recent Changes'!A:H, 8, FALSE)</f>
        <v>2024-01-02T16:12:12Z</v>
      </c>
    </row>
    <row r="7" spans="1:28" x14ac:dyDescent="0.25">
      <c r="A7">
        <v>16494621</v>
      </c>
      <c r="B7" t="s">
        <v>430</v>
      </c>
      <c r="C7">
        <v>271</v>
      </c>
      <c r="G7" t="s" cm="1">
        <v>442</v>
      </c>
      <c r="H7" t="s">
        <v>14</v>
      </c>
      <c r="I7" t="s">
        <v>14</v>
      </c>
      <c r="J7" t="s">
        <v>39</v>
      </c>
      <c r="K7" t="s">
        <v>49</v>
      </c>
      <c r="L7" t="s">
        <v>68</v>
      </c>
      <c r="M7" t="s">
        <v>76</v>
      </c>
      <c r="N7" t="s">
        <v>83</v>
      </c>
      <c r="P7" t="str" cm="1">
        <f t="array" aca="1" ref="P7" ca="1">VLOOKUP(INDIRECT("A"&amp;ROW()), 'Recent Changes'!A:G, 2, FALSE)</f>
        <v>NULL</v>
      </c>
      <c r="Q7" t="str" cm="1">
        <f t="array" aca="1" ref="Q7" ca="1">VLOOKUP(INDIRECT("A"&amp;ROW()), 'Recent Changes'!A:G, 3, FALSE)</f>
        <v>NULL</v>
      </c>
      <c r="R7" t="str" cm="1">
        <f t="array" aca="1" ref="R7" ca="1">VLOOKUP(INDIRECT("A"&amp;ROW()), 'Recent Changes'!A:G, 4, FALSE)</f>
        <v>NULL</v>
      </c>
      <c r="S7" t="str" cm="1">
        <f t="array" aca="1" ref="S7" ca="1">VLOOKUP(INDIRECT("A"&amp;ROW()), 'Recent Changes'!A:G, 5, FALSE)</f>
        <v>NULL</v>
      </c>
      <c r="T7" t="str" cm="1">
        <f t="array" aca="1" ref="T7" ca="1">VLOOKUP(INDIRECT("A"&amp;ROW()), 'Recent Changes'!A:G, 6, FALSE)</f>
        <v>NULL</v>
      </c>
      <c r="U7" t="str" cm="1">
        <f t="array" aca="1" ref="U7" ca="1">VLOOKUP(INDIRECT("A"&amp;ROW()), 'Recent Changes'!A:G, 7, FALSE)</f>
        <v>NULL</v>
      </c>
      <c r="V7" t="str" cm="1">
        <f t="array" aca="1" ref="V7" ca="1">VLOOKUP(INDIRECT("A"&amp;ROW()), 'Recent Changes'!A:H, 8, FALSE)</f>
        <v>2023-05-11T21:27:29Z</v>
      </c>
    </row>
    <row r="8" spans="1:28" x14ac:dyDescent="0.25">
      <c r="A8">
        <v>15217898</v>
      </c>
      <c r="B8" t="s">
        <v>430</v>
      </c>
      <c r="C8">
        <v>264</v>
      </c>
      <c r="G8" t="s" cm="1">
        <v>442</v>
      </c>
      <c r="H8">
        <v>45139</v>
      </c>
      <c r="I8" t="s">
        <v>15</v>
      </c>
      <c r="J8" t="s">
        <v>29</v>
      </c>
      <c r="K8" t="s">
        <v>43</v>
      </c>
      <c r="L8" t="s">
        <v>2064</v>
      </c>
      <c r="M8" t="s">
        <v>76</v>
      </c>
      <c r="N8" t="s">
        <v>83</v>
      </c>
      <c r="O8" t="s">
        <v>431</v>
      </c>
      <c r="P8" t="str" cm="1">
        <f t="array" aca="1" ref="P8" ca="1">VLOOKUP(INDIRECT("A"&amp;ROW()), 'Recent Changes'!A:G, 2, FALSE)</f>
        <v>NULL</v>
      </c>
      <c r="Q8" t="str" cm="1">
        <f t="array" aca="1" ref="Q8" ca="1">VLOOKUP(INDIRECT("A"&amp;ROW()), 'Recent Changes'!A:G, 3, FALSE)</f>
        <v>NULL</v>
      </c>
      <c r="R8" t="str" cm="1">
        <f t="array" aca="1" ref="R8" ca="1">VLOOKUP(INDIRECT("A"&amp;ROW()), 'Recent Changes'!A:G, 4, FALSE)</f>
        <v>NULL</v>
      </c>
      <c r="S8" t="str" cm="1">
        <f t="array" aca="1" ref="S8" ca="1">VLOOKUP(INDIRECT("A"&amp;ROW()), 'Recent Changes'!A:G, 5, FALSE)</f>
        <v>2023-09-14T15:16:06Z</v>
      </c>
      <c r="T8" t="str" cm="1">
        <f t="array" aca="1" ref="T8" ca="1">VLOOKUP(INDIRECT("A"&amp;ROW()), 'Recent Changes'!A:G, 6, FALSE)</f>
        <v>NULL</v>
      </c>
      <c r="U8" t="str" cm="1">
        <f t="array" aca="1" ref="U8" ca="1">VLOOKUP(INDIRECT("A"&amp;ROW()), 'Recent Changes'!A:G, 7, FALSE)</f>
        <v>NULL</v>
      </c>
      <c r="V8" t="str" cm="1">
        <f t="array" aca="1" ref="V8" ca="1">VLOOKUP(INDIRECT("A"&amp;ROW()), 'Recent Changes'!A:H, 8, FALSE)</f>
        <v>2023-09-14T16:18:00Z</v>
      </c>
    </row>
    <row r="9" spans="1:28" x14ac:dyDescent="0.25">
      <c r="A9">
        <v>16546884</v>
      </c>
      <c r="B9" t="s">
        <v>430</v>
      </c>
      <c r="C9">
        <v>259</v>
      </c>
      <c r="G9" t="e" cm="1">
        <v>#N/A</v>
      </c>
      <c r="H9" t="s">
        <v>14</v>
      </c>
      <c r="I9" t="s">
        <v>14</v>
      </c>
      <c r="J9" t="s">
        <v>30</v>
      </c>
      <c r="K9" t="s">
        <v>53</v>
      </c>
      <c r="L9" t="s">
        <v>55</v>
      </c>
      <c r="M9" t="s">
        <v>76</v>
      </c>
      <c r="N9" t="s">
        <v>83</v>
      </c>
      <c r="P9" t="str" cm="1">
        <f t="array" aca="1" ref="P9" ca="1">VLOOKUP(INDIRECT("A"&amp;ROW()), 'Recent Changes'!A:G, 2, FALSE)</f>
        <v>2023-12-20T19:32:58Z</v>
      </c>
      <c r="Q9" t="str" cm="1">
        <f t="array" aca="1" ref="Q9" ca="1">VLOOKUP(INDIRECT("A"&amp;ROW()), 'Recent Changes'!A:G, 3, FALSE)</f>
        <v>NULL</v>
      </c>
      <c r="R9" t="str" cm="1">
        <f t="array" aca="1" ref="R9" ca="1">VLOOKUP(INDIRECT("A"&amp;ROW()), 'Recent Changes'!A:G, 4, FALSE)</f>
        <v>NULL</v>
      </c>
      <c r="S9" t="str" cm="1">
        <f t="array" aca="1" ref="S9" ca="1">VLOOKUP(INDIRECT("A"&amp;ROW()), 'Recent Changes'!A:G, 5, FALSE)</f>
        <v>NULL</v>
      </c>
      <c r="T9" t="str" cm="1">
        <f t="array" aca="1" ref="T9" ca="1">VLOOKUP(INDIRECT("A"&amp;ROW()), 'Recent Changes'!A:G, 6, FALSE)</f>
        <v>NULL</v>
      </c>
      <c r="U9" t="str" cm="1">
        <f t="array" aca="1" ref="U9" ca="1">VLOOKUP(INDIRECT("A"&amp;ROW()), 'Recent Changes'!A:G, 7, FALSE)</f>
        <v>2023-05-10T21:32:24Z</v>
      </c>
      <c r="V9" t="str" cm="1">
        <f t="array" aca="1" ref="V9" ca="1">VLOOKUP(INDIRECT("A"&amp;ROW()), 'Recent Changes'!A:H, 8, FALSE)</f>
        <v>2023-12-20T21:41:17Z</v>
      </c>
    </row>
    <row r="10" spans="1:28" x14ac:dyDescent="0.25">
      <c r="A10">
        <v>16568294</v>
      </c>
      <c r="B10" t="s">
        <v>430</v>
      </c>
      <c r="C10">
        <v>255</v>
      </c>
      <c r="G10" t="e" cm="1">
        <v>#N/A</v>
      </c>
      <c r="H10">
        <v>45044</v>
      </c>
      <c r="I10" t="s">
        <v>15</v>
      </c>
      <c r="J10" t="s">
        <v>18</v>
      </c>
      <c r="K10" t="s">
        <v>44</v>
      </c>
      <c r="L10" t="s">
        <v>597</v>
      </c>
      <c r="M10" t="s">
        <v>76</v>
      </c>
      <c r="N10" t="s">
        <v>83</v>
      </c>
      <c r="O10" t="s">
        <v>431</v>
      </c>
      <c r="P10" t="str" cm="1">
        <f t="array" aca="1" ref="P10" ca="1">VLOOKUP(INDIRECT("A"&amp;ROW()), 'Recent Changes'!A:G, 2, FALSE)</f>
        <v>NULL</v>
      </c>
      <c r="Q10" t="str" cm="1">
        <f t="array" aca="1" ref="Q10" ca="1">VLOOKUP(INDIRECT("A"&amp;ROW()), 'Recent Changes'!A:G, 3, FALSE)</f>
        <v>NULL</v>
      </c>
      <c r="R10" t="str" cm="1">
        <f t="array" aca="1" ref="R10" ca="1">VLOOKUP(INDIRECT("A"&amp;ROW()), 'Recent Changes'!A:G, 4, FALSE)</f>
        <v>NULL</v>
      </c>
      <c r="S10" t="str" cm="1">
        <f t="array" aca="1" ref="S10" ca="1">VLOOKUP(INDIRECT("A"&amp;ROW()), 'Recent Changes'!A:G, 5, FALSE)</f>
        <v>NULL</v>
      </c>
      <c r="T10" t="str" cm="1">
        <f t="array" aca="1" ref="T10" ca="1">VLOOKUP(INDIRECT("A"&amp;ROW()), 'Recent Changes'!A:G, 6, FALSE)</f>
        <v>NULL</v>
      </c>
      <c r="U10" t="str" cm="1">
        <f t="array" aca="1" ref="U10" ca="1">VLOOKUP(INDIRECT("A"&amp;ROW()), 'Recent Changes'!A:G, 7, FALSE)</f>
        <v>2024-01-02T14:18:33Z</v>
      </c>
      <c r="V10" t="str" cm="1">
        <f t="array" aca="1" ref="V10" ca="1">VLOOKUP(INDIRECT("A"&amp;ROW()), 'Recent Changes'!A:H, 8, FALSE)</f>
        <v>2024-01-02T16:04:57Z</v>
      </c>
    </row>
    <row r="11" spans="1:28" x14ac:dyDescent="0.25">
      <c r="A11">
        <v>16573153</v>
      </c>
      <c r="B11" t="s">
        <v>430</v>
      </c>
      <c r="C11">
        <v>252</v>
      </c>
      <c r="G11" t="s" cm="1">
        <v>442</v>
      </c>
      <c r="H11">
        <v>45146</v>
      </c>
      <c r="I11" t="s">
        <v>15</v>
      </c>
      <c r="J11" t="s">
        <v>22</v>
      </c>
      <c r="K11" t="s">
        <v>387</v>
      </c>
      <c r="L11" t="s">
        <v>58</v>
      </c>
      <c r="M11" t="s">
        <v>76</v>
      </c>
      <c r="N11" t="s">
        <v>2199</v>
      </c>
      <c r="O11" t="s">
        <v>431</v>
      </c>
      <c r="P11" t="e" cm="1">
        <f t="array" aca="1" ref="P11" ca="1">VLOOKUP(INDIRECT("A"&amp;ROW()), 'Recent Changes'!A:G, 2, FALSE)</f>
        <v>#N/A</v>
      </c>
      <c r="Q11" t="e" cm="1">
        <f t="array" aca="1" ref="Q11" ca="1">VLOOKUP(INDIRECT("A"&amp;ROW()), 'Recent Changes'!A:G, 3, FALSE)</f>
        <v>#N/A</v>
      </c>
      <c r="R11" t="e" cm="1">
        <f t="array" aca="1" ref="R11" ca="1">VLOOKUP(INDIRECT("A"&amp;ROW()), 'Recent Changes'!A:G, 4, FALSE)</f>
        <v>#N/A</v>
      </c>
      <c r="S11" t="e" cm="1">
        <f t="array" aca="1" ref="S11" ca="1">VLOOKUP(INDIRECT("A"&amp;ROW()), 'Recent Changes'!A:G, 5, FALSE)</f>
        <v>#N/A</v>
      </c>
      <c r="T11" t="e" cm="1">
        <f t="array" aca="1" ref="T11" ca="1">VLOOKUP(INDIRECT("A"&amp;ROW()), 'Recent Changes'!A:G, 6, FALSE)</f>
        <v>#N/A</v>
      </c>
      <c r="U11" t="e" cm="1">
        <f t="array" aca="1" ref="U11" ca="1">VLOOKUP(INDIRECT("A"&amp;ROW()), 'Recent Changes'!A:G, 7, FALSE)</f>
        <v>#N/A</v>
      </c>
      <c r="V11" t="e" cm="1">
        <f t="array" aca="1" ref="V11" ca="1">VLOOKUP(INDIRECT("A"&amp;ROW()), 'Recent Changes'!A:H, 8, FALSE)</f>
        <v>#N/A</v>
      </c>
    </row>
    <row r="12" spans="1:28" x14ac:dyDescent="0.25">
      <c r="A12">
        <v>16602742</v>
      </c>
      <c r="B12" t="s">
        <v>430</v>
      </c>
      <c r="C12">
        <v>245</v>
      </c>
      <c r="G12" t="e" cm="1">
        <v>#N/A</v>
      </c>
      <c r="H12">
        <v>45229</v>
      </c>
      <c r="I12" t="s">
        <v>16</v>
      </c>
      <c r="J12" t="s">
        <v>21</v>
      </c>
      <c r="K12" t="s">
        <v>2060</v>
      </c>
      <c r="L12" t="s">
        <v>1688</v>
      </c>
      <c r="M12" t="s">
        <v>76</v>
      </c>
      <c r="N12" t="s">
        <v>83</v>
      </c>
      <c r="O12" t="s">
        <v>431</v>
      </c>
      <c r="P12" t="str" cm="1">
        <f t="array" aca="1" ref="P12" ca="1">VLOOKUP(INDIRECT("A"&amp;ROW()), 'Recent Changes'!A:G, 2, FALSE)</f>
        <v>NULL</v>
      </c>
      <c r="Q12" t="str" cm="1">
        <f t="array" aca="1" ref="Q12" ca="1">VLOOKUP(INDIRECT("A"&amp;ROW()), 'Recent Changes'!A:G, 3, FALSE)</f>
        <v>NULL</v>
      </c>
      <c r="R12" t="str" cm="1">
        <f t="array" aca="1" ref="R12" ca="1">VLOOKUP(INDIRECT("A"&amp;ROW()), 'Recent Changes'!A:G, 4, FALSE)</f>
        <v>NULL</v>
      </c>
      <c r="S12" t="str" cm="1">
        <f t="array" aca="1" ref="S12" ca="1">VLOOKUP(INDIRECT("A"&amp;ROW()), 'Recent Changes'!A:G, 5, FALSE)</f>
        <v>NULL</v>
      </c>
      <c r="T12" t="str" cm="1">
        <f t="array" aca="1" ref="T12" ca="1">VLOOKUP(INDIRECT("A"&amp;ROW()), 'Recent Changes'!A:G, 6, FALSE)</f>
        <v>NULL</v>
      </c>
      <c r="U12" t="str" cm="1">
        <f t="array" aca="1" ref="U12" ca="1">VLOOKUP(INDIRECT("A"&amp;ROW()), 'Recent Changes'!A:G, 7, FALSE)</f>
        <v>2023-12-19T16:09:38Z</v>
      </c>
      <c r="V12" t="str" cm="1">
        <f t="array" aca="1" ref="V12" ca="1">VLOOKUP(INDIRECT("A"&amp;ROW()), 'Recent Changes'!A:H, 8, FALSE)</f>
        <v>2023-12-19T21:35:18Z</v>
      </c>
    </row>
    <row r="13" spans="1:28" x14ac:dyDescent="0.25">
      <c r="A13">
        <v>16604349</v>
      </c>
      <c r="B13" t="s">
        <v>433</v>
      </c>
      <c r="C13">
        <v>245</v>
      </c>
      <c r="G13" t="s" cm="1">
        <v>442</v>
      </c>
      <c r="H13">
        <v>45105</v>
      </c>
      <c r="I13" t="s">
        <v>15</v>
      </c>
      <c r="J13" t="s">
        <v>32</v>
      </c>
      <c r="K13" t="s">
        <v>44</v>
      </c>
      <c r="L13" t="s">
        <v>733</v>
      </c>
      <c r="M13" t="s">
        <v>76</v>
      </c>
      <c r="N13" t="s">
        <v>2200</v>
      </c>
      <c r="O13" t="s">
        <v>431</v>
      </c>
      <c r="P13" t="e" cm="1">
        <f t="array" aca="1" ref="P13" ca="1">VLOOKUP(INDIRECT("A"&amp;ROW()), 'Recent Changes'!A:G, 2, FALSE)</f>
        <v>#N/A</v>
      </c>
      <c r="Q13" t="e" cm="1">
        <f t="array" aca="1" ref="Q13" ca="1">VLOOKUP(INDIRECT("A"&amp;ROW()), 'Recent Changes'!A:G, 3, FALSE)</f>
        <v>#N/A</v>
      </c>
      <c r="R13" t="e" cm="1">
        <f t="array" aca="1" ref="R13" ca="1">VLOOKUP(INDIRECT("A"&amp;ROW()), 'Recent Changes'!A:G, 4, FALSE)</f>
        <v>#N/A</v>
      </c>
      <c r="S13" t="e" cm="1">
        <f t="array" aca="1" ref="S13" ca="1">VLOOKUP(INDIRECT("A"&amp;ROW()), 'Recent Changes'!A:G, 5, FALSE)</f>
        <v>#N/A</v>
      </c>
      <c r="T13" t="e" cm="1">
        <f t="array" aca="1" ref="T13" ca="1">VLOOKUP(INDIRECT("A"&amp;ROW()), 'Recent Changes'!A:G, 6, FALSE)</f>
        <v>#N/A</v>
      </c>
      <c r="U13" t="e" cm="1">
        <f t="array" aca="1" ref="U13" ca="1">VLOOKUP(INDIRECT("A"&amp;ROW()), 'Recent Changes'!A:G, 7, FALSE)</f>
        <v>#N/A</v>
      </c>
      <c r="V13" t="e" cm="1">
        <f t="array" aca="1" ref="V13" ca="1">VLOOKUP(INDIRECT("A"&amp;ROW()), 'Recent Changes'!A:H, 8, FALSE)</f>
        <v>#N/A</v>
      </c>
    </row>
    <row r="14" spans="1:28" x14ac:dyDescent="0.25">
      <c r="A14">
        <v>16610791</v>
      </c>
      <c r="B14" t="s">
        <v>433</v>
      </c>
      <c r="C14">
        <v>244</v>
      </c>
      <c r="G14" t="s" cm="1">
        <v>442</v>
      </c>
      <c r="H14">
        <v>45089</v>
      </c>
      <c r="I14" t="s">
        <v>15</v>
      </c>
      <c r="J14" t="s">
        <v>22</v>
      </c>
      <c r="K14" t="s">
        <v>49</v>
      </c>
      <c r="L14" t="s">
        <v>63</v>
      </c>
      <c r="M14" t="s">
        <v>76</v>
      </c>
      <c r="N14" t="s">
        <v>2201</v>
      </c>
      <c r="O14" t="s">
        <v>431</v>
      </c>
      <c r="P14" t="e" cm="1">
        <f t="array" aca="1" ref="P14" ca="1">VLOOKUP(INDIRECT("A"&amp;ROW()), 'Recent Changes'!A:G, 2, FALSE)</f>
        <v>#N/A</v>
      </c>
      <c r="Q14" t="e" cm="1">
        <f t="array" aca="1" ref="Q14" ca="1">VLOOKUP(INDIRECT("A"&amp;ROW()), 'Recent Changes'!A:G, 3, FALSE)</f>
        <v>#N/A</v>
      </c>
      <c r="R14" t="e" cm="1">
        <f t="array" aca="1" ref="R14" ca="1">VLOOKUP(INDIRECT("A"&amp;ROW()), 'Recent Changes'!A:G, 4, FALSE)</f>
        <v>#N/A</v>
      </c>
      <c r="S14" t="e" cm="1">
        <f t="array" aca="1" ref="S14" ca="1">VLOOKUP(INDIRECT("A"&amp;ROW()), 'Recent Changes'!A:G, 5, FALSE)</f>
        <v>#N/A</v>
      </c>
      <c r="T14" t="e" cm="1">
        <f t="array" aca="1" ref="T14" ca="1">VLOOKUP(INDIRECT("A"&amp;ROW()), 'Recent Changes'!A:G, 6, FALSE)</f>
        <v>#N/A</v>
      </c>
      <c r="U14" t="e" cm="1">
        <f t="array" aca="1" ref="U14" ca="1">VLOOKUP(INDIRECT("A"&amp;ROW()), 'Recent Changes'!A:G, 7, FALSE)</f>
        <v>#N/A</v>
      </c>
      <c r="V14" t="e" cm="1">
        <f t="array" aca="1" ref="V14" ca="1">VLOOKUP(INDIRECT("A"&amp;ROW()), 'Recent Changes'!A:H, 8, FALSE)</f>
        <v>#N/A</v>
      </c>
    </row>
    <row r="15" spans="1:28" x14ac:dyDescent="0.25">
      <c r="A15">
        <v>13953468</v>
      </c>
      <c r="B15" t="s">
        <v>433</v>
      </c>
      <c r="C15">
        <v>231</v>
      </c>
      <c r="G15" t="s" cm="1">
        <v>442</v>
      </c>
      <c r="H15">
        <v>45068</v>
      </c>
      <c r="I15" t="s">
        <v>15</v>
      </c>
      <c r="J15" t="s">
        <v>33</v>
      </c>
      <c r="K15" t="s">
        <v>44</v>
      </c>
      <c r="L15" t="s">
        <v>758</v>
      </c>
      <c r="M15" t="s">
        <v>80</v>
      </c>
      <c r="N15" t="s">
        <v>2202</v>
      </c>
      <c r="O15" t="s">
        <v>431</v>
      </c>
      <c r="P15" t="e" cm="1">
        <f t="array" aca="1" ref="P15" ca="1">VLOOKUP(INDIRECT("A"&amp;ROW()), 'Recent Changes'!A:G, 2, FALSE)</f>
        <v>#N/A</v>
      </c>
      <c r="Q15" t="e" cm="1">
        <f t="array" aca="1" ref="Q15" ca="1">VLOOKUP(INDIRECT("A"&amp;ROW()), 'Recent Changes'!A:G, 3, FALSE)</f>
        <v>#N/A</v>
      </c>
      <c r="R15" t="e" cm="1">
        <f t="array" aca="1" ref="R15" ca="1">VLOOKUP(INDIRECT("A"&amp;ROW()), 'Recent Changes'!A:G, 4, FALSE)</f>
        <v>#N/A</v>
      </c>
      <c r="S15" t="e" cm="1">
        <f t="array" aca="1" ref="S15" ca="1">VLOOKUP(INDIRECT("A"&amp;ROW()), 'Recent Changes'!A:G, 5, FALSE)</f>
        <v>#N/A</v>
      </c>
      <c r="T15" t="e" cm="1">
        <f t="array" aca="1" ref="T15" ca="1">VLOOKUP(INDIRECT("A"&amp;ROW()), 'Recent Changes'!A:G, 6, FALSE)</f>
        <v>#N/A</v>
      </c>
      <c r="U15" t="e" cm="1">
        <f t="array" aca="1" ref="U15" ca="1">VLOOKUP(INDIRECT("A"&amp;ROW()), 'Recent Changes'!A:G, 7, FALSE)</f>
        <v>#N/A</v>
      </c>
      <c r="V15" t="e" cm="1">
        <f t="array" aca="1" ref="V15" ca="1">VLOOKUP(INDIRECT("A"&amp;ROW()), 'Recent Changes'!A:H, 8, FALSE)</f>
        <v>#N/A</v>
      </c>
    </row>
    <row r="16" spans="1:28" x14ac:dyDescent="0.25">
      <c r="A16">
        <v>16666999</v>
      </c>
      <c r="B16" t="s" cm="1">
        <v>433</v>
      </c>
      <c r="C16">
        <v>231</v>
      </c>
      <c r="G16" t="e" cm="1">
        <v>#N/A</v>
      </c>
      <c r="H16" t="s">
        <v>14</v>
      </c>
      <c r="I16" t="s">
        <v>14</v>
      </c>
      <c r="J16" t="s">
        <v>26</v>
      </c>
      <c r="K16" t="s">
        <v>52</v>
      </c>
      <c r="L16" t="s">
        <v>1685</v>
      </c>
      <c r="M16" t="s">
        <v>76</v>
      </c>
      <c r="N16" t="s">
        <v>2203</v>
      </c>
      <c r="P16" t="e" cm="1">
        <f t="array" aca="1" ref="P16" ca="1">VLOOKUP(INDIRECT("A"&amp;ROW()), 'Recent Changes'!A:G, 2, FALSE)</f>
        <v>#N/A</v>
      </c>
      <c r="Q16" t="e" cm="1">
        <f t="array" aca="1" ref="Q16" ca="1">VLOOKUP(INDIRECT("A"&amp;ROW()), 'Recent Changes'!A:G, 3, FALSE)</f>
        <v>#N/A</v>
      </c>
      <c r="R16" t="e" cm="1">
        <f t="array" aca="1" ref="R16" ca="1">VLOOKUP(INDIRECT("A"&amp;ROW()), 'Recent Changes'!A:G, 4, FALSE)</f>
        <v>#N/A</v>
      </c>
      <c r="S16" t="e" cm="1">
        <f t="array" aca="1" ref="S16" ca="1">VLOOKUP(INDIRECT("A"&amp;ROW()), 'Recent Changes'!A:G, 5, FALSE)</f>
        <v>#N/A</v>
      </c>
      <c r="T16" t="e" cm="1">
        <f t="array" aca="1" ref="T16" ca="1">VLOOKUP(INDIRECT("A"&amp;ROW()), 'Recent Changes'!A:G, 6, FALSE)</f>
        <v>#N/A</v>
      </c>
      <c r="U16" t="e" cm="1">
        <f t="array" aca="1" ref="U16" ca="1">VLOOKUP(INDIRECT("A"&amp;ROW()), 'Recent Changes'!A:G, 7, FALSE)</f>
        <v>#N/A</v>
      </c>
      <c r="V16" t="e" cm="1">
        <f t="array" aca="1" ref="V16" ca="1">VLOOKUP(INDIRECT("A"&amp;ROW()), 'Recent Changes'!A:H, 8, FALSE)</f>
        <v>#N/A</v>
      </c>
    </row>
    <row r="17" spans="1:22" x14ac:dyDescent="0.25">
      <c r="A17">
        <v>15100348</v>
      </c>
      <c r="B17" t="s">
        <v>433</v>
      </c>
      <c r="C17">
        <v>229</v>
      </c>
      <c r="G17" t="s" cm="1">
        <v>442</v>
      </c>
      <c r="H17">
        <v>45089</v>
      </c>
      <c r="I17" t="s">
        <v>15</v>
      </c>
      <c r="J17" t="s">
        <v>32</v>
      </c>
      <c r="K17" t="s">
        <v>389</v>
      </c>
      <c r="L17" t="s">
        <v>55</v>
      </c>
      <c r="M17" t="s">
        <v>76</v>
      </c>
      <c r="N17" t="s">
        <v>2204</v>
      </c>
      <c r="O17" t="s">
        <v>431</v>
      </c>
      <c r="P17" t="e" cm="1">
        <f t="array" aca="1" ref="P17" ca="1">VLOOKUP(INDIRECT("A"&amp;ROW()), 'Recent Changes'!A:G, 2, FALSE)</f>
        <v>#N/A</v>
      </c>
      <c r="Q17" t="e" cm="1">
        <f t="array" aca="1" ref="Q17" ca="1">VLOOKUP(INDIRECT("A"&amp;ROW()), 'Recent Changes'!A:G, 3, FALSE)</f>
        <v>#N/A</v>
      </c>
      <c r="R17" t="e" cm="1">
        <f t="array" aca="1" ref="R17" ca="1">VLOOKUP(INDIRECT("A"&amp;ROW()), 'Recent Changes'!A:G, 4, FALSE)</f>
        <v>#N/A</v>
      </c>
      <c r="S17" t="e" cm="1">
        <f t="array" aca="1" ref="S17" ca="1">VLOOKUP(INDIRECT("A"&amp;ROW()), 'Recent Changes'!A:G, 5, FALSE)</f>
        <v>#N/A</v>
      </c>
      <c r="T17" t="e" cm="1">
        <f t="array" aca="1" ref="T17" ca="1">VLOOKUP(INDIRECT("A"&amp;ROW()), 'Recent Changes'!A:G, 6, FALSE)</f>
        <v>#N/A</v>
      </c>
      <c r="U17" t="e" cm="1">
        <f t="array" aca="1" ref="U17" ca="1">VLOOKUP(INDIRECT("A"&amp;ROW()), 'Recent Changes'!A:G, 7, FALSE)</f>
        <v>#N/A</v>
      </c>
      <c r="V17" t="e" cm="1">
        <f t="array" aca="1" ref="V17" ca="1">VLOOKUP(INDIRECT("A"&amp;ROW()), 'Recent Changes'!A:H, 8, FALSE)</f>
        <v>#N/A</v>
      </c>
    </row>
    <row r="18" spans="1:22" x14ac:dyDescent="0.25">
      <c r="A18">
        <v>16768322</v>
      </c>
      <c r="B18" t="s">
        <v>433</v>
      </c>
      <c r="C18">
        <v>209</v>
      </c>
      <c r="G18" t="s" cm="1">
        <v>442</v>
      </c>
      <c r="H18">
        <v>45131</v>
      </c>
      <c r="I18" t="s">
        <v>378</v>
      </c>
      <c r="J18" t="s">
        <v>18</v>
      </c>
      <c r="K18" t="s">
        <v>44</v>
      </c>
      <c r="L18" t="s">
        <v>395</v>
      </c>
      <c r="M18" t="s">
        <v>76</v>
      </c>
      <c r="N18" t="s">
        <v>2205</v>
      </c>
      <c r="O18" t="s">
        <v>431</v>
      </c>
      <c r="P18" t="e" cm="1">
        <f t="array" aca="1" ref="P18" ca="1">VLOOKUP(INDIRECT("A"&amp;ROW()), 'Recent Changes'!A:G, 2, FALSE)</f>
        <v>#N/A</v>
      </c>
      <c r="Q18" t="e" cm="1">
        <f t="array" aca="1" ref="Q18" ca="1">VLOOKUP(INDIRECT("A"&amp;ROW()), 'Recent Changes'!A:G, 3, FALSE)</f>
        <v>#N/A</v>
      </c>
      <c r="R18" t="e" cm="1">
        <f t="array" aca="1" ref="R18" ca="1">VLOOKUP(INDIRECT("A"&amp;ROW()), 'Recent Changes'!A:G, 4, FALSE)</f>
        <v>#N/A</v>
      </c>
      <c r="S18" t="e" cm="1">
        <f t="array" aca="1" ref="S18" ca="1">VLOOKUP(INDIRECT("A"&amp;ROW()), 'Recent Changes'!A:G, 5, FALSE)</f>
        <v>#N/A</v>
      </c>
      <c r="T18" t="e" cm="1">
        <f t="array" aca="1" ref="T18" ca="1">VLOOKUP(INDIRECT("A"&amp;ROW()), 'Recent Changes'!A:G, 6, FALSE)</f>
        <v>#N/A</v>
      </c>
      <c r="U18" t="e" cm="1">
        <f t="array" aca="1" ref="U18" ca="1">VLOOKUP(INDIRECT("A"&amp;ROW()), 'Recent Changes'!A:G, 7, FALSE)</f>
        <v>#N/A</v>
      </c>
      <c r="V18" t="e" cm="1">
        <f t="array" aca="1" ref="V18" ca="1">VLOOKUP(INDIRECT("A"&amp;ROW()), 'Recent Changes'!A:H, 8, FALSE)</f>
        <v>#N/A</v>
      </c>
    </row>
    <row r="19" spans="1:22" x14ac:dyDescent="0.25">
      <c r="A19">
        <v>16776740</v>
      </c>
      <c r="B19" t="s">
        <v>433</v>
      </c>
      <c r="C19">
        <v>207</v>
      </c>
      <c r="G19" t="e" cm="1">
        <v>#N/A</v>
      </c>
      <c r="H19" t="s">
        <v>14</v>
      </c>
      <c r="I19" t="s">
        <v>14</v>
      </c>
      <c r="J19" t="s">
        <v>382</v>
      </c>
      <c r="K19" t="s">
        <v>48</v>
      </c>
      <c r="L19" t="s">
        <v>73</v>
      </c>
      <c r="M19" t="s">
        <v>76</v>
      </c>
      <c r="N19" t="s">
        <v>2206</v>
      </c>
      <c r="P19" t="e" cm="1">
        <f t="array" aca="1" ref="P19" ca="1">VLOOKUP(INDIRECT("A"&amp;ROW()), 'Recent Changes'!A:G, 2, FALSE)</f>
        <v>#N/A</v>
      </c>
      <c r="Q19" t="e" cm="1">
        <f t="array" aca="1" ref="Q19" ca="1">VLOOKUP(INDIRECT("A"&amp;ROW()), 'Recent Changes'!A:G, 3, FALSE)</f>
        <v>#N/A</v>
      </c>
      <c r="R19" t="e" cm="1">
        <f t="array" aca="1" ref="R19" ca="1">VLOOKUP(INDIRECT("A"&amp;ROW()), 'Recent Changes'!A:G, 4, FALSE)</f>
        <v>#N/A</v>
      </c>
      <c r="S19" t="e" cm="1">
        <f t="array" aca="1" ref="S19" ca="1">VLOOKUP(INDIRECT("A"&amp;ROW()), 'Recent Changes'!A:G, 5, FALSE)</f>
        <v>#N/A</v>
      </c>
      <c r="T19" t="e" cm="1">
        <f t="array" aca="1" ref="T19" ca="1">VLOOKUP(INDIRECT("A"&amp;ROW()), 'Recent Changes'!A:G, 6, FALSE)</f>
        <v>#N/A</v>
      </c>
      <c r="U19" t="e" cm="1">
        <f t="array" aca="1" ref="U19" ca="1">VLOOKUP(INDIRECT("A"&amp;ROW()), 'Recent Changes'!A:G, 7, FALSE)</f>
        <v>#N/A</v>
      </c>
      <c r="V19" t="e" cm="1">
        <f t="array" aca="1" ref="V19" ca="1">VLOOKUP(INDIRECT("A"&amp;ROW()), 'Recent Changes'!A:H, 8, FALSE)</f>
        <v>#N/A</v>
      </c>
    </row>
    <row r="20" spans="1:22" x14ac:dyDescent="0.25">
      <c r="A20">
        <v>16436200</v>
      </c>
      <c r="B20" t="s">
        <v>433</v>
      </c>
      <c r="C20">
        <v>206</v>
      </c>
      <c r="G20" t="s" cm="1">
        <v>442</v>
      </c>
      <c r="H20">
        <v>45098</v>
      </c>
      <c r="I20" t="s">
        <v>378</v>
      </c>
      <c r="J20" t="s">
        <v>24</v>
      </c>
      <c r="K20" t="s">
        <v>44</v>
      </c>
      <c r="L20" t="s">
        <v>397</v>
      </c>
      <c r="M20" t="s">
        <v>76</v>
      </c>
      <c r="N20" t="s">
        <v>2207</v>
      </c>
      <c r="O20" t="s">
        <v>431</v>
      </c>
      <c r="P20" t="e" cm="1">
        <f t="array" aca="1" ref="P20" ca="1">VLOOKUP(INDIRECT("A"&amp;ROW()), 'Recent Changes'!A:G, 2, FALSE)</f>
        <v>#N/A</v>
      </c>
      <c r="Q20" t="e" cm="1">
        <f t="array" aca="1" ref="Q20" ca="1">VLOOKUP(INDIRECT("A"&amp;ROW()), 'Recent Changes'!A:G, 3, FALSE)</f>
        <v>#N/A</v>
      </c>
      <c r="R20" t="e" cm="1">
        <f t="array" aca="1" ref="R20" ca="1">VLOOKUP(INDIRECT("A"&amp;ROW()), 'Recent Changes'!A:G, 4, FALSE)</f>
        <v>#N/A</v>
      </c>
      <c r="S20" t="e" cm="1">
        <f t="array" aca="1" ref="S20" ca="1">VLOOKUP(INDIRECT("A"&amp;ROW()), 'Recent Changes'!A:G, 5, FALSE)</f>
        <v>#N/A</v>
      </c>
      <c r="T20" t="e" cm="1">
        <f t="array" aca="1" ref="T20" ca="1">VLOOKUP(INDIRECT("A"&amp;ROW()), 'Recent Changes'!A:G, 6, FALSE)</f>
        <v>#N/A</v>
      </c>
      <c r="U20" t="e" cm="1">
        <f t="array" aca="1" ref="U20" ca="1">VLOOKUP(INDIRECT("A"&amp;ROW()), 'Recent Changes'!A:G, 7, FALSE)</f>
        <v>#N/A</v>
      </c>
      <c r="V20" t="e" cm="1">
        <f t="array" aca="1" ref="V20" ca="1">VLOOKUP(INDIRECT("A"&amp;ROW()), 'Recent Changes'!A:H, 8, FALSE)</f>
        <v>#N/A</v>
      </c>
    </row>
    <row r="21" spans="1:22" x14ac:dyDescent="0.25">
      <c r="A21">
        <v>16824634</v>
      </c>
      <c r="B21" t="s">
        <v>433</v>
      </c>
      <c r="C21">
        <v>195</v>
      </c>
      <c r="G21" t="s" cm="1">
        <v>442</v>
      </c>
      <c r="H21">
        <v>45126</v>
      </c>
      <c r="I21" t="s">
        <v>15</v>
      </c>
      <c r="J21" t="s">
        <v>24</v>
      </c>
      <c r="K21" t="s">
        <v>49</v>
      </c>
      <c r="L21" t="s">
        <v>394</v>
      </c>
      <c r="M21" t="s">
        <v>76</v>
      </c>
      <c r="N21" t="s">
        <v>2208</v>
      </c>
      <c r="O21" t="s">
        <v>431</v>
      </c>
      <c r="P21" t="e" cm="1">
        <f t="array" aca="1" ref="P21" ca="1">VLOOKUP(INDIRECT("A"&amp;ROW()), 'Recent Changes'!A:G, 2, FALSE)</f>
        <v>#N/A</v>
      </c>
      <c r="Q21" t="e" cm="1">
        <f t="array" aca="1" ref="Q21" ca="1">VLOOKUP(INDIRECT("A"&amp;ROW()), 'Recent Changes'!A:G, 3, FALSE)</f>
        <v>#N/A</v>
      </c>
      <c r="R21" t="e" cm="1">
        <f t="array" aca="1" ref="R21" ca="1">VLOOKUP(INDIRECT("A"&amp;ROW()), 'Recent Changes'!A:G, 4, FALSE)</f>
        <v>#N/A</v>
      </c>
      <c r="S21" t="e" cm="1">
        <f t="array" aca="1" ref="S21" ca="1">VLOOKUP(INDIRECT("A"&amp;ROW()), 'Recent Changes'!A:G, 5, FALSE)</f>
        <v>#N/A</v>
      </c>
      <c r="T21" t="e" cm="1">
        <f t="array" aca="1" ref="T21" ca="1">VLOOKUP(INDIRECT("A"&amp;ROW()), 'Recent Changes'!A:G, 6, FALSE)</f>
        <v>#N/A</v>
      </c>
      <c r="U21" t="e" cm="1">
        <f t="array" aca="1" ref="U21" ca="1">VLOOKUP(INDIRECT("A"&amp;ROW()), 'Recent Changes'!A:G, 7, FALSE)</f>
        <v>#N/A</v>
      </c>
      <c r="V21" t="e" cm="1">
        <f t="array" aca="1" ref="V21" ca="1">VLOOKUP(INDIRECT("A"&amp;ROW()), 'Recent Changes'!A:H, 8, FALSE)</f>
        <v>#N/A</v>
      </c>
    </row>
    <row r="22" spans="1:22" x14ac:dyDescent="0.25">
      <c r="A22">
        <v>16825888</v>
      </c>
      <c r="B22" t="s">
        <v>433</v>
      </c>
      <c r="C22">
        <v>195</v>
      </c>
      <c r="G22" t="e" cm="1">
        <v>#N/A</v>
      </c>
      <c r="H22" t="s">
        <v>14</v>
      </c>
      <c r="I22" t="s">
        <v>14</v>
      </c>
      <c r="J22" t="s">
        <v>23</v>
      </c>
      <c r="K22" t="s">
        <v>54</v>
      </c>
      <c r="L22" t="s">
        <v>72</v>
      </c>
      <c r="M22" t="s">
        <v>76</v>
      </c>
      <c r="N22" t="s">
        <v>2209</v>
      </c>
      <c r="P22" t="e" cm="1">
        <f t="array" aca="1" ref="P22" ca="1">VLOOKUP(INDIRECT("A"&amp;ROW()), 'Recent Changes'!A:G, 2, FALSE)</f>
        <v>#N/A</v>
      </c>
      <c r="Q22" t="e" cm="1">
        <f t="array" aca="1" ref="Q22" ca="1">VLOOKUP(INDIRECT("A"&amp;ROW()), 'Recent Changes'!A:G, 3, FALSE)</f>
        <v>#N/A</v>
      </c>
      <c r="R22" t="e" cm="1">
        <f t="array" aca="1" ref="R22" ca="1">VLOOKUP(INDIRECT("A"&amp;ROW()), 'Recent Changes'!A:G, 4, FALSE)</f>
        <v>#N/A</v>
      </c>
      <c r="S22" t="e" cm="1">
        <f t="array" aca="1" ref="S22" ca="1">VLOOKUP(INDIRECT("A"&amp;ROW()), 'Recent Changes'!A:G, 5, FALSE)</f>
        <v>#N/A</v>
      </c>
      <c r="T22" t="e" cm="1">
        <f t="array" aca="1" ref="T22" ca="1">VLOOKUP(INDIRECT("A"&amp;ROW()), 'Recent Changes'!A:G, 6, FALSE)</f>
        <v>#N/A</v>
      </c>
      <c r="U22" t="e" cm="1">
        <f t="array" aca="1" ref="U22" ca="1">VLOOKUP(INDIRECT("A"&amp;ROW()), 'Recent Changes'!A:G, 7, FALSE)</f>
        <v>#N/A</v>
      </c>
      <c r="V22" t="e" cm="1">
        <f t="array" aca="1" ref="V22" ca="1">VLOOKUP(INDIRECT("A"&amp;ROW()), 'Recent Changes'!A:H, 8, FALSE)</f>
        <v>#N/A</v>
      </c>
    </row>
    <row r="23" spans="1:22" x14ac:dyDescent="0.25">
      <c r="A23">
        <v>16836473</v>
      </c>
      <c r="B23" t="s">
        <v>433</v>
      </c>
      <c r="C23">
        <v>193</v>
      </c>
      <c r="G23" t="s" cm="1">
        <v>442</v>
      </c>
      <c r="H23" t="s">
        <v>14</v>
      </c>
      <c r="I23" t="s">
        <v>380</v>
      </c>
      <c r="J23" t="s">
        <v>41</v>
      </c>
      <c r="K23" t="s">
        <v>47</v>
      </c>
      <c r="L23" t="s">
        <v>2065</v>
      </c>
      <c r="M23" t="s">
        <v>78</v>
      </c>
      <c r="N23" t="s">
        <v>83</v>
      </c>
      <c r="P23" t="str" cm="1">
        <f t="array" aca="1" ref="P23" ca="1">VLOOKUP(INDIRECT("A"&amp;ROW()), 'Recent Changes'!A:G, 2, FALSE)</f>
        <v>NULL</v>
      </c>
      <c r="Q23" t="str" cm="1">
        <f t="array" aca="1" ref="Q23" ca="1">VLOOKUP(INDIRECT("A"&amp;ROW()), 'Recent Changes'!A:G, 3, FALSE)</f>
        <v>NULL</v>
      </c>
      <c r="R23" t="str" cm="1">
        <f t="array" aca="1" ref="R23" ca="1">VLOOKUP(INDIRECT("A"&amp;ROW()), 'Recent Changes'!A:G, 4, FALSE)</f>
        <v>NULL</v>
      </c>
      <c r="S23" t="str" cm="1">
        <f t="array" aca="1" ref="S23" ca="1">VLOOKUP(INDIRECT("A"&amp;ROW()), 'Recent Changes'!A:G, 5, FALSE)</f>
        <v>2023-10-06T01:08:11Z</v>
      </c>
      <c r="T23" t="str" cm="1">
        <f t="array" aca="1" ref="T23" ca="1">VLOOKUP(INDIRECT("A"&amp;ROW()), 'Recent Changes'!A:G, 6, FALSE)</f>
        <v>NULL</v>
      </c>
      <c r="U23" t="str" cm="1">
        <f t="array" aca="1" ref="U23" ca="1">VLOOKUP(INDIRECT("A"&amp;ROW()), 'Recent Changes'!A:G, 7, FALSE)</f>
        <v>NULL</v>
      </c>
      <c r="V23" t="str" cm="1">
        <f t="array" aca="1" ref="V23" ca="1">VLOOKUP(INDIRECT("A"&amp;ROW()), 'Recent Changes'!A:H, 8, FALSE)</f>
        <v>2023-08-24T16:33:23Z</v>
      </c>
    </row>
    <row r="24" spans="1:22" x14ac:dyDescent="0.25">
      <c r="A24">
        <v>16872078</v>
      </c>
      <c r="B24" t="s">
        <v>433</v>
      </c>
      <c r="C24">
        <v>185</v>
      </c>
      <c r="G24" t="s" cm="1">
        <v>442</v>
      </c>
      <c r="H24">
        <v>45145</v>
      </c>
      <c r="I24" t="s">
        <v>15</v>
      </c>
      <c r="J24" t="s">
        <v>32</v>
      </c>
      <c r="K24" t="s">
        <v>44</v>
      </c>
      <c r="L24" t="s">
        <v>2066</v>
      </c>
      <c r="M24" t="s">
        <v>76</v>
      </c>
      <c r="N24" t="s">
        <v>2210</v>
      </c>
      <c r="O24" t="s">
        <v>431</v>
      </c>
      <c r="P24" t="e" cm="1">
        <f t="array" aca="1" ref="P24" ca="1">VLOOKUP(INDIRECT("A"&amp;ROW()), 'Recent Changes'!A:G, 2, FALSE)</f>
        <v>#N/A</v>
      </c>
      <c r="Q24" t="e" cm="1">
        <f t="array" aca="1" ref="Q24" ca="1">VLOOKUP(INDIRECT("A"&amp;ROW()), 'Recent Changes'!A:G, 3, FALSE)</f>
        <v>#N/A</v>
      </c>
      <c r="R24" t="e" cm="1">
        <f t="array" aca="1" ref="R24" ca="1">VLOOKUP(INDIRECT("A"&amp;ROW()), 'Recent Changes'!A:G, 4, FALSE)</f>
        <v>#N/A</v>
      </c>
      <c r="S24" t="e" cm="1">
        <f t="array" aca="1" ref="S24" ca="1">VLOOKUP(INDIRECT("A"&amp;ROW()), 'Recent Changes'!A:G, 5, FALSE)</f>
        <v>#N/A</v>
      </c>
      <c r="T24" t="e" cm="1">
        <f t="array" aca="1" ref="T24" ca="1">VLOOKUP(INDIRECT("A"&amp;ROW()), 'Recent Changes'!A:G, 6, FALSE)</f>
        <v>#N/A</v>
      </c>
      <c r="U24" t="e" cm="1">
        <f t="array" aca="1" ref="U24" ca="1">VLOOKUP(INDIRECT("A"&amp;ROW()), 'Recent Changes'!A:G, 7, FALSE)</f>
        <v>#N/A</v>
      </c>
      <c r="V24" t="e" cm="1">
        <f t="array" aca="1" ref="V24" ca="1">VLOOKUP(INDIRECT("A"&amp;ROW()), 'Recent Changes'!A:H, 8, FALSE)</f>
        <v>#N/A</v>
      </c>
    </row>
    <row r="25" spans="1:22" x14ac:dyDescent="0.25">
      <c r="A25">
        <v>16874410</v>
      </c>
      <c r="B25" t="s">
        <v>433</v>
      </c>
      <c r="C25">
        <v>184</v>
      </c>
      <c r="G25" t="e" cm="1">
        <v>#N/A</v>
      </c>
      <c r="H25">
        <v>45181</v>
      </c>
      <c r="I25" t="s">
        <v>15</v>
      </c>
      <c r="J25" t="s">
        <v>30</v>
      </c>
      <c r="K25" t="s">
        <v>53</v>
      </c>
      <c r="L25" t="s">
        <v>2067</v>
      </c>
      <c r="M25" t="s">
        <v>76</v>
      </c>
      <c r="N25" t="s">
        <v>2211</v>
      </c>
      <c r="O25" t="s">
        <v>431</v>
      </c>
      <c r="P25" t="e" cm="1">
        <f t="array" aca="1" ref="P25" ca="1">VLOOKUP(INDIRECT("A"&amp;ROW()), 'Recent Changes'!A:G, 2, FALSE)</f>
        <v>#N/A</v>
      </c>
      <c r="Q25" t="e" cm="1">
        <f t="array" aca="1" ref="Q25" ca="1">VLOOKUP(INDIRECT("A"&amp;ROW()), 'Recent Changes'!A:G, 3, FALSE)</f>
        <v>#N/A</v>
      </c>
      <c r="R25" t="e" cm="1">
        <f t="array" aca="1" ref="R25" ca="1">VLOOKUP(INDIRECT("A"&amp;ROW()), 'Recent Changes'!A:G, 4, FALSE)</f>
        <v>#N/A</v>
      </c>
      <c r="S25" t="e" cm="1">
        <f t="array" aca="1" ref="S25" ca="1">VLOOKUP(INDIRECT("A"&amp;ROW()), 'Recent Changes'!A:G, 5, FALSE)</f>
        <v>#N/A</v>
      </c>
      <c r="T25" t="e" cm="1">
        <f t="array" aca="1" ref="T25" ca="1">VLOOKUP(INDIRECT("A"&amp;ROW()), 'Recent Changes'!A:G, 6, FALSE)</f>
        <v>#N/A</v>
      </c>
      <c r="U25" t="e" cm="1">
        <f t="array" aca="1" ref="U25" ca="1">VLOOKUP(INDIRECT("A"&amp;ROW()), 'Recent Changes'!A:G, 7, FALSE)</f>
        <v>#N/A</v>
      </c>
      <c r="V25" t="e" cm="1">
        <f t="array" aca="1" ref="V25" ca="1">VLOOKUP(INDIRECT("A"&amp;ROW()), 'Recent Changes'!A:H, 8, FALSE)</f>
        <v>#N/A</v>
      </c>
    </row>
    <row r="26" spans="1:22" x14ac:dyDescent="0.25">
      <c r="A26">
        <v>16876513</v>
      </c>
      <c r="B26" t="s">
        <v>433</v>
      </c>
      <c r="C26">
        <v>182</v>
      </c>
      <c r="G26" t="s" cm="1">
        <v>442</v>
      </c>
      <c r="H26" t="s">
        <v>14</v>
      </c>
      <c r="I26" t="s">
        <v>380</v>
      </c>
      <c r="J26" t="s">
        <v>23</v>
      </c>
      <c r="K26" t="s">
        <v>43</v>
      </c>
      <c r="L26" t="s">
        <v>2068</v>
      </c>
      <c r="M26" t="s">
        <v>78</v>
      </c>
      <c r="N26" t="s">
        <v>83</v>
      </c>
      <c r="P26" t="str" cm="1">
        <f t="array" aca="1" ref="P26" ca="1">VLOOKUP(INDIRECT("A"&amp;ROW()), 'Recent Changes'!A:G, 2, FALSE)</f>
        <v>2023-10-04T15:37:46Z</v>
      </c>
      <c r="Q26" t="str" cm="1">
        <f t="array" aca="1" ref="Q26" ca="1">VLOOKUP(INDIRECT("A"&amp;ROW()), 'Recent Changes'!A:G, 3, FALSE)</f>
        <v>NULL</v>
      </c>
      <c r="R26" t="str" cm="1">
        <f t="array" aca="1" ref="R26" ca="1">VLOOKUP(INDIRECT("A"&amp;ROW()), 'Recent Changes'!A:G, 4, FALSE)</f>
        <v>NULL</v>
      </c>
      <c r="S26" t="str" cm="1">
        <f t="array" aca="1" ref="S26" ca="1">VLOOKUP(INDIRECT("A"&amp;ROW()), 'Recent Changes'!A:G, 5, FALSE)</f>
        <v>NULL</v>
      </c>
      <c r="T26" t="str" cm="1">
        <f t="array" aca="1" ref="T26" ca="1">VLOOKUP(INDIRECT("A"&amp;ROW()), 'Recent Changes'!A:G, 6, FALSE)</f>
        <v>NULL</v>
      </c>
      <c r="U26" t="str" cm="1">
        <f t="array" aca="1" ref="U26" ca="1">VLOOKUP(INDIRECT("A"&amp;ROW()), 'Recent Changes'!A:G, 7, FALSE)</f>
        <v>2023-08-17T19:57:33Z</v>
      </c>
      <c r="V26" t="str" cm="1">
        <f t="array" aca="1" ref="V26" ca="1">VLOOKUP(INDIRECT("A"&amp;ROW()), 'Recent Changes'!A:H, 8, FALSE)</f>
        <v>2023-10-04T16:01:58Z</v>
      </c>
    </row>
    <row r="27" spans="1:22" x14ac:dyDescent="0.25">
      <c r="A27">
        <v>16877618</v>
      </c>
      <c r="B27" t="s" cm="1">
        <v>430</v>
      </c>
      <c r="C27">
        <v>182</v>
      </c>
      <c r="G27" t="e" cm="1">
        <v>#N/A</v>
      </c>
      <c r="H27" t="s">
        <v>14</v>
      </c>
      <c r="I27" t="s">
        <v>14</v>
      </c>
      <c r="J27" t="s">
        <v>30</v>
      </c>
      <c r="K27" t="s">
        <v>43</v>
      </c>
      <c r="L27" t="s">
        <v>1334</v>
      </c>
      <c r="M27" t="s">
        <v>78</v>
      </c>
      <c r="N27" t="s">
        <v>83</v>
      </c>
      <c r="P27" t="str" cm="1">
        <f t="array" aca="1" ref="P27" ca="1">VLOOKUP(INDIRECT("A"&amp;ROW()), 'Recent Changes'!A:G, 2, FALSE)</f>
        <v>NULL</v>
      </c>
      <c r="Q27" t="str" cm="1">
        <f t="array" aca="1" ref="Q27" ca="1">VLOOKUP(INDIRECT("A"&amp;ROW()), 'Recent Changes'!A:G, 3, FALSE)</f>
        <v>NULL</v>
      </c>
      <c r="R27" t="str" cm="1">
        <f t="array" aca="1" ref="R27" ca="1">VLOOKUP(INDIRECT("A"&amp;ROW()), 'Recent Changes'!A:G, 4, FALSE)</f>
        <v>NULL</v>
      </c>
      <c r="S27" t="str" cm="1">
        <f t="array" aca="1" ref="S27" ca="1">VLOOKUP(INDIRECT("A"&amp;ROW()), 'Recent Changes'!A:G, 5, FALSE)</f>
        <v>2023-12-14T20:24:11Z</v>
      </c>
      <c r="T27" t="str" cm="1">
        <f t="array" aca="1" ref="T27" ca="1">VLOOKUP(INDIRECT("A"&amp;ROW()), 'Recent Changes'!A:G, 6, FALSE)</f>
        <v>NULL</v>
      </c>
      <c r="U27" t="str" cm="1">
        <f t="array" aca="1" ref="U27" ca="1">VLOOKUP(INDIRECT("A"&amp;ROW()), 'Recent Changes'!A:G, 7, FALSE)</f>
        <v>NULL</v>
      </c>
      <c r="V27" t="str" cm="1">
        <f t="array" aca="1" ref="V27" ca="1">VLOOKUP(INDIRECT("A"&amp;ROW()), 'Recent Changes'!A:H, 8, FALSE)</f>
        <v>2023-12-14T21:43:57Z</v>
      </c>
    </row>
    <row r="28" spans="1:22" x14ac:dyDescent="0.25">
      <c r="A28">
        <v>16894635</v>
      </c>
      <c r="B28" t="s">
        <v>433</v>
      </c>
      <c r="C28">
        <v>179</v>
      </c>
      <c r="G28" t="s" cm="1">
        <v>442</v>
      </c>
      <c r="H28" t="s">
        <v>14</v>
      </c>
      <c r="I28" t="s">
        <v>380</v>
      </c>
      <c r="J28" t="s">
        <v>29</v>
      </c>
      <c r="K28" t="s">
        <v>45</v>
      </c>
      <c r="L28" t="s">
        <v>75</v>
      </c>
      <c r="M28" t="s">
        <v>78</v>
      </c>
      <c r="N28" t="s">
        <v>83</v>
      </c>
      <c r="P28" t="str" cm="1">
        <f t="array" aca="1" ref="P28" ca="1">VLOOKUP(INDIRECT("A"&amp;ROW()), 'Recent Changes'!A:G, 2, FALSE)</f>
        <v>2023-08-23T17:20:10Z</v>
      </c>
      <c r="Q28" t="str" cm="1">
        <f t="array" aca="1" ref="Q28" ca="1">VLOOKUP(INDIRECT("A"&amp;ROW()), 'Recent Changes'!A:G, 3, FALSE)</f>
        <v>NULL</v>
      </c>
      <c r="R28" t="str" cm="1">
        <f t="array" aca="1" ref="R28" ca="1">VLOOKUP(INDIRECT("A"&amp;ROW()), 'Recent Changes'!A:G, 4, FALSE)</f>
        <v>NULL</v>
      </c>
      <c r="S28" t="str" cm="1">
        <f t="array" aca="1" ref="S28" ca="1">VLOOKUP(INDIRECT("A"&amp;ROW()), 'Recent Changes'!A:G, 5, FALSE)</f>
        <v>NULL</v>
      </c>
      <c r="T28" t="str" cm="1">
        <f t="array" aca="1" ref="T28" ca="1">VLOOKUP(INDIRECT("A"&amp;ROW()), 'Recent Changes'!A:G, 6, FALSE)</f>
        <v>NULL</v>
      </c>
      <c r="U28" t="str" cm="1">
        <f t="array" aca="1" ref="U28" ca="1">VLOOKUP(INDIRECT("A"&amp;ROW()), 'Recent Changes'!A:G, 7, FALSE)</f>
        <v>2023-08-28T20:16:43Z</v>
      </c>
      <c r="V28" t="str" cm="1">
        <f t="array" aca="1" ref="V28" ca="1">VLOOKUP(INDIRECT("A"&amp;ROW()), 'Recent Changes'!A:H, 8, FALSE)</f>
        <v>2023-08-23T21:27:42Z</v>
      </c>
    </row>
    <row r="29" spans="1:22" x14ac:dyDescent="0.25">
      <c r="A29">
        <v>16899077</v>
      </c>
      <c r="B29" t="s">
        <v>433</v>
      </c>
      <c r="C29">
        <v>178</v>
      </c>
      <c r="G29" t="s" cm="1">
        <v>442</v>
      </c>
      <c r="H29">
        <v>45169</v>
      </c>
      <c r="I29" t="s">
        <v>15</v>
      </c>
      <c r="J29" t="s">
        <v>32</v>
      </c>
      <c r="K29" t="s">
        <v>49</v>
      </c>
      <c r="L29" t="s">
        <v>392</v>
      </c>
      <c r="M29" t="s">
        <v>76</v>
      </c>
      <c r="N29" t="s">
        <v>2212</v>
      </c>
      <c r="O29" t="s">
        <v>431</v>
      </c>
      <c r="P29" t="e" cm="1">
        <f t="array" aca="1" ref="P29" ca="1">VLOOKUP(INDIRECT("A"&amp;ROW()), 'Recent Changes'!A:G, 2, FALSE)</f>
        <v>#N/A</v>
      </c>
      <c r="Q29" t="e" cm="1">
        <f t="array" aca="1" ref="Q29" ca="1">VLOOKUP(INDIRECT("A"&amp;ROW()), 'Recent Changes'!A:G, 3, FALSE)</f>
        <v>#N/A</v>
      </c>
      <c r="R29" t="e" cm="1">
        <f t="array" aca="1" ref="R29" ca="1">VLOOKUP(INDIRECT("A"&amp;ROW()), 'Recent Changes'!A:G, 4, FALSE)</f>
        <v>#N/A</v>
      </c>
      <c r="S29" t="e" cm="1">
        <f t="array" aca="1" ref="S29" ca="1">VLOOKUP(INDIRECT("A"&amp;ROW()), 'Recent Changes'!A:G, 5, FALSE)</f>
        <v>#N/A</v>
      </c>
      <c r="T29" t="e" cm="1">
        <f t="array" aca="1" ref="T29" ca="1">VLOOKUP(INDIRECT("A"&amp;ROW()), 'Recent Changes'!A:G, 6, FALSE)</f>
        <v>#N/A</v>
      </c>
      <c r="U29" t="e" cm="1">
        <f t="array" aca="1" ref="U29" ca="1">VLOOKUP(INDIRECT("A"&amp;ROW()), 'Recent Changes'!A:G, 7, FALSE)</f>
        <v>#N/A</v>
      </c>
      <c r="V29" t="e" cm="1">
        <f t="array" aca="1" ref="V29" ca="1">VLOOKUP(INDIRECT("A"&amp;ROW()), 'Recent Changes'!A:H, 8, FALSE)</f>
        <v>#N/A</v>
      </c>
    </row>
    <row r="30" spans="1:22" x14ac:dyDescent="0.25">
      <c r="A30">
        <v>16916224</v>
      </c>
      <c r="B30" t="s">
        <v>433</v>
      </c>
      <c r="C30">
        <v>174</v>
      </c>
      <c r="G30" t="s" cm="1">
        <v>442</v>
      </c>
      <c r="H30" t="s">
        <v>14</v>
      </c>
      <c r="I30" t="s">
        <v>380</v>
      </c>
      <c r="J30" t="s">
        <v>383</v>
      </c>
      <c r="K30" t="s">
        <v>48</v>
      </c>
      <c r="L30" t="s">
        <v>526</v>
      </c>
      <c r="M30" t="s">
        <v>76</v>
      </c>
      <c r="N30" t="s">
        <v>83</v>
      </c>
      <c r="P30" t="str" cm="1">
        <f t="array" aca="1" ref="P30" ca="1">VLOOKUP(INDIRECT("A"&amp;ROW()), 'Recent Changes'!A:G, 2, FALSE)</f>
        <v>NULL</v>
      </c>
      <c r="Q30" t="str" cm="1">
        <f t="array" aca="1" ref="Q30" ca="1">VLOOKUP(INDIRECT("A"&amp;ROW()), 'Recent Changes'!A:G, 3, FALSE)</f>
        <v>NULL</v>
      </c>
      <c r="R30" t="str" cm="1">
        <f t="array" aca="1" ref="R30" ca="1">VLOOKUP(INDIRECT("A"&amp;ROW()), 'Recent Changes'!A:G, 4, FALSE)</f>
        <v>NULL</v>
      </c>
      <c r="S30" t="str" cm="1">
        <f t="array" aca="1" ref="S30" ca="1">VLOOKUP(INDIRECT("A"&amp;ROW()), 'Recent Changes'!A:G, 5, FALSE)</f>
        <v>2023-10-20T18:06:44Z</v>
      </c>
      <c r="T30" t="str" cm="1">
        <f t="array" aca="1" ref="T30" ca="1">VLOOKUP(INDIRECT("A"&amp;ROW()), 'Recent Changes'!A:G, 6, FALSE)</f>
        <v>NULL</v>
      </c>
      <c r="U30" t="str" cm="1">
        <f t="array" aca="1" ref="U30" ca="1">VLOOKUP(INDIRECT("A"&amp;ROW()), 'Recent Changes'!A:G, 7, FALSE)</f>
        <v>NULL</v>
      </c>
      <c r="V30" t="str" cm="1">
        <f t="array" aca="1" ref="V30" ca="1">VLOOKUP(INDIRECT("A"&amp;ROW()), 'Recent Changes'!A:H, 8, FALSE)</f>
        <v>2023-10-20T21:02:33Z</v>
      </c>
    </row>
    <row r="31" spans="1:22" x14ac:dyDescent="0.25">
      <c r="A31">
        <v>16510730</v>
      </c>
      <c r="B31" t="s">
        <v>433</v>
      </c>
      <c r="C31">
        <v>173</v>
      </c>
      <c r="G31" t="s" cm="1">
        <v>442</v>
      </c>
      <c r="H31">
        <v>45131</v>
      </c>
      <c r="I31" t="s">
        <v>15</v>
      </c>
      <c r="J31" t="s">
        <v>24</v>
      </c>
      <c r="K31" t="s">
        <v>44</v>
      </c>
      <c r="L31" t="s">
        <v>392</v>
      </c>
      <c r="M31" t="s">
        <v>76</v>
      </c>
      <c r="N31" t="s">
        <v>2213</v>
      </c>
      <c r="O31" t="s">
        <v>431</v>
      </c>
      <c r="P31" t="e" cm="1">
        <f t="array" aca="1" ref="P31" ca="1">VLOOKUP(INDIRECT("A"&amp;ROW()), 'Recent Changes'!A:G, 2, FALSE)</f>
        <v>#N/A</v>
      </c>
      <c r="Q31" t="e" cm="1">
        <f t="array" aca="1" ref="Q31" ca="1">VLOOKUP(INDIRECT("A"&amp;ROW()), 'Recent Changes'!A:G, 3, FALSE)</f>
        <v>#N/A</v>
      </c>
      <c r="R31" t="e" cm="1">
        <f t="array" aca="1" ref="R31" ca="1">VLOOKUP(INDIRECT("A"&amp;ROW()), 'Recent Changes'!A:G, 4, FALSE)</f>
        <v>#N/A</v>
      </c>
      <c r="S31" t="e" cm="1">
        <f t="array" aca="1" ref="S31" ca="1">VLOOKUP(INDIRECT("A"&amp;ROW()), 'Recent Changes'!A:G, 5, FALSE)</f>
        <v>#N/A</v>
      </c>
      <c r="T31" t="e" cm="1">
        <f t="array" aca="1" ref="T31" ca="1">VLOOKUP(INDIRECT("A"&amp;ROW()), 'Recent Changes'!A:G, 6, FALSE)</f>
        <v>#N/A</v>
      </c>
      <c r="U31" t="e" cm="1">
        <f t="array" aca="1" ref="U31" ca="1">VLOOKUP(INDIRECT("A"&amp;ROW()), 'Recent Changes'!A:G, 7, FALSE)</f>
        <v>#N/A</v>
      </c>
      <c r="V31" t="e" cm="1">
        <f t="array" aca="1" ref="V31" ca="1">VLOOKUP(INDIRECT("A"&amp;ROW()), 'Recent Changes'!A:H, 8, FALSE)</f>
        <v>#N/A</v>
      </c>
    </row>
    <row r="32" spans="1:22" x14ac:dyDescent="0.25">
      <c r="A32">
        <v>16917866</v>
      </c>
      <c r="B32" t="s">
        <v>433</v>
      </c>
      <c r="C32">
        <v>173</v>
      </c>
      <c r="G32" t="e" cm="1">
        <v>#N/A</v>
      </c>
      <c r="H32" t="s">
        <v>14</v>
      </c>
      <c r="I32" t="s">
        <v>380</v>
      </c>
      <c r="J32" t="s">
        <v>29</v>
      </c>
      <c r="K32" t="s">
        <v>48</v>
      </c>
      <c r="L32" t="s">
        <v>1367</v>
      </c>
      <c r="M32" t="s">
        <v>76</v>
      </c>
      <c r="N32" t="s">
        <v>2214</v>
      </c>
      <c r="P32" t="e" cm="1">
        <f t="array" aca="1" ref="P32" ca="1">VLOOKUP(INDIRECT("A"&amp;ROW()), 'Recent Changes'!A:G, 2, FALSE)</f>
        <v>#N/A</v>
      </c>
      <c r="Q32" t="e" cm="1">
        <f t="array" aca="1" ref="Q32" ca="1">VLOOKUP(INDIRECT("A"&amp;ROW()), 'Recent Changes'!A:G, 3, FALSE)</f>
        <v>#N/A</v>
      </c>
      <c r="R32" t="e" cm="1">
        <f t="array" aca="1" ref="R32" ca="1">VLOOKUP(INDIRECT("A"&amp;ROW()), 'Recent Changes'!A:G, 4, FALSE)</f>
        <v>#N/A</v>
      </c>
      <c r="S32" t="e" cm="1">
        <f t="array" aca="1" ref="S32" ca="1">VLOOKUP(INDIRECT("A"&amp;ROW()), 'Recent Changes'!A:G, 5, FALSE)</f>
        <v>#N/A</v>
      </c>
      <c r="T32" t="e" cm="1">
        <f t="array" aca="1" ref="T32" ca="1">VLOOKUP(INDIRECT("A"&amp;ROW()), 'Recent Changes'!A:G, 6, FALSE)</f>
        <v>#N/A</v>
      </c>
      <c r="U32" t="e" cm="1">
        <f t="array" aca="1" ref="U32" ca="1">VLOOKUP(INDIRECT("A"&amp;ROW()), 'Recent Changes'!A:G, 7, FALSE)</f>
        <v>#N/A</v>
      </c>
      <c r="V32" t="e" cm="1">
        <f t="array" aca="1" ref="V32" ca="1">VLOOKUP(INDIRECT("A"&amp;ROW()), 'Recent Changes'!A:H, 8, FALSE)</f>
        <v>#N/A</v>
      </c>
    </row>
    <row r="33" spans="1:22" x14ac:dyDescent="0.25">
      <c r="A33">
        <v>16920237</v>
      </c>
      <c r="B33" t="s" cm="1">
        <v>430</v>
      </c>
      <c r="C33">
        <v>173</v>
      </c>
      <c r="G33" t="e" cm="1">
        <v>#N/A</v>
      </c>
      <c r="H33" t="s">
        <v>14</v>
      </c>
      <c r="I33" t="s">
        <v>14</v>
      </c>
      <c r="J33" t="s">
        <v>30</v>
      </c>
      <c r="K33" t="s">
        <v>53</v>
      </c>
      <c r="L33" t="s">
        <v>58</v>
      </c>
      <c r="M33" t="s">
        <v>76</v>
      </c>
      <c r="N33" t="s">
        <v>83</v>
      </c>
      <c r="P33" t="str" cm="1">
        <f t="array" aca="1" ref="P33" ca="1">VLOOKUP(INDIRECT("A"&amp;ROW()), 'Recent Changes'!A:G, 2, FALSE)</f>
        <v>NULL</v>
      </c>
      <c r="Q33" t="str" cm="1">
        <f t="array" aca="1" ref="Q33" ca="1">VLOOKUP(INDIRECT("A"&amp;ROW()), 'Recent Changes'!A:G, 3, FALSE)</f>
        <v>NULL</v>
      </c>
      <c r="R33" t="str" cm="1">
        <f t="array" aca="1" ref="R33" ca="1">VLOOKUP(INDIRECT("A"&amp;ROW()), 'Recent Changes'!A:G, 4, FALSE)</f>
        <v>NULL</v>
      </c>
      <c r="S33" t="str" cm="1">
        <f t="array" aca="1" ref="S33" ca="1">VLOOKUP(INDIRECT("A"&amp;ROW()), 'Recent Changes'!A:G, 5, FALSE)</f>
        <v>2023-12-27T19:28:03Z</v>
      </c>
      <c r="T33" t="str" cm="1">
        <f t="array" aca="1" ref="T33" ca="1">VLOOKUP(INDIRECT("A"&amp;ROW()), 'Recent Changes'!A:G, 6, FALSE)</f>
        <v>NULL</v>
      </c>
      <c r="U33" t="str" cm="1">
        <f t="array" aca="1" ref="U33" ca="1">VLOOKUP(INDIRECT("A"&amp;ROW()), 'Recent Changes'!A:G, 7, FALSE)</f>
        <v>2023-08-08T02:22:37Z</v>
      </c>
      <c r="V33" t="str" cm="1">
        <f t="array" aca="1" ref="V33" ca="1">VLOOKUP(INDIRECT("A"&amp;ROW()), 'Recent Changes'!A:H, 8, FALSE)</f>
        <v>2023-12-28T07:36:15Z</v>
      </c>
    </row>
    <row r="34" spans="1:22" x14ac:dyDescent="0.25">
      <c r="A34">
        <v>16930520</v>
      </c>
      <c r="B34" t="s">
        <v>433</v>
      </c>
      <c r="C34">
        <v>171</v>
      </c>
      <c r="G34" t="e" cm="1">
        <v>#N/A</v>
      </c>
      <c r="H34">
        <v>45128</v>
      </c>
      <c r="I34" t="s">
        <v>15</v>
      </c>
      <c r="J34" t="s">
        <v>18</v>
      </c>
      <c r="K34" t="s">
        <v>44</v>
      </c>
      <c r="L34" t="s">
        <v>597</v>
      </c>
      <c r="M34" t="s">
        <v>76</v>
      </c>
      <c r="N34" t="s">
        <v>83</v>
      </c>
      <c r="O34" t="s">
        <v>431</v>
      </c>
      <c r="P34" t="str" cm="1">
        <f t="array" aca="1" ref="P34" ca="1">VLOOKUP(INDIRECT("A"&amp;ROW()), 'Recent Changes'!A:G, 2, FALSE)</f>
        <v>NULL</v>
      </c>
      <c r="Q34" t="str" cm="1">
        <f t="array" aca="1" ref="Q34" ca="1">VLOOKUP(INDIRECT("A"&amp;ROW()), 'Recent Changes'!A:G, 3, FALSE)</f>
        <v>NULL</v>
      </c>
      <c r="R34" t="str" cm="1">
        <f t="array" aca="1" ref="R34" ca="1">VLOOKUP(INDIRECT("A"&amp;ROW()), 'Recent Changes'!A:G, 4, FALSE)</f>
        <v>NULL</v>
      </c>
      <c r="S34" t="str" cm="1">
        <f t="array" aca="1" ref="S34" ca="1">VLOOKUP(INDIRECT("A"&amp;ROW()), 'Recent Changes'!A:G, 5, FALSE)</f>
        <v>2023-12-26T17:47:16Z</v>
      </c>
      <c r="T34" t="str" cm="1">
        <f t="array" aca="1" ref="T34" ca="1">VLOOKUP(INDIRECT("A"&amp;ROW()), 'Recent Changes'!A:G, 6, FALSE)</f>
        <v>NULL</v>
      </c>
      <c r="U34" t="str" cm="1">
        <f t="array" aca="1" ref="U34" ca="1">VLOOKUP(INDIRECT("A"&amp;ROW()), 'Recent Changes'!A:G, 7, FALSE)</f>
        <v>2023-12-11T17:07:55Z</v>
      </c>
      <c r="V34" t="str" cm="1">
        <f t="array" aca="1" ref="V34" ca="1">VLOOKUP(INDIRECT("A"&amp;ROW()), 'Recent Changes'!A:H, 8, FALSE)</f>
        <v>2023-12-14T16:17:42Z</v>
      </c>
    </row>
    <row r="35" spans="1:22" x14ac:dyDescent="0.25">
      <c r="A35">
        <v>16944283</v>
      </c>
      <c r="B35" t="s">
        <v>433</v>
      </c>
      <c r="C35">
        <v>167</v>
      </c>
      <c r="G35" t="s" cm="1">
        <v>442</v>
      </c>
      <c r="H35">
        <v>45166</v>
      </c>
      <c r="I35" t="s">
        <v>15</v>
      </c>
      <c r="J35" t="s">
        <v>24</v>
      </c>
      <c r="K35" t="s">
        <v>44</v>
      </c>
      <c r="L35" t="s">
        <v>392</v>
      </c>
      <c r="M35" t="s">
        <v>76</v>
      </c>
      <c r="N35" t="s">
        <v>2215</v>
      </c>
      <c r="O35" t="s">
        <v>431</v>
      </c>
      <c r="P35" t="e" cm="1">
        <f t="array" aca="1" ref="P35" ca="1">VLOOKUP(INDIRECT("A"&amp;ROW()), 'Recent Changes'!A:G, 2, FALSE)</f>
        <v>#N/A</v>
      </c>
      <c r="Q35" t="e" cm="1">
        <f t="array" aca="1" ref="Q35" ca="1">VLOOKUP(INDIRECT("A"&amp;ROW()), 'Recent Changes'!A:G, 3, FALSE)</f>
        <v>#N/A</v>
      </c>
      <c r="R35" t="e" cm="1">
        <f t="array" aca="1" ref="R35" ca="1">VLOOKUP(INDIRECT("A"&amp;ROW()), 'Recent Changes'!A:G, 4, FALSE)</f>
        <v>#N/A</v>
      </c>
      <c r="S35" t="e" cm="1">
        <f t="array" aca="1" ref="S35" ca="1">VLOOKUP(INDIRECT("A"&amp;ROW()), 'Recent Changes'!A:G, 5, FALSE)</f>
        <v>#N/A</v>
      </c>
      <c r="T35" t="e" cm="1">
        <f t="array" aca="1" ref="T35" ca="1">VLOOKUP(INDIRECT("A"&amp;ROW()), 'Recent Changes'!A:G, 6, FALSE)</f>
        <v>#N/A</v>
      </c>
      <c r="U35" t="e" cm="1">
        <f t="array" aca="1" ref="U35" ca="1">VLOOKUP(INDIRECT("A"&amp;ROW()), 'Recent Changes'!A:G, 7, FALSE)</f>
        <v>#N/A</v>
      </c>
      <c r="V35" t="e" cm="1">
        <f t="array" aca="1" ref="V35" ca="1">VLOOKUP(INDIRECT("A"&amp;ROW()), 'Recent Changes'!A:H, 8, FALSE)</f>
        <v>#N/A</v>
      </c>
    </row>
    <row r="36" spans="1:22" x14ac:dyDescent="0.25">
      <c r="A36">
        <v>16948402</v>
      </c>
      <c r="B36" t="s">
        <v>433</v>
      </c>
      <c r="C36">
        <v>166</v>
      </c>
      <c r="G36" t="s" cm="1">
        <v>442</v>
      </c>
      <c r="H36">
        <v>45146</v>
      </c>
      <c r="I36" t="s">
        <v>15</v>
      </c>
      <c r="J36" t="s">
        <v>32</v>
      </c>
      <c r="K36" t="s">
        <v>44</v>
      </c>
      <c r="L36" t="s">
        <v>395</v>
      </c>
      <c r="M36" t="s">
        <v>76</v>
      </c>
      <c r="N36" t="s">
        <v>2216</v>
      </c>
      <c r="O36" t="s">
        <v>431</v>
      </c>
      <c r="P36" t="e" cm="1">
        <f t="array" aca="1" ref="P36" ca="1">VLOOKUP(INDIRECT("A"&amp;ROW()), 'Recent Changes'!A:G, 2, FALSE)</f>
        <v>#N/A</v>
      </c>
      <c r="Q36" t="e" cm="1">
        <f t="array" aca="1" ref="Q36" ca="1">VLOOKUP(INDIRECT("A"&amp;ROW()), 'Recent Changes'!A:G, 3, FALSE)</f>
        <v>#N/A</v>
      </c>
      <c r="R36" t="e" cm="1">
        <f t="array" aca="1" ref="R36" ca="1">VLOOKUP(INDIRECT("A"&amp;ROW()), 'Recent Changes'!A:G, 4, FALSE)</f>
        <v>#N/A</v>
      </c>
      <c r="S36" t="e" cm="1">
        <f t="array" aca="1" ref="S36" ca="1">VLOOKUP(INDIRECT("A"&amp;ROW()), 'Recent Changes'!A:G, 5, FALSE)</f>
        <v>#N/A</v>
      </c>
      <c r="T36" t="e" cm="1">
        <f t="array" aca="1" ref="T36" ca="1">VLOOKUP(INDIRECT("A"&amp;ROW()), 'Recent Changes'!A:G, 6, FALSE)</f>
        <v>#N/A</v>
      </c>
      <c r="U36" t="e" cm="1">
        <f t="array" aca="1" ref="U36" ca="1">VLOOKUP(INDIRECT("A"&amp;ROW()), 'Recent Changes'!A:G, 7, FALSE)</f>
        <v>#N/A</v>
      </c>
      <c r="V36" t="e" cm="1">
        <f t="array" aca="1" ref="V36" ca="1">VLOOKUP(INDIRECT("A"&amp;ROW()), 'Recent Changes'!A:H, 8, FALSE)</f>
        <v>#N/A</v>
      </c>
    </row>
    <row r="37" spans="1:22" x14ac:dyDescent="0.25">
      <c r="A37">
        <v>16964372</v>
      </c>
      <c r="B37" t="s">
        <v>433</v>
      </c>
      <c r="C37">
        <v>164</v>
      </c>
      <c r="G37" t="s" cm="1">
        <v>442</v>
      </c>
      <c r="H37">
        <v>45236</v>
      </c>
      <c r="I37" t="s">
        <v>15</v>
      </c>
      <c r="J37" t="s">
        <v>30</v>
      </c>
      <c r="K37" t="s">
        <v>44</v>
      </c>
      <c r="L37" t="s">
        <v>2069</v>
      </c>
      <c r="M37" t="s">
        <v>574</v>
      </c>
      <c r="N37" t="s">
        <v>772</v>
      </c>
      <c r="O37" t="s">
        <v>431</v>
      </c>
      <c r="P37" t="e" cm="1">
        <f t="array" aca="1" ref="P37" ca="1">VLOOKUP(INDIRECT("A"&amp;ROW()), 'Recent Changes'!A:G, 2, FALSE)</f>
        <v>#N/A</v>
      </c>
      <c r="Q37" t="e" cm="1">
        <f t="array" aca="1" ref="Q37" ca="1">VLOOKUP(INDIRECT("A"&amp;ROW()), 'Recent Changes'!A:G, 3, FALSE)</f>
        <v>#N/A</v>
      </c>
      <c r="R37" t="e" cm="1">
        <f t="array" aca="1" ref="R37" ca="1">VLOOKUP(INDIRECT("A"&amp;ROW()), 'Recent Changes'!A:G, 4, FALSE)</f>
        <v>#N/A</v>
      </c>
      <c r="S37" t="e" cm="1">
        <f t="array" aca="1" ref="S37" ca="1">VLOOKUP(INDIRECT("A"&amp;ROW()), 'Recent Changes'!A:G, 5, FALSE)</f>
        <v>#N/A</v>
      </c>
      <c r="T37" t="e" cm="1">
        <f t="array" aca="1" ref="T37" ca="1">VLOOKUP(INDIRECT("A"&amp;ROW()), 'Recent Changes'!A:G, 6, FALSE)</f>
        <v>#N/A</v>
      </c>
      <c r="U37" t="e" cm="1">
        <f t="array" aca="1" ref="U37" ca="1">VLOOKUP(INDIRECT("A"&amp;ROW()), 'Recent Changes'!A:G, 7, FALSE)</f>
        <v>#N/A</v>
      </c>
      <c r="V37" t="e" cm="1">
        <f t="array" aca="1" ref="V37" ca="1">VLOOKUP(INDIRECT("A"&amp;ROW()), 'Recent Changes'!A:H, 8, FALSE)</f>
        <v>#N/A</v>
      </c>
    </row>
    <row r="38" spans="1:22" x14ac:dyDescent="0.25">
      <c r="A38">
        <v>16964790</v>
      </c>
      <c r="B38" t="s">
        <v>433</v>
      </c>
      <c r="C38">
        <v>164</v>
      </c>
      <c r="G38" t="s" cm="1">
        <v>442</v>
      </c>
      <c r="H38" t="s">
        <v>14</v>
      </c>
      <c r="I38" t="s">
        <v>380</v>
      </c>
      <c r="J38" t="s">
        <v>384</v>
      </c>
      <c r="K38" t="s">
        <v>43</v>
      </c>
      <c r="L38" t="s">
        <v>2046</v>
      </c>
      <c r="M38" t="s">
        <v>76</v>
      </c>
      <c r="N38" t="s">
        <v>83</v>
      </c>
      <c r="P38" t="str" cm="1">
        <f t="array" aca="1" ref="P38" ca="1">VLOOKUP(INDIRECT("A"&amp;ROW()), 'Recent Changes'!A:G, 2, FALSE)</f>
        <v>NULL</v>
      </c>
      <c r="Q38" t="str" cm="1">
        <f t="array" aca="1" ref="Q38" ca="1">VLOOKUP(INDIRECT("A"&amp;ROW()), 'Recent Changes'!A:G, 3, FALSE)</f>
        <v>NULL</v>
      </c>
      <c r="R38" t="str" cm="1">
        <f t="array" aca="1" ref="R38" ca="1">VLOOKUP(INDIRECT("A"&amp;ROW()), 'Recent Changes'!A:G, 4, FALSE)</f>
        <v>NULL</v>
      </c>
      <c r="S38" t="str" cm="1">
        <f t="array" aca="1" ref="S38" ca="1">VLOOKUP(INDIRECT("A"&amp;ROW()), 'Recent Changes'!A:G, 5, FALSE)</f>
        <v>2023-09-02T22:32:25Z</v>
      </c>
      <c r="T38" t="str" cm="1">
        <f t="array" aca="1" ref="T38" ca="1">VLOOKUP(INDIRECT("A"&amp;ROW()), 'Recent Changes'!A:G, 6, FALSE)</f>
        <v>NULL</v>
      </c>
      <c r="U38" t="str" cm="1">
        <f t="array" aca="1" ref="U38" ca="1">VLOOKUP(INDIRECT("A"&amp;ROW()), 'Recent Changes'!A:G, 7, FALSE)</f>
        <v>NULL</v>
      </c>
      <c r="V38" t="str" cm="1">
        <f t="array" aca="1" ref="V38" ca="1">VLOOKUP(INDIRECT("A"&amp;ROW()), 'Recent Changes'!A:H, 8, FALSE)</f>
        <v>2023-09-03T07:20:49Z</v>
      </c>
    </row>
    <row r="39" spans="1:22" x14ac:dyDescent="0.25">
      <c r="A39">
        <v>16976078</v>
      </c>
      <c r="B39" t="s">
        <v>430</v>
      </c>
      <c r="C39">
        <v>160</v>
      </c>
      <c r="G39" t="e" cm="1">
        <v>#N/A</v>
      </c>
      <c r="H39" t="s">
        <v>14</v>
      </c>
      <c r="I39" t="s">
        <v>380</v>
      </c>
      <c r="J39" t="s">
        <v>42</v>
      </c>
      <c r="K39" t="s">
        <v>43</v>
      </c>
      <c r="L39" t="s">
        <v>66</v>
      </c>
      <c r="M39" t="s">
        <v>76</v>
      </c>
      <c r="N39" t="s">
        <v>83</v>
      </c>
      <c r="P39" t="str" cm="1">
        <f t="array" aca="1" ref="P39" ca="1">VLOOKUP(INDIRECT("A"&amp;ROW()), 'Recent Changes'!A:G, 2, FALSE)</f>
        <v>2024-01-07T13:46:41Z</v>
      </c>
      <c r="Q39" t="str" cm="1">
        <f t="array" aca="1" ref="Q39" ca="1">VLOOKUP(INDIRECT("A"&amp;ROW()), 'Recent Changes'!A:G, 3, FALSE)</f>
        <v>NULL</v>
      </c>
      <c r="R39" t="str" cm="1">
        <f t="array" aca="1" ref="R39" ca="1">VLOOKUP(INDIRECT("A"&amp;ROW()), 'Recent Changes'!A:G, 4, FALSE)</f>
        <v>NULL</v>
      </c>
      <c r="S39" t="str" cm="1">
        <f t="array" aca="1" ref="S39" ca="1">VLOOKUP(INDIRECT("A"&amp;ROW()), 'Recent Changes'!A:G, 5, FALSE)</f>
        <v>2024-01-07T13:48:35Z</v>
      </c>
      <c r="T39" t="str" cm="1">
        <f t="array" aca="1" ref="T39" ca="1">VLOOKUP(INDIRECT("A"&amp;ROW()), 'Recent Changes'!A:G, 6, FALSE)</f>
        <v>NULL</v>
      </c>
      <c r="U39" t="str" cm="1">
        <f t="array" aca="1" ref="U39" ca="1">VLOOKUP(INDIRECT("A"&amp;ROW()), 'Recent Changes'!A:G, 7, FALSE)</f>
        <v>2023-08-31T17:33:56Z</v>
      </c>
      <c r="V39" t="str" cm="1">
        <f t="array" aca="1" ref="V39" ca="1">VLOOKUP(INDIRECT("A"&amp;ROW()), 'Recent Changes'!A:H, 8, FALSE)</f>
        <v>2024-01-07T16:01:12Z</v>
      </c>
    </row>
    <row r="40" spans="1:22" x14ac:dyDescent="0.25">
      <c r="A40">
        <v>16978972</v>
      </c>
      <c r="B40" t="s">
        <v>433</v>
      </c>
      <c r="C40">
        <v>160</v>
      </c>
      <c r="G40" t="s" cm="1">
        <v>442</v>
      </c>
      <c r="H40" t="s">
        <v>14</v>
      </c>
      <c r="I40" t="s">
        <v>380</v>
      </c>
      <c r="J40" t="s">
        <v>383</v>
      </c>
      <c r="K40" t="s">
        <v>53</v>
      </c>
      <c r="L40" t="s">
        <v>2070</v>
      </c>
      <c r="M40" t="s">
        <v>508</v>
      </c>
      <c r="N40" t="s">
        <v>83</v>
      </c>
      <c r="P40" t="str" cm="1">
        <f t="array" aca="1" ref="P40" ca="1">VLOOKUP(INDIRECT("A"&amp;ROW()), 'Recent Changes'!A:G, 2, FALSE)</f>
        <v>NULL</v>
      </c>
      <c r="Q40" t="str" cm="1">
        <f t="array" aca="1" ref="Q40" ca="1">VLOOKUP(INDIRECT("A"&amp;ROW()), 'Recent Changes'!A:G, 3, FALSE)</f>
        <v>NULL</v>
      </c>
      <c r="R40" t="str" cm="1">
        <f t="array" aca="1" ref="R40" ca="1">VLOOKUP(INDIRECT("A"&amp;ROW()), 'Recent Changes'!A:G, 4, FALSE)</f>
        <v>NULL</v>
      </c>
      <c r="S40" t="str" cm="1">
        <f t="array" aca="1" ref="S40" ca="1">VLOOKUP(INDIRECT("A"&amp;ROW()), 'Recent Changes'!A:G, 5, FALSE)</f>
        <v>2023-09-28T21:31:38Z</v>
      </c>
      <c r="T40" t="str" cm="1">
        <f t="array" aca="1" ref="T40" ca="1">VLOOKUP(INDIRECT("A"&amp;ROW()), 'Recent Changes'!A:G, 6, FALSE)</f>
        <v>NULL</v>
      </c>
      <c r="U40" t="str" cm="1">
        <f t="array" aca="1" ref="U40" ca="1">VLOOKUP(INDIRECT("A"&amp;ROW()), 'Recent Changes'!A:G, 7, FALSE)</f>
        <v>NULL</v>
      </c>
      <c r="V40" t="str" cm="1">
        <f t="array" aca="1" ref="V40" ca="1">VLOOKUP(INDIRECT("A"&amp;ROW()), 'Recent Changes'!A:H, 8, FALSE)</f>
        <v>2023-09-29T07:08:41Z</v>
      </c>
    </row>
    <row r="41" spans="1:22" x14ac:dyDescent="0.25">
      <c r="A41">
        <v>16681817</v>
      </c>
      <c r="B41" t="s">
        <v>433</v>
      </c>
      <c r="C41">
        <v>159</v>
      </c>
      <c r="G41" t="s" cm="1">
        <v>442</v>
      </c>
      <c r="H41" t="s">
        <v>14</v>
      </c>
      <c r="I41" t="s">
        <v>14</v>
      </c>
      <c r="J41" t="s">
        <v>384</v>
      </c>
      <c r="K41" t="s">
        <v>43</v>
      </c>
      <c r="L41" t="s">
        <v>1325</v>
      </c>
      <c r="M41" t="s">
        <v>76</v>
      </c>
      <c r="N41" t="s">
        <v>83</v>
      </c>
      <c r="P41" t="str" cm="1">
        <f t="array" aca="1" ref="P41" ca="1">VLOOKUP(INDIRECT("A"&amp;ROW()), 'Recent Changes'!A:G, 2, FALSE)</f>
        <v>NULL</v>
      </c>
      <c r="Q41" t="str" cm="1">
        <f t="array" aca="1" ref="Q41" ca="1">VLOOKUP(INDIRECT("A"&amp;ROW()), 'Recent Changes'!A:G, 3, FALSE)</f>
        <v>NULL</v>
      </c>
      <c r="R41" t="str" cm="1">
        <f t="array" aca="1" ref="R41" ca="1">VLOOKUP(INDIRECT("A"&amp;ROW()), 'Recent Changes'!A:G, 4, FALSE)</f>
        <v>NULL</v>
      </c>
      <c r="S41" t="str" cm="1">
        <f t="array" aca="1" ref="S41" ca="1">VLOOKUP(INDIRECT("A"&amp;ROW()), 'Recent Changes'!A:G, 5, FALSE)</f>
        <v>2023-08-02T12:32:39Z</v>
      </c>
      <c r="T41" t="str" cm="1">
        <f t="array" aca="1" ref="T41" ca="1">VLOOKUP(INDIRECT("A"&amp;ROW()), 'Recent Changes'!A:G, 6, FALSE)</f>
        <v>NULL</v>
      </c>
      <c r="U41" t="str" cm="1">
        <f t="array" aca="1" ref="U41" ca="1">VLOOKUP(INDIRECT("A"&amp;ROW()), 'Recent Changes'!A:G, 7, FALSE)</f>
        <v>NULL</v>
      </c>
      <c r="V41" t="str" cm="1">
        <f t="array" aca="1" ref="V41" ca="1">VLOOKUP(INDIRECT("A"&amp;ROW()), 'Recent Changes'!A:H, 8, FALSE)</f>
        <v>2023-08-02T16:36:30Z</v>
      </c>
    </row>
    <row r="42" spans="1:22" x14ac:dyDescent="0.25">
      <c r="A42">
        <v>16985576</v>
      </c>
      <c r="B42" t="s" cm="1">
        <v>430</v>
      </c>
      <c r="C42">
        <v>158</v>
      </c>
      <c r="G42" t="e" cm="1">
        <v>#N/A</v>
      </c>
      <c r="H42" t="s">
        <v>14</v>
      </c>
      <c r="I42" t="s">
        <v>14</v>
      </c>
      <c r="J42" t="s">
        <v>30</v>
      </c>
      <c r="K42" t="s">
        <v>1684</v>
      </c>
      <c r="L42" t="s">
        <v>1433</v>
      </c>
      <c r="M42" t="s">
        <v>76</v>
      </c>
      <c r="N42" t="s">
        <v>83</v>
      </c>
      <c r="P42" t="str" cm="1">
        <f t="array" aca="1" ref="P42" ca="1">VLOOKUP(INDIRECT("A"&amp;ROW()), 'Recent Changes'!A:G, 2, FALSE)</f>
        <v>2023-12-29T17:12:58Z</v>
      </c>
      <c r="Q42" t="str" cm="1">
        <f t="array" aca="1" ref="Q42" ca="1">VLOOKUP(INDIRECT("A"&amp;ROW()), 'Recent Changes'!A:G, 3, FALSE)</f>
        <v>NULL</v>
      </c>
      <c r="R42" t="str" cm="1">
        <f t="array" aca="1" ref="R42" ca="1">VLOOKUP(INDIRECT("A"&amp;ROW()), 'Recent Changes'!A:G, 4, FALSE)</f>
        <v>NULL</v>
      </c>
      <c r="S42" t="str" cm="1">
        <f t="array" aca="1" ref="S42" ca="1">VLOOKUP(INDIRECT("A"&amp;ROW()), 'Recent Changes'!A:G, 5, FALSE)</f>
        <v>2023-12-29T17:12:39Z</v>
      </c>
      <c r="T42" t="str" cm="1">
        <f t="array" aca="1" ref="T42" ca="1">VLOOKUP(INDIRECT("A"&amp;ROW()), 'Recent Changes'!A:G, 6, FALSE)</f>
        <v>NULL</v>
      </c>
      <c r="U42" t="str" cm="1">
        <f t="array" aca="1" ref="U42" ca="1">VLOOKUP(INDIRECT("A"&amp;ROW()), 'Recent Changes'!A:G, 7, FALSE)</f>
        <v>2023-09-07T02:31:26Z</v>
      </c>
      <c r="V42" t="str" cm="1">
        <f t="array" aca="1" ref="V42" ca="1">VLOOKUP(INDIRECT("A"&amp;ROW()), 'Recent Changes'!A:H, 8, FALSE)</f>
        <v>2023-12-30T07:37:12Z</v>
      </c>
    </row>
    <row r="43" spans="1:22" x14ac:dyDescent="0.25">
      <c r="A43">
        <v>16986454</v>
      </c>
      <c r="B43" t="s" cm="1">
        <v>430</v>
      </c>
      <c r="C43">
        <v>158</v>
      </c>
      <c r="G43" t="e" cm="1">
        <v>#N/A</v>
      </c>
      <c r="H43" t="s">
        <v>14</v>
      </c>
      <c r="I43" t="s">
        <v>14</v>
      </c>
      <c r="J43" t="s">
        <v>22</v>
      </c>
      <c r="K43" t="s">
        <v>48</v>
      </c>
      <c r="L43" t="s">
        <v>63</v>
      </c>
      <c r="M43" t="s">
        <v>76</v>
      </c>
      <c r="N43" t="s">
        <v>83</v>
      </c>
      <c r="P43" t="str" cm="1">
        <f t="array" aca="1" ref="P43" ca="1">VLOOKUP(INDIRECT("A"&amp;ROW()), 'Recent Changes'!A:G, 2, FALSE)</f>
        <v>2024-01-03T00:50:37Z</v>
      </c>
      <c r="Q43" t="str" cm="1">
        <f t="array" aca="1" ref="Q43" ca="1">VLOOKUP(INDIRECT("A"&amp;ROW()), 'Recent Changes'!A:G, 3, FALSE)</f>
        <v>NULL</v>
      </c>
      <c r="R43" t="str" cm="1">
        <f t="array" aca="1" ref="R43" ca="1">VLOOKUP(INDIRECT("A"&amp;ROW()), 'Recent Changes'!A:G, 4, FALSE)</f>
        <v>NULL</v>
      </c>
      <c r="S43" t="str" cm="1">
        <f t="array" aca="1" ref="S43" ca="1">VLOOKUP(INDIRECT("A"&amp;ROW()), 'Recent Changes'!A:G, 5, FALSE)</f>
        <v>NULL</v>
      </c>
      <c r="T43" t="str" cm="1">
        <f t="array" aca="1" ref="T43" ca="1">VLOOKUP(INDIRECT("A"&amp;ROW()), 'Recent Changes'!A:G, 6, FALSE)</f>
        <v>NULL</v>
      </c>
      <c r="U43" t="str" cm="1">
        <f t="array" aca="1" ref="U43" ca="1">VLOOKUP(INDIRECT("A"&amp;ROW()), 'Recent Changes'!A:G, 7, FALSE)</f>
        <v>NULL</v>
      </c>
      <c r="V43" t="str" cm="1">
        <f t="array" aca="1" ref="V43" ca="1">VLOOKUP(INDIRECT("A"&amp;ROW()), 'Recent Changes'!A:H, 8, FALSE)</f>
        <v>2024-01-03T07:01:20Z</v>
      </c>
    </row>
    <row r="44" spans="1:22" x14ac:dyDescent="0.25">
      <c r="A44">
        <v>16988207</v>
      </c>
      <c r="B44" t="s" cm="1">
        <v>430</v>
      </c>
      <c r="C44">
        <v>158</v>
      </c>
      <c r="G44" t="e" cm="1">
        <v>#N/A</v>
      </c>
      <c r="H44" t="s">
        <v>14</v>
      </c>
      <c r="I44" t="s">
        <v>14</v>
      </c>
      <c r="J44" t="s">
        <v>30</v>
      </c>
      <c r="K44" t="s">
        <v>48</v>
      </c>
      <c r="L44" t="s">
        <v>67</v>
      </c>
      <c r="M44" t="s">
        <v>76</v>
      </c>
      <c r="N44" t="s">
        <v>83</v>
      </c>
      <c r="P44" t="str" cm="1">
        <f t="array" aca="1" ref="P44" ca="1">VLOOKUP(INDIRECT("A"&amp;ROW()), 'Recent Changes'!A:G, 2, FALSE)</f>
        <v>NULL</v>
      </c>
      <c r="Q44" t="str" cm="1">
        <f t="array" aca="1" ref="Q44" ca="1">VLOOKUP(INDIRECT("A"&amp;ROW()), 'Recent Changes'!A:G, 3, FALSE)</f>
        <v>NULL</v>
      </c>
      <c r="R44" t="str" cm="1">
        <f t="array" aca="1" ref="R44" ca="1">VLOOKUP(INDIRECT("A"&amp;ROW()), 'Recent Changes'!A:G, 4, FALSE)</f>
        <v>NULL</v>
      </c>
      <c r="S44" t="str" cm="1">
        <f t="array" aca="1" ref="S44" ca="1">VLOOKUP(INDIRECT("A"&amp;ROW()), 'Recent Changes'!A:G, 5, FALSE)</f>
        <v>2023-12-16T01:17:38Z</v>
      </c>
      <c r="T44" t="str" cm="1">
        <f t="array" aca="1" ref="T44" ca="1">VLOOKUP(INDIRECT("A"&amp;ROW()), 'Recent Changes'!A:G, 6, FALSE)</f>
        <v>NULL</v>
      </c>
      <c r="U44" t="str" cm="1">
        <f t="array" aca="1" ref="U44" ca="1">VLOOKUP(INDIRECT("A"&amp;ROW()), 'Recent Changes'!A:G, 7, FALSE)</f>
        <v>NULL</v>
      </c>
      <c r="V44" t="str" cm="1">
        <f t="array" aca="1" ref="V44" ca="1">VLOOKUP(INDIRECT("A"&amp;ROW()), 'Recent Changes'!A:H, 8, FALSE)</f>
        <v>2023-12-16T07:24:02Z</v>
      </c>
    </row>
    <row r="45" spans="1:22" x14ac:dyDescent="0.25">
      <c r="A45">
        <v>16991307</v>
      </c>
      <c r="B45" t="s">
        <v>433</v>
      </c>
      <c r="C45">
        <v>157</v>
      </c>
      <c r="G45" t="s" cm="1">
        <v>442</v>
      </c>
      <c r="H45">
        <v>45161</v>
      </c>
      <c r="I45" t="s">
        <v>15</v>
      </c>
      <c r="J45" t="s">
        <v>30</v>
      </c>
      <c r="K45" t="s">
        <v>44</v>
      </c>
      <c r="L45" t="s">
        <v>60</v>
      </c>
      <c r="M45" t="s">
        <v>76</v>
      </c>
      <c r="N45" t="s">
        <v>2217</v>
      </c>
      <c r="O45" t="s">
        <v>431</v>
      </c>
      <c r="P45" t="e" cm="1">
        <f t="array" aca="1" ref="P45" ca="1">VLOOKUP(INDIRECT("A"&amp;ROW()), 'Recent Changes'!A:G, 2, FALSE)</f>
        <v>#N/A</v>
      </c>
      <c r="Q45" t="e" cm="1">
        <f t="array" aca="1" ref="Q45" ca="1">VLOOKUP(INDIRECT("A"&amp;ROW()), 'Recent Changes'!A:G, 3, FALSE)</f>
        <v>#N/A</v>
      </c>
      <c r="R45" t="e" cm="1">
        <f t="array" aca="1" ref="R45" ca="1">VLOOKUP(INDIRECT("A"&amp;ROW()), 'Recent Changes'!A:G, 4, FALSE)</f>
        <v>#N/A</v>
      </c>
      <c r="S45" t="e" cm="1">
        <f t="array" aca="1" ref="S45" ca="1">VLOOKUP(INDIRECT("A"&amp;ROW()), 'Recent Changes'!A:G, 5, FALSE)</f>
        <v>#N/A</v>
      </c>
      <c r="T45" t="e" cm="1">
        <f t="array" aca="1" ref="T45" ca="1">VLOOKUP(INDIRECT("A"&amp;ROW()), 'Recent Changes'!A:G, 6, FALSE)</f>
        <v>#N/A</v>
      </c>
      <c r="U45" t="e" cm="1">
        <f t="array" aca="1" ref="U45" ca="1">VLOOKUP(INDIRECT("A"&amp;ROW()), 'Recent Changes'!A:G, 7, FALSE)</f>
        <v>#N/A</v>
      </c>
      <c r="V45" t="e" cm="1">
        <f t="array" aca="1" ref="V45" ca="1">VLOOKUP(INDIRECT("A"&amp;ROW()), 'Recent Changes'!A:H, 8, FALSE)</f>
        <v>#N/A</v>
      </c>
    </row>
    <row r="46" spans="1:22" x14ac:dyDescent="0.25">
      <c r="A46">
        <v>17016721</v>
      </c>
      <c r="B46" t="s">
        <v>433</v>
      </c>
      <c r="C46">
        <v>151</v>
      </c>
      <c r="G46" t="s" cm="1">
        <v>442</v>
      </c>
      <c r="H46">
        <v>45236</v>
      </c>
      <c r="I46" t="s">
        <v>15</v>
      </c>
      <c r="J46" t="s">
        <v>24</v>
      </c>
      <c r="K46" t="s">
        <v>43</v>
      </c>
      <c r="L46" t="s">
        <v>86</v>
      </c>
      <c r="M46" t="s">
        <v>76</v>
      </c>
      <c r="N46" t="s">
        <v>772</v>
      </c>
      <c r="O46" t="s">
        <v>431</v>
      </c>
      <c r="P46" t="e" cm="1">
        <f t="array" aca="1" ref="P46" ca="1">VLOOKUP(INDIRECT("A"&amp;ROW()), 'Recent Changes'!A:G, 2, FALSE)</f>
        <v>#N/A</v>
      </c>
      <c r="Q46" t="e" cm="1">
        <f t="array" aca="1" ref="Q46" ca="1">VLOOKUP(INDIRECT("A"&amp;ROW()), 'Recent Changes'!A:G, 3, FALSE)</f>
        <v>#N/A</v>
      </c>
      <c r="R46" t="e" cm="1">
        <f t="array" aca="1" ref="R46" ca="1">VLOOKUP(INDIRECT("A"&amp;ROW()), 'Recent Changes'!A:G, 4, FALSE)</f>
        <v>#N/A</v>
      </c>
      <c r="S46" t="e" cm="1">
        <f t="array" aca="1" ref="S46" ca="1">VLOOKUP(INDIRECT("A"&amp;ROW()), 'Recent Changes'!A:G, 5, FALSE)</f>
        <v>#N/A</v>
      </c>
      <c r="T46" t="e" cm="1">
        <f t="array" aca="1" ref="T46" ca="1">VLOOKUP(INDIRECT("A"&amp;ROW()), 'Recent Changes'!A:G, 6, FALSE)</f>
        <v>#N/A</v>
      </c>
      <c r="U46" t="e" cm="1">
        <f t="array" aca="1" ref="U46" ca="1">VLOOKUP(INDIRECT("A"&amp;ROW()), 'Recent Changes'!A:G, 7, FALSE)</f>
        <v>#N/A</v>
      </c>
      <c r="V46" t="e" cm="1">
        <f t="array" aca="1" ref="V46" ca="1">VLOOKUP(INDIRECT("A"&amp;ROW()), 'Recent Changes'!A:H, 8, FALSE)</f>
        <v>#N/A</v>
      </c>
    </row>
    <row r="47" spans="1:22" x14ac:dyDescent="0.25">
      <c r="A47">
        <v>17026534</v>
      </c>
      <c r="B47" t="s">
        <v>433</v>
      </c>
      <c r="C47">
        <v>149</v>
      </c>
      <c r="G47" t="s" cm="1">
        <v>442</v>
      </c>
      <c r="H47">
        <v>45169</v>
      </c>
      <c r="I47" t="s">
        <v>378</v>
      </c>
      <c r="J47" t="s">
        <v>24</v>
      </c>
      <c r="K47" t="s">
        <v>44</v>
      </c>
      <c r="L47" t="s">
        <v>1697</v>
      </c>
      <c r="M47" t="s">
        <v>76</v>
      </c>
      <c r="N47" t="s">
        <v>2218</v>
      </c>
      <c r="O47" t="s">
        <v>431</v>
      </c>
      <c r="P47" t="e" cm="1">
        <f t="array" aca="1" ref="P47" ca="1">VLOOKUP(INDIRECT("A"&amp;ROW()), 'Recent Changes'!A:G, 2, FALSE)</f>
        <v>#N/A</v>
      </c>
      <c r="Q47" t="e" cm="1">
        <f t="array" aca="1" ref="Q47" ca="1">VLOOKUP(INDIRECT("A"&amp;ROW()), 'Recent Changes'!A:G, 3, FALSE)</f>
        <v>#N/A</v>
      </c>
      <c r="R47" t="e" cm="1">
        <f t="array" aca="1" ref="R47" ca="1">VLOOKUP(INDIRECT("A"&amp;ROW()), 'Recent Changes'!A:G, 4, FALSE)</f>
        <v>#N/A</v>
      </c>
      <c r="S47" t="e" cm="1">
        <f t="array" aca="1" ref="S47" ca="1">VLOOKUP(INDIRECT("A"&amp;ROW()), 'Recent Changes'!A:G, 5, FALSE)</f>
        <v>#N/A</v>
      </c>
      <c r="T47" t="e" cm="1">
        <f t="array" aca="1" ref="T47" ca="1">VLOOKUP(INDIRECT("A"&amp;ROW()), 'Recent Changes'!A:G, 6, FALSE)</f>
        <v>#N/A</v>
      </c>
      <c r="U47" t="e" cm="1">
        <f t="array" aca="1" ref="U47" ca="1">VLOOKUP(INDIRECT("A"&amp;ROW()), 'Recent Changes'!A:G, 7, FALSE)</f>
        <v>#N/A</v>
      </c>
      <c r="V47" t="e" cm="1">
        <f t="array" aca="1" ref="V47" ca="1">VLOOKUP(INDIRECT("A"&amp;ROW()), 'Recent Changes'!A:H, 8, FALSE)</f>
        <v>#N/A</v>
      </c>
    </row>
    <row r="48" spans="1:22" x14ac:dyDescent="0.25">
      <c r="A48">
        <v>17032827</v>
      </c>
      <c r="B48" t="s">
        <v>433</v>
      </c>
      <c r="C48">
        <v>146</v>
      </c>
      <c r="G48" t="s" cm="1">
        <v>442</v>
      </c>
      <c r="H48" t="s">
        <v>14</v>
      </c>
      <c r="I48" t="s">
        <v>380</v>
      </c>
      <c r="J48" t="s">
        <v>29</v>
      </c>
      <c r="K48" t="s">
        <v>52</v>
      </c>
      <c r="L48" t="s">
        <v>57</v>
      </c>
      <c r="M48" t="s">
        <v>76</v>
      </c>
      <c r="N48" t="s">
        <v>83</v>
      </c>
      <c r="P48" t="str" cm="1">
        <f t="array" aca="1" ref="P48" ca="1">VLOOKUP(INDIRECT("A"&amp;ROW()), 'Recent Changes'!A:G, 2, FALSE)</f>
        <v>NULL</v>
      </c>
      <c r="Q48" t="str" cm="1">
        <f t="array" aca="1" ref="Q48" ca="1">VLOOKUP(INDIRECT("A"&amp;ROW()), 'Recent Changes'!A:G, 3, FALSE)</f>
        <v>2023-11-02T21:46:04Z</v>
      </c>
      <c r="R48" t="str" cm="1">
        <f t="array" aca="1" ref="R48" ca="1">VLOOKUP(INDIRECT("A"&amp;ROW()), 'Recent Changes'!A:G, 4, FALSE)</f>
        <v>2023-11-02T21:46:03Z</v>
      </c>
      <c r="S48" t="str" cm="1">
        <f t="array" aca="1" ref="S48" ca="1">VLOOKUP(INDIRECT("A"&amp;ROW()), 'Recent Changes'!A:G, 5, FALSE)</f>
        <v>2023-11-02T21:46:04Z</v>
      </c>
      <c r="T48" t="str" cm="1">
        <f t="array" aca="1" ref="T48" ca="1">VLOOKUP(INDIRECT("A"&amp;ROW()), 'Recent Changes'!A:G, 6, FALSE)</f>
        <v>2023-11-02T21:46:04Z</v>
      </c>
      <c r="U48" t="str" cm="1">
        <f t="array" aca="1" ref="U48" ca="1">VLOOKUP(INDIRECT("A"&amp;ROW()), 'Recent Changes'!A:G, 7, FALSE)</f>
        <v>2023-11-14T22:09:32Z</v>
      </c>
      <c r="V48" t="str" cm="1">
        <f t="array" aca="1" ref="V48" ca="1">VLOOKUP(INDIRECT("A"&amp;ROW()), 'Recent Changes'!A:H, 8, FALSE)</f>
        <v>2023-11-03T07:26:15Z</v>
      </c>
    </row>
    <row r="49" spans="1:22" x14ac:dyDescent="0.25">
      <c r="A49">
        <v>16384634</v>
      </c>
      <c r="B49" t="s" cm="1">
        <v>433</v>
      </c>
      <c r="C49">
        <v>144</v>
      </c>
      <c r="G49" t="e" cm="1">
        <v>#N/A</v>
      </c>
      <c r="H49" t="s">
        <v>14</v>
      </c>
      <c r="I49" t="s">
        <v>14</v>
      </c>
      <c r="J49" t="s">
        <v>26</v>
      </c>
      <c r="K49" t="s">
        <v>49</v>
      </c>
      <c r="L49" t="s">
        <v>1315</v>
      </c>
      <c r="M49" t="s">
        <v>76</v>
      </c>
      <c r="N49" t="s">
        <v>2219</v>
      </c>
      <c r="P49" t="e" cm="1">
        <f t="array" aca="1" ref="P49" ca="1">VLOOKUP(INDIRECT("A"&amp;ROW()), 'Recent Changes'!A:G, 2, FALSE)</f>
        <v>#N/A</v>
      </c>
      <c r="Q49" t="e" cm="1">
        <f t="array" aca="1" ref="Q49" ca="1">VLOOKUP(INDIRECT("A"&amp;ROW()), 'Recent Changes'!A:G, 3, FALSE)</f>
        <v>#N/A</v>
      </c>
      <c r="R49" t="e" cm="1">
        <f t="array" aca="1" ref="R49" ca="1">VLOOKUP(INDIRECT("A"&amp;ROW()), 'Recent Changes'!A:G, 4, FALSE)</f>
        <v>#N/A</v>
      </c>
      <c r="S49" t="e" cm="1">
        <f t="array" aca="1" ref="S49" ca="1">VLOOKUP(INDIRECT("A"&amp;ROW()), 'Recent Changes'!A:G, 5, FALSE)</f>
        <v>#N/A</v>
      </c>
      <c r="T49" t="e" cm="1">
        <f t="array" aca="1" ref="T49" ca="1">VLOOKUP(INDIRECT("A"&amp;ROW()), 'Recent Changes'!A:G, 6, FALSE)</f>
        <v>#N/A</v>
      </c>
      <c r="U49" t="e" cm="1">
        <f t="array" aca="1" ref="U49" ca="1">VLOOKUP(INDIRECT("A"&amp;ROW()), 'Recent Changes'!A:G, 7, FALSE)</f>
        <v>#N/A</v>
      </c>
      <c r="V49" t="e" cm="1">
        <f t="array" aca="1" ref="V49" ca="1">VLOOKUP(INDIRECT("A"&amp;ROW()), 'Recent Changes'!A:H, 8, FALSE)</f>
        <v>#N/A</v>
      </c>
    </row>
    <row r="50" spans="1:22" x14ac:dyDescent="0.25">
      <c r="A50">
        <v>17050202</v>
      </c>
      <c r="B50" t="s">
        <v>433</v>
      </c>
      <c r="C50">
        <v>143</v>
      </c>
      <c r="G50" t="s" cm="1">
        <v>442</v>
      </c>
      <c r="H50">
        <v>45182</v>
      </c>
      <c r="I50" t="s">
        <v>15</v>
      </c>
      <c r="J50" t="s">
        <v>30</v>
      </c>
      <c r="K50" t="s">
        <v>44</v>
      </c>
      <c r="L50" t="s">
        <v>2071</v>
      </c>
      <c r="M50" t="s">
        <v>76</v>
      </c>
      <c r="N50" t="s">
        <v>83</v>
      </c>
      <c r="O50" t="s">
        <v>431</v>
      </c>
      <c r="P50" t="str" cm="1">
        <f t="array" aca="1" ref="P50" ca="1">VLOOKUP(INDIRECT("A"&amp;ROW()), 'Recent Changes'!A:G, 2, FALSE)</f>
        <v>NULL</v>
      </c>
      <c r="Q50" t="str" cm="1">
        <f t="array" aca="1" ref="Q50" ca="1">VLOOKUP(INDIRECT("A"&amp;ROW()), 'Recent Changes'!A:G, 3, FALSE)</f>
        <v>NULL</v>
      </c>
      <c r="R50" t="str" cm="1">
        <f t="array" aca="1" ref="R50" ca="1">VLOOKUP(INDIRECT("A"&amp;ROW()), 'Recent Changes'!A:G, 4, FALSE)</f>
        <v>NULL</v>
      </c>
      <c r="S50" t="str" cm="1">
        <f t="array" aca="1" ref="S50" ca="1">VLOOKUP(INDIRECT("A"&amp;ROW()), 'Recent Changes'!A:G, 5, FALSE)</f>
        <v>NULL</v>
      </c>
      <c r="T50" t="str" cm="1">
        <f t="array" aca="1" ref="T50" ca="1">VLOOKUP(INDIRECT("A"&amp;ROW()), 'Recent Changes'!A:G, 6, FALSE)</f>
        <v>NULL</v>
      </c>
      <c r="U50" t="str" cm="1">
        <f t="array" aca="1" ref="U50" ca="1">VLOOKUP(INDIRECT("A"&amp;ROW()), 'Recent Changes'!A:G, 7, FALSE)</f>
        <v>NULL</v>
      </c>
      <c r="V50" t="str" cm="1">
        <f t="array" aca="1" ref="V50" ca="1">VLOOKUP(INDIRECT("A"&amp;ROW()), 'Recent Changes'!A:H, 8, FALSE)</f>
        <v>2023-09-19T21:44:18Z</v>
      </c>
    </row>
    <row r="51" spans="1:22" x14ac:dyDescent="0.25">
      <c r="A51">
        <v>17055650</v>
      </c>
      <c r="B51" t="s">
        <v>433</v>
      </c>
      <c r="C51">
        <v>143</v>
      </c>
      <c r="G51" t="s" cm="1">
        <v>442</v>
      </c>
      <c r="H51" t="s">
        <v>14</v>
      </c>
      <c r="I51" t="s">
        <v>14</v>
      </c>
      <c r="J51" t="s">
        <v>29</v>
      </c>
      <c r="K51" t="s">
        <v>43</v>
      </c>
      <c r="L51" t="s">
        <v>2072</v>
      </c>
      <c r="M51" t="s">
        <v>78</v>
      </c>
      <c r="N51" t="s">
        <v>83</v>
      </c>
      <c r="P51" t="str" cm="1">
        <f t="array" aca="1" ref="P51" ca="1">VLOOKUP(INDIRECT("A"&amp;ROW()), 'Recent Changes'!A:G, 2, FALSE)</f>
        <v>NULL</v>
      </c>
      <c r="Q51" t="str" cm="1">
        <f t="array" aca="1" ref="Q51" ca="1">VLOOKUP(INDIRECT("A"&amp;ROW()), 'Recent Changes'!A:G, 3, FALSE)</f>
        <v>NULL</v>
      </c>
      <c r="R51" t="str" cm="1">
        <f t="array" aca="1" ref="R51" ca="1">VLOOKUP(INDIRECT("A"&amp;ROW()), 'Recent Changes'!A:G, 4, FALSE)</f>
        <v>NULL</v>
      </c>
      <c r="S51" t="str" cm="1">
        <f t="array" aca="1" ref="S51" ca="1">VLOOKUP(INDIRECT("A"&amp;ROW()), 'Recent Changes'!A:G, 5, FALSE)</f>
        <v>2023-12-08T02:06:21Z</v>
      </c>
      <c r="T51" t="str" cm="1">
        <f t="array" aca="1" ref="T51" ca="1">VLOOKUP(INDIRECT("A"&amp;ROW()), 'Recent Changes'!A:G, 6, FALSE)</f>
        <v>NULL</v>
      </c>
      <c r="U51" t="str" cm="1">
        <f t="array" aca="1" ref="U51" ca="1">VLOOKUP(INDIRECT("A"&amp;ROW()), 'Recent Changes'!A:G, 7, FALSE)</f>
        <v>2023-09-28T17:11:55Z</v>
      </c>
      <c r="V51" t="str" cm="1">
        <f t="array" aca="1" ref="V51" ca="1">VLOOKUP(INDIRECT("A"&amp;ROW()), 'Recent Changes'!A:H, 8, FALSE)</f>
        <v>2023-12-08T07:30:46Z</v>
      </c>
    </row>
    <row r="52" spans="1:22" x14ac:dyDescent="0.25">
      <c r="A52">
        <v>17056716</v>
      </c>
      <c r="B52" t="s" cm="1">
        <v>430</v>
      </c>
      <c r="C52">
        <v>142</v>
      </c>
      <c r="G52" t="e" cm="1">
        <v>#N/A</v>
      </c>
      <c r="H52" t="s">
        <v>14</v>
      </c>
      <c r="I52" t="s">
        <v>14</v>
      </c>
      <c r="J52" t="s">
        <v>30</v>
      </c>
      <c r="K52" t="s">
        <v>44</v>
      </c>
      <c r="L52" t="s">
        <v>1687</v>
      </c>
      <c r="M52" t="s">
        <v>76</v>
      </c>
      <c r="N52" t="s">
        <v>2220</v>
      </c>
      <c r="P52" t="e" cm="1">
        <f t="array" aca="1" ref="P52" ca="1">VLOOKUP(INDIRECT("A"&amp;ROW()), 'Recent Changes'!A:G, 2, FALSE)</f>
        <v>#N/A</v>
      </c>
      <c r="Q52" t="e" cm="1">
        <f t="array" aca="1" ref="Q52" ca="1">VLOOKUP(INDIRECT("A"&amp;ROW()), 'Recent Changes'!A:G, 3, FALSE)</f>
        <v>#N/A</v>
      </c>
      <c r="R52" t="e" cm="1">
        <f t="array" aca="1" ref="R52" ca="1">VLOOKUP(INDIRECT("A"&amp;ROW()), 'Recent Changes'!A:G, 4, FALSE)</f>
        <v>#N/A</v>
      </c>
      <c r="S52" t="e" cm="1">
        <f t="array" aca="1" ref="S52" ca="1">VLOOKUP(INDIRECT("A"&amp;ROW()), 'Recent Changes'!A:G, 5, FALSE)</f>
        <v>#N/A</v>
      </c>
      <c r="T52" t="e" cm="1">
        <f t="array" aca="1" ref="T52" ca="1">VLOOKUP(INDIRECT("A"&amp;ROW()), 'Recent Changes'!A:G, 6, FALSE)</f>
        <v>#N/A</v>
      </c>
      <c r="U52" t="e" cm="1">
        <f t="array" aca="1" ref="U52" ca="1">VLOOKUP(INDIRECT("A"&amp;ROW()), 'Recent Changes'!A:G, 7, FALSE)</f>
        <v>#N/A</v>
      </c>
      <c r="V52" t="e" cm="1">
        <f t="array" aca="1" ref="V52" ca="1">VLOOKUP(INDIRECT("A"&amp;ROW()), 'Recent Changes'!A:H, 8, FALSE)</f>
        <v>#N/A</v>
      </c>
    </row>
    <row r="53" spans="1:22" x14ac:dyDescent="0.25">
      <c r="A53">
        <v>10853971</v>
      </c>
      <c r="B53" t="s">
        <v>433</v>
      </c>
      <c r="C53">
        <v>140</v>
      </c>
      <c r="G53" t="e" cm="1">
        <v>#N/A</v>
      </c>
      <c r="H53" t="s">
        <v>14</v>
      </c>
      <c r="I53" t="s">
        <v>380</v>
      </c>
      <c r="J53" t="s">
        <v>29</v>
      </c>
      <c r="K53" t="s">
        <v>50</v>
      </c>
      <c r="L53" t="s">
        <v>59</v>
      </c>
      <c r="M53" t="s">
        <v>76</v>
      </c>
      <c r="N53" t="s">
        <v>2221</v>
      </c>
      <c r="P53" t="e" cm="1">
        <f t="array" aca="1" ref="P53" ca="1">VLOOKUP(INDIRECT("A"&amp;ROW()), 'Recent Changes'!A:G, 2, FALSE)</f>
        <v>#N/A</v>
      </c>
      <c r="Q53" t="e" cm="1">
        <f t="array" aca="1" ref="Q53" ca="1">VLOOKUP(INDIRECT("A"&amp;ROW()), 'Recent Changes'!A:G, 3, FALSE)</f>
        <v>#N/A</v>
      </c>
      <c r="R53" t="e" cm="1">
        <f t="array" aca="1" ref="R53" ca="1">VLOOKUP(INDIRECT("A"&amp;ROW()), 'Recent Changes'!A:G, 4, FALSE)</f>
        <v>#N/A</v>
      </c>
      <c r="S53" t="e" cm="1">
        <f t="array" aca="1" ref="S53" ca="1">VLOOKUP(INDIRECT("A"&amp;ROW()), 'Recent Changes'!A:G, 5, FALSE)</f>
        <v>#N/A</v>
      </c>
      <c r="T53" t="e" cm="1">
        <f t="array" aca="1" ref="T53" ca="1">VLOOKUP(INDIRECT("A"&amp;ROW()), 'Recent Changes'!A:G, 6, FALSE)</f>
        <v>#N/A</v>
      </c>
      <c r="U53" t="e" cm="1">
        <f t="array" aca="1" ref="U53" ca="1">VLOOKUP(INDIRECT("A"&amp;ROW()), 'Recent Changes'!A:G, 7, FALSE)</f>
        <v>#N/A</v>
      </c>
      <c r="V53" t="e" cm="1">
        <f t="array" aca="1" ref="V53" ca="1">VLOOKUP(INDIRECT("A"&amp;ROW()), 'Recent Changes'!A:H, 8, FALSE)</f>
        <v>#N/A</v>
      </c>
    </row>
    <row r="54" spans="1:22" x14ac:dyDescent="0.25">
      <c r="A54">
        <v>17067208</v>
      </c>
      <c r="B54" t="s">
        <v>433</v>
      </c>
      <c r="C54">
        <v>139</v>
      </c>
      <c r="G54" t="e" cm="1">
        <v>#N/A</v>
      </c>
      <c r="H54" t="s">
        <v>14</v>
      </c>
      <c r="I54" t="s">
        <v>14</v>
      </c>
      <c r="J54" t="s">
        <v>41</v>
      </c>
      <c r="K54" t="s">
        <v>44</v>
      </c>
      <c r="L54" t="s">
        <v>2073</v>
      </c>
      <c r="M54" t="s">
        <v>76</v>
      </c>
      <c r="N54" t="s">
        <v>2222</v>
      </c>
      <c r="P54" t="e" cm="1">
        <f t="array" aca="1" ref="P54" ca="1">VLOOKUP(INDIRECT("A"&amp;ROW()), 'Recent Changes'!A:G, 2, FALSE)</f>
        <v>#N/A</v>
      </c>
      <c r="Q54" t="e" cm="1">
        <f t="array" aca="1" ref="Q54" ca="1">VLOOKUP(INDIRECT("A"&amp;ROW()), 'Recent Changes'!A:G, 3, FALSE)</f>
        <v>#N/A</v>
      </c>
      <c r="R54" t="e" cm="1">
        <f t="array" aca="1" ref="R54" ca="1">VLOOKUP(INDIRECT("A"&amp;ROW()), 'Recent Changes'!A:G, 4, FALSE)</f>
        <v>#N/A</v>
      </c>
      <c r="S54" t="e" cm="1">
        <f t="array" aca="1" ref="S54" ca="1">VLOOKUP(INDIRECT("A"&amp;ROW()), 'Recent Changes'!A:G, 5, FALSE)</f>
        <v>#N/A</v>
      </c>
      <c r="T54" t="e" cm="1">
        <f t="array" aca="1" ref="T54" ca="1">VLOOKUP(INDIRECT("A"&amp;ROW()), 'Recent Changes'!A:G, 6, FALSE)</f>
        <v>#N/A</v>
      </c>
      <c r="U54" t="e" cm="1">
        <f t="array" aca="1" ref="U54" ca="1">VLOOKUP(INDIRECT("A"&amp;ROW()), 'Recent Changes'!A:G, 7, FALSE)</f>
        <v>#N/A</v>
      </c>
      <c r="V54" t="e" cm="1">
        <f t="array" aca="1" ref="V54" ca="1">VLOOKUP(INDIRECT("A"&amp;ROW()), 'Recent Changes'!A:H, 8, FALSE)</f>
        <v>#N/A</v>
      </c>
    </row>
    <row r="55" spans="1:22" x14ac:dyDescent="0.25">
      <c r="A55">
        <v>17081943</v>
      </c>
      <c r="B55" t="s">
        <v>433</v>
      </c>
      <c r="C55">
        <v>136</v>
      </c>
      <c r="G55" t="e" cm="1">
        <v>#N/A</v>
      </c>
      <c r="H55" t="s">
        <v>14</v>
      </c>
      <c r="I55" t="s">
        <v>14</v>
      </c>
      <c r="J55" t="s">
        <v>1361</v>
      </c>
      <c r="K55" t="s">
        <v>54</v>
      </c>
      <c r="L55" t="s">
        <v>1373</v>
      </c>
      <c r="M55" t="s">
        <v>76</v>
      </c>
      <c r="N55" t="s">
        <v>2223</v>
      </c>
      <c r="P55" t="e" cm="1">
        <f t="array" aca="1" ref="P55" ca="1">VLOOKUP(INDIRECT("A"&amp;ROW()), 'Recent Changes'!A:G, 2, FALSE)</f>
        <v>#N/A</v>
      </c>
      <c r="Q55" t="e" cm="1">
        <f t="array" aca="1" ref="Q55" ca="1">VLOOKUP(INDIRECT("A"&amp;ROW()), 'Recent Changes'!A:G, 3, FALSE)</f>
        <v>#N/A</v>
      </c>
      <c r="R55" t="e" cm="1">
        <f t="array" aca="1" ref="R55" ca="1">VLOOKUP(INDIRECT("A"&amp;ROW()), 'Recent Changes'!A:G, 4, FALSE)</f>
        <v>#N/A</v>
      </c>
      <c r="S55" t="e" cm="1">
        <f t="array" aca="1" ref="S55" ca="1">VLOOKUP(INDIRECT("A"&amp;ROW()), 'Recent Changes'!A:G, 5, FALSE)</f>
        <v>#N/A</v>
      </c>
      <c r="T55" t="e" cm="1">
        <f t="array" aca="1" ref="T55" ca="1">VLOOKUP(INDIRECT("A"&amp;ROW()), 'Recent Changes'!A:G, 6, FALSE)</f>
        <v>#N/A</v>
      </c>
      <c r="U55" t="e" cm="1">
        <f t="array" aca="1" ref="U55" ca="1">VLOOKUP(INDIRECT("A"&amp;ROW()), 'Recent Changes'!A:G, 7, FALSE)</f>
        <v>#N/A</v>
      </c>
      <c r="V55" t="e" cm="1">
        <f t="array" aca="1" ref="V55" ca="1">VLOOKUP(INDIRECT("A"&amp;ROW()), 'Recent Changes'!A:H, 8, FALSE)</f>
        <v>#N/A</v>
      </c>
    </row>
    <row r="56" spans="1:22" x14ac:dyDescent="0.25">
      <c r="A56">
        <v>17086669</v>
      </c>
      <c r="B56" t="s">
        <v>433</v>
      </c>
      <c r="C56">
        <v>134</v>
      </c>
      <c r="G56" t="s" cm="1">
        <v>442</v>
      </c>
      <c r="H56">
        <v>45204</v>
      </c>
      <c r="I56" t="s">
        <v>378</v>
      </c>
      <c r="J56" t="s">
        <v>18</v>
      </c>
      <c r="K56" t="s">
        <v>44</v>
      </c>
      <c r="L56" t="s">
        <v>63</v>
      </c>
      <c r="M56" t="s">
        <v>76</v>
      </c>
      <c r="N56" t="s">
        <v>2224</v>
      </c>
      <c r="O56" t="s">
        <v>431</v>
      </c>
      <c r="P56" t="e" cm="1">
        <f t="array" aca="1" ref="P56" ca="1">VLOOKUP(INDIRECT("A"&amp;ROW()), 'Recent Changes'!A:G, 2, FALSE)</f>
        <v>#N/A</v>
      </c>
      <c r="Q56" t="e" cm="1">
        <f t="array" aca="1" ref="Q56" ca="1">VLOOKUP(INDIRECT("A"&amp;ROW()), 'Recent Changes'!A:G, 3, FALSE)</f>
        <v>#N/A</v>
      </c>
      <c r="R56" t="e" cm="1">
        <f t="array" aca="1" ref="R56" ca="1">VLOOKUP(INDIRECT("A"&amp;ROW()), 'Recent Changes'!A:G, 4, FALSE)</f>
        <v>#N/A</v>
      </c>
      <c r="S56" t="e" cm="1">
        <f t="array" aca="1" ref="S56" ca="1">VLOOKUP(INDIRECT("A"&amp;ROW()), 'Recent Changes'!A:G, 5, FALSE)</f>
        <v>#N/A</v>
      </c>
      <c r="T56" t="e" cm="1">
        <f t="array" aca="1" ref="T56" ca="1">VLOOKUP(INDIRECT("A"&amp;ROW()), 'Recent Changes'!A:G, 6, FALSE)</f>
        <v>#N/A</v>
      </c>
      <c r="U56" t="e" cm="1">
        <f t="array" aca="1" ref="U56" ca="1">VLOOKUP(INDIRECT("A"&amp;ROW()), 'Recent Changes'!A:G, 7, FALSE)</f>
        <v>#N/A</v>
      </c>
      <c r="V56" t="e" cm="1">
        <f t="array" aca="1" ref="V56" ca="1">VLOOKUP(INDIRECT("A"&amp;ROW()), 'Recent Changes'!A:H, 8, FALSE)</f>
        <v>#N/A</v>
      </c>
    </row>
    <row r="57" spans="1:22" x14ac:dyDescent="0.25">
      <c r="A57">
        <v>17087482</v>
      </c>
      <c r="B57" t="s">
        <v>433</v>
      </c>
      <c r="C57">
        <v>133</v>
      </c>
      <c r="G57" t="s" cm="1">
        <v>442</v>
      </c>
      <c r="H57">
        <v>45229</v>
      </c>
      <c r="I57" t="s">
        <v>15</v>
      </c>
      <c r="J57" t="s">
        <v>22</v>
      </c>
      <c r="K57" t="s">
        <v>51</v>
      </c>
      <c r="L57" t="s">
        <v>1698</v>
      </c>
      <c r="M57" t="s">
        <v>545</v>
      </c>
      <c r="N57" t="s">
        <v>1577</v>
      </c>
      <c r="O57" t="s">
        <v>431</v>
      </c>
      <c r="P57" t="e" cm="1">
        <f t="array" aca="1" ref="P57" ca="1">VLOOKUP(INDIRECT("A"&amp;ROW()), 'Recent Changes'!A:G, 2, FALSE)</f>
        <v>#N/A</v>
      </c>
      <c r="Q57" t="e" cm="1">
        <f t="array" aca="1" ref="Q57" ca="1">VLOOKUP(INDIRECT("A"&amp;ROW()), 'Recent Changes'!A:G, 3, FALSE)</f>
        <v>#N/A</v>
      </c>
      <c r="R57" t="e" cm="1">
        <f t="array" aca="1" ref="R57" ca="1">VLOOKUP(INDIRECT("A"&amp;ROW()), 'Recent Changes'!A:G, 4, FALSE)</f>
        <v>#N/A</v>
      </c>
      <c r="S57" t="e" cm="1">
        <f t="array" aca="1" ref="S57" ca="1">VLOOKUP(INDIRECT("A"&amp;ROW()), 'Recent Changes'!A:G, 5, FALSE)</f>
        <v>#N/A</v>
      </c>
      <c r="T57" t="e" cm="1">
        <f t="array" aca="1" ref="T57" ca="1">VLOOKUP(INDIRECT("A"&amp;ROW()), 'Recent Changes'!A:G, 6, FALSE)</f>
        <v>#N/A</v>
      </c>
      <c r="U57" t="e" cm="1">
        <f t="array" aca="1" ref="U57" ca="1">VLOOKUP(INDIRECT("A"&amp;ROW()), 'Recent Changes'!A:G, 7, FALSE)</f>
        <v>#N/A</v>
      </c>
      <c r="V57" t="e" cm="1">
        <f t="array" aca="1" ref="V57" ca="1">VLOOKUP(INDIRECT("A"&amp;ROW()), 'Recent Changes'!A:H, 8, FALSE)</f>
        <v>#N/A</v>
      </c>
    </row>
    <row r="58" spans="1:22" x14ac:dyDescent="0.25">
      <c r="A58">
        <v>17092155</v>
      </c>
      <c r="B58" t="s">
        <v>433</v>
      </c>
      <c r="C58">
        <v>133</v>
      </c>
      <c r="G58" t="e" cm="1">
        <v>#N/A</v>
      </c>
      <c r="H58">
        <v>45267</v>
      </c>
      <c r="I58" t="s">
        <v>15</v>
      </c>
      <c r="J58" t="s">
        <v>18</v>
      </c>
      <c r="K58" t="s">
        <v>731</v>
      </c>
      <c r="L58" t="s">
        <v>2074</v>
      </c>
      <c r="M58" t="s">
        <v>79</v>
      </c>
      <c r="N58" t="s">
        <v>416</v>
      </c>
      <c r="O58" t="s">
        <v>431</v>
      </c>
      <c r="P58" t="e" cm="1">
        <f t="array" aca="1" ref="P58" ca="1">VLOOKUP(INDIRECT("A"&amp;ROW()), 'Recent Changes'!A:G, 2, FALSE)</f>
        <v>#N/A</v>
      </c>
      <c r="Q58" t="e" cm="1">
        <f t="array" aca="1" ref="Q58" ca="1">VLOOKUP(INDIRECT("A"&amp;ROW()), 'Recent Changes'!A:G, 3, FALSE)</f>
        <v>#N/A</v>
      </c>
      <c r="R58" t="e" cm="1">
        <f t="array" aca="1" ref="R58" ca="1">VLOOKUP(INDIRECT("A"&amp;ROW()), 'Recent Changes'!A:G, 4, FALSE)</f>
        <v>#N/A</v>
      </c>
      <c r="S58" t="e" cm="1">
        <f t="array" aca="1" ref="S58" ca="1">VLOOKUP(INDIRECT("A"&amp;ROW()), 'Recent Changes'!A:G, 5, FALSE)</f>
        <v>#N/A</v>
      </c>
      <c r="T58" t="e" cm="1">
        <f t="array" aca="1" ref="T58" ca="1">VLOOKUP(INDIRECT("A"&amp;ROW()), 'Recent Changes'!A:G, 6, FALSE)</f>
        <v>#N/A</v>
      </c>
      <c r="U58" t="e" cm="1">
        <f t="array" aca="1" ref="U58" ca="1">VLOOKUP(INDIRECT("A"&amp;ROW()), 'Recent Changes'!A:G, 7, FALSE)</f>
        <v>#N/A</v>
      </c>
      <c r="V58" t="e" cm="1">
        <f t="array" aca="1" ref="V58" ca="1">VLOOKUP(INDIRECT("A"&amp;ROW()), 'Recent Changes'!A:H, 8, FALSE)</f>
        <v>#N/A</v>
      </c>
    </row>
    <row r="59" spans="1:22" x14ac:dyDescent="0.25">
      <c r="A59">
        <v>14632579</v>
      </c>
      <c r="B59" t="s">
        <v>433</v>
      </c>
      <c r="C59">
        <v>131</v>
      </c>
      <c r="G59" t="s" cm="1">
        <v>442</v>
      </c>
      <c r="H59">
        <v>45167</v>
      </c>
      <c r="I59" t="s">
        <v>15</v>
      </c>
      <c r="J59" t="s">
        <v>32</v>
      </c>
      <c r="K59" t="s">
        <v>44</v>
      </c>
      <c r="L59" t="s">
        <v>395</v>
      </c>
      <c r="M59" t="s">
        <v>76</v>
      </c>
      <c r="N59" t="s">
        <v>2225</v>
      </c>
      <c r="O59" t="s">
        <v>431</v>
      </c>
      <c r="P59" t="e" cm="1">
        <f t="array" aca="1" ref="P59" ca="1">VLOOKUP(INDIRECT("A"&amp;ROW()), 'Recent Changes'!A:G, 2, FALSE)</f>
        <v>#N/A</v>
      </c>
      <c r="Q59" t="e" cm="1">
        <f t="array" aca="1" ref="Q59" ca="1">VLOOKUP(INDIRECT("A"&amp;ROW()), 'Recent Changes'!A:G, 3, FALSE)</f>
        <v>#N/A</v>
      </c>
      <c r="R59" t="e" cm="1">
        <f t="array" aca="1" ref="R59" ca="1">VLOOKUP(INDIRECT("A"&amp;ROW()), 'Recent Changes'!A:G, 4, FALSE)</f>
        <v>#N/A</v>
      </c>
      <c r="S59" t="e" cm="1">
        <f t="array" aca="1" ref="S59" ca="1">VLOOKUP(INDIRECT("A"&amp;ROW()), 'Recent Changes'!A:G, 5, FALSE)</f>
        <v>#N/A</v>
      </c>
      <c r="T59" t="e" cm="1">
        <f t="array" aca="1" ref="T59" ca="1">VLOOKUP(INDIRECT("A"&amp;ROW()), 'Recent Changes'!A:G, 6, FALSE)</f>
        <v>#N/A</v>
      </c>
      <c r="U59" t="e" cm="1">
        <f t="array" aca="1" ref="U59" ca="1">VLOOKUP(INDIRECT("A"&amp;ROW()), 'Recent Changes'!A:G, 7, FALSE)</f>
        <v>#N/A</v>
      </c>
      <c r="V59" t="e" cm="1">
        <f t="array" aca="1" ref="V59" ca="1">VLOOKUP(INDIRECT("A"&amp;ROW()), 'Recent Changes'!A:H, 8, FALSE)</f>
        <v>#N/A</v>
      </c>
    </row>
    <row r="60" spans="1:22" x14ac:dyDescent="0.25">
      <c r="A60">
        <v>13900137</v>
      </c>
      <c r="B60" t="s">
        <v>433</v>
      </c>
      <c r="C60">
        <v>130</v>
      </c>
      <c r="G60" t="s" cm="1">
        <v>442</v>
      </c>
      <c r="H60">
        <v>45216</v>
      </c>
      <c r="I60" t="s">
        <v>15</v>
      </c>
      <c r="J60" t="s">
        <v>30</v>
      </c>
      <c r="K60" t="s">
        <v>44</v>
      </c>
      <c r="L60" t="s">
        <v>443</v>
      </c>
      <c r="M60" t="s">
        <v>76</v>
      </c>
      <c r="N60" t="s">
        <v>748</v>
      </c>
      <c r="O60" t="s">
        <v>431</v>
      </c>
      <c r="P60" t="e" cm="1">
        <f t="array" aca="1" ref="P60" ca="1">VLOOKUP(INDIRECT("A"&amp;ROW()), 'Recent Changes'!A:G, 2, FALSE)</f>
        <v>#N/A</v>
      </c>
      <c r="Q60" t="e" cm="1">
        <f t="array" aca="1" ref="Q60" ca="1">VLOOKUP(INDIRECT("A"&amp;ROW()), 'Recent Changes'!A:G, 3, FALSE)</f>
        <v>#N/A</v>
      </c>
      <c r="R60" t="e" cm="1">
        <f t="array" aca="1" ref="R60" ca="1">VLOOKUP(INDIRECT("A"&amp;ROW()), 'Recent Changes'!A:G, 4, FALSE)</f>
        <v>#N/A</v>
      </c>
      <c r="S60" t="e" cm="1">
        <f t="array" aca="1" ref="S60" ca="1">VLOOKUP(INDIRECT("A"&amp;ROW()), 'Recent Changes'!A:G, 5, FALSE)</f>
        <v>#N/A</v>
      </c>
      <c r="T60" t="e" cm="1">
        <f t="array" aca="1" ref="T60" ca="1">VLOOKUP(INDIRECT("A"&amp;ROW()), 'Recent Changes'!A:G, 6, FALSE)</f>
        <v>#N/A</v>
      </c>
      <c r="U60" t="e" cm="1">
        <f t="array" aca="1" ref="U60" ca="1">VLOOKUP(INDIRECT("A"&amp;ROW()), 'Recent Changes'!A:G, 7, FALSE)</f>
        <v>#N/A</v>
      </c>
      <c r="V60" t="e" cm="1">
        <f t="array" aca="1" ref="V60" ca="1">VLOOKUP(INDIRECT("A"&amp;ROW()), 'Recent Changes'!A:H, 8, FALSE)</f>
        <v>#N/A</v>
      </c>
    </row>
    <row r="61" spans="1:22" x14ac:dyDescent="0.25">
      <c r="A61">
        <v>17112949</v>
      </c>
      <c r="B61" t="s" cm="1">
        <v>430</v>
      </c>
      <c r="C61">
        <v>129</v>
      </c>
      <c r="G61" t="e" cm="1">
        <v>#N/A</v>
      </c>
      <c r="H61" t="s">
        <v>14</v>
      </c>
      <c r="I61" t="s">
        <v>14</v>
      </c>
      <c r="J61" t="s">
        <v>30</v>
      </c>
      <c r="K61" t="s">
        <v>389</v>
      </c>
      <c r="L61" t="s">
        <v>58</v>
      </c>
      <c r="M61" t="s">
        <v>76</v>
      </c>
      <c r="N61" t="s">
        <v>83</v>
      </c>
      <c r="P61" t="str" cm="1">
        <f t="array" aca="1" ref="P61" ca="1">VLOOKUP(INDIRECT("A"&amp;ROW()), 'Recent Changes'!A:G, 2, FALSE)</f>
        <v>NULL</v>
      </c>
      <c r="Q61" t="str" cm="1">
        <f t="array" aca="1" ref="Q61" ca="1">VLOOKUP(INDIRECT("A"&amp;ROW()), 'Recent Changes'!A:G, 3, FALSE)</f>
        <v>NULL</v>
      </c>
      <c r="R61" t="str" cm="1">
        <f t="array" aca="1" ref="R61" ca="1">VLOOKUP(INDIRECT("A"&amp;ROW()), 'Recent Changes'!A:G, 4, FALSE)</f>
        <v>NULL</v>
      </c>
      <c r="S61" t="str" cm="1">
        <f t="array" aca="1" ref="S61" ca="1">VLOOKUP(INDIRECT("A"&amp;ROW()), 'Recent Changes'!A:G, 5, FALSE)</f>
        <v>2023-12-16T00:16:10Z</v>
      </c>
      <c r="T61" t="str" cm="1">
        <f t="array" aca="1" ref="T61" ca="1">VLOOKUP(INDIRECT("A"&amp;ROW()), 'Recent Changes'!A:G, 6, FALSE)</f>
        <v>NULL</v>
      </c>
      <c r="U61" t="str" cm="1">
        <f t="array" aca="1" ref="U61" ca="1">VLOOKUP(INDIRECT("A"&amp;ROW()), 'Recent Changes'!A:G, 7, FALSE)</f>
        <v>2023-09-27T14:33:08Z</v>
      </c>
      <c r="V61" t="str" cm="1">
        <f t="array" aca="1" ref="V61" ca="1">VLOOKUP(INDIRECT("A"&amp;ROW()), 'Recent Changes'!A:H, 8, FALSE)</f>
        <v>2023-12-16T07:33:04Z</v>
      </c>
    </row>
    <row r="62" spans="1:22" x14ac:dyDescent="0.25">
      <c r="A62">
        <v>16270333</v>
      </c>
      <c r="B62" t="s">
        <v>433</v>
      </c>
      <c r="C62">
        <v>126</v>
      </c>
      <c r="G62" t="e" cm="1">
        <v>#N/A</v>
      </c>
      <c r="H62" t="s">
        <v>14</v>
      </c>
      <c r="I62" t="s">
        <v>380</v>
      </c>
      <c r="J62" t="s">
        <v>384</v>
      </c>
      <c r="K62" t="s">
        <v>44</v>
      </c>
      <c r="L62" t="s">
        <v>2075</v>
      </c>
      <c r="M62" t="s">
        <v>76</v>
      </c>
      <c r="N62" t="s">
        <v>2226</v>
      </c>
      <c r="P62" t="e" cm="1">
        <f t="array" aca="1" ref="P62" ca="1">VLOOKUP(INDIRECT("A"&amp;ROW()), 'Recent Changes'!A:G, 2, FALSE)</f>
        <v>#N/A</v>
      </c>
      <c r="Q62" t="e" cm="1">
        <f t="array" aca="1" ref="Q62" ca="1">VLOOKUP(INDIRECT("A"&amp;ROW()), 'Recent Changes'!A:G, 3, FALSE)</f>
        <v>#N/A</v>
      </c>
      <c r="R62" t="e" cm="1">
        <f t="array" aca="1" ref="R62" ca="1">VLOOKUP(INDIRECT("A"&amp;ROW()), 'Recent Changes'!A:G, 4, FALSE)</f>
        <v>#N/A</v>
      </c>
      <c r="S62" t="e" cm="1">
        <f t="array" aca="1" ref="S62" ca="1">VLOOKUP(INDIRECT("A"&amp;ROW()), 'Recent Changes'!A:G, 5, FALSE)</f>
        <v>#N/A</v>
      </c>
      <c r="T62" t="e" cm="1">
        <f t="array" aca="1" ref="T62" ca="1">VLOOKUP(INDIRECT("A"&amp;ROW()), 'Recent Changes'!A:G, 6, FALSE)</f>
        <v>#N/A</v>
      </c>
      <c r="U62" t="e" cm="1">
        <f t="array" aca="1" ref="U62" ca="1">VLOOKUP(INDIRECT("A"&amp;ROW()), 'Recent Changes'!A:G, 7, FALSE)</f>
        <v>#N/A</v>
      </c>
      <c r="V62" t="e" cm="1">
        <f t="array" aca="1" ref="V62" ca="1">VLOOKUP(INDIRECT("A"&amp;ROW()), 'Recent Changes'!A:H, 8, FALSE)</f>
        <v>#N/A</v>
      </c>
    </row>
    <row r="63" spans="1:22" x14ac:dyDescent="0.25">
      <c r="A63">
        <v>16584714</v>
      </c>
      <c r="B63" t="s">
        <v>433</v>
      </c>
      <c r="C63">
        <v>126</v>
      </c>
      <c r="G63" t="e" cm="1">
        <v>#N/A</v>
      </c>
      <c r="H63" t="s">
        <v>14</v>
      </c>
      <c r="I63" t="s">
        <v>14</v>
      </c>
      <c r="J63" t="s">
        <v>41</v>
      </c>
      <c r="K63" t="s">
        <v>44</v>
      </c>
      <c r="L63" t="s">
        <v>594</v>
      </c>
      <c r="M63" t="s">
        <v>1407</v>
      </c>
      <c r="N63" t="s">
        <v>2227</v>
      </c>
      <c r="P63" t="e" cm="1">
        <f t="array" aca="1" ref="P63" ca="1">VLOOKUP(INDIRECT("A"&amp;ROW()), 'Recent Changes'!A:G, 2, FALSE)</f>
        <v>#N/A</v>
      </c>
      <c r="Q63" t="e" cm="1">
        <f t="array" aca="1" ref="Q63" ca="1">VLOOKUP(INDIRECT("A"&amp;ROW()), 'Recent Changes'!A:G, 3, FALSE)</f>
        <v>#N/A</v>
      </c>
      <c r="R63" t="e" cm="1">
        <f t="array" aca="1" ref="R63" ca="1">VLOOKUP(INDIRECT("A"&amp;ROW()), 'Recent Changes'!A:G, 4, FALSE)</f>
        <v>#N/A</v>
      </c>
      <c r="S63" t="e" cm="1">
        <f t="array" aca="1" ref="S63" ca="1">VLOOKUP(INDIRECT("A"&amp;ROW()), 'Recent Changes'!A:G, 5, FALSE)</f>
        <v>#N/A</v>
      </c>
      <c r="T63" t="e" cm="1">
        <f t="array" aca="1" ref="T63" ca="1">VLOOKUP(INDIRECT("A"&amp;ROW()), 'Recent Changes'!A:G, 6, FALSE)</f>
        <v>#N/A</v>
      </c>
      <c r="U63" t="e" cm="1">
        <f t="array" aca="1" ref="U63" ca="1">VLOOKUP(INDIRECT("A"&amp;ROW()), 'Recent Changes'!A:G, 7, FALSE)</f>
        <v>#N/A</v>
      </c>
      <c r="V63" t="e" cm="1">
        <f t="array" aca="1" ref="V63" ca="1">VLOOKUP(INDIRECT("A"&amp;ROW()), 'Recent Changes'!A:H, 8, FALSE)</f>
        <v>#N/A</v>
      </c>
    </row>
    <row r="64" spans="1:22" x14ac:dyDescent="0.25">
      <c r="A64">
        <v>17120681</v>
      </c>
      <c r="B64" t="s" cm="1">
        <v>430</v>
      </c>
      <c r="C64">
        <v>125</v>
      </c>
      <c r="G64" t="s" cm="1">
        <v>529</v>
      </c>
      <c r="H64" t="s">
        <v>14</v>
      </c>
      <c r="I64" t="s">
        <v>14</v>
      </c>
      <c r="J64" t="s">
        <v>30</v>
      </c>
      <c r="K64" t="s">
        <v>390</v>
      </c>
      <c r="L64" t="s">
        <v>74</v>
      </c>
      <c r="M64" t="s">
        <v>76</v>
      </c>
      <c r="N64" t="s">
        <v>83</v>
      </c>
      <c r="P64" t="str" cm="1">
        <f t="array" aca="1" ref="P64" ca="1">VLOOKUP(INDIRECT("A"&amp;ROW()), 'Recent Changes'!A:G, 2, FALSE)</f>
        <v>2024-01-02T15:41:17Z</v>
      </c>
      <c r="Q64" t="str" cm="1">
        <f t="array" aca="1" ref="Q64" ca="1">VLOOKUP(INDIRECT("A"&amp;ROW()), 'Recent Changes'!A:G, 3, FALSE)</f>
        <v>NULL</v>
      </c>
      <c r="R64" t="str" cm="1">
        <f t="array" aca="1" ref="R64" ca="1">VLOOKUP(INDIRECT("A"&amp;ROW()), 'Recent Changes'!A:G, 4, FALSE)</f>
        <v>NULL</v>
      </c>
      <c r="S64" t="str" cm="1">
        <f t="array" aca="1" ref="S64" ca="1">VLOOKUP(INDIRECT("A"&amp;ROW()), 'Recent Changes'!A:G, 5, FALSE)</f>
        <v>NULL</v>
      </c>
      <c r="T64" t="str" cm="1">
        <f t="array" aca="1" ref="T64" ca="1">VLOOKUP(INDIRECT("A"&amp;ROW()), 'Recent Changes'!A:G, 6, FALSE)</f>
        <v>NULL</v>
      </c>
      <c r="U64" t="str" cm="1">
        <f t="array" aca="1" ref="U64" ca="1">VLOOKUP(INDIRECT("A"&amp;ROW()), 'Recent Changes'!A:G, 7, FALSE)</f>
        <v>NULL</v>
      </c>
      <c r="V64" t="str" cm="1">
        <f t="array" aca="1" ref="V64" ca="1">VLOOKUP(INDIRECT("A"&amp;ROW()), 'Recent Changes'!A:H, 8, FALSE)</f>
        <v>2024-01-02T16:24:52Z</v>
      </c>
    </row>
    <row r="65" spans="1:22" x14ac:dyDescent="0.25">
      <c r="A65">
        <v>15715276</v>
      </c>
      <c r="B65" t="s">
        <v>433</v>
      </c>
      <c r="C65">
        <v>123</v>
      </c>
      <c r="G65" t="s" cm="1">
        <v>442</v>
      </c>
      <c r="H65">
        <v>45176</v>
      </c>
      <c r="I65" t="s">
        <v>15</v>
      </c>
      <c r="J65" t="s">
        <v>20</v>
      </c>
      <c r="K65" t="s">
        <v>43</v>
      </c>
      <c r="L65" t="s">
        <v>1333</v>
      </c>
      <c r="M65" t="s">
        <v>78</v>
      </c>
      <c r="N65" t="s">
        <v>83</v>
      </c>
      <c r="O65" t="s">
        <v>431</v>
      </c>
      <c r="P65" t="str" cm="1">
        <f t="array" aca="1" ref="P65" ca="1">VLOOKUP(INDIRECT("A"&amp;ROW()), 'Recent Changes'!A:G, 2, FALSE)</f>
        <v>NULL</v>
      </c>
      <c r="Q65" t="str" cm="1">
        <f t="array" aca="1" ref="Q65" ca="1">VLOOKUP(INDIRECT("A"&amp;ROW()), 'Recent Changes'!A:G, 3, FALSE)</f>
        <v>NULL</v>
      </c>
      <c r="R65" t="str" cm="1">
        <f t="array" aca="1" ref="R65" ca="1">VLOOKUP(INDIRECT("A"&amp;ROW()), 'Recent Changes'!A:G, 4, FALSE)</f>
        <v>NULL</v>
      </c>
      <c r="S65" t="str" cm="1">
        <f t="array" aca="1" ref="S65" ca="1">VLOOKUP(INDIRECT("A"&amp;ROW()), 'Recent Changes'!A:G, 5, FALSE)</f>
        <v>NULL</v>
      </c>
      <c r="T65" t="str" cm="1">
        <f t="array" aca="1" ref="T65" ca="1">VLOOKUP(INDIRECT("A"&amp;ROW()), 'Recent Changes'!A:G, 6, FALSE)</f>
        <v>NULL</v>
      </c>
      <c r="U65" t="str" cm="1">
        <f t="array" aca="1" ref="U65" ca="1">VLOOKUP(INDIRECT("A"&amp;ROW()), 'Recent Changes'!A:G, 7, FALSE)</f>
        <v>2023-11-22T23:18:38Z</v>
      </c>
      <c r="V65" t="str" cm="1">
        <f t="array" aca="1" ref="V65" ca="1">VLOOKUP(INDIRECT("A"&amp;ROW()), 'Recent Changes'!A:H, 8, FALSE)</f>
        <v>2023-11-23T07:35:11Z</v>
      </c>
    </row>
    <row r="66" spans="1:22" x14ac:dyDescent="0.25">
      <c r="A66">
        <v>17130829</v>
      </c>
      <c r="B66" t="s" cm="1">
        <v>430</v>
      </c>
      <c r="C66">
        <v>123</v>
      </c>
      <c r="G66" t="e" cm="1">
        <v>#N/A</v>
      </c>
      <c r="H66" t="s">
        <v>14</v>
      </c>
      <c r="I66" t="s">
        <v>14</v>
      </c>
      <c r="J66" t="s">
        <v>30</v>
      </c>
      <c r="K66" t="s">
        <v>52</v>
      </c>
      <c r="L66" t="s">
        <v>74</v>
      </c>
      <c r="M66" t="s">
        <v>76</v>
      </c>
      <c r="N66" t="s">
        <v>83</v>
      </c>
      <c r="P66" t="str" cm="1">
        <f t="array" aca="1" ref="P66" ca="1">VLOOKUP(INDIRECT("A"&amp;ROW()), 'Recent Changes'!A:G, 2, FALSE)</f>
        <v>NULL</v>
      </c>
      <c r="Q66" t="str" cm="1">
        <f t="array" aca="1" ref="Q66" ca="1">VLOOKUP(INDIRECT("A"&amp;ROW()), 'Recent Changes'!A:G, 3, FALSE)</f>
        <v>NULL</v>
      </c>
      <c r="R66" t="str" cm="1">
        <f t="array" aca="1" ref="R66" ca="1">VLOOKUP(INDIRECT("A"&amp;ROW()), 'Recent Changes'!A:G, 4, FALSE)</f>
        <v>NULL</v>
      </c>
      <c r="S66" t="str" cm="1">
        <f t="array" aca="1" ref="S66" ca="1">VLOOKUP(INDIRECT("A"&amp;ROW()), 'Recent Changes'!A:G, 5, FALSE)</f>
        <v>2023-12-13T05:31:19Z</v>
      </c>
      <c r="T66" t="str" cm="1">
        <f t="array" aca="1" ref="T66" ca="1">VLOOKUP(INDIRECT("A"&amp;ROW()), 'Recent Changes'!A:G, 6, FALSE)</f>
        <v>NULL</v>
      </c>
      <c r="U66" t="str" cm="1">
        <f t="array" aca="1" ref="U66" ca="1">VLOOKUP(INDIRECT("A"&amp;ROW()), 'Recent Changes'!A:G, 7, FALSE)</f>
        <v>2023-09-28T18:05:07Z</v>
      </c>
      <c r="V66" t="str" cm="1">
        <f t="array" aca="1" ref="V66" ca="1">VLOOKUP(INDIRECT("A"&amp;ROW()), 'Recent Changes'!A:H, 8, FALSE)</f>
        <v>2023-12-13T07:31:42Z</v>
      </c>
    </row>
    <row r="67" spans="1:22" x14ac:dyDescent="0.25">
      <c r="A67">
        <v>17135334</v>
      </c>
      <c r="B67" t="s">
        <v>433</v>
      </c>
      <c r="C67">
        <v>123</v>
      </c>
      <c r="G67" t="s" cm="1">
        <v>442</v>
      </c>
      <c r="H67">
        <v>45195</v>
      </c>
      <c r="I67" t="s">
        <v>15</v>
      </c>
      <c r="J67" t="s">
        <v>32</v>
      </c>
      <c r="K67" t="s">
        <v>506</v>
      </c>
      <c r="L67" t="s">
        <v>437</v>
      </c>
      <c r="M67" t="s">
        <v>76</v>
      </c>
      <c r="N67" t="s">
        <v>1568</v>
      </c>
      <c r="O67" t="s">
        <v>431</v>
      </c>
      <c r="P67" t="e" cm="1">
        <f t="array" aca="1" ref="P67" ca="1">VLOOKUP(INDIRECT("A"&amp;ROW()), 'Recent Changes'!A:G, 2, FALSE)</f>
        <v>#N/A</v>
      </c>
      <c r="Q67" t="e" cm="1">
        <f t="array" aca="1" ref="Q67" ca="1">VLOOKUP(INDIRECT("A"&amp;ROW()), 'Recent Changes'!A:G, 3, FALSE)</f>
        <v>#N/A</v>
      </c>
      <c r="R67" t="e" cm="1">
        <f t="array" aca="1" ref="R67" ca="1">VLOOKUP(INDIRECT("A"&amp;ROW()), 'Recent Changes'!A:G, 4, FALSE)</f>
        <v>#N/A</v>
      </c>
      <c r="S67" t="e" cm="1">
        <f t="array" aca="1" ref="S67" ca="1">VLOOKUP(INDIRECT("A"&amp;ROW()), 'Recent Changes'!A:G, 5, FALSE)</f>
        <v>#N/A</v>
      </c>
      <c r="T67" t="e" cm="1">
        <f t="array" aca="1" ref="T67" ca="1">VLOOKUP(INDIRECT("A"&amp;ROW()), 'Recent Changes'!A:G, 6, FALSE)</f>
        <v>#N/A</v>
      </c>
      <c r="U67" t="e" cm="1">
        <f t="array" aca="1" ref="U67" ca="1">VLOOKUP(INDIRECT("A"&amp;ROW()), 'Recent Changes'!A:G, 7, FALSE)</f>
        <v>#N/A</v>
      </c>
      <c r="V67" t="e" cm="1">
        <f t="array" aca="1" ref="V67" ca="1">VLOOKUP(INDIRECT("A"&amp;ROW()), 'Recent Changes'!A:H, 8, FALSE)</f>
        <v>#N/A</v>
      </c>
    </row>
    <row r="68" spans="1:22" x14ac:dyDescent="0.25">
      <c r="A68">
        <v>15520094</v>
      </c>
      <c r="B68" t="s">
        <v>433</v>
      </c>
      <c r="C68">
        <v>119</v>
      </c>
      <c r="G68" t="s" cm="1">
        <v>442</v>
      </c>
      <c r="H68">
        <v>45188</v>
      </c>
      <c r="I68" t="s">
        <v>15</v>
      </c>
      <c r="J68" t="s">
        <v>30</v>
      </c>
      <c r="K68" t="s">
        <v>44</v>
      </c>
      <c r="L68" t="s">
        <v>394</v>
      </c>
      <c r="M68" t="s">
        <v>76</v>
      </c>
      <c r="N68" t="s">
        <v>2228</v>
      </c>
      <c r="O68" t="s">
        <v>431</v>
      </c>
      <c r="P68" t="e" cm="1">
        <f t="array" aca="1" ref="P68" ca="1">VLOOKUP(INDIRECT("A"&amp;ROW()), 'Recent Changes'!A:G, 2, FALSE)</f>
        <v>#N/A</v>
      </c>
      <c r="Q68" t="e" cm="1">
        <f t="array" aca="1" ref="Q68" ca="1">VLOOKUP(INDIRECT("A"&amp;ROW()), 'Recent Changes'!A:G, 3, FALSE)</f>
        <v>#N/A</v>
      </c>
      <c r="R68" t="e" cm="1">
        <f t="array" aca="1" ref="R68" ca="1">VLOOKUP(INDIRECT("A"&amp;ROW()), 'Recent Changes'!A:G, 4, FALSE)</f>
        <v>#N/A</v>
      </c>
      <c r="S68" t="e" cm="1">
        <f t="array" aca="1" ref="S68" ca="1">VLOOKUP(INDIRECT("A"&amp;ROW()), 'Recent Changes'!A:G, 5, FALSE)</f>
        <v>#N/A</v>
      </c>
      <c r="T68" t="e" cm="1">
        <f t="array" aca="1" ref="T68" ca="1">VLOOKUP(INDIRECT("A"&amp;ROW()), 'Recent Changes'!A:G, 6, FALSE)</f>
        <v>#N/A</v>
      </c>
      <c r="U68" t="e" cm="1">
        <f t="array" aca="1" ref="U68" ca="1">VLOOKUP(INDIRECT("A"&amp;ROW()), 'Recent Changes'!A:G, 7, FALSE)</f>
        <v>#N/A</v>
      </c>
      <c r="V68" t="e" cm="1">
        <f t="array" aca="1" ref="V68" ca="1">VLOOKUP(INDIRECT("A"&amp;ROW()), 'Recent Changes'!A:H, 8, FALSE)</f>
        <v>#N/A</v>
      </c>
    </row>
    <row r="69" spans="1:22" x14ac:dyDescent="0.25">
      <c r="A69">
        <v>16975937</v>
      </c>
      <c r="B69" t="s">
        <v>433</v>
      </c>
      <c r="C69">
        <v>118</v>
      </c>
      <c r="G69" t="s" cm="1">
        <v>442</v>
      </c>
      <c r="H69">
        <v>45181</v>
      </c>
      <c r="I69" t="s">
        <v>15</v>
      </c>
      <c r="J69" t="s">
        <v>22</v>
      </c>
      <c r="K69" t="s">
        <v>44</v>
      </c>
      <c r="L69" t="s">
        <v>63</v>
      </c>
      <c r="M69" t="s">
        <v>76</v>
      </c>
      <c r="N69" t="s">
        <v>2229</v>
      </c>
      <c r="O69" t="s">
        <v>431</v>
      </c>
      <c r="P69" t="e" cm="1">
        <f t="array" aca="1" ref="P69" ca="1">VLOOKUP(INDIRECT("A"&amp;ROW()), 'Recent Changes'!A:G, 2, FALSE)</f>
        <v>#N/A</v>
      </c>
      <c r="Q69" t="e" cm="1">
        <f t="array" aca="1" ref="Q69" ca="1">VLOOKUP(INDIRECT("A"&amp;ROW()), 'Recent Changes'!A:G, 3, FALSE)</f>
        <v>#N/A</v>
      </c>
      <c r="R69" t="e" cm="1">
        <f t="array" aca="1" ref="R69" ca="1">VLOOKUP(INDIRECT("A"&amp;ROW()), 'Recent Changes'!A:G, 4, FALSE)</f>
        <v>#N/A</v>
      </c>
      <c r="S69" t="e" cm="1">
        <f t="array" aca="1" ref="S69" ca="1">VLOOKUP(INDIRECT("A"&amp;ROW()), 'Recent Changes'!A:G, 5, FALSE)</f>
        <v>#N/A</v>
      </c>
      <c r="T69" t="e" cm="1">
        <f t="array" aca="1" ref="T69" ca="1">VLOOKUP(INDIRECT("A"&amp;ROW()), 'Recent Changes'!A:G, 6, FALSE)</f>
        <v>#N/A</v>
      </c>
      <c r="U69" t="e" cm="1">
        <f t="array" aca="1" ref="U69" ca="1">VLOOKUP(INDIRECT("A"&amp;ROW()), 'Recent Changes'!A:G, 7, FALSE)</f>
        <v>#N/A</v>
      </c>
      <c r="V69" t="e" cm="1">
        <f t="array" aca="1" ref="V69" ca="1">VLOOKUP(INDIRECT("A"&amp;ROW()), 'Recent Changes'!A:H, 8, FALSE)</f>
        <v>#N/A</v>
      </c>
    </row>
    <row r="70" spans="1:22" x14ac:dyDescent="0.25">
      <c r="A70">
        <v>17149059</v>
      </c>
      <c r="B70" t="s" cm="1">
        <v>430</v>
      </c>
      <c r="C70">
        <v>118</v>
      </c>
      <c r="G70" t="e" cm="1">
        <v>#N/A</v>
      </c>
      <c r="H70" t="s">
        <v>14</v>
      </c>
      <c r="I70" t="s">
        <v>14</v>
      </c>
      <c r="J70" t="s">
        <v>30</v>
      </c>
      <c r="K70" t="s">
        <v>52</v>
      </c>
      <c r="L70" t="s">
        <v>58</v>
      </c>
      <c r="M70" t="s">
        <v>76</v>
      </c>
      <c r="N70" t="s">
        <v>83</v>
      </c>
      <c r="P70" t="str" cm="1">
        <f t="array" aca="1" ref="P70" ca="1">VLOOKUP(INDIRECT("A"&amp;ROW()), 'Recent Changes'!A:G, 2, FALSE)</f>
        <v>NULL</v>
      </c>
      <c r="Q70" t="str" cm="1">
        <f t="array" aca="1" ref="Q70" ca="1">VLOOKUP(INDIRECT("A"&amp;ROW()), 'Recent Changes'!A:G, 3, FALSE)</f>
        <v>NULL</v>
      </c>
      <c r="R70" t="str" cm="1">
        <f t="array" aca="1" ref="R70" ca="1">VLOOKUP(INDIRECT("A"&amp;ROW()), 'Recent Changes'!A:G, 4, FALSE)</f>
        <v>NULL</v>
      </c>
      <c r="S70" t="str" cm="1">
        <f t="array" aca="1" ref="S70" ca="1">VLOOKUP(INDIRECT("A"&amp;ROW()), 'Recent Changes'!A:G, 5, FALSE)</f>
        <v>2023-12-21T00:28:17Z</v>
      </c>
      <c r="T70" t="str" cm="1">
        <f t="array" aca="1" ref="T70" ca="1">VLOOKUP(INDIRECT("A"&amp;ROW()), 'Recent Changes'!A:G, 6, FALSE)</f>
        <v>NULL</v>
      </c>
      <c r="U70" t="str" cm="1">
        <f t="array" aca="1" ref="U70" ca="1">VLOOKUP(INDIRECT("A"&amp;ROW()), 'Recent Changes'!A:G, 7, FALSE)</f>
        <v>NULL</v>
      </c>
      <c r="V70" t="str" cm="1">
        <f t="array" aca="1" ref="V70" ca="1">VLOOKUP(INDIRECT("A"&amp;ROW()), 'Recent Changes'!A:H, 8, FALSE)</f>
        <v>2023-12-21T07:38:05Z</v>
      </c>
    </row>
    <row r="71" spans="1:22" x14ac:dyDescent="0.25">
      <c r="A71">
        <v>17153390</v>
      </c>
      <c r="B71" t="s" cm="1">
        <v>433</v>
      </c>
      <c r="C71">
        <v>118</v>
      </c>
      <c r="G71" t="s" cm="1">
        <v>442</v>
      </c>
      <c r="H71" t="s">
        <v>14</v>
      </c>
      <c r="I71" t="s">
        <v>14</v>
      </c>
      <c r="J71" t="s">
        <v>26</v>
      </c>
      <c r="K71" t="s">
        <v>45</v>
      </c>
      <c r="L71" t="s">
        <v>1434</v>
      </c>
      <c r="M71" t="s">
        <v>743</v>
      </c>
      <c r="N71" t="s">
        <v>83</v>
      </c>
      <c r="P71" t="str" cm="1">
        <f t="array" aca="1" ref="P71" ca="1">VLOOKUP(INDIRECT("A"&amp;ROW()), 'Recent Changes'!A:G, 2, FALSE)</f>
        <v>NULL</v>
      </c>
      <c r="Q71" t="str" cm="1">
        <f t="array" aca="1" ref="Q71" ca="1">VLOOKUP(INDIRECT("A"&amp;ROW()), 'Recent Changes'!A:G, 3, FALSE)</f>
        <v>NULL</v>
      </c>
      <c r="R71" t="str" cm="1">
        <f t="array" aca="1" ref="R71" ca="1">VLOOKUP(INDIRECT("A"&amp;ROW()), 'Recent Changes'!A:G, 4, FALSE)</f>
        <v>NULL</v>
      </c>
      <c r="S71" t="str" cm="1">
        <f t="array" aca="1" ref="S71" ca="1">VLOOKUP(INDIRECT("A"&amp;ROW()), 'Recent Changes'!A:G, 5, FALSE)</f>
        <v>2023-11-14T01:02:22Z</v>
      </c>
      <c r="T71" t="str" cm="1">
        <f t="array" aca="1" ref="T71" ca="1">VLOOKUP(INDIRECT("A"&amp;ROW()), 'Recent Changes'!A:G, 6, FALSE)</f>
        <v>NULL</v>
      </c>
      <c r="U71" t="str" cm="1">
        <f t="array" aca="1" ref="U71" ca="1">VLOOKUP(INDIRECT("A"&amp;ROW()), 'Recent Changes'!A:G, 7, FALSE)</f>
        <v>2023-09-27T14:52:59Z</v>
      </c>
      <c r="V71" t="str" cm="1">
        <f t="array" aca="1" ref="V71" ca="1">VLOOKUP(INDIRECT("A"&amp;ROW()), 'Recent Changes'!A:H, 8, FALSE)</f>
        <v>2023-11-14T07:53:34Z</v>
      </c>
    </row>
    <row r="72" spans="1:22" x14ac:dyDescent="0.25">
      <c r="A72">
        <v>12197060</v>
      </c>
      <c r="B72" t="s">
        <v>433</v>
      </c>
      <c r="C72">
        <v>117</v>
      </c>
      <c r="G72" t="e" cm="1">
        <v>#N/A</v>
      </c>
      <c r="H72">
        <v>45182</v>
      </c>
      <c r="I72" t="s">
        <v>15</v>
      </c>
      <c r="J72" t="s">
        <v>18</v>
      </c>
      <c r="K72" t="s">
        <v>44</v>
      </c>
      <c r="L72" t="s">
        <v>2076</v>
      </c>
      <c r="M72" t="s">
        <v>77</v>
      </c>
      <c r="N72" t="s">
        <v>83</v>
      </c>
      <c r="O72" t="s">
        <v>431</v>
      </c>
      <c r="P72" t="str" cm="1">
        <f t="array" aca="1" ref="P72" ca="1">VLOOKUP(INDIRECT("A"&amp;ROW()), 'Recent Changes'!A:G, 2, FALSE)</f>
        <v>NULL</v>
      </c>
      <c r="Q72" t="str" cm="1">
        <f t="array" aca="1" ref="Q72" ca="1">VLOOKUP(INDIRECT("A"&amp;ROW()), 'Recent Changes'!A:G, 3, FALSE)</f>
        <v>NULL</v>
      </c>
      <c r="R72" t="str" cm="1">
        <f t="array" aca="1" ref="R72" ca="1">VLOOKUP(INDIRECT("A"&amp;ROW()), 'Recent Changes'!A:G, 4, FALSE)</f>
        <v>NULL</v>
      </c>
      <c r="S72" t="str" cm="1">
        <f t="array" aca="1" ref="S72" ca="1">VLOOKUP(INDIRECT("A"&amp;ROW()), 'Recent Changes'!A:G, 5, FALSE)</f>
        <v>NULL</v>
      </c>
      <c r="T72" t="str" cm="1">
        <f t="array" aca="1" ref="T72" ca="1">VLOOKUP(INDIRECT("A"&amp;ROW()), 'Recent Changes'!A:G, 6, FALSE)</f>
        <v>NULL</v>
      </c>
      <c r="U72" t="str" cm="1">
        <f t="array" aca="1" ref="U72" ca="1">VLOOKUP(INDIRECT("A"&amp;ROW()), 'Recent Changes'!A:G, 7, FALSE)</f>
        <v>2023-12-15T15:27:50Z</v>
      </c>
      <c r="V72" t="str" cm="1">
        <f t="array" aca="1" ref="V72" ca="1">VLOOKUP(INDIRECT("A"&amp;ROW()), 'Recent Changes'!A:H, 8, FALSE)</f>
        <v>2023-12-15T16:03:26Z</v>
      </c>
    </row>
    <row r="73" spans="1:22" x14ac:dyDescent="0.25">
      <c r="A73">
        <v>17159452</v>
      </c>
      <c r="B73" t="s">
        <v>433</v>
      </c>
      <c r="C73">
        <v>117</v>
      </c>
      <c r="G73" t="s" cm="1">
        <v>442</v>
      </c>
      <c r="H73">
        <v>45208</v>
      </c>
      <c r="I73" t="s">
        <v>15</v>
      </c>
      <c r="J73" t="s">
        <v>24</v>
      </c>
      <c r="K73" t="s">
        <v>44</v>
      </c>
      <c r="L73" t="s">
        <v>392</v>
      </c>
      <c r="M73" t="s">
        <v>76</v>
      </c>
      <c r="N73" t="s">
        <v>2230</v>
      </c>
      <c r="O73" t="s">
        <v>431</v>
      </c>
      <c r="P73" t="e" cm="1">
        <f t="array" aca="1" ref="P73" ca="1">VLOOKUP(INDIRECT("A"&amp;ROW()), 'Recent Changes'!A:G, 2, FALSE)</f>
        <v>#N/A</v>
      </c>
      <c r="Q73" t="e" cm="1">
        <f t="array" aca="1" ref="Q73" ca="1">VLOOKUP(INDIRECT("A"&amp;ROW()), 'Recent Changes'!A:G, 3, FALSE)</f>
        <v>#N/A</v>
      </c>
      <c r="R73" t="e" cm="1">
        <f t="array" aca="1" ref="R73" ca="1">VLOOKUP(INDIRECT("A"&amp;ROW()), 'Recent Changes'!A:G, 4, FALSE)</f>
        <v>#N/A</v>
      </c>
      <c r="S73" t="e" cm="1">
        <f t="array" aca="1" ref="S73" ca="1">VLOOKUP(INDIRECT("A"&amp;ROW()), 'Recent Changes'!A:G, 5, FALSE)</f>
        <v>#N/A</v>
      </c>
      <c r="T73" t="e" cm="1">
        <f t="array" aca="1" ref="T73" ca="1">VLOOKUP(INDIRECT("A"&amp;ROW()), 'Recent Changes'!A:G, 6, FALSE)</f>
        <v>#N/A</v>
      </c>
      <c r="U73" t="e" cm="1">
        <f t="array" aca="1" ref="U73" ca="1">VLOOKUP(INDIRECT("A"&amp;ROW()), 'Recent Changes'!A:G, 7, FALSE)</f>
        <v>#N/A</v>
      </c>
      <c r="V73" t="e" cm="1">
        <f t="array" aca="1" ref="V73" ca="1">VLOOKUP(INDIRECT("A"&amp;ROW()), 'Recent Changes'!A:H, 8, FALSE)</f>
        <v>#N/A</v>
      </c>
    </row>
    <row r="74" spans="1:22" x14ac:dyDescent="0.25">
      <c r="A74">
        <v>17161569</v>
      </c>
      <c r="B74" t="s" cm="1">
        <v>430</v>
      </c>
      <c r="C74">
        <v>116</v>
      </c>
      <c r="G74" t="e" cm="1">
        <v>#N/A</v>
      </c>
      <c r="H74" t="s">
        <v>14</v>
      </c>
      <c r="I74" t="s">
        <v>14</v>
      </c>
      <c r="J74" t="s">
        <v>30</v>
      </c>
      <c r="K74" t="s">
        <v>1414</v>
      </c>
      <c r="L74" t="s">
        <v>395</v>
      </c>
      <c r="M74" t="s">
        <v>76</v>
      </c>
      <c r="N74" t="s">
        <v>83</v>
      </c>
      <c r="P74" t="str" cm="1">
        <f t="array" aca="1" ref="P74" ca="1">VLOOKUP(INDIRECT("A"&amp;ROW()), 'Recent Changes'!A:G, 2, FALSE)</f>
        <v>2024-01-02T23:38:59Z</v>
      </c>
      <c r="Q74" t="str" cm="1">
        <f t="array" aca="1" ref="Q74" ca="1">VLOOKUP(INDIRECT("A"&amp;ROW()), 'Recent Changes'!A:G, 3, FALSE)</f>
        <v>NULL</v>
      </c>
      <c r="R74" t="str" cm="1">
        <f t="array" aca="1" ref="R74" ca="1">VLOOKUP(INDIRECT("A"&amp;ROW()), 'Recent Changes'!A:G, 4, FALSE)</f>
        <v>NULL</v>
      </c>
      <c r="S74" t="str" cm="1">
        <f t="array" aca="1" ref="S74" ca="1">VLOOKUP(INDIRECT("A"&amp;ROW()), 'Recent Changes'!A:G, 5, FALSE)</f>
        <v>2024-01-02T23:39:22Z</v>
      </c>
      <c r="T74" t="str" cm="1">
        <f t="array" aca="1" ref="T74" ca="1">VLOOKUP(INDIRECT("A"&amp;ROW()), 'Recent Changes'!A:G, 6, FALSE)</f>
        <v>NULL</v>
      </c>
      <c r="U74" t="str" cm="1">
        <f t="array" aca="1" ref="U74" ca="1">VLOOKUP(INDIRECT("A"&amp;ROW()), 'Recent Changes'!A:G, 7, FALSE)</f>
        <v>2023-09-28T16:15:34Z</v>
      </c>
      <c r="V74" t="str" cm="1">
        <f t="array" aca="1" ref="V74" ca="1">VLOOKUP(INDIRECT("A"&amp;ROW()), 'Recent Changes'!A:H, 8, FALSE)</f>
        <v>2024-01-03T07:05:36Z</v>
      </c>
    </row>
    <row r="75" spans="1:22" x14ac:dyDescent="0.25">
      <c r="A75">
        <v>14944018</v>
      </c>
      <c r="B75" t="s">
        <v>433</v>
      </c>
      <c r="C75">
        <v>115</v>
      </c>
      <c r="G75" t="s" cm="1">
        <v>442</v>
      </c>
      <c r="H75">
        <v>45196</v>
      </c>
      <c r="I75" t="s">
        <v>15</v>
      </c>
      <c r="J75" t="s">
        <v>24</v>
      </c>
      <c r="K75" t="s">
        <v>44</v>
      </c>
      <c r="L75" t="s">
        <v>2077</v>
      </c>
      <c r="M75" t="s">
        <v>76</v>
      </c>
      <c r="N75" t="s">
        <v>2231</v>
      </c>
      <c r="O75" t="s">
        <v>431</v>
      </c>
      <c r="P75" t="e" cm="1">
        <f t="array" aca="1" ref="P75" ca="1">VLOOKUP(INDIRECT("A"&amp;ROW()), 'Recent Changes'!A:G, 2, FALSE)</f>
        <v>#N/A</v>
      </c>
      <c r="Q75" t="e" cm="1">
        <f t="array" aca="1" ref="Q75" ca="1">VLOOKUP(INDIRECT("A"&amp;ROW()), 'Recent Changes'!A:G, 3, FALSE)</f>
        <v>#N/A</v>
      </c>
      <c r="R75" t="e" cm="1">
        <f t="array" aca="1" ref="R75" ca="1">VLOOKUP(INDIRECT("A"&amp;ROW()), 'Recent Changes'!A:G, 4, FALSE)</f>
        <v>#N/A</v>
      </c>
      <c r="S75" t="e" cm="1">
        <f t="array" aca="1" ref="S75" ca="1">VLOOKUP(INDIRECT("A"&amp;ROW()), 'Recent Changes'!A:G, 5, FALSE)</f>
        <v>#N/A</v>
      </c>
      <c r="T75" t="e" cm="1">
        <f t="array" aca="1" ref="T75" ca="1">VLOOKUP(INDIRECT("A"&amp;ROW()), 'Recent Changes'!A:G, 6, FALSE)</f>
        <v>#N/A</v>
      </c>
      <c r="U75" t="e" cm="1">
        <f t="array" aca="1" ref="U75" ca="1">VLOOKUP(INDIRECT("A"&amp;ROW()), 'Recent Changes'!A:G, 7, FALSE)</f>
        <v>#N/A</v>
      </c>
      <c r="V75" t="e" cm="1">
        <f t="array" aca="1" ref="V75" ca="1">VLOOKUP(INDIRECT("A"&amp;ROW()), 'Recent Changes'!A:H, 8, FALSE)</f>
        <v>#N/A</v>
      </c>
    </row>
    <row r="76" spans="1:22" x14ac:dyDescent="0.25">
      <c r="A76">
        <v>17167949</v>
      </c>
      <c r="B76" t="s" cm="1">
        <v>430</v>
      </c>
      <c r="C76">
        <v>115</v>
      </c>
      <c r="G76" t="e" cm="1">
        <v>#N/A</v>
      </c>
      <c r="H76" t="s">
        <v>14</v>
      </c>
      <c r="I76" t="s">
        <v>14</v>
      </c>
      <c r="J76" t="s">
        <v>30</v>
      </c>
      <c r="K76" t="s">
        <v>390</v>
      </c>
      <c r="L76" t="s">
        <v>55</v>
      </c>
      <c r="M76" t="s">
        <v>76</v>
      </c>
      <c r="N76" t="s">
        <v>83</v>
      </c>
      <c r="P76" t="str" cm="1">
        <f t="array" aca="1" ref="P76" ca="1">VLOOKUP(INDIRECT("A"&amp;ROW()), 'Recent Changes'!A:G, 2, FALSE)</f>
        <v>2023-12-20T13:38:58Z</v>
      </c>
      <c r="Q76" t="str" cm="1">
        <f t="array" aca="1" ref="Q76" ca="1">VLOOKUP(INDIRECT("A"&amp;ROW()), 'Recent Changes'!A:G, 3, FALSE)</f>
        <v>NULL</v>
      </c>
      <c r="R76" t="str" cm="1">
        <f t="array" aca="1" ref="R76" ca="1">VLOOKUP(INDIRECT("A"&amp;ROW()), 'Recent Changes'!A:G, 4, FALSE)</f>
        <v>NULL</v>
      </c>
      <c r="S76" t="str" cm="1">
        <f t="array" aca="1" ref="S76" ca="1">VLOOKUP(INDIRECT("A"&amp;ROW()), 'Recent Changes'!A:G, 5, FALSE)</f>
        <v>2023-12-20T13:25:57Z</v>
      </c>
      <c r="T76" t="str" cm="1">
        <f t="array" aca="1" ref="T76" ca="1">VLOOKUP(INDIRECT("A"&amp;ROW()), 'Recent Changes'!A:G, 6, FALSE)</f>
        <v>NULL</v>
      </c>
      <c r="U76" t="str" cm="1">
        <f t="array" aca="1" ref="U76" ca="1">VLOOKUP(INDIRECT("A"&amp;ROW()), 'Recent Changes'!A:G, 7, FALSE)</f>
        <v>2023-10-04T16:09:40Z</v>
      </c>
      <c r="V76" t="str" cm="1">
        <f t="array" aca="1" ref="V76" ca="1">VLOOKUP(INDIRECT("A"&amp;ROW()), 'Recent Changes'!A:H, 8, FALSE)</f>
        <v>2023-12-20T16:33:51Z</v>
      </c>
    </row>
    <row r="77" spans="1:22" x14ac:dyDescent="0.25">
      <c r="A77">
        <v>16888230</v>
      </c>
      <c r="B77" t="s">
        <v>433</v>
      </c>
      <c r="C77">
        <v>111</v>
      </c>
      <c r="G77" t="s" cm="1">
        <v>442</v>
      </c>
      <c r="H77">
        <v>45203</v>
      </c>
      <c r="I77" t="s">
        <v>15</v>
      </c>
      <c r="J77" t="s">
        <v>32</v>
      </c>
      <c r="K77" t="s">
        <v>44</v>
      </c>
      <c r="L77" t="s">
        <v>392</v>
      </c>
      <c r="M77" t="s">
        <v>76</v>
      </c>
      <c r="N77" t="s">
        <v>2232</v>
      </c>
      <c r="O77" t="s">
        <v>431</v>
      </c>
      <c r="P77" t="e" cm="1">
        <f t="array" aca="1" ref="P77" ca="1">VLOOKUP(INDIRECT("A"&amp;ROW()), 'Recent Changes'!A:G, 2, FALSE)</f>
        <v>#N/A</v>
      </c>
      <c r="Q77" t="e" cm="1">
        <f t="array" aca="1" ref="Q77" ca="1">VLOOKUP(INDIRECT("A"&amp;ROW()), 'Recent Changes'!A:G, 3, FALSE)</f>
        <v>#N/A</v>
      </c>
      <c r="R77" t="e" cm="1">
        <f t="array" aca="1" ref="R77" ca="1">VLOOKUP(INDIRECT("A"&amp;ROW()), 'Recent Changes'!A:G, 4, FALSE)</f>
        <v>#N/A</v>
      </c>
      <c r="S77" t="e" cm="1">
        <f t="array" aca="1" ref="S77" ca="1">VLOOKUP(INDIRECT("A"&amp;ROW()), 'Recent Changes'!A:G, 5, FALSE)</f>
        <v>#N/A</v>
      </c>
      <c r="T77" t="e" cm="1">
        <f t="array" aca="1" ref="T77" ca="1">VLOOKUP(INDIRECT("A"&amp;ROW()), 'Recent Changes'!A:G, 6, FALSE)</f>
        <v>#N/A</v>
      </c>
      <c r="U77" t="e" cm="1">
        <f t="array" aca="1" ref="U77" ca="1">VLOOKUP(INDIRECT("A"&amp;ROW()), 'Recent Changes'!A:G, 7, FALSE)</f>
        <v>#N/A</v>
      </c>
      <c r="V77" t="e" cm="1">
        <f t="array" aca="1" ref="V77" ca="1">VLOOKUP(INDIRECT("A"&amp;ROW()), 'Recent Changes'!A:H, 8, FALSE)</f>
        <v>#N/A</v>
      </c>
    </row>
    <row r="78" spans="1:22" x14ac:dyDescent="0.25">
      <c r="A78">
        <v>16313577</v>
      </c>
      <c r="B78" t="s">
        <v>433</v>
      </c>
      <c r="C78">
        <v>110</v>
      </c>
      <c r="G78" t="s" cm="1">
        <v>442</v>
      </c>
      <c r="H78" t="s">
        <v>14</v>
      </c>
      <c r="I78" t="s">
        <v>14</v>
      </c>
      <c r="J78" t="s">
        <v>29</v>
      </c>
      <c r="K78" t="s">
        <v>43</v>
      </c>
      <c r="L78" t="s">
        <v>2078</v>
      </c>
      <c r="M78" t="s">
        <v>76</v>
      </c>
      <c r="N78" t="s">
        <v>83</v>
      </c>
      <c r="P78" t="str" cm="1">
        <f t="array" aca="1" ref="P78" ca="1">VLOOKUP(INDIRECT("A"&amp;ROW()), 'Recent Changes'!A:G, 2, FALSE)</f>
        <v>NULL</v>
      </c>
      <c r="Q78" t="str" cm="1">
        <f t="array" aca="1" ref="Q78" ca="1">VLOOKUP(INDIRECT("A"&amp;ROW()), 'Recent Changes'!A:G, 3, FALSE)</f>
        <v>NULL</v>
      </c>
      <c r="R78" t="str" cm="1">
        <f t="array" aca="1" ref="R78" ca="1">VLOOKUP(INDIRECT("A"&amp;ROW()), 'Recent Changes'!A:G, 4, FALSE)</f>
        <v>NULL</v>
      </c>
      <c r="S78" t="str" cm="1">
        <f t="array" aca="1" ref="S78" ca="1">VLOOKUP(INDIRECT("A"&amp;ROW()), 'Recent Changes'!A:G, 5, FALSE)</f>
        <v>2023-09-20T23:36:57Z</v>
      </c>
      <c r="T78" t="str" cm="1">
        <f t="array" aca="1" ref="T78" ca="1">VLOOKUP(INDIRECT("A"&amp;ROW()), 'Recent Changes'!A:G, 6, FALSE)</f>
        <v>NULL</v>
      </c>
      <c r="U78" t="str" cm="1">
        <f t="array" aca="1" ref="U78" ca="1">VLOOKUP(INDIRECT("A"&amp;ROW()), 'Recent Changes'!A:G, 7, FALSE)</f>
        <v>2023-09-20T23:34:14Z</v>
      </c>
      <c r="V78" t="str" cm="1">
        <f t="array" aca="1" ref="V78" ca="1">VLOOKUP(INDIRECT("A"&amp;ROW()), 'Recent Changes'!A:H, 8, FALSE)</f>
        <v>2023-09-21T07:31:21Z</v>
      </c>
    </row>
    <row r="79" spans="1:22" x14ac:dyDescent="0.25">
      <c r="A79">
        <v>17192566</v>
      </c>
      <c r="B79" t="s">
        <v>433</v>
      </c>
      <c r="C79">
        <v>109</v>
      </c>
      <c r="G79" t="s" cm="1">
        <v>442</v>
      </c>
      <c r="H79">
        <v>45239</v>
      </c>
      <c r="I79" t="s">
        <v>15</v>
      </c>
      <c r="J79" t="s">
        <v>22</v>
      </c>
      <c r="K79" t="s">
        <v>388</v>
      </c>
      <c r="L79" t="s">
        <v>1441</v>
      </c>
      <c r="M79" t="s">
        <v>79</v>
      </c>
      <c r="N79" t="s">
        <v>1355</v>
      </c>
      <c r="O79" t="s">
        <v>431</v>
      </c>
      <c r="P79" t="e" cm="1">
        <f t="array" aca="1" ref="P79" ca="1">VLOOKUP(INDIRECT("A"&amp;ROW()), 'Recent Changes'!A:G, 2, FALSE)</f>
        <v>#N/A</v>
      </c>
      <c r="Q79" t="e" cm="1">
        <f t="array" aca="1" ref="Q79" ca="1">VLOOKUP(INDIRECT("A"&amp;ROW()), 'Recent Changes'!A:G, 3, FALSE)</f>
        <v>#N/A</v>
      </c>
      <c r="R79" t="e" cm="1">
        <f t="array" aca="1" ref="R79" ca="1">VLOOKUP(INDIRECT("A"&amp;ROW()), 'Recent Changes'!A:G, 4, FALSE)</f>
        <v>#N/A</v>
      </c>
      <c r="S79" t="e" cm="1">
        <f t="array" aca="1" ref="S79" ca="1">VLOOKUP(INDIRECT("A"&amp;ROW()), 'Recent Changes'!A:G, 5, FALSE)</f>
        <v>#N/A</v>
      </c>
      <c r="T79" t="e" cm="1">
        <f t="array" aca="1" ref="T79" ca="1">VLOOKUP(INDIRECT("A"&amp;ROW()), 'Recent Changes'!A:G, 6, FALSE)</f>
        <v>#N/A</v>
      </c>
      <c r="U79" t="e" cm="1">
        <f t="array" aca="1" ref="U79" ca="1">VLOOKUP(INDIRECT("A"&amp;ROW()), 'Recent Changes'!A:G, 7, FALSE)</f>
        <v>#N/A</v>
      </c>
      <c r="V79" t="e" cm="1">
        <f t="array" aca="1" ref="V79" ca="1">VLOOKUP(INDIRECT("A"&amp;ROW()), 'Recent Changes'!A:H, 8, FALSE)</f>
        <v>#N/A</v>
      </c>
    </row>
    <row r="80" spans="1:22" x14ac:dyDescent="0.25">
      <c r="A80">
        <v>12017303</v>
      </c>
      <c r="B80" t="s">
        <v>433</v>
      </c>
      <c r="C80">
        <v>108</v>
      </c>
      <c r="G80" t="s" cm="1">
        <v>442</v>
      </c>
      <c r="H80">
        <v>45191</v>
      </c>
      <c r="I80" t="s">
        <v>15</v>
      </c>
      <c r="J80" t="s">
        <v>24</v>
      </c>
      <c r="K80" t="s">
        <v>44</v>
      </c>
      <c r="L80" t="s">
        <v>60</v>
      </c>
      <c r="M80" t="s">
        <v>76</v>
      </c>
      <c r="N80" t="s">
        <v>2233</v>
      </c>
      <c r="O80" t="s">
        <v>431</v>
      </c>
      <c r="P80" t="e" cm="1">
        <f t="array" aca="1" ref="P80" ca="1">VLOOKUP(INDIRECT("A"&amp;ROW()), 'Recent Changes'!A:G, 2, FALSE)</f>
        <v>#N/A</v>
      </c>
      <c r="Q80" t="e" cm="1">
        <f t="array" aca="1" ref="Q80" ca="1">VLOOKUP(INDIRECT("A"&amp;ROW()), 'Recent Changes'!A:G, 3, FALSE)</f>
        <v>#N/A</v>
      </c>
      <c r="R80" t="e" cm="1">
        <f t="array" aca="1" ref="R80" ca="1">VLOOKUP(INDIRECT("A"&amp;ROW()), 'Recent Changes'!A:G, 4, FALSE)</f>
        <v>#N/A</v>
      </c>
      <c r="S80" t="e" cm="1">
        <f t="array" aca="1" ref="S80" ca="1">VLOOKUP(INDIRECT("A"&amp;ROW()), 'Recent Changes'!A:G, 5, FALSE)</f>
        <v>#N/A</v>
      </c>
      <c r="T80" t="e" cm="1">
        <f t="array" aca="1" ref="T80" ca="1">VLOOKUP(INDIRECT("A"&amp;ROW()), 'Recent Changes'!A:G, 6, FALSE)</f>
        <v>#N/A</v>
      </c>
      <c r="U80" t="e" cm="1">
        <f t="array" aca="1" ref="U80" ca="1">VLOOKUP(INDIRECT("A"&amp;ROW()), 'Recent Changes'!A:G, 7, FALSE)</f>
        <v>#N/A</v>
      </c>
      <c r="V80" t="e" cm="1">
        <f t="array" aca="1" ref="V80" ca="1">VLOOKUP(INDIRECT("A"&amp;ROW()), 'Recent Changes'!A:H, 8, FALSE)</f>
        <v>#N/A</v>
      </c>
    </row>
    <row r="81" spans="1:22" x14ac:dyDescent="0.25">
      <c r="A81">
        <v>17200617</v>
      </c>
      <c r="B81" t="s">
        <v>433</v>
      </c>
      <c r="C81">
        <v>108</v>
      </c>
      <c r="G81" t="s" cm="1">
        <v>442</v>
      </c>
      <c r="H81">
        <v>45224</v>
      </c>
      <c r="I81" t="s">
        <v>15</v>
      </c>
      <c r="J81" t="s">
        <v>18</v>
      </c>
      <c r="K81" t="s">
        <v>44</v>
      </c>
      <c r="L81" t="s">
        <v>2079</v>
      </c>
      <c r="M81" t="s">
        <v>76</v>
      </c>
      <c r="N81" t="s">
        <v>2234</v>
      </c>
      <c r="O81" t="s">
        <v>431</v>
      </c>
      <c r="P81" t="e" cm="1">
        <f t="array" aca="1" ref="P81" ca="1">VLOOKUP(INDIRECT("A"&amp;ROW()), 'Recent Changes'!A:G, 2, FALSE)</f>
        <v>#N/A</v>
      </c>
      <c r="Q81" t="e" cm="1">
        <f t="array" aca="1" ref="Q81" ca="1">VLOOKUP(INDIRECT("A"&amp;ROW()), 'Recent Changes'!A:G, 3, FALSE)</f>
        <v>#N/A</v>
      </c>
      <c r="R81" t="e" cm="1">
        <f t="array" aca="1" ref="R81" ca="1">VLOOKUP(INDIRECT("A"&amp;ROW()), 'Recent Changes'!A:G, 4, FALSE)</f>
        <v>#N/A</v>
      </c>
      <c r="S81" t="e" cm="1">
        <f t="array" aca="1" ref="S81" ca="1">VLOOKUP(INDIRECT("A"&amp;ROW()), 'Recent Changes'!A:G, 5, FALSE)</f>
        <v>#N/A</v>
      </c>
      <c r="T81" t="e" cm="1">
        <f t="array" aca="1" ref="T81" ca="1">VLOOKUP(INDIRECT("A"&amp;ROW()), 'Recent Changes'!A:G, 6, FALSE)</f>
        <v>#N/A</v>
      </c>
      <c r="U81" t="e" cm="1">
        <f t="array" aca="1" ref="U81" ca="1">VLOOKUP(INDIRECT("A"&amp;ROW()), 'Recent Changes'!A:G, 7, FALSE)</f>
        <v>#N/A</v>
      </c>
      <c r="V81" t="e" cm="1">
        <f t="array" aca="1" ref="V81" ca="1">VLOOKUP(INDIRECT("A"&amp;ROW()), 'Recent Changes'!A:H, 8, FALSE)</f>
        <v>#N/A</v>
      </c>
    </row>
    <row r="82" spans="1:22" x14ac:dyDescent="0.25">
      <c r="A82">
        <v>17203341</v>
      </c>
      <c r="B82" t="s" cm="1">
        <v>430</v>
      </c>
      <c r="C82">
        <v>107</v>
      </c>
      <c r="G82" t="e" cm="1">
        <v>#N/A</v>
      </c>
      <c r="H82" t="s">
        <v>14</v>
      </c>
      <c r="I82" t="s">
        <v>379</v>
      </c>
      <c r="J82" t="s">
        <v>30</v>
      </c>
      <c r="K82" t="s">
        <v>52</v>
      </c>
      <c r="L82" t="s">
        <v>1433</v>
      </c>
      <c r="M82" t="s">
        <v>76</v>
      </c>
      <c r="N82" t="s">
        <v>83</v>
      </c>
      <c r="P82" t="str" cm="1">
        <f t="array" aca="1" ref="P82" ca="1">VLOOKUP(INDIRECT("A"&amp;ROW()), 'Recent Changes'!A:G, 2, FALSE)</f>
        <v>NULL</v>
      </c>
      <c r="Q82" t="str" cm="1">
        <f t="array" aca="1" ref="Q82" ca="1">VLOOKUP(INDIRECT("A"&amp;ROW()), 'Recent Changes'!A:G, 3, FALSE)</f>
        <v>NULL</v>
      </c>
      <c r="R82" t="str" cm="1">
        <f t="array" aca="1" ref="R82" ca="1">VLOOKUP(INDIRECT("A"&amp;ROW()), 'Recent Changes'!A:G, 4, FALSE)</f>
        <v>NULL</v>
      </c>
      <c r="S82" t="str" cm="1">
        <f t="array" aca="1" ref="S82" ca="1">VLOOKUP(INDIRECT("A"&amp;ROW()), 'Recent Changes'!A:G, 5, FALSE)</f>
        <v>2024-01-05T14:19:54Z</v>
      </c>
      <c r="T82" t="str" cm="1">
        <f t="array" aca="1" ref="T82" ca="1">VLOOKUP(INDIRECT("A"&amp;ROW()), 'Recent Changes'!A:G, 6, FALSE)</f>
        <v>NULL</v>
      </c>
      <c r="U82" t="str" cm="1">
        <f t="array" aca="1" ref="U82" ca="1">VLOOKUP(INDIRECT("A"&amp;ROW()), 'Recent Changes'!A:G, 7, FALSE)</f>
        <v>2023-10-12T17:39:17Z</v>
      </c>
      <c r="V82" t="str" cm="1">
        <f t="array" aca="1" ref="V82" ca="1">VLOOKUP(INDIRECT("A"&amp;ROW()), 'Recent Changes'!A:H, 8, FALSE)</f>
        <v>2023-12-22T16:03:24Z</v>
      </c>
    </row>
    <row r="83" spans="1:22" x14ac:dyDescent="0.25">
      <c r="A83">
        <v>17204555</v>
      </c>
      <c r="B83" t="s" cm="1">
        <v>430</v>
      </c>
      <c r="C83">
        <v>105</v>
      </c>
      <c r="G83" t="s" cm="1">
        <v>442</v>
      </c>
      <c r="H83" t="s">
        <v>14</v>
      </c>
      <c r="I83" t="s">
        <v>14</v>
      </c>
      <c r="J83" t="s">
        <v>30</v>
      </c>
      <c r="K83" t="s">
        <v>43</v>
      </c>
      <c r="L83" t="s">
        <v>395</v>
      </c>
      <c r="M83" t="s">
        <v>76</v>
      </c>
      <c r="N83" t="s">
        <v>83</v>
      </c>
      <c r="P83" t="str" cm="1">
        <f t="array" aca="1" ref="P83" ca="1">VLOOKUP(INDIRECT("A"&amp;ROW()), 'Recent Changes'!A:G, 2, FALSE)</f>
        <v>NULL</v>
      </c>
      <c r="Q83" t="str" cm="1">
        <f t="array" aca="1" ref="Q83" ca="1">VLOOKUP(INDIRECT("A"&amp;ROW()), 'Recent Changes'!A:G, 3, FALSE)</f>
        <v>NULL</v>
      </c>
      <c r="R83" t="str" cm="1">
        <f t="array" aca="1" ref="R83" ca="1">VLOOKUP(INDIRECT("A"&amp;ROW()), 'Recent Changes'!A:G, 4, FALSE)</f>
        <v>NULL</v>
      </c>
      <c r="S83" t="str" cm="1">
        <f t="array" aca="1" ref="S83" ca="1">VLOOKUP(INDIRECT("A"&amp;ROW()), 'Recent Changes'!A:G, 5, FALSE)</f>
        <v>2023-11-24T13:41:01Z</v>
      </c>
      <c r="T83" t="str" cm="1">
        <f t="array" aca="1" ref="T83" ca="1">VLOOKUP(INDIRECT("A"&amp;ROW()), 'Recent Changes'!A:G, 6, FALSE)</f>
        <v>NULL</v>
      </c>
      <c r="U83" t="str" cm="1">
        <f t="array" aca="1" ref="U83" ca="1">VLOOKUP(INDIRECT("A"&amp;ROW()), 'Recent Changes'!A:G, 7, FALSE)</f>
        <v>2023-10-12T15:41:27Z</v>
      </c>
      <c r="V83" t="str" cm="1">
        <f t="array" aca="1" ref="V83" ca="1">VLOOKUP(INDIRECT("A"&amp;ROW()), 'Recent Changes'!A:H, 8, FALSE)</f>
        <v>2023-11-24T16:10:28Z</v>
      </c>
    </row>
    <row r="84" spans="1:22" x14ac:dyDescent="0.25">
      <c r="A84">
        <v>16334582</v>
      </c>
      <c r="B84" t="s" cm="1">
        <v>433</v>
      </c>
      <c r="C84">
        <v>104</v>
      </c>
      <c r="G84" t="e" cm="1">
        <v>#N/A</v>
      </c>
      <c r="H84" t="s">
        <v>14</v>
      </c>
      <c r="I84" t="s">
        <v>14</v>
      </c>
      <c r="J84" t="s">
        <v>30</v>
      </c>
      <c r="K84" t="s">
        <v>44</v>
      </c>
      <c r="L84" t="s">
        <v>2080</v>
      </c>
      <c r="M84" t="s">
        <v>2186</v>
      </c>
      <c r="N84" t="s">
        <v>2235</v>
      </c>
      <c r="P84" t="e" cm="1">
        <f t="array" aca="1" ref="P84" ca="1">VLOOKUP(INDIRECT("A"&amp;ROW()), 'Recent Changes'!A:G, 2, FALSE)</f>
        <v>#N/A</v>
      </c>
      <c r="Q84" t="e" cm="1">
        <f t="array" aca="1" ref="Q84" ca="1">VLOOKUP(INDIRECT("A"&amp;ROW()), 'Recent Changes'!A:G, 3, FALSE)</f>
        <v>#N/A</v>
      </c>
      <c r="R84" t="e" cm="1">
        <f t="array" aca="1" ref="R84" ca="1">VLOOKUP(INDIRECT("A"&amp;ROW()), 'Recent Changes'!A:G, 4, FALSE)</f>
        <v>#N/A</v>
      </c>
      <c r="S84" t="e" cm="1">
        <f t="array" aca="1" ref="S84" ca="1">VLOOKUP(INDIRECT("A"&amp;ROW()), 'Recent Changes'!A:G, 5, FALSE)</f>
        <v>#N/A</v>
      </c>
      <c r="T84" t="e" cm="1">
        <f t="array" aca="1" ref="T84" ca="1">VLOOKUP(INDIRECT("A"&amp;ROW()), 'Recent Changes'!A:G, 6, FALSE)</f>
        <v>#N/A</v>
      </c>
      <c r="U84" t="e" cm="1">
        <f t="array" aca="1" ref="U84" ca="1">VLOOKUP(INDIRECT("A"&amp;ROW()), 'Recent Changes'!A:G, 7, FALSE)</f>
        <v>#N/A</v>
      </c>
      <c r="V84" t="e" cm="1">
        <f t="array" aca="1" ref="V84" ca="1">VLOOKUP(INDIRECT("A"&amp;ROW()), 'Recent Changes'!A:H, 8, FALSE)</f>
        <v>#N/A</v>
      </c>
    </row>
    <row r="85" spans="1:22" x14ac:dyDescent="0.25">
      <c r="A85">
        <v>17210198</v>
      </c>
      <c r="B85" t="s" cm="1">
        <v>430</v>
      </c>
      <c r="C85">
        <v>104</v>
      </c>
      <c r="G85" t="s" cm="1">
        <v>442</v>
      </c>
      <c r="H85" t="s">
        <v>14</v>
      </c>
      <c r="I85" t="s">
        <v>14</v>
      </c>
      <c r="J85" t="s">
        <v>30</v>
      </c>
      <c r="K85" t="s">
        <v>53</v>
      </c>
      <c r="L85" t="s">
        <v>58</v>
      </c>
      <c r="M85" t="s">
        <v>76</v>
      </c>
      <c r="N85" t="s">
        <v>83</v>
      </c>
      <c r="P85" t="str" cm="1">
        <f t="array" aca="1" ref="P85" ca="1">VLOOKUP(INDIRECT("A"&amp;ROW()), 'Recent Changes'!A:G, 2, FALSE)</f>
        <v>NULL</v>
      </c>
      <c r="Q85" t="str" cm="1">
        <f t="array" aca="1" ref="Q85" ca="1">VLOOKUP(INDIRECT("A"&amp;ROW()), 'Recent Changes'!A:G, 3, FALSE)</f>
        <v>NULL</v>
      </c>
      <c r="R85" t="str" cm="1">
        <f t="array" aca="1" ref="R85" ca="1">VLOOKUP(INDIRECT("A"&amp;ROW()), 'Recent Changes'!A:G, 4, FALSE)</f>
        <v>NULL</v>
      </c>
      <c r="S85" t="str" cm="1">
        <f t="array" aca="1" ref="S85" ca="1">VLOOKUP(INDIRECT("A"&amp;ROW()), 'Recent Changes'!A:G, 5, FALSE)</f>
        <v>2023-11-27T03:07:53Z</v>
      </c>
      <c r="T85" t="str" cm="1">
        <f t="array" aca="1" ref="T85" ca="1">VLOOKUP(INDIRECT("A"&amp;ROW()), 'Recent Changes'!A:G, 6, FALSE)</f>
        <v>NULL</v>
      </c>
      <c r="U85" t="str" cm="1">
        <f t="array" aca="1" ref="U85" ca="1">VLOOKUP(INDIRECT("A"&amp;ROW()), 'Recent Changes'!A:G, 7, FALSE)</f>
        <v>2023-10-16T17:03:27Z</v>
      </c>
      <c r="V85" t="str" cm="1">
        <f t="array" aca="1" ref="V85" ca="1">VLOOKUP(INDIRECT("A"&amp;ROW()), 'Recent Changes'!A:H, 8, FALSE)</f>
        <v>2023-11-27T07:25:48Z</v>
      </c>
    </row>
    <row r="86" spans="1:22" x14ac:dyDescent="0.25">
      <c r="A86">
        <v>17210862</v>
      </c>
      <c r="B86" t="s" cm="1">
        <v>430</v>
      </c>
      <c r="C86">
        <v>104</v>
      </c>
      <c r="G86" t="e" cm="1">
        <v>#N/A</v>
      </c>
      <c r="H86" t="s">
        <v>14</v>
      </c>
      <c r="I86" t="s">
        <v>379</v>
      </c>
      <c r="J86" t="s">
        <v>30</v>
      </c>
      <c r="K86" t="s">
        <v>50</v>
      </c>
      <c r="L86" t="s">
        <v>58</v>
      </c>
      <c r="M86" t="s">
        <v>76</v>
      </c>
      <c r="N86" t="s">
        <v>83</v>
      </c>
      <c r="P86" t="str" cm="1">
        <f t="array" aca="1" ref="P86" ca="1">VLOOKUP(INDIRECT("A"&amp;ROW()), 'Recent Changes'!A:G, 2, FALSE)</f>
        <v>NULL</v>
      </c>
      <c r="Q86" t="str" cm="1">
        <f t="array" aca="1" ref="Q86" ca="1">VLOOKUP(INDIRECT("A"&amp;ROW()), 'Recent Changes'!A:G, 3, FALSE)</f>
        <v>NULL</v>
      </c>
      <c r="R86" t="str" cm="1">
        <f t="array" aca="1" ref="R86" ca="1">VLOOKUP(INDIRECT("A"&amp;ROW()), 'Recent Changes'!A:G, 4, FALSE)</f>
        <v>NULL</v>
      </c>
      <c r="S86" t="str" cm="1">
        <f t="array" aca="1" ref="S86" ca="1">VLOOKUP(INDIRECT("A"&amp;ROW()), 'Recent Changes'!A:G, 5, FALSE)</f>
        <v>2023-12-12T23:40:19Z</v>
      </c>
      <c r="T86" t="str" cm="1">
        <f t="array" aca="1" ref="T86" ca="1">VLOOKUP(INDIRECT("A"&amp;ROW()), 'Recent Changes'!A:G, 6, FALSE)</f>
        <v>NULL</v>
      </c>
      <c r="U86" t="str" cm="1">
        <f t="array" aca="1" ref="U86" ca="1">VLOOKUP(INDIRECT("A"&amp;ROW()), 'Recent Changes'!A:G, 7, FALSE)</f>
        <v>2023-10-12T18:14:46Z</v>
      </c>
      <c r="V86" t="str" cm="1">
        <f t="array" aca="1" ref="V86" ca="1">VLOOKUP(INDIRECT("A"&amp;ROW()), 'Recent Changes'!A:H, 8, FALSE)</f>
        <v>2023-12-13T07:50:38Z</v>
      </c>
    </row>
    <row r="87" spans="1:22" x14ac:dyDescent="0.25">
      <c r="A87">
        <v>17210947</v>
      </c>
      <c r="B87" t="s" cm="1">
        <v>430</v>
      </c>
      <c r="C87">
        <v>104</v>
      </c>
      <c r="G87" t="s" cm="1">
        <v>442</v>
      </c>
      <c r="H87" t="s">
        <v>14</v>
      </c>
      <c r="I87" t="s">
        <v>14</v>
      </c>
      <c r="J87" t="s">
        <v>30</v>
      </c>
      <c r="K87" t="s">
        <v>53</v>
      </c>
      <c r="L87" t="s">
        <v>58</v>
      </c>
      <c r="M87" t="s">
        <v>76</v>
      </c>
      <c r="N87" t="s">
        <v>83</v>
      </c>
      <c r="P87" t="str" cm="1">
        <f t="array" aca="1" ref="P87" ca="1">VLOOKUP(INDIRECT("A"&amp;ROW()), 'Recent Changes'!A:G, 2, FALSE)</f>
        <v>NULL</v>
      </c>
      <c r="Q87" t="str" cm="1">
        <f t="array" aca="1" ref="Q87" ca="1">VLOOKUP(INDIRECT("A"&amp;ROW()), 'Recent Changes'!A:G, 3, FALSE)</f>
        <v>NULL</v>
      </c>
      <c r="R87" t="str" cm="1">
        <f t="array" aca="1" ref="R87" ca="1">VLOOKUP(INDIRECT("A"&amp;ROW()), 'Recent Changes'!A:G, 4, FALSE)</f>
        <v>NULL</v>
      </c>
      <c r="S87" t="str" cm="1">
        <f t="array" aca="1" ref="S87" ca="1">VLOOKUP(INDIRECT("A"&amp;ROW()), 'Recent Changes'!A:G, 5, FALSE)</f>
        <v>2023-11-28T22:12:29Z</v>
      </c>
      <c r="T87" t="str" cm="1">
        <f t="array" aca="1" ref="T87" ca="1">VLOOKUP(INDIRECT("A"&amp;ROW()), 'Recent Changes'!A:G, 6, FALSE)</f>
        <v>NULL</v>
      </c>
      <c r="U87" t="str" cm="1">
        <f t="array" aca="1" ref="U87" ca="1">VLOOKUP(INDIRECT("A"&amp;ROW()), 'Recent Changes'!A:G, 7, FALSE)</f>
        <v>2023-10-16T18:14:57Z</v>
      </c>
      <c r="V87" t="str" cm="1">
        <f t="array" aca="1" ref="V87" ca="1">VLOOKUP(INDIRECT("A"&amp;ROW()), 'Recent Changes'!A:H, 8, FALSE)</f>
        <v>2023-11-29T08:28:46Z</v>
      </c>
    </row>
    <row r="88" spans="1:22" x14ac:dyDescent="0.25">
      <c r="A88">
        <v>17214221</v>
      </c>
      <c r="B88" t="s">
        <v>433</v>
      </c>
      <c r="C88">
        <v>104</v>
      </c>
      <c r="G88" t="s" cm="1">
        <v>442</v>
      </c>
      <c r="H88" t="s">
        <v>14</v>
      </c>
      <c r="I88" t="s">
        <v>380</v>
      </c>
      <c r="J88" t="s">
        <v>23</v>
      </c>
      <c r="K88" t="s">
        <v>389</v>
      </c>
      <c r="L88" t="s">
        <v>2081</v>
      </c>
      <c r="M88" t="s">
        <v>76</v>
      </c>
      <c r="N88" t="s">
        <v>83</v>
      </c>
      <c r="P88" t="str" cm="1">
        <f t="array" aca="1" ref="P88" ca="1">VLOOKUP(INDIRECT("A"&amp;ROW()), 'Recent Changes'!A:G, 2, FALSE)</f>
        <v>2023-11-21T17:45:57Z</v>
      </c>
      <c r="Q88" t="str" cm="1">
        <f t="array" aca="1" ref="Q88" ca="1">VLOOKUP(INDIRECT("A"&amp;ROW()), 'Recent Changes'!A:G, 3, FALSE)</f>
        <v>NULL</v>
      </c>
      <c r="R88" t="str" cm="1">
        <f t="array" aca="1" ref="R88" ca="1">VLOOKUP(INDIRECT("A"&amp;ROW()), 'Recent Changes'!A:G, 4, FALSE)</f>
        <v>NULL</v>
      </c>
      <c r="S88" t="str" cm="1">
        <f t="array" aca="1" ref="S88" ca="1">VLOOKUP(INDIRECT("A"&amp;ROW()), 'Recent Changes'!A:G, 5, FALSE)</f>
        <v>NULL</v>
      </c>
      <c r="T88" t="str" cm="1">
        <f t="array" aca="1" ref="T88" ca="1">VLOOKUP(INDIRECT("A"&amp;ROW()), 'Recent Changes'!A:G, 6, FALSE)</f>
        <v>NULL</v>
      </c>
      <c r="U88" t="str" cm="1">
        <f t="array" aca="1" ref="U88" ca="1">VLOOKUP(INDIRECT("A"&amp;ROW()), 'Recent Changes'!A:G, 7, FALSE)</f>
        <v>NULL</v>
      </c>
      <c r="V88" t="str" cm="1">
        <f t="array" aca="1" ref="V88" ca="1">VLOOKUP(INDIRECT("A"&amp;ROW()), 'Recent Changes'!A:H, 8, FALSE)</f>
        <v>2023-11-21T21:27:22Z</v>
      </c>
    </row>
    <row r="89" spans="1:22" x14ac:dyDescent="0.25">
      <c r="A89">
        <v>17216609</v>
      </c>
      <c r="B89" t="s">
        <v>433</v>
      </c>
      <c r="C89">
        <v>103</v>
      </c>
      <c r="G89" t="e" cm="1">
        <v>#N/A</v>
      </c>
      <c r="H89" t="s">
        <v>14</v>
      </c>
      <c r="I89" t="s">
        <v>14</v>
      </c>
      <c r="J89" t="s">
        <v>29</v>
      </c>
      <c r="K89" t="s">
        <v>44</v>
      </c>
      <c r="L89" t="s">
        <v>2082</v>
      </c>
      <c r="M89" t="s">
        <v>555</v>
      </c>
      <c r="N89" t="s">
        <v>2236</v>
      </c>
      <c r="P89" t="e" cm="1">
        <f t="array" aca="1" ref="P89" ca="1">VLOOKUP(INDIRECT("A"&amp;ROW()), 'Recent Changes'!A:G, 2, FALSE)</f>
        <v>#N/A</v>
      </c>
      <c r="Q89" t="e" cm="1">
        <f t="array" aca="1" ref="Q89" ca="1">VLOOKUP(INDIRECT("A"&amp;ROW()), 'Recent Changes'!A:G, 3, FALSE)</f>
        <v>#N/A</v>
      </c>
      <c r="R89" t="e" cm="1">
        <f t="array" aca="1" ref="R89" ca="1">VLOOKUP(INDIRECT("A"&amp;ROW()), 'Recent Changes'!A:G, 4, FALSE)</f>
        <v>#N/A</v>
      </c>
      <c r="S89" t="e" cm="1">
        <f t="array" aca="1" ref="S89" ca="1">VLOOKUP(INDIRECT("A"&amp;ROW()), 'Recent Changes'!A:G, 5, FALSE)</f>
        <v>#N/A</v>
      </c>
      <c r="T89" t="e" cm="1">
        <f t="array" aca="1" ref="T89" ca="1">VLOOKUP(INDIRECT("A"&amp;ROW()), 'Recent Changes'!A:G, 6, FALSE)</f>
        <v>#N/A</v>
      </c>
      <c r="U89" t="e" cm="1">
        <f t="array" aca="1" ref="U89" ca="1">VLOOKUP(INDIRECT("A"&amp;ROW()), 'Recent Changes'!A:G, 7, FALSE)</f>
        <v>#N/A</v>
      </c>
      <c r="V89" t="e" cm="1">
        <f t="array" aca="1" ref="V89" ca="1">VLOOKUP(INDIRECT("A"&amp;ROW()), 'Recent Changes'!A:H, 8, FALSE)</f>
        <v>#N/A</v>
      </c>
    </row>
    <row r="90" spans="1:22" x14ac:dyDescent="0.25">
      <c r="A90">
        <v>17229794</v>
      </c>
      <c r="B90" t="s" cm="1">
        <v>430</v>
      </c>
      <c r="C90">
        <v>101</v>
      </c>
      <c r="G90" t="e" cm="1">
        <v>#N/A</v>
      </c>
      <c r="H90" t="s">
        <v>14</v>
      </c>
      <c r="I90" t="s">
        <v>14</v>
      </c>
      <c r="J90" t="s">
        <v>30</v>
      </c>
      <c r="K90" t="s">
        <v>52</v>
      </c>
      <c r="L90" t="s">
        <v>55</v>
      </c>
      <c r="M90" t="s">
        <v>76</v>
      </c>
      <c r="N90" t="s">
        <v>83</v>
      </c>
      <c r="P90" t="str" cm="1">
        <f t="array" aca="1" ref="P90" ca="1">VLOOKUP(INDIRECT("A"&amp;ROW()), 'Recent Changes'!A:G, 2, FALSE)</f>
        <v>NULL</v>
      </c>
      <c r="Q90" t="str" cm="1">
        <f t="array" aca="1" ref="Q90" ca="1">VLOOKUP(INDIRECT("A"&amp;ROW()), 'Recent Changes'!A:G, 3, FALSE)</f>
        <v>NULL</v>
      </c>
      <c r="R90" t="str" cm="1">
        <f t="array" aca="1" ref="R90" ca="1">VLOOKUP(INDIRECT("A"&amp;ROW()), 'Recent Changes'!A:G, 4, FALSE)</f>
        <v>NULL</v>
      </c>
      <c r="S90" t="str" cm="1">
        <f t="array" aca="1" ref="S90" ca="1">VLOOKUP(INDIRECT("A"&amp;ROW()), 'Recent Changes'!A:G, 5, FALSE)</f>
        <v>2023-12-24T16:22:21Z</v>
      </c>
      <c r="T90" t="str" cm="1">
        <f t="array" aca="1" ref="T90" ca="1">VLOOKUP(INDIRECT("A"&amp;ROW()), 'Recent Changes'!A:G, 6, FALSE)</f>
        <v>NULL</v>
      </c>
      <c r="U90" t="str" cm="1">
        <f t="array" aca="1" ref="U90" ca="1">VLOOKUP(INDIRECT("A"&amp;ROW()), 'Recent Changes'!A:G, 7, FALSE)</f>
        <v>2023-10-16T16:20:12Z</v>
      </c>
      <c r="V90" t="str" cm="1">
        <f t="array" aca="1" ref="V90" ca="1">VLOOKUP(INDIRECT("A"&amp;ROW()), 'Recent Changes'!A:H, 8, FALSE)</f>
        <v>2023-12-24T21:01:00Z</v>
      </c>
    </row>
    <row r="91" spans="1:22" x14ac:dyDescent="0.25">
      <c r="A91">
        <v>17234227</v>
      </c>
      <c r="B91" t="s">
        <v>433</v>
      </c>
      <c r="C91">
        <v>100</v>
      </c>
      <c r="G91" t="s" cm="1">
        <v>442</v>
      </c>
      <c r="H91">
        <v>45219</v>
      </c>
      <c r="I91" t="s">
        <v>15</v>
      </c>
      <c r="J91" t="s">
        <v>27</v>
      </c>
      <c r="K91" t="s">
        <v>44</v>
      </c>
      <c r="L91" t="s">
        <v>397</v>
      </c>
      <c r="M91" t="s">
        <v>76</v>
      </c>
      <c r="N91" t="s">
        <v>1573</v>
      </c>
      <c r="O91" t="s">
        <v>431</v>
      </c>
      <c r="P91" t="e" cm="1">
        <f t="array" aca="1" ref="P91" ca="1">VLOOKUP(INDIRECT("A"&amp;ROW()), 'Recent Changes'!A:G, 2, FALSE)</f>
        <v>#N/A</v>
      </c>
      <c r="Q91" t="e" cm="1">
        <f t="array" aca="1" ref="Q91" ca="1">VLOOKUP(INDIRECT("A"&amp;ROW()), 'Recent Changes'!A:G, 3, FALSE)</f>
        <v>#N/A</v>
      </c>
      <c r="R91" t="e" cm="1">
        <f t="array" aca="1" ref="R91" ca="1">VLOOKUP(INDIRECT("A"&amp;ROW()), 'Recent Changes'!A:G, 4, FALSE)</f>
        <v>#N/A</v>
      </c>
      <c r="S91" t="e" cm="1">
        <f t="array" aca="1" ref="S91" ca="1">VLOOKUP(INDIRECT("A"&amp;ROW()), 'Recent Changes'!A:G, 5, FALSE)</f>
        <v>#N/A</v>
      </c>
      <c r="T91" t="e" cm="1">
        <f t="array" aca="1" ref="T91" ca="1">VLOOKUP(INDIRECT("A"&amp;ROW()), 'Recent Changes'!A:G, 6, FALSE)</f>
        <v>#N/A</v>
      </c>
      <c r="U91" t="e" cm="1">
        <f t="array" aca="1" ref="U91" ca="1">VLOOKUP(INDIRECT("A"&amp;ROW()), 'Recent Changes'!A:G, 7, FALSE)</f>
        <v>#N/A</v>
      </c>
      <c r="V91" t="e" cm="1">
        <f t="array" aca="1" ref="V91" ca="1">VLOOKUP(INDIRECT("A"&amp;ROW()), 'Recent Changes'!A:H, 8, FALSE)</f>
        <v>#N/A</v>
      </c>
    </row>
    <row r="92" spans="1:22" x14ac:dyDescent="0.25">
      <c r="A92">
        <v>17234502</v>
      </c>
      <c r="B92" t="s">
        <v>433</v>
      </c>
      <c r="C92">
        <v>99</v>
      </c>
      <c r="G92" t="s" cm="1">
        <v>442</v>
      </c>
      <c r="H92" t="s">
        <v>14</v>
      </c>
      <c r="I92" t="s">
        <v>380</v>
      </c>
      <c r="J92" t="s">
        <v>376</v>
      </c>
      <c r="K92" t="s">
        <v>386</v>
      </c>
      <c r="L92" t="s">
        <v>2083</v>
      </c>
      <c r="M92" t="s">
        <v>76</v>
      </c>
      <c r="N92" t="s">
        <v>83</v>
      </c>
      <c r="P92" t="str" cm="1">
        <f t="array" aca="1" ref="P92" ca="1">VLOOKUP(INDIRECT("A"&amp;ROW()), 'Recent Changes'!A:G, 2, FALSE)</f>
        <v>NULL</v>
      </c>
      <c r="Q92" t="str" cm="1">
        <f t="array" aca="1" ref="Q92" ca="1">VLOOKUP(INDIRECT("A"&amp;ROW()), 'Recent Changes'!A:G, 3, FALSE)</f>
        <v>NULL</v>
      </c>
      <c r="R92" t="str" cm="1">
        <f t="array" aca="1" ref="R92" ca="1">VLOOKUP(INDIRECT("A"&amp;ROW()), 'Recent Changes'!A:G, 4, FALSE)</f>
        <v>NULL</v>
      </c>
      <c r="S92" t="str" cm="1">
        <f t="array" aca="1" ref="S92" ca="1">VLOOKUP(INDIRECT("A"&amp;ROW()), 'Recent Changes'!A:G, 5, FALSE)</f>
        <v>2023-12-19T21:59:43Z</v>
      </c>
      <c r="T92" t="str" cm="1">
        <f t="array" aca="1" ref="T92" ca="1">VLOOKUP(INDIRECT("A"&amp;ROW()), 'Recent Changes'!A:G, 6, FALSE)</f>
        <v>NULL</v>
      </c>
      <c r="U92" t="str" cm="1">
        <f t="array" aca="1" ref="U92" ca="1">VLOOKUP(INDIRECT("A"&amp;ROW()), 'Recent Changes'!A:G, 7, FALSE)</f>
        <v>NULL</v>
      </c>
      <c r="V92" t="str" cm="1">
        <f t="array" aca="1" ref="V92" ca="1">VLOOKUP(INDIRECT("A"&amp;ROW()), 'Recent Changes'!A:H, 8, FALSE)</f>
        <v>2023-11-21T07:42:06Z</v>
      </c>
    </row>
    <row r="93" spans="1:22" x14ac:dyDescent="0.25">
      <c r="A93">
        <v>17241512</v>
      </c>
      <c r="B93" t="s" cm="1">
        <v>430</v>
      </c>
      <c r="C93">
        <v>97</v>
      </c>
      <c r="G93" t="e" cm="1">
        <v>#N/A</v>
      </c>
      <c r="H93" t="s">
        <v>14</v>
      </c>
      <c r="I93" t="s">
        <v>14</v>
      </c>
      <c r="J93" t="s">
        <v>30</v>
      </c>
      <c r="K93" t="s">
        <v>43</v>
      </c>
      <c r="L93" t="s">
        <v>74</v>
      </c>
      <c r="M93" t="s">
        <v>76</v>
      </c>
      <c r="N93" t="s">
        <v>83</v>
      </c>
      <c r="P93" t="str" cm="1">
        <f t="array" aca="1" ref="P93" ca="1">VLOOKUP(INDIRECT("A"&amp;ROW()), 'Recent Changes'!A:G, 2, FALSE)</f>
        <v>2023-12-15T20:52:02Z</v>
      </c>
      <c r="Q93" t="str" cm="1">
        <f t="array" aca="1" ref="Q93" ca="1">VLOOKUP(INDIRECT("A"&amp;ROW()), 'Recent Changes'!A:G, 3, FALSE)</f>
        <v>NULL</v>
      </c>
      <c r="R93" t="str" cm="1">
        <f t="array" aca="1" ref="R93" ca="1">VLOOKUP(INDIRECT("A"&amp;ROW()), 'Recent Changes'!A:G, 4, FALSE)</f>
        <v>NULL</v>
      </c>
      <c r="S93" t="str" cm="1">
        <f t="array" aca="1" ref="S93" ca="1">VLOOKUP(INDIRECT("A"&amp;ROW()), 'Recent Changes'!A:G, 5, FALSE)</f>
        <v>2023-12-15T20:52:03Z</v>
      </c>
      <c r="T93" t="str" cm="1">
        <f t="array" aca="1" ref="T93" ca="1">VLOOKUP(INDIRECT("A"&amp;ROW()), 'Recent Changes'!A:G, 6, FALSE)</f>
        <v>NULL</v>
      </c>
      <c r="U93" t="str" cm="1">
        <f t="array" aca="1" ref="U93" ca="1">VLOOKUP(INDIRECT("A"&amp;ROW()), 'Recent Changes'!A:G, 7, FALSE)</f>
        <v>2023-10-20T09:45:42Z</v>
      </c>
      <c r="V93" t="str" cm="1">
        <f t="array" aca="1" ref="V93" ca="1">VLOOKUP(INDIRECT("A"&amp;ROW()), 'Recent Changes'!A:H, 8, FALSE)</f>
        <v>2023-12-15T21:03:27Z</v>
      </c>
    </row>
    <row r="94" spans="1:22" x14ac:dyDescent="0.25">
      <c r="A94">
        <v>17241961</v>
      </c>
      <c r="B94" t="s" cm="1">
        <v>433</v>
      </c>
      <c r="C94">
        <v>97</v>
      </c>
      <c r="G94" t="s" cm="1">
        <v>442</v>
      </c>
      <c r="H94" t="s">
        <v>14</v>
      </c>
      <c r="I94" t="s">
        <v>14</v>
      </c>
      <c r="J94" t="s">
        <v>26</v>
      </c>
      <c r="K94" t="s">
        <v>43</v>
      </c>
      <c r="L94" t="s">
        <v>2072</v>
      </c>
      <c r="M94" t="s">
        <v>78</v>
      </c>
      <c r="N94" t="s">
        <v>83</v>
      </c>
      <c r="P94" t="str" cm="1">
        <f t="array" aca="1" ref="P94" ca="1">VLOOKUP(INDIRECT("A"&amp;ROW()), 'Recent Changes'!A:G, 2, FALSE)</f>
        <v>NULL</v>
      </c>
      <c r="Q94" t="str" cm="1">
        <f t="array" aca="1" ref="Q94" ca="1">VLOOKUP(INDIRECT("A"&amp;ROW()), 'Recent Changes'!A:G, 3, FALSE)</f>
        <v>NULL</v>
      </c>
      <c r="R94" t="str" cm="1">
        <f t="array" aca="1" ref="R94" ca="1">VLOOKUP(INDIRECT("A"&amp;ROW()), 'Recent Changes'!A:G, 4, FALSE)</f>
        <v>NULL</v>
      </c>
      <c r="S94" t="str" cm="1">
        <f t="array" aca="1" ref="S94" ca="1">VLOOKUP(INDIRECT("A"&amp;ROW()), 'Recent Changes'!A:G, 5, FALSE)</f>
        <v>2023-10-31T19:54:33Z</v>
      </c>
      <c r="T94" t="str" cm="1">
        <f t="array" aca="1" ref="T94" ca="1">VLOOKUP(INDIRECT("A"&amp;ROW()), 'Recent Changes'!A:G, 6, FALSE)</f>
        <v>NULL</v>
      </c>
      <c r="U94" t="str" cm="1">
        <f t="array" aca="1" ref="U94" ca="1">VLOOKUP(INDIRECT("A"&amp;ROW()), 'Recent Changes'!A:G, 7, FALSE)</f>
        <v>NULL</v>
      </c>
      <c r="V94" t="str" cm="1">
        <f t="array" aca="1" ref="V94" ca="1">VLOOKUP(INDIRECT("A"&amp;ROW()), 'Recent Changes'!A:H, 8, FALSE)</f>
        <v>2023-10-31T21:41:42Z</v>
      </c>
    </row>
    <row r="95" spans="1:22" x14ac:dyDescent="0.25">
      <c r="A95">
        <v>17244625</v>
      </c>
      <c r="B95" t="s">
        <v>433</v>
      </c>
      <c r="C95">
        <v>97</v>
      </c>
      <c r="G95" t="s" cm="1">
        <v>442</v>
      </c>
      <c r="H95">
        <v>45212</v>
      </c>
      <c r="I95" t="s">
        <v>15</v>
      </c>
      <c r="J95" t="s">
        <v>24</v>
      </c>
      <c r="K95" t="s">
        <v>44</v>
      </c>
      <c r="L95" t="s">
        <v>63</v>
      </c>
      <c r="M95" t="s">
        <v>1349</v>
      </c>
      <c r="N95" t="s">
        <v>2237</v>
      </c>
      <c r="O95" t="s">
        <v>431</v>
      </c>
      <c r="P95" t="e" cm="1">
        <f t="array" aca="1" ref="P95" ca="1">VLOOKUP(INDIRECT("A"&amp;ROW()), 'Recent Changes'!A:G, 2, FALSE)</f>
        <v>#N/A</v>
      </c>
      <c r="Q95" t="e" cm="1">
        <f t="array" aca="1" ref="Q95" ca="1">VLOOKUP(INDIRECT("A"&amp;ROW()), 'Recent Changes'!A:G, 3, FALSE)</f>
        <v>#N/A</v>
      </c>
      <c r="R95" t="e" cm="1">
        <f t="array" aca="1" ref="R95" ca="1">VLOOKUP(INDIRECT("A"&amp;ROW()), 'Recent Changes'!A:G, 4, FALSE)</f>
        <v>#N/A</v>
      </c>
      <c r="S95" t="e" cm="1">
        <f t="array" aca="1" ref="S95" ca="1">VLOOKUP(INDIRECT("A"&amp;ROW()), 'Recent Changes'!A:G, 5, FALSE)</f>
        <v>#N/A</v>
      </c>
      <c r="T95" t="e" cm="1">
        <f t="array" aca="1" ref="T95" ca="1">VLOOKUP(INDIRECT("A"&amp;ROW()), 'Recent Changes'!A:G, 6, FALSE)</f>
        <v>#N/A</v>
      </c>
      <c r="U95" t="e" cm="1">
        <f t="array" aca="1" ref="U95" ca="1">VLOOKUP(INDIRECT("A"&amp;ROW()), 'Recent Changes'!A:G, 7, FALSE)</f>
        <v>#N/A</v>
      </c>
      <c r="V95" t="e" cm="1">
        <f t="array" aca="1" ref="V95" ca="1">VLOOKUP(INDIRECT("A"&amp;ROW()), 'Recent Changes'!A:H, 8, FALSE)</f>
        <v>#N/A</v>
      </c>
    </row>
    <row r="96" spans="1:22" x14ac:dyDescent="0.25">
      <c r="A96">
        <v>17246211</v>
      </c>
      <c r="B96" t="s" cm="1">
        <v>433</v>
      </c>
      <c r="C96">
        <v>97</v>
      </c>
      <c r="G96" t="e" cm="1">
        <v>#N/A</v>
      </c>
      <c r="H96" t="s">
        <v>14</v>
      </c>
      <c r="I96" t="s">
        <v>14</v>
      </c>
      <c r="J96" t="s">
        <v>30</v>
      </c>
      <c r="K96" t="s">
        <v>53</v>
      </c>
      <c r="L96" t="s">
        <v>2084</v>
      </c>
      <c r="M96" t="s">
        <v>76</v>
      </c>
      <c r="N96" t="s">
        <v>83</v>
      </c>
      <c r="P96" t="str" cm="1">
        <f t="array" aca="1" ref="P96" ca="1">VLOOKUP(INDIRECT("A"&amp;ROW()), 'Recent Changes'!A:G, 2, FALSE)</f>
        <v>NULL</v>
      </c>
      <c r="Q96" t="str" cm="1">
        <f t="array" aca="1" ref="Q96" ca="1">VLOOKUP(INDIRECT("A"&amp;ROW()), 'Recent Changes'!A:G, 3, FALSE)</f>
        <v>NULL</v>
      </c>
      <c r="R96" t="str" cm="1">
        <f t="array" aca="1" ref="R96" ca="1">VLOOKUP(INDIRECT("A"&amp;ROW()), 'Recent Changes'!A:G, 4, FALSE)</f>
        <v>NULL</v>
      </c>
      <c r="S96" t="str" cm="1">
        <f t="array" aca="1" ref="S96" ca="1">VLOOKUP(INDIRECT("A"&amp;ROW()), 'Recent Changes'!A:G, 5, FALSE)</f>
        <v>2023-12-20T04:44:50Z</v>
      </c>
      <c r="T96" t="str" cm="1">
        <f t="array" aca="1" ref="T96" ca="1">VLOOKUP(INDIRECT("A"&amp;ROW()), 'Recent Changes'!A:G, 6, FALSE)</f>
        <v>NULL</v>
      </c>
      <c r="U96" t="str" cm="1">
        <f t="array" aca="1" ref="U96" ca="1">VLOOKUP(INDIRECT("A"&amp;ROW()), 'Recent Changes'!A:G, 7, FALSE)</f>
        <v>2023-11-14T00:29:35Z</v>
      </c>
      <c r="V96" t="str" cm="1">
        <f t="array" aca="1" ref="V96" ca="1">VLOOKUP(INDIRECT("A"&amp;ROW()), 'Recent Changes'!A:H, 8, FALSE)</f>
        <v>2023-12-20T07:35:27Z</v>
      </c>
    </row>
    <row r="97" spans="1:22" x14ac:dyDescent="0.25">
      <c r="A97">
        <v>13566527</v>
      </c>
      <c r="B97" t="s">
        <v>433</v>
      </c>
      <c r="C97">
        <v>96</v>
      </c>
      <c r="G97" t="s" cm="1">
        <v>442</v>
      </c>
      <c r="H97">
        <v>45201</v>
      </c>
      <c r="I97" t="s">
        <v>15</v>
      </c>
      <c r="J97" t="s">
        <v>30</v>
      </c>
      <c r="K97" t="s">
        <v>44</v>
      </c>
      <c r="L97" t="s">
        <v>1451</v>
      </c>
      <c r="M97" t="s">
        <v>77</v>
      </c>
      <c r="N97" t="s">
        <v>2238</v>
      </c>
      <c r="O97" t="s">
        <v>431</v>
      </c>
      <c r="P97" t="e" cm="1">
        <f t="array" aca="1" ref="P97" ca="1">VLOOKUP(INDIRECT("A"&amp;ROW()), 'Recent Changes'!A:G, 2, FALSE)</f>
        <v>#N/A</v>
      </c>
      <c r="Q97" t="e" cm="1">
        <f t="array" aca="1" ref="Q97" ca="1">VLOOKUP(INDIRECT("A"&amp;ROW()), 'Recent Changes'!A:G, 3, FALSE)</f>
        <v>#N/A</v>
      </c>
      <c r="R97" t="e" cm="1">
        <f t="array" aca="1" ref="R97" ca="1">VLOOKUP(INDIRECT("A"&amp;ROW()), 'Recent Changes'!A:G, 4, FALSE)</f>
        <v>#N/A</v>
      </c>
      <c r="S97" t="e" cm="1">
        <f t="array" aca="1" ref="S97" ca="1">VLOOKUP(INDIRECT("A"&amp;ROW()), 'Recent Changes'!A:G, 5, FALSE)</f>
        <v>#N/A</v>
      </c>
      <c r="T97" t="e" cm="1">
        <f t="array" aca="1" ref="T97" ca="1">VLOOKUP(INDIRECT("A"&amp;ROW()), 'Recent Changes'!A:G, 6, FALSE)</f>
        <v>#N/A</v>
      </c>
      <c r="U97" t="e" cm="1">
        <f t="array" aca="1" ref="U97" ca="1">VLOOKUP(INDIRECT("A"&amp;ROW()), 'Recent Changes'!A:G, 7, FALSE)</f>
        <v>#N/A</v>
      </c>
      <c r="V97" t="e" cm="1">
        <f t="array" aca="1" ref="V97" ca="1">VLOOKUP(INDIRECT("A"&amp;ROW()), 'Recent Changes'!A:H, 8, FALSE)</f>
        <v>#N/A</v>
      </c>
    </row>
    <row r="98" spans="1:22" x14ac:dyDescent="0.25">
      <c r="A98">
        <v>16155527</v>
      </c>
      <c r="B98" t="s">
        <v>433</v>
      </c>
      <c r="C98">
        <v>96</v>
      </c>
      <c r="G98" t="s" cm="1">
        <v>442</v>
      </c>
      <c r="H98">
        <v>45244</v>
      </c>
      <c r="I98" t="s">
        <v>15</v>
      </c>
      <c r="J98" t="s">
        <v>381</v>
      </c>
      <c r="K98" t="s">
        <v>52</v>
      </c>
      <c r="L98" t="s">
        <v>69</v>
      </c>
      <c r="M98" t="s">
        <v>76</v>
      </c>
      <c r="N98" t="s">
        <v>2239</v>
      </c>
      <c r="O98" t="s">
        <v>431</v>
      </c>
      <c r="P98" t="e" cm="1">
        <f t="array" aca="1" ref="P98" ca="1">VLOOKUP(INDIRECT("A"&amp;ROW()), 'Recent Changes'!A:G, 2, FALSE)</f>
        <v>#N/A</v>
      </c>
      <c r="Q98" t="e" cm="1">
        <f t="array" aca="1" ref="Q98" ca="1">VLOOKUP(INDIRECT("A"&amp;ROW()), 'Recent Changes'!A:G, 3, FALSE)</f>
        <v>#N/A</v>
      </c>
      <c r="R98" t="e" cm="1">
        <f t="array" aca="1" ref="R98" ca="1">VLOOKUP(INDIRECT("A"&amp;ROW()), 'Recent Changes'!A:G, 4, FALSE)</f>
        <v>#N/A</v>
      </c>
      <c r="S98" t="e" cm="1">
        <f t="array" aca="1" ref="S98" ca="1">VLOOKUP(INDIRECT("A"&amp;ROW()), 'Recent Changes'!A:G, 5, FALSE)</f>
        <v>#N/A</v>
      </c>
      <c r="T98" t="e" cm="1">
        <f t="array" aca="1" ref="T98" ca="1">VLOOKUP(INDIRECT("A"&amp;ROW()), 'Recent Changes'!A:G, 6, FALSE)</f>
        <v>#N/A</v>
      </c>
      <c r="U98" t="e" cm="1">
        <f t="array" aca="1" ref="U98" ca="1">VLOOKUP(INDIRECT("A"&amp;ROW()), 'Recent Changes'!A:G, 7, FALSE)</f>
        <v>#N/A</v>
      </c>
      <c r="V98" t="e" cm="1">
        <f t="array" aca="1" ref="V98" ca="1">VLOOKUP(INDIRECT("A"&amp;ROW()), 'Recent Changes'!A:H, 8, FALSE)</f>
        <v>#N/A</v>
      </c>
    </row>
    <row r="99" spans="1:22" x14ac:dyDescent="0.25">
      <c r="A99">
        <v>16837931</v>
      </c>
      <c r="B99" t="s">
        <v>433</v>
      </c>
      <c r="C99">
        <v>96</v>
      </c>
      <c r="G99" t="s" cm="1">
        <v>442</v>
      </c>
      <c r="H99">
        <v>45217</v>
      </c>
      <c r="I99" t="s">
        <v>15</v>
      </c>
      <c r="J99" t="s">
        <v>30</v>
      </c>
      <c r="K99" t="s">
        <v>44</v>
      </c>
      <c r="L99" t="s">
        <v>2085</v>
      </c>
      <c r="M99" t="s">
        <v>544</v>
      </c>
      <c r="N99" t="s">
        <v>2240</v>
      </c>
      <c r="O99" t="s">
        <v>431</v>
      </c>
      <c r="P99" t="e" cm="1">
        <f t="array" aca="1" ref="P99" ca="1">VLOOKUP(INDIRECT("A"&amp;ROW()), 'Recent Changes'!A:G, 2, FALSE)</f>
        <v>#N/A</v>
      </c>
      <c r="Q99" t="e" cm="1">
        <f t="array" aca="1" ref="Q99" ca="1">VLOOKUP(INDIRECT("A"&amp;ROW()), 'Recent Changes'!A:G, 3, FALSE)</f>
        <v>#N/A</v>
      </c>
      <c r="R99" t="e" cm="1">
        <f t="array" aca="1" ref="R99" ca="1">VLOOKUP(INDIRECT("A"&amp;ROW()), 'Recent Changes'!A:G, 4, FALSE)</f>
        <v>#N/A</v>
      </c>
      <c r="S99" t="e" cm="1">
        <f t="array" aca="1" ref="S99" ca="1">VLOOKUP(INDIRECT("A"&amp;ROW()), 'Recent Changes'!A:G, 5, FALSE)</f>
        <v>#N/A</v>
      </c>
      <c r="T99" t="e" cm="1">
        <f t="array" aca="1" ref="T99" ca="1">VLOOKUP(INDIRECT("A"&amp;ROW()), 'Recent Changes'!A:G, 6, FALSE)</f>
        <v>#N/A</v>
      </c>
      <c r="U99" t="e" cm="1">
        <f t="array" aca="1" ref="U99" ca="1">VLOOKUP(INDIRECT("A"&amp;ROW()), 'Recent Changes'!A:G, 7, FALSE)</f>
        <v>#N/A</v>
      </c>
      <c r="V99" t="e" cm="1">
        <f t="array" aca="1" ref="V99" ca="1">VLOOKUP(INDIRECT("A"&amp;ROW()), 'Recent Changes'!A:H, 8, FALSE)</f>
        <v>#N/A</v>
      </c>
    </row>
    <row r="100" spans="1:22" x14ac:dyDescent="0.25">
      <c r="A100">
        <v>17247599</v>
      </c>
      <c r="B100" t="s">
        <v>433</v>
      </c>
      <c r="C100">
        <v>96</v>
      </c>
      <c r="G100" t="e" cm="1">
        <v>#N/A</v>
      </c>
      <c r="H100">
        <v>45259</v>
      </c>
      <c r="I100" t="s">
        <v>15</v>
      </c>
      <c r="J100" t="s">
        <v>22</v>
      </c>
      <c r="K100" t="s">
        <v>49</v>
      </c>
      <c r="L100" t="s">
        <v>395</v>
      </c>
      <c r="M100" t="s">
        <v>76</v>
      </c>
      <c r="N100" t="s">
        <v>426</v>
      </c>
      <c r="O100" t="s">
        <v>431</v>
      </c>
      <c r="P100" t="e" cm="1">
        <f t="array" aca="1" ref="P100" ca="1">VLOOKUP(INDIRECT("A"&amp;ROW()), 'Recent Changes'!A:G, 2, FALSE)</f>
        <v>#N/A</v>
      </c>
      <c r="Q100" t="e" cm="1">
        <f t="array" aca="1" ref="Q100" ca="1">VLOOKUP(INDIRECT("A"&amp;ROW()), 'Recent Changes'!A:G, 3, FALSE)</f>
        <v>#N/A</v>
      </c>
      <c r="R100" t="e" cm="1">
        <f t="array" aca="1" ref="R100" ca="1">VLOOKUP(INDIRECT("A"&amp;ROW()), 'Recent Changes'!A:G, 4, FALSE)</f>
        <v>#N/A</v>
      </c>
      <c r="S100" t="e" cm="1">
        <f t="array" aca="1" ref="S100" ca="1">VLOOKUP(INDIRECT("A"&amp;ROW()), 'Recent Changes'!A:G, 5, FALSE)</f>
        <v>#N/A</v>
      </c>
      <c r="T100" t="e" cm="1">
        <f t="array" aca="1" ref="T100" ca="1">VLOOKUP(INDIRECT("A"&amp;ROW()), 'Recent Changes'!A:G, 6, FALSE)</f>
        <v>#N/A</v>
      </c>
      <c r="U100" t="e" cm="1">
        <f t="array" aca="1" ref="U100" ca="1">VLOOKUP(INDIRECT("A"&amp;ROW()), 'Recent Changes'!A:G, 7, FALSE)</f>
        <v>#N/A</v>
      </c>
      <c r="V100" t="e" cm="1">
        <f t="array" aca="1" ref="V100" ca="1">VLOOKUP(INDIRECT("A"&amp;ROW()), 'Recent Changes'!A:H, 8, FALSE)</f>
        <v>#N/A</v>
      </c>
    </row>
    <row r="101" spans="1:22" x14ac:dyDescent="0.25">
      <c r="A101">
        <v>17247642</v>
      </c>
      <c r="B101" t="s" cm="1">
        <v>430</v>
      </c>
      <c r="C101">
        <v>96</v>
      </c>
      <c r="G101" t="e" cm="1">
        <v>#N/A</v>
      </c>
      <c r="H101" t="s">
        <v>14</v>
      </c>
      <c r="I101" t="s">
        <v>14</v>
      </c>
      <c r="J101" t="s">
        <v>18</v>
      </c>
      <c r="K101" t="s">
        <v>48</v>
      </c>
      <c r="L101" t="s">
        <v>86</v>
      </c>
      <c r="M101" t="s">
        <v>76</v>
      </c>
      <c r="N101" t="s">
        <v>83</v>
      </c>
      <c r="P101" t="str" cm="1">
        <f t="array" aca="1" ref="P101" ca="1">VLOOKUP(INDIRECT("A"&amp;ROW()), 'Recent Changes'!A:G, 2, FALSE)</f>
        <v>NULL</v>
      </c>
      <c r="Q101" t="str" cm="1">
        <f t="array" aca="1" ref="Q101" ca="1">VLOOKUP(INDIRECT("A"&amp;ROW()), 'Recent Changes'!A:G, 3, FALSE)</f>
        <v>NULL</v>
      </c>
      <c r="R101" t="str" cm="1">
        <f t="array" aca="1" ref="R101" ca="1">VLOOKUP(INDIRECT("A"&amp;ROW()), 'Recent Changes'!A:G, 4, FALSE)</f>
        <v>NULL</v>
      </c>
      <c r="S101" t="str" cm="1">
        <f t="array" aca="1" ref="S101" ca="1">VLOOKUP(INDIRECT("A"&amp;ROW()), 'Recent Changes'!A:G, 5, FALSE)</f>
        <v>2023-12-23T17:02:25Z</v>
      </c>
      <c r="T101" t="str" cm="1">
        <f t="array" aca="1" ref="T101" ca="1">VLOOKUP(INDIRECT("A"&amp;ROW()), 'Recent Changes'!A:G, 6, FALSE)</f>
        <v>NULL</v>
      </c>
      <c r="U101" t="str" cm="1">
        <f t="array" aca="1" ref="U101" ca="1">VLOOKUP(INDIRECT("A"&amp;ROW()), 'Recent Changes'!A:G, 7, FALSE)</f>
        <v>NULL</v>
      </c>
      <c r="V101" t="str" cm="1">
        <f t="array" aca="1" ref="V101" ca="1">VLOOKUP(INDIRECT("A"&amp;ROW()), 'Recent Changes'!A:H, 8, FALSE)</f>
        <v>2023-12-23T21:03:19Z</v>
      </c>
    </row>
    <row r="102" spans="1:22" x14ac:dyDescent="0.25">
      <c r="A102">
        <v>12179346</v>
      </c>
      <c r="B102" t="s">
        <v>433</v>
      </c>
      <c r="C102">
        <v>95</v>
      </c>
      <c r="G102" t="e" cm="1">
        <v>#N/A</v>
      </c>
      <c r="H102">
        <v>45204</v>
      </c>
      <c r="I102" t="s">
        <v>15</v>
      </c>
      <c r="J102" t="s">
        <v>30</v>
      </c>
      <c r="K102" t="s">
        <v>44</v>
      </c>
      <c r="L102" t="s">
        <v>2086</v>
      </c>
      <c r="M102" t="s">
        <v>78</v>
      </c>
      <c r="N102" t="s">
        <v>83</v>
      </c>
      <c r="O102" t="s">
        <v>431</v>
      </c>
      <c r="P102" t="str" cm="1">
        <f t="array" aca="1" ref="P102" ca="1">VLOOKUP(INDIRECT("A"&amp;ROW()), 'Recent Changes'!A:G, 2, FALSE)</f>
        <v>NULL</v>
      </c>
      <c r="Q102" t="str" cm="1">
        <f t="array" aca="1" ref="Q102" ca="1">VLOOKUP(INDIRECT("A"&amp;ROW()), 'Recent Changes'!A:G, 3, FALSE)</f>
        <v>NULL</v>
      </c>
      <c r="R102" t="str" cm="1">
        <f t="array" aca="1" ref="R102" ca="1">VLOOKUP(INDIRECT("A"&amp;ROW()), 'Recent Changes'!A:G, 4, FALSE)</f>
        <v>NULL</v>
      </c>
      <c r="S102" t="str" cm="1">
        <f t="array" aca="1" ref="S102" ca="1">VLOOKUP(INDIRECT("A"&amp;ROW()), 'Recent Changes'!A:G, 5, FALSE)</f>
        <v>NULL</v>
      </c>
      <c r="T102" t="str" cm="1">
        <f t="array" aca="1" ref="T102" ca="1">VLOOKUP(INDIRECT("A"&amp;ROW()), 'Recent Changes'!A:G, 6, FALSE)</f>
        <v>NULL</v>
      </c>
      <c r="U102" t="str" cm="1">
        <f t="array" aca="1" ref="U102" ca="1">VLOOKUP(INDIRECT("A"&amp;ROW()), 'Recent Changes'!A:G, 7, FALSE)</f>
        <v>2023-12-14T19:35:09Z</v>
      </c>
      <c r="V102" t="str" cm="1">
        <f t="array" aca="1" ref="V102" ca="1">VLOOKUP(INDIRECT("A"&amp;ROW()), 'Recent Changes'!A:H, 8, FALSE)</f>
        <v>2023-12-14T21:44:28Z</v>
      </c>
    </row>
    <row r="103" spans="1:22" x14ac:dyDescent="0.25">
      <c r="A103">
        <v>17253467</v>
      </c>
      <c r="B103" t="s" cm="1">
        <v>430</v>
      </c>
      <c r="C103">
        <v>95</v>
      </c>
      <c r="G103" t="e" cm="1">
        <v>#N/A</v>
      </c>
      <c r="H103" t="s">
        <v>14</v>
      </c>
      <c r="I103" t="s">
        <v>14</v>
      </c>
      <c r="J103" t="s">
        <v>30</v>
      </c>
      <c r="K103" t="s">
        <v>53</v>
      </c>
      <c r="L103" t="s">
        <v>74</v>
      </c>
      <c r="M103" t="s">
        <v>76</v>
      </c>
      <c r="N103" t="s">
        <v>83</v>
      </c>
      <c r="P103" t="str" cm="1">
        <f t="array" aca="1" ref="P103" ca="1">VLOOKUP(INDIRECT("A"&amp;ROW()), 'Recent Changes'!A:G, 2, FALSE)</f>
        <v>NULL</v>
      </c>
      <c r="Q103" t="str" cm="1">
        <f t="array" aca="1" ref="Q103" ca="1">VLOOKUP(INDIRECT("A"&amp;ROW()), 'Recent Changes'!A:G, 3, FALSE)</f>
        <v>NULL</v>
      </c>
      <c r="R103" t="str" cm="1">
        <f t="array" aca="1" ref="R103" ca="1">VLOOKUP(INDIRECT("A"&amp;ROW()), 'Recent Changes'!A:G, 4, FALSE)</f>
        <v>NULL</v>
      </c>
      <c r="S103" t="str" cm="1">
        <f t="array" aca="1" ref="S103" ca="1">VLOOKUP(INDIRECT("A"&amp;ROW()), 'Recent Changes'!A:G, 5, FALSE)</f>
        <v>2023-12-20T19:32:14Z</v>
      </c>
      <c r="T103" t="str" cm="1">
        <f t="array" aca="1" ref="T103" ca="1">VLOOKUP(INDIRECT("A"&amp;ROW()), 'Recent Changes'!A:G, 6, FALSE)</f>
        <v>NULL</v>
      </c>
      <c r="U103" t="str" cm="1">
        <f t="array" aca="1" ref="U103" ca="1">VLOOKUP(INDIRECT("A"&amp;ROW()), 'Recent Changes'!A:G, 7, FALSE)</f>
        <v>2023-10-27T00:02:56Z</v>
      </c>
      <c r="V103" t="str" cm="1">
        <f t="array" aca="1" ref="V103" ca="1">VLOOKUP(INDIRECT("A"&amp;ROW()), 'Recent Changes'!A:H, 8, FALSE)</f>
        <v>2023-12-20T21:45:41Z</v>
      </c>
    </row>
    <row r="104" spans="1:22" x14ac:dyDescent="0.25">
      <c r="A104">
        <v>17253540</v>
      </c>
      <c r="B104" t="s" cm="1">
        <v>430</v>
      </c>
      <c r="C104">
        <v>95</v>
      </c>
      <c r="G104" t="e" cm="1">
        <v>#N/A</v>
      </c>
      <c r="H104" t="s">
        <v>14</v>
      </c>
      <c r="I104" t="s">
        <v>14</v>
      </c>
      <c r="J104" t="s">
        <v>30</v>
      </c>
      <c r="K104" t="s">
        <v>52</v>
      </c>
      <c r="L104" t="s">
        <v>395</v>
      </c>
      <c r="M104" t="s">
        <v>76</v>
      </c>
      <c r="N104" t="s">
        <v>83</v>
      </c>
      <c r="P104" t="str" cm="1">
        <f t="array" aca="1" ref="P104" ca="1">VLOOKUP(INDIRECT("A"&amp;ROW()), 'Recent Changes'!A:G, 2, FALSE)</f>
        <v>NULL</v>
      </c>
      <c r="Q104" t="str" cm="1">
        <f t="array" aca="1" ref="Q104" ca="1">VLOOKUP(INDIRECT("A"&amp;ROW()), 'Recent Changes'!A:G, 3, FALSE)</f>
        <v>NULL</v>
      </c>
      <c r="R104" t="str" cm="1">
        <f t="array" aca="1" ref="R104" ca="1">VLOOKUP(INDIRECT("A"&amp;ROW()), 'Recent Changes'!A:G, 4, FALSE)</f>
        <v>NULL</v>
      </c>
      <c r="S104" t="str" cm="1">
        <f t="array" aca="1" ref="S104" ca="1">VLOOKUP(INDIRECT("A"&amp;ROW()), 'Recent Changes'!A:G, 5, FALSE)</f>
        <v>2023-12-16T05:51:30Z</v>
      </c>
      <c r="T104" t="str" cm="1">
        <f t="array" aca="1" ref="T104" ca="1">VLOOKUP(INDIRECT("A"&amp;ROW()), 'Recent Changes'!A:G, 6, FALSE)</f>
        <v>NULL</v>
      </c>
      <c r="U104" t="str" cm="1">
        <f t="array" aca="1" ref="U104" ca="1">VLOOKUP(INDIRECT("A"&amp;ROW()), 'Recent Changes'!A:G, 7, FALSE)</f>
        <v>2023-10-20T09:16:37Z</v>
      </c>
      <c r="V104" t="str" cm="1">
        <f t="array" aca="1" ref="V104" ca="1">VLOOKUP(INDIRECT("A"&amp;ROW()), 'Recent Changes'!A:H, 8, FALSE)</f>
        <v>2023-12-16T07:29:29Z</v>
      </c>
    </row>
    <row r="105" spans="1:22" x14ac:dyDescent="0.25">
      <c r="A105">
        <v>17257048</v>
      </c>
      <c r="B105" t="s" cm="1">
        <v>430</v>
      </c>
      <c r="C105">
        <v>95</v>
      </c>
      <c r="G105" t="e" cm="1">
        <v>#N/A</v>
      </c>
      <c r="H105" t="s">
        <v>14</v>
      </c>
      <c r="I105" t="s">
        <v>14</v>
      </c>
      <c r="J105" t="s">
        <v>18</v>
      </c>
      <c r="K105" t="s">
        <v>2061</v>
      </c>
      <c r="L105" t="s">
        <v>395</v>
      </c>
      <c r="M105" t="s">
        <v>76</v>
      </c>
      <c r="N105" t="s">
        <v>83</v>
      </c>
      <c r="P105" t="str" cm="1">
        <f t="array" aca="1" ref="P105" ca="1">VLOOKUP(INDIRECT("A"&amp;ROW()), 'Recent Changes'!A:G, 2, FALSE)</f>
        <v>NULL</v>
      </c>
      <c r="Q105" t="str" cm="1">
        <f t="array" aca="1" ref="Q105" ca="1">VLOOKUP(INDIRECT("A"&amp;ROW()), 'Recent Changes'!A:G, 3, FALSE)</f>
        <v>NULL</v>
      </c>
      <c r="R105" t="str" cm="1">
        <f t="array" aca="1" ref="R105" ca="1">VLOOKUP(INDIRECT("A"&amp;ROW()), 'Recent Changes'!A:G, 4, FALSE)</f>
        <v>NULL</v>
      </c>
      <c r="S105" t="str" cm="1">
        <f t="array" aca="1" ref="S105" ca="1">VLOOKUP(INDIRECT("A"&amp;ROW()), 'Recent Changes'!A:G, 5, FALSE)</f>
        <v>2024-01-05T19:34:03Z</v>
      </c>
      <c r="T105" t="str" cm="1">
        <f t="array" aca="1" ref="T105" ca="1">VLOOKUP(INDIRECT("A"&amp;ROW()), 'Recent Changes'!A:G, 6, FALSE)</f>
        <v>NULL</v>
      </c>
      <c r="U105" t="str" cm="1">
        <f t="array" aca="1" ref="U105" ca="1">VLOOKUP(INDIRECT("A"&amp;ROW()), 'Recent Changes'!A:G, 7, FALSE)</f>
        <v>NULL</v>
      </c>
      <c r="V105" t="str" cm="1">
        <f t="array" aca="1" ref="V105" ca="1">VLOOKUP(INDIRECT("A"&amp;ROW()), 'Recent Changes'!A:H, 8, FALSE)</f>
        <v>2024-01-05T21:21:02Z</v>
      </c>
    </row>
    <row r="106" spans="1:22" x14ac:dyDescent="0.25">
      <c r="A106">
        <v>17263438</v>
      </c>
      <c r="B106" t="s" cm="1">
        <v>430</v>
      </c>
      <c r="C106">
        <v>94</v>
      </c>
      <c r="G106" t="e" cm="1">
        <v>#N/A</v>
      </c>
      <c r="H106" t="s">
        <v>14</v>
      </c>
      <c r="I106" t="s">
        <v>14</v>
      </c>
      <c r="J106" t="s">
        <v>18</v>
      </c>
      <c r="K106" t="s">
        <v>48</v>
      </c>
      <c r="L106" t="s">
        <v>395</v>
      </c>
      <c r="M106" t="s">
        <v>76</v>
      </c>
      <c r="N106" t="s">
        <v>83</v>
      </c>
      <c r="P106" t="str" cm="1">
        <f t="array" aca="1" ref="P106" ca="1">VLOOKUP(INDIRECT("A"&amp;ROW()), 'Recent Changes'!A:G, 2, FALSE)</f>
        <v>NULL</v>
      </c>
      <c r="Q106" t="str" cm="1">
        <f t="array" aca="1" ref="Q106" ca="1">VLOOKUP(INDIRECT("A"&amp;ROW()), 'Recent Changes'!A:G, 3, FALSE)</f>
        <v>NULL</v>
      </c>
      <c r="R106" t="str" cm="1">
        <f t="array" aca="1" ref="R106" ca="1">VLOOKUP(INDIRECT("A"&amp;ROW()), 'Recent Changes'!A:G, 4, FALSE)</f>
        <v>NULL</v>
      </c>
      <c r="S106" t="str" cm="1">
        <f t="array" aca="1" ref="S106" ca="1">VLOOKUP(INDIRECT("A"&amp;ROW()), 'Recent Changes'!A:G, 5, FALSE)</f>
        <v>2023-12-16T04:50:28Z</v>
      </c>
      <c r="T106" t="str" cm="1">
        <f t="array" aca="1" ref="T106" ca="1">VLOOKUP(INDIRECT("A"&amp;ROW()), 'Recent Changes'!A:G, 6, FALSE)</f>
        <v>NULL</v>
      </c>
      <c r="U106" t="str" cm="1">
        <f t="array" aca="1" ref="U106" ca="1">VLOOKUP(INDIRECT("A"&amp;ROW()), 'Recent Changes'!A:G, 7, FALSE)</f>
        <v>NULL</v>
      </c>
      <c r="V106" t="str" cm="1">
        <f t="array" aca="1" ref="V106" ca="1">VLOOKUP(INDIRECT("A"&amp;ROW()), 'Recent Changes'!A:H, 8, FALSE)</f>
        <v>2023-12-16T07:27:38Z</v>
      </c>
    </row>
    <row r="107" spans="1:22" x14ac:dyDescent="0.25">
      <c r="A107">
        <v>17264839</v>
      </c>
      <c r="B107" t="s" cm="1">
        <v>430</v>
      </c>
      <c r="C107">
        <v>93</v>
      </c>
      <c r="G107" t="e" cm="1">
        <v>#N/A</v>
      </c>
      <c r="H107" t="s">
        <v>14</v>
      </c>
      <c r="I107" t="s">
        <v>14</v>
      </c>
      <c r="J107" t="s">
        <v>30</v>
      </c>
      <c r="K107" t="s">
        <v>43</v>
      </c>
      <c r="L107" t="s">
        <v>739</v>
      </c>
      <c r="M107" t="s">
        <v>78</v>
      </c>
      <c r="N107" t="s">
        <v>83</v>
      </c>
      <c r="P107" t="str" cm="1">
        <f t="array" aca="1" ref="P107" ca="1">VLOOKUP(INDIRECT("A"&amp;ROW()), 'Recent Changes'!A:G, 2, FALSE)</f>
        <v>NULL</v>
      </c>
      <c r="Q107" t="str" cm="1">
        <f t="array" aca="1" ref="Q107" ca="1">VLOOKUP(INDIRECT("A"&amp;ROW()), 'Recent Changes'!A:G, 3, FALSE)</f>
        <v>NULL</v>
      </c>
      <c r="R107" t="str" cm="1">
        <f t="array" aca="1" ref="R107" ca="1">VLOOKUP(INDIRECT("A"&amp;ROW()), 'Recent Changes'!A:G, 4, FALSE)</f>
        <v>NULL</v>
      </c>
      <c r="S107" t="str" cm="1">
        <f t="array" aca="1" ref="S107" ca="1">VLOOKUP(INDIRECT("A"&amp;ROW()), 'Recent Changes'!A:G, 5, FALSE)</f>
        <v>2023-12-14T18:36:34Z</v>
      </c>
      <c r="T107" t="str" cm="1">
        <f t="array" aca="1" ref="T107" ca="1">VLOOKUP(INDIRECT("A"&amp;ROW()), 'Recent Changes'!A:G, 6, FALSE)</f>
        <v>NULL</v>
      </c>
      <c r="U107" t="str" cm="1">
        <f t="array" aca="1" ref="U107" ca="1">VLOOKUP(INDIRECT("A"&amp;ROW()), 'Recent Changes'!A:G, 7, FALSE)</f>
        <v>NULL</v>
      </c>
      <c r="V107" t="str" cm="1">
        <f t="array" aca="1" ref="V107" ca="1">VLOOKUP(INDIRECT("A"&amp;ROW()), 'Recent Changes'!A:H, 8, FALSE)</f>
        <v>2023-12-14T21:06:56Z</v>
      </c>
    </row>
    <row r="108" spans="1:22" x14ac:dyDescent="0.25">
      <c r="A108">
        <v>17264844</v>
      </c>
      <c r="B108" t="s" cm="1">
        <v>430</v>
      </c>
      <c r="C108">
        <v>93</v>
      </c>
      <c r="G108" t="s" cm="1">
        <v>442</v>
      </c>
      <c r="H108" t="s">
        <v>14</v>
      </c>
      <c r="I108" t="s">
        <v>14</v>
      </c>
      <c r="J108" t="s">
        <v>30</v>
      </c>
      <c r="K108" t="s">
        <v>53</v>
      </c>
      <c r="L108" t="s">
        <v>58</v>
      </c>
      <c r="M108" t="s">
        <v>76</v>
      </c>
      <c r="N108" t="s">
        <v>83</v>
      </c>
      <c r="P108" t="str" cm="1">
        <f t="array" aca="1" ref="P108" ca="1">VLOOKUP(INDIRECT("A"&amp;ROW()), 'Recent Changes'!A:G, 2, FALSE)</f>
        <v>NULL</v>
      </c>
      <c r="Q108" t="str" cm="1">
        <f t="array" aca="1" ref="Q108" ca="1">VLOOKUP(INDIRECT("A"&amp;ROW()), 'Recent Changes'!A:G, 3, FALSE)</f>
        <v>NULL</v>
      </c>
      <c r="R108" t="str" cm="1">
        <f t="array" aca="1" ref="R108" ca="1">VLOOKUP(INDIRECT("A"&amp;ROW()), 'Recent Changes'!A:G, 4, FALSE)</f>
        <v>NULL</v>
      </c>
      <c r="S108" t="str" cm="1">
        <f t="array" aca="1" ref="S108" ca="1">VLOOKUP(INDIRECT("A"&amp;ROW()), 'Recent Changes'!A:G, 5, FALSE)</f>
        <v>2023-12-04T14:48:25Z</v>
      </c>
      <c r="T108" t="str" cm="1">
        <f t="array" aca="1" ref="T108" ca="1">VLOOKUP(INDIRECT("A"&amp;ROW()), 'Recent Changes'!A:G, 6, FALSE)</f>
        <v>NULL</v>
      </c>
      <c r="U108" t="str" cm="1">
        <f t="array" aca="1" ref="U108" ca="1">VLOOKUP(INDIRECT("A"&amp;ROW()), 'Recent Changes'!A:G, 7, FALSE)</f>
        <v>2023-10-27T05:06:36Z</v>
      </c>
      <c r="V108" t="str" cm="1">
        <f t="array" aca="1" ref="V108" ca="1">VLOOKUP(INDIRECT("A"&amp;ROW()), 'Recent Changes'!A:H, 8, FALSE)</f>
        <v>2023-12-04T16:28:15Z</v>
      </c>
    </row>
    <row r="109" spans="1:22" x14ac:dyDescent="0.25">
      <c r="A109">
        <v>17265450</v>
      </c>
      <c r="B109" t="s">
        <v>433</v>
      </c>
      <c r="C109">
        <v>91</v>
      </c>
      <c r="G109" t="e" cm="1">
        <v>#N/A</v>
      </c>
      <c r="H109">
        <v>45232</v>
      </c>
      <c r="I109" t="s">
        <v>15</v>
      </c>
      <c r="J109" t="s">
        <v>42</v>
      </c>
      <c r="K109" t="s">
        <v>54</v>
      </c>
      <c r="L109" t="s">
        <v>57</v>
      </c>
      <c r="M109" t="s">
        <v>76</v>
      </c>
      <c r="N109" t="s">
        <v>83</v>
      </c>
      <c r="O109" t="s">
        <v>431</v>
      </c>
      <c r="P109" t="str" cm="1">
        <f t="array" aca="1" ref="P109" ca="1">VLOOKUP(INDIRECT("A"&amp;ROW()), 'Recent Changes'!A:G, 2, FALSE)</f>
        <v>NULL</v>
      </c>
      <c r="Q109" t="str" cm="1">
        <f t="array" aca="1" ref="Q109" ca="1">VLOOKUP(INDIRECT("A"&amp;ROW()), 'Recent Changes'!A:G, 3, FALSE)</f>
        <v>NULL</v>
      </c>
      <c r="R109" t="str" cm="1">
        <f t="array" aca="1" ref="R109" ca="1">VLOOKUP(INDIRECT("A"&amp;ROW()), 'Recent Changes'!A:G, 4, FALSE)</f>
        <v>NULL</v>
      </c>
      <c r="S109" t="str" cm="1">
        <f t="array" aca="1" ref="S109" ca="1">VLOOKUP(INDIRECT("A"&amp;ROW()), 'Recent Changes'!A:G, 5, FALSE)</f>
        <v>2023-12-07T22:16:00Z</v>
      </c>
      <c r="T109" t="str" cm="1">
        <f t="array" aca="1" ref="T109" ca="1">VLOOKUP(INDIRECT("A"&amp;ROW()), 'Recent Changes'!A:G, 6, FALSE)</f>
        <v>NULL</v>
      </c>
      <c r="U109" t="str" cm="1">
        <f t="array" aca="1" ref="U109" ca="1">VLOOKUP(INDIRECT("A"&amp;ROW()), 'Recent Changes'!A:G, 7, FALSE)</f>
        <v>2024-01-02T15:06:39Z</v>
      </c>
      <c r="V109" t="str" cm="1">
        <f t="array" aca="1" ref="V109" ca="1">VLOOKUP(INDIRECT("A"&amp;ROW()), 'Recent Changes'!A:H, 8, FALSE)</f>
        <v>2024-01-02T16:13:24Z</v>
      </c>
    </row>
    <row r="110" spans="1:22" x14ac:dyDescent="0.25">
      <c r="A110">
        <v>17265510</v>
      </c>
      <c r="B110" t="s">
        <v>433</v>
      </c>
      <c r="C110">
        <v>91</v>
      </c>
      <c r="G110" t="e" cm="1">
        <v>#N/A</v>
      </c>
      <c r="H110">
        <v>45232</v>
      </c>
      <c r="I110" t="s">
        <v>15</v>
      </c>
      <c r="J110" t="s">
        <v>42</v>
      </c>
      <c r="K110" t="s">
        <v>54</v>
      </c>
      <c r="L110" t="s">
        <v>72</v>
      </c>
      <c r="M110" t="s">
        <v>76</v>
      </c>
      <c r="N110" t="s">
        <v>83</v>
      </c>
      <c r="O110" t="s">
        <v>431</v>
      </c>
      <c r="P110" t="str" cm="1">
        <f t="array" aca="1" ref="P110" ca="1">VLOOKUP(INDIRECT("A"&amp;ROW()), 'Recent Changes'!A:G, 2, FALSE)</f>
        <v>NULL</v>
      </c>
      <c r="Q110" t="str" cm="1">
        <f t="array" aca="1" ref="Q110" ca="1">VLOOKUP(INDIRECT("A"&amp;ROW()), 'Recent Changes'!A:G, 3, FALSE)</f>
        <v>NULL</v>
      </c>
      <c r="R110" t="str" cm="1">
        <f t="array" aca="1" ref="R110" ca="1">VLOOKUP(INDIRECT("A"&amp;ROW()), 'Recent Changes'!A:G, 4, FALSE)</f>
        <v>NULL</v>
      </c>
      <c r="S110" t="str" cm="1">
        <f t="array" aca="1" ref="S110" ca="1">VLOOKUP(INDIRECT("A"&amp;ROW()), 'Recent Changes'!A:G, 5, FALSE)</f>
        <v>NULL</v>
      </c>
      <c r="T110" t="str" cm="1">
        <f t="array" aca="1" ref="T110" ca="1">VLOOKUP(INDIRECT("A"&amp;ROW()), 'Recent Changes'!A:G, 6, FALSE)</f>
        <v>NULL</v>
      </c>
      <c r="U110" t="str" cm="1">
        <f t="array" aca="1" ref="U110" ca="1">VLOOKUP(INDIRECT("A"&amp;ROW()), 'Recent Changes'!A:G, 7, FALSE)</f>
        <v>2023-12-11T17:01:07Z</v>
      </c>
      <c r="V110" t="str" cm="1">
        <f t="array" aca="1" ref="V110" ca="1">VLOOKUP(INDIRECT("A"&amp;ROW()), 'Recent Changes'!A:H, 8, FALSE)</f>
        <v>2023-12-11T21:43:33Z</v>
      </c>
    </row>
    <row r="111" spans="1:22" x14ac:dyDescent="0.25">
      <c r="A111">
        <v>16272241</v>
      </c>
      <c r="B111" t="s">
        <v>433</v>
      </c>
      <c r="C111">
        <v>90</v>
      </c>
      <c r="G111" t="s" cm="1">
        <v>442</v>
      </c>
      <c r="H111">
        <v>45223</v>
      </c>
      <c r="I111" t="s">
        <v>15</v>
      </c>
      <c r="J111" t="s">
        <v>30</v>
      </c>
      <c r="K111" t="s">
        <v>43</v>
      </c>
      <c r="L111" t="s">
        <v>63</v>
      </c>
      <c r="M111" t="s">
        <v>76</v>
      </c>
      <c r="N111" t="s">
        <v>676</v>
      </c>
      <c r="O111" t="s">
        <v>431</v>
      </c>
      <c r="P111" t="e" cm="1">
        <f t="array" aca="1" ref="P111" ca="1">VLOOKUP(INDIRECT("A"&amp;ROW()), 'Recent Changes'!A:G, 2, FALSE)</f>
        <v>#N/A</v>
      </c>
      <c r="Q111" t="e" cm="1">
        <f t="array" aca="1" ref="Q111" ca="1">VLOOKUP(INDIRECT("A"&amp;ROW()), 'Recent Changes'!A:G, 3, FALSE)</f>
        <v>#N/A</v>
      </c>
      <c r="R111" t="e" cm="1">
        <f t="array" aca="1" ref="R111" ca="1">VLOOKUP(INDIRECT("A"&amp;ROW()), 'Recent Changes'!A:G, 4, FALSE)</f>
        <v>#N/A</v>
      </c>
      <c r="S111" t="e" cm="1">
        <f t="array" aca="1" ref="S111" ca="1">VLOOKUP(INDIRECT("A"&amp;ROW()), 'Recent Changes'!A:G, 5, FALSE)</f>
        <v>#N/A</v>
      </c>
      <c r="T111" t="e" cm="1">
        <f t="array" aca="1" ref="T111" ca="1">VLOOKUP(INDIRECT("A"&amp;ROW()), 'Recent Changes'!A:G, 6, FALSE)</f>
        <v>#N/A</v>
      </c>
      <c r="U111" t="e" cm="1">
        <f t="array" aca="1" ref="U111" ca="1">VLOOKUP(INDIRECT("A"&amp;ROW()), 'Recent Changes'!A:G, 7, FALSE)</f>
        <v>#N/A</v>
      </c>
      <c r="V111" t="e" cm="1">
        <f t="array" aca="1" ref="V111" ca="1">VLOOKUP(INDIRECT("A"&amp;ROW()), 'Recent Changes'!A:H, 8, FALSE)</f>
        <v>#N/A</v>
      </c>
    </row>
    <row r="112" spans="1:22" x14ac:dyDescent="0.25">
      <c r="A112">
        <v>17272358</v>
      </c>
      <c r="B112" t="s" cm="1">
        <v>430</v>
      </c>
      <c r="C112">
        <v>90</v>
      </c>
      <c r="G112" t="e" cm="1">
        <v>#N/A</v>
      </c>
      <c r="H112" t="s">
        <v>14</v>
      </c>
      <c r="I112" t="s">
        <v>14</v>
      </c>
      <c r="J112" t="s">
        <v>30</v>
      </c>
      <c r="K112" t="s">
        <v>43</v>
      </c>
      <c r="L112" t="s">
        <v>58</v>
      </c>
      <c r="M112" t="s">
        <v>76</v>
      </c>
      <c r="N112" t="s">
        <v>83</v>
      </c>
      <c r="P112" t="str" cm="1">
        <f t="array" aca="1" ref="P112" ca="1">VLOOKUP(INDIRECT("A"&amp;ROW()), 'Recent Changes'!A:G, 2, FALSE)</f>
        <v>NULL</v>
      </c>
      <c r="Q112" t="str" cm="1">
        <f t="array" aca="1" ref="Q112" ca="1">VLOOKUP(INDIRECT("A"&amp;ROW()), 'Recent Changes'!A:G, 3, FALSE)</f>
        <v>NULL</v>
      </c>
      <c r="R112" t="str" cm="1">
        <f t="array" aca="1" ref="R112" ca="1">VLOOKUP(INDIRECT("A"&amp;ROW()), 'Recent Changes'!A:G, 4, FALSE)</f>
        <v>NULL</v>
      </c>
      <c r="S112" t="str" cm="1">
        <f t="array" aca="1" ref="S112" ca="1">VLOOKUP(INDIRECT("A"&amp;ROW()), 'Recent Changes'!A:G, 5, FALSE)</f>
        <v>2024-01-08T02:17:34Z</v>
      </c>
      <c r="T112" t="str" cm="1">
        <f t="array" aca="1" ref="T112" ca="1">VLOOKUP(INDIRECT("A"&amp;ROW()), 'Recent Changes'!A:G, 6, FALSE)</f>
        <v>NULL</v>
      </c>
      <c r="U112" t="str" cm="1">
        <f t="array" aca="1" ref="U112" ca="1">VLOOKUP(INDIRECT("A"&amp;ROW()), 'Recent Changes'!A:G, 7, FALSE)</f>
        <v>2023-10-31T15:27:00Z</v>
      </c>
      <c r="V112" t="str" cm="1">
        <f t="array" aca="1" ref="V112" ca="1">VLOOKUP(INDIRECT("A"&amp;ROW()), 'Recent Changes'!A:H, 8, FALSE)</f>
        <v>2023-12-22T07:39:03Z</v>
      </c>
    </row>
    <row r="113" spans="1:22" x14ac:dyDescent="0.25">
      <c r="A113">
        <v>17272368</v>
      </c>
      <c r="B113" t="s" cm="1">
        <v>430</v>
      </c>
      <c r="C113">
        <v>90</v>
      </c>
      <c r="G113" t="e" cm="1">
        <v>#N/A</v>
      </c>
      <c r="H113" t="s">
        <v>14</v>
      </c>
      <c r="I113" t="s">
        <v>14</v>
      </c>
      <c r="J113" t="s">
        <v>30</v>
      </c>
      <c r="K113" t="s">
        <v>48</v>
      </c>
      <c r="L113" t="s">
        <v>74</v>
      </c>
      <c r="M113" t="s">
        <v>76</v>
      </c>
      <c r="N113" t="s">
        <v>83</v>
      </c>
      <c r="P113" t="str" cm="1">
        <f t="array" aca="1" ref="P113" ca="1">VLOOKUP(INDIRECT("A"&amp;ROW()), 'Recent Changes'!A:G, 2, FALSE)</f>
        <v>NULL</v>
      </c>
      <c r="Q113" t="str" cm="1">
        <f t="array" aca="1" ref="Q113" ca="1">VLOOKUP(INDIRECT("A"&amp;ROW()), 'Recent Changes'!A:G, 3, FALSE)</f>
        <v>NULL</v>
      </c>
      <c r="R113" t="str" cm="1">
        <f t="array" aca="1" ref="R113" ca="1">VLOOKUP(INDIRECT("A"&amp;ROW()), 'Recent Changes'!A:G, 4, FALSE)</f>
        <v>NULL</v>
      </c>
      <c r="S113" t="str" cm="1">
        <f t="array" aca="1" ref="S113" ca="1">VLOOKUP(INDIRECT("A"&amp;ROW()), 'Recent Changes'!A:G, 5, FALSE)</f>
        <v>2023-12-13T19:41:00Z</v>
      </c>
      <c r="T113" t="str" cm="1">
        <f t="array" aca="1" ref="T113" ca="1">VLOOKUP(INDIRECT("A"&amp;ROW()), 'Recent Changes'!A:G, 6, FALSE)</f>
        <v>NULL</v>
      </c>
      <c r="U113" t="str" cm="1">
        <f t="array" aca="1" ref="U113" ca="1">VLOOKUP(INDIRECT("A"&amp;ROW()), 'Recent Changes'!A:G, 7, FALSE)</f>
        <v>2023-11-07T04:59:06Z</v>
      </c>
      <c r="V113" t="str" cm="1">
        <f t="array" aca="1" ref="V113" ca="1">VLOOKUP(INDIRECT("A"&amp;ROW()), 'Recent Changes'!A:H, 8, FALSE)</f>
        <v>2023-12-13T21:09:24Z</v>
      </c>
    </row>
    <row r="114" spans="1:22" x14ac:dyDescent="0.25">
      <c r="A114">
        <v>17272965</v>
      </c>
      <c r="B114" t="s">
        <v>433</v>
      </c>
      <c r="C114">
        <v>90</v>
      </c>
      <c r="G114" t="s" cm="1">
        <v>442</v>
      </c>
      <c r="H114">
        <v>45295</v>
      </c>
      <c r="I114" t="s">
        <v>15</v>
      </c>
      <c r="J114" t="s">
        <v>30</v>
      </c>
      <c r="K114" t="s">
        <v>50</v>
      </c>
      <c r="L114" t="s">
        <v>74</v>
      </c>
      <c r="M114" t="s">
        <v>76</v>
      </c>
      <c r="N114" t="s">
        <v>750</v>
      </c>
      <c r="O114" t="s">
        <v>431</v>
      </c>
      <c r="P114" t="e" cm="1">
        <f t="array" aca="1" ref="P114" ca="1">VLOOKUP(INDIRECT("A"&amp;ROW()), 'Recent Changes'!A:G, 2, FALSE)</f>
        <v>#N/A</v>
      </c>
      <c r="Q114" t="e" cm="1">
        <f t="array" aca="1" ref="Q114" ca="1">VLOOKUP(INDIRECT("A"&amp;ROW()), 'Recent Changes'!A:G, 3, FALSE)</f>
        <v>#N/A</v>
      </c>
      <c r="R114" t="e" cm="1">
        <f t="array" aca="1" ref="R114" ca="1">VLOOKUP(INDIRECT("A"&amp;ROW()), 'Recent Changes'!A:G, 4, FALSE)</f>
        <v>#N/A</v>
      </c>
      <c r="S114" t="e" cm="1">
        <f t="array" aca="1" ref="S114" ca="1">VLOOKUP(INDIRECT("A"&amp;ROW()), 'Recent Changes'!A:G, 5, FALSE)</f>
        <v>#N/A</v>
      </c>
      <c r="T114" t="e" cm="1">
        <f t="array" aca="1" ref="T114" ca="1">VLOOKUP(INDIRECT("A"&amp;ROW()), 'Recent Changes'!A:G, 6, FALSE)</f>
        <v>#N/A</v>
      </c>
      <c r="U114" t="e" cm="1">
        <f t="array" aca="1" ref="U114" ca="1">VLOOKUP(INDIRECT("A"&amp;ROW()), 'Recent Changes'!A:G, 7, FALSE)</f>
        <v>#N/A</v>
      </c>
      <c r="V114" t="e" cm="1">
        <f t="array" aca="1" ref="V114" ca="1">VLOOKUP(INDIRECT("A"&amp;ROW()), 'Recent Changes'!A:H, 8, FALSE)</f>
        <v>#N/A</v>
      </c>
    </row>
    <row r="115" spans="1:22" x14ac:dyDescent="0.25">
      <c r="A115">
        <v>17273016</v>
      </c>
      <c r="B115" t="s">
        <v>433</v>
      </c>
      <c r="C115">
        <v>90</v>
      </c>
      <c r="G115" t="s" cm="1">
        <v>442</v>
      </c>
      <c r="H115">
        <v>45295</v>
      </c>
      <c r="I115" t="s">
        <v>15</v>
      </c>
      <c r="J115" t="s">
        <v>30</v>
      </c>
      <c r="K115" t="s">
        <v>50</v>
      </c>
      <c r="L115" t="s">
        <v>55</v>
      </c>
      <c r="M115" t="s">
        <v>76</v>
      </c>
      <c r="N115" t="s">
        <v>750</v>
      </c>
      <c r="O115" t="s">
        <v>431</v>
      </c>
      <c r="P115" t="e" cm="1">
        <f t="array" aca="1" ref="P115" ca="1">VLOOKUP(INDIRECT("A"&amp;ROW()), 'Recent Changes'!A:G, 2, FALSE)</f>
        <v>#N/A</v>
      </c>
      <c r="Q115" t="e" cm="1">
        <f t="array" aca="1" ref="Q115" ca="1">VLOOKUP(INDIRECT("A"&amp;ROW()), 'Recent Changes'!A:G, 3, FALSE)</f>
        <v>#N/A</v>
      </c>
      <c r="R115" t="e" cm="1">
        <f t="array" aca="1" ref="R115" ca="1">VLOOKUP(INDIRECT("A"&amp;ROW()), 'Recent Changes'!A:G, 4, FALSE)</f>
        <v>#N/A</v>
      </c>
      <c r="S115" t="e" cm="1">
        <f t="array" aca="1" ref="S115" ca="1">VLOOKUP(INDIRECT("A"&amp;ROW()), 'Recent Changes'!A:G, 5, FALSE)</f>
        <v>#N/A</v>
      </c>
      <c r="T115" t="e" cm="1">
        <f t="array" aca="1" ref="T115" ca="1">VLOOKUP(INDIRECT("A"&amp;ROW()), 'Recent Changes'!A:G, 6, FALSE)</f>
        <v>#N/A</v>
      </c>
      <c r="U115" t="e" cm="1">
        <f t="array" aca="1" ref="U115" ca="1">VLOOKUP(INDIRECT("A"&amp;ROW()), 'Recent Changes'!A:G, 7, FALSE)</f>
        <v>#N/A</v>
      </c>
      <c r="V115" t="e" cm="1">
        <f t="array" aca="1" ref="V115" ca="1">VLOOKUP(INDIRECT("A"&amp;ROW()), 'Recent Changes'!A:H, 8, FALSE)</f>
        <v>#N/A</v>
      </c>
    </row>
    <row r="116" spans="1:22" x14ac:dyDescent="0.25">
      <c r="A116">
        <v>17273566</v>
      </c>
      <c r="B116" t="s" cm="1">
        <v>430</v>
      </c>
      <c r="C116">
        <v>90</v>
      </c>
      <c r="G116" t="e" cm="1">
        <v>#N/A</v>
      </c>
      <c r="H116" t="s">
        <v>14</v>
      </c>
      <c r="I116" t="s">
        <v>14</v>
      </c>
      <c r="J116" t="s">
        <v>18</v>
      </c>
      <c r="K116" t="s">
        <v>731</v>
      </c>
      <c r="L116" t="s">
        <v>395</v>
      </c>
      <c r="M116" t="s">
        <v>76</v>
      </c>
      <c r="N116" t="s">
        <v>83</v>
      </c>
      <c r="P116" t="str" cm="1">
        <f t="array" aca="1" ref="P116" ca="1">VLOOKUP(INDIRECT("A"&amp;ROW()), 'Recent Changes'!A:G, 2, FALSE)</f>
        <v>NULL</v>
      </c>
      <c r="Q116" t="str" cm="1">
        <f t="array" aca="1" ref="Q116" ca="1">VLOOKUP(INDIRECT("A"&amp;ROW()), 'Recent Changes'!A:G, 3, FALSE)</f>
        <v>NULL</v>
      </c>
      <c r="R116" t="str" cm="1">
        <f t="array" aca="1" ref="R116" ca="1">VLOOKUP(INDIRECT("A"&amp;ROW()), 'Recent Changes'!A:G, 4, FALSE)</f>
        <v>NULL</v>
      </c>
      <c r="S116" t="str" cm="1">
        <f t="array" aca="1" ref="S116" ca="1">VLOOKUP(INDIRECT("A"&amp;ROW()), 'Recent Changes'!A:G, 5, FALSE)</f>
        <v>2024-01-02T06:10:36Z</v>
      </c>
      <c r="T116" t="str" cm="1">
        <f t="array" aca="1" ref="T116" ca="1">VLOOKUP(INDIRECT("A"&amp;ROW()), 'Recent Changes'!A:G, 6, FALSE)</f>
        <v>NULL</v>
      </c>
      <c r="U116" t="str" cm="1">
        <f t="array" aca="1" ref="U116" ca="1">VLOOKUP(INDIRECT("A"&amp;ROW()), 'Recent Changes'!A:G, 7, FALSE)</f>
        <v>NULL</v>
      </c>
      <c r="V116" t="str" cm="1">
        <f t="array" aca="1" ref="V116" ca="1">VLOOKUP(INDIRECT("A"&amp;ROW()), 'Recent Changes'!A:H, 8, FALSE)</f>
        <v>2024-01-02T16:40:26Z</v>
      </c>
    </row>
    <row r="117" spans="1:22" x14ac:dyDescent="0.25">
      <c r="A117">
        <v>11573463</v>
      </c>
      <c r="B117" t="s">
        <v>433</v>
      </c>
      <c r="C117">
        <v>89</v>
      </c>
      <c r="G117" t="s" cm="1">
        <v>442</v>
      </c>
      <c r="H117">
        <v>45209</v>
      </c>
      <c r="I117" t="s">
        <v>15</v>
      </c>
      <c r="J117" t="s">
        <v>30</v>
      </c>
      <c r="K117" t="s">
        <v>44</v>
      </c>
      <c r="L117" t="s">
        <v>2087</v>
      </c>
      <c r="M117" t="s">
        <v>447</v>
      </c>
      <c r="N117" t="s">
        <v>773</v>
      </c>
      <c r="O117" t="s">
        <v>431</v>
      </c>
      <c r="P117" t="e" cm="1">
        <f t="array" aca="1" ref="P117" ca="1">VLOOKUP(INDIRECT("A"&amp;ROW()), 'Recent Changes'!A:G, 2, FALSE)</f>
        <v>#N/A</v>
      </c>
      <c r="Q117" t="e" cm="1">
        <f t="array" aca="1" ref="Q117" ca="1">VLOOKUP(INDIRECT("A"&amp;ROW()), 'Recent Changes'!A:G, 3, FALSE)</f>
        <v>#N/A</v>
      </c>
      <c r="R117" t="e" cm="1">
        <f t="array" aca="1" ref="R117" ca="1">VLOOKUP(INDIRECT("A"&amp;ROW()), 'Recent Changes'!A:G, 4, FALSE)</f>
        <v>#N/A</v>
      </c>
      <c r="S117" t="e" cm="1">
        <f t="array" aca="1" ref="S117" ca="1">VLOOKUP(INDIRECT("A"&amp;ROW()), 'Recent Changes'!A:G, 5, FALSE)</f>
        <v>#N/A</v>
      </c>
      <c r="T117" t="e" cm="1">
        <f t="array" aca="1" ref="T117" ca="1">VLOOKUP(INDIRECT("A"&amp;ROW()), 'Recent Changes'!A:G, 6, FALSE)</f>
        <v>#N/A</v>
      </c>
      <c r="U117" t="e" cm="1">
        <f t="array" aca="1" ref="U117" ca="1">VLOOKUP(INDIRECT("A"&amp;ROW()), 'Recent Changes'!A:G, 7, FALSE)</f>
        <v>#N/A</v>
      </c>
      <c r="V117" t="e" cm="1">
        <f t="array" aca="1" ref="V117" ca="1">VLOOKUP(INDIRECT("A"&amp;ROW()), 'Recent Changes'!A:H, 8, FALSE)</f>
        <v>#N/A</v>
      </c>
    </row>
    <row r="118" spans="1:22" x14ac:dyDescent="0.25">
      <c r="A118">
        <v>17141109</v>
      </c>
      <c r="B118" t="s">
        <v>433</v>
      </c>
      <c r="C118">
        <v>89</v>
      </c>
      <c r="G118" t="s" cm="1">
        <v>442</v>
      </c>
      <c r="H118">
        <v>45210</v>
      </c>
      <c r="I118" t="s">
        <v>15</v>
      </c>
      <c r="J118" t="s">
        <v>24</v>
      </c>
      <c r="K118" t="s">
        <v>44</v>
      </c>
      <c r="L118" t="s">
        <v>395</v>
      </c>
      <c r="M118" t="s">
        <v>76</v>
      </c>
      <c r="N118" t="s">
        <v>1566</v>
      </c>
      <c r="O118" t="s">
        <v>431</v>
      </c>
      <c r="P118" t="e" cm="1">
        <f t="array" aca="1" ref="P118" ca="1">VLOOKUP(INDIRECT("A"&amp;ROW()), 'Recent Changes'!A:G, 2, FALSE)</f>
        <v>#N/A</v>
      </c>
      <c r="Q118" t="e" cm="1">
        <f t="array" aca="1" ref="Q118" ca="1">VLOOKUP(INDIRECT("A"&amp;ROW()), 'Recent Changes'!A:G, 3, FALSE)</f>
        <v>#N/A</v>
      </c>
      <c r="R118" t="e" cm="1">
        <f t="array" aca="1" ref="R118" ca="1">VLOOKUP(INDIRECT("A"&amp;ROW()), 'Recent Changes'!A:G, 4, FALSE)</f>
        <v>#N/A</v>
      </c>
      <c r="S118" t="e" cm="1">
        <f t="array" aca="1" ref="S118" ca="1">VLOOKUP(INDIRECT("A"&amp;ROW()), 'Recent Changes'!A:G, 5, FALSE)</f>
        <v>#N/A</v>
      </c>
      <c r="T118" t="e" cm="1">
        <f t="array" aca="1" ref="T118" ca="1">VLOOKUP(INDIRECT("A"&amp;ROW()), 'Recent Changes'!A:G, 6, FALSE)</f>
        <v>#N/A</v>
      </c>
      <c r="U118" t="e" cm="1">
        <f t="array" aca="1" ref="U118" ca="1">VLOOKUP(INDIRECT("A"&amp;ROW()), 'Recent Changes'!A:G, 7, FALSE)</f>
        <v>#N/A</v>
      </c>
      <c r="V118" t="e" cm="1">
        <f t="array" aca="1" ref="V118" ca="1">VLOOKUP(INDIRECT("A"&amp;ROW()), 'Recent Changes'!A:H, 8, FALSE)</f>
        <v>#N/A</v>
      </c>
    </row>
    <row r="119" spans="1:22" x14ac:dyDescent="0.25">
      <c r="A119">
        <v>17278977</v>
      </c>
      <c r="B119" t="s">
        <v>433</v>
      </c>
      <c r="C119">
        <v>89</v>
      </c>
      <c r="G119" t="e" cm="1">
        <v>#N/A</v>
      </c>
      <c r="H119">
        <v>45295</v>
      </c>
      <c r="I119" t="s">
        <v>15</v>
      </c>
      <c r="J119" t="s">
        <v>30</v>
      </c>
      <c r="K119" t="s">
        <v>49</v>
      </c>
      <c r="L119" t="s">
        <v>74</v>
      </c>
      <c r="M119" t="s">
        <v>76</v>
      </c>
      <c r="N119" t="s">
        <v>750</v>
      </c>
      <c r="O119" t="s">
        <v>431</v>
      </c>
      <c r="P119" t="e" cm="1">
        <f t="array" aca="1" ref="P119" ca="1">VLOOKUP(INDIRECT("A"&amp;ROW()), 'Recent Changes'!A:G, 2, FALSE)</f>
        <v>#N/A</v>
      </c>
      <c r="Q119" t="e" cm="1">
        <f t="array" aca="1" ref="Q119" ca="1">VLOOKUP(INDIRECT("A"&amp;ROW()), 'Recent Changes'!A:G, 3, FALSE)</f>
        <v>#N/A</v>
      </c>
      <c r="R119" t="e" cm="1">
        <f t="array" aca="1" ref="R119" ca="1">VLOOKUP(INDIRECT("A"&amp;ROW()), 'Recent Changes'!A:G, 4, FALSE)</f>
        <v>#N/A</v>
      </c>
      <c r="S119" t="e" cm="1">
        <f t="array" aca="1" ref="S119" ca="1">VLOOKUP(INDIRECT("A"&amp;ROW()), 'Recent Changes'!A:G, 5, FALSE)</f>
        <v>#N/A</v>
      </c>
      <c r="T119" t="e" cm="1">
        <f t="array" aca="1" ref="T119" ca="1">VLOOKUP(INDIRECT("A"&amp;ROW()), 'Recent Changes'!A:G, 6, FALSE)</f>
        <v>#N/A</v>
      </c>
      <c r="U119" t="e" cm="1">
        <f t="array" aca="1" ref="U119" ca="1">VLOOKUP(INDIRECT("A"&amp;ROW()), 'Recent Changes'!A:G, 7, FALSE)</f>
        <v>#N/A</v>
      </c>
      <c r="V119" t="e" cm="1">
        <f t="array" aca="1" ref="V119" ca="1">VLOOKUP(INDIRECT("A"&amp;ROW()), 'Recent Changes'!A:H, 8, FALSE)</f>
        <v>#N/A</v>
      </c>
    </row>
    <row r="120" spans="1:22" x14ac:dyDescent="0.25">
      <c r="A120">
        <v>17279474</v>
      </c>
      <c r="B120" t="s" cm="1">
        <v>430</v>
      </c>
      <c r="C120">
        <v>89</v>
      </c>
      <c r="G120" t="s" cm="1">
        <v>442</v>
      </c>
      <c r="H120" t="s">
        <v>14</v>
      </c>
      <c r="I120" t="s">
        <v>14</v>
      </c>
      <c r="J120" t="s">
        <v>30</v>
      </c>
      <c r="K120" t="s">
        <v>49</v>
      </c>
      <c r="L120" t="s">
        <v>63</v>
      </c>
      <c r="M120" t="s">
        <v>76</v>
      </c>
      <c r="N120" t="s">
        <v>83</v>
      </c>
      <c r="P120" t="str" cm="1">
        <f t="array" aca="1" ref="P120" ca="1">VLOOKUP(INDIRECT("A"&amp;ROW()), 'Recent Changes'!A:G, 2, FALSE)</f>
        <v>NULL</v>
      </c>
      <c r="Q120" t="str" cm="1">
        <f t="array" aca="1" ref="Q120" ca="1">VLOOKUP(INDIRECT("A"&amp;ROW()), 'Recent Changes'!A:G, 3, FALSE)</f>
        <v>NULL</v>
      </c>
      <c r="R120" t="str" cm="1">
        <f t="array" aca="1" ref="R120" ca="1">VLOOKUP(INDIRECT("A"&amp;ROW()), 'Recent Changes'!A:G, 4, FALSE)</f>
        <v>NULL</v>
      </c>
      <c r="S120" t="str" cm="1">
        <f t="array" aca="1" ref="S120" ca="1">VLOOKUP(INDIRECT("A"&amp;ROW()), 'Recent Changes'!A:G, 5, FALSE)</f>
        <v>NULL</v>
      </c>
      <c r="T120" t="str" cm="1">
        <f t="array" aca="1" ref="T120" ca="1">VLOOKUP(INDIRECT("A"&amp;ROW()), 'Recent Changes'!A:G, 6, FALSE)</f>
        <v>NULL</v>
      </c>
      <c r="U120" t="str" cm="1">
        <f t="array" aca="1" ref="U120" ca="1">VLOOKUP(INDIRECT("A"&amp;ROW()), 'Recent Changes'!A:G, 7, FALSE)</f>
        <v>2023-11-07T16:18:29Z</v>
      </c>
      <c r="V120" t="str" cm="1">
        <f t="array" aca="1" ref="V120" ca="1">VLOOKUP(INDIRECT("A"&amp;ROW()), 'Recent Changes'!A:H, 8, FALSE)</f>
        <v>2023-11-07T21:11:20Z</v>
      </c>
    </row>
    <row r="121" spans="1:22" x14ac:dyDescent="0.25">
      <c r="A121">
        <v>17279778</v>
      </c>
      <c r="B121" t="s">
        <v>433</v>
      </c>
      <c r="C121">
        <v>89</v>
      </c>
      <c r="G121" t="s" cm="1">
        <v>442</v>
      </c>
      <c r="H121">
        <v>45224</v>
      </c>
      <c r="I121" t="s">
        <v>15</v>
      </c>
      <c r="J121" t="s">
        <v>25</v>
      </c>
      <c r="K121" t="s">
        <v>44</v>
      </c>
      <c r="L121" t="s">
        <v>2088</v>
      </c>
      <c r="M121" t="s">
        <v>76</v>
      </c>
      <c r="N121" t="s">
        <v>2241</v>
      </c>
      <c r="O121" t="s">
        <v>431</v>
      </c>
      <c r="P121" t="e" cm="1">
        <f t="array" aca="1" ref="P121" ca="1">VLOOKUP(INDIRECT("A"&amp;ROW()), 'Recent Changes'!A:G, 2, FALSE)</f>
        <v>#N/A</v>
      </c>
      <c r="Q121" t="e" cm="1">
        <f t="array" aca="1" ref="Q121" ca="1">VLOOKUP(INDIRECT("A"&amp;ROW()), 'Recent Changes'!A:G, 3, FALSE)</f>
        <v>#N/A</v>
      </c>
      <c r="R121" t="e" cm="1">
        <f t="array" aca="1" ref="R121" ca="1">VLOOKUP(INDIRECT("A"&amp;ROW()), 'Recent Changes'!A:G, 4, FALSE)</f>
        <v>#N/A</v>
      </c>
      <c r="S121" t="e" cm="1">
        <f t="array" aca="1" ref="S121" ca="1">VLOOKUP(INDIRECT("A"&amp;ROW()), 'Recent Changes'!A:G, 5, FALSE)</f>
        <v>#N/A</v>
      </c>
      <c r="T121" t="e" cm="1">
        <f t="array" aca="1" ref="T121" ca="1">VLOOKUP(INDIRECT("A"&amp;ROW()), 'Recent Changes'!A:G, 6, FALSE)</f>
        <v>#N/A</v>
      </c>
      <c r="U121" t="e" cm="1">
        <f t="array" aca="1" ref="U121" ca="1">VLOOKUP(INDIRECT("A"&amp;ROW()), 'Recent Changes'!A:G, 7, FALSE)</f>
        <v>#N/A</v>
      </c>
      <c r="V121" t="e" cm="1">
        <f t="array" aca="1" ref="V121" ca="1">VLOOKUP(INDIRECT("A"&amp;ROW()), 'Recent Changes'!A:H, 8, FALSE)</f>
        <v>#N/A</v>
      </c>
    </row>
    <row r="122" spans="1:22" x14ac:dyDescent="0.25">
      <c r="A122">
        <v>17282179</v>
      </c>
      <c r="B122" t="s" cm="1">
        <v>430</v>
      </c>
      <c r="C122">
        <v>89</v>
      </c>
      <c r="G122" t="s" cm="1">
        <v>442</v>
      </c>
      <c r="H122" t="s">
        <v>14</v>
      </c>
      <c r="I122" t="s">
        <v>14</v>
      </c>
      <c r="J122" t="s">
        <v>30</v>
      </c>
      <c r="K122" t="s">
        <v>43</v>
      </c>
      <c r="L122" t="s">
        <v>436</v>
      </c>
      <c r="M122" t="s">
        <v>76</v>
      </c>
      <c r="N122" t="s">
        <v>83</v>
      </c>
      <c r="P122" t="str" cm="1">
        <f t="array" aca="1" ref="P122" ca="1">VLOOKUP(INDIRECT("A"&amp;ROW()), 'Recent Changes'!A:G, 2, FALSE)</f>
        <v>NULL</v>
      </c>
      <c r="Q122" t="str" cm="1">
        <f t="array" aca="1" ref="Q122" ca="1">VLOOKUP(INDIRECT("A"&amp;ROW()), 'Recent Changes'!A:G, 3, FALSE)</f>
        <v>NULL</v>
      </c>
      <c r="R122" t="str" cm="1">
        <f t="array" aca="1" ref="R122" ca="1">VLOOKUP(INDIRECT("A"&amp;ROW()), 'Recent Changes'!A:G, 4, FALSE)</f>
        <v>NULL</v>
      </c>
      <c r="S122" t="str" cm="1">
        <f t="array" aca="1" ref="S122" ca="1">VLOOKUP(INDIRECT("A"&amp;ROW()), 'Recent Changes'!A:G, 5, FALSE)</f>
        <v>2023-11-27T18:20:53Z</v>
      </c>
      <c r="T122" t="str" cm="1">
        <f t="array" aca="1" ref="T122" ca="1">VLOOKUP(INDIRECT("A"&amp;ROW()), 'Recent Changes'!A:G, 6, FALSE)</f>
        <v>NULL</v>
      </c>
      <c r="U122" t="str" cm="1">
        <f t="array" aca="1" ref="U122" ca="1">VLOOKUP(INDIRECT("A"&amp;ROW()), 'Recent Changes'!A:G, 7, FALSE)</f>
        <v>2023-10-27T04:53:53Z</v>
      </c>
      <c r="V122" t="str" cm="1">
        <f t="array" aca="1" ref="V122" ca="1">VLOOKUP(INDIRECT("A"&amp;ROW()), 'Recent Changes'!A:H, 8, FALSE)</f>
        <v>2023-11-27T21:33:48Z</v>
      </c>
    </row>
    <row r="123" spans="1:22" x14ac:dyDescent="0.25">
      <c r="A123">
        <v>17282244</v>
      </c>
      <c r="B123" t="s">
        <v>433</v>
      </c>
      <c r="C123">
        <v>89</v>
      </c>
      <c r="G123" t="s" cm="1">
        <v>442</v>
      </c>
      <c r="H123">
        <v>45295</v>
      </c>
      <c r="I123" t="s">
        <v>15</v>
      </c>
      <c r="J123" t="s">
        <v>30</v>
      </c>
      <c r="K123" t="s">
        <v>389</v>
      </c>
      <c r="L123" t="s">
        <v>1433</v>
      </c>
      <c r="M123" t="s">
        <v>76</v>
      </c>
      <c r="N123" t="s">
        <v>750</v>
      </c>
      <c r="O123" t="s">
        <v>431</v>
      </c>
      <c r="P123" t="e" cm="1">
        <f t="array" aca="1" ref="P123" ca="1">VLOOKUP(INDIRECT("A"&amp;ROW()), 'Recent Changes'!A:G, 2, FALSE)</f>
        <v>#N/A</v>
      </c>
      <c r="Q123" t="e" cm="1">
        <f t="array" aca="1" ref="Q123" ca="1">VLOOKUP(INDIRECT("A"&amp;ROW()), 'Recent Changes'!A:G, 3, FALSE)</f>
        <v>#N/A</v>
      </c>
      <c r="R123" t="e" cm="1">
        <f t="array" aca="1" ref="R123" ca="1">VLOOKUP(INDIRECT("A"&amp;ROW()), 'Recent Changes'!A:G, 4, FALSE)</f>
        <v>#N/A</v>
      </c>
      <c r="S123" t="e" cm="1">
        <f t="array" aca="1" ref="S123" ca="1">VLOOKUP(INDIRECT("A"&amp;ROW()), 'Recent Changes'!A:G, 5, FALSE)</f>
        <v>#N/A</v>
      </c>
      <c r="T123" t="e" cm="1">
        <f t="array" aca="1" ref="T123" ca="1">VLOOKUP(INDIRECT("A"&amp;ROW()), 'Recent Changes'!A:G, 6, FALSE)</f>
        <v>#N/A</v>
      </c>
      <c r="U123" t="e" cm="1">
        <f t="array" aca="1" ref="U123" ca="1">VLOOKUP(INDIRECT("A"&amp;ROW()), 'Recent Changes'!A:G, 7, FALSE)</f>
        <v>#N/A</v>
      </c>
      <c r="V123" t="e" cm="1">
        <f t="array" aca="1" ref="V123" ca="1">VLOOKUP(INDIRECT("A"&amp;ROW()), 'Recent Changes'!A:H, 8, FALSE)</f>
        <v>#N/A</v>
      </c>
    </row>
    <row r="124" spans="1:22" x14ac:dyDescent="0.25">
      <c r="A124">
        <v>17284891</v>
      </c>
      <c r="B124" t="s">
        <v>433</v>
      </c>
      <c r="C124">
        <v>89</v>
      </c>
      <c r="G124" t="e" cm="1">
        <v>#N/A</v>
      </c>
      <c r="H124">
        <v>45251</v>
      </c>
      <c r="I124" t="s">
        <v>15</v>
      </c>
      <c r="J124" t="s">
        <v>40</v>
      </c>
      <c r="K124" t="s">
        <v>44</v>
      </c>
      <c r="L124" t="s">
        <v>2089</v>
      </c>
      <c r="M124" t="s">
        <v>2052</v>
      </c>
      <c r="N124" t="s">
        <v>439</v>
      </c>
      <c r="O124" t="s">
        <v>431</v>
      </c>
      <c r="P124" t="e" cm="1">
        <f t="array" aca="1" ref="P124" ca="1">VLOOKUP(INDIRECT("A"&amp;ROW()), 'Recent Changes'!A:G, 2, FALSE)</f>
        <v>#N/A</v>
      </c>
      <c r="Q124" t="e" cm="1">
        <f t="array" aca="1" ref="Q124" ca="1">VLOOKUP(INDIRECT("A"&amp;ROW()), 'Recent Changes'!A:G, 3, FALSE)</f>
        <v>#N/A</v>
      </c>
      <c r="R124" t="e" cm="1">
        <f t="array" aca="1" ref="R124" ca="1">VLOOKUP(INDIRECT("A"&amp;ROW()), 'Recent Changes'!A:G, 4, FALSE)</f>
        <v>#N/A</v>
      </c>
      <c r="S124" t="e" cm="1">
        <f t="array" aca="1" ref="S124" ca="1">VLOOKUP(INDIRECT("A"&amp;ROW()), 'Recent Changes'!A:G, 5, FALSE)</f>
        <v>#N/A</v>
      </c>
      <c r="T124" t="e" cm="1">
        <f t="array" aca="1" ref="T124" ca="1">VLOOKUP(INDIRECT("A"&amp;ROW()), 'Recent Changes'!A:G, 6, FALSE)</f>
        <v>#N/A</v>
      </c>
      <c r="U124" t="e" cm="1">
        <f t="array" aca="1" ref="U124" ca="1">VLOOKUP(INDIRECT("A"&amp;ROW()), 'Recent Changes'!A:G, 7, FALSE)</f>
        <v>#N/A</v>
      </c>
      <c r="V124" t="e" cm="1">
        <f t="array" aca="1" ref="V124" ca="1">VLOOKUP(INDIRECT("A"&amp;ROW()), 'Recent Changes'!A:H, 8, FALSE)</f>
        <v>#N/A</v>
      </c>
    </row>
    <row r="125" spans="1:22" x14ac:dyDescent="0.25">
      <c r="A125">
        <v>17077524</v>
      </c>
      <c r="B125" t="s">
        <v>433</v>
      </c>
      <c r="C125">
        <v>88</v>
      </c>
      <c r="G125" t="s" cm="1">
        <v>442</v>
      </c>
      <c r="H125">
        <v>45215</v>
      </c>
      <c r="I125" t="s">
        <v>15</v>
      </c>
      <c r="J125" t="s">
        <v>32</v>
      </c>
      <c r="K125" t="s">
        <v>44</v>
      </c>
      <c r="L125" t="s">
        <v>392</v>
      </c>
      <c r="M125" t="s">
        <v>76</v>
      </c>
      <c r="N125" t="s">
        <v>2242</v>
      </c>
      <c r="O125" t="s">
        <v>431</v>
      </c>
      <c r="P125" t="e" cm="1">
        <f t="array" aca="1" ref="P125" ca="1">VLOOKUP(INDIRECT("A"&amp;ROW()), 'Recent Changes'!A:G, 2, FALSE)</f>
        <v>#N/A</v>
      </c>
      <c r="Q125" t="e" cm="1">
        <f t="array" aca="1" ref="Q125" ca="1">VLOOKUP(INDIRECT("A"&amp;ROW()), 'Recent Changes'!A:G, 3, FALSE)</f>
        <v>#N/A</v>
      </c>
      <c r="R125" t="e" cm="1">
        <f t="array" aca="1" ref="R125" ca="1">VLOOKUP(INDIRECT("A"&amp;ROW()), 'Recent Changes'!A:G, 4, FALSE)</f>
        <v>#N/A</v>
      </c>
      <c r="S125" t="e" cm="1">
        <f t="array" aca="1" ref="S125" ca="1">VLOOKUP(INDIRECT("A"&amp;ROW()), 'Recent Changes'!A:G, 5, FALSE)</f>
        <v>#N/A</v>
      </c>
      <c r="T125" t="e" cm="1">
        <f t="array" aca="1" ref="T125" ca="1">VLOOKUP(INDIRECT("A"&amp;ROW()), 'Recent Changes'!A:G, 6, FALSE)</f>
        <v>#N/A</v>
      </c>
      <c r="U125" t="e" cm="1">
        <f t="array" aca="1" ref="U125" ca="1">VLOOKUP(INDIRECT("A"&amp;ROW()), 'Recent Changes'!A:G, 7, FALSE)</f>
        <v>#N/A</v>
      </c>
      <c r="V125" t="e" cm="1">
        <f t="array" aca="1" ref="V125" ca="1">VLOOKUP(INDIRECT("A"&amp;ROW()), 'Recent Changes'!A:H, 8, FALSE)</f>
        <v>#N/A</v>
      </c>
    </row>
    <row r="126" spans="1:22" x14ac:dyDescent="0.25">
      <c r="A126">
        <v>17285201</v>
      </c>
      <c r="B126" t="s">
        <v>433</v>
      </c>
      <c r="C126">
        <v>88</v>
      </c>
      <c r="G126" t="s" cm="1">
        <v>442</v>
      </c>
      <c r="H126">
        <v>45247</v>
      </c>
      <c r="I126" t="s">
        <v>15</v>
      </c>
      <c r="J126" t="s">
        <v>24</v>
      </c>
      <c r="K126" t="s">
        <v>44</v>
      </c>
      <c r="L126" t="s">
        <v>2090</v>
      </c>
      <c r="M126" t="s">
        <v>76</v>
      </c>
      <c r="N126" t="s">
        <v>1356</v>
      </c>
      <c r="O126" t="s">
        <v>431</v>
      </c>
      <c r="P126" t="e" cm="1">
        <f t="array" aca="1" ref="P126" ca="1">VLOOKUP(INDIRECT("A"&amp;ROW()), 'Recent Changes'!A:G, 2, FALSE)</f>
        <v>#N/A</v>
      </c>
      <c r="Q126" t="e" cm="1">
        <f t="array" aca="1" ref="Q126" ca="1">VLOOKUP(INDIRECT("A"&amp;ROW()), 'Recent Changes'!A:G, 3, FALSE)</f>
        <v>#N/A</v>
      </c>
      <c r="R126" t="e" cm="1">
        <f t="array" aca="1" ref="R126" ca="1">VLOOKUP(INDIRECT("A"&amp;ROW()), 'Recent Changes'!A:G, 4, FALSE)</f>
        <v>#N/A</v>
      </c>
      <c r="S126" t="e" cm="1">
        <f t="array" aca="1" ref="S126" ca="1">VLOOKUP(INDIRECT("A"&amp;ROW()), 'Recent Changes'!A:G, 5, FALSE)</f>
        <v>#N/A</v>
      </c>
      <c r="T126" t="e" cm="1">
        <f t="array" aca="1" ref="T126" ca="1">VLOOKUP(INDIRECT("A"&amp;ROW()), 'Recent Changes'!A:G, 6, FALSE)</f>
        <v>#N/A</v>
      </c>
      <c r="U126" t="e" cm="1">
        <f t="array" aca="1" ref="U126" ca="1">VLOOKUP(INDIRECT("A"&amp;ROW()), 'Recent Changes'!A:G, 7, FALSE)</f>
        <v>#N/A</v>
      </c>
      <c r="V126" t="e" cm="1">
        <f t="array" aca="1" ref="V126" ca="1">VLOOKUP(INDIRECT("A"&amp;ROW()), 'Recent Changes'!A:H, 8, FALSE)</f>
        <v>#N/A</v>
      </c>
    </row>
    <row r="127" spans="1:22" x14ac:dyDescent="0.25">
      <c r="A127">
        <v>12463344</v>
      </c>
      <c r="B127" t="s">
        <v>433</v>
      </c>
      <c r="C127">
        <v>87</v>
      </c>
      <c r="G127" t="s" cm="1">
        <v>442</v>
      </c>
      <c r="H127">
        <v>45211</v>
      </c>
      <c r="I127" t="s">
        <v>15</v>
      </c>
      <c r="J127" t="s">
        <v>30</v>
      </c>
      <c r="K127" t="s">
        <v>44</v>
      </c>
      <c r="L127" t="s">
        <v>2091</v>
      </c>
      <c r="M127" t="s">
        <v>78</v>
      </c>
      <c r="N127" t="s">
        <v>83</v>
      </c>
      <c r="O127" t="s">
        <v>431</v>
      </c>
      <c r="P127" t="str" cm="1">
        <f t="array" aca="1" ref="P127" ca="1">VLOOKUP(INDIRECT("A"&amp;ROW()), 'Recent Changes'!A:G, 2, FALSE)</f>
        <v>NULL</v>
      </c>
      <c r="Q127" t="str" cm="1">
        <f t="array" aca="1" ref="Q127" ca="1">VLOOKUP(INDIRECT("A"&amp;ROW()), 'Recent Changes'!A:G, 3, FALSE)</f>
        <v>NULL</v>
      </c>
      <c r="R127" t="str" cm="1">
        <f t="array" aca="1" ref="R127" ca="1">VLOOKUP(INDIRECT("A"&amp;ROW()), 'Recent Changes'!A:G, 4, FALSE)</f>
        <v>NULL</v>
      </c>
      <c r="S127" t="str" cm="1">
        <f t="array" aca="1" ref="S127" ca="1">VLOOKUP(INDIRECT("A"&amp;ROW()), 'Recent Changes'!A:G, 5, FALSE)</f>
        <v>2023-12-27T07:22:44Z</v>
      </c>
      <c r="T127" t="str" cm="1">
        <f t="array" aca="1" ref="T127" ca="1">VLOOKUP(INDIRECT("A"&amp;ROW()), 'Recent Changes'!A:G, 6, FALSE)</f>
        <v>NULL</v>
      </c>
      <c r="U127" t="str" cm="1">
        <f t="array" aca="1" ref="U127" ca="1">VLOOKUP(INDIRECT("A"&amp;ROW()), 'Recent Changes'!A:G, 7, FALSE)</f>
        <v>2023-12-27T07:15:47Z</v>
      </c>
      <c r="V127" t="str" cm="1">
        <f t="array" aca="1" ref="V127" ca="1">VLOOKUP(INDIRECT("A"&amp;ROW()), 'Recent Changes'!A:H, 8, FALSE)</f>
        <v>2023-12-27T16:16:01Z</v>
      </c>
    </row>
    <row r="128" spans="1:22" x14ac:dyDescent="0.25">
      <c r="A128">
        <v>17292293</v>
      </c>
      <c r="B128" t="s" cm="1">
        <v>430</v>
      </c>
      <c r="C128">
        <v>87</v>
      </c>
      <c r="G128" t="e" cm="1">
        <v>#N/A</v>
      </c>
      <c r="H128" t="s">
        <v>14</v>
      </c>
      <c r="I128" t="s">
        <v>14</v>
      </c>
      <c r="J128" t="s">
        <v>30</v>
      </c>
      <c r="K128" t="s">
        <v>53</v>
      </c>
      <c r="L128" t="s">
        <v>55</v>
      </c>
      <c r="M128" t="s">
        <v>76</v>
      </c>
      <c r="N128" t="s">
        <v>83</v>
      </c>
      <c r="P128" t="str" cm="1">
        <f t="array" aca="1" ref="P128" ca="1">VLOOKUP(INDIRECT("A"&amp;ROW()), 'Recent Changes'!A:G, 2, FALSE)</f>
        <v>NULL</v>
      </c>
      <c r="Q128" t="str" cm="1">
        <f t="array" aca="1" ref="Q128" ca="1">VLOOKUP(INDIRECT("A"&amp;ROW()), 'Recent Changes'!A:G, 3, FALSE)</f>
        <v>NULL</v>
      </c>
      <c r="R128" t="str" cm="1">
        <f t="array" aca="1" ref="R128" ca="1">VLOOKUP(INDIRECT("A"&amp;ROW()), 'Recent Changes'!A:G, 4, FALSE)</f>
        <v>NULL</v>
      </c>
      <c r="S128" t="str" cm="1">
        <f t="array" aca="1" ref="S128" ca="1">VLOOKUP(INDIRECT("A"&amp;ROW()), 'Recent Changes'!A:G, 5, FALSE)</f>
        <v>2023-12-14T13:01:46Z</v>
      </c>
      <c r="T128" t="str" cm="1">
        <f t="array" aca="1" ref="T128" ca="1">VLOOKUP(INDIRECT("A"&amp;ROW()), 'Recent Changes'!A:G, 6, FALSE)</f>
        <v>NULL</v>
      </c>
      <c r="U128" t="str" cm="1">
        <f t="array" aca="1" ref="U128" ca="1">VLOOKUP(INDIRECT("A"&amp;ROW()), 'Recent Changes'!A:G, 7, FALSE)</f>
        <v>2023-11-07T01:52:19Z</v>
      </c>
      <c r="V128" t="str" cm="1">
        <f t="array" aca="1" ref="V128" ca="1">VLOOKUP(INDIRECT("A"&amp;ROW()), 'Recent Changes'!A:H, 8, FALSE)</f>
        <v>2023-12-14T16:13:57Z</v>
      </c>
    </row>
    <row r="129" spans="1:22" x14ac:dyDescent="0.25">
      <c r="A129">
        <v>17292640</v>
      </c>
      <c r="B129" t="s" cm="1">
        <v>430</v>
      </c>
      <c r="C129">
        <v>87</v>
      </c>
      <c r="G129" t="e" cm="1">
        <v>#N/A</v>
      </c>
      <c r="H129" t="s">
        <v>14</v>
      </c>
      <c r="I129" t="s">
        <v>14</v>
      </c>
      <c r="J129" t="s">
        <v>30</v>
      </c>
      <c r="K129" t="s">
        <v>48</v>
      </c>
      <c r="L129" t="s">
        <v>395</v>
      </c>
      <c r="M129" t="s">
        <v>76</v>
      </c>
      <c r="N129" t="s">
        <v>83</v>
      </c>
      <c r="P129" t="str" cm="1">
        <f t="array" aca="1" ref="P129" ca="1">VLOOKUP(INDIRECT("A"&amp;ROW()), 'Recent Changes'!A:G, 2, FALSE)</f>
        <v>2023-12-21T22:03:27Z</v>
      </c>
      <c r="Q129" t="str" cm="1">
        <f t="array" aca="1" ref="Q129" ca="1">VLOOKUP(INDIRECT("A"&amp;ROW()), 'Recent Changes'!A:G, 3, FALSE)</f>
        <v>NULL</v>
      </c>
      <c r="R129" t="str" cm="1">
        <f t="array" aca="1" ref="R129" ca="1">VLOOKUP(INDIRECT("A"&amp;ROW()), 'Recent Changes'!A:G, 4, FALSE)</f>
        <v>NULL</v>
      </c>
      <c r="S129" t="str" cm="1">
        <f t="array" aca="1" ref="S129" ca="1">VLOOKUP(INDIRECT("A"&amp;ROW()), 'Recent Changes'!A:G, 5, FALSE)</f>
        <v>NULL</v>
      </c>
      <c r="T129" t="str" cm="1">
        <f t="array" aca="1" ref="T129" ca="1">VLOOKUP(INDIRECT("A"&amp;ROW()), 'Recent Changes'!A:G, 6, FALSE)</f>
        <v>NULL</v>
      </c>
      <c r="U129" t="str" cm="1">
        <f t="array" aca="1" ref="U129" ca="1">VLOOKUP(INDIRECT("A"&amp;ROW()), 'Recent Changes'!A:G, 7, FALSE)</f>
        <v>NULL</v>
      </c>
      <c r="V129" t="str" cm="1">
        <f t="array" aca="1" ref="V129" ca="1">VLOOKUP(INDIRECT("A"&amp;ROW()), 'Recent Changes'!A:H, 8, FALSE)</f>
        <v>2023-12-22T07:39:28Z</v>
      </c>
    </row>
    <row r="130" spans="1:22" x14ac:dyDescent="0.25">
      <c r="A130">
        <v>17296189</v>
      </c>
      <c r="B130" t="s">
        <v>433</v>
      </c>
      <c r="C130">
        <v>87</v>
      </c>
      <c r="G130" t="s" cm="1">
        <v>442</v>
      </c>
      <c r="H130">
        <v>45243</v>
      </c>
      <c r="I130" t="s">
        <v>15</v>
      </c>
      <c r="J130" t="s">
        <v>24</v>
      </c>
      <c r="K130" t="s">
        <v>44</v>
      </c>
      <c r="L130" t="s">
        <v>86</v>
      </c>
      <c r="M130" t="s">
        <v>76</v>
      </c>
      <c r="N130" t="s">
        <v>421</v>
      </c>
      <c r="O130" t="s">
        <v>431</v>
      </c>
      <c r="P130" t="e" cm="1">
        <f t="array" aca="1" ref="P130" ca="1">VLOOKUP(INDIRECT("A"&amp;ROW()), 'Recent Changes'!A:G, 2, FALSE)</f>
        <v>#N/A</v>
      </c>
      <c r="Q130" t="e" cm="1">
        <f t="array" aca="1" ref="Q130" ca="1">VLOOKUP(INDIRECT("A"&amp;ROW()), 'Recent Changes'!A:G, 3, FALSE)</f>
        <v>#N/A</v>
      </c>
      <c r="R130" t="e" cm="1">
        <f t="array" aca="1" ref="R130" ca="1">VLOOKUP(INDIRECT("A"&amp;ROW()), 'Recent Changes'!A:G, 4, FALSE)</f>
        <v>#N/A</v>
      </c>
      <c r="S130" t="e" cm="1">
        <f t="array" aca="1" ref="S130" ca="1">VLOOKUP(INDIRECT("A"&amp;ROW()), 'Recent Changes'!A:G, 5, FALSE)</f>
        <v>#N/A</v>
      </c>
      <c r="T130" t="e" cm="1">
        <f t="array" aca="1" ref="T130" ca="1">VLOOKUP(INDIRECT("A"&amp;ROW()), 'Recent Changes'!A:G, 6, FALSE)</f>
        <v>#N/A</v>
      </c>
      <c r="U130" t="e" cm="1">
        <f t="array" aca="1" ref="U130" ca="1">VLOOKUP(INDIRECT("A"&amp;ROW()), 'Recent Changes'!A:G, 7, FALSE)</f>
        <v>#N/A</v>
      </c>
      <c r="V130" t="e" cm="1">
        <f t="array" aca="1" ref="V130" ca="1">VLOOKUP(INDIRECT("A"&amp;ROW()), 'Recent Changes'!A:H, 8, FALSE)</f>
        <v>#N/A</v>
      </c>
    </row>
    <row r="131" spans="1:22" x14ac:dyDescent="0.25">
      <c r="A131">
        <v>17296980</v>
      </c>
      <c r="B131" t="s" cm="1">
        <v>430</v>
      </c>
      <c r="C131">
        <v>86</v>
      </c>
      <c r="G131" t="e" cm="1">
        <v>#N/A</v>
      </c>
      <c r="H131" t="s">
        <v>14</v>
      </c>
      <c r="I131" t="s">
        <v>570</v>
      </c>
      <c r="J131" t="s">
        <v>22</v>
      </c>
      <c r="K131" t="s">
        <v>49</v>
      </c>
      <c r="L131" t="s">
        <v>55</v>
      </c>
      <c r="M131" t="s">
        <v>76</v>
      </c>
      <c r="N131" t="s">
        <v>83</v>
      </c>
      <c r="P131" t="str" cm="1">
        <f t="array" aca="1" ref="P131" ca="1">VLOOKUP(INDIRECT("A"&amp;ROW()), 'Recent Changes'!A:G, 2, FALSE)</f>
        <v>2023-12-26T14:34:18Z</v>
      </c>
      <c r="Q131" t="str" cm="1">
        <f t="array" aca="1" ref="Q131" ca="1">VLOOKUP(INDIRECT("A"&amp;ROW()), 'Recent Changes'!A:G, 3, FALSE)</f>
        <v>NULL</v>
      </c>
      <c r="R131" t="str" cm="1">
        <f t="array" aca="1" ref="R131" ca="1">VLOOKUP(INDIRECT("A"&amp;ROW()), 'Recent Changes'!A:G, 4, FALSE)</f>
        <v>NULL</v>
      </c>
      <c r="S131" t="str" cm="1">
        <f t="array" aca="1" ref="S131" ca="1">VLOOKUP(INDIRECT("A"&amp;ROW()), 'Recent Changes'!A:G, 5, FALSE)</f>
        <v>2023-12-26T14:34:49Z</v>
      </c>
      <c r="T131" t="str" cm="1">
        <f t="array" aca="1" ref="T131" ca="1">VLOOKUP(INDIRECT("A"&amp;ROW()), 'Recent Changes'!A:G, 6, FALSE)</f>
        <v>NULL</v>
      </c>
      <c r="U131" t="str" cm="1">
        <f t="array" aca="1" ref="U131" ca="1">VLOOKUP(INDIRECT("A"&amp;ROW()), 'Recent Changes'!A:G, 7, FALSE)</f>
        <v>NULL</v>
      </c>
      <c r="V131" t="str" cm="1">
        <f t="array" aca="1" ref="V131" ca="1">VLOOKUP(INDIRECT("A"&amp;ROW()), 'Recent Changes'!A:H, 8, FALSE)</f>
        <v>2023-12-26T16:19:31Z</v>
      </c>
    </row>
    <row r="132" spans="1:22" x14ac:dyDescent="0.25">
      <c r="A132">
        <v>17297433</v>
      </c>
      <c r="B132" t="s" cm="1">
        <v>430</v>
      </c>
      <c r="C132">
        <v>86</v>
      </c>
      <c r="G132" t="e" cm="1">
        <v>#N/A</v>
      </c>
      <c r="H132" t="s">
        <v>14</v>
      </c>
      <c r="I132" t="s">
        <v>14</v>
      </c>
      <c r="J132" t="s">
        <v>18</v>
      </c>
      <c r="K132" t="s">
        <v>48</v>
      </c>
      <c r="L132" t="s">
        <v>395</v>
      </c>
      <c r="M132" t="s">
        <v>76</v>
      </c>
      <c r="N132" t="s">
        <v>83</v>
      </c>
      <c r="P132" t="str" cm="1">
        <f t="array" aca="1" ref="P132" ca="1">VLOOKUP(INDIRECT("A"&amp;ROW()), 'Recent Changes'!A:G, 2, FALSE)</f>
        <v>NULL</v>
      </c>
      <c r="Q132" t="str" cm="1">
        <f t="array" aca="1" ref="Q132" ca="1">VLOOKUP(INDIRECT("A"&amp;ROW()), 'Recent Changes'!A:G, 3, FALSE)</f>
        <v>NULL</v>
      </c>
      <c r="R132" t="str" cm="1">
        <f t="array" aca="1" ref="R132" ca="1">VLOOKUP(INDIRECT("A"&amp;ROW()), 'Recent Changes'!A:G, 4, FALSE)</f>
        <v>NULL</v>
      </c>
      <c r="S132" t="str" cm="1">
        <f t="array" aca="1" ref="S132" ca="1">VLOOKUP(INDIRECT("A"&amp;ROW()), 'Recent Changes'!A:G, 5, FALSE)</f>
        <v>2024-01-04T19:38:17Z</v>
      </c>
      <c r="T132" t="str" cm="1">
        <f t="array" aca="1" ref="T132" ca="1">VLOOKUP(INDIRECT("A"&amp;ROW()), 'Recent Changes'!A:G, 6, FALSE)</f>
        <v>NULL</v>
      </c>
      <c r="U132" t="str" cm="1">
        <f t="array" aca="1" ref="U132" ca="1">VLOOKUP(INDIRECT("A"&amp;ROW()), 'Recent Changes'!A:G, 7, FALSE)</f>
        <v>NULL</v>
      </c>
      <c r="V132" t="str" cm="1">
        <f t="array" aca="1" ref="V132" ca="1">VLOOKUP(INDIRECT("A"&amp;ROW()), 'Recent Changes'!A:H, 8, FALSE)</f>
        <v>2024-01-04T21:26:59Z</v>
      </c>
    </row>
    <row r="133" spans="1:22" x14ac:dyDescent="0.25">
      <c r="A133">
        <v>17297496</v>
      </c>
      <c r="B133" t="s">
        <v>433</v>
      </c>
      <c r="C133">
        <v>86</v>
      </c>
      <c r="G133" t="s" cm="1">
        <v>442</v>
      </c>
      <c r="H133">
        <v>45257</v>
      </c>
      <c r="I133" t="s">
        <v>15</v>
      </c>
      <c r="J133" t="s">
        <v>30</v>
      </c>
      <c r="K133" t="s">
        <v>44</v>
      </c>
      <c r="L133" t="s">
        <v>394</v>
      </c>
      <c r="M133" t="s">
        <v>76</v>
      </c>
      <c r="N133" t="s">
        <v>417</v>
      </c>
      <c r="O133" t="s">
        <v>431</v>
      </c>
      <c r="P133" t="e" cm="1">
        <f t="array" aca="1" ref="P133" ca="1">VLOOKUP(INDIRECT("A"&amp;ROW()), 'Recent Changes'!A:G, 2, FALSE)</f>
        <v>#N/A</v>
      </c>
      <c r="Q133" t="e" cm="1">
        <f t="array" aca="1" ref="Q133" ca="1">VLOOKUP(INDIRECT("A"&amp;ROW()), 'Recent Changes'!A:G, 3, FALSE)</f>
        <v>#N/A</v>
      </c>
      <c r="R133" t="e" cm="1">
        <f t="array" aca="1" ref="R133" ca="1">VLOOKUP(INDIRECT("A"&amp;ROW()), 'Recent Changes'!A:G, 4, FALSE)</f>
        <v>#N/A</v>
      </c>
      <c r="S133" t="e" cm="1">
        <f t="array" aca="1" ref="S133" ca="1">VLOOKUP(INDIRECT("A"&amp;ROW()), 'Recent Changes'!A:G, 5, FALSE)</f>
        <v>#N/A</v>
      </c>
      <c r="T133" t="e" cm="1">
        <f t="array" aca="1" ref="T133" ca="1">VLOOKUP(INDIRECT("A"&amp;ROW()), 'Recent Changes'!A:G, 6, FALSE)</f>
        <v>#N/A</v>
      </c>
      <c r="U133" t="e" cm="1">
        <f t="array" aca="1" ref="U133" ca="1">VLOOKUP(INDIRECT("A"&amp;ROW()), 'Recent Changes'!A:G, 7, FALSE)</f>
        <v>#N/A</v>
      </c>
      <c r="V133" t="e" cm="1">
        <f t="array" aca="1" ref="V133" ca="1">VLOOKUP(INDIRECT("A"&amp;ROW()), 'Recent Changes'!A:H, 8, FALSE)</f>
        <v>#N/A</v>
      </c>
    </row>
    <row r="134" spans="1:22" x14ac:dyDescent="0.25">
      <c r="A134">
        <v>17298463</v>
      </c>
      <c r="B134" t="s">
        <v>433</v>
      </c>
      <c r="C134">
        <v>84</v>
      </c>
      <c r="G134" t="s" cm="1">
        <v>442</v>
      </c>
      <c r="H134">
        <v>45294</v>
      </c>
      <c r="I134" t="s">
        <v>15</v>
      </c>
      <c r="J134" t="s">
        <v>30</v>
      </c>
      <c r="K134" t="s">
        <v>43</v>
      </c>
      <c r="L134" t="s">
        <v>1699</v>
      </c>
      <c r="M134" t="s">
        <v>78</v>
      </c>
      <c r="N134" t="s">
        <v>461</v>
      </c>
      <c r="O134" t="s">
        <v>431</v>
      </c>
      <c r="P134" t="e" cm="1">
        <f t="array" aca="1" ref="P134" ca="1">VLOOKUP(INDIRECT("A"&amp;ROW()), 'Recent Changes'!A:G, 2, FALSE)</f>
        <v>#N/A</v>
      </c>
      <c r="Q134" t="e" cm="1">
        <f t="array" aca="1" ref="Q134" ca="1">VLOOKUP(INDIRECT("A"&amp;ROW()), 'Recent Changes'!A:G, 3, FALSE)</f>
        <v>#N/A</v>
      </c>
      <c r="R134" t="e" cm="1">
        <f t="array" aca="1" ref="R134" ca="1">VLOOKUP(INDIRECT("A"&amp;ROW()), 'Recent Changes'!A:G, 4, FALSE)</f>
        <v>#N/A</v>
      </c>
      <c r="S134" t="e" cm="1">
        <f t="array" aca="1" ref="S134" ca="1">VLOOKUP(INDIRECT("A"&amp;ROW()), 'Recent Changes'!A:G, 5, FALSE)</f>
        <v>#N/A</v>
      </c>
      <c r="T134" t="e" cm="1">
        <f t="array" aca="1" ref="T134" ca="1">VLOOKUP(INDIRECT("A"&amp;ROW()), 'Recent Changes'!A:G, 6, FALSE)</f>
        <v>#N/A</v>
      </c>
      <c r="U134" t="e" cm="1">
        <f t="array" aca="1" ref="U134" ca="1">VLOOKUP(INDIRECT("A"&amp;ROW()), 'Recent Changes'!A:G, 7, FALSE)</f>
        <v>#N/A</v>
      </c>
      <c r="V134" t="e" cm="1">
        <f t="array" aca="1" ref="V134" ca="1">VLOOKUP(INDIRECT("A"&amp;ROW()), 'Recent Changes'!A:H, 8, FALSE)</f>
        <v>#N/A</v>
      </c>
    </row>
    <row r="135" spans="1:22" x14ac:dyDescent="0.25">
      <c r="A135">
        <v>17298958</v>
      </c>
      <c r="B135" t="s" cm="1">
        <v>430</v>
      </c>
      <c r="C135">
        <v>84</v>
      </c>
      <c r="G135" t="e" cm="1">
        <v>#N/A</v>
      </c>
      <c r="H135" t="s">
        <v>14</v>
      </c>
      <c r="I135" t="s">
        <v>14</v>
      </c>
      <c r="J135" t="s">
        <v>26</v>
      </c>
      <c r="K135" t="s">
        <v>43</v>
      </c>
      <c r="L135" t="s">
        <v>2092</v>
      </c>
      <c r="M135" t="s">
        <v>78</v>
      </c>
      <c r="N135" t="s">
        <v>83</v>
      </c>
      <c r="P135" t="str" cm="1">
        <f t="array" aca="1" ref="P135" ca="1">VLOOKUP(INDIRECT("A"&amp;ROW()), 'Recent Changes'!A:G, 2, FALSE)</f>
        <v>NULL</v>
      </c>
      <c r="Q135" t="str" cm="1">
        <f t="array" aca="1" ref="Q135" ca="1">VLOOKUP(INDIRECT("A"&amp;ROW()), 'Recent Changes'!A:G, 3, FALSE)</f>
        <v>NULL</v>
      </c>
      <c r="R135" t="str" cm="1">
        <f t="array" aca="1" ref="R135" ca="1">VLOOKUP(INDIRECT("A"&amp;ROW()), 'Recent Changes'!A:G, 4, FALSE)</f>
        <v>NULL</v>
      </c>
      <c r="S135" t="str" cm="1">
        <f t="array" aca="1" ref="S135" ca="1">VLOOKUP(INDIRECT("A"&amp;ROW()), 'Recent Changes'!A:G, 5, FALSE)</f>
        <v>2023-12-14T18:45:35Z</v>
      </c>
      <c r="T135" t="str" cm="1">
        <f t="array" aca="1" ref="T135" ca="1">VLOOKUP(INDIRECT("A"&amp;ROW()), 'Recent Changes'!A:G, 6, FALSE)</f>
        <v>NULL</v>
      </c>
      <c r="U135" t="str" cm="1">
        <f t="array" aca="1" ref="U135" ca="1">VLOOKUP(INDIRECT("A"&amp;ROW()), 'Recent Changes'!A:G, 7, FALSE)</f>
        <v>NULL</v>
      </c>
      <c r="V135" t="str" cm="1">
        <f t="array" aca="1" ref="V135" ca="1">VLOOKUP(INDIRECT("A"&amp;ROW()), 'Recent Changes'!A:H, 8, FALSE)</f>
        <v>2023-12-14T21:07:25Z</v>
      </c>
    </row>
    <row r="136" spans="1:22" x14ac:dyDescent="0.25">
      <c r="A136">
        <v>11970112</v>
      </c>
      <c r="B136" t="s">
        <v>433</v>
      </c>
      <c r="C136">
        <v>83</v>
      </c>
      <c r="G136" t="s" cm="1">
        <v>442</v>
      </c>
      <c r="H136">
        <v>45215</v>
      </c>
      <c r="I136" t="s">
        <v>15</v>
      </c>
      <c r="J136" t="s">
        <v>18</v>
      </c>
      <c r="K136" t="s">
        <v>44</v>
      </c>
      <c r="L136" t="s">
        <v>90</v>
      </c>
      <c r="M136" t="s">
        <v>409</v>
      </c>
      <c r="N136" t="s">
        <v>2242</v>
      </c>
      <c r="O136" t="s">
        <v>431</v>
      </c>
      <c r="P136" t="e" cm="1">
        <f t="array" aca="1" ref="P136" ca="1">VLOOKUP(INDIRECT("A"&amp;ROW()), 'Recent Changes'!A:G, 2, FALSE)</f>
        <v>#N/A</v>
      </c>
      <c r="Q136" t="e" cm="1">
        <f t="array" aca="1" ref="Q136" ca="1">VLOOKUP(INDIRECT("A"&amp;ROW()), 'Recent Changes'!A:G, 3, FALSE)</f>
        <v>#N/A</v>
      </c>
      <c r="R136" t="e" cm="1">
        <f t="array" aca="1" ref="R136" ca="1">VLOOKUP(INDIRECT("A"&amp;ROW()), 'Recent Changes'!A:G, 4, FALSE)</f>
        <v>#N/A</v>
      </c>
      <c r="S136" t="e" cm="1">
        <f t="array" aca="1" ref="S136" ca="1">VLOOKUP(INDIRECT("A"&amp;ROW()), 'Recent Changes'!A:G, 5, FALSE)</f>
        <v>#N/A</v>
      </c>
      <c r="T136" t="e" cm="1">
        <f t="array" aca="1" ref="T136" ca="1">VLOOKUP(INDIRECT("A"&amp;ROW()), 'Recent Changes'!A:G, 6, FALSE)</f>
        <v>#N/A</v>
      </c>
      <c r="U136" t="e" cm="1">
        <f t="array" aca="1" ref="U136" ca="1">VLOOKUP(INDIRECT("A"&amp;ROW()), 'Recent Changes'!A:G, 7, FALSE)</f>
        <v>#N/A</v>
      </c>
      <c r="V136" t="e" cm="1">
        <f t="array" aca="1" ref="V136" ca="1">VLOOKUP(INDIRECT("A"&amp;ROW()), 'Recent Changes'!A:H, 8, FALSE)</f>
        <v>#N/A</v>
      </c>
    </row>
    <row r="137" spans="1:22" x14ac:dyDescent="0.25">
      <c r="A137">
        <v>14839825</v>
      </c>
      <c r="B137" t="s">
        <v>433</v>
      </c>
      <c r="C137">
        <v>83</v>
      </c>
      <c r="G137" t="e" cm="1">
        <v>#N/A</v>
      </c>
      <c r="H137">
        <v>45216</v>
      </c>
      <c r="I137" t="s">
        <v>15</v>
      </c>
      <c r="J137" t="s">
        <v>30</v>
      </c>
      <c r="K137" t="s">
        <v>44</v>
      </c>
      <c r="L137" t="s">
        <v>2093</v>
      </c>
      <c r="M137" t="s">
        <v>2187</v>
      </c>
      <c r="N137" t="s">
        <v>83</v>
      </c>
      <c r="O137" t="s">
        <v>431</v>
      </c>
      <c r="P137" t="str" cm="1">
        <f t="array" aca="1" ref="P137" ca="1">VLOOKUP(INDIRECT("A"&amp;ROW()), 'Recent Changes'!A:G, 2, FALSE)</f>
        <v>NULL</v>
      </c>
      <c r="Q137" t="str" cm="1">
        <f t="array" aca="1" ref="Q137" ca="1">VLOOKUP(INDIRECT("A"&amp;ROW()), 'Recent Changes'!A:G, 3, FALSE)</f>
        <v>NULL</v>
      </c>
      <c r="R137" t="str" cm="1">
        <f t="array" aca="1" ref="R137" ca="1">VLOOKUP(INDIRECT("A"&amp;ROW()), 'Recent Changes'!A:G, 4, FALSE)</f>
        <v>NULL</v>
      </c>
      <c r="S137" t="str" cm="1">
        <f t="array" aca="1" ref="S137" ca="1">VLOOKUP(INDIRECT("A"&amp;ROW()), 'Recent Changes'!A:G, 5, FALSE)</f>
        <v>NULL</v>
      </c>
      <c r="T137" t="str" cm="1">
        <f t="array" aca="1" ref="T137" ca="1">VLOOKUP(INDIRECT("A"&amp;ROW()), 'Recent Changes'!A:G, 6, FALSE)</f>
        <v>NULL</v>
      </c>
      <c r="U137" t="str" cm="1">
        <f t="array" aca="1" ref="U137" ca="1">VLOOKUP(INDIRECT("A"&amp;ROW()), 'Recent Changes'!A:G, 7, FALSE)</f>
        <v>2023-12-27T22:42:26Z</v>
      </c>
      <c r="V137" t="str" cm="1">
        <f t="array" aca="1" ref="V137" ca="1">VLOOKUP(INDIRECT("A"&amp;ROW()), 'Recent Changes'!A:H, 8, FALSE)</f>
        <v>2023-12-28T07:43:14Z</v>
      </c>
    </row>
    <row r="138" spans="1:22" x14ac:dyDescent="0.25">
      <c r="A138">
        <v>17308194</v>
      </c>
      <c r="B138" t="s">
        <v>433</v>
      </c>
      <c r="C138">
        <v>83</v>
      </c>
      <c r="G138" t="s" cm="1">
        <v>442</v>
      </c>
      <c r="H138">
        <v>45237</v>
      </c>
      <c r="I138" t="s">
        <v>15</v>
      </c>
      <c r="J138" t="s">
        <v>22</v>
      </c>
      <c r="K138" t="s">
        <v>44</v>
      </c>
      <c r="L138" t="s">
        <v>397</v>
      </c>
      <c r="M138" t="s">
        <v>771</v>
      </c>
      <c r="N138" t="s">
        <v>1580</v>
      </c>
      <c r="O138" t="s">
        <v>431</v>
      </c>
      <c r="P138" t="e" cm="1">
        <f t="array" aca="1" ref="P138" ca="1">VLOOKUP(INDIRECT("A"&amp;ROW()), 'Recent Changes'!A:G, 2, FALSE)</f>
        <v>#N/A</v>
      </c>
      <c r="Q138" t="e" cm="1">
        <f t="array" aca="1" ref="Q138" ca="1">VLOOKUP(INDIRECT("A"&amp;ROW()), 'Recent Changes'!A:G, 3, FALSE)</f>
        <v>#N/A</v>
      </c>
      <c r="R138" t="e" cm="1">
        <f t="array" aca="1" ref="R138" ca="1">VLOOKUP(INDIRECT("A"&amp;ROW()), 'Recent Changes'!A:G, 4, FALSE)</f>
        <v>#N/A</v>
      </c>
      <c r="S138" t="e" cm="1">
        <f t="array" aca="1" ref="S138" ca="1">VLOOKUP(INDIRECT("A"&amp;ROW()), 'Recent Changes'!A:G, 5, FALSE)</f>
        <v>#N/A</v>
      </c>
      <c r="T138" t="e" cm="1">
        <f t="array" aca="1" ref="T138" ca="1">VLOOKUP(INDIRECT("A"&amp;ROW()), 'Recent Changes'!A:G, 6, FALSE)</f>
        <v>#N/A</v>
      </c>
      <c r="U138" t="e" cm="1">
        <f t="array" aca="1" ref="U138" ca="1">VLOOKUP(INDIRECT("A"&amp;ROW()), 'Recent Changes'!A:G, 7, FALSE)</f>
        <v>#N/A</v>
      </c>
      <c r="V138" t="e" cm="1">
        <f t="array" aca="1" ref="V138" ca="1">VLOOKUP(INDIRECT("A"&amp;ROW()), 'Recent Changes'!A:H, 8, FALSE)</f>
        <v>#N/A</v>
      </c>
    </row>
    <row r="139" spans="1:22" x14ac:dyDescent="0.25">
      <c r="A139">
        <v>17308564</v>
      </c>
      <c r="B139" t="s">
        <v>433</v>
      </c>
      <c r="C139">
        <v>83</v>
      </c>
      <c r="G139" t="s" cm="1">
        <v>1611</v>
      </c>
      <c r="H139">
        <v>45272</v>
      </c>
      <c r="I139" t="s">
        <v>15</v>
      </c>
      <c r="J139" t="s">
        <v>18</v>
      </c>
      <c r="K139" t="s">
        <v>44</v>
      </c>
      <c r="L139" t="s">
        <v>391</v>
      </c>
      <c r="M139" t="s">
        <v>76</v>
      </c>
      <c r="N139" t="s">
        <v>429</v>
      </c>
      <c r="O139" t="s">
        <v>431</v>
      </c>
      <c r="P139" t="e" cm="1">
        <f t="array" aca="1" ref="P139" ca="1">VLOOKUP(INDIRECT("A"&amp;ROW()), 'Recent Changes'!A:G, 2, FALSE)</f>
        <v>#N/A</v>
      </c>
      <c r="Q139" t="e" cm="1">
        <f t="array" aca="1" ref="Q139" ca="1">VLOOKUP(INDIRECT("A"&amp;ROW()), 'Recent Changes'!A:G, 3, FALSE)</f>
        <v>#N/A</v>
      </c>
      <c r="R139" t="e" cm="1">
        <f t="array" aca="1" ref="R139" ca="1">VLOOKUP(INDIRECT("A"&amp;ROW()), 'Recent Changes'!A:G, 4, FALSE)</f>
        <v>#N/A</v>
      </c>
      <c r="S139" t="e" cm="1">
        <f t="array" aca="1" ref="S139" ca="1">VLOOKUP(INDIRECT("A"&amp;ROW()), 'Recent Changes'!A:G, 5, FALSE)</f>
        <v>#N/A</v>
      </c>
      <c r="T139" t="e" cm="1">
        <f t="array" aca="1" ref="T139" ca="1">VLOOKUP(INDIRECT("A"&amp;ROW()), 'Recent Changes'!A:G, 6, FALSE)</f>
        <v>#N/A</v>
      </c>
      <c r="U139" t="e" cm="1">
        <f t="array" aca="1" ref="U139" ca="1">VLOOKUP(INDIRECT("A"&amp;ROW()), 'Recent Changes'!A:G, 7, FALSE)</f>
        <v>#N/A</v>
      </c>
      <c r="V139" t="e" cm="1">
        <f t="array" aca="1" ref="V139" ca="1">VLOOKUP(INDIRECT("A"&amp;ROW()), 'Recent Changes'!A:H, 8, FALSE)</f>
        <v>#N/A</v>
      </c>
    </row>
    <row r="140" spans="1:22" x14ac:dyDescent="0.25">
      <c r="A140">
        <v>17309291</v>
      </c>
      <c r="B140" t="s" cm="1">
        <v>430</v>
      </c>
      <c r="C140">
        <v>83</v>
      </c>
      <c r="G140" t="s" cm="1">
        <v>442</v>
      </c>
      <c r="H140" t="s">
        <v>14</v>
      </c>
      <c r="I140" t="s">
        <v>14</v>
      </c>
      <c r="J140" t="s">
        <v>28</v>
      </c>
      <c r="K140" t="s">
        <v>44</v>
      </c>
      <c r="L140" t="s">
        <v>59</v>
      </c>
      <c r="M140" t="s">
        <v>76</v>
      </c>
      <c r="N140" t="s">
        <v>1974</v>
      </c>
      <c r="P140" t="e" cm="1">
        <f t="array" aca="1" ref="P140" ca="1">VLOOKUP(INDIRECT("A"&amp;ROW()), 'Recent Changes'!A:G, 2, FALSE)</f>
        <v>#N/A</v>
      </c>
      <c r="Q140" t="e" cm="1">
        <f t="array" aca="1" ref="Q140" ca="1">VLOOKUP(INDIRECT("A"&amp;ROW()), 'Recent Changes'!A:G, 3, FALSE)</f>
        <v>#N/A</v>
      </c>
      <c r="R140" t="e" cm="1">
        <f t="array" aca="1" ref="R140" ca="1">VLOOKUP(INDIRECT("A"&amp;ROW()), 'Recent Changes'!A:G, 4, FALSE)</f>
        <v>#N/A</v>
      </c>
      <c r="S140" t="e" cm="1">
        <f t="array" aca="1" ref="S140" ca="1">VLOOKUP(INDIRECT("A"&amp;ROW()), 'Recent Changes'!A:G, 5, FALSE)</f>
        <v>#N/A</v>
      </c>
      <c r="T140" t="e" cm="1">
        <f t="array" aca="1" ref="T140" ca="1">VLOOKUP(INDIRECT("A"&amp;ROW()), 'Recent Changes'!A:G, 6, FALSE)</f>
        <v>#N/A</v>
      </c>
      <c r="U140" t="e" cm="1">
        <f t="array" aca="1" ref="U140" ca="1">VLOOKUP(INDIRECT("A"&amp;ROW()), 'Recent Changes'!A:G, 7, FALSE)</f>
        <v>#N/A</v>
      </c>
      <c r="V140" t="e" cm="1">
        <f t="array" aca="1" ref="V140" ca="1">VLOOKUP(INDIRECT("A"&amp;ROW()), 'Recent Changes'!A:H, 8, FALSE)</f>
        <v>#N/A</v>
      </c>
    </row>
    <row r="141" spans="1:22" x14ac:dyDescent="0.25">
      <c r="A141">
        <v>17311179</v>
      </c>
      <c r="B141" t="s" cm="1">
        <v>430</v>
      </c>
      <c r="C141">
        <v>82</v>
      </c>
      <c r="G141" t="e" cm="1">
        <v>#N/A</v>
      </c>
      <c r="H141" t="s">
        <v>14</v>
      </c>
      <c r="I141" t="s">
        <v>14</v>
      </c>
      <c r="J141" t="s">
        <v>30</v>
      </c>
      <c r="K141" t="s">
        <v>49</v>
      </c>
      <c r="L141" t="s">
        <v>58</v>
      </c>
      <c r="M141" t="s">
        <v>76</v>
      </c>
      <c r="N141" t="s">
        <v>83</v>
      </c>
      <c r="P141" t="str" cm="1">
        <f t="array" aca="1" ref="P141" ca="1">VLOOKUP(INDIRECT("A"&amp;ROW()), 'Recent Changes'!A:G, 2, FALSE)</f>
        <v>NULL</v>
      </c>
      <c r="Q141" t="str" cm="1">
        <f t="array" aca="1" ref="Q141" ca="1">VLOOKUP(INDIRECT("A"&amp;ROW()), 'Recent Changes'!A:G, 3, FALSE)</f>
        <v>NULL</v>
      </c>
      <c r="R141" t="str" cm="1">
        <f t="array" aca="1" ref="R141" ca="1">VLOOKUP(INDIRECT("A"&amp;ROW()), 'Recent Changes'!A:G, 4, FALSE)</f>
        <v>NULL</v>
      </c>
      <c r="S141" t="str" cm="1">
        <f t="array" aca="1" ref="S141" ca="1">VLOOKUP(INDIRECT("A"&amp;ROW()), 'Recent Changes'!A:G, 5, FALSE)</f>
        <v>2023-12-19T04:48:25Z</v>
      </c>
      <c r="T141" t="str" cm="1">
        <f t="array" aca="1" ref="T141" ca="1">VLOOKUP(INDIRECT("A"&amp;ROW()), 'Recent Changes'!A:G, 6, FALSE)</f>
        <v>NULL</v>
      </c>
      <c r="U141" t="str" cm="1">
        <f t="array" aca="1" ref="U141" ca="1">VLOOKUP(INDIRECT("A"&amp;ROW()), 'Recent Changes'!A:G, 7, FALSE)</f>
        <v>NULL</v>
      </c>
      <c r="V141" t="str" cm="1">
        <f t="array" aca="1" ref="V141" ca="1">VLOOKUP(INDIRECT("A"&amp;ROW()), 'Recent Changes'!A:H, 8, FALSE)</f>
        <v>2023-12-19T16:11:20Z</v>
      </c>
    </row>
    <row r="142" spans="1:22" x14ac:dyDescent="0.25">
      <c r="A142">
        <v>17312898</v>
      </c>
      <c r="B142" t="s">
        <v>433</v>
      </c>
      <c r="C142">
        <v>82</v>
      </c>
      <c r="G142" t="e" cm="1">
        <v>#N/A</v>
      </c>
      <c r="H142">
        <v>45239</v>
      </c>
      <c r="I142" t="s">
        <v>15</v>
      </c>
      <c r="J142" t="s">
        <v>42</v>
      </c>
      <c r="K142" t="s">
        <v>54</v>
      </c>
      <c r="L142" t="s">
        <v>1442</v>
      </c>
      <c r="M142" t="s">
        <v>76</v>
      </c>
      <c r="N142" t="s">
        <v>83</v>
      </c>
      <c r="O142" t="s">
        <v>431</v>
      </c>
      <c r="P142" t="str" cm="1">
        <f t="array" aca="1" ref="P142" ca="1">VLOOKUP(INDIRECT("A"&amp;ROW()), 'Recent Changes'!A:G, 2, FALSE)</f>
        <v>NULL</v>
      </c>
      <c r="Q142" t="str" cm="1">
        <f t="array" aca="1" ref="Q142" ca="1">VLOOKUP(INDIRECT("A"&amp;ROW()), 'Recent Changes'!A:G, 3, FALSE)</f>
        <v>NULL</v>
      </c>
      <c r="R142" t="str" cm="1">
        <f t="array" aca="1" ref="R142" ca="1">VLOOKUP(INDIRECT("A"&amp;ROW()), 'Recent Changes'!A:G, 4, FALSE)</f>
        <v>NULL</v>
      </c>
      <c r="S142" t="str" cm="1">
        <f t="array" aca="1" ref="S142" ca="1">VLOOKUP(INDIRECT("A"&amp;ROW()), 'Recent Changes'!A:G, 5, FALSE)</f>
        <v>2023-12-14T16:58:09Z</v>
      </c>
      <c r="T142" t="str" cm="1">
        <f t="array" aca="1" ref="T142" ca="1">VLOOKUP(INDIRECT("A"&amp;ROW()), 'Recent Changes'!A:G, 6, FALSE)</f>
        <v>NULL</v>
      </c>
      <c r="U142" t="str" cm="1">
        <f t="array" aca="1" ref="U142" ca="1">VLOOKUP(INDIRECT("A"&amp;ROW()), 'Recent Changes'!A:G, 7, FALSE)</f>
        <v>2023-12-15T20:40:41Z</v>
      </c>
      <c r="V142" t="str" cm="1">
        <f t="array" aca="1" ref="V142" ca="1">VLOOKUP(INDIRECT("A"&amp;ROW()), 'Recent Changes'!A:H, 8, FALSE)</f>
        <v>2023-12-15T21:33:20Z</v>
      </c>
    </row>
    <row r="143" spans="1:22" x14ac:dyDescent="0.25">
      <c r="A143">
        <v>17315496</v>
      </c>
      <c r="B143" t="s">
        <v>433</v>
      </c>
      <c r="C143">
        <v>82</v>
      </c>
      <c r="G143" t="s" cm="1">
        <v>442</v>
      </c>
      <c r="H143">
        <v>45259</v>
      </c>
      <c r="I143" t="s">
        <v>15</v>
      </c>
      <c r="J143" t="s">
        <v>22</v>
      </c>
      <c r="K143" t="s">
        <v>44</v>
      </c>
      <c r="L143" t="s">
        <v>63</v>
      </c>
      <c r="M143" t="s">
        <v>76</v>
      </c>
      <c r="N143" t="s">
        <v>426</v>
      </c>
      <c r="O143" t="s">
        <v>431</v>
      </c>
      <c r="P143" t="e" cm="1">
        <f t="array" aca="1" ref="P143" ca="1">VLOOKUP(INDIRECT("A"&amp;ROW()), 'Recent Changes'!A:G, 2, FALSE)</f>
        <v>#N/A</v>
      </c>
      <c r="Q143" t="e" cm="1">
        <f t="array" aca="1" ref="Q143" ca="1">VLOOKUP(INDIRECT("A"&amp;ROW()), 'Recent Changes'!A:G, 3, FALSE)</f>
        <v>#N/A</v>
      </c>
      <c r="R143" t="e" cm="1">
        <f t="array" aca="1" ref="R143" ca="1">VLOOKUP(INDIRECT("A"&amp;ROW()), 'Recent Changes'!A:G, 4, FALSE)</f>
        <v>#N/A</v>
      </c>
      <c r="S143" t="e" cm="1">
        <f t="array" aca="1" ref="S143" ca="1">VLOOKUP(INDIRECT("A"&amp;ROW()), 'Recent Changes'!A:G, 5, FALSE)</f>
        <v>#N/A</v>
      </c>
      <c r="T143" t="e" cm="1">
        <f t="array" aca="1" ref="T143" ca="1">VLOOKUP(INDIRECT("A"&amp;ROW()), 'Recent Changes'!A:G, 6, FALSE)</f>
        <v>#N/A</v>
      </c>
      <c r="U143" t="e" cm="1">
        <f t="array" aca="1" ref="U143" ca="1">VLOOKUP(INDIRECT("A"&amp;ROW()), 'Recent Changes'!A:G, 7, FALSE)</f>
        <v>#N/A</v>
      </c>
      <c r="V143" t="e" cm="1">
        <f t="array" aca="1" ref="V143" ca="1">VLOOKUP(INDIRECT("A"&amp;ROW()), 'Recent Changes'!A:H, 8, FALSE)</f>
        <v>#N/A</v>
      </c>
    </row>
    <row r="144" spans="1:22" x14ac:dyDescent="0.25">
      <c r="A144">
        <v>16709711</v>
      </c>
      <c r="B144" t="s">
        <v>433</v>
      </c>
      <c r="C144">
        <v>81</v>
      </c>
      <c r="G144" t="s" cm="1">
        <v>442</v>
      </c>
      <c r="H144">
        <v>45229</v>
      </c>
      <c r="I144" t="s">
        <v>15</v>
      </c>
      <c r="J144" t="s">
        <v>30</v>
      </c>
      <c r="K144" t="s">
        <v>44</v>
      </c>
      <c r="L144" t="s">
        <v>89</v>
      </c>
      <c r="M144" t="s">
        <v>76</v>
      </c>
      <c r="N144" t="s">
        <v>1577</v>
      </c>
      <c r="O144" t="s">
        <v>431</v>
      </c>
      <c r="P144" t="e" cm="1">
        <f t="array" aca="1" ref="P144" ca="1">VLOOKUP(INDIRECT("A"&amp;ROW()), 'Recent Changes'!A:G, 2, FALSE)</f>
        <v>#N/A</v>
      </c>
      <c r="Q144" t="e" cm="1">
        <f t="array" aca="1" ref="Q144" ca="1">VLOOKUP(INDIRECT("A"&amp;ROW()), 'Recent Changes'!A:G, 3, FALSE)</f>
        <v>#N/A</v>
      </c>
      <c r="R144" t="e" cm="1">
        <f t="array" aca="1" ref="R144" ca="1">VLOOKUP(INDIRECT("A"&amp;ROW()), 'Recent Changes'!A:G, 4, FALSE)</f>
        <v>#N/A</v>
      </c>
      <c r="S144" t="e" cm="1">
        <f t="array" aca="1" ref="S144" ca="1">VLOOKUP(INDIRECT("A"&amp;ROW()), 'Recent Changes'!A:G, 5, FALSE)</f>
        <v>#N/A</v>
      </c>
      <c r="T144" t="e" cm="1">
        <f t="array" aca="1" ref="T144" ca="1">VLOOKUP(INDIRECT("A"&amp;ROW()), 'Recent Changes'!A:G, 6, FALSE)</f>
        <v>#N/A</v>
      </c>
      <c r="U144" t="e" cm="1">
        <f t="array" aca="1" ref="U144" ca="1">VLOOKUP(INDIRECT("A"&amp;ROW()), 'Recent Changes'!A:G, 7, FALSE)</f>
        <v>#N/A</v>
      </c>
      <c r="V144" t="e" cm="1">
        <f t="array" aca="1" ref="V144" ca="1">VLOOKUP(INDIRECT("A"&amp;ROW()), 'Recent Changes'!A:H, 8, FALSE)</f>
        <v>#N/A</v>
      </c>
    </row>
    <row r="145" spans="1:22" x14ac:dyDescent="0.25">
      <c r="A145">
        <v>16837369</v>
      </c>
      <c r="B145" t="s">
        <v>433</v>
      </c>
      <c r="C145">
        <v>81</v>
      </c>
      <c r="G145" t="s" cm="1">
        <v>442</v>
      </c>
      <c r="H145" t="s">
        <v>14</v>
      </c>
      <c r="I145" t="s">
        <v>380</v>
      </c>
      <c r="J145" t="s">
        <v>23</v>
      </c>
      <c r="K145" t="s">
        <v>43</v>
      </c>
      <c r="L145" t="s">
        <v>598</v>
      </c>
      <c r="M145" t="s">
        <v>1535</v>
      </c>
      <c r="N145" t="s">
        <v>83</v>
      </c>
      <c r="P145" t="str" cm="1">
        <f t="array" aca="1" ref="P145" ca="1">VLOOKUP(INDIRECT("A"&amp;ROW()), 'Recent Changes'!A:G, 2, FALSE)</f>
        <v>NULL</v>
      </c>
      <c r="Q145" t="str" cm="1">
        <f t="array" aca="1" ref="Q145" ca="1">VLOOKUP(INDIRECT("A"&amp;ROW()), 'Recent Changes'!A:G, 3, FALSE)</f>
        <v>NULL</v>
      </c>
      <c r="R145" t="str" cm="1">
        <f t="array" aca="1" ref="R145" ca="1">VLOOKUP(INDIRECT("A"&amp;ROW()), 'Recent Changes'!A:G, 4, FALSE)</f>
        <v>NULL</v>
      </c>
      <c r="S145" t="str" cm="1">
        <f t="array" aca="1" ref="S145" ca="1">VLOOKUP(INDIRECT("A"&amp;ROW()), 'Recent Changes'!A:G, 5, FALSE)</f>
        <v>2023-10-19T17:02:51Z</v>
      </c>
      <c r="T145" t="str" cm="1">
        <f t="array" aca="1" ref="T145" ca="1">VLOOKUP(INDIRECT("A"&amp;ROW()), 'Recent Changes'!A:G, 6, FALSE)</f>
        <v>NULL</v>
      </c>
      <c r="U145" t="str" cm="1">
        <f t="array" aca="1" ref="U145" ca="1">VLOOKUP(INDIRECT("A"&amp;ROW()), 'Recent Changes'!A:G, 7, FALSE)</f>
        <v>NULL</v>
      </c>
      <c r="V145" t="str" cm="1">
        <f t="array" aca="1" ref="V145" ca="1">VLOOKUP(INDIRECT("A"&amp;ROW()), 'Recent Changes'!A:H, 8, FALSE)</f>
        <v>2023-10-19T21:25:43Z</v>
      </c>
    </row>
    <row r="146" spans="1:22" x14ac:dyDescent="0.25">
      <c r="A146">
        <v>17316621</v>
      </c>
      <c r="B146" t="s" cm="1">
        <v>430</v>
      </c>
      <c r="C146">
        <v>81</v>
      </c>
      <c r="G146" t="s" cm="1">
        <v>442</v>
      </c>
      <c r="H146" t="s">
        <v>14</v>
      </c>
      <c r="I146" t="s">
        <v>14</v>
      </c>
      <c r="J146" t="s">
        <v>30</v>
      </c>
      <c r="K146" t="s">
        <v>1414</v>
      </c>
      <c r="L146" t="s">
        <v>55</v>
      </c>
      <c r="M146" t="s">
        <v>76</v>
      </c>
      <c r="N146" t="s">
        <v>83</v>
      </c>
      <c r="P146" t="str" cm="1">
        <f t="array" aca="1" ref="P146" ca="1">VLOOKUP(INDIRECT("A"&amp;ROW()), 'Recent Changes'!A:G, 2, FALSE)</f>
        <v>NULL</v>
      </c>
      <c r="Q146" t="str" cm="1">
        <f t="array" aca="1" ref="Q146" ca="1">VLOOKUP(INDIRECT("A"&amp;ROW()), 'Recent Changes'!A:G, 3, FALSE)</f>
        <v>NULL</v>
      </c>
      <c r="R146" t="str" cm="1">
        <f t="array" aca="1" ref="R146" ca="1">VLOOKUP(INDIRECT("A"&amp;ROW()), 'Recent Changes'!A:G, 4, FALSE)</f>
        <v>NULL</v>
      </c>
      <c r="S146" t="str" cm="1">
        <f t="array" aca="1" ref="S146" ca="1">VLOOKUP(INDIRECT("A"&amp;ROW()), 'Recent Changes'!A:G, 5, FALSE)</f>
        <v>2023-12-05T13:35:10Z</v>
      </c>
      <c r="T146" t="str" cm="1">
        <f t="array" aca="1" ref="T146" ca="1">VLOOKUP(INDIRECT("A"&amp;ROW()), 'Recent Changes'!A:G, 6, FALSE)</f>
        <v>NULL</v>
      </c>
      <c r="U146" t="str" cm="1">
        <f t="array" aca="1" ref="U146" ca="1">VLOOKUP(INDIRECT("A"&amp;ROW()), 'Recent Changes'!A:G, 7, FALSE)</f>
        <v>2023-11-22T23:10:44Z</v>
      </c>
      <c r="V146" t="str" cm="1">
        <f t="array" aca="1" ref="V146" ca="1">VLOOKUP(INDIRECT("A"&amp;ROW()), 'Recent Changes'!A:H, 8, FALSE)</f>
        <v>2023-12-05T16:20:06Z</v>
      </c>
    </row>
    <row r="147" spans="1:22" x14ac:dyDescent="0.25">
      <c r="A147">
        <v>17318438</v>
      </c>
      <c r="B147" t="s" cm="1">
        <v>430</v>
      </c>
      <c r="C147">
        <v>81</v>
      </c>
      <c r="G147" t="s" cm="1">
        <v>442</v>
      </c>
      <c r="H147" t="s">
        <v>14</v>
      </c>
      <c r="I147" t="s">
        <v>14</v>
      </c>
      <c r="J147" t="s">
        <v>26</v>
      </c>
      <c r="K147" t="s">
        <v>53</v>
      </c>
      <c r="L147" t="s">
        <v>408</v>
      </c>
      <c r="M147" t="s">
        <v>78</v>
      </c>
      <c r="N147" t="s">
        <v>83</v>
      </c>
      <c r="P147" t="str" cm="1">
        <f t="array" aca="1" ref="P147" ca="1">VLOOKUP(INDIRECT("A"&amp;ROW()), 'Recent Changes'!A:G, 2, FALSE)</f>
        <v>NULL</v>
      </c>
      <c r="Q147" t="str" cm="1">
        <f t="array" aca="1" ref="Q147" ca="1">VLOOKUP(INDIRECT("A"&amp;ROW()), 'Recent Changes'!A:G, 3, FALSE)</f>
        <v>2023-11-13T16:10:03Z</v>
      </c>
      <c r="R147" t="str" cm="1">
        <f t="array" aca="1" ref="R147" ca="1">VLOOKUP(INDIRECT("A"&amp;ROW()), 'Recent Changes'!A:G, 4, FALSE)</f>
        <v>2023-11-13T16:10:03Z</v>
      </c>
      <c r="S147" t="str" cm="1">
        <f t="array" aca="1" ref="S147" ca="1">VLOOKUP(INDIRECT("A"&amp;ROW()), 'Recent Changes'!A:G, 5, FALSE)</f>
        <v>2023-11-13T15:54:09Z</v>
      </c>
      <c r="T147" t="str" cm="1">
        <f t="array" aca="1" ref="T147" ca="1">VLOOKUP(INDIRECT("A"&amp;ROW()), 'Recent Changes'!A:G, 6, FALSE)</f>
        <v>2023-11-13T16:10:04Z</v>
      </c>
      <c r="U147" t="str" cm="1">
        <f t="array" aca="1" ref="U147" ca="1">VLOOKUP(INDIRECT("A"&amp;ROW()), 'Recent Changes'!A:G, 7, FALSE)</f>
        <v>NULL</v>
      </c>
      <c r="V147" t="str" cm="1">
        <f t="array" aca="1" ref="V147" ca="1">VLOOKUP(INDIRECT("A"&amp;ROW()), 'Recent Changes'!A:H, 8, FALSE)</f>
        <v>2023-11-13T21:19:39Z</v>
      </c>
    </row>
    <row r="148" spans="1:22" x14ac:dyDescent="0.25">
      <c r="A148">
        <v>17320973</v>
      </c>
      <c r="B148" t="s" cm="1">
        <v>430</v>
      </c>
      <c r="C148">
        <v>81</v>
      </c>
      <c r="G148" t="e" cm="1">
        <v>#N/A</v>
      </c>
      <c r="H148" t="s">
        <v>14</v>
      </c>
      <c r="I148" t="s">
        <v>14</v>
      </c>
      <c r="J148" t="s">
        <v>30</v>
      </c>
      <c r="K148" t="s">
        <v>46</v>
      </c>
      <c r="L148" t="s">
        <v>55</v>
      </c>
      <c r="M148" t="s">
        <v>76</v>
      </c>
      <c r="N148" t="s">
        <v>83</v>
      </c>
      <c r="P148" t="str" cm="1">
        <f t="array" aca="1" ref="P148" ca="1">VLOOKUP(INDIRECT("A"&amp;ROW()), 'Recent Changes'!A:G, 2, FALSE)</f>
        <v>NULL</v>
      </c>
      <c r="Q148" t="str" cm="1">
        <f t="array" aca="1" ref="Q148" ca="1">VLOOKUP(INDIRECT("A"&amp;ROW()), 'Recent Changes'!A:G, 3, FALSE)</f>
        <v>NULL</v>
      </c>
      <c r="R148" t="str" cm="1">
        <f t="array" aca="1" ref="R148" ca="1">VLOOKUP(INDIRECT("A"&amp;ROW()), 'Recent Changes'!A:G, 4, FALSE)</f>
        <v>NULL</v>
      </c>
      <c r="S148" t="str" cm="1">
        <f t="array" aca="1" ref="S148" ca="1">VLOOKUP(INDIRECT("A"&amp;ROW()), 'Recent Changes'!A:G, 5, FALSE)</f>
        <v>2024-01-04T20:00:58Z</v>
      </c>
      <c r="T148" t="str" cm="1">
        <f t="array" aca="1" ref="T148" ca="1">VLOOKUP(INDIRECT("A"&amp;ROW()), 'Recent Changes'!A:G, 6, FALSE)</f>
        <v>NULL</v>
      </c>
      <c r="U148" t="str" cm="1">
        <f t="array" aca="1" ref="U148" ca="1">VLOOKUP(INDIRECT("A"&amp;ROW()), 'Recent Changes'!A:G, 7, FALSE)</f>
        <v>2023-11-13T18:29:06Z</v>
      </c>
      <c r="V148" t="str" cm="1">
        <f t="array" aca="1" ref="V148" ca="1">VLOOKUP(INDIRECT("A"&amp;ROW()), 'Recent Changes'!A:H, 8, FALSE)</f>
        <v>2024-01-04T21:09:02Z</v>
      </c>
    </row>
    <row r="149" spans="1:22" x14ac:dyDescent="0.25">
      <c r="A149">
        <v>17321560</v>
      </c>
      <c r="B149" t="s">
        <v>433</v>
      </c>
      <c r="C149">
        <v>81</v>
      </c>
      <c r="G149" t="e" cm="1">
        <v>#N/A</v>
      </c>
      <c r="H149">
        <v>45271</v>
      </c>
      <c r="I149" t="s">
        <v>15</v>
      </c>
      <c r="J149" t="s">
        <v>27</v>
      </c>
      <c r="K149" t="s">
        <v>44</v>
      </c>
      <c r="L149" t="s">
        <v>55</v>
      </c>
      <c r="M149" t="s">
        <v>76</v>
      </c>
      <c r="N149" t="s">
        <v>2243</v>
      </c>
      <c r="O149" t="s">
        <v>431</v>
      </c>
      <c r="P149" t="e" cm="1">
        <f t="array" aca="1" ref="P149" ca="1">VLOOKUP(INDIRECT("A"&amp;ROW()), 'Recent Changes'!A:G, 2, FALSE)</f>
        <v>#N/A</v>
      </c>
      <c r="Q149" t="e" cm="1">
        <f t="array" aca="1" ref="Q149" ca="1">VLOOKUP(INDIRECT("A"&amp;ROW()), 'Recent Changes'!A:G, 3, FALSE)</f>
        <v>#N/A</v>
      </c>
      <c r="R149" t="e" cm="1">
        <f t="array" aca="1" ref="R149" ca="1">VLOOKUP(INDIRECT("A"&amp;ROW()), 'Recent Changes'!A:G, 4, FALSE)</f>
        <v>#N/A</v>
      </c>
      <c r="S149" t="e" cm="1">
        <f t="array" aca="1" ref="S149" ca="1">VLOOKUP(INDIRECT("A"&amp;ROW()), 'Recent Changes'!A:G, 5, FALSE)</f>
        <v>#N/A</v>
      </c>
      <c r="T149" t="e" cm="1">
        <f t="array" aca="1" ref="T149" ca="1">VLOOKUP(INDIRECT("A"&amp;ROW()), 'Recent Changes'!A:G, 6, FALSE)</f>
        <v>#N/A</v>
      </c>
      <c r="U149" t="e" cm="1">
        <f t="array" aca="1" ref="U149" ca="1">VLOOKUP(INDIRECT("A"&amp;ROW()), 'Recent Changes'!A:G, 7, FALSE)</f>
        <v>#N/A</v>
      </c>
      <c r="V149" t="e" cm="1">
        <f t="array" aca="1" ref="V149" ca="1">VLOOKUP(INDIRECT("A"&amp;ROW()), 'Recent Changes'!A:H, 8, FALSE)</f>
        <v>#N/A</v>
      </c>
    </row>
    <row r="150" spans="1:22" x14ac:dyDescent="0.25">
      <c r="A150">
        <v>17321895</v>
      </c>
      <c r="B150" t="s">
        <v>433</v>
      </c>
      <c r="C150">
        <v>81</v>
      </c>
      <c r="G150" t="s" cm="1">
        <v>442</v>
      </c>
      <c r="H150">
        <v>45265</v>
      </c>
      <c r="I150" t="s">
        <v>15</v>
      </c>
      <c r="J150" t="s">
        <v>18</v>
      </c>
      <c r="K150" t="s">
        <v>44</v>
      </c>
      <c r="L150" t="s">
        <v>395</v>
      </c>
      <c r="M150" t="s">
        <v>76</v>
      </c>
      <c r="N150" t="s">
        <v>1583</v>
      </c>
      <c r="O150" t="s">
        <v>431</v>
      </c>
      <c r="P150" t="e" cm="1">
        <f t="array" aca="1" ref="P150" ca="1">VLOOKUP(INDIRECT("A"&amp;ROW()), 'Recent Changes'!A:G, 2, FALSE)</f>
        <v>#N/A</v>
      </c>
      <c r="Q150" t="e" cm="1">
        <f t="array" aca="1" ref="Q150" ca="1">VLOOKUP(INDIRECT("A"&amp;ROW()), 'Recent Changes'!A:G, 3, FALSE)</f>
        <v>#N/A</v>
      </c>
      <c r="R150" t="e" cm="1">
        <f t="array" aca="1" ref="R150" ca="1">VLOOKUP(INDIRECT("A"&amp;ROW()), 'Recent Changes'!A:G, 4, FALSE)</f>
        <v>#N/A</v>
      </c>
      <c r="S150" t="e" cm="1">
        <f t="array" aca="1" ref="S150" ca="1">VLOOKUP(INDIRECT("A"&amp;ROW()), 'Recent Changes'!A:G, 5, FALSE)</f>
        <v>#N/A</v>
      </c>
      <c r="T150" t="e" cm="1">
        <f t="array" aca="1" ref="T150" ca="1">VLOOKUP(INDIRECT("A"&amp;ROW()), 'Recent Changes'!A:G, 6, FALSE)</f>
        <v>#N/A</v>
      </c>
      <c r="U150" t="e" cm="1">
        <f t="array" aca="1" ref="U150" ca="1">VLOOKUP(INDIRECT("A"&amp;ROW()), 'Recent Changes'!A:G, 7, FALSE)</f>
        <v>#N/A</v>
      </c>
      <c r="V150" t="e" cm="1">
        <f t="array" aca="1" ref="V150" ca="1">VLOOKUP(INDIRECT("A"&amp;ROW()), 'Recent Changes'!A:H, 8, FALSE)</f>
        <v>#N/A</v>
      </c>
    </row>
    <row r="151" spans="1:22" x14ac:dyDescent="0.25">
      <c r="A151">
        <v>16555640</v>
      </c>
      <c r="B151" t="s" cm="1">
        <v>433</v>
      </c>
      <c r="C151">
        <v>80</v>
      </c>
      <c r="G151" t="s" cm="1">
        <v>442</v>
      </c>
      <c r="H151" t="s">
        <v>14</v>
      </c>
      <c r="I151" t="s">
        <v>14</v>
      </c>
      <c r="J151" t="s">
        <v>30</v>
      </c>
      <c r="K151" t="s">
        <v>48</v>
      </c>
      <c r="L151" t="s">
        <v>2094</v>
      </c>
      <c r="M151" t="s">
        <v>76</v>
      </c>
      <c r="N151" t="s">
        <v>83</v>
      </c>
      <c r="P151" t="str" cm="1">
        <f t="array" aca="1" ref="P151" ca="1">VLOOKUP(INDIRECT("A"&amp;ROW()), 'Recent Changes'!A:G, 2, FALSE)</f>
        <v>NULL</v>
      </c>
      <c r="Q151" t="str" cm="1">
        <f t="array" aca="1" ref="Q151" ca="1">VLOOKUP(INDIRECT("A"&amp;ROW()), 'Recent Changes'!A:G, 3, FALSE)</f>
        <v>NULL</v>
      </c>
      <c r="R151" t="str" cm="1">
        <f t="array" aca="1" ref="R151" ca="1">VLOOKUP(INDIRECT("A"&amp;ROW()), 'Recent Changes'!A:G, 4, FALSE)</f>
        <v>NULL</v>
      </c>
      <c r="S151" t="str" cm="1">
        <f t="array" aca="1" ref="S151" ca="1">VLOOKUP(INDIRECT("A"&amp;ROW()), 'Recent Changes'!A:G, 5, FALSE)</f>
        <v>2023-10-20T17:29:36Z</v>
      </c>
      <c r="T151" t="str" cm="1">
        <f t="array" aca="1" ref="T151" ca="1">VLOOKUP(INDIRECT("A"&amp;ROW()), 'Recent Changes'!A:G, 6, FALSE)</f>
        <v>NULL</v>
      </c>
      <c r="U151" t="str" cm="1">
        <f t="array" aca="1" ref="U151" ca="1">VLOOKUP(INDIRECT("A"&amp;ROW()), 'Recent Changes'!A:G, 7, FALSE)</f>
        <v>2023-06-13T09:24:27Z</v>
      </c>
      <c r="V151" t="str" cm="1">
        <f t="array" aca="1" ref="V151" ca="1">VLOOKUP(INDIRECT("A"&amp;ROW()), 'Recent Changes'!A:H, 8, FALSE)</f>
        <v>2023-10-20T21:18:04Z</v>
      </c>
    </row>
    <row r="152" spans="1:22" x14ac:dyDescent="0.25">
      <c r="A152">
        <v>17323511</v>
      </c>
      <c r="B152" t="s">
        <v>433</v>
      </c>
      <c r="C152">
        <v>80</v>
      </c>
      <c r="G152" t="e" cm="1">
        <v>#N/A</v>
      </c>
      <c r="H152">
        <v>45247</v>
      </c>
      <c r="I152" t="s">
        <v>15</v>
      </c>
      <c r="J152" t="s">
        <v>18</v>
      </c>
      <c r="K152" t="s">
        <v>44</v>
      </c>
      <c r="L152" t="s">
        <v>56</v>
      </c>
      <c r="M152" t="s">
        <v>2056</v>
      </c>
      <c r="N152" t="s">
        <v>1356</v>
      </c>
      <c r="O152" t="s">
        <v>431</v>
      </c>
      <c r="P152" t="e" cm="1">
        <f t="array" aca="1" ref="P152" ca="1">VLOOKUP(INDIRECT("A"&amp;ROW()), 'Recent Changes'!A:G, 2, FALSE)</f>
        <v>#N/A</v>
      </c>
      <c r="Q152" t="e" cm="1">
        <f t="array" aca="1" ref="Q152" ca="1">VLOOKUP(INDIRECT("A"&amp;ROW()), 'Recent Changes'!A:G, 3, FALSE)</f>
        <v>#N/A</v>
      </c>
      <c r="R152" t="e" cm="1">
        <f t="array" aca="1" ref="R152" ca="1">VLOOKUP(INDIRECT("A"&amp;ROW()), 'Recent Changes'!A:G, 4, FALSE)</f>
        <v>#N/A</v>
      </c>
      <c r="S152" t="e" cm="1">
        <f t="array" aca="1" ref="S152" ca="1">VLOOKUP(INDIRECT("A"&amp;ROW()), 'Recent Changes'!A:G, 5, FALSE)</f>
        <v>#N/A</v>
      </c>
      <c r="T152" t="e" cm="1">
        <f t="array" aca="1" ref="T152" ca="1">VLOOKUP(INDIRECT("A"&amp;ROW()), 'Recent Changes'!A:G, 6, FALSE)</f>
        <v>#N/A</v>
      </c>
      <c r="U152" t="e" cm="1">
        <f t="array" aca="1" ref="U152" ca="1">VLOOKUP(INDIRECT("A"&amp;ROW()), 'Recent Changes'!A:G, 7, FALSE)</f>
        <v>#N/A</v>
      </c>
      <c r="V152" t="e" cm="1">
        <f t="array" aca="1" ref="V152" ca="1">VLOOKUP(INDIRECT("A"&amp;ROW()), 'Recent Changes'!A:H, 8, FALSE)</f>
        <v>#N/A</v>
      </c>
    </row>
    <row r="153" spans="1:22" x14ac:dyDescent="0.25">
      <c r="A153">
        <v>17325588</v>
      </c>
      <c r="B153" t="s">
        <v>433</v>
      </c>
      <c r="C153">
        <v>80</v>
      </c>
      <c r="G153" t="e" cm="1">
        <v>#N/A</v>
      </c>
      <c r="H153" t="s">
        <v>14</v>
      </c>
      <c r="I153" t="s">
        <v>380</v>
      </c>
      <c r="J153" t="s">
        <v>29</v>
      </c>
      <c r="K153" t="s">
        <v>43</v>
      </c>
      <c r="L153" t="s">
        <v>59</v>
      </c>
      <c r="M153" t="s">
        <v>76</v>
      </c>
      <c r="N153" t="s">
        <v>83</v>
      </c>
      <c r="P153" t="str" cm="1">
        <f t="array" aca="1" ref="P153" ca="1">VLOOKUP(INDIRECT("A"&amp;ROW()), 'Recent Changes'!A:G, 2, FALSE)</f>
        <v>NULL</v>
      </c>
      <c r="Q153" t="str" cm="1">
        <f t="array" aca="1" ref="Q153" ca="1">VLOOKUP(INDIRECT("A"&amp;ROW()), 'Recent Changes'!A:G, 3, FALSE)</f>
        <v>NULL</v>
      </c>
      <c r="R153" t="str" cm="1">
        <f t="array" aca="1" ref="R153" ca="1">VLOOKUP(INDIRECT("A"&amp;ROW()), 'Recent Changes'!A:G, 4, FALSE)</f>
        <v>NULL</v>
      </c>
      <c r="S153" t="str" cm="1">
        <f t="array" aca="1" ref="S153" ca="1">VLOOKUP(INDIRECT("A"&amp;ROW()), 'Recent Changes'!A:G, 5, FALSE)</f>
        <v>2024-01-02T19:48:35Z</v>
      </c>
      <c r="T153" t="str" cm="1">
        <f t="array" aca="1" ref="T153" ca="1">VLOOKUP(INDIRECT("A"&amp;ROW()), 'Recent Changes'!A:G, 6, FALSE)</f>
        <v>NULL</v>
      </c>
      <c r="U153" t="str" cm="1">
        <f t="array" aca="1" ref="U153" ca="1">VLOOKUP(INDIRECT("A"&amp;ROW()), 'Recent Changes'!A:G, 7, FALSE)</f>
        <v>NULL</v>
      </c>
      <c r="V153" t="str" cm="1">
        <f t="array" aca="1" ref="V153" ca="1">VLOOKUP(INDIRECT("A"&amp;ROW()), 'Recent Changes'!A:H, 8, FALSE)</f>
        <v>2024-01-02T21:09:37Z</v>
      </c>
    </row>
    <row r="154" spans="1:22" x14ac:dyDescent="0.25">
      <c r="A154">
        <v>13939387</v>
      </c>
      <c r="B154" t="s" cm="1">
        <v>430</v>
      </c>
      <c r="C154">
        <v>77</v>
      </c>
      <c r="G154" t="s" cm="1">
        <v>442</v>
      </c>
      <c r="H154" t="s">
        <v>14</v>
      </c>
      <c r="I154" t="s">
        <v>14</v>
      </c>
      <c r="J154" t="s">
        <v>30</v>
      </c>
      <c r="K154" t="s">
        <v>53</v>
      </c>
      <c r="L154" t="s">
        <v>2095</v>
      </c>
      <c r="M154" t="s">
        <v>78</v>
      </c>
      <c r="N154" t="s">
        <v>83</v>
      </c>
      <c r="P154" t="str" cm="1">
        <f t="array" aca="1" ref="P154" ca="1">VLOOKUP(INDIRECT("A"&amp;ROW()), 'Recent Changes'!A:G, 2, FALSE)</f>
        <v>NULL</v>
      </c>
      <c r="Q154" t="str" cm="1">
        <f t="array" aca="1" ref="Q154" ca="1">VLOOKUP(INDIRECT("A"&amp;ROW()), 'Recent Changes'!A:G, 3, FALSE)</f>
        <v>NULL</v>
      </c>
      <c r="R154" t="str" cm="1">
        <f t="array" aca="1" ref="R154" ca="1">VLOOKUP(INDIRECT("A"&amp;ROW()), 'Recent Changes'!A:G, 4, FALSE)</f>
        <v>NULL</v>
      </c>
      <c r="S154" t="str" cm="1">
        <f t="array" aca="1" ref="S154" ca="1">VLOOKUP(INDIRECT("A"&amp;ROW()), 'Recent Changes'!A:G, 5, FALSE)</f>
        <v>2023-10-23T21:49:50Z</v>
      </c>
      <c r="T154" t="str" cm="1">
        <f t="array" aca="1" ref="T154" ca="1">VLOOKUP(INDIRECT("A"&amp;ROW()), 'Recent Changes'!A:G, 6, FALSE)</f>
        <v>NULL</v>
      </c>
      <c r="U154" t="str" cm="1">
        <f t="array" aca="1" ref="U154" ca="1">VLOOKUP(INDIRECT("A"&amp;ROW()), 'Recent Changes'!A:G, 7, FALSE)</f>
        <v>2023-10-23T22:01:32Z</v>
      </c>
      <c r="V154" t="str" cm="1">
        <f t="array" aca="1" ref="V154" ca="1">VLOOKUP(INDIRECT("A"&amp;ROW()), 'Recent Changes'!A:H, 8, FALSE)</f>
        <v>2023-10-24T07:26:50Z</v>
      </c>
    </row>
    <row r="155" spans="1:22" x14ac:dyDescent="0.25">
      <c r="A155">
        <v>17329868</v>
      </c>
      <c r="B155" t="s" cm="1">
        <v>430</v>
      </c>
      <c r="C155">
        <v>77</v>
      </c>
      <c r="G155" t="e" cm="1">
        <v>#N/A</v>
      </c>
      <c r="H155" t="s">
        <v>14</v>
      </c>
      <c r="I155" t="s">
        <v>14</v>
      </c>
      <c r="J155" t="s">
        <v>30</v>
      </c>
      <c r="K155" t="s">
        <v>53</v>
      </c>
      <c r="L155" t="s">
        <v>436</v>
      </c>
      <c r="M155" t="s">
        <v>76</v>
      </c>
      <c r="N155" t="s">
        <v>83</v>
      </c>
      <c r="P155" t="str" cm="1">
        <f t="array" aca="1" ref="P155" ca="1">VLOOKUP(INDIRECT("A"&amp;ROW()), 'Recent Changes'!A:G, 2, FALSE)</f>
        <v>NULL</v>
      </c>
      <c r="Q155" t="str" cm="1">
        <f t="array" aca="1" ref="Q155" ca="1">VLOOKUP(INDIRECT("A"&amp;ROW()), 'Recent Changes'!A:G, 3, FALSE)</f>
        <v>NULL</v>
      </c>
      <c r="R155" t="str" cm="1">
        <f t="array" aca="1" ref="R155" ca="1">VLOOKUP(INDIRECT("A"&amp;ROW()), 'Recent Changes'!A:G, 4, FALSE)</f>
        <v>NULL</v>
      </c>
      <c r="S155" t="str" cm="1">
        <f t="array" aca="1" ref="S155" ca="1">VLOOKUP(INDIRECT("A"&amp;ROW()), 'Recent Changes'!A:G, 5, FALSE)</f>
        <v>2023-12-19T04:38:14Z</v>
      </c>
      <c r="T155" t="str" cm="1">
        <f t="array" aca="1" ref="T155" ca="1">VLOOKUP(INDIRECT("A"&amp;ROW()), 'Recent Changes'!A:G, 6, FALSE)</f>
        <v>NULL</v>
      </c>
      <c r="U155" t="str" cm="1">
        <f t="array" aca="1" ref="U155" ca="1">VLOOKUP(INDIRECT("A"&amp;ROW()), 'Recent Changes'!A:G, 7, FALSE)</f>
        <v>2023-11-15T23:15:02Z</v>
      </c>
      <c r="V155" t="str" cm="1">
        <f t="array" aca="1" ref="V155" ca="1">VLOOKUP(INDIRECT("A"&amp;ROW()), 'Recent Changes'!A:H, 8, FALSE)</f>
        <v>2023-12-19T16:05:21Z</v>
      </c>
    </row>
    <row r="156" spans="1:22" x14ac:dyDescent="0.25">
      <c r="A156">
        <v>17331276</v>
      </c>
      <c r="B156" t="s">
        <v>433</v>
      </c>
      <c r="C156">
        <v>77</v>
      </c>
      <c r="G156" t="s" cm="1">
        <v>442</v>
      </c>
      <c r="H156">
        <v>45258</v>
      </c>
      <c r="I156" t="s">
        <v>15</v>
      </c>
      <c r="J156" t="s">
        <v>18</v>
      </c>
      <c r="K156" t="s">
        <v>53</v>
      </c>
      <c r="L156" t="s">
        <v>55</v>
      </c>
      <c r="M156" t="s">
        <v>76</v>
      </c>
      <c r="N156" t="s">
        <v>2244</v>
      </c>
      <c r="O156" t="s">
        <v>431</v>
      </c>
      <c r="P156" t="e" cm="1">
        <f t="array" aca="1" ref="P156" ca="1">VLOOKUP(INDIRECT("A"&amp;ROW()), 'Recent Changes'!A:G, 2, FALSE)</f>
        <v>#N/A</v>
      </c>
      <c r="Q156" t="e" cm="1">
        <f t="array" aca="1" ref="Q156" ca="1">VLOOKUP(INDIRECT("A"&amp;ROW()), 'Recent Changes'!A:G, 3, FALSE)</f>
        <v>#N/A</v>
      </c>
      <c r="R156" t="e" cm="1">
        <f t="array" aca="1" ref="R156" ca="1">VLOOKUP(INDIRECT("A"&amp;ROW()), 'Recent Changes'!A:G, 4, FALSE)</f>
        <v>#N/A</v>
      </c>
      <c r="S156" t="e" cm="1">
        <f t="array" aca="1" ref="S156" ca="1">VLOOKUP(INDIRECT("A"&amp;ROW()), 'Recent Changes'!A:G, 5, FALSE)</f>
        <v>#N/A</v>
      </c>
      <c r="T156" t="e" cm="1">
        <f t="array" aca="1" ref="T156" ca="1">VLOOKUP(INDIRECT("A"&amp;ROW()), 'Recent Changes'!A:G, 6, FALSE)</f>
        <v>#N/A</v>
      </c>
      <c r="U156" t="e" cm="1">
        <f t="array" aca="1" ref="U156" ca="1">VLOOKUP(INDIRECT("A"&amp;ROW()), 'Recent Changes'!A:G, 7, FALSE)</f>
        <v>#N/A</v>
      </c>
      <c r="V156" t="e" cm="1">
        <f t="array" aca="1" ref="V156" ca="1">VLOOKUP(INDIRECT("A"&amp;ROW()), 'Recent Changes'!A:H, 8, FALSE)</f>
        <v>#N/A</v>
      </c>
    </row>
    <row r="157" spans="1:22" x14ac:dyDescent="0.25">
      <c r="A157">
        <v>17332413</v>
      </c>
      <c r="B157" t="s">
        <v>433</v>
      </c>
      <c r="C157">
        <v>77</v>
      </c>
      <c r="G157" t="s" cm="1">
        <v>442</v>
      </c>
      <c r="H157">
        <v>45295</v>
      </c>
      <c r="I157" t="s">
        <v>15</v>
      </c>
      <c r="J157" t="s">
        <v>30</v>
      </c>
      <c r="K157" t="s">
        <v>52</v>
      </c>
      <c r="L157" t="s">
        <v>74</v>
      </c>
      <c r="M157" t="s">
        <v>76</v>
      </c>
      <c r="N157" t="s">
        <v>750</v>
      </c>
      <c r="O157" t="s">
        <v>431</v>
      </c>
      <c r="P157" t="e" cm="1">
        <f t="array" aca="1" ref="P157" ca="1">VLOOKUP(INDIRECT("A"&amp;ROW()), 'Recent Changes'!A:G, 2, FALSE)</f>
        <v>#N/A</v>
      </c>
      <c r="Q157" t="e" cm="1">
        <f t="array" aca="1" ref="Q157" ca="1">VLOOKUP(INDIRECT("A"&amp;ROW()), 'Recent Changes'!A:G, 3, FALSE)</f>
        <v>#N/A</v>
      </c>
      <c r="R157" t="e" cm="1">
        <f t="array" aca="1" ref="R157" ca="1">VLOOKUP(INDIRECT("A"&amp;ROW()), 'Recent Changes'!A:G, 4, FALSE)</f>
        <v>#N/A</v>
      </c>
      <c r="S157" t="e" cm="1">
        <f t="array" aca="1" ref="S157" ca="1">VLOOKUP(INDIRECT("A"&amp;ROW()), 'Recent Changes'!A:G, 5, FALSE)</f>
        <v>#N/A</v>
      </c>
      <c r="T157" t="e" cm="1">
        <f t="array" aca="1" ref="T157" ca="1">VLOOKUP(INDIRECT("A"&amp;ROW()), 'Recent Changes'!A:G, 6, FALSE)</f>
        <v>#N/A</v>
      </c>
      <c r="U157" t="e" cm="1">
        <f t="array" aca="1" ref="U157" ca="1">VLOOKUP(INDIRECT("A"&amp;ROW()), 'Recent Changes'!A:G, 7, FALSE)</f>
        <v>#N/A</v>
      </c>
      <c r="V157" t="e" cm="1">
        <f t="array" aca="1" ref="V157" ca="1">VLOOKUP(INDIRECT("A"&amp;ROW()), 'Recent Changes'!A:H, 8, FALSE)</f>
        <v>#N/A</v>
      </c>
    </row>
    <row r="158" spans="1:22" x14ac:dyDescent="0.25">
      <c r="A158">
        <v>17334306</v>
      </c>
      <c r="B158" t="s" cm="1">
        <v>430</v>
      </c>
      <c r="C158">
        <v>77</v>
      </c>
      <c r="G158" t="s" cm="1">
        <v>442</v>
      </c>
      <c r="H158" t="s">
        <v>14</v>
      </c>
      <c r="I158" t="s">
        <v>14</v>
      </c>
      <c r="J158" t="s">
        <v>30</v>
      </c>
      <c r="K158" t="s">
        <v>45</v>
      </c>
      <c r="L158" t="s">
        <v>63</v>
      </c>
      <c r="M158" t="s">
        <v>76</v>
      </c>
      <c r="N158" t="s">
        <v>83</v>
      </c>
      <c r="P158" t="str" cm="1">
        <f t="array" aca="1" ref="P158" ca="1">VLOOKUP(INDIRECT("A"&amp;ROW()), 'Recent Changes'!A:G, 2, FALSE)</f>
        <v>NULL</v>
      </c>
      <c r="Q158" t="str" cm="1">
        <f t="array" aca="1" ref="Q158" ca="1">VLOOKUP(INDIRECT("A"&amp;ROW()), 'Recent Changes'!A:G, 3, FALSE)</f>
        <v>NULL</v>
      </c>
      <c r="R158" t="str" cm="1">
        <f t="array" aca="1" ref="R158" ca="1">VLOOKUP(INDIRECT("A"&amp;ROW()), 'Recent Changes'!A:G, 4, FALSE)</f>
        <v>NULL</v>
      </c>
      <c r="S158" t="str" cm="1">
        <f t="array" aca="1" ref="S158" ca="1">VLOOKUP(INDIRECT("A"&amp;ROW()), 'Recent Changes'!A:G, 5, FALSE)</f>
        <v>NULL</v>
      </c>
      <c r="T158" t="str" cm="1">
        <f t="array" aca="1" ref="T158" ca="1">VLOOKUP(INDIRECT("A"&amp;ROW()), 'Recent Changes'!A:G, 6, FALSE)</f>
        <v>NULL</v>
      </c>
      <c r="U158" t="str" cm="1">
        <f t="array" aca="1" ref="U158" ca="1">VLOOKUP(INDIRECT("A"&amp;ROW()), 'Recent Changes'!A:G, 7, FALSE)</f>
        <v>2023-11-14T16:26:44Z</v>
      </c>
      <c r="V158" t="str" cm="1">
        <f t="array" aca="1" ref="V158" ca="1">VLOOKUP(INDIRECT("A"&amp;ROW()), 'Recent Changes'!A:H, 8, FALSE)</f>
        <v>2023-11-14T21:39:52Z</v>
      </c>
    </row>
    <row r="159" spans="1:22" x14ac:dyDescent="0.25">
      <c r="A159">
        <v>17335945</v>
      </c>
      <c r="B159" t="s" cm="1">
        <v>430</v>
      </c>
      <c r="C159">
        <v>76</v>
      </c>
      <c r="G159" t="s" cm="1">
        <v>442</v>
      </c>
      <c r="H159" t="s">
        <v>14</v>
      </c>
      <c r="I159" t="s">
        <v>14</v>
      </c>
      <c r="J159" t="s">
        <v>30</v>
      </c>
      <c r="K159" t="s">
        <v>53</v>
      </c>
      <c r="L159" t="s">
        <v>1467</v>
      </c>
      <c r="M159" t="s">
        <v>76</v>
      </c>
      <c r="N159" t="s">
        <v>83</v>
      </c>
      <c r="P159" t="str" cm="1">
        <f t="array" aca="1" ref="P159" ca="1">VLOOKUP(INDIRECT("A"&amp;ROW()), 'Recent Changes'!A:G, 2, FALSE)</f>
        <v>NULL</v>
      </c>
      <c r="Q159" t="str" cm="1">
        <f t="array" aca="1" ref="Q159" ca="1">VLOOKUP(INDIRECT("A"&amp;ROW()), 'Recent Changes'!A:G, 3, FALSE)</f>
        <v>NULL</v>
      </c>
      <c r="R159" t="str" cm="1">
        <f t="array" aca="1" ref="R159" ca="1">VLOOKUP(INDIRECT("A"&amp;ROW()), 'Recent Changes'!A:G, 4, FALSE)</f>
        <v>NULL</v>
      </c>
      <c r="S159" t="str" cm="1">
        <f t="array" aca="1" ref="S159" ca="1">VLOOKUP(INDIRECT("A"&amp;ROW()), 'Recent Changes'!A:G, 5, FALSE)</f>
        <v>2023-11-15T16:01:33Z</v>
      </c>
      <c r="T159" t="str" cm="1">
        <f t="array" aca="1" ref="T159" ca="1">VLOOKUP(INDIRECT("A"&amp;ROW()), 'Recent Changes'!A:G, 6, FALSE)</f>
        <v>NULL</v>
      </c>
      <c r="U159" t="str" cm="1">
        <f t="array" aca="1" ref="U159" ca="1">VLOOKUP(INDIRECT("A"&amp;ROW()), 'Recent Changes'!A:G, 7, FALSE)</f>
        <v>2023-11-22T22:39:46Z</v>
      </c>
      <c r="V159" t="str" cm="1">
        <f t="array" aca="1" ref="V159" ca="1">VLOOKUP(INDIRECT("A"&amp;ROW()), 'Recent Changes'!A:H, 8, FALSE)</f>
        <v>2023-11-15T21:15:18Z</v>
      </c>
    </row>
    <row r="160" spans="1:22" x14ac:dyDescent="0.25">
      <c r="A160">
        <v>17340149</v>
      </c>
      <c r="B160" t="s" cm="1">
        <v>430</v>
      </c>
      <c r="C160">
        <v>76</v>
      </c>
      <c r="G160" t="e" cm="1">
        <v>#N/A</v>
      </c>
      <c r="H160" t="s">
        <v>14</v>
      </c>
      <c r="I160" t="s">
        <v>14</v>
      </c>
      <c r="J160" t="s">
        <v>30</v>
      </c>
      <c r="K160" t="s">
        <v>43</v>
      </c>
      <c r="L160" t="s">
        <v>406</v>
      </c>
      <c r="M160" t="s">
        <v>76</v>
      </c>
      <c r="N160" t="s">
        <v>83</v>
      </c>
      <c r="P160" t="str" cm="1">
        <f t="array" aca="1" ref="P160" ca="1">VLOOKUP(INDIRECT("A"&amp;ROW()), 'Recent Changes'!A:G, 2, FALSE)</f>
        <v>NULL</v>
      </c>
      <c r="Q160" t="str" cm="1">
        <f t="array" aca="1" ref="Q160" ca="1">VLOOKUP(INDIRECT("A"&amp;ROW()), 'Recent Changes'!A:G, 3, FALSE)</f>
        <v>NULL</v>
      </c>
      <c r="R160" t="str" cm="1">
        <f t="array" aca="1" ref="R160" ca="1">VLOOKUP(INDIRECT("A"&amp;ROW()), 'Recent Changes'!A:G, 4, FALSE)</f>
        <v>NULL</v>
      </c>
      <c r="S160" t="str" cm="1">
        <f t="array" aca="1" ref="S160" ca="1">VLOOKUP(INDIRECT("A"&amp;ROW()), 'Recent Changes'!A:G, 5, FALSE)</f>
        <v>2023-12-11T15:57:40Z</v>
      </c>
      <c r="T160" t="str" cm="1">
        <f t="array" aca="1" ref="T160" ca="1">VLOOKUP(INDIRECT("A"&amp;ROW()), 'Recent Changes'!A:G, 6, FALSE)</f>
        <v>NULL</v>
      </c>
      <c r="U160" t="str" cm="1">
        <f t="array" aca="1" ref="U160" ca="1">VLOOKUP(INDIRECT("A"&amp;ROW()), 'Recent Changes'!A:G, 7, FALSE)</f>
        <v>2023-11-16T06:23:03Z</v>
      </c>
      <c r="V160" t="str" cm="1">
        <f t="array" aca="1" ref="V160" ca="1">VLOOKUP(INDIRECT("A"&amp;ROW()), 'Recent Changes'!A:H, 8, FALSE)</f>
        <v>2023-12-11T21:06:55Z</v>
      </c>
    </row>
    <row r="161" spans="1:22" x14ac:dyDescent="0.25">
      <c r="A161">
        <v>16555232</v>
      </c>
      <c r="B161" t="s" cm="1">
        <v>430</v>
      </c>
      <c r="C161">
        <v>75</v>
      </c>
      <c r="G161" t="s" cm="1">
        <v>442</v>
      </c>
      <c r="H161" t="s">
        <v>14</v>
      </c>
      <c r="I161" t="s">
        <v>14</v>
      </c>
      <c r="J161" t="s">
        <v>30</v>
      </c>
      <c r="K161" t="s">
        <v>53</v>
      </c>
      <c r="L161" t="s">
        <v>402</v>
      </c>
      <c r="M161" t="s">
        <v>78</v>
      </c>
      <c r="N161" t="s">
        <v>83</v>
      </c>
      <c r="P161" t="str" cm="1">
        <f t="array" aca="1" ref="P161" ca="1">VLOOKUP(INDIRECT("A"&amp;ROW()), 'Recent Changes'!A:G, 2, FALSE)</f>
        <v>2023-10-25T13:23:21Z</v>
      </c>
      <c r="Q161" t="str" cm="1">
        <f t="array" aca="1" ref="Q161" ca="1">VLOOKUP(INDIRECT("A"&amp;ROW()), 'Recent Changes'!A:G, 3, FALSE)</f>
        <v>NULL</v>
      </c>
      <c r="R161" t="str" cm="1">
        <f t="array" aca="1" ref="R161" ca="1">VLOOKUP(INDIRECT("A"&amp;ROW()), 'Recent Changes'!A:G, 4, FALSE)</f>
        <v>NULL</v>
      </c>
      <c r="S161" t="str" cm="1">
        <f t="array" aca="1" ref="S161" ca="1">VLOOKUP(INDIRECT("A"&amp;ROW()), 'Recent Changes'!A:G, 5, FALSE)</f>
        <v>2023-10-25T13:23:21Z</v>
      </c>
      <c r="T161" t="str" cm="1">
        <f t="array" aca="1" ref="T161" ca="1">VLOOKUP(INDIRECT("A"&amp;ROW()), 'Recent Changes'!A:G, 6, FALSE)</f>
        <v>NULL</v>
      </c>
      <c r="U161" t="str" cm="1">
        <f t="array" aca="1" ref="U161" ca="1">VLOOKUP(INDIRECT("A"&amp;ROW()), 'Recent Changes'!A:G, 7, FALSE)</f>
        <v>NULL</v>
      </c>
      <c r="V161" t="str" cm="1">
        <f t="array" aca="1" ref="V161" ca="1">VLOOKUP(INDIRECT("A"&amp;ROW()), 'Recent Changes'!A:H, 8, FALSE)</f>
        <v>2023-10-25T16:07:20Z</v>
      </c>
    </row>
    <row r="162" spans="1:22" x14ac:dyDescent="0.25">
      <c r="A162">
        <v>17343607</v>
      </c>
      <c r="B162" t="s">
        <v>433</v>
      </c>
      <c r="C162">
        <v>75</v>
      </c>
      <c r="G162" t="s" cm="1">
        <v>442</v>
      </c>
      <c r="H162">
        <v>45295</v>
      </c>
      <c r="I162" t="s">
        <v>15</v>
      </c>
      <c r="J162" t="s">
        <v>30</v>
      </c>
      <c r="K162" t="s">
        <v>52</v>
      </c>
      <c r="L162" t="s">
        <v>58</v>
      </c>
      <c r="M162" t="s">
        <v>76</v>
      </c>
      <c r="N162" t="s">
        <v>750</v>
      </c>
      <c r="O162" t="s">
        <v>431</v>
      </c>
      <c r="P162" t="e" cm="1">
        <f t="array" aca="1" ref="P162" ca="1">VLOOKUP(INDIRECT("A"&amp;ROW()), 'Recent Changes'!A:G, 2, FALSE)</f>
        <v>#N/A</v>
      </c>
      <c r="Q162" t="e" cm="1">
        <f t="array" aca="1" ref="Q162" ca="1">VLOOKUP(INDIRECT("A"&amp;ROW()), 'Recent Changes'!A:G, 3, FALSE)</f>
        <v>#N/A</v>
      </c>
      <c r="R162" t="e" cm="1">
        <f t="array" aca="1" ref="R162" ca="1">VLOOKUP(INDIRECT("A"&amp;ROW()), 'Recent Changes'!A:G, 4, FALSE)</f>
        <v>#N/A</v>
      </c>
      <c r="S162" t="e" cm="1">
        <f t="array" aca="1" ref="S162" ca="1">VLOOKUP(INDIRECT("A"&amp;ROW()), 'Recent Changes'!A:G, 5, FALSE)</f>
        <v>#N/A</v>
      </c>
      <c r="T162" t="e" cm="1">
        <f t="array" aca="1" ref="T162" ca="1">VLOOKUP(INDIRECT("A"&amp;ROW()), 'Recent Changes'!A:G, 6, FALSE)</f>
        <v>#N/A</v>
      </c>
      <c r="U162" t="e" cm="1">
        <f t="array" aca="1" ref="U162" ca="1">VLOOKUP(INDIRECT("A"&amp;ROW()), 'Recent Changes'!A:G, 7, FALSE)</f>
        <v>#N/A</v>
      </c>
      <c r="V162" t="e" cm="1">
        <f t="array" aca="1" ref="V162" ca="1">VLOOKUP(INDIRECT("A"&amp;ROW()), 'Recent Changes'!A:H, 8, FALSE)</f>
        <v>#N/A</v>
      </c>
    </row>
    <row r="163" spans="1:22" x14ac:dyDescent="0.25">
      <c r="A163">
        <v>17344297</v>
      </c>
      <c r="B163" t="s" cm="1">
        <v>430</v>
      </c>
      <c r="C163">
        <v>75</v>
      </c>
      <c r="G163" t="s" cm="1">
        <v>442</v>
      </c>
      <c r="H163" t="s">
        <v>14</v>
      </c>
      <c r="I163" t="s">
        <v>14</v>
      </c>
      <c r="J163" t="s">
        <v>30</v>
      </c>
      <c r="K163" t="s">
        <v>52</v>
      </c>
      <c r="L163" t="s">
        <v>67</v>
      </c>
      <c r="M163" t="s">
        <v>76</v>
      </c>
      <c r="N163" t="s">
        <v>83</v>
      </c>
      <c r="P163" t="str" cm="1">
        <f t="array" aca="1" ref="P163" ca="1">VLOOKUP(INDIRECT("A"&amp;ROW()), 'Recent Changes'!A:G, 2, FALSE)</f>
        <v>NULL</v>
      </c>
      <c r="Q163" t="str" cm="1">
        <f t="array" aca="1" ref="Q163" ca="1">VLOOKUP(INDIRECT("A"&amp;ROW()), 'Recent Changes'!A:G, 3, FALSE)</f>
        <v>NULL</v>
      </c>
      <c r="R163" t="str" cm="1">
        <f t="array" aca="1" ref="R163" ca="1">VLOOKUP(INDIRECT("A"&amp;ROW()), 'Recent Changes'!A:G, 4, FALSE)</f>
        <v>NULL</v>
      </c>
      <c r="S163" t="str" cm="1">
        <f t="array" aca="1" ref="S163" ca="1">VLOOKUP(INDIRECT("A"&amp;ROW()), 'Recent Changes'!A:G, 5, FALSE)</f>
        <v>2023-11-29T05:27:46Z</v>
      </c>
      <c r="T163" t="str" cm="1">
        <f t="array" aca="1" ref="T163" ca="1">VLOOKUP(INDIRECT("A"&amp;ROW()), 'Recent Changes'!A:G, 6, FALSE)</f>
        <v>NULL</v>
      </c>
      <c r="U163" t="str" cm="1">
        <f t="array" aca="1" ref="U163" ca="1">VLOOKUP(INDIRECT("A"&amp;ROW()), 'Recent Changes'!A:G, 7, FALSE)</f>
        <v>2023-11-23T01:42:14Z</v>
      </c>
      <c r="V163" t="str" cm="1">
        <f t="array" aca="1" ref="V163" ca="1">VLOOKUP(INDIRECT("A"&amp;ROW()), 'Recent Changes'!A:H, 8, FALSE)</f>
        <v>2023-11-29T08:18:50Z</v>
      </c>
    </row>
    <row r="164" spans="1:22" x14ac:dyDescent="0.25">
      <c r="A164">
        <v>17345389</v>
      </c>
      <c r="B164" t="s">
        <v>433</v>
      </c>
      <c r="C164">
        <v>75</v>
      </c>
      <c r="G164" t="e" cm="1">
        <v>#N/A</v>
      </c>
      <c r="H164">
        <v>45251</v>
      </c>
      <c r="I164" t="s">
        <v>15</v>
      </c>
      <c r="J164" t="s">
        <v>30</v>
      </c>
      <c r="K164" t="s">
        <v>44</v>
      </c>
      <c r="L164" t="s">
        <v>2096</v>
      </c>
      <c r="M164" t="s">
        <v>78</v>
      </c>
      <c r="N164" t="s">
        <v>439</v>
      </c>
      <c r="O164" t="s">
        <v>431</v>
      </c>
      <c r="P164" t="e" cm="1">
        <f t="array" aca="1" ref="P164" ca="1">VLOOKUP(INDIRECT("A"&amp;ROW()), 'Recent Changes'!A:G, 2, FALSE)</f>
        <v>#N/A</v>
      </c>
      <c r="Q164" t="e" cm="1">
        <f t="array" aca="1" ref="Q164" ca="1">VLOOKUP(INDIRECT("A"&amp;ROW()), 'Recent Changes'!A:G, 3, FALSE)</f>
        <v>#N/A</v>
      </c>
      <c r="R164" t="e" cm="1">
        <f t="array" aca="1" ref="R164" ca="1">VLOOKUP(INDIRECT("A"&amp;ROW()), 'Recent Changes'!A:G, 4, FALSE)</f>
        <v>#N/A</v>
      </c>
      <c r="S164" t="e" cm="1">
        <f t="array" aca="1" ref="S164" ca="1">VLOOKUP(INDIRECT("A"&amp;ROW()), 'Recent Changes'!A:G, 5, FALSE)</f>
        <v>#N/A</v>
      </c>
      <c r="T164" t="e" cm="1">
        <f t="array" aca="1" ref="T164" ca="1">VLOOKUP(INDIRECT("A"&amp;ROW()), 'Recent Changes'!A:G, 6, FALSE)</f>
        <v>#N/A</v>
      </c>
      <c r="U164" t="e" cm="1">
        <f t="array" aca="1" ref="U164" ca="1">VLOOKUP(INDIRECT("A"&amp;ROW()), 'Recent Changes'!A:G, 7, FALSE)</f>
        <v>#N/A</v>
      </c>
      <c r="V164" t="e" cm="1">
        <f t="array" aca="1" ref="V164" ca="1">VLOOKUP(INDIRECT("A"&amp;ROW()), 'Recent Changes'!A:H, 8, FALSE)</f>
        <v>#N/A</v>
      </c>
    </row>
    <row r="165" spans="1:22" x14ac:dyDescent="0.25">
      <c r="A165">
        <v>17345406</v>
      </c>
      <c r="B165" t="s">
        <v>433</v>
      </c>
      <c r="C165">
        <v>75</v>
      </c>
      <c r="G165" t="e" cm="1">
        <v>#N/A</v>
      </c>
      <c r="H165">
        <v>45266</v>
      </c>
      <c r="I165" t="s">
        <v>15</v>
      </c>
      <c r="J165" t="s">
        <v>22</v>
      </c>
      <c r="K165" t="s">
        <v>44</v>
      </c>
      <c r="L165" t="s">
        <v>69</v>
      </c>
      <c r="M165" t="s">
        <v>76</v>
      </c>
      <c r="N165" t="s">
        <v>1716</v>
      </c>
      <c r="O165" t="s">
        <v>431</v>
      </c>
      <c r="P165" t="e" cm="1">
        <f t="array" aca="1" ref="P165" ca="1">VLOOKUP(INDIRECT("A"&amp;ROW()), 'Recent Changes'!A:G, 2, FALSE)</f>
        <v>#N/A</v>
      </c>
      <c r="Q165" t="e" cm="1">
        <f t="array" aca="1" ref="Q165" ca="1">VLOOKUP(INDIRECT("A"&amp;ROW()), 'Recent Changes'!A:G, 3, FALSE)</f>
        <v>#N/A</v>
      </c>
      <c r="R165" t="e" cm="1">
        <f t="array" aca="1" ref="R165" ca="1">VLOOKUP(INDIRECT("A"&amp;ROW()), 'Recent Changes'!A:G, 4, FALSE)</f>
        <v>#N/A</v>
      </c>
      <c r="S165" t="e" cm="1">
        <f t="array" aca="1" ref="S165" ca="1">VLOOKUP(INDIRECT("A"&amp;ROW()), 'Recent Changes'!A:G, 5, FALSE)</f>
        <v>#N/A</v>
      </c>
      <c r="T165" t="e" cm="1">
        <f t="array" aca="1" ref="T165" ca="1">VLOOKUP(INDIRECT("A"&amp;ROW()), 'Recent Changes'!A:G, 6, FALSE)</f>
        <v>#N/A</v>
      </c>
      <c r="U165" t="e" cm="1">
        <f t="array" aca="1" ref="U165" ca="1">VLOOKUP(INDIRECT("A"&amp;ROW()), 'Recent Changes'!A:G, 7, FALSE)</f>
        <v>#N/A</v>
      </c>
      <c r="V165" t="e" cm="1">
        <f t="array" aca="1" ref="V165" ca="1">VLOOKUP(INDIRECT("A"&amp;ROW()), 'Recent Changes'!A:H, 8, FALSE)</f>
        <v>#N/A</v>
      </c>
    </row>
    <row r="166" spans="1:22" x14ac:dyDescent="0.25">
      <c r="A166">
        <v>17168748</v>
      </c>
      <c r="B166" t="s">
        <v>433</v>
      </c>
      <c r="C166">
        <v>74</v>
      </c>
      <c r="G166" t="e" cm="1">
        <v>#N/A</v>
      </c>
      <c r="H166">
        <v>45211</v>
      </c>
      <c r="I166" t="s">
        <v>15</v>
      </c>
      <c r="J166" t="s">
        <v>42</v>
      </c>
      <c r="K166" t="s">
        <v>54</v>
      </c>
      <c r="L166" t="s">
        <v>57</v>
      </c>
      <c r="M166" t="s">
        <v>76</v>
      </c>
      <c r="N166" t="s">
        <v>83</v>
      </c>
      <c r="O166" t="s">
        <v>431</v>
      </c>
      <c r="P166" t="str" cm="1">
        <f t="array" aca="1" ref="P166" ca="1">VLOOKUP(INDIRECT("A"&amp;ROW()), 'Recent Changes'!A:G, 2, FALSE)</f>
        <v>NULL</v>
      </c>
      <c r="Q166" t="str" cm="1">
        <f t="array" aca="1" ref="Q166" ca="1">VLOOKUP(INDIRECT("A"&amp;ROW()), 'Recent Changes'!A:G, 3, FALSE)</f>
        <v>NULL</v>
      </c>
      <c r="R166" t="str" cm="1">
        <f t="array" aca="1" ref="R166" ca="1">VLOOKUP(INDIRECT("A"&amp;ROW()), 'Recent Changes'!A:G, 4, FALSE)</f>
        <v>NULL</v>
      </c>
      <c r="S166" t="str" cm="1">
        <f t="array" aca="1" ref="S166" ca="1">VLOOKUP(INDIRECT("A"&amp;ROW()), 'Recent Changes'!A:G, 5, FALSE)</f>
        <v>2023-11-27T22:21:19Z</v>
      </c>
      <c r="T166" t="str" cm="1">
        <f t="array" aca="1" ref="T166" ca="1">VLOOKUP(INDIRECT("A"&amp;ROW()), 'Recent Changes'!A:G, 6, FALSE)</f>
        <v>NULL</v>
      </c>
      <c r="U166" t="str" cm="1">
        <f t="array" aca="1" ref="U166" ca="1">VLOOKUP(INDIRECT("A"&amp;ROW()), 'Recent Changes'!A:G, 7, FALSE)</f>
        <v>2023-12-11T19:03:59Z</v>
      </c>
      <c r="V166" t="str" cm="1">
        <f t="array" aca="1" ref="V166" ca="1">VLOOKUP(INDIRECT("A"&amp;ROW()), 'Recent Changes'!A:H, 8, FALSE)</f>
        <v>2023-12-11T16:27:05Z</v>
      </c>
    </row>
    <row r="167" spans="1:22" x14ac:dyDescent="0.25">
      <c r="A167">
        <v>17348384</v>
      </c>
      <c r="B167" t="s">
        <v>433</v>
      </c>
      <c r="C167">
        <v>74</v>
      </c>
      <c r="G167" t="s" cm="1">
        <v>442</v>
      </c>
      <c r="H167">
        <v>45293</v>
      </c>
      <c r="I167" t="s">
        <v>15</v>
      </c>
      <c r="J167" t="s">
        <v>30</v>
      </c>
      <c r="K167" t="s">
        <v>46</v>
      </c>
      <c r="L167" t="s">
        <v>449</v>
      </c>
      <c r="M167" t="s">
        <v>76</v>
      </c>
      <c r="N167" t="s">
        <v>2245</v>
      </c>
      <c r="O167" t="s">
        <v>431</v>
      </c>
      <c r="P167" t="e" cm="1">
        <f t="array" aca="1" ref="P167" ca="1">VLOOKUP(INDIRECT("A"&amp;ROW()), 'Recent Changes'!A:G, 2, FALSE)</f>
        <v>#N/A</v>
      </c>
      <c r="Q167" t="e" cm="1">
        <f t="array" aca="1" ref="Q167" ca="1">VLOOKUP(INDIRECT("A"&amp;ROW()), 'Recent Changes'!A:G, 3, FALSE)</f>
        <v>#N/A</v>
      </c>
      <c r="R167" t="e" cm="1">
        <f t="array" aca="1" ref="R167" ca="1">VLOOKUP(INDIRECT("A"&amp;ROW()), 'Recent Changes'!A:G, 4, FALSE)</f>
        <v>#N/A</v>
      </c>
      <c r="S167" t="e" cm="1">
        <f t="array" aca="1" ref="S167" ca="1">VLOOKUP(INDIRECT("A"&amp;ROW()), 'Recent Changes'!A:G, 5, FALSE)</f>
        <v>#N/A</v>
      </c>
      <c r="T167" t="e" cm="1">
        <f t="array" aca="1" ref="T167" ca="1">VLOOKUP(INDIRECT("A"&amp;ROW()), 'Recent Changes'!A:G, 6, FALSE)</f>
        <v>#N/A</v>
      </c>
      <c r="U167" t="e" cm="1">
        <f t="array" aca="1" ref="U167" ca="1">VLOOKUP(INDIRECT("A"&amp;ROW()), 'Recent Changes'!A:G, 7, FALSE)</f>
        <v>#N/A</v>
      </c>
      <c r="V167" t="e" cm="1">
        <f t="array" aca="1" ref="V167" ca="1">VLOOKUP(INDIRECT("A"&amp;ROW()), 'Recent Changes'!A:H, 8, FALSE)</f>
        <v>#N/A</v>
      </c>
    </row>
    <row r="168" spans="1:22" x14ac:dyDescent="0.25">
      <c r="A168">
        <v>17349238</v>
      </c>
      <c r="B168" t="s" cm="1">
        <v>430</v>
      </c>
      <c r="C168">
        <v>74</v>
      </c>
      <c r="G168" t="s" cm="1">
        <v>442</v>
      </c>
      <c r="H168" t="s">
        <v>14</v>
      </c>
      <c r="I168" t="s">
        <v>14</v>
      </c>
      <c r="J168" t="s">
        <v>30</v>
      </c>
      <c r="K168" t="s">
        <v>43</v>
      </c>
      <c r="L168" t="s">
        <v>58</v>
      </c>
      <c r="M168" t="s">
        <v>76</v>
      </c>
      <c r="N168" t="s">
        <v>83</v>
      </c>
      <c r="P168" t="str" cm="1">
        <f t="array" aca="1" ref="P168" ca="1">VLOOKUP(INDIRECT("A"&amp;ROW()), 'Recent Changes'!A:G, 2, FALSE)</f>
        <v>NULL</v>
      </c>
      <c r="Q168" t="str" cm="1">
        <f t="array" aca="1" ref="Q168" ca="1">VLOOKUP(INDIRECT("A"&amp;ROW()), 'Recent Changes'!A:G, 3, FALSE)</f>
        <v>NULL</v>
      </c>
      <c r="R168" t="str" cm="1">
        <f t="array" aca="1" ref="R168" ca="1">VLOOKUP(INDIRECT("A"&amp;ROW()), 'Recent Changes'!A:G, 4, FALSE)</f>
        <v>NULL</v>
      </c>
      <c r="S168" t="str" cm="1">
        <f t="array" aca="1" ref="S168" ca="1">VLOOKUP(INDIRECT("A"&amp;ROW()), 'Recent Changes'!A:G, 5, FALSE)</f>
        <v>2023-12-07T15:57:04Z</v>
      </c>
      <c r="T168" t="str" cm="1">
        <f t="array" aca="1" ref="T168" ca="1">VLOOKUP(INDIRECT("A"&amp;ROW()), 'Recent Changes'!A:G, 6, FALSE)</f>
        <v>NULL</v>
      </c>
      <c r="U168" t="str" cm="1">
        <f t="array" aca="1" ref="U168" ca="1">VLOOKUP(INDIRECT("A"&amp;ROW()), 'Recent Changes'!A:G, 7, FALSE)</f>
        <v>2023-11-23T01:38:00Z</v>
      </c>
      <c r="V168" t="str" cm="1">
        <f t="array" aca="1" ref="V168" ca="1">VLOOKUP(INDIRECT("A"&amp;ROW()), 'Recent Changes'!A:H, 8, FALSE)</f>
        <v>2023-12-07T16:21:19Z</v>
      </c>
    </row>
    <row r="169" spans="1:22" x14ac:dyDescent="0.25">
      <c r="A169">
        <v>17349604</v>
      </c>
      <c r="B169" t="s" cm="1">
        <v>430</v>
      </c>
      <c r="C169">
        <v>74</v>
      </c>
      <c r="G169" t="s" cm="1">
        <v>442</v>
      </c>
      <c r="H169" t="s">
        <v>14</v>
      </c>
      <c r="I169" t="s">
        <v>14</v>
      </c>
      <c r="J169" t="s">
        <v>30</v>
      </c>
      <c r="K169" t="s">
        <v>45</v>
      </c>
      <c r="L169" t="s">
        <v>1473</v>
      </c>
      <c r="M169" t="s">
        <v>76</v>
      </c>
      <c r="N169" t="s">
        <v>83</v>
      </c>
      <c r="P169" t="str" cm="1">
        <f t="array" aca="1" ref="P169" ca="1">VLOOKUP(INDIRECT("A"&amp;ROW()), 'Recent Changes'!A:G, 2, FALSE)</f>
        <v>NULL</v>
      </c>
      <c r="Q169" t="str" cm="1">
        <f t="array" aca="1" ref="Q169" ca="1">VLOOKUP(INDIRECT("A"&amp;ROW()), 'Recent Changes'!A:G, 3, FALSE)</f>
        <v>NULL</v>
      </c>
      <c r="R169" t="str" cm="1">
        <f t="array" aca="1" ref="R169" ca="1">VLOOKUP(INDIRECT("A"&amp;ROW()), 'Recent Changes'!A:G, 4, FALSE)</f>
        <v>NULL</v>
      </c>
      <c r="S169" t="str" cm="1">
        <f t="array" aca="1" ref="S169" ca="1">VLOOKUP(INDIRECT("A"&amp;ROW()), 'Recent Changes'!A:G, 5, FALSE)</f>
        <v>NULL</v>
      </c>
      <c r="T169" t="str" cm="1">
        <f t="array" aca="1" ref="T169" ca="1">VLOOKUP(INDIRECT("A"&amp;ROW()), 'Recent Changes'!A:G, 6, FALSE)</f>
        <v>NULL</v>
      </c>
      <c r="U169" t="str" cm="1">
        <f t="array" aca="1" ref="U169" ca="1">VLOOKUP(INDIRECT("A"&amp;ROW()), 'Recent Changes'!A:G, 7, FALSE)</f>
        <v>2023-12-08T16:44:31Z</v>
      </c>
      <c r="V169" t="str" cm="1">
        <f t="array" aca="1" ref="V169" ca="1">VLOOKUP(INDIRECT("A"&amp;ROW()), 'Recent Changes'!A:H, 8, FALSE)</f>
        <v>2023-12-08T21:58:44Z</v>
      </c>
    </row>
    <row r="170" spans="1:22" x14ac:dyDescent="0.25">
      <c r="A170">
        <v>17355208</v>
      </c>
      <c r="B170" t="s" cm="1">
        <v>430</v>
      </c>
      <c r="C170">
        <v>73</v>
      </c>
      <c r="G170" t="e" cm="1">
        <v>#N/A</v>
      </c>
      <c r="H170" t="s">
        <v>14</v>
      </c>
      <c r="I170" t="s">
        <v>14</v>
      </c>
      <c r="J170" t="s">
        <v>30</v>
      </c>
      <c r="K170" t="s">
        <v>43</v>
      </c>
      <c r="L170" t="s">
        <v>74</v>
      </c>
      <c r="M170" t="s">
        <v>76</v>
      </c>
      <c r="N170" t="s">
        <v>83</v>
      </c>
      <c r="P170" t="str" cm="1">
        <f t="array" aca="1" ref="P170" ca="1">VLOOKUP(INDIRECT("A"&amp;ROW()), 'Recent Changes'!A:G, 2, FALSE)</f>
        <v>NULL</v>
      </c>
      <c r="Q170" t="str" cm="1">
        <f t="array" aca="1" ref="Q170" ca="1">VLOOKUP(INDIRECT("A"&amp;ROW()), 'Recent Changes'!A:G, 3, FALSE)</f>
        <v>NULL</v>
      </c>
      <c r="R170" t="str" cm="1">
        <f t="array" aca="1" ref="R170" ca="1">VLOOKUP(INDIRECT("A"&amp;ROW()), 'Recent Changes'!A:G, 4, FALSE)</f>
        <v>NULL</v>
      </c>
      <c r="S170" t="str" cm="1">
        <f t="array" aca="1" ref="S170" ca="1">VLOOKUP(INDIRECT("A"&amp;ROW()), 'Recent Changes'!A:G, 5, FALSE)</f>
        <v>2023-12-12T14:21:59Z</v>
      </c>
      <c r="T170" t="str" cm="1">
        <f t="array" aca="1" ref="T170" ca="1">VLOOKUP(INDIRECT("A"&amp;ROW()), 'Recent Changes'!A:G, 6, FALSE)</f>
        <v>NULL</v>
      </c>
      <c r="U170" t="str" cm="1">
        <f t="array" aca="1" ref="U170" ca="1">VLOOKUP(INDIRECT("A"&amp;ROW()), 'Recent Changes'!A:G, 7, FALSE)</f>
        <v>2023-11-15T21:24:51Z</v>
      </c>
      <c r="V170" t="str" cm="1">
        <f t="array" aca="1" ref="V170" ca="1">VLOOKUP(INDIRECT("A"&amp;ROW()), 'Recent Changes'!A:H, 8, FALSE)</f>
        <v>2023-12-12T16:02:53Z</v>
      </c>
    </row>
    <row r="171" spans="1:22" x14ac:dyDescent="0.25">
      <c r="A171">
        <v>17355213</v>
      </c>
      <c r="B171" t="s" cm="1">
        <v>430</v>
      </c>
      <c r="C171">
        <v>73</v>
      </c>
      <c r="G171" t="s" cm="1">
        <v>442</v>
      </c>
      <c r="H171" t="s">
        <v>14</v>
      </c>
      <c r="I171" t="s">
        <v>14</v>
      </c>
      <c r="J171" t="s">
        <v>26</v>
      </c>
      <c r="K171" t="s">
        <v>46</v>
      </c>
      <c r="L171" t="s">
        <v>56</v>
      </c>
      <c r="M171" t="s">
        <v>81</v>
      </c>
      <c r="N171" t="s">
        <v>83</v>
      </c>
      <c r="P171" t="str" cm="1">
        <f t="array" aca="1" ref="P171" ca="1">VLOOKUP(INDIRECT("A"&amp;ROW()), 'Recent Changes'!A:G, 2, FALSE)</f>
        <v>NULL</v>
      </c>
      <c r="Q171" t="str" cm="1">
        <f t="array" aca="1" ref="Q171" ca="1">VLOOKUP(INDIRECT("A"&amp;ROW()), 'Recent Changes'!A:G, 3, FALSE)</f>
        <v>NULL</v>
      </c>
      <c r="R171" t="str" cm="1">
        <f t="array" aca="1" ref="R171" ca="1">VLOOKUP(INDIRECT("A"&amp;ROW()), 'Recent Changes'!A:G, 4, FALSE)</f>
        <v>2023-11-21T14:47:41Z</v>
      </c>
      <c r="S171" t="str" cm="1">
        <f t="array" aca="1" ref="S171" ca="1">VLOOKUP(INDIRECT("A"&amp;ROW()), 'Recent Changes'!A:G, 5, FALSE)</f>
        <v>NULL</v>
      </c>
      <c r="T171" t="str" cm="1">
        <f t="array" aca="1" ref="T171" ca="1">VLOOKUP(INDIRECT("A"&amp;ROW()), 'Recent Changes'!A:G, 6, FALSE)</f>
        <v>2023-11-21T14:47:41Z</v>
      </c>
      <c r="U171" t="str" cm="1">
        <f t="array" aca="1" ref="U171" ca="1">VLOOKUP(INDIRECT("A"&amp;ROW()), 'Recent Changes'!A:G, 7, FALSE)</f>
        <v>2023-11-16T00:27:49Z</v>
      </c>
      <c r="V171" t="str" cm="1">
        <f t="array" aca="1" ref="V171" ca="1">VLOOKUP(INDIRECT("A"&amp;ROW()), 'Recent Changes'!A:H, 8, FALSE)</f>
        <v>2023-11-21T16:33:45Z</v>
      </c>
    </row>
    <row r="172" spans="1:22" x14ac:dyDescent="0.25">
      <c r="A172">
        <v>17358593</v>
      </c>
      <c r="B172" t="s" cm="1">
        <v>430</v>
      </c>
      <c r="C172">
        <v>73</v>
      </c>
      <c r="G172" t="s" cm="1">
        <v>442</v>
      </c>
      <c r="H172" t="s">
        <v>14</v>
      </c>
      <c r="I172" t="s">
        <v>14</v>
      </c>
      <c r="J172" t="s">
        <v>30</v>
      </c>
      <c r="K172" t="s">
        <v>43</v>
      </c>
      <c r="L172" t="s">
        <v>1700</v>
      </c>
      <c r="M172" t="s">
        <v>544</v>
      </c>
      <c r="N172" t="s">
        <v>83</v>
      </c>
      <c r="P172" t="str" cm="1">
        <f t="array" aca="1" ref="P172" ca="1">VLOOKUP(INDIRECT("A"&amp;ROW()), 'Recent Changes'!A:G, 2, FALSE)</f>
        <v>2023-11-17T15:30:36Z</v>
      </c>
      <c r="Q172" t="str" cm="1">
        <f t="array" aca="1" ref="Q172" ca="1">VLOOKUP(INDIRECT("A"&amp;ROW()), 'Recent Changes'!A:G, 3, FALSE)</f>
        <v>NULL</v>
      </c>
      <c r="R172" t="str" cm="1">
        <f t="array" aca="1" ref="R172" ca="1">VLOOKUP(INDIRECT("A"&amp;ROW()), 'Recent Changes'!A:G, 4, FALSE)</f>
        <v>NULL</v>
      </c>
      <c r="S172" t="str" cm="1">
        <f t="array" aca="1" ref="S172" ca="1">VLOOKUP(INDIRECT("A"&amp;ROW()), 'Recent Changes'!A:G, 5, FALSE)</f>
        <v>2023-11-17T15:32:58Z</v>
      </c>
      <c r="T172" t="str" cm="1">
        <f t="array" aca="1" ref="T172" ca="1">VLOOKUP(INDIRECT("A"&amp;ROW()), 'Recent Changes'!A:G, 6, FALSE)</f>
        <v>NULL</v>
      </c>
      <c r="U172" t="str" cm="1">
        <f t="array" aca="1" ref="U172" ca="1">VLOOKUP(INDIRECT("A"&amp;ROW()), 'Recent Changes'!A:G, 7, FALSE)</f>
        <v>2023-11-23T05:47:09Z</v>
      </c>
      <c r="V172" t="str" cm="1">
        <f t="array" aca="1" ref="V172" ca="1">VLOOKUP(INDIRECT("A"&amp;ROW()), 'Recent Changes'!A:H, 8, FALSE)</f>
        <v>2023-11-17T16:20:53Z</v>
      </c>
    </row>
    <row r="173" spans="1:22" x14ac:dyDescent="0.25">
      <c r="A173">
        <v>17360500</v>
      </c>
      <c r="B173" t="s">
        <v>433</v>
      </c>
      <c r="C173">
        <v>72</v>
      </c>
      <c r="G173" t="e" cm="1">
        <v>#N/A</v>
      </c>
      <c r="H173">
        <v>45295</v>
      </c>
      <c r="I173" t="s">
        <v>15</v>
      </c>
      <c r="J173" t="s">
        <v>30</v>
      </c>
      <c r="K173" t="s">
        <v>49</v>
      </c>
      <c r="L173" t="s">
        <v>58</v>
      </c>
      <c r="M173" t="s">
        <v>76</v>
      </c>
      <c r="N173" t="s">
        <v>750</v>
      </c>
      <c r="O173" t="s">
        <v>431</v>
      </c>
      <c r="P173" t="e" cm="1">
        <f t="array" aca="1" ref="P173" ca="1">VLOOKUP(INDIRECT("A"&amp;ROW()), 'Recent Changes'!A:G, 2, FALSE)</f>
        <v>#N/A</v>
      </c>
      <c r="Q173" t="e" cm="1">
        <f t="array" aca="1" ref="Q173" ca="1">VLOOKUP(INDIRECT("A"&amp;ROW()), 'Recent Changes'!A:G, 3, FALSE)</f>
        <v>#N/A</v>
      </c>
      <c r="R173" t="e" cm="1">
        <f t="array" aca="1" ref="R173" ca="1">VLOOKUP(INDIRECT("A"&amp;ROW()), 'Recent Changes'!A:G, 4, FALSE)</f>
        <v>#N/A</v>
      </c>
      <c r="S173" t="e" cm="1">
        <f t="array" aca="1" ref="S173" ca="1">VLOOKUP(INDIRECT("A"&amp;ROW()), 'Recent Changes'!A:G, 5, FALSE)</f>
        <v>#N/A</v>
      </c>
      <c r="T173" t="e" cm="1">
        <f t="array" aca="1" ref="T173" ca="1">VLOOKUP(INDIRECT("A"&amp;ROW()), 'Recent Changes'!A:G, 6, FALSE)</f>
        <v>#N/A</v>
      </c>
      <c r="U173" t="e" cm="1">
        <f t="array" aca="1" ref="U173" ca="1">VLOOKUP(INDIRECT("A"&amp;ROW()), 'Recent Changes'!A:G, 7, FALSE)</f>
        <v>#N/A</v>
      </c>
      <c r="V173" t="e" cm="1">
        <f t="array" aca="1" ref="V173" ca="1">VLOOKUP(INDIRECT("A"&amp;ROW()), 'Recent Changes'!A:H, 8, FALSE)</f>
        <v>#N/A</v>
      </c>
    </row>
    <row r="174" spans="1:22" x14ac:dyDescent="0.25">
      <c r="A174">
        <v>17360515</v>
      </c>
      <c r="B174" t="s" cm="1">
        <v>430</v>
      </c>
      <c r="C174">
        <v>72</v>
      </c>
      <c r="G174" t="s" cm="1">
        <v>442</v>
      </c>
      <c r="H174" t="s">
        <v>14</v>
      </c>
      <c r="I174" t="s">
        <v>14</v>
      </c>
      <c r="J174" t="s">
        <v>30</v>
      </c>
      <c r="K174" t="s">
        <v>48</v>
      </c>
      <c r="L174" t="s">
        <v>1337</v>
      </c>
      <c r="M174" t="s">
        <v>76</v>
      </c>
      <c r="N174" t="s">
        <v>83</v>
      </c>
      <c r="P174" t="str" cm="1">
        <f t="array" aca="1" ref="P174" ca="1">VLOOKUP(INDIRECT("A"&amp;ROW()), 'Recent Changes'!A:G, 2, FALSE)</f>
        <v>NULL</v>
      </c>
      <c r="Q174" t="str" cm="1">
        <f t="array" aca="1" ref="Q174" ca="1">VLOOKUP(INDIRECT("A"&amp;ROW()), 'Recent Changes'!A:G, 3, FALSE)</f>
        <v>NULL</v>
      </c>
      <c r="R174" t="str" cm="1">
        <f t="array" aca="1" ref="R174" ca="1">VLOOKUP(INDIRECT("A"&amp;ROW()), 'Recent Changes'!A:G, 4, FALSE)</f>
        <v>NULL</v>
      </c>
      <c r="S174" t="str" cm="1">
        <f t="array" aca="1" ref="S174" ca="1">VLOOKUP(INDIRECT("A"&amp;ROW()), 'Recent Changes'!A:G, 5, FALSE)</f>
        <v>NULL</v>
      </c>
      <c r="T174" t="str" cm="1">
        <f t="array" aca="1" ref="T174" ca="1">VLOOKUP(INDIRECT("A"&amp;ROW()), 'Recent Changes'!A:G, 6, FALSE)</f>
        <v>NULL</v>
      </c>
      <c r="U174" t="str" cm="1">
        <f t="array" aca="1" ref="U174" ca="1">VLOOKUP(INDIRECT("A"&amp;ROW()), 'Recent Changes'!A:G, 7, FALSE)</f>
        <v>2023-12-06T21:19:12Z</v>
      </c>
      <c r="V174" t="str" cm="1">
        <f t="array" aca="1" ref="V174" ca="1">VLOOKUP(INDIRECT("A"&amp;ROW()), 'Recent Changes'!A:H, 8, FALSE)</f>
        <v>2023-12-07T07:15:31Z</v>
      </c>
    </row>
    <row r="175" spans="1:22" x14ac:dyDescent="0.25">
      <c r="A175">
        <v>17360599</v>
      </c>
      <c r="B175" t="s">
        <v>433</v>
      </c>
      <c r="C175">
        <v>72</v>
      </c>
      <c r="G175" t="s" cm="1">
        <v>442</v>
      </c>
      <c r="H175">
        <v>45259</v>
      </c>
      <c r="I175" t="s">
        <v>15</v>
      </c>
      <c r="J175" t="s">
        <v>24</v>
      </c>
      <c r="K175" t="s">
        <v>44</v>
      </c>
      <c r="L175" t="s">
        <v>391</v>
      </c>
      <c r="M175" t="s">
        <v>76</v>
      </c>
      <c r="N175" t="s">
        <v>426</v>
      </c>
      <c r="O175" t="s">
        <v>431</v>
      </c>
      <c r="P175" t="e" cm="1">
        <f t="array" aca="1" ref="P175" ca="1">VLOOKUP(INDIRECT("A"&amp;ROW()), 'Recent Changes'!A:G, 2, FALSE)</f>
        <v>#N/A</v>
      </c>
      <c r="Q175" t="e" cm="1">
        <f t="array" aca="1" ref="Q175" ca="1">VLOOKUP(INDIRECT("A"&amp;ROW()), 'Recent Changes'!A:G, 3, FALSE)</f>
        <v>#N/A</v>
      </c>
      <c r="R175" t="e" cm="1">
        <f t="array" aca="1" ref="R175" ca="1">VLOOKUP(INDIRECT("A"&amp;ROW()), 'Recent Changes'!A:G, 4, FALSE)</f>
        <v>#N/A</v>
      </c>
      <c r="S175" t="e" cm="1">
        <f t="array" aca="1" ref="S175" ca="1">VLOOKUP(INDIRECT("A"&amp;ROW()), 'Recent Changes'!A:G, 5, FALSE)</f>
        <v>#N/A</v>
      </c>
      <c r="T175" t="e" cm="1">
        <f t="array" aca="1" ref="T175" ca="1">VLOOKUP(INDIRECT("A"&amp;ROW()), 'Recent Changes'!A:G, 6, FALSE)</f>
        <v>#N/A</v>
      </c>
      <c r="U175" t="e" cm="1">
        <f t="array" aca="1" ref="U175" ca="1">VLOOKUP(INDIRECT("A"&amp;ROW()), 'Recent Changes'!A:G, 7, FALSE)</f>
        <v>#N/A</v>
      </c>
      <c r="V175" t="e" cm="1">
        <f t="array" aca="1" ref="V175" ca="1">VLOOKUP(INDIRECT("A"&amp;ROW()), 'Recent Changes'!A:H, 8, FALSE)</f>
        <v>#N/A</v>
      </c>
    </row>
    <row r="176" spans="1:22" x14ac:dyDescent="0.25">
      <c r="A176">
        <v>17360810</v>
      </c>
      <c r="B176" t="s">
        <v>433</v>
      </c>
      <c r="C176">
        <v>72</v>
      </c>
      <c r="G176" t="s" cm="1">
        <v>442</v>
      </c>
      <c r="H176">
        <v>45247</v>
      </c>
      <c r="I176" t="s">
        <v>15</v>
      </c>
      <c r="J176" t="s">
        <v>22</v>
      </c>
      <c r="K176" t="s">
        <v>44</v>
      </c>
      <c r="L176" t="s">
        <v>2097</v>
      </c>
      <c r="M176" t="s">
        <v>76</v>
      </c>
      <c r="N176" t="s">
        <v>1356</v>
      </c>
      <c r="O176" t="s">
        <v>431</v>
      </c>
      <c r="P176" t="e" cm="1">
        <f t="array" aca="1" ref="P176" ca="1">VLOOKUP(INDIRECT("A"&amp;ROW()), 'Recent Changes'!A:G, 2, FALSE)</f>
        <v>#N/A</v>
      </c>
      <c r="Q176" t="e" cm="1">
        <f t="array" aca="1" ref="Q176" ca="1">VLOOKUP(INDIRECT("A"&amp;ROW()), 'Recent Changes'!A:G, 3, FALSE)</f>
        <v>#N/A</v>
      </c>
      <c r="R176" t="e" cm="1">
        <f t="array" aca="1" ref="R176" ca="1">VLOOKUP(INDIRECT("A"&amp;ROW()), 'Recent Changes'!A:G, 4, FALSE)</f>
        <v>#N/A</v>
      </c>
      <c r="S176" t="e" cm="1">
        <f t="array" aca="1" ref="S176" ca="1">VLOOKUP(INDIRECT("A"&amp;ROW()), 'Recent Changes'!A:G, 5, FALSE)</f>
        <v>#N/A</v>
      </c>
      <c r="T176" t="e" cm="1">
        <f t="array" aca="1" ref="T176" ca="1">VLOOKUP(INDIRECT("A"&amp;ROW()), 'Recent Changes'!A:G, 6, FALSE)</f>
        <v>#N/A</v>
      </c>
      <c r="U176" t="e" cm="1">
        <f t="array" aca="1" ref="U176" ca="1">VLOOKUP(INDIRECT("A"&amp;ROW()), 'Recent Changes'!A:G, 7, FALSE)</f>
        <v>#N/A</v>
      </c>
      <c r="V176" t="e" cm="1">
        <f t="array" aca="1" ref="V176" ca="1">VLOOKUP(INDIRECT("A"&amp;ROW()), 'Recent Changes'!A:H, 8, FALSE)</f>
        <v>#N/A</v>
      </c>
    </row>
    <row r="177" spans="1:22" x14ac:dyDescent="0.25">
      <c r="A177">
        <v>16788017</v>
      </c>
      <c r="B177" t="s" cm="1">
        <v>430</v>
      </c>
      <c r="C177">
        <v>70</v>
      </c>
      <c r="G177" t="s" cm="1">
        <v>442</v>
      </c>
      <c r="H177" t="s">
        <v>14</v>
      </c>
      <c r="I177" t="s">
        <v>14</v>
      </c>
      <c r="J177" t="s">
        <v>30</v>
      </c>
      <c r="K177" t="s">
        <v>50</v>
      </c>
      <c r="L177" t="s">
        <v>507</v>
      </c>
      <c r="M177" t="s">
        <v>78</v>
      </c>
      <c r="N177" t="s">
        <v>83</v>
      </c>
      <c r="P177" t="str" cm="1">
        <f t="array" aca="1" ref="P177" ca="1">VLOOKUP(INDIRECT("A"&amp;ROW()), 'Recent Changes'!A:G, 2, FALSE)</f>
        <v>NULL</v>
      </c>
      <c r="Q177" t="str" cm="1">
        <f t="array" aca="1" ref="Q177" ca="1">VLOOKUP(INDIRECT("A"&amp;ROW()), 'Recent Changes'!A:G, 3, FALSE)</f>
        <v>NULL</v>
      </c>
      <c r="R177" t="str" cm="1">
        <f t="array" aca="1" ref="R177" ca="1">VLOOKUP(INDIRECT("A"&amp;ROW()), 'Recent Changes'!A:G, 4, FALSE)</f>
        <v>NULL</v>
      </c>
      <c r="S177" t="str" cm="1">
        <f t="array" aca="1" ref="S177" ca="1">VLOOKUP(INDIRECT("A"&amp;ROW()), 'Recent Changes'!A:G, 5, FALSE)</f>
        <v>2023-10-31T15:15:47Z</v>
      </c>
      <c r="T177" t="str" cm="1">
        <f t="array" aca="1" ref="T177" ca="1">VLOOKUP(INDIRECT("A"&amp;ROW()), 'Recent Changes'!A:G, 6, FALSE)</f>
        <v>NULL</v>
      </c>
      <c r="U177" t="str" cm="1">
        <f t="array" aca="1" ref="U177" ca="1">VLOOKUP(INDIRECT("A"&amp;ROW()), 'Recent Changes'!A:G, 7, FALSE)</f>
        <v>2023-10-30T17:32:34Z</v>
      </c>
      <c r="V177" t="str" cm="1">
        <f t="array" aca="1" ref="V177" ca="1">VLOOKUP(INDIRECT("A"&amp;ROW()), 'Recent Changes'!A:H, 8, FALSE)</f>
        <v>2023-10-30T21:36:48Z</v>
      </c>
    </row>
    <row r="178" spans="1:22" x14ac:dyDescent="0.25">
      <c r="A178">
        <v>17362531</v>
      </c>
      <c r="B178" t="s">
        <v>433</v>
      </c>
      <c r="C178">
        <v>70</v>
      </c>
      <c r="G178" t="e" cm="1">
        <v>#N/A</v>
      </c>
      <c r="H178" t="s">
        <v>14</v>
      </c>
      <c r="I178" t="s">
        <v>380</v>
      </c>
      <c r="J178" t="s">
        <v>41</v>
      </c>
      <c r="K178" t="s">
        <v>43</v>
      </c>
      <c r="L178" t="s">
        <v>2098</v>
      </c>
      <c r="M178" t="s">
        <v>2052</v>
      </c>
      <c r="N178" t="s">
        <v>83</v>
      </c>
      <c r="P178" t="str" cm="1">
        <f t="array" aca="1" ref="P178" ca="1">VLOOKUP(INDIRECT("A"&amp;ROW()), 'Recent Changes'!A:G, 2, FALSE)</f>
        <v>NULL</v>
      </c>
      <c r="Q178" t="str" cm="1">
        <f t="array" aca="1" ref="Q178" ca="1">VLOOKUP(INDIRECT("A"&amp;ROW()), 'Recent Changes'!A:G, 3, FALSE)</f>
        <v>NULL</v>
      </c>
      <c r="R178" t="str" cm="1">
        <f t="array" aca="1" ref="R178" ca="1">VLOOKUP(INDIRECT("A"&amp;ROW()), 'Recent Changes'!A:G, 4, FALSE)</f>
        <v>NULL</v>
      </c>
      <c r="S178" t="str" cm="1">
        <f t="array" aca="1" ref="S178" ca="1">VLOOKUP(INDIRECT("A"&amp;ROW()), 'Recent Changes'!A:G, 5, FALSE)</f>
        <v>2024-01-05T21:27:45Z</v>
      </c>
      <c r="T178" t="str" cm="1">
        <f t="array" aca="1" ref="T178" ca="1">VLOOKUP(INDIRECT("A"&amp;ROW()), 'Recent Changes'!A:G, 6, FALSE)</f>
        <v>NULL</v>
      </c>
      <c r="U178" t="str" cm="1">
        <f t="array" aca="1" ref="U178" ca="1">VLOOKUP(INDIRECT("A"&amp;ROW()), 'Recent Changes'!A:G, 7, FALSE)</f>
        <v>NULL</v>
      </c>
      <c r="V178" t="str" cm="1">
        <f t="array" aca="1" ref="V178" ca="1">VLOOKUP(INDIRECT("A"&amp;ROW()), 'Recent Changes'!A:H, 8, FALSE)</f>
        <v>2024-01-06T07:24:58Z</v>
      </c>
    </row>
    <row r="179" spans="1:22" x14ac:dyDescent="0.25">
      <c r="A179">
        <v>17365871</v>
      </c>
      <c r="B179" t="s" cm="1">
        <v>430</v>
      </c>
      <c r="C179">
        <v>70</v>
      </c>
      <c r="G179" t="s" cm="1">
        <v>442</v>
      </c>
      <c r="H179" t="s">
        <v>14</v>
      </c>
      <c r="I179" t="s">
        <v>14</v>
      </c>
      <c r="J179" t="s">
        <v>30</v>
      </c>
      <c r="K179" t="s">
        <v>52</v>
      </c>
      <c r="L179" t="s">
        <v>434</v>
      </c>
      <c r="M179" t="s">
        <v>78</v>
      </c>
      <c r="N179" t="s">
        <v>83</v>
      </c>
      <c r="P179" t="str" cm="1">
        <f t="array" aca="1" ref="P179" ca="1">VLOOKUP(INDIRECT("A"&amp;ROW()), 'Recent Changes'!A:G, 2, FALSE)</f>
        <v>NULL</v>
      </c>
      <c r="Q179" t="str" cm="1">
        <f t="array" aca="1" ref="Q179" ca="1">VLOOKUP(INDIRECT("A"&amp;ROW()), 'Recent Changes'!A:G, 3, FALSE)</f>
        <v>NULL</v>
      </c>
      <c r="R179" t="str" cm="1">
        <f t="array" aca="1" ref="R179" ca="1">VLOOKUP(INDIRECT("A"&amp;ROW()), 'Recent Changes'!A:G, 4, FALSE)</f>
        <v>NULL</v>
      </c>
      <c r="S179" t="str" cm="1">
        <f t="array" aca="1" ref="S179" ca="1">VLOOKUP(INDIRECT("A"&amp;ROW()), 'Recent Changes'!A:G, 5, FALSE)</f>
        <v>2023-11-16T13:47:48Z</v>
      </c>
      <c r="T179" t="str" cm="1">
        <f t="array" aca="1" ref="T179" ca="1">VLOOKUP(INDIRECT("A"&amp;ROW()), 'Recent Changes'!A:G, 6, FALSE)</f>
        <v>NULL</v>
      </c>
      <c r="U179" t="str" cm="1">
        <f t="array" aca="1" ref="U179" ca="1">VLOOKUP(INDIRECT("A"&amp;ROW()), 'Recent Changes'!A:G, 7, FALSE)</f>
        <v>NULL</v>
      </c>
      <c r="V179" t="str" cm="1">
        <f t="array" aca="1" ref="V179" ca="1">VLOOKUP(INDIRECT("A"&amp;ROW()), 'Recent Changes'!A:H, 8, FALSE)</f>
        <v>2023-11-16T16:05:05Z</v>
      </c>
    </row>
    <row r="180" spans="1:22" x14ac:dyDescent="0.25">
      <c r="A180">
        <v>17368816</v>
      </c>
      <c r="B180" t="s">
        <v>430</v>
      </c>
      <c r="C180">
        <v>69</v>
      </c>
      <c r="G180" t="e" cm="1">
        <v>#N/A</v>
      </c>
      <c r="H180" t="s">
        <v>14</v>
      </c>
      <c r="I180" t="s">
        <v>14</v>
      </c>
      <c r="J180" t="s">
        <v>21</v>
      </c>
      <c r="K180" t="s">
        <v>52</v>
      </c>
      <c r="L180" t="s">
        <v>2099</v>
      </c>
      <c r="M180" t="s">
        <v>76</v>
      </c>
      <c r="N180" t="s">
        <v>83</v>
      </c>
      <c r="P180" t="str" cm="1">
        <f t="array" aca="1" ref="P180" ca="1">VLOOKUP(INDIRECT("A"&amp;ROW()), 'Recent Changes'!A:G, 2, FALSE)</f>
        <v>NULL</v>
      </c>
      <c r="Q180" t="str" cm="1">
        <f t="array" aca="1" ref="Q180" ca="1">VLOOKUP(INDIRECT("A"&amp;ROW()), 'Recent Changes'!A:G, 3, FALSE)</f>
        <v>NULL</v>
      </c>
      <c r="R180" t="str" cm="1">
        <f t="array" aca="1" ref="R180" ca="1">VLOOKUP(INDIRECT("A"&amp;ROW()), 'Recent Changes'!A:G, 4, FALSE)</f>
        <v>NULL</v>
      </c>
      <c r="S180" t="str" cm="1">
        <f t="array" aca="1" ref="S180" ca="1">VLOOKUP(INDIRECT("A"&amp;ROW()), 'Recent Changes'!A:G, 5, FALSE)</f>
        <v>NULL</v>
      </c>
      <c r="T180" t="str" cm="1">
        <f t="array" aca="1" ref="T180" ca="1">VLOOKUP(INDIRECT("A"&amp;ROW()), 'Recent Changes'!A:G, 6, FALSE)</f>
        <v>NULL</v>
      </c>
      <c r="U180" t="str" cm="1">
        <f t="array" aca="1" ref="U180" ca="1">VLOOKUP(INDIRECT("A"&amp;ROW()), 'Recent Changes'!A:G, 7, FALSE)</f>
        <v>2023-12-19T16:57:44Z</v>
      </c>
      <c r="V180" t="str" cm="1">
        <f t="array" aca="1" ref="V180" ca="1">VLOOKUP(INDIRECT("A"&amp;ROW()), 'Recent Changes'!A:H, 8, FALSE)</f>
        <v>2023-12-19T21:25:02Z</v>
      </c>
    </row>
    <row r="181" spans="1:22" x14ac:dyDescent="0.25">
      <c r="A181">
        <v>17369184</v>
      </c>
      <c r="B181" t="s" cm="1">
        <v>430</v>
      </c>
      <c r="C181">
        <v>69</v>
      </c>
      <c r="G181" t="s" cm="1">
        <v>442</v>
      </c>
      <c r="H181" t="s">
        <v>14</v>
      </c>
      <c r="I181" t="s">
        <v>14</v>
      </c>
      <c r="J181" t="s">
        <v>30</v>
      </c>
      <c r="K181" t="s">
        <v>47</v>
      </c>
      <c r="L181" t="s">
        <v>74</v>
      </c>
      <c r="M181" t="s">
        <v>76</v>
      </c>
      <c r="N181" t="s">
        <v>83</v>
      </c>
      <c r="P181" t="str" cm="1">
        <f t="array" aca="1" ref="P181" ca="1">VLOOKUP(INDIRECT("A"&amp;ROW()), 'Recent Changes'!A:G, 2, FALSE)</f>
        <v>2023-11-21T04:07:50Z</v>
      </c>
      <c r="Q181" t="str" cm="1">
        <f t="array" aca="1" ref="Q181" ca="1">VLOOKUP(INDIRECT("A"&amp;ROW()), 'Recent Changes'!A:G, 3, FALSE)</f>
        <v>NULL</v>
      </c>
      <c r="R181" t="str" cm="1">
        <f t="array" aca="1" ref="R181" ca="1">VLOOKUP(INDIRECT("A"&amp;ROW()), 'Recent Changes'!A:G, 4, FALSE)</f>
        <v>NULL</v>
      </c>
      <c r="S181" t="str" cm="1">
        <f t="array" aca="1" ref="S181" ca="1">VLOOKUP(INDIRECT("A"&amp;ROW()), 'Recent Changes'!A:G, 5, FALSE)</f>
        <v>NULL</v>
      </c>
      <c r="T181" t="str" cm="1">
        <f t="array" aca="1" ref="T181" ca="1">VLOOKUP(INDIRECT("A"&amp;ROW()), 'Recent Changes'!A:G, 6, FALSE)</f>
        <v>NULL</v>
      </c>
      <c r="U181" t="str" cm="1">
        <f t="array" aca="1" ref="U181" ca="1">VLOOKUP(INDIRECT("A"&amp;ROW()), 'Recent Changes'!A:G, 7, FALSE)</f>
        <v>2023-11-22T12:24:04Z</v>
      </c>
      <c r="V181" t="str" cm="1">
        <f t="array" aca="1" ref="V181" ca="1">VLOOKUP(INDIRECT("A"&amp;ROW()), 'Recent Changes'!A:H, 8, FALSE)</f>
        <v>2023-11-21T08:11:58Z</v>
      </c>
    </row>
    <row r="182" spans="1:22" x14ac:dyDescent="0.25">
      <c r="A182">
        <v>17369202</v>
      </c>
      <c r="B182" t="s" cm="1">
        <v>430</v>
      </c>
      <c r="C182">
        <v>69</v>
      </c>
      <c r="G182" t="s" cm="1">
        <v>442</v>
      </c>
      <c r="H182" t="s">
        <v>14</v>
      </c>
      <c r="I182" t="s">
        <v>14</v>
      </c>
      <c r="J182" t="s">
        <v>30</v>
      </c>
      <c r="K182" t="s">
        <v>45</v>
      </c>
      <c r="L182" t="s">
        <v>58</v>
      </c>
      <c r="M182" t="s">
        <v>76</v>
      </c>
      <c r="N182" t="s">
        <v>83</v>
      </c>
      <c r="P182" t="e" cm="1">
        <f t="array" aca="1" ref="P182" ca="1">VLOOKUP(INDIRECT("A"&amp;ROW()), 'Recent Changes'!A:G, 2, FALSE)</f>
        <v>#N/A</v>
      </c>
      <c r="Q182" t="e" cm="1">
        <f t="array" aca="1" ref="Q182" ca="1">VLOOKUP(INDIRECT("A"&amp;ROW()), 'Recent Changes'!A:G, 3, FALSE)</f>
        <v>#N/A</v>
      </c>
      <c r="R182" t="e" cm="1">
        <f t="array" aca="1" ref="R182" ca="1">VLOOKUP(INDIRECT("A"&amp;ROW()), 'Recent Changes'!A:G, 4, FALSE)</f>
        <v>#N/A</v>
      </c>
      <c r="S182" t="e" cm="1">
        <f t="array" aca="1" ref="S182" ca="1">VLOOKUP(INDIRECT("A"&amp;ROW()), 'Recent Changes'!A:G, 5, FALSE)</f>
        <v>#N/A</v>
      </c>
      <c r="T182" t="e" cm="1">
        <f t="array" aca="1" ref="T182" ca="1">VLOOKUP(INDIRECT("A"&amp;ROW()), 'Recent Changes'!A:G, 6, FALSE)</f>
        <v>#N/A</v>
      </c>
      <c r="U182" t="e" cm="1">
        <f t="array" aca="1" ref="U182" ca="1">VLOOKUP(INDIRECT("A"&amp;ROW()), 'Recent Changes'!A:G, 7, FALSE)</f>
        <v>#N/A</v>
      </c>
      <c r="V182" t="e" cm="1">
        <f t="array" aca="1" ref="V182" ca="1">VLOOKUP(INDIRECT("A"&amp;ROW()), 'Recent Changes'!A:H, 8, FALSE)</f>
        <v>#N/A</v>
      </c>
    </row>
    <row r="183" spans="1:22" x14ac:dyDescent="0.25">
      <c r="A183">
        <v>17369299</v>
      </c>
      <c r="B183" t="s" cm="1">
        <v>430</v>
      </c>
      <c r="C183">
        <v>69</v>
      </c>
      <c r="G183" t="e" cm="1">
        <v>#N/A</v>
      </c>
      <c r="H183" t="s">
        <v>14</v>
      </c>
      <c r="I183" t="s">
        <v>570</v>
      </c>
      <c r="J183" t="s">
        <v>30</v>
      </c>
      <c r="K183" t="s">
        <v>49</v>
      </c>
      <c r="L183" t="s">
        <v>675</v>
      </c>
      <c r="M183" t="s">
        <v>76</v>
      </c>
      <c r="N183" t="s">
        <v>83</v>
      </c>
      <c r="P183" t="str" cm="1">
        <f t="array" aca="1" ref="P183" ca="1">VLOOKUP(INDIRECT("A"&amp;ROW()), 'Recent Changes'!A:G, 2, FALSE)</f>
        <v>NULL</v>
      </c>
      <c r="Q183" t="str" cm="1">
        <f t="array" aca="1" ref="Q183" ca="1">VLOOKUP(INDIRECT("A"&amp;ROW()), 'Recent Changes'!A:G, 3, FALSE)</f>
        <v>NULL</v>
      </c>
      <c r="R183" t="str" cm="1">
        <f t="array" aca="1" ref="R183" ca="1">VLOOKUP(INDIRECT("A"&amp;ROW()), 'Recent Changes'!A:G, 4, FALSE)</f>
        <v>NULL</v>
      </c>
      <c r="S183" t="str" cm="1">
        <f t="array" aca="1" ref="S183" ca="1">VLOOKUP(INDIRECT("A"&amp;ROW()), 'Recent Changes'!A:G, 5, FALSE)</f>
        <v>2023-12-28T22:37:51Z</v>
      </c>
      <c r="T183" t="str" cm="1">
        <f t="array" aca="1" ref="T183" ca="1">VLOOKUP(INDIRECT("A"&amp;ROW()), 'Recent Changes'!A:G, 6, FALSE)</f>
        <v>NULL</v>
      </c>
      <c r="U183" t="str" cm="1">
        <f t="array" aca="1" ref="U183" ca="1">VLOOKUP(INDIRECT("A"&amp;ROW()), 'Recent Changes'!A:G, 7, FALSE)</f>
        <v>NULL</v>
      </c>
      <c r="V183" t="str" cm="1">
        <f t="array" aca="1" ref="V183" ca="1">VLOOKUP(INDIRECT("A"&amp;ROW()), 'Recent Changes'!A:H, 8, FALSE)</f>
        <v>2023-12-29T07:33:20Z</v>
      </c>
    </row>
    <row r="184" spans="1:22" x14ac:dyDescent="0.25">
      <c r="A184">
        <v>17369339</v>
      </c>
      <c r="B184" t="s" cm="1">
        <v>430</v>
      </c>
      <c r="C184">
        <v>69</v>
      </c>
      <c r="G184" t="e" cm="1">
        <v>#N/A</v>
      </c>
      <c r="H184" t="s">
        <v>14</v>
      </c>
      <c r="I184" t="s">
        <v>379</v>
      </c>
      <c r="J184" t="s">
        <v>30</v>
      </c>
      <c r="K184" t="s">
        <v>52</v>
      </c>
      <c r="L184" t="s">
        <v>2100</v>
      </c>
      <c r="M184" t="s">
        <v>1713</v>
      </c>
      <c r="N184" t="s">
        <v>83</v>
      </c>
      <c r="P184" t="str" cm="1">
        <f t="array" aca="1" ref="P184" ca="1">VLOOKUP(INDIRECT("A"&amp;ROW()), 'Recent Changes'!A:G, 2, FALSE)</f>
        <v>2023-12-12T23:08:40Z</v>
      </c>
      <c r="Q184" t="str" cm="1">
        <f t="array" aca="1" ref="Q184" ca="1">VLOOKUP(INDIRECT("A"&amp;ROW()), 'Recent Changes'!A:G, 3, FALSE)</f>
        <v>NULL</v>
      </c>
      <c r="R184" t="str" cm="1">
        <f t="array" aca="1" ref="R184" ca="1">VLOOKUP(INDIRECT("A"&amp;ROW()), 'Recent Changes'!A:G, 4, FALSE)</f>
        <v>NULL</v>
      </c>
      <c r="S184" t="str" cm="1">
        <f t="array" aca="1" ref="S184" ca="1">VLOOKUP(INDIRECT("A"&amp;ROW()), 'Recent Changes'!A:G, 5, FALSE)</f>
        <v>2023-12-13T01:59:28Z</v>
      </c>
      <c r="T184" t="str" cm="1">
        <f t="array" aca="1" ref="T184" ca="1">VLOOKUP(INDIRECT("A"&amp;ROW()), 'Recent Changes'!A:G, 6, FALSE)</f>
        <v>NULL</v>
      </c>
      <c r="U184" t="str" cm="1">
        <f t="array" aca="1" ref="U184" ca="1">VLOOKUP(INDIRECT("A"&amp;ROW()), 'Recent Changes'!A:G, 7, FALSE)</f>
        <v>NULL</v>
      </c>
      <c r="V184" t="str" cm="1">
        <f t="array" aca="1" ref="V184" ca="1">VLOOKUP(INDIRECT("A"&amp;ROW()), 'Recent Changes'!A:H, 8, FALSE)</f>
        <v>2023-12-13T07:43:38Z</v>
      </c>
    </row>
    <row r="185" spans="1:22" x14ac:dyDescent="0.25">
      <c r="A185">
        <v>17370101</v>
      </c>
      <c r="B185" t="s" cm="1">
        <v>430</v>
      </c>
      <c r="C185">
        <v>69</v>
      </c>
      <c r="G185" t="s" cm="1">
        <v>442</v>
      </c>
      <c r="H185" t="s">
        <v>14</v>
      </c>
      <c r="I185" t="s">
        <v>14</v>
      </c>
      <c r="J185" t="s">
        <v>30</v>
      </c>
      <c r="K185" t="s">
        <v>43</v>
      </c>
      <c r="L185" t="s">
        <v>395</v>
      </c>
      <c r="M185" t="s">
        <v>76</v>
      </c>
      <c r="N185" t="s">
        <v>83</v>
      </c>
      <c r="P185" t="str" cm="1">
        <f t="array" aca="1" ref="P185" ca="1">VLOOKUP(INDIRECT("A"&amp;ROW()), 'Recent Changes'!A:G, 2, FALSE)</f>
        <v>NULL</v>
      </c>
      <c r="Q185" t="str" cm="1">
        <f t="array" aca="1" ref="Q185" ca="1">VLOOKUP(INDIRECT("A"&amp;ROW()), 'Recent Changes'!A:G, 3, FALSE)</f>
        <v>NULL</v>
      </c>
      <c r="R185" t="str" cm="1">
        <f t="array" aca="1" ref="R185" ca="1">VLOOKUP(INDIRECT("A"&amp;ROW()), 'Recent Changes'!A:G, 4, FALSE)</f>
        <v>NULL</v>
      </c>
      <c r="S185" t="str" cm="1">
        <f t="array" aca="1" ref="S185" ca="1">VLOOKUP(INDIRECT("A"&amp;ROW()), 'Recent Changes'!A:G, 5, FALSE)</f>
        <v>NULL</v>
      </c>
      <c r="T185" t="str" cm="1">
        <f t="array" aca="1" ref="T185" ca="1">VLOOKUP(INDIRECT("A"&amp;ROW()), 'Recent Changes'!A:G, 6, FALSE)</f>
        <v>NULL</v>
      </c>
      <c r="U185" t="str" cm="1">
        <f t="array" aca="1" ref="U185" ca="1">VLOOKUP(INDIRECT("A"&amp;ROW()), 'Recent Changes'!A:G, 7, FALSE)</f>
        <v>2023-12-06T22:39:59Z</v>
      </c>
      <c r="V185" t="str" cm="1">
        <f t="array" aca="1" ref="V185" ca="1">VLOOKUP(INDIRECT("A"&amp;ROW()), 'Recent Changes'!A:H, 8, FALSE)</f>
        <v>2023-11-29T08:09:32Z</v>
      </c>
    </row>
    <row r="186" spans="1:22" x14ac:dyDescent="0.25">
      <c r="A186">
        <v>17373182</v>
      </c>
      <c r="B186" t="s" cm="1">
        <v>430</v>
      </c>
      <c r="C186">
        <v>69</v>
      </c>
      <c r="G186" t="s" cm="1">
        <v>442</v>
      </c>
      <c r="H186" t="s">
        <v>14</v>
      </c>
      <c r="I186" t="s">
        <v>14</v>
      </c>
      <c r="J186" t="s">
        <v>30</v>
      </c>
      <c r="K186" t="s">
        <v>432</v>
      </c>
      <c r="L186" t="s">
        <v>63</v>
      </c>
      <c r="M186" t="s">
        <v>76</v>
      </c>
      <c r="N186" t="s">
        <v>83</v>
      </c>
      <c r="P186" t="str" cm="1">
        <f t="array" aca="1" ref="P186" ca="1">VLOOKUP(INDIRECT("A"&amp;ROW()), 'Recent Changes'!A:G, 2, FALSE)</f>
        <v>NULL</v>
      </c>
      <c r="Q186" t="str" cm="1">
        <f t="array" aca="1" ref="Q186" ca="1">VLOOKUP(INDIRECT("A"&amp;ROW()), 'Recent Changes'!A:G, 3, FALSE)</f>
        <v>NULL</v>
      </c>
      <c r="R186" t="str" cm="1">
        <f t="array" aca="1" ref="R186" ca="1">VLOOKUP(INDIRECT("A"&amp;ROW()), 'Recent Changes'!A:G, 4, FALSE)</f>
        <v>NULL</v>
      </c>
      <c r="S186" t="str" cm="1">
        <f t="array" aca="1" ref="S186" ca="1">VLOOKUP(INDIRECT("A"&amp;ROW()), 'Recent Changes'!A:G, 5, FALSE)</f>
        <v>NULL</v>
      </c>
      <c r="T186" t="str" cm="1">
        <f t="array" aca="1" ref="T186" ca="1">VLOOKUP(INDIRECT("A"&amp;ROW()), 'Recent Changes'!A:G, 6, FALSE)</f>
        <v>NULL</v>
      </c>
      <c r="U186" t="str" cm="1">
        <f t="array" aca="1" ref="U186" ca="1">VLOOKUP(INDIRECT("A"&amp;ROW()), 'Recent Changes'!A:G, 7, FALSE)</f>
        <v>2023-11-28T17:01:54Z</v>
      </c>
      <c r="V186" t="str" cm="1">
        <f t="array" aca="1" ref="V186" ca="1">VLOOKUP(INDIRECT("A"&amp;ROW()), 'Recent Changes'!A:H, 8, FALSE)</f>
        <v>2023-11-29T08:19:08Z</v>
      </c>
    </row>
    <row r="187" spans="1:22" x14ac:dyDescent="0.25">
      <c r="A187">
        <v>11012307</v>
      </c>
      <c r="B187" t="s">
        <v>433</v>
      </c>
      <c r="C187">
        <v>68</v>
      </c>
      <c r="G187" t="s" cm="1">
        <v>442</v>
      </c>
      <c r="H187">
        <v>45244</v>
      </c>
      <c r="I187" t="s">
        <v>15</v>
      </c>
      <c r="J187" t="s">
        <v>30</v>
      </c>
      <c r="K187" t="s">
        <v>44</v>
      </c>
      <c r="L187" t="s">
        <v>408</v>
      </c>
      <c r="M187" t="s">
        <v>78</v>
      </c>
      <c r="N187" t="s">
        <v>422</v>
      </c>
      <c r="O187" t="s">
        <v>431</v>
      </c>
      <c r="P187" t="e" cm="1">
        <f t="array" aca="1" ref="P187" ca="1">VLOOKUP(INDIRECT("A"&amp;ROW()), 'Recent Changes'!A:G, 2, FALSE)</f>
        <v>#N/A</v>
      </c>
      <c r="Q187" t="e" cm="1">
        <f t="array" aca="1" ref="Q187" ca="1">VLOOKUP(INDIRECT("A"&amp;ROW()), 'Recent Changes'!A:G, 3, FALSE)</f>
        <v>#N/A</v>
      </c>
      <c r="R187" t="e" cm="1">
        <f t="array" aca="1" ref="R187" ca="1">VLOOKUP(INDIRECT("A"&amp;ROW()), 'Recent Changes'!A:G, 4, FALSE)</f>
        <v>#N/A</v>
      </c>
      <c r="S187" t="e" cm="1">
        <f t="array" aca="1" ref="S187" ca="1">VLOOKUP(INDIRECT("A"&amp;ROW()), 'Recent Changes'!A:G, 5, FALSE)</f>
        <v>#N/A</v>
      </c>
      <c r="T187" t="e" cm="1">
        <f t="array" aca="1" ref="T187" ca="1">VLOOKUP(INDIRECT("A"&amp;ROW()), 'Recent Changes'!A:G, 6, FALSE)</f>
        <v>#N/A</v>
      </c>
      <c r="U187" t="e" cm="1">
        <f t="array" aca="1" ref="U187" ca="1">VLOOKUP(INDIRECT("A"&amp;ROW()), 'Recent Changes'!A:G, 7, FALSE)</f>
        <v>#N/A</v>
      </c>
      <c r="V187" t="e" cm="1">
        <f t="array" aca="1" ref="V187" ca="1">VLOOKUP(INDIRECT("A"&amp;ROW()), 'Recent Changes'!A:H, 8, FALSE)</f>
        <v>#N/A</v>
      </c>
    </row>
    <row r="188" spans="1:22" x14ac:dyDescent="0.25">
      <c r="A188">
        <v>17374534</v>
      </c>
      <c r="B188" t="s" cm="1">
        <v>430</v>
      </c>
      <c r="C188">
        <v>68</v>
      </c>
      <c r="G188" t="e" cm="1">
        <v>#N/A</v>
      </c>
      <c r="H188" t="s">
        <v>14</v>
      </c>
      <c r="I188" t="s">
        <v>14</v>
      </c>
      <c r="J188" t="s">
        <v>30</v>
      </c>
      <c r="K188" t="s">
        <v>44</v>
      </c>
      <c r="L188" t="s">
        <v>58</v>
      </c>
      <c r="M188" t="s">
        <v>76</v>
      </c>
      <c r="N188" t="s">
        <v>83</v>
      </c>
      <c r="P188" t="str" cm="1">
        <f t="array" aca="1" ref="P188" ca="1">VLOOKUP(INDIRECT("A"&amp;ROW()), 'Recent Changes'!A:G, 2, FALSE)</f>
        <v>NULL</v>
      </c>
      <c r="Q188" t="str" cm="1">
        <f t="array" aca="1" ref="Q188" ca="1">VLOOKUP(INDIRECT("A"&amp;ROW()), 'Recent Changes'!A:G, 3, FALSE)</f>
        <v>NULL</v>
      </c>
      <c r="R188" t="str" cm="1">
        <f t="array" aca="1" ref="R188" ca="1">VLOOKUP(INDIRECT("A"&amp;ROW()), 'Recent Changes'!A:G, 4, FALSE)</f>
        <v>NULL</v>
      </c>
      <c r="S188" t="str" cm="1">
        <f t="array" aca="1" ref="S188" ca="1">VLOOKUP(INDIRECT("A"&amp;ROW()), 'Recent Changes'!A:G, 5, FALSE)</f>
        <v>2023-12-26T16:06:41Z</v>
      </c>
      <c r="T188" t="str" cm="1">
        <f t="array" aca="1" ref="T188" ca="1">VLOOKUP(INDIRECT("A"&amp;ROW()), 'Recent Changes'!A:G, 6, FALSE)</f>
        <v>NULL</v>
      </c>
      <c r="U188" t="str" cm="1">
        <f t="array" aca="1" ref="U188" ca="1">VLOOKUP(INDIRECT("A"&amp;ROW()), 'Recent Changes'!A:G, 7, FALSE)</f>
        <v>2023-11-23T08:35:15Z</v>
      </c>
      <c r="V188" t="str" cm="1">
        <f t="array" aca="1" ref="V188" ca="1">VLOOKUP(INDIRECT("A"&amp;ROW()), 'Recent Changes'!A:H, 8, FALSE)</f>
        <v>2023-12-27T07:37:45Z</v>
      </c>
    </row>
    <row r="189" spans="1:22" x14ac:dyDescent="0.25">
      <c r="A189">
        <v>17375786</v>
      </c>
      <c r="B189" t="s" cm="1">
        <v>430</v>
      </c>
      <c r="C189">
        <v>68</v>
      </c>
      <c r="G189" t="e" cm="1">
        <v>#N/A</v>
      </c>
      <c r="H189" t="s">
        <v>14</v>
      </c>
      <c r="I189" t="s">
        <v>14</v>
      </c>
      <c r="J189" t="s">
        <v>18</v>
      </c>
      <c r="K189" t="s">
        <v>1684</v>
      </c>
      <c r="L189" t="s">
        <v>55</v>
      </c>
      <c r="M189" t="s">
        <v>76</v>
      </c>
      <c r="N189" t="s">
        <v>83</v>
      </c>
      <c r="P189" t="str" cm="1">
        <f t="array" aca="1" ref="P189" ca="1">VLOOKUP(INDIRECT("A"&amp;ROW()), 'Recent Changes'!A:G, 2, FALSE)</f>
        <v>2024-01-03T22:07:55Z</v>
      </c>
      <c r="Q189" t="str" cm="1">
        <f t="array" aca="1" ref="Q189" ca="1">VLOOKUP(INDIRECT("A"&amp;ROW()), 'Recent Changes'!A:G, 3, FALSE)</f>
        <v>NULL</v>
      </c>
      <c r="R189" t="str" cm="1">
        <f t="array" aca="1" ref="R189" ca="1">VLOOKUP(INDIRECT("A"&amp;ROW()), 'Recent Changes'!A:G, 4, FALSE)</f>
        <v>NULL</v>
      </c>
      <c r="S189" t="str" cm="1">
        <f t="array" aca="1" ref="S189" ca="1">VLOOKUP(INDIRECT("A"&amp;ROW()), 'Recent Changes'!A:G, 5, FALSE)</f>
        <v>2024-01-03T22:07:55Z</v>
      </c>
      <c r="T189" t="str" cm="1">
        <f t="array" aca="1" ref="T189" ca="1">VLOOKUP(INDIRECT("A"&amp;ROW()), 'Recent Changes'!A:G, 6, FALSE)</f>
        <v>NULL</v>
      </c>
      <c r="U189" t="str" cm="1">
        <f t="array" aca="1" ref="U189" ca="1">VLOOKUP(INDIRECT("A"&amp;ROW()), 'Recent Changes'!A:G, 7, FALSE)</f>
        <v>2023-12-01T14:39:47Z</v>
      </c>
      <c r="V189" t="str" cm="1">
        <f t="array" aca="1" ref="V189" ca="1">VLOOKUP(INDIRECT("A"&amp;ROW()), 'Recent Changes'!A:H, 8, FALSE)</f>
        <v>2024-01-04T07:29:53Z</v>
      </c>
    </row>
    <row r="190" spans="1:22" x14ac:dyDescent="0.25">
      <c r="A190">
        <v>17375809</v>
      </c>
      <c r="B190" t="s">
        <v>433</v>
      </c>
      <c r="C190">
        <v>68</v>
      </c>
      <c r="G190" t="e" cm="1">
        <v>#N/A</v>
      </c>
      <c r="H190">
        <v>45251</v>
      </c>
      <c r="I190" t="s">
        <v>15</v>
      </c>
      <c r="J190" t="s">
        <v>22</v>
      </c>
      <c r="K190" t="s">
        <v>49</v>
      </c>
      <c r="L190" t="s">
        <v>458</v>
      </c>
      <c r="M190" t="s">
        <v>1714</v>
      </c>
      <c r="N190" t="s">
        <v>439</v>
      </c>
      <c r="O190" t="s">
        <v>431</v>
      </c>
      <c r="P190" t="e" cm="1">
        <f t="array" aca="1" ref="P190" ca="1">VLOOKUP(INDIRECT("A"&amp;ROW()), 'Recent Changes'!A:G, 2, FALSE)</f>
        <v>#N/A</v>
      </c>
      <c r="Q190" t="e" cm="1">
        <f t="array" aca="1" ref="Q190" ca="1">VLOOKUP(INDIRECT("A"&amp;ROW()), 'Recent Changes'!A:G, 3, FALSE)</f>
        <v>#N/A</v>
      </c>
      <c r="R190" t="e" cm="1">
        <f t="array" aca="1" ref="R190" ca="1">VLOOKUP(INDIRECT("A"&amp;ROW()), 'Recent Changes'!A:G, 4, FALSE)</f>
        <v>#N/A</v>
      </c>
      <c r="S190" t="e" cm="1">
        <f t="array" aca="1" ref="S190" ca="1">VLOOKUP(INDIRECT("A"&amp;ROW()), 'Recent Changes'!A:G, 5, FALSE)</f>
        <v>#N/A</v>
      </c>
      <c r="T190" t="e" cm="1">
        <f t="array" aca="1" ref="T190" ca="1">VLOOKUP(INDIRECT("A"&amp;ROW()), 'Recent Changes'!A:G, 6, FALSE)</f>
        <v>#N/A</v>
      </c>
      <c r="U190" t="e" cm="1">
        <f t="array" aca="1" ref="U190" ca="1">VLOOKUP(INDIRECT("A"&amp;ROW()), 'Recent Changes'!A:G, 7, FALSE)</f>
        <v>#N/A</v>
      </c>
      <c r="V190" t="e" cm="1">
        <f t="array" aca="1" ref="V190" ca="1">VLOOKUP(INDIRECT("A"&amp;ROW()), 'Recent Changes'!A:H, 8, FALSE)</f>
        <v>#N/A</v>
      </c>
    </row>
    <row r="191" spans="1:22" x14ac:dyDescent="0.25">
      <c r="A191">
        <v>17377356</v>
      </c>
      <c r="B191" t="s" cm="1">
        <v>430</v>
      </c>
      <c r="C191">
        <v>68</v>
      </c>
      <c r="G191" t="s" cm="1">
        <v>442</v>
      </c>
      <c r="H191" t="s">
        <v>14</v>
      </c>
      <c r="I191" t="s">
        <v>14</v>
      </c>
      <c r="J191" t="s">
        <v>30</v>
      </c>
      <c r="K191" t="s">
        <v>52</v>
      </c>
      <c r="L191" t="s">
        <v>2101</v>
      </c>
      <c r="M191" t="s">
        <v>78</v>
      </c>
      <c r="N191" t="s">
        <v>83</v>
      </c>
      <c r="P191" t="str" cm="1">
        <f t="array" aca="1" ref="P191" ca="1">VLOOKUP(INDIRECT("A"&amp;ROW()), 'Recent Changes'!A:G, 2, FALSE)</f>
        <v>2023-11-15T14:00:29Z</v>
      </c>
      <c r="Q191" t="str" cm="1">
        <f t="array" aca="1" ref="Q191" ca="1">VLOOKUP(INDIRECT("A"&amp;ROW()), 'Recent Changes'!A:G, 3, FALSE)</f>
        <v>NULL</v>
      </c>
      <c r="R191" t="str" cm="1">
        <f t="array" aca="1" ref="R191" ca="1">VLOOKUP(INDIRECT("A"&amp;ROW()), 'Recent Changes'!A:G, 4, FALSE)</f>
        <v>NULL</v>
      </c>
      <c r="S191" t="str" cm="1">
        <f t="array" aca="1" ref="S191" ca="1">VLOOKUP(INDIRECT("A"&amp;ROW()), 'Recent Changes'!A:G, 5, FALSE)</f>
        <v>NULL</v>
      </c>
      <c r="T191" t="str" cm="1">
        <f t="array" aca="1" ref="T191" ca="1">VLOOKUP(INDIRECT("A"&amp;ROW()), 'Recent Changes'!A:G, 6, FALSE)</f>
        <v>NULL</v>
      </c>
      <c r="U191" t="str" cm="1">
        <f t="array" aca="1" ref="U191" ca="1">VLOOKUP(INDIRECT("A"&amp;ROW()), 'Recent Changes'!A:G, 7, FALSE)</f>
        <v>2023-11-22T11:12:39Z</v>
      </c>
      <c r="V191" t="str" cm="1">
        <f t="array" aca="1" ref="V191" ca="1">VLOOKUP(INDIRECT("A"&amp;ROW()), 'Recent Changes'!A:H, 8, FALSE)</f>
        <v>2023-11-15T16:03:37Z</v>
      </c>
    </row>
    <row r="192" spans="1:22" x14ac:dyDescent="0.25">
      <c r="A192">
        <v>17381401</v>
      </c>
      <c r="B192" t="s">
        <v>433</v>
      </c>
      <c r="C192">
        <v>68</v>
      </c>
      <c r="G192" t="e" cm="1">
        <v>#N/A</v>
      </c>
      <c r="H192" t="s">
        <v>14</v>
      </c>
      <c r="I192" t="s">
        <v>14</v>
      </c>
      <c r="J192" t="s">
        <v>23</v>
      </c>
      <c r="K192" t="s">
        <v>44</v>
      </c>
      <c r="L192" t="s">
        <v>2102</v>
      </c>
      <c r="M192" t="s">
        <v>76</v>
      </c>
      <c r="N192" t="s">
        <v>83</v>
      </c>
      <c r="P192" t="str" cm="1">
        <f t="array" aca="1" ref="P192" ca="1">VLOOKUP(INDIRECT("A"&amp;ROW()), 'Recent Changes'!A:G, 2, FALSE)</f>
        <v>NULL</v>
      </c>
      <c r="Q192" t="str" cm="1">
        <f t="array" aca="1" ref="Q192" ca="1">VLOOKUP(INDIRECT("A"&amp;ROW()), 'Recent Changes'!A:G, 3, FALSE)</f>
        <v>NULL</v>
      </c>
      <c r="R192" t="str" cm="1">
        <f t="array" aca="1" ref="R192" ca="1">VLOOKUP(INDIRECT("A"&amp;ROW()), 'Recent Changes'!A:G, 4, FALSE)</f>
        <v>NULL</v>
      </c>
      <c r="S192" t="str" cm="1">
        <f t="array" aca="1" ref="S192" ca="1">VLOOKUP(INDIRECT("A"&amp;ROW()), 'Recent Changes'!A:G, 5, FALSE)</f>
        <v>2023-12-28T15:33:33Z</v>
      </c>
      <c r="T192" t="str" cm="1">
        <f t="array" aca="1" ref="T192" ca="1">VLOOKUP(INDIRECT("A"&amp;ROW()), 'Recent Changes'!A:G, 6, FALSE)</f>
        <v>NULL</v>
      </c>
      <c r="U192" t="str" cm="1">
        <f t="array" aca="1" ref="U192" ca="1">VLOOKUP(INDIRECT("A"&amp;ROW()), 'Recent Changes'!A:G, 7, FALSE)</f>
        <v>2023-12-20T05:58:32Z</v>
      </c>
      <c r="V192" t="str" cm="1">
        <f t="array" aca="1" ref="V192" ca="1">VLOOKUP(INDIRECT("A"&amp;ROW()), 'Recent Changes'!A:H, 8, FALSE)</f>
        <v>2023-12-28T21:46:36Z</v>
      </c>
    </row>
    <row r="193" spans="1:22" x14ac:dyDescent="0.25">
      <c r="A193">
        <v>12863025</v>
      </c>
      <c r="B193" t="s">
        <v>433</v>
      </c>
      <c r="C193">
        <v>67</v>
      </c>
      <c r="G193" t="s" cm="1">
        <v>442</v>
      </c>
      <c r="H193">
        <v>45232</v>
      </c>
      <c r="I193" t="s">
        <v>15</v>
      </c>
      <c r="J193" t="s">
        <v>22</v>
      </c>
      <c r="K193" t="s">
        <v>44</v>
      </c>
      <c r="L193" t="s">
        <v>56</v>
      </c>
      <c r="M193" t="s">
        <v>1538</v>
      </c>
      <c r="N193" t="s">
        <v>1570</v>
      </c>
      <c r="O193" t="s">
        <v>431</v>
      </c>
      <c r="P193" t="e" cm="1">
        <f t="array" aca="1" ref="P193" ca="1">VLOOKUP(INDIRECT("A"&amp;ROW()), 'Recent Changes'!A:G, 2, FALSE)</f>
        <v>#N/A</v>
      </c>
      <c r="Q193" t="e" cm="1">
        <f t="array" aca="1" ref="Q193" ca="1">VLOOKUP(INDIRECT("A"&amp;ROW()), 'Recent Changes'!A:G, 3, FALSE)</f>
        <v>#N/A</v>
      </c>
      <c r="R193" t="e" cm="1">
        <f t="array" aca="1" ref="R193" ca="1">VLOOKUP(INDIRECT("A"&amp;ROW()), 'Recent Changes'!A:G, 4, FALSE)</f>
        <v>#N/A</v>
      </c>
      <c r="S193" t="e" cm="1">
        <f t="array" aca="1" ref="S193" ca="1">VLOOKUP(INDIRECT("A"&amp;ROW()), 'Recent Changes'!A:G, 5, FALSE)</f>
        <v>#N/A</v>
      </c>
      <c r="T193" t="e" cm="1">
        <f t="array" aca="1" ref="T193" ca="1">VLOOKUP(INDIRECT("A"&amp;ROW()), 'Recent Changes'!A:G, 6, FALSE)</f>
        <v>#N/A</v>
      </c>
      <c r="U193" t="e" cm="1">
        <f t="array" aca="1" ref="U193" ca="1">VLOOKUP(INDIRECT("A"&amp;ROW()), 'Recent Changes'!A:G, 7, FALSE)</f>
        <v>#N/A</v>
      </c>
      <c r="V193" t="e" cm="1">
        <f t="array" aca="1" ref="V193" ca="1">VLOOKUP(INDIRECT("A"&amp;ROW()), 'Recent Changes'!A:H, 8, FALSE)</f>
        <v>#N/A</v>
      </c>
    </row>
    <row r="194" spans="1:22" x14ac:dyDescent="0.25">
      <c r="A194">
        <v>15282060</v>
      </c>
      <c r="B194" t="s">
        <v>433</v>
      </c>
      <c r="C194">
        <v>67</v>
      </c>
      <c r="G194" t="s" cm="1">
        <v>442</v>
      </c>
      <c r="H194">
        <v>45245</v>
      </c>
      <c r="I194" t="s">
        <v>15</v>
      </c>
      <c r="J194" t="s">
        <v>30</v>
      </c>
      <c r="K194" t="s">
        <v>44</v>
      </c>
      <c r="L194" t="s">
        <v>2103</v>
      </c>
      <c r="M194" t="s">
        <v>78</v>
      </c>
      <c r="N194" t="s">
        <v>415</v>
      </c>
      <c r="O194" t="s">
        <v>431</v>
      </c>
      <c r="P194" t="e" cm="1">
        <f t="array" aca="1" ref="P194" ca="1">VLOOKUP(INDIRECT("A"&amp;ROW()), 'Recent Changes'!A:G, 2, FALSE)</f>
        <v>#N/A</v>
      </c>
      <c r="Q194" t="e" cm="1">
        <f t="array" aca="1" ref="Q194" ca="1">VLOOKUP(INDIRECT("A"&amp;ROW()), 'Recent Changes'!A:G, 3, FALSE)</f>
        <v>#N/A</v>
      </c>
      <c r="R194" t="e" cm="1">
        <f t="array" aca="1" ref="R194" ca="1">VLOOKUP(INDIRECT("A"&amp;ROW()), 'Recent Changes'!A:G, 4, FALSE)</f>
        <v>#N/A</v>
      </c>
      <c r="S194" t="e" cm="1">
        <f t="array" aca="1" ref="S194" ca="1">VLOOKUP(INDIRECT("A"&amp;ROW()), 'Recent Changes'!A:G, 5, FALSE)</f>
        <v>#N/A</v>
      </c>
      <c r="T194" t="e" cm="1">
        <f t="array" aca="1" ref="T194" ca="1">VLOOKUP(INDIRECT("A"&amp;ROW()), 'Recent Changes'!A:G, 6, FALSE)</f>
        <v>#N/A</v>
      </c>
      <c r="U194" t="e" cm="1">
        <f t="array" aca="1" ref="U194" ca="1">VLOOKUP(INDIRECT("A"&amp;ROW()), 'Recent Changes'!A:G, 7, FALSE)</f>
        <v>#N/A</v>
      </c>
      <c r="V194" t="e" cm="1">
        <f t="array" aca="1" ref="V194" ca="1">VLOOKUP(INDIRECT("A"&amp;ROW()), 'Recent Changes'!A:H, 8, FALSE)</f>
        <v>#N/A</v>
      </c>
    </row>
    <row r="195" spans="1:22" x14ac:dyDescent="0.25">
      <c r="A195">
        <v>17384288</v>
      </c>
      <c r="B195" t="s">
        <v>433</v>
      </c>
      <c r="C195">
        <v>67</v>
      </c>
      <c r="G195" t="e" cm="1">
        <v>#N/A</v>
      </c>
      <c r="H195">
        <v>45272</v>
      </c>
      <c r="I195" t="s">
        <v>15</v>
      </c>
      <c r="J195" t="s">
        <v>22</v>
      </c>
      <c r="K195" t="s">
        <v>506</v>
      </c>
      <c r="L195" t="s">
        <v>1704</v>
      </c>
      <c r="M195" t="s">
        <v>76</v>
      </c>
      <c r="N195" t="s">
        <v>429</v>
      </c>
      <c r="O195" t="s">
        <v>431</v>
      </c>
      <c r="P195" t="e" cm="1">
        <f t="array" aca="1" ref="P195" ca="1">VLOOKUP(INDIRECT("A"&amp;ROW()), 'Recent Changes'!A:G, 2, FALSE)</f>
        <v>#N/A</v>
      </c>
      <c r="Q195" t="e" cm="1">
        <f t="array" aca="1" ref="Q195" ca="1">VLOOKUP(INDIRECT("A"&amp;ROW()), 'Recent Changes'!A:G, 3, FALSE)</f>
        <v>#N/A</v>
      </c>
      <c r="R195" t="e" cm="1">
        <f t="array" aca="1" ref="R195" ca="1">VLOOKUP(INDIRECT("A"&amp;ROW()), 'Recent Changes'!A:G, 4, FALSE)</f>
        <v>#N/A</v>
      </c>
      <c r="S195" t="e" cm="1">
        <f t="array" aca="1" ref="S195" ca="1">VLOOKUP(INDIRECT("A"&amp;ROW()), 'Recent Changes'!A:G, 5, FALSE)</f>
        <v>#N/A</v>
      </c>
      <c r="T195" t="e" cm="1">
        <f t="array" aca="1" ref="T195" ca="1">VLOOKUP(INDIRECT("A"&amp;ROW()), 'Recent Changes'!A:G, 6, FALSE)</f>
        <v>#N/A</v>
      </c>
      <c r="U195" t="e" cm="1">
        <f t="array" aca="1" ref="U195" ca="1">VLOOKUP(INDIRECT("A"&amp;ROW()), 'Recent Changes'!A:G, 7, FALSE)</f>
        <v>#N/A</v>
      </c>
      <c r="V195" t="e" cm="1">
        <f t="array" aca="1" ref="V195" ca="1">VLOOKUP(INDIRECT("A"&amp;ROW()), 'Recent Changes'!A:H, 8, FALSE)</f>
        <v>#N/A</v>
      </c>
    </row>
    <row r="196" spans="1:22" x14ac:dyDescent="0.25">
      <c r="A196">
        <v>17385436</v>
      </c>
      <c r="B196" t="s" cm="1">
        <v>430</v>
      </c>
      <c r="C196">
        <v>67</v>
      </c>
      <c r="G196" t="e" cm="1">
        <v>#N/A</v>
      </c>
      <c r="H196" t="s">
        <v>14</v>
      </c>
      <c r="I196" t="s">
        <v>14</v>
      </c>
      <c r="J196" t="s">
        <v>33</v>
      </c>
      <c r="K196" t="s">
        <v>44</v>
      </c>
      <c r="L196" t="s">
        <v>60</v>
      </c>
      <c r="M196" t="s">
        <v>76</v>
      </c>
      <c r="N196" t="s">
        <v>83</v>
      </c>
      <c r="P196" t="str" cm="1">
        <f t="array" aca="1" ref="P196" ca="1">VLOOKUP(INDIRECT("A"&amp;ROW()), 'Recent Changes'!A:G, 2, FALSE)</f>
        <v>NULL</v>
      </c>
      <c r="Q196" t="str" cm="1">
        <f t="array" aca="1" ref="Q196" ca="1">VLOOKUP(INDIRECT("A"&amp;ROW()), 'Recent Changes'!A:G, 3, FALSE)</f>
        <v>NULL</v>
      </c>
      <c r="R196" t="str" cm="1">
        <f t="array" aca="1" ref="R196" ca="1">VLOOKUP(INDIRECT("A"&amp;ROW()), 'Recent Changes'!A:G, 4, FALSE)</f>
        <v>NULL</v>
      </c>
      <c r="S196" t="str" cm="1">
        <f t="array" aca="1" ref="S196" ca="1">VLOOKUP(INDIRECT("A"&amp;ROW()), 'Recent Changes'!A:G, 5, FALSE)</f>
        <v>NULL</v>
      </c>
      <c r="T196" t="str" cm="1">
        <f t="array" aca="1" ref="T196" ca="1">VLOOKUP(INDIRECT("A"&amp;ROW()), 'Recent Changes'!A:G, 6, FALSE)</f>
        <v>NULL</v>
      </c>
      <c r="U196" t="str" cm="1">
        <f t="array" aca="1" ref="U196" ca="1">VLOOKUP(INDIRECT("A"&amp;ROW()), 'Recent Changes'!A:G, 7, FALSE)</f>
        <v>2024-01-03T14:47:46Z</v>
      </c>
      <c r="V196" t="str" cm="1">
        <f t="array" aca="1" ref="V196" ca="1">VLOOKUP(INDIRECT("A"&amp;ROW()), 'Recent Changes'!A:H, 8, FALSE)</f>
        <v>2024-01-03T16:13:57Z</v>
      </c>
    </row>
    <row r="197" spans="1:22" x14ac:dyDescent="0.25">
      <c r="A197">
        <v>17387310</v>
      </c>
      <c r="B197" t="s" cm="1">
        <v>430</v>
      </c>
      <c r="C197">
        <v>67</v>
      </c>
      <c r="G197" t="s" cm="1">
        <v>442</v>
      </c>
      <c r="H197" t="s">
        <v>14</v>
      </c>
      <c r="I197" t="s">
        <v>14</v>
      </c>
      <c r="J197" t="s">
        <v>30</v>
      </c>
      <c r="K197" t="s">
        <v>46</v>
      </c>
      <c r="L197" t="s">
        <v>2104</v>
      </c>
      <c r="M197" t="s">
        <v>78</v>
      </c>
      <c r="N197" t="s">
        <v>83</v>
      </c>
      <c r="P197" t="str" cm="1">
        <f t="array" aca="1" ref="P197" ca="1">VLOOKUP(INDIRECT("A"&amp;ROW()), 'Recent Changes'!A:G, 2, FALSE)</f>
        <v>NULL</v>
      </c>
      <c r="Q197" t="str" cm="1">
        <f t="array" aca="1" ref="Q197" ca="1">VLOOKUP(INDIRECT("A"&amp;ROW()), 'Recent Changes'!A:G, 3, FALSE)</f>
        <v>NULL</v>
      </c>
      <c r="R197" t="str" cm="1">
        <f t="array" aca="1" ref="R197" ca="1">VLOOKUP(INDIRECT("A"&amp;ROW()), 'Recent Changes'!A:G, 4, FALSE)</f>
        <v>NULL</v>
      </c>
      <c r="S197" t="str" cm="1">
        <f t="array" aca="1" ref="S197" ca="1">VLOOKUP(INDIRECT("A"&amp;ROW()), 'Recent Changes'!A:G, 5, FALSE)</f>
        <v>2023-11-16T20:16:52Z</v>
      </c>
      <c r="T197" t="str" cm="1">
        <f t="array" aca="1" ref="T197" ca="1">VLOOKUP(INDIRECT("A"&amp;ROW()), 'Recent Changes'!A:G, 6, FALSE)</f>
        <v>NULL</v>
      </c>
      <c r="U197" t="str" cm="1">
        <f t="array" aca="1" ref="U197" ca="1">VLOOKUP(INDIRECT("A"&amp;ROW()), 'Recent Changes'!A:G, 7, FALSE)</f>
        <v>2023-11-16T20:27:57Z</v>
      </c>
      <c r="V197" t="str" cm="1">
        <f t="array" aca="1" ref="V197" ca="1">VLOOKUP(INDIRECT("A"&amp;ROW()), 'Recent Changes'!A:H, 8, FALSE)</f>
        <v>2023-11-16T21:17:24Z</v>
      </c>
    </row>
    <row r="198" spans="1:22" x14ac:dyDescent="0.25">
      <c r="A198">
        <v>10518017</v>
      </c>
      <c r="B198" t="s">
        <v>433</v>
      </c>
      <c r="C198">
        <v>66</v>
      </c>
      <c r="G198" t="s" cm="1">
        <v>442</v>
      </c>
      <c r="H198">
        <v>45232</v>
      </c>
      <c r="I198" t="s">
        <v>15</v>
      </c>
      <c r="J198" t="s">
        <v>30</v>
      </c>
      <c r="K198" t="s">
        <v>44</v>
      </c>
      <c r="L198" t="s">
        <v>2105</v>
      </c>
      <c r="M198" t="s">
        <v>76</v>
      </c>
      <c r="N198" t="s">
        <v>2246</v>
      </c>
      <c r="O198" t="s">
        <v>431</v>
      </c>
      <c r="P198" t="e" cm="1">
        <f t="array" aca="1" ref="P198" ca="1">VLOOKUP(INDIRECT("A"&amp;ROW()), 'Recent Changes'!A:G, 2, FALSE)</f>
        <v>#N/A</v>
      </c>
      <c r="Q198" t="e" cm="1">
        <f t="array" aca="1" ref="Q198" ca="1">VLOOKUP(INDIRECT("A"&amp;ROW()), 'Recent Changes'!A:G, 3, FALSE)</f>
        <v>#N/A</v>
      </c>
      <c r="R198" t="e" cm="1">
        <f t="array" aca="1" ref="R198" ca="1">VLOOKUP(INDIRECT("A"&amp;ROW()), 'Recent Changes'!A:G, 4, FALSE)</f>
        <v>#N/A</v>
      </c>
      <c r="S198" t="e" cm="1">
        <f t="array" aca="1" ref="S198" ca="1">VLOOKUP(INDIRECT("A"&amp;ROW()), 'Recent Changes'!A:G, 5, FALSE)</f>
        <v>#N/A</v>
      </c>
      <c r="T198" t="e" cm="1">
        <f t="array" aca="1" ref="T198" ca="1">VLOOKUP(INDIRECT("A"&amp;ROW()), 'Recent Changes'!A:G, 6, FALSE)</f>
        <v>#N/A</v>
      </c>
      <c r="U198" t="e" cm="1">
        <f t="array" aca="1" ref="U198" ca="1">VLOOKUP(INDIRECT("A"&amp;ROW()), 'Recent Changes'!A:G, 7, FALSE)</f>
        <v>#N/A</v>
      </c>
      <c r="V198" t="e" cm="1">
        <f t="array" aca="1" ref="V198" ca="1">VLOOKUP(INDIRECT("A"&amp;ROW()), 'Recent Changes'!A:H, 8, FALSE)</f>
        <v>#N/A</v>
      </c>
    </row>
    <row r="199" spans="1:22" x14ac:dyDescent="0.25">
      <c r="A199">
        <v>16524844</v>
      </c>
      <c r="B199" t="s" cm="1">
        <v>433</v>
      </c>
      <c r="C199">
        <v>66</v>
      </c>
      <c r="G199" t="s" cm="1">
        <v>442</v>
      </c>
      <c r="H199" t="s">
        <v>14</v>
      </c>
      <c r="I199" t="s">
        <v>14</v>
      </c>
      <c r="J199" t="s">
        <v>26</v>
      </c>
      <c r="K199" t="s">
        <v>48</v>
      </c>
      <c r="L199" t="s">
        <v>2106</v>
      </c>
      <c r="M199" t="s">
        <v>78</v>
      </c>
      <c r="N199" t="s">
        <v>83</v>
      </c>
      <c r="P199" t="str" cm="1">
        <f t="array" aca="1" ref="P199" ca="1">VLOOKUP(INDIRECT("A"&amp;ROW()), 'Recent Changes'!A:G, 2, FALSE)</f>
        <v>2023-11-03T16:37:22Z</v>
      </c>
      <c r="Q199" t="str" cm="1">
        <f t="array" aca="1" ref="Q199" ca="1">VLOOKUP(INDIRECT("A"&amp;ROW()), 'Recent Changes'!A:G, 3, FALSE)</f>
        <v>NULL</v>
      </c>
      <c r="R199" t="str" cm="1">
        <f t="array" aca="1" ref="R199" ca="1">VLOOKUP(INDIRECT("A"&amp;ROW()), 'Recent Changes'!A:G, 4, FALSE)</f>
        <v>NULL</v>
      </c>
      <c r="S199" t="str" cm="1">
        <f t="array" aca="1" ref="S199" ca="1">VLOOKUP(INDIRECT("A"&amp;ROW()), 'Recent Changes'!A:G, 5, FALSE)</f>
        <v>2023-11-03T16:35:36Z</v>
      </c>
      <c r="T199" t="str" cm="1">
        <f t="array" aca="1" ref="T199" ca="1">VLOOKUP(INDIRECT("A"&amp;ROW()), 'Recent Changes'!A:G, 6, FALSE)</f>
        <v>NULL</v>
      </c>
      <c r="U199" t="str" cm="1">
        <f t="array" aca="1" ref="U199" ca="1">VLOOKUP(INDIRECT("A"&amp;ROW()), 'Recent Changes'!A:G, 7, FALSE)</f>
        <v>2023-05-30T23:30:58Z</v>
      </c>
      <c r="V199" t="str" cm="1">
        <f t="array" aca="1" ref="V199" ca="1">VLOOKUP(INDIRECT("A"&amp;ROW()), 'Recent Changes'!A:H, 8, FALSE)</f>
        <v>2023-11-03T21:01:13Z</v>
      </c>
    </row>
    <row r="200" spans="1:22" x14ac:dyDescent="0.25">
      <c r="A200">
        <v>16672660</v>
      </c>
      <c r="B200" t="s">
        <v>433</v>
      </c>
      <c r="C200">
        <v>66</v>
      </c>
      <c r="G200" t="s" cm="1">
        <v>442</v>
      </c>
      <c r="H200">
        <v>45233</v>
      </c>
      <c r="I200" t="s">
        <v>15</v>
      </c>
      <c r="J200" t="s">
        <v>22</v>
      </c>
      <c r="K200" t="s">
        <v>44</v>
      </c>
      <c r="L200" t="s">
        <v>55</v>
      </c>
      <c r="M200" t="s">
        <v>76</v>
      </c>
      <c r="N200" t="s">
        <v>1715</v>
      </c>
      <c r="O200" t="s">
        <v>431</v>
      </c>
      <c r="P200" t="e" cm="1">
        <f t="array" aca="1" ref="P200" ca="1">VLOOKUP(INDIRECT("A"&amp;ROW()), 'Recent Changes'!A:G, 2, FALSE)</f>
        <v>#N/A</v>
      </c>
      <c r="Q200" t="e" cm="1">
        <f t="array" aca="1" ref="Q200" ca="1">VLOOKUP(INDIRECT("A"&amp;ROW()), 'Recent Changes'!A:G, 3, FALSE)</f>
        <v>#N/A</v>
      </c>
      <c r="R200" t="e" cm="1">
        <f t="array" aca="1" ref="R200" ca="1">VLOOKUP(INDIRECT("A"&amp;ROW()), 'Recent Changes'!A:G, 4, FALSE)</f>
        <v>#N/A</v>
      </c>
      <c r="S200" t="e" cm="1">
        <f t="array" aca="1" ref="S200" ca="1">VLOOKUP(INDIRECT("A"&amp;ROW()), 'Recent Changes'!A:G, 5, FALSE)</f>
        <v>#N/A</v>
      </c>
      <c r="T200" t="e" cm="1">
        <f t="array" aca="1" ref="T200" ca="1">VLOOKUP(INDIRECT("A"&amp;ROW()), 'Recent Changes'!A:G, 6, FALSE)</f>
        <v>#N/A</v>
      </c>
      <c r="U200" t="e" cm="1">
        <f t="array" aca="1" ref="U200" ca="1">VLOOKUP(INDIRECT("A"&amp;ROW()), 'Recent Changes'!A:G, 7, FALSE)</f>
        <v>#N/A</v>
      </c>
      <c r="V200" t="e" cm="1">
        <f t="array" aca="1" ref="V200" ca="1">VLOOKUP(INDIRECT("A"&amp;ROW()), 'Recent Changes'!A:H, 8, FALSE)</f>
        <v>#N/A</v>
      </c>
    </row>
    <row r="201" spans="1:22" x14ac:dyDescent="0.25">
      <c r="A201">
        <v>16834202</v>
      </c>
      <c r="B201" t="s" cm="1">
        <v>430</v>
      </c>
      <c r="C201">
        <v>66</v>
      </c>
      <c r="G201" t="s" cm="1">
        <v>442</v>
      </c>
      <c r="H201" t="s">
        <v>14</v>
      </c>
      <c r="I201" t="s">
        <v>14</v>
      </c>
      <c r="J201" t="s">
        <v>26</v>
      </c>
      <c r="K201" t="s">
        <v>43</v>
      </c>
      <c r="L201" t="s">
        <v>1483</v>
      </c>
      <c r="M201" t="s">
        <v>78</v>
      </c>
      <c r="N201" t="s">
        <v>83</v>
      </c>
      <c r="P201" t="str" cm="1">
        <f t="array" aca="1" ref="P201" ca="1">VLOOKUP(INDIRECT("A"&amp;ROW()), 'Recent Changes'!A:G, 2, FALSE)</f>
        <v>NULL</v>
      </c>
      <c r="Q201" t="str" cm="1">
        <f t="array" aca="1" ref="Q201" ca="1">VLOOKUP(INDIRECT("A"&amp;ROW()), 'Recent Changes'!A:G, 3, FALSE)</f>
        <v>NULL</v>
      </c>
      <c r="R201" t="str" cm="1">
        <f t="array" aca="1" ref="R201" ca="1">VLOOKUP(INDIRECT("A"&amp;ROW()), 'Recent Changes'!A:G, 4, FALSE)</f>
        <v>NULL</v>
      </c>
      <c r="S201" t="str" cm="1">
        <f t="array" aca="1" ref="S201" ca="1">VLOOKUP(INDIRECT("A"&amp;ROW()), 'Recent Changes'!A:G, 5, FALSE)</f>
        <v>2023-11-03T15:35:24Z</v>
      </c>
      <c r="T201" t="str" cm="1">
        <f t="array" aca="1" ref="T201" ca="1">VLOOKUP(INDIRECT("A"&amp;ROW()), 'Recent Changes'!A:G, 6, FALSE)</f>
        <v>NULL</v>
      </c>
      <c r="U201" t="str" cm="1">
        <f t="array" aca="1" ref="U201" ca="1">VLOOKUP(INDIRECT("A"&amp;ROW()), 'Recent Changes'!A:G, 7, FALSE)</f>
        <v>2023-07-14T00:28:02Z</v>
      </c>
      <c r="V201" t="str" cm="1">
        <f t="array" aca="1" ref="V201" ca="1">VLOOKUP(INDIRECT("A"&amp;ROW()), 'Recent Changes'!A:H, 8, FALSE)</f>
        <v>2023-11-03T16:09:45Z</v>
      </c>
    </row>
    <row r="202" spans="1:22" x14ac:dyDescent="0.25">
      <c r="A202">
        <v>17389425</v>
      </c>
      <c r="B202" t="s" cm="1">
        <v>430</v>
      </c>
      <c r="C202">
        <v>66</v>
      </c>
      <c r="G202" t="e" cm="1">
        <v>#N/A</v>
      </c>
      <c r="H202" t="s">
        <v>14</v>
      </c>
      <c r="I202" t="s">
        <v>14</v>
      </c>
      <c r="J202" t="s">
        <v>18</v>
      </c>
      <c r="K202" t="s">
        <v>51</v>
      </c>
      <c r="L202" t="s">
        <v>395</v>
      </c>
      <c r="M202" t="s">
        <v>76</v>
      </c>
      <c r="N202" t="s">
        <v>83</v>
      </c>
      <c r="P202" t="str" cm="1">
        <f t="array" aca="1" ref="P202" ca="1">VLOOKUP(INDIRECT("A"&amp;ROW()), 'Recent Changes'!A:G, 2, FALSE)</f>
        <v>NULL</v>
      </c>
      <c r="Q202" t="str" cm="1">
        <f t="array" aca="1" ref="Q202" ca="1">VLOOKUP(INDIRECT("A"&amp;ROW()), 'Recent Changes'!A:G, 3, FALSE)</f>
        <v>NULL</v>
      </c>
      <c r="R202" t="str" cm="1">
        <f t="array" aca="1" ref="R202" ca="1">VLOOKUP(INDIRECT("A"&amp;ROW()), 'Recent Changes'!A:G, 4, FALSE)</f>
        <v>NULL</v>
      </c>
      <c r="S202" t="str" cm="1">
        <f t="array" aca="1" ref="S202" ca="1">VLOOKUP(INDIRECT("A"&amp;ROW()), 'Recent Changes'!A:G, 5, FALSE)</f>
        <v>2023-12-28T21:23:04Z</v>
      </c>
      <c r="T202" t="str" cm="1">
        <f t="array" aca="1" ref="T202" ca="1">VLOOKUP(INDIRECT("A"&amp;ROW()), 'Recent Changes'!A:G, 6, FALSE)</f>
        <v>NULL</v>
      </c>
      <c r="U202" t="str" cm="1">
        <f t="array" aca="1" ref="U202" ca="1">VLOOKUP(INDIRECT("A"&amp;ROW()), 'Recent Changes'!A:G, 7, FALSE)</f>
        <v>2023-12-07T06:04:10Z</v>
      </c>
      <c r="V202" t="str" cm="1">
        <f t="array" aca="1" ref="V202" ca="1">VLOOKUP(INDIRECT("A"&amp;ROW()), 'Recent Changes'!A:H, 8, FALSE)</f>
        <v>2023-12-29T07:26:34Z</v>
      </c>
    </row>
    <row r="203" spans="1:22" x14ac:dyDescent="0.25">
      <c r="A203">
        <v>17391245</v>
      </c>
      <c r="B203" t="s">
        <v>430</v>
      </c>
      <c r="C203">
        <v>66</v>
      </c>
      <c r="G203" t="e" cm="1">
        <v>#N/A</v>
      </c>
      <c r="H203" t="s">
        <v>14</v>
      </c>
      <c r="I203" t="s">
        <v>593</v>
      </c>
      <c r="J203" t="s">
        <v>21</v>
      </c>
      <c r="K203" t="s">
        <v>52</v>
      </c>
      <c r="L203" t="s">
        <v>396</v>
      </c>
      <c r="M203" t="s">
        <v>76</v>
      </c>
      <c r="N203" t="s">
        <v>83</v>
      </c>
      <c r="P203" t="str" cm="1">
        <f t="array" aca="1" ref="P203" ca="1">VLOOKUP(INDIRECT("A"&amp;ROW()), 'Recent Changes'!A:G, 2, FALSE)</f>
        <v>NULL</v>
      </c>
      <c r="Q203" t="str" cm="1">
        <f t="array" aca="1" ref="Q203" ca="1">VLOOKUP(INDIRECT("A"&amp;ROW()), 'Recent Changes'!A:G, 3, FALSE)</f>
        <v>NULL</v>
      </c>
      <c r="R203" t="str" cm="1">
        <f t="array" aca="1" ref="R203" ca="1">VLOOKUP(INDIRECT("A"&amp;ROW()), 'Recent Changes'!A:G, 4, FALSE)</f>
        <v>NULL</v>
      </c>
      <c r="S203" t="str" cm="1">
        <f t="array" aca="1" ref="S203" ca="1">VLOOKUP(INDIRECT("A"&amp;ROW()), 'Recent Changes'!A:G, 5, FALSE)</f>
        <v>NULL</v>
      </c>
      <c r="T203" t="str" cm="1">
        <f t="array" aca="1" ref="T203" ca="1">VLOOKUP(INDIRECT("A"&amp;ROW()), 'Recent Changes'!A:G, 6, FALSE)</f>
        <v>NULL</v>
      </c>
      <c r="U203" t="str" cm="1">
        <f t="array" aca="1" ref="U203" ca="1">VLOOKUP(INDIRECT("A"&amp;ROW()), 'Recent Changes'!A:G, 7, FALSE)</f>
        <v>2023-12-20T16:14:27Z</v>
      </c>
      <c r="V203" t="str" cm="1">
        <f t="array" aca="1" ref="V203" ca="1">VLOOKUP(INDIRECT("A"&amp;ROW()), 'Recent Changes'!A:H, 8, FALSE)</f>
        <v>2023-12-20T21:31:18Z</v>
      </c>
    </row>
    <row r="204" spans="1:22" x14ac:dyDescent="0.25">
      <c r="A204">
        <v>17395798</v>
      </c>
      <c r="B204" t="s" cm="1">
        <v>430</v>
      </c>
      <c r="C204">
        <v>65</v>
      </c>
      <c r="G204" t="s" cm="1">
        <v>442</v>
      </c>
      <c r="H204" t="s">
        <v>14</v>
      </c>
      <c r="I204" t="s">
        <v>379</v>
      </c>
      <c r="J204" t="s">
        <v>30</v>
      </c>
      <c r="K204" t="s">
        <v>52</v>
      </c>
      <c r="L204" t="s">
        <v>74</v>
      </c>
      <c r="M204" t="s">
        <v>76</v>
      </c>
      <c r="N204" t="s">
        <v>83</v>
      </c>
      <c r="P204" t="str" cm="1">
        <f t="array" aca="1" ref="P204" ca="1">VLOOKUP(INDIRECT("A"&amp;ROW()), 'Recent Changes'!A:G, 2, FALSE)</f>
        <v>NULL</v>
      </c>
      <c r="Q204" t="str" cm="1">
        <f t="array" aca="1" ref="Q204" ca="1">VLOOKUP(INDIRECT("A"&amp;ROW()), 'Recent Changes'!A:G, 3, FALSE)</f>
        <v>NULL</v>
      </c>
      <c r="R204" t="str" cm="1">
        <f t="array" aca="1" ref="R204" ca="1">VLOOKUP(INDIRECT("A"&amp;ROW()), 'Recent Changes'!A:G, 4, FALSE)</f>
        <v>NULL</v>
      </c>
      <c r="S204" t="str" cm="1">
        <f t="array" aca="1" ref="S204" ca="1">VLOOKUP(INDIRECT("A"&amp;ROW()), 'Recent Changes'!A:G, 5, FALSE)</f>
        <v>2023-11-30T17:02:54Z</v>
      </c>
      <c r="T204" t="str" cm="1">
        <f t="array" aca="1" ref="T204" ca="1">VLOOKUP(INDIRECT("A"&amp;ROW()), 'Recent Changes'!A:G, 6, FALSE)</f>
        <v>NULL</v>
      </c>
      <c r="U204" t="str" cm="1">
        <f t="array" aca="1" ref="U204" ca="1">VLOOKUP(INDIRECT("A"&amp;ROW()), 'Recent Changes'!A:G, 7, FALSE)</f>
        <v>2023-12-01T13:14:37Z</v>
      </c>
      <c r="V204" t="str" cm="1">
        <f t="array" aca="1" ref="V204" ca="1">VLOOKUP(INDIRECT("A"&amp;ROW()), 'Recent Changes'!A:H, 8, FALSE)</f>
        <v>2023-11-30T21:52:29Z</v>
      </c>
    </row>
    <row r="205" spans="1:22" x14ac:dyDescent="0.25">
      <c r="A205">
        <v>17396068</v>
      </c>
      <c r="B205" t="s" cm="1">
        <v>433</v>
      </c>
      <c r="C205">
        <v>65</v>
      </c>
      <c r="G205" t="s" cm="1">
        <v>442</v>
      </c>
      <c r="H205" t="s">
        <v>14</v>
      </c>
      <c r="I205" t="s">
        <v>14</v>
      </c>
      <c r="J205" t="s">
        <v>26</v>
      </c>
      <c r="K205" t="s">
        <v>43</v>
      </c>
      <c r="L205" t="s">
        <v>762</v>
      </c>
      <c r="M205" t="s">
        <v>544</v>
      </c>
      <c r="N205" t="s">
        <v>83</v>
      </c>
      <c r="P205" t="str" cm="1">
        <f t="array" aca="1" ref="P205" ca="1">VLOOKUP(INDIRECT("A"&amp;ROW()), 'Recent Changes'!A:G, 2, FALSE)</f>
        <v>2023-11-17T15:53:22Z</v>
      </c>
      <c r="Q205" t="str" cm="1">
        <f t="array" aca="1" ref="Q205" ca="1">VLOOKUP(INDIRECT("A"&amp;ROW()), 'Recent Changes'!A:G, 3, FALSE)</f>
        <v>NULL</v>
      </c>
      <c r="R205" t="str" cm="1">
        <f t="array" aca="1" ref="R205" ca="1">VLOOKUP(INDIRECT("A"&amp;ROW()), 'Recent Changes'!A:G, 4, FALSE)</f>
        <v>NULL</v>
      </c>
      <c r="S205" t="str" cm="1">
        <f t="array" aca="1" ref="S205" ca="1">VLOOKUP(INDIRECT("A"&amp;ROW()), 'Recent Changes'!A:G, 5, FALSE)</f>
        <v>2023-11-17T15:52:22Z</v>
      </c>
      <c r="T205" t="str" cm="1">
        <f t="array" aca="1" ref="T205" ca="1">VLOOKUP(INDIRECT("A"&amp;ROW()), 'Recent Changes'!A:G, 6, FALSE)</f>
        <v>NULL</v>
      </c>
      <c r="U205" t="str" cm="1">
        <f t="array" aca="1" ref="U205" ca="1">VLOOKUP(INDIRECT("A"&amp;ROW()), 'Recent Changes'!A:G, 7, FALSE)</f>
        <v>2023-11-23T07:06:44Z</v>
      </c>
      <c r="V205" t="str" cm="1">
        <f t="array" aca="1" ref="V205" ca="1">VLOOKUP(INDIRECT("A"&amp;ROW()), 'Recent Changes'!A:H, 8, FALSE)</f>
        <v>2023-11-17T21:01:55Z</v>
      </c>
    </row>
    <row r="206" spans="1:22" x14ac:dyDescent="0.25">
      <c r="A206">
        <v>14900087</v>
      </c>
      <c r="B206" t="s" cm="1">
        <v>430</v>
      </c>
      <c r="C206">
        <v>63</v>
      </c>
      <c r="G206" t="s" cm="1">
        <v>442</v>
      </c>
      <c r="H206" t="s">
        <v>14</v>
      </c>
      <c r="I206" t="s">
        <v>14</v>
      </c>
      <c r="J206" t="s">
        <v>30</v>
      </c>
      <c r="K206" t="s">
        <v>389</v>
      </c>
      <c r="L206" t="s">
        <v>2107</v>
      </c>
      <c r="M206" t="s">
        <v>78</v>
      </c>
      <c r="N206" t="s">
        <v>83</v>
      </c>
      <c r="P206" t="str" cm="1">
        <f t="array" aca="1" ref="P206" ca="1">VLOOKUP(INDIRECT("A"&amp;ROW()), 'Recent Changes'!A:G, 2, FALSE)</f>
        <v>NULL</v>
      </c>
      <c r="Q206" t="str" cm="1">
        <f t="array" aca="1" ref="Q206" ca="1">VLOOKUP(INDIRECT("A"&amp;ROW()), 'Recent Changes'!A:G, 3, FALSE)</f>
        <v>NULL</v>
      </c>
      <c r="R206" t="str" cm="1">
        <f t="array" aca="1" ref="R206" ca="1">VLOOKUP(INDIRECT("A"&amp;ROW()), 'Recent Changes'!A:G, 4, FALSE)</f>
        <v>NULL</v>
      </c>
      <c r="S206" t="str" cm="1">
        <f t="array" aca="1" ref="S206" ca="1">VLOOKUP(INDIRECT("A"&amp;ROW()), 'Recent Changes'!A:G, 5, FALSE)</f>
        <v>2023-11-06T19:34:11Z</v>
      </c>
      <c r="T206" t="str" cm="1">
        <f t="array" aca="1" ref="T206" ca="1">VLOOKUP(INDIRECT("A"&amp;ROW()), 'Recent Changes'!A:G, 6, FALSE)</f>
        <v>NULL</v>
      </c>
      <c r="U206" t="str" cm="1">
        <f t="array" aca="1" ref="U206" ca="1">VLOOKUP(INDIRECT("A"&amp;ROW()), 'Recent Changes'!A:G, 7, FALSE)</f>
        <v>NULL</v>
      </c>
      <c r="V206" t="str" cm="1">
        <f t="array" aca="1" ref="V206" ca="1">VLOOKUP(INDIRECT("A"&amp;ROW()), 'Recent Changes'!A:H, 8, FALSE)</f>
        <v>2023-11-06T21:13:59Z</v>
      </c>
    </row>
    <row r="207" spans="1:22" x14ac:dyDescent="0.25">
      <c r="A207">
        <v>14905042</v>
      </c>
      <c r="B207" t="s" cm="1">
        <v>433</v>
      </c>
      <c r="C207">
        <v>63</v>
      </c>
      <c r="G207" t="s" cm="1">
        <v>442</v>
      </c>
      <c r="H207" t="s">
        <v>14</v>
      </c>
      <c r="I207" t="s">
        <v>14</v>
      </c>
      <c r="J207" t="s">
        <v>26</v>
      </c>
      <c r="K207" t="s">
        <v>389</v>
      </c>
      <c r="L207" t="s">
        <v>2108</v>
      </c>
      <c r="M207" t="s">
        <v>78</v>
      </c>
      <c r="N207" t="s">
        <v>83</v>
      </c>
      <c r="P207" t="str" cm="1">
        <f t="array" aca="1" ref="P207" ca="1">VLOOKUP(INDIRECT("A"&amp;ROW()), 'Recent Changes'!A:G, 2, FALSE)</f>
        <v>2023-11-06T20:01:08Z</v>
      </c>
      <c r="Q207" t="str" cm="1">
        <f t="array" aca="1" ref="Q207" ca="1">VLOOKUP(INDIRECT("A"&amp;ROW()), 'Recent Changes'!A:G, 3, FALSE)</f>
        <v>NULL</v>
      </c>
      <c r="R207" t="str" cm="1">
        <f t="array" aca="1" ref="R207" ca="1">VLOOKUP(INDIRECT("A"&amp;ROW()), 'Recent Changes'!A:G, 4, FALSE)</f>
        <v>NULL</v>
      </c>
      <c r="S207" t="str" cm="1">
        <f t="array" aca="1" ref="S207" ca="1">VLOOKUP(INDIRECT("A"&amp;ROW()), 'Recent Changes'!A:G, 5, FALSE)</f>
        <v>2023-11-06T20:03:07Z</v>
      </c>
      <c r="T207" t="str" cm="1">
        <f t="array" aca="1" ref="T207" ca="1">VLOOKUP(INDIRECT("A"&amp;ROW()), 'Recent Changes'!A:G, 6, FALSE)</f>
        <v>NULL</v>
      </c>
      <c r="U207" t="str" cm="1">
        <f t="array" aca="1" ref="U207" ca="1">VLOOKUP(INDIRECT("A"&amp;ROW()), 'Recent Changes'!A:G, 7, FALSE)</f>
        <v>NULL</v>
      </c>
      <c r="V207" t="str" cm="1">
        <f t="array" aca="1" ref="V207" ca="1">VLOOKUP(INDIRECT("A"&amp;ROW()), 'Recent Changes'!A:H, 8, FALSE)</f>
        <v>2023-11-06T21:07:06Z</v>
      </c>
    </row>
    <row r="208" spans="1:22" x14ac:dyDescent="0.25">
      <c r="A208">
        <v>17401721</v>
      </c>
      <c r="B208" t="s">
        <v>433</v>
      </c>
      <c r="C208">
        <v>63</v>
      </c>
      <c r="G208" t="e" cm="1">
        <v>#N/A</v>
      </c>
      <c r="H208">
        <v>45295</v>
      </c>
      <c r="I208" t="s">
        <v>15</v>
      </c>
      <c r="J208" t="s">
        <v>30</v>
      </c>
      <c r="K208" t="s">
        <v>1684</v>
      </c>
      <c r="L208" t="s">
        <v>1696</v>
      </c>
      <c r="M208" t="s">
        <v>76</v>
      </c>
      <c r="N208" t="s">
        <v>750</v>
      </c>
      <c r="O208" t="s">
        <v>431</v>
      </c>
      <c r="P208" t="e" cm="1">
        <f t="array" aca="1" ref="P208" ca="1">VLOOKUP(INDIRECT("A"&amp;ROW()), 'Recent Changes'!A:G, 2, FALSE)</f>
        <v>#N/A</v>
      </c>
      <c r="Q208" t="e" cm="1">
        <f t="array" aca="1" ref="Q208" ca="1">VLOOKUP(INDIRECT("A"&amp;ROW()), 'Recent Changes'!A:G, 3, FALSE)</f>
        <v>#N/A</v>
      </c>
      <c r="R208" t="e" cm="1">
        <f t="array" aca="1" ref="R208" ca="1">VLOOKUP(INDIRECT("A"&amp;ROW()), 'Recent Changes'!A:G, 4, FALSE)</f>
        <v>#N/A</v>
      </c>
      <c r="S208" t="e" cm="1">
        <f t="array" aca="1" ref="S208" ca="1">VLOOKUP(INDIRECT("A"&amp;ROW()), 'Recent Changes'!A:G, 5, FALSE)</f>
        <v>#N/A</v>
      </c>
      <c r="T208" t="e" cm="1">
        <f t="array" aca="1" ref="T208" ca="1">VLOOKUP(INDIRECT("A"&amp;ROW()), 'Recent Changes'!A:G, 6, FALSE)</f>
        <v>#N/A</v>
      </c>
      <c r="U208" t="e" cm="1">
        <f t="array" aca="1" ref="U208" ca="1">VLOOKUP(INDIRECT("A"&amp;ROW()), 'Recent Changes'!A:G, 7, FALSE)</f>
        <v>#N/A</v>
      </c>
      <c r="V208" t="e" cm="1">
        <f t="array" aca="1" ref="V208" ca="1">VLOOKUP(INDIRECT("A"&amp;ROW()), 'Recent Changes'!A:H, 8, FALSE)</f>
        <v>#N/A</v>
      </c>
    </row>
    <row r="209" spans="1:22" x14ac:dyDescent="0.25">
      <c r="A209">
        <v>17403454</v>
      </c>
      <c r="B209" t="s" cm="1">
        <v>430</v>
      </c>
      <c r="C209">
        <v>62</v>
      </c>
      <c r="G209" t="s" cm="1">
        <v>442</v>
      </c>
      <c r="H209" t="s">
        <v>14</v>
      </c>
      <c r="I209" t="s">
        <v>14</v>
      </c>
      <c r="J209" t="s">
        <v>30</v>
      </c>
      <c r="K209" t="s">
        <v>45</v>
      </c>
      <c r="L209" t="s">
        <v>1689</v>
      </c>
      <c r="M209" t="s">
        <v>78</v>
      </c>
      <c r="N209" t="s">
        <v>83</v>
      </c>
      <c r="P209" t="str" cm="1">
        <f t="array" aca="1" ref="P209" ca="1">VLOOKUP(INDIRECT("A"&amp;ROW()), 'Recent Changes'!A:G, 2, FALSE)</f>
        <v>NULL</v>
      </c>
      <c r="Q209" t="str" cm="1">
        <f t="array" aca="1" ref="Q209" ca="1">VLOOKUP(INDIRECT("A"&amp;ROW()), 'Recent Changes'!A:G, 3, FALSE)</f>
        <v>NULL</v>
      </c>
      <c r="R209" t="str" cm="1">
        <f t="array" aca="1" ref="R209" ca="1">VLOOKUP(INDIRECT("A"&amp;ROW()), 'Recent Changes'!A:G, 4, FALSE)</f>
        <v>NULL</v>
      </c>
      <c r="S209" t="str" cm="1">
        <f t="array" aca="1" ref="S209" ca="1">VLOOKUP(INDIRECT("A"&amp;ROW()), 'Recent Changes'!A:G, 5, FALSE)</f>
        <v>2023-12-06T21:59:27Z</v>
      </c>
      <c r="T209" t="str" cm="1">
        <f t="array" aca="1" ref="T209" ca="1">VLOOKUP(INDIRECT("A"&amp;ROW()), 'Recent Changes'!A:G, 6, FALSE)</f>
        <v>NULL</v>
      </c>
      <c r="U209" t="str" cm="1">
        <f t="array" aca="1" ref="U209" ca="1">VLOOKUP(INDIRECT("A"&amp;ROW()), 'Recent Changes'!A:G, 7, FALSE)</f>
        <v>2023-12-06T22:03:24Z</v>
      </c>
      <c r="V209" t="str" cm="1">
        <f t="array" aca="1" ref="V209" ca="1">VLOOKUP(INDIRECT("A"&amp;ROW()), 'Recent Changes'!A:H, 8, FALSE)</f>
        <v>2023-12-07T07:18:58Z</v>
      </c>
    </row>
    <row r="210" spans="1:22" x14ac:dyDescent="0.25">
      <c r="A210">
        <v>17403455</v>
      </c>
      <c r="B210" t="s" cm="1">
        <v>430</v>
      </c>
      <c r="C210">
        <v>62</v>
      </c>
      <c r="G210" t="e" cm="1">
        <v>#N/A</v>
      </c>
      <c r="H210" t="s">
        <v>14</v>
      </c>
      <c r="I210" t="s">
        <v>14</v>
      </c>
      <c r="J210" t="s">
        <v>18</v>
      </c>
      <c r="K210" t="s">
        <v>571</v>
      </c>
      <c r="L210" t="s">
        <v>2109</v>
      </c>
      <c r="M210" t="s">
        <v>76</v>
      </c>
      <c r="N210" t="s">
        <v>83</v>
      </c>
      <c r="P210" t="str" cm="1">
        <f t="array" aca="1" ref="P210" ca="1">VLOOKUP(INDIRECT("A"&amp;ROW()), 'Recent Changes'!A:G, 2, FALSE)</f>
        <v>NULL</v>
      </c>
      <c r="Q210" t="str" cm="1">
        <f t="array" aca="1" ref="Q210" ca="1">VLOOKUP(INDIRECT("A"&amp;ROW()), 'Recent Changes'!A:G, 3, FALSE)</f>
        <v>NULL</v>
      </c>
      <c r="R210" t="str" cm="1">
        <f t="array" aca="1" ref="R210" ca="1">VLOOKUP(INDIRECT("A"&amp;ROW()), 'Recent Changes'!A:G, 4, FALSE)</f>
        <v>NULL</v>
      </c>
      <c r="S210" t="str" cm="1">
        <f t="array" aca="1" ref="S210" ca="1">VLOOKUP(INDIRECT("A"&amp;ROW()), 'Recent Changes'!A:G, 5, FALSE)</f>
        <v>2023-12-20T23:06:57Z</v>
      </c>
      <c r="T210" t="str" cm="1">
        <f t="array" aca="1" ref="T210" ca="1">VLOOKUP(INDIRECT("A"&amp;ROW()), 'Recent Changes'!A:G, 6, FALSE)</f>
        <v>NULL</v>
      </c>
      <c r="U210" t="str" cm="1">
        <f t="array" aca="1" ref="U210" ca="1">VLOOKUP(INDIRECT("A"&amp;ROW()), 'Recent Changes'!A:G, 7, FALSE)</f>
        <v>NULL</v>
      </c>
      <c r="V210" t="str" cm="1">
        <f t="array" aca="1" ref="V210" ca="1">VLOOKUP(INDIRECT("A"&amp;ROW()), 'Recent Changes'!A:H, 8, FALSE)</f>
        <v>2023-12-21T07:37:44Z</v>
      </c>
    </row>
    <row r="211" spans="1:22" x14ac:dyDescent="0.25">
      <c r="A211">
        <v>17403668</v>
      </c>
      <c r="B211" t="s">
        <v>433</v>
      </c>
      <c r="C211">
        <v>62</v>
      </c>
      <c r="G211" t="e" cm="1">
        <v>#N/A</v>
      </c>
      <c r="H211">
        <v>45259</v>
      </c>
      <c r="I211" t="s">
        <v>15</v>
      </c>
      <c r="J211" t="s">
        <v>18</v>
      </c>
      <c r="K211" t="s">
        <v>49</v>
      </c>
      <c r="L211" t="s">
        <v>2110</v>
      </c>
      <c r="M211" t="s">
        <v>79</v>
      </c>
      <c r="N211" t="s">
        <v>426</v>
      </c>
      <c r="O211" t="s">
        <v>431</v>
      </c>
      <c r="P211" t="e" cm="1">
        <f t="array" aca="1" ref="P211" ca="1">VLOOKUP(INDIRECT("A"&amp;ROW()), 'Recent Changes'!A:G, 2, FALSE)</f>
        <v>#N/A</v>
      </c>
      <c r="Q211" t="e" cm="1">
        <f t="array" aca="1" ref="Q211" ca="1">VLOOKUP(INDIRECT("A"&amp;ROW()), 'Recent Changes'!A:G, 3, FALSE)</f>
        <v>#N/A</v>
      </c>
      <c r="R211" t="e" cm="1">
        <f t="array" aca="1" ref="R211" ca="1">VLOOKUP(INDIRECT("A"&amp;ROW()), 'Recent Changes'!A:G, 4, FALSE)</f>
        <v>#N/A</v>
      </c>
      <c r="S211" t="e" cm="1">
        <f t="array" aca="1" ref="S211" ca="1">VLOOKUP(INDIRECT("A"&amp;ROW()), 'Recent Changes'!A:G, 5, FALSE)</f>
        <v>#N/A</v>
      </c>
      <c r="T211" t="e" cm="1">
        <f t="array" aca="1" ref="T211" ca="1">VLOOKUP(INDIRECT("A"&amp;ROW()), 'Recent Changes'!A:G, 6, FALSE)</f>
        <v>#N/A</v>
      </c>
      <c r="U211" t="e" cm="1">
        <f t="array" aca="1" ref="U211" ca="1">VLOOKUP(INDIRECT("A"&amp;ROW()), 'Recent Changes'!A:G, 7, FALSE)</f>
        <v>#N/A</v>
      </c>
      <c r="V211" t="e" cm="1">
        <f t="array" aca="1" ref="V211" ca="1">VLOOKUP(INDIRECT("A"&amp;ROW()), 'Recent Changes'!A:H, 8, FALSE)</f>
        <v>#N/A</v>
      </c>
    </row>
    <row r="212" spans="1:22" x14ac:dyDescent="0.25">
      <c r="A212">
        <v>17404180</v>
      </c>
      <c r="B212" t="s" cm="1">
        <v>430</v>
      </c>
      <c r="C212">
        <v>62</v>
      </c>
      <c r="G212" t="e" cm="1">
        <v>#N/A</v>
      </c>
      <c r="H212" t="s">
        <v>14</v>
      </c>
      <c r="I212" t="s">
        <v>14</v>
      </c>
      <c r="J212" t="s">
        <v>30</v>
      </c>
      <c r="K212" t="s">
        <v>53</v>
      </c>
      <c r="L212" t="s">
        <v>63</v>
      </c>
      <c r="M212" t="s">
        <v>76</v>
      </c>
      <c r="N212" t="s">
        <v>83</v>
      </c>
      <c r="P212" t="str" cm="1">
        <f t="array" aca="1" ref="P212" ca="1">VLOOKUP(INDIRECT("A"&amp;ROW()), 'Recent Changes'!A:G, 2, FALSE)</f>
        <v>NULL</v>
      </c>
      <c r="Q212" t="str" cm="1">
        <f t="array" aca="1" ref="Q212" ca="1">VLOOKUP(INDIRECT("A"&amp;ROW()), 'Recent Changes'!A:G, 3, FALSE)</f>
        <v>NULL</v>
      </c>
      <c r="R212" t="str" cm="1">
        <f t="array" aca="1" ref="R212" ca="1">VLOOKUP(INDIRECT("A"&amp;ROW()), 'Recent Changes'!A:G, 4, FALSE)</f>
        <v>NULL</v>
      </c>
      <c r="S212" t="str" cm="1">
        <f t="array" aca="1" ref="S212" ca="1">VLOOKUP(INDIRECT("A"&amp;ROW()), 'Recent Changes'!A:G, 5, FALSE)</f>
        <v>2023-12-23T00:46:39Z</v>
      </c>
      <c r="T212" t="str" cm="1">
        <f t="array" aca="1" ref="T212" ca="1">VLOOKUP(INDIRECT("A"&amp;ROW()), 'Recent Changes'!A:G, 6, FALSE)</f>
        <v>NULL</v>
      </c>
      <c r="U212" t="str" cm="1">
        <f t="array" aca="1" ref="U212" ca="1">VLOOKUP(INDIRECT("A"&amp;ROW()), 'Recent Changes'!A:G, 7, FALSE)</f>
        <v>NULL</v>
      </c>
      <c r="V212" t="str" cm="1">
        <f t="array" aca="1" ref="V212" ca="1">VLOOKUP(INDIRECT("A"&amp;ROW()), 'Recent Changes'!A:H, 8, FALSE)</f>
        <v>2023-12-23T07:24:54Z</v>
      </c>
    </row>
    <row r="213" spans="1:22" x14ac:dyDescent="0.25">
      <c r="A213">
        <v>17406374</v>
      </c>
      <c r="B213" t="s">
        <v>433</v>
      </c>
      <c r="C213">
        <v>62</v>
      </c>
      <c r="G213" t="s" cm="1">
        <v>442</v>
      </c>
      <c r="H213">
        <v>45251</v>
      </c>
      <c r="I213" t="s">
        <v>15</v>
      </c>
      <c r="J213" t="s">
        <v>22</v>
      </c>
      <c r="K213" t="s">
        <v>44</v>
      </c>
      <c r="L213" t="s">
        <v>63</v>
      </c>
      <c r="M213" t="s">
        <v>76</v>
      </c>
      <c r="N213" t="s">
        <v>439</v>
      </c>
      <c r="O213" t="s">
        <v>431</v>
      </c>
      <c r="P213" t="e" cm="1">
        <f t="array" aca="1" ref="P213" ca="1">VLOOKUP(INDIRECT("A"&amp;ROW()), 'Recent Changes'!A:G, 2, FALSE)</f>
        <v>#N/A</v>
      </c>
      <c r="Q213" t="e" cm="1">
        <f t="array" aca="1" ref="Q213" ca="1">VLOOKUP(INDIRECT("A"&amp;ROW()), 'Recent Changes'!A:G, 3, FALSE)</f>
        <v>#N/A</v>
      </c>
      <c r="R213" t="e" cm="1">
        <f t="array" aca="1" ref="R213" ca="1">VLOOKUP(INDIRECT("A"&amp;ROW()), 'Recent Changes'!A:G, 4, FALSE)</f>
        <v>#N/A</v>
      </c>
      <c r="S213" t="e" cm="1">
        <f t="array" aca="1" ref="S213" ca="1">VLOOKUP(INDIRECT("A"&amp;ROW()), 'Recent Changes'!A:G, 5, FALSE)</f>
        <v>#N/A</v>
      </c>
      <c r="T213" t="e" cm="1">
        <f t="array" aca="1" ref="T213" ca="1">VLOOKUP(INDIRECT("A"&amp;ROW()), 'Recent Changes'!A:G, 6, FALSE)</f>
        <v>#N/A</v>
      </c>
      <c r="U213" t="e" cm="1">
        <f t="array" aca="1" ref="U213" ca="1">VLOOKUP(INDIRECT("A"&amp;ROW()), 'Recent Changes'!A:G, 7, FALSE)</f>
        <v>#N/A</v>
      </c>
      <c r="V213" t="e" cm="1">
        <f t="array" aca="1" ref="V213" ca="1">VLOOKUP(INDIRECT("A"&amp;ROW()), 'Recent Changes'!A:H, 8, FALSE)</f>
        <v>#N/A</v>
      </c>
    </row>
    <row r="214" spans="1:22" x14ac:dyDescent="0.25">
      <c r="A214">
        <v>17408148</v>
      </c>
      <c r="B214" t="s" cm="1">
        <v>433</v>
      </c>
      <c r="C214">
        <v>62</v>
      </c>
      <c r="G214" t="e" cm="1">
        <v>#N/A</v>
      </c>
      <c r="H214" t="s">
        <v>14</v>
      </c>
      <c r="I214" t="s">
        <v>14</v>
      </c>
      <c r="J214" t="s">
        <v>26</v>
      </c>
      <c r="K214" t="s">
        <v>53</v>
      </c>
      <c r="L214" t="s">
        <v>2111</v>
      </c>
      <c r="M214" t="s">
        <v>78</v>
      </c>
      <c r="N214" t="s">
        <v>83</v>
      </c>
      <c r="P214" t="str" cm="1">
        <f t="array" aca="1" ref="P214" ca="1">VLOOKUP(INDIRECT("A"&amp;ROW()), 'Recent Changes'!A:G, 2, FALSE)</f>
        <v>NULL</v>
      </c>
      <c r="Q214" t="str" cm="1">
        <f t="array" aca="1" ref="Q214" ca="1">VLOOKUP(INDIRECT("A"&amp;ROW()), 'Recent Changes'!A:G, 3, FALSE)</f>
        <v>NULL</v>
      </c>
      <c r="R214" t="str" cm="1">
        <f t="array" aca="1" ref="R214" ca="1">VLOOKUP(INDIRECT("A"&amp;ROW()), 'Recent Changes'!A:G, 4, FALSE)</f>
        <v>NULL</v>
      </c>
      <c r="S214" t="str" cm="1">
        <f t="array" aca="1" ref="S214" ca="1">VLOOKUP(INDIRECT("A"&amp;ROW()), 'Recent Changes'!A:G, 5, FALSE)</f>
        <v>2023-12-15T16:21:14Z</v>
      </c>
      <c r="T214" t="str" cm="1">
        <f t="array" aca="1" ref="T214" ca="1">VLOOKUP(INDIRECT("A"&amp;ROW()), 'Recent Changes'!A:G, 6, FALSE)</f>
        <v>NULL</v>
      </c>
      <c r="U214" t="str" cm="1">
        <f t="array" aca="1" ref="U214" ca="1">VLOOKUP(INDIRECT("A"&amp;ROW()), 'Recent Changes'!A:G, 7, FALSE)</f>
        <v>NULL</v>
      </c>
      <c r="V214" t="str" cm="1">
        <f t="array" aca="1" ref="V214" ca="1">VLOOKUP(INDIRECT("A"&amp;ROW()), 'Recent Changes'!A:H, 8, FALSE)</f>
        <v>2023-12-15T21:13:52Z</v>
      </c>
    </row>
    <row r="215" spans="1:22" x14ac:dyDescent="0.25">
      <c r="A215">
        <v>17409043</v>
      </c>
      <c r="B215" t="s" cm="1">
        <v>433</v>
      </c>
      <c r="C215">
        <v>62</v>
      </c>
      <c r="G215" t="e" cm="1">
        <v>#N/A</v>
      </c>
      <c r="H215" t="s">
        <v>14</v>
      </c>
      <c r="I215" t="s">
        <v>14</v>
      </c>
      <c r="J215" t="s">
        <v>30</v>
      </c>
      <c r="K215" t="s">
        <v>44</v>
      </c>
      <c r="L215" t="s">
        <v>2112</v>
      </c>
      <c r="M215" t="s">
        <v>78</v>
      </c>
      <c r="N215" t="s">
        <v>83</v>
      </c>
      <c r="P215" t="str" cm="1">
        <f t="array" aca="1" ref="P215" ca="1">VLOOKUP(INDIRECT("A"&amp;ROW()), 'Recent Changes'!A:G, 2, FALSE)</f>
        <v>NULL</v>
      </c>
      <c r="Q215" t="str" cm="1">
        <f t="array" aca="1" ref="Q215" ca="1">VLOOKUP(INDIRECT("A"&amp;ROW()), 'Recent Changes'!A:G, 3, FALSE)</f>
        <v>NULL</v>
      </c>
      <c r="R215" t="str" cm="1">
        <f t="array" aca="1" ref="R215" ca="1">VLOOKUP(INDIRECT("A"&amp;ROW()), 'Recent Changes'!A:G, 4, FALSE)</f>
        <v>NULL</v>
      </c>
      <c r="S215" t="str" cm="1">
        <f t="array" aca="1" ref="S215" ca="1">VLOOKUP(INDIRECT("A"&amp;ROW()), 'Recent Changes'!A:G, 5, FALSE)</f>
        <v>2024-01-04T14:40:19Z</v>
      </c>
      <c r="T215" t="str" cm="1">
        <f t="array" aca="1" ref="T215" ca="1">VLOOKUP(INDIRECT("A"&amp;ROW()), 'Recent Changes'!A:G, 6, FALSE)</f>
        <v>NULL</v>
      </c>
      <c r="U215" t="str" cm="1">
        <f t="array" aca="1" ref="U215" ca="1">VLOOKUP(INDIRECT("A"&amp;ROW()), 'Recent Changes'!A:G, 7, FALSE)</f>
        <v>NULL</v>
      </c>
      <c r="V215" t="str" cm="1">
        <f t="array" aca="1" ref="V215" ca="1">VLOOKUP(INDIRECT("A"&amp;ROW()), 'Recent Changes'!A:H, 8, FALSE)</f>
        <v>2024-01-04T16:06:26Z</v>
      </c>
    </row>
    <row r="216" spans="1:22" x14ac:dyDescent="0.25">
      <c r="A216">
        <v>17409181</v>
      </c>
      <c r="B216" t="s">
        <v>433</v>
      </c>
      <c r="C216">
        <v>62</v>
      </c>
      <c r="G216" t="s" cm="1">
        <v>442</v>
      </c>
      <c r="H216">
        <v>45266</v>
      </c>
      <c r="I216" t="s">
        <v>15</v>
      </c>
      <c r="J216" t="s">
        <v>30</v>
      </c>
      <c r="K216" t="s">
        <v>44</v>
      </c>
      <c r="L216" t="s">
        <v>1346</v>
      </c>
      <c r="M216" t="s">
        <v>78</v>
      </c>
      <c r="N216" t="s">
        <v>1716</v>
      </c>
      <c r="O216" t="s">
        <v>431</v>
      </c>
      <c r="P216" t="e" cm="1">
        <f t="array" aca="1" ref="P216" ca="1">VLOOKUP(INDIRECT("A"&amp;ROW()), 'Recent Changes'!A:G, 2, FALSE)</f>
        <v>#N/A</v>
      </c>
      <c r="Q216" t="e" cm="1">
        <f t="array" aca="1" ref="Q216" ca="1">VLOOKUP(INDIRECT("A"&amp;ROW()), 'Recent Changes'!A:G, 3, FALSE)</f>
        <v>#N/A</v>
      </c>
      <c r="R216" t="e" cm="1">
        <f t="array" aca="1" ref="R216" ca="1">VLOOKUP(INDIRECT("A"&amp;ROW()), 'Recent Changes'!A:G, 4, FALSE)</f>
        <v>#N/A</v>
      </c>
      <c r="S216" t="e" cm="1">
        <f t="array" aca="1" ref="S216" ca="1">VLOOKUP(INDIRECT("A"&amp;ROW()), 'Recent Changes'!A:G, 5, FALSE)</f>
        <v>#N/A</v>
      </c>
      <c r="T216" t="e" cm="1">
        <f t="array" aca="1" ref="T216" ca="1">VLOOKUP(INDIRECT("A"&amp;ROW()), 'Recent Changes'!A:G, 6, FALSE)</f>
        <v>#N/A</v>
      </c>
      <c r="U216" t="e" cm="1">
        <f t="array" aca="1" ref="U216" ca="1">VLOOKUP(INDIRECT("A"&amp;ROW()), 'Recent Changes'!A:G, 7, FALSE)</f>
        <v>#N/A</v>
      </c>
      <c r="V216" t="e" cm="1">
        <f t="array" aca="1" ref="V216" ca="1">VLOOKUP(INDIRECT("A"&amp;ROW()), 'Recent Changes'!A:H, 8, FALSE)</f>
        <v>#N/A</v>
      </c>
    </row>
    <row r="217" spans="1:22" x14ac:dyDescent="0.25">
      <c r="A217">
        <v>16303902</v>
      </c>
      <c r="B217" t="s">
        <v>433</v>
      </c>
      <c r="C217">
        <v>61</v>
      </c>
      <c r="G217" t="s" cm="1">
        <v>442</v>
      </c>
      <c r="H217">
        <v>45258</v>
      </c>
      <c r="I217" t="s">
        <v>15</v>
      </c>
      <c r="J217" t="s">
        <v>32</v>
      </c>
      <c r="K217" t="s">
        <v>44</v>
      </c>
      <c r="L217" t="s">
        <v>2113</v>
      </c>
      <c r="M217" t="s">
        <v>78</v>
      </c>
      <c r="N217" t="s">
        <v>2244</v>
      </c>
      <c r="O217" t="s">
        <v>431</v>
      </c>
      <c r="P217" t="e" cm="1">
        <f t="array" aca="1" ref="P217" ca="1">VLOOKUP(INDIRECT("A"&amp;ROW()), 'Recent Changes'!A:G, 2, FALSE)</f>
        <v>#N/A</v>
      </c>
      <c r="Q217" t="e" cm="1">
        <f t="array" aca="1" ref="Q217" ca="1">VLOOKUP(INDIRECT("A"&amp;ROW()), 'Recent Changes'!A:G, 3, FALSE)</f>
        <v>#N/A</v>
      </c>
      <c r="R217" t="e" cm="1">
        <f t="array" aca="1" ref="R217" ca="1">VLOOKUP(INDIRECT("A"&amp;ROW()), 'Recent Changes'!A:G, 4, FALSE)</f>
        <v>#N/A</v>
      </c>
      <c r="S217" t="e" cm="1">
        <f t="array" aca="1" ref="S217" ca="1">VLOOKUP(INDIRECT("A"&amp;ROW()), 'Recent Changes'!A:G, 5, FALSE)</f>
        <v>#N/A</v>
      </c>
      <c r="T217" t="e" cm="1">
        <f t="array" aca="1" ref="T217" ca="1">VLOOKUP(INDIRECT("A"&amp;ROW()), 'Recent Changes'!A:G, 6, FALSE)</f>
        <v>#N/A</v>
      </c>
      <c r="U217" t="e" cm="1">
        <f t="array" aca="1" ref="U217" ca="1">VLOOKUP(INDIRECT("A"&amp;ROW()), 'Recent Changes'!A:G, 7, FALSE)</f>
        <v>#N/A</v>
      </c>
      <c r="V217" t="e" cm="1">
        <f t="array" aca="1" ref="V217" ca="1">VLOOKUP(INDIRECT("A"&amp;ROW()), 'Recent Changes'!A:H, 8, FALSE)</f>
        <v>#N/A</v>
      </c>
    </row>
    <row r="218" spans="1:22" x14ac:dyDescent="0.25">
      <c r="A218">
        <v>17088420</v>
      </c>
      <c r="B218" t="s">
        <v>433</v>
      </c>
      <c r="C218">
        <v>61</v>
      </c>
      <c r="G218" t="s" cm="1">
        <v>442</v>
      </c>
      <c r="H218">
        <v>45264</v>
      </c>
      <c r="I218" t="s">
        <v>15</v>
      </c>
      <c r="J218" t="s">
        <v>30</v>
      </c>
      <c r="K218" t="s">
        <v>44</v>
      </c>
      <c r="L218" t="s">
        <v>2114</v>
      </c>
      <c r="M218" t="s">
        <v>76</v>
      </c>
      <c r="N218" t="s">
        <v>419</v>
      </c>
      <c r="O218" t="s">
        <v>431</v>
      </c>
      <c r="P218" t="e" cm="1">
        <f t="array" aca="1" ref="P218" ca="1">VLOOKUP(INDIRECT("A"&amp;ROW()), 'Recent Changes'!A:G, 2, FALSE)</f>
        <v>#N/A</v>
      </c>
      <c r="Q218" t="e" cm="1">
        <f t="array" aca="1" ref="Q218" ca="1">VLOOKUP(INDIRECT("A"&amp;ROW()), 'Recent Changes'!A:G, 3, FALSE)</f>
        <v>#N/A</v>
      </c>
      <c r="R218" t="e" cm="1">
        <f t="array" aca="1" ref="R218" ca="1">VLOOKUP(INDIRECT("A"&amp;ROW()), 'Recent Changes'!A:G, 4, FALSE)</f>
        <v>#N/A</v>
      </c>
      <c r="S218" t="e" cm="1">
        <f t="array" aca="1" ref="S218" ca="1">VLOOKUP(INDIRECT("A"&amp;ROW()), 'Recent Changes'!A:G, 5, FALSE)</f>
        <v>#N/A</v>
      </c>
      <c r="T218" t="e" cm="1">
        <f t="array" aca="1" ref="T218" ca="1">VLOOKUP(INDIRECT("A"&amp;ROW()), 'Recent Changes'!A:G, 6, FALSE)</f>
        <v>#N/A</v>
      </c>
      <c r="U218" t="e" cm="1">
        <f t="array" aca="1" ref="U218" ca="1">VLOOKUP(INDIRECT("A"&amp;ROW()), 'Recent Changes'!A:G, 7, FALSE)</f>
        <v>#N/A</v>
      </c>
      <c r="V218" t="e" cm="1">
        <f t="array" aca="1" ref="V218" ca="1">VLOOKUP(INDIRECT("A"&amp;ROW()), 'Recent Changes'!A:H, 8, FALSE)</f>
        <v>#N/A</v>
      </c>
    </row>
    <row r="219" spans="1:22" x14ac:dyDescent="0.25">
      <c r="A219">
        <v>17410894</v>
      </c>
      <c r="B219" t="s" cm="1">
        <v>430</v>
      </c>
      <c r="C219">
        <v>61</v>
      </c>
      <c r="G219" t="e" cm="1">
        <v>#N/A</v>
      </c>
      <c r="H219" t="s">
        <v>14</v>
      </c>
      <c r="I219" t="s">
        <v>14</v>
      </c>
      <c r="J219" t="s">
        <v>30</v>
      </c>
      <c r="K219" t="s">
        <v>52</v>
      </c>
      <c r="L219" t="s">
        <v>58</v>
      </c>
      <c r="M219" t="s">
        <v>76</v>
      </c>
      <c r="N219" t="s">
        <v>83</v>
      </c>
      <c r="P219" t="str" cm="1">
        <f t="array" aca="1" ref="P219" ca="1">VLOOKUP(INDIRECT("A"&amp;ROW()), 'Recent Changes'!A:G, 2, FALSE)</f>
        <v>NULL</v>
      </c>
      <c r="Q219" t="str" cm="1">
        <f t="array" aca="1" ref="Q219" ca="1">VLOOKUP(INDIRECT("A"&amp;ROW()), 'Recent Changes'!A:G, 3, FALSE)</f>
        <v>NULL</v>
      </c>
      <c r="R219" t="str" cm="1">
        <f t="array" aca="1" ref="R219" ca="1">VLOOKUP(INDIRECT("A"&amp;ROW()), 'Recent Changes'!A:G, 4, FALSE)</f>
        <v>NULL</v>
      </c>
      <c r="S219" t="str" cm="1">
        <f t="array" aca="1" ref="S219" ca="1">VLOOKUP(INDIRECT("A"&amp;ROW()), 'Recent Changes'!A:G, 5, FALSE)</f>
        <v>2023-12-15T18:02:42Z</v>
      </c>
      <c r="T219" t="str" cm="1">
        <f t="array" aca="1" ref="T219" ca="1">VLOOKUP(INDIRECT("A"&amp;ROW()), 'Recent Changes'!A:G, 6, FALSE)</f>
        <v>NULL</v>
      </c>
      <c r="U219" t="str" cm="1">
        <f t="array" aca="1" ref="U219" ca="1">VLOOKUP(INDIRECT("A"&amp;ROW()), 'Recent Changes'!A:G, 7, FALSE)</f>
        <v>2023-12-07T01:55:33Z</v>
      </c>
      <c r="V219" t="str" cm="1">
        <f t="array" aca="1" ref="V219" ca="1">VLOOKUP(INDIRECT("A"&amp;ROW()), 'Recent Changes'!A:H, 8, FALSE)</f>
        <v>2023-12-15T21:31:33Z</v>
      </c>
    </row>
    <row r="220" spans="1:22" x14ac:dyDescent="0.25">
      <c r="A220">
        <v>17411496</v>
      </c>
      <c r="B220" t="s" cm="1">
        <v>430</v>
      </c>
      <c r="C220">
        <v>61</v>
      </c>
      <c r="G220" t="e" cm="1">
        <v>#N/A</v>
      </c>
      <c r="H220" t="s">
        <v>14</v>
      </c>
      <c r="I220" t="s">
        <v>14</v>
      </c>
      <c r="J220" t="s">
        <v>30</v>
      </c>
      <c r="K220" t="s">
        <v>48</v>
      </c>
      <c r="L220" t="s">
        <v>58</v>
      </c>
      <c r="M220" t="s">
        <v>76</v>
      </c>
      <c r="N220" t="s">
        <v>83</v>
      </c>
      <c r="P220" t="str" cm="1">
        <f t="array" aca="1" ref="P220" ca="1">VLOOKUP(INDIRECT("A"&amp;ROW()), 'Recent Changes'!A:G, 2, FALSE)</f>
        <v>2023-12-13T17:49:23Z</v>
      </c>
      <c r="Q220" t="str" cm="1">
        <f t="array" aca="1" ref="Q220" ca="1">VLOOKUP(INDIRECT("A"&amp;ROW()), 'Recent Changes'!A:G, 3, FALSE)</f>
        <v>NULL</v>
      </c>
      <c r="R220" t="str" cm="1">
        <f t="array" aca="1" ref="R220" ca="1">VLOOKUP(INDIRECT("A"&amp;ROW()), 'Recent Changes'!A:G, 4, FALSE)</f>
        <v>NULL</v>
      </c>
      <c r="S220" t="str" cm="1">
        <f t="array" aca="1" ref="S220" ca="1">VLOOKUP(INDIRECT("A"&amp;ROW()), 'Recent Changes'!A:G, 5, FALSE)</f>
        <v>2023-12-13T17:48:39Z</v>
      </c>
      <c r="T220" t="str" cm="1">
        <f t="array" aca="1" ref="T220" ca="1">VLOOKUP(INDIRECT("A"&amp;ROW()), 'Recent Changes'!A:G, 6, FALSE)</f>
        <v>NULL</v>
      </c>
      <c r="U220" t="str" cm="1">
        <f t="array" aca="1" ref="U220" ca="1">VLOOKUP(INDIRECT("A"&amp;ROW()), 'Recent Changes'!A:G, 7, FALSE)</f>
        <v>2023-12-07T15:35:25Z</v>
      </c>
      <c r="V220" t="str" cm="1">
        <f t="array" aca="1" ref="V220" ca="1">VLOOKUP(INDIRECT("A"&amp;ROW()), 'Recent Changes'!A:H, 8, FALSE)</f>
        <v>2023-12-13T21:19:46Z</v>
      </c>
    </row>
    <row r="221" spans="1:22" x14ac:dyDescent="0.25">
      <c r="A221">
        <v>17413068</v>
      </c>
      <c r="B221" t="s">
        <v>433</v>
      </c>
      <c r="C221">
        <v>61</v>
      </c>
      <c r="G221" t="e" cm="1">
        <v>#N/A</v>
      </c>
      <c r="H221">
        <v>45295</v>
      </c>
      <c r="I221" t="s">
        <v>15</v>
      </c>
      <c r="J221" t="s">
        <v>26</v>
      </c>
      <c r="K221" t="s">
        <v>51</v>
      </c>
      <c r="L221" t="s">
        <v>2115</v>
      </c>
      <c r="M221" t="s">
        <v>78</v>
      </c>
      <c r="N221" t="s">
        <v>2247</v>
      </c>
      <c r="O221" t="s">
        <v>431</v>
      </c>
      <c r="P221" t="e" cm="1">
        <f t="array" aca="1" ref="P221" ca="1">VLOOKUP(INDIRECT("A"&amp;ROW()), 'Recent Changes'!A:G, 2, FALSE)</f>
        <v>#N/A</v>
      </c>
      <c r="Q221" t="e" cm="1">
        <f t="array" aca="1" ref="Q221" ca="1">VLOOKUP(INDIRECT("A"&amp;ROW()), 'Recent Changes'!A:G, 3, FALSE)</f>
        <v>#N/A</v>
      </c>
      <c r="R221" t="e" cm="1">
        <f t="array" aca="1" ref="R221" ca="1">VLOOKUP(INDIRECT("A"&amp;ROW()), 'Recent Changes'!A:G, 4, FALSE)</f>
        <v>#N/A</v>
      </c>
      <c r="S221" t="e" cm="1">
        <f t="array" aca="1" ref="S221" ca="1">VLOOKUP(INDIRECT("A"&amp;ROW()), 'Recent Changes'!A:G, 5, FALSE)</f>
        <v>#N/A</v>
      </c>
      <c r="T221" t="e" cm="1">
        <f t="array" aca="1" ref="T221" ca="1">VLOOKUP(INDIRECT("A"&amp;ROW()), 'Recent Changes'!A:G, 6, FALSE)</f>
        <v>#N/A</v>
      </c>
      <c r="U221" t="e" cm="1">
        <f t="array" aca="1" ref="U221" ca="1">VLOOKUP(INDIRECT("A"&amp;ROW()), 'Recent Changes'!A:G, 7, FALSE)</f>
        <v>#N/A</v>
      </c>
      <c r="V221" t="e" cm="1">
        <f t="array" aca="1" ref="V221" ca="1">VLOOKUP(INDIRECT("A"&amp;ROW()), 'Recent Changes'!A:H, 8, FALSE)</f>
        <v>#N/A</v>
      </c>
    </row>
    <row r="222" spans="1:22" x14ac:dyDescent="0.25">
      <c r="A222">
        <v>15514342</v>
      </c>
      <c r="B222" t="s">
        <v>433</v>
      </c>
      <c r="C222">
        <v>60</v>
      </c>
      <c r="G222" t="s" cm="1">
        <v>442</v>
      </c>
      <c r="H222">
        <v>45244</v>
      </c>
      <c r="I222" t="s">
        <v>15</v>
      </c>
      <c r="J222" t="s">
        <v>33</v>
      </c>
      <c r="K222" t="s">
        <v>44</v>
      </c>
      <c r="L222" t="s">
        <v>60</v>
      </c>
      <c r="M222" t="s">
        <v>76</v>
      </c>
      <c r="N222" t="s">
        <v>422</v>
      </c>
      <c r="O222" t="s">
        <v>431</v>
      </c>
      <c r="P222" t="e" cm="1">
        <f t="array" aca="1" ref="P222" ca="1">VLOOKUP(INDIRECT("A"&amp;ROW()), 'Recent Changes'!A:G, 2, FALSE)</f>
        <v>#N/A</v>
      </c>
      <c r="Q222" t="e" cm="1">
        <f t="array" aca="1" ref="Q222" ca="1">VLOOKUP(INDIRECT("A"&amp;ROW()), 'Recent Changes'!A:G, 3, FALSE)</f>
        <v>#N/A</v>
      </c>
      <c r="R222" t="e" cm="1">
        <f t="array" aca="1" ref="R222" ca="1">VLOOKUP(INDIRECT("A"&amp;ROW()), 'Recent Changes'!A:G, 4, FALSE)</f>
        <v>#N/A</v>
      </c>
      <c r="S222" t="e" cm="1">
        <f t="array" aca="1" ref="S222" ca="1">VLOOKUP(INDIRECT("A"&amp;ROW()), 'Recent Changes'!A:G, 5, FALSE)</f>
        <v>#N/A</v>
      </c>
      <c r="T222" t="e" cm="1">
        <f t="array" aca="1" ref="T222" ca="1">VLOOKUP(INDIRECT("A"&amp;ROW()), 'Recent Changes'!A:G, 6, FALSE)</f>
        <v>#N/A</v>
      </c>
      <c r="U222" t="e" cm="1">
        <f t="array" aca="1" ref="U222" ca="1">VLOOKUP(INDIRECT("A"&amp;ROW()), 'Recent Changes'!A:G, 7, FALSE)</f>
        <v>#N/A</v>
      </c>
      <c r="V222" t="e" cm="1">
        <f t="array" aca="1" ref="V222" ca="1">VLOOKUP(INDIRECT("A"&amp;ROW()), 'Recent Changes'!A:H, 8, FALSE)</f>
        <v>#N/A</v>
      </c>
    </row>
    <row r="223" spans="1:22" x14ac:dyDescent="0.25">
      <c r="A223">
        <v>16886589</v>
      </c>
      <c r="B223" t="s">
        <v>433</v>
      </c>
      <c r="C223">
        <v>60</v>
      </c>
      <c r="G223" t="s" cm="1">
        <v>442</v>
      </c>
      <c r="H223">
        <v>45264</v>
      </c>
      <c r="I223" t="s">
        <v>378</v>
      </c>
      <c r="J223" t="s">
        <v>30</v>
      </c>
      <c r="K223" t="s">
        <v>44</v>
      </c>
      <c r="L223" t="s">
        <v>2116</v>
      </c>
      <c r="M223" t="s">
        <v>76</v>
      </c>
      <c r="N223" t="s">
        <v>2248</v>
      </c>
      <c r="O223" t="s">
        <v>431</v>
      </c>
      <c r="P223" t="e" cm="1">
        <f t="array" aca="1" ref="P223" ca="1">VLOOKUP(INDIRECT("A"&amp;ROW()), 'Recent Changes'!A:G, 2, FALSE)</f>
        <v>#N/A</v>
      </c>
      <c r="Q223" t="e" cm="1">
        <f t="array" aca="1" ref="Q223" ca="1">VLOOKUP(INDIRECT("A"&amp;ROW()), 'Recent Changes'!A:G, 3, FALSE)</f>
        <v>#N/A</v>
      </c>
      <c r="R223" t="e" cm="1">
        <f t="array" aca="1" ref="R223" ca="1">VLOOKUP(INDIRECT("A"&amp;ROW()), 'Recent Changes'!A:G, 4, FALSE)</f>
        <v>#N/A</v>
      </c>
      <c r="S223" t="e" cm="1">
        <f t="array" aca="1" ref="S223" ca="1">VLOOKUP(INDIRECT("A"&amp;ROW()), 'Recent Changes'!A:G, 5, FALSE)</f>
        <v>#N/A</v>
      </c>
      <c r="T223" t="e" cm="1">
        <f t="array" aca="1" ref="T223" ca="1">VLOOKUP(INDIRECT("A"&amp;ROW()), 'Recent Changes'!A:G, 6, FALSE)</f>
        <v>#N/A</v>
      </c>
      <c r="U223" t="e" cm="1">
        <f t="array" aca="1" ref="U223" ca="1">VLOOKUP(INDIRECT("A"&amp;ROW()), 'Recent Changes'!A:G, 7, FALSE)</f>
        <v>#N/A</v>
      </c>
      <c r="V223" t="e" cm="1">
        <f t="array" aca="1" ref="V223" ca="1">VLOOKUP(INDIRECT("A"&amp;ROW()), 'Recent Changes'!A:H, 8, FALSE)</f>
        <v>#N/A</v>
      </c>
    </row>
    <row r="224" spans="1:22" x14ac:dyDescent="0.25">
      <c r="A224">
        <v>17417250</v>
      </c>
      <c r="B224" t="s" cm="1">
        <v>433</v>
      </c>
      <c r="C224">
        <v>60</v>
      </c>
      <c r="G224" t="s" cm="1">
        <v>442</v>
      </c>
      <c r="H224" t="s">
        <v>14</v>
      </c>
      <c r="I224" t="s">
        <v>14</v>
      </c>
      <c r="J224" t="s">
        <v>26</v>
      </c>
      <c r="K224" t="s">
        <v>48</v>
      </c>
      <c r="L224" t="s">
        <v>2117</v>
      </c>
      <c r="M224" t="s">
        <v>78</v>
      </c>
      <c r="N224" t="s">
        <v>83</v>
      </c>
      <c r="P224" t="str" cm="1">
        <f t="array" aca="1" ref="P224" ca="1">VLOOKUP(INDIRECT("A"&amp;ROW()), 'Recent Changes'!A:G, 2, FALSE)</f>
        <v>NULL</v>
      </c>
      <c r="Q224" t="str" cm="1">
        <f t="array" aca="1" ref="Q224" ca="1">VLOOKUP(INDIRECT("A"&amp;ROW()), 'Recent Changes'!A:G, 3, FALSE)</f>
        <v>2023-12-06T02:32:07Z</v>
      </c>
      <c r="R224" t="str" cm="1">
        <f t="array" aca="1" ref="R224" ca="1">VLOOKUP(INDIRECT("A"&amp;ROW()), 'Recent Changes'!A:G, 4, FALSE)</f>
        <v>2023-12-06T02:32:07Z</v>
      </c>
      <c r="S224" t="str" cm="1">
        <f t="array" aca="1" ref="S224" ca="1">VLOOKUP(INDIRECT("A"&amp;ROW()), 'Recent Changes'!A:G, 5, FALSE)</f>
        <v>2023-12-07T00:11:18Z</v>
      </c>
      <c r="T224" t="str" cm="1">
        <f t="array" aca="1" ref="T224" ca="1">VLOOKUP(INDIRECT("A"&amp;ROW()), 'Recent Changes'!A:G, 6, FALSE)</f>
        <v>2023-12-06T02:32:07Z</v>
      </c>
      <c r="U224" t="str" cm="1">
        <f t="array" aca="1" ref="U224" ca="1">VLOOKUP(INDIRECT("A"&amp;ROW()), 'Recent Changes'!A:G, 7, FALSE)</f>
        <v>NULL</v>
      </c>
      <c r="V224" t="str" cm="1">
        <f t="array" aca="1" ref="V224" ca="1">VLOOKUP(INDIRECT("A"&amp;ROW()), 'Recent Changes'!A:H, 8, FALSE)</f>
        <v>2023-12-06T07:23:19Z</v>
      </c>
    </row>
    <row r="225" spans="1:22" x14ac:dyDescent="0.25">
      <c r="A225">
        <v>17417355</v>
      </c>
      <c r="B225" t="s">
        <v>430</v>
      </c>
      <c r="C225">
        <v>60</v>
      </c>
      <c r="G225" t="e" cm="1">
        <v>#N/A</v>
      </c>
      <c r="H225" t="s">
        <v>14</v>
      </c>
      <c r="I225" t="s">
        <v>14</v>
      </c>
      <c r="J225" t="s">
        <v>21</v>
      </c>
      <c r="K225" t="s">
        <v>52</v>
      </c>
      <c r="L225" t="s">
        <v>2118</v>
      </c>
      <c r="M225" t="s">
        <v>76</v>
      </c>
      <c r="N225" t="s">
        <v>83</v>
      </c>
      <c r="P225" t="str" cm="1">
        <f t="array" aca="1" ref="P225" ca="1">VLOOKUP(INDIRECT("A"&amp;ROW()), 'Recent Changes'!A:G, 2, FALSE)</f>
        <v>NULL</v>
      </c>
      <c r="Q225" t="str" cm="1">
        <f t="array" aca="1" ref="Q225" ca="1">VLOOKUP(INDIRECT("A"&amp;ROW()), 'Recent Changes'!A:G, 3, FALSE)</f>
        <v>NULL</v>
      </c>
      <c r="R225" t="str" cm="1">
        <f t="array" aca="1" ref="R225" ca="1">VLOOKUP(INDIRECT("A"&amp;ROW()), 'Recent Changes'!A:G, 4, FALSE)</f>
        <v>NULL</v>
      </c>
      <c r="S225" t="str" cm="1">
        <f t="array" aca="1" ref="S225" ca="1">VLOOKUP(INDIRECT("A"&amp;ROW()), 'Recent Changes'!A:G, 5, FALSE)</f>
        <v>NULL</v>
      </c>
      <c r="T225" t="str" cm="1">
        <f t="array" aca="1" ref="T225" ca="1">VLOOKUP(INDIRECT("A"&amp;ROW()), 'Recent Changes'!A:G, 6, FALSE)</f>
        <v>NULL</v>
      </c>
      <c r="U225" t="str" cm="1">
        <f t="array" aca="1" ref="U225" ca="1">VLOOKUP(INDIRECT("A"&amp;ROW()), 'Recent Changes'!A:G, 7, FALSE)</f>
        <v>2023-12-20T23:46:49Z</v>
      </c>
      <c r="V225" t="str" cm="1">
        <f t="array" aca="1" ref="V225" ca="1">VLOOKUP(INDIRECT("A"&amp;ROW()), 'Recent Changes'!A:H, 8, FALSE)</f>
        <v>2023-12-21T07:39:01Z</v>
      </c>
    </row>
    <row r="226" spans="1:22" x14ac:dyDescent="0.25">
      <c r="A226">
        <v>17419909</v>
      </c>
      <c r="B226" t="s" cm="1">
        <v>433</v>
      </c>
      <c r="C226">
        <v>60</v>
      </c>
      <c r="G226" t="s" cm="1">
        <v>442</v>
      </c>
      <c r="H226" t="s">
        <v>14</v>
      </c>
      <c r="I226" t="s">
        <v>14</v>
      </c>
      <c r="J226" t="s">
        <v>30</v>
      </c>
      <c r="K226" t="s">
        <v>44</v>
      </c>
      <c r="L226" t="s">
        <v>1340</v>
      </c>
      <c r="M226" t="s">
        <v>76</v>
      </c>
      <c r="N226" t="s">
        <v>83</v>
      </c>
      <c r="P226" t="str" cm="1">
        <f t="array" aca="1" ref="P226" ca="1">VLOOKUP(INDIRECT("A"&amp;ROW()), 'Recent Changes'!A:G, 2, FALSE)</f>
        <v>NULL</v>
      </c>
      <c r="Q226" t="str" cm="1">
        <f t="array" aca="1" ref="Q226" ca="1">VLOOKUP(INDIRECT("A"&amp;ROW()), 'Recent Changes'!A:G, 3, FALSE)</f>
        <v>NULL</v>
      </c>
      <c r="R226" t="str" cm="1">
        <f t="array" aca="1" ref="R226" ca="1">VLOOKUP(INDIRECT("A"&amp;ROW()), 'Recent Changes'!A:G, 4, FALSE)</f>
        <v>NULL</v>
      </c>
      <c r="S226" t="str" cm="1">
        <f t="array" aca="1" ref="S226" ca="1">VLOOKUP(INDIRECT("A"&amp;ROW()), 'Recent Changes'!A:G, 5, FALSE)</f>
        <v>NULL</v>
      </c>
      <c r="T226" t="str" cm="1">
        <f t="array" aca="1" ref="T226" ca="1">VLOOKUP(INDIRECT("A"&amp;ROW()), 'Recent Changes'!A:G, 6, FALSE)</f>
        <v>NULL</v>
      </c>
      <c r="U226" t="str" cm="1">
        <f t="array" aca="1" ref="U226" ca="1">VLOOKUP(INDIRECT("A"&amp;ROW()), 'Recent Changes'!A:G, 7, FALSE)</f>
        <v>2023-12-07T16:19:31Z</v>
      </c>
      <c r="V226" t="str" cm="1">
        <f t="array" aca="1" ref="V226" ca="1">VLOOKUP(INDIRECT("A"&amp;ROW()), 'Recent Changes'!A:H, 8, FALSE)</f>
        <v>2023-12-07T21:44:27Z</v>
      </c>
    </row>
    <row r="227" spans="1:22" x14ac:dyDescent="0.25">
      <c r="A227">
        <v>17421300</v>
      </c>
      <c r="B227" t="s" cm="1">
        <v>433</v>
      </c>
      <c r="C227">
        <v>60</v>
      </c>
      <c r="G227" t="e" cm="1">
        <v>#N/A</v>
      </c>
      <c r="H227" t="s">
        <v>14</v>
      </c>
      <c r="I227" t="s">
        <v>14</v>
      </c>
      <c r="J227" t="s">
        <v>30</v>
      </c>
      <c r="K227" t="s">
        <v>53</v>
      </c>
      <c r="L227" t="s">
        <v>2119</v>
      </c>
      <c r="M227" t="s">
        <v>76</v>
      </c>
      <c r="N227" t="s">
        <v>83</v>
      </c>
      <c r="P227" t="str" cm="1">
        <f t="array" aca="1" ref="P227" ca="1">VLOOKUP(INDIRECT("A"&amp;ROW()), 'Recent Changes'!A:G, 2, FALSE)</f>
        <v>NULL</v>
      </c>
      <c r="Q227" t="str" cm="1">
        <f t="array" aca="1" ref="Q227" ca="1">VLOOKUP(INDIRECT("A"&amp;ROW()), 'Recent Changes'!A:G, 3, FALSE)</f>
        <v>NULL</v>
      </c>
      <c r="R227" t="str" cm="1">
        <f t="array" aca="1" ref="R227" ca="1">VLOOKUP(INDIRECT("A"&amp;ROW()), 'Recent Changes'!A:G, 4, FALSE)</f>
        <v>NULL</v>
      </c>
      <c r="S227" t="str" cm="1">
        <f t="array" aca="1" ref="S227" ca="1">VLOOKUP(INDIRECT("A"&amp;ROW()), 'Recent Changes'!A:G, 5, FALSE)</f>
        <v>NULL</v>
      </c>
      <c r="T227" t="str" cm="1">
        <f t="array" aca="1" ref="T227" ca="1">VLOOKUP(INDIRECT("A"&amp;ROW()), 'Recent Changes'!A:G, 6, FALSE)</f>
        <v>NULL</v>
      </c>
      <c r="U227" t="str" cm="1">
        <f t="array" aca="1" ref="U227" ca="1">VLOOKUP(INDIRECT("A"&amp;ROW()), 'Recent Changes'!A:G, 7, FALSE)</f>
        <v>2023-12-11T13:56:49Z</v>
      </c>
      <c r="V227" t="str" cm="1">
        <f t="array" aca="1" ref="V227" ca="1">VLOOKUP(INDIRECT("A"&amp;ROW()), 'Recent Changes'!A:H, 8, FALSE)</f>
        <v>2023-12-11T16:18:33Z</v>
      </c>
    </row>
    <row r="228" spans="1:22" x14ac:dyDescent="0.25">
      <c r="A228">
        <v>17421346</v>
      </c>
      <c r="B228" t="s">
        <v>430</v>
      </c>
      <c r="C228">
        <v>60</v>
      </c>
      <c r="G228" t="e" cm="1">
        <v>#N/A</v>
      </c>
      <c r="H228" t="s">
        <v>14</v>
      </c>
      <c r="I228" t="s">
        <v>593</v>
      </c>
      <c r="J228" t="s">
        <v>21</v>
      </c>
      <c r="K228" t="s">
        <v>53</v>
      </c>
      <c r="L228" t="s">
        <v>396</v>
      </c>
      <c r="M228" t="s">
        <v>76</v>
      </c>
      <c r="N228" t="s">
        <v>83</v>
      </c>
      <c r="P228" t="str" cm="1">
        <f t="array" aca="1" ref="P228" ca="1">VLOOKUP(INDIRECT("A"&amp;ROW()), 'Recent Changes'!A:G, 2, FALSE)</f>
        <v>NULL</v>
      </c>
      <c r="Q228" t="str" cm="1">
        <f t="array" aca="1" ref="Q228" ca="1">VLOOKUP(INDIRECT("A"&amp;ROW()), 'Recent Changes'!A:G, 3, FALSE)</f>
        <v>NULL</v>
      </c>
      <c r="R228" t="str" cm="1">
        <f t="array" aca="1" ref="R228" ca="1">VLOOKUP(INDIRECT("A"&amp;ROW()), 'Recent Changes'!A:G, 4, FALSE)</f>
        <v>NULL</v>
      </c>
      <c r="S228" t="str" cm="1">
        <f t="array" aca="1" ref="S228" ca="1">VLOOKUP(INDIRECT("A"&amp;ROW()), 'Recent Changes'!A:G, 5, FALSE)</f>
        <v>NULL</v>
      </c>
      <c r="T228" t="str" cm="1">
        <f t="array" aca="1" ref="T228" ca="1">VLOOKUP(INDIRECT("A"&amp;ROW()), 'Recent Changes'!A:G, 6, FALSE)</f>
        <v>NULL</v>
      </c>
      <c r="U228" t="str" cm="1">
        <f t="array" aca="1" ref="U228" ca="1">VLOOKUP(INDIRECT("A"&amp;ROW()), 'Recent Changes'!A:G, 7, FALSE)</f>
        <v>2024-01-03T20:39:59Z</v>
      </c>
      <c r="V228" t="str" cm="1">
        <f t="array" aca="1" ref="V228" ca="1">VLOOKUP(INDIRECT("A"&amp;ROW()), 'Recent Changes'!A:H, 8, FALSE)</f>
        <v>2024-01-03T21:15:13Z</v>
      </c>
    </row>
    <row r="229" spans="1:22" x14ac:dyDescent="0.25">
      <c r="A229">
        <v>14501201</v>
      </c>
      <c r="B229" t="s">
        <v>433</v>
      </c>
      <c r="C229">
        <v>59</v>
      </c>
      <c r="G229" t="s" cm="1">
        <v>442</v>
      </c>
      <c r="H229">
        <v>45266</v>
      </c>
      <c r="I229" t="s">
        <v>15</v>
      </c>
      <c r="J229" t="s">
        <v>30</v>
      </c>
      <c r="K229" t="s">
        <v>43</v>
      </c>
      <c r="L229" t="s">
        <v>449</v>
      </c>
      <c r="M229" t="s">
        <v>76</v>
      </c>
      <c r="N229" t="s">
        <v>1716</v>
      </c>
      <c r="O229" t="s">
        <v>431</v>
      </c>
      <c r="P229" t="e" cm="1">
        <f t="array" aca="1" ref="P229" ca="1">VLOOKUP(INDIRECT("A"&amp;ROW()), 'Recent Changes'!A:G, 2, FALSE)</f>
        <v>#N/A</v>
      </c>
      <c r="Q229" t="e" cm="1">
        <f t="array" aca="1" ref="Q229" ca="1">VLOOKUP(INDIRECT("A"&amp;ROW()), 'Recent Changes'!A:G, 3, FALSE)</f>
        <v>#N/A</v>
      </c>
      <c r="R229" t="e" cm="1">
        <f t="array" aca="1" ref="R229" ca="1">VLOOKUP(INDIRECT("A"&amp;ROW()), 'Recent Changes'!A:G, 4, FALSE)</f>
        <v>#N/A</v>
      </c>
      <c r="S229" t="e" cm="1">
        <f t="array" aca="1" ref="S229" ca="1">VLOOKUP(INDIRECT("A"&amp;ROW()), 'Recent Changes'!A:G, 5, FALSE)</f>
        <v>#N/A</v>
      </c>
      <c r="T229" t="e" cm="1">
        <f t="array" aca="1" ref="T229" ca="1">VLOOKUP(INDIRECT("A"&amp;ROW()), 'Recent Changes'!A:G, 6, FALSE)</f>
        <v>#N/A</v>
      </c>
      <c r="U229" t="e" cm="1">
        <f t="array" aca="1" ref="U229" ca="1">VLOOKUP(INDIRECT("A"&amp;ROW()), 'Recent Changes'!A:G, 7, FALSE)</f>
        <v>#N/A</v>
      </c>
      <c r="V229" t="e" cm="1">
        <f t="array" aca="1" ref="V229" ca="1">VLOOKUP(INDIRECT("A"&amp;ROW()), 'Recent Changes'!A:H, 8, FALSE)</f>
        <v>#N/A</v>
      </c>
    </row>
    <row r="230" spans="1:22" x14ac:dyDescent="0.25">
      <c r="A230">
        <v>16491567</v>
      </c>
      <c r="B230" t="s">
        <v>433</v>
      </c>
      <c r="C230">
        <v>59</v>
      </c>
      <c r="G230" t="s" cm="1">
        <v>442</v>
      </c>
      <c r="H230">
        <v>45250</v>
      </c>
      <c r="I230" t="s">
        <v>15</v>
      </c>
      <c r="J230" t="s">
        <v>24</v>
      </c>
      <c r="K230" t="s">
        <v>44</v>
      </c>
      <c r="L230" t="s">
        <v>622</v>
      </c>
      <c r="M230" t="s">
        <v>76</v>
      </c>
      <c r="N230" t="s">
        <v>749</v>
      </c>
      <c r="O230" t="s">
        <v>431</v>
      </c>
      <c r="P230" t="e" cm="1">
        <f t="array" aca="1" ref="P230" ca="1">VLOOKUP(INDIRECT("A"&amp;ROW()), 'Recent Changes'!A:G, 2, FALSE)</f>
        <v>#N/A</v>
      </c>
      <c r="Q230" t="e" cm="1">
        <f t="array" aca="1" ref="Q230" ca="1">VLOOKUP(INDIRECT("A"&amp;ROW()), 'Recent Changes'!A:G, 3, FALSE)</f>
        <v>#N/A</v>
      </c>
      <c r="R230" t="e" cm="1">
        <f t="array" aca="1" ref="R230" ca="1">VLOOKUP(INDIRECT("A"&amp;ROW()), 'Recent Changes'!A:G, 4, FALSE)</f>
        <v>#N/A</v>
      </c>
      <c r="S230" t="e" cm="1">
        <f t="array" aca="1" ref="S230" ca="1">VLOOKUP(INDIRECT("A"&amp;ROW()), 'Recent Changes'!A:G, 5, FALSE)</f>
        <v>#N/A</v>
      </c>
      <c r="T230" t="e" cm="1">
        <f t="array" aca="1" ref="T230" ca="1">VLOOKUP(INDIRECT("A"&amp;ROW()), 'Recent Changes'!A:G, 6, FALSE)</f>
        <v>#N/A</v>
      </c>
      <c r="U230" t="e" cm="1">
        <f t="array" aca="1" ref="U230" ca="1">VLOOKUP(INDIRECT("A"&amp;ROW()), 'Recent Changes'!A:G, 7, FALSE)</f>
        <v>#N/A</v>
      </c>
      <c r="V230" t="e" cm="1">
        <f t="array" aca="1" ref="V230" ca="1">VLOOKUP(INDIRECT("A"&amp;ROW()), 'Recent Changes'!A:H, 8, FALSE)</f>
        <v>#N/A</v>
      </c>
    </row>
    <row r="231" spans="1:22" x14ac:dyDescent="0.25">
      <c r="A231">
        <v>17425871</v>
      </c>
      <c r="B231" t="s" cm="1">
        <v>430</v>
      </c>
      <c r="C231">
        <v>59</v>
      </c>
      <c r="G231" t="e" cm="1">
        <v>#N/A</v>
      </c>
      <c r="H231" t="s">
        <v>14</v>
      </c>
      <c r="I231" t="s">
        <v>379</v>
      </c>
      <c r="J231" t="s">
        <v>30</v>
      </c>
      <c r="K231" t="s">
        <v>52</v>
      </c>
      <c r="L231" t="s">
        <v>58</v>
      </c>
      <c r="M231" t="s">
        <v>76</v>
      </c>
      <c r="N231" t="s">
        <v>83</v>
      </c>
      <c r="P231" t="e" cm="1">
        <f t="array" aca="1" ref="P231" ca="1">VLOOKUP(INDIRECT("A"&amp;ROW()), 'Recent Changes'!A:G, 2, FALSE)</f>
        <v>#N/A</v>
      </c>
      <c r="Q231" t="e" cm="1">
        <f t="array" aca="1" ref="Q231" ca="1">VLOOKUP(INDIRECT("A"&amp;ROW()), 'Recent Changes'!A:G, 3, FALSE)</f>
        <v>#N/A</v>
      </c>
      <c r="R231" t="e" cm="1">
        <f t="array" aca="1" ref="R231" ca="1">VLOOKUP(INDIRECT("A"&amp;ROW()), 'Recent Changes'!A:G, 4, FALSE)</f>
        <v>#N/A</v>
      </c>
      <c r="S231" t="e" cm="1">
        <f t="array" aca="1" ref="S231" ca="1">VLOOKUP(INDIRECT("A"&amp;ROW()), 'Recent Changes'!A:G, 5, FALSE)</f>
        <v>#N/A</v>
      </c>
      <c r="T231" t="e" cm="1">
        <f t="array" aca="1" ref="T231" ca="1">VLOOKUP(INDIRECT("A"&amp;ROW()), 'Recent Changes'!A:G, 6, FALSE)</f>
        <v>#N/A</v>
      </c>
      <c r="U231" t="e" cm="1">
        <f t="array" aca="1" ref="U231" ca="1">VLOOKUP(INDIRECT("A"&amp;ROW()), 'Recent Changes'!A:G, 7, FALSE)</f>
        <v>#N/A</v>
      </c>
      <c r="V231" t="e" cm="1">
        <f t="array" aca="1" ref="V231" ca="1">VLOOKUP(INDIRECT("A"&amp;ROW()), 'Recent Changes'!A:H, 8, FALSE)</f>
        <v>#N/A</v>
      </c>
    </row>
    <row r="232" spans="1:22" x14ac:dyDescent="0.25">
      <c r="A232">
        <v>17428719</v>
      </c>
      <c r="B232" t="s">
        <v>433</v>
      </c>
      <c r="C232">
        <v>58</v>
      </c>
      <c r="G232" t="e" cm="1">
        <v>#N/A</v>
      </c>
      <c r="H232">
        <v>45296</v>
      </c>
      <c r="I232" t="s">
        <v>15</v>
      </c>
      <c r="J232" t="s">
        <v>30</v>
      </c>
      <c r="K232" t="s">
        <v>44</v>
      </c>
      <c r="L232" t="s">
        <v>2120</v>
      </c>
      <c r="M232" t="s">
        <v>76</v>
      </c>
      <c r="N232" t="s">
        <v>2249</v>
      </c>
      <c r="O232" t="s">
        <v>431</v>
      </c>
      <c r="P232" t="e" cm="1">
        <f t="array" aca="1" ref="P232" ca="1">VLOOKUP(INDIRECT("A"&amp;ROW()), 'Recent Changes'!A:G, 2, FALSE)</f>
        <v>#N/A</v>
      </c>
      <c r="Q232" t="e" cm="1">
        <f t="array" aca="1" ref="Q232" ca="1">VLOOKUP(INDIRECT("A"&amp;ROW()), 'Recent Changes'!A:G, 3, FALSE)</f>
        <v>#N/A</v>
      </c>
      <c r="R232" t="e" cm="1">
        <f t="array" aca="1" ref="R232" ca="1">VLOOKUP(INDIRECT("A"&amp;ROW()), 'Recent Changes'!A:G, 4, FALSE)</f>
        <v>#N/A</v>
      </c>
      <c r="S232" t="e" cm="1">
        <f t="array" aca="1" ref="S232" ca="1">VLOOKUP(INDIRECT("A"&amp;ROW()), 'Recent Changes'!A:G, 5, FALSE)</f>
        <v>#N/A</v>
      </c>
      <c r="T232" t="e" cm="1">
        <f t="array" aca="1" ref="T232" ca="1">VLOOKUP(INDIRECT("A"&amp;ROW()), 'Recent Changes'!A:G, 6, FALSE)</f>
        <v>#N/A</v>
      </c>
      <c r="U232" t="e" cm="1">
        <f t="array" aca="1" ref="U232" ca="1">VLOOKUP(INDIRECT("A"&amp;ROW()), 'Recent Changes'!A:G, 7, FALSE)</f>
        <v>#N/A</v>
      </c>
      <c r="V232" t="e" cm="1">
        <f t="array" aca="1" ref="V232" ca="1">VLOOKUP(INDIRECT("A"&amp;ROW()), 'Recent Changes'!A:H, 8, FALSE)</f>
        <v>#N/A</v>
      </c>
    </row>
    <row r="233" spans="1:22" x14ac:dyDescent="0.25">
      <c r="A233">
        <v>17428902</v>
      </c>
      <c r="B233" t="s" cm="1">
        <v>433</v>
      </c>
      <c r="C233">
        <v>58</v>
      </c>
      <c r="G233" t="e" cm="1">
        <v>#N/A</v>
      </c>
      <c r="H233" t="s">
        <v>14</v>
      </c>
      <c r="I233" t="s">
        <v>14</v>
      </c>
      <c r="J233" t="s">
        <v>30</v>
      </c>
      <c r="K233" t="s">
        <v>53</v>
      </c>
      <c r="L233" t="s">
        <v>2079</v>
      </c>
      <c r="M233" t="s">
        <v>76</v>
      </c>
      <c r="N233" t="s">
        <v>83</v>
      </c>
      <c r="P233" t="str" cm="1">
        <f t="array" aca="1" ref="P233" ca="1">VLOOKUP(INDIRECT("A"&amp;ROW()), 'Recent Changes'!A:G, 2, FALSE)</f>
        <v>NULL</v>
      </c>
      <c r="Q233" t="str" cm="1">
        <f t="array" aca="1" ref="Q233" ca="1">VLOOKUP(INDIRECT("A"&amp;ROW()), 'Recent Changes'!A:G, 3, FALSE)</f>
        <v>NULL</v>
      </c>
      <c r="R233" t="str" cm="1">
        <f t="array" aca="1" ref="R233" ca="1">VLOOKUP(INDIRECT("A"&amp;ROW()), 'Recent Changes'!A:G, 4, FALSE)</f>
        <v>NULL</v>
      </c>
      <c r="S233" t="str" cm="1">
        <f t="array" aca="1" ref="S233" ca="1">VLOOKUP(INDIRECT("A"&amp;ROW()), 'Recent Changes'!A:G, 5, FALSE)</f>
        <v>NULL</v>
      </c>
      <c r="T233" t="str" cm="1">
        <f t="array" aca="1" ref="T233" ca="1">VLOOKUP(INDIRECT("A"&amp;ROW()), 'Recent Changes'!A:G, 6, FALSE)</f>
        <v>NULL</v>
      </c>
      <c r="U233" t="str" cm="1">
        <f t="array" aca="1" ref="U233" ca="1">VLOOKUP(INDIRECT("A"&amp;ROW()), 'Recent Changes'!A:G, 7, FALSE)</f>
        <v>2023-12-18T22:43:12Z</v>
      </c>
      <c r="V233" t="str" cm="1">
        <f t="array" aca="1" ref="V233" ca="1">VLOOKUP(INDIRECT("A"&amp;ROW()), 'Recent Changes'!A:H, 8, FALSE)</f>
        <v>2023-12-19T16:23:13Z</v>
      </c>
    </row>
    <row r="234" spans="1:22" x14ac:dyDescent="0.25">
      <c r="A234">
        <v>17429059</v>
      </c>
      <c r="B234" t="s">
        <v>433</v>
      </c>
      <c r="C234">
        <v>58</v>
      </c>
      <c r="G234" t="e" cm="1">
        <v>#N/A</v>
      </c>
      <c r="H234">
        <v>45294</v>
      </c>
      <c r="I234" t="s">
        <v>15</v>
      </c>
      <c r="J234" t="s">
        <v>30</v>
      </c>
      <c r="K234" t="s">
        <v>44</v>
      </c>
      <c r="L234" t="s">
        <v>74</v>
      </c>
      <c r="M234" t="s">
        <v>76</v>
      </c>
      <c r="N234" t="s">
        <v>461</v>
      </c>
      <c r="O234" t="s">
        <v>431</v>
      </c>
      <c r="P234" t="e" cm="1">
        <f t="array" aca="1" ref="P234" ca="1">VLOOKUP(INDIRECT("A"&amp;ROW()), 'Recent Changes'!A:G, 2, FALSE)</f>
        <v>#N/A</v>
      </c>
      <c r="Q234" t="e" cm="1">
        <f t="array" aca="1" ref="Q234" ca="1">VLOOKUP(INDIRECT("A"&amp;ROW()), 'Recent Changes'!A:G, 3, FALSE)</f>
        <v>#N/A</v>
      </c>
      <c r="R234" t="e" cm="1">
        <f t="array" aca="1" ref="R234" ca="1">VLOOKUP(INDIRECT("A"&amp;ROW()), 'Recent Changes'!A:G, 4, FALSE)</f>
        <v>#N/A</v>
      </c>
      <c r="S234" t="e" cm="1">
        <f t="array" aca="1" ref="S234" ca="1">VLOOKUP(INDIRECT("A"&amp;ROW()), 'Recent Changes'!A:G, 5, FALSE)</f>
        <v>#N/A</v>
      </c>
      <c r="T234" t="e" cm="1">
        <f t="array" aca="1" ref="T234" ca="1">VLOOKUP(INDIRECT("A"&amp;ROW()), 'Recent Changes'!A:G, 6, FALSE)</f>
        <v>#N/A</v>
      </c>
      <c r="U234" t="e" cm="1">
        <f t="array" aca="1" ref="U234" ca="1">VLOOKUP(INDIRECT("A"&amp;ROW()), 'Recent Changes'!A:G, 7, FALSE)</f>
        <v>#N/A</v>
      </c>
      <c r="V234" t="e" cm="1">
        <f t="array" aca="1" ref="V234" ca="1">VLOOKUP(INDIRECT("A"&amp;ROW()), 'Recent Changes'!A:H, 8, FALSE)</f>
        <v>#N/A</v>
      </c>
    </row>
    <row r="235" spans="1:22" x14ac:dyDescent="0.25">
      <c r="A235">
        <v>17429986</v>
      </c>
      <c r="B235" t="s">
        <v>433</v>
      </c>
      <c r="C235">
        <v>57</v>
      </c>
      <c r="G235" t="e" cm="1">
        <v>#N/A</v>
      </c>
      <c r="H235">
        <v>45296</v>
      </c>
      <c r="I235" t="s">
        <v>15</v>
      </c>
      <c r="J235" t="s">
        <v>30</v>
      </c>
      <c r="K235" t="s">
        <v>46</v>
      </c>
      <c r="L235" t="s">
        <v>74</v>
      </c>
      <c r="M235" t="s">
        <v>76</v>
      </c>
      <c r="N235" t="s">
        <v>2249</v>
      </c>
      <c r="O235" t="s">
        <v>431</v>
      </c>
      <c r="P235" t="e" cm="1">
        <f t="array" aca="1" ref="P235" ca="1">VLOOKUP(INDIRECT("A"&amp;ROW()), 'Recent Changes'!A:G, 2, FALSE)</f>
        <v>#N/A</v>
      </c>
      <c r="Q235" t="e" cm="1">
        <f t="array" aca="1" ref="Q235" ca="1">VLOOKUP(INDIRECT("A"&amp;ROW()), 'Recent Changes'!A:G, 3, FALSE)</f>
        <v>#N/A</v>
      </c>
      <c r="R235" t="e" cm="1">
        <f t="array" aca="1" ref="R235" ca="1">VLOOKUP(INDIRECT("A"&amp;ROW()), 'Recent Changes'!A:G, 4, FALSE)</f>
        <v>#N/A</v>
      </c>
      <c r="S235" t="e" cm="1">
        <f t="array" aca="1" ref="S235" ca="1">VLOOKUP(INDIRECT("A"&amp;ROW()), 'Recent Changes'!A:G, 5, FALSE)</f>
        <v>#N/A</v>
      </c>
      <c r="T235" t="e" cm="1">
        <f t="array" aca="1" ref="T235" ca="1">VLOOKUP(INDIRECT("A"&amp;ROW()), 'Recent Changes'!A:G, 6, FALSE)</f>
        <v>#N/A</v>
      </c>
      <c r="U235" t="e" cm="1">
        <f t="array" aca="1" ref="U235" ca="1">VLOOKUP(INDIRECT("A"&amp;ROW()), 'Recent Changes'!A:G, 7, FALSE)</f>
        <v>#N/A</v>
      </c>
      <c r="V235" t="e" cm="1">
        <f t="array" aca="1" ref="V235" ca="1">VLOOKUP(INDIRECT("A"&amp;ROW()), 'Recent Changes'!A:H, 8, FALSE)</f>
        <v>#N/A</v>
      </c>
    </row>
    <row r="236" spans="1:22" x14ac:dyDescent="0.25">
      <c r="A236">
        <v>17429989</v>
      </c>
      <c r="B236" t="s">
        <v>433</v>
      </c>
      <c r="C236">
        <v>57</v>
      </c>
      <c r="G236" t="e" cm="1">
        <v>#N/A</v>
      </c>
      <c r="H236">
        <v>45294</v>
      </c>
      <c r="I236" t="s">
        <v>15</v>
      </c>
      <c r="J236" t="s">
        <v>22</v>
      </c>
      <c r="K236" t="s">
        <v>44</v>
      </c>
      <c r="L236" t="s">
        <v>2121</v>
      </c>
      <c r="M236" t="s">
        <v>76</v>
      </c>
      <c r="N236" t="s">
        <v>461</v>
      </c>
      <c r="O236" t="s">
        <v>431</v>
      </c>
      <c r="P236" t="e" cm="1">
        <f t="array" aca="1" ref="P236" ca="1">VLOOKUP(INDIRECT("A"&amp;ROW()), 'Recent Changes'!A:G, 2, FALSE)</f>
        <v>#N/A</v>
      </c>
      <c r="Q236" t="e" cm="1">
        <f t="array" aca="1" ref="Q236" ca="1">VLOOKUP(INDIRECT("A"&amp;ROW()), 'Recent Changes'!A:G, 3, FALSE)</f>
        <v>#N/A</v>
      </c>
      <c r="R236" t="e" cm="1">
        <f t="array" aca="1" ref="R236" ca="1">VLOOKUP(INDIRECT("A"&amp;ROW()), 'Recent Changes'!A:G, 4, FALSE)</f>
        <v>#N/A</v>
      </c>
      <c r="S236" t="e" cm="1">
        <f t="array" aca="1" ref="S236" ca="1">VLOOKUP(INDIRECT("A"&amp;ROW()), 'Recent Changes'!A:G, 5, FALSE)</f>
        <v>#N/A</v>
      </c>
      <c r="T236" t="e" cm="1">
        <f t="array" aca="1" ref="T236" ca="1">VLOOKUP(INDIRECT("A"&amp;ROW()), 'Recent Changes'!A:G, 6, FALSE)</f>
        <v>#N/A</v>
      </c>
      <c r="U236" t="e" cm="1">
        <f t="array" aca="1" ref="U236" ca="1">VLOOKUP(INDIRECT("A"&amp;ROW()), 'Recent Changes'!A:G, 7, FALSE)</f>
        <v>#N/A</v>
      </c>
      <c r="V236" t="e" cm="1">
        <f t="array" aca="1" ref="V236" ca="1">VLOOKUP(INDIRECT("A"&amp;ROW()), 'Recent Changes'!A:H, 8, FALSE)</f>
        <v>#N/A</v>
      </c>
    </row>
    <row r="237" spans="1:22" x14ac:dyDescent="0.25">
      <c r="A237">
        <v>13114065</v>
      </c>
      <c r="B237" t="s">
        <v>433</v>
      </c>
      <c r="C237">
        <v>56</v>
      </c>
      <c r="G237" t="s" cm="1">
        <v>442</v>
      </c>
      <c r="H237">
        <v>45243</v>
      </c>
      <c r="I237" t="s">
        <v>15</v>
      </c>
      <c r="J237" t="s">
        <v>18</v>
      </c>
      <c r="K237" t="s">
        <v>44</v>
      </c>
      <c r="L237" t="s">
        <v>2122</v>
      </c>
      <c r="M237" t="s">
        <v>76</v>
      </c>
      <c r="N237" t="s">
        <v>421</v>
      </c>
      <c r="O237" t="s">
        <v>431</v>
      </c>
      <c r="P237" t="e" cm="1">
        <f t="array" aca="1" ref="P237" ca="1">VLOOKUP(INDIRECT("A"&amp;ROW()), 'Recent Changes'!A:G, 2, FALSE)</f>
        <v>#N/A</v>
      </c>
      <c r="Q237" t="e" cm="1">
        <f t="array" aca="1" ref="Q237" ca="1">VLOOKUP(INDIRECT("A"&amp;ROW()), 'Recent Changes'!A:G, 3, FALSE)</f>
        <v>#N/A</v>
      </c>
      <c r="R237" t="e" cm="1">
        <f t="array" aca="1" ref="R237" ca="1">VLOOKUP(INDIRECT("A"&amp;ROW()), 'Recent Changes'!A:G, 4, FALSE)</f>
        <v>#N/A</v>
      </c>
      <c r="S237" t="e" cm="1">
        <f t="array" aca="1" ref="S237" ca="1">VLOOKUP(INDIRECT("A"&amp;ROW()), 'Recent Changes'!A:G, 5, FALSE)</f>
        <v>#N/A</v>
      </c>
      <c r="T237" t="e" cm="1">
        <f t="array" aca="1" ref="T237" ca="1">VLOOKUP(INDIRECT("A"&amp;ROW()), 'Recent Changes'!A:G, 6, FALSE)</f>
        <v>#N/A</v>
      </c>
      <c r="U237" t="e" cm="1">
        <f t="array" aca="1" ref="U237" ca="1">VLOOKUP(INDIRECT("A"&amp;ROW()), 'Recent Changes'!A:G, 7, FALSE)</f>
        <v>#N/A</v>
      </c>
      <c r="V237" t="e" cm="1">
        <f t="array" aca="1" ref="V237" ca="1">VLOOKUP(INDIRECT("A"&amp;ROW()), 'Recent Changes'!A:H, 8, FALSE)</f>
        <v>#N/A</v>
      </c>
    </row>
    <row r="238" spans="1:22" x14ac:dyDescent="0.25">
      <c r="A238">
        <v>16247382</v>
      </c>
      <c r="B238" t="s">
        <v>433</v>
      </c>
      <c r="C238">
        <v>56</v>
      </c>
      <c r="G238" t="s" cm="1">
        <v>442</v>
      </c>
      <c r="H238" t="s">
        <v>14</v>
      </c>
      <c r="I238" t="s">
        <v>380</v>
      </c>
      <c r="J238" t="s">
        <v>384</v>
      </c>
      <c r="K238" t="s">
        <v>43</v>
      </c>
      <c r="L238" t="s">
        <v>2123</v>
      </c>
      <c r="M238" t="s">
        <v>76</v>
      </c>
      <c r="N238" t="s">
        <v>83</v>
      </c>
      <c r="P238" t="str" cm="1">
        <f t="array" aca="1" ref="P238" ca="1">VLOOKUP(INDIRECT("A"&amp;ROW()), 'Recent Changes'!A:G, 2, FALSE)</f>
        <v>NULL</v>
      </c>
      <c r="Q238" t="str" cm="1">
        <f t="array" aca="1" ref="Q238" ca="1">VLOOKUP(INDIRECT("A"&amp;ROW()), 'Recent Changes'!A:G, 3, FALSE)</f>
        <v>NULL</v>
      </c>
      <c r="R238" t="str" cm="1">
        <f t="array" aca="1" ref="R238" ca="1">VLOOKUP(INDIRECT("A"&amp;ROW()), 'Recent Changes'!A:G, 4, FALSE)</f>
        <v>NULL</v>
      </c>
      <c r="S238" t="str" cm="1">
        <f t="array" aca="1" ref="S238" ca="1">VLOOKUP(INDIRECT("A"&amp;ROW()), 'Recent Changes'!A:G, 5, FALSE)</f>
        <v>2023-12-07T00:25:05Z</v>
      </c>
      <c r="T238" t="str" cm="1">
        <f t="array" aca="1" ref="T238" ca="1">VLOOKUP(INDIRECT("A"&amp;ROW()), 'Recent Changes'!A:G, 6, FALSE)</f>
        <v>NULL</v>
      </c>
      <c r="U238" t="str" cm="1">
        <f t="array" aca="1" ref="U238" ca="1">VLOOKUP(INDIRECT("A"&amp;ROW()), 'Recent Changes'!A:G, 7, FALSE)</f>
        <v>NULL</v>
      </c>
      <c r="V238" t="str" cm="1">
        <f t="array" aca="1" ref="V238" ca="1">VLOOKUP(INDIRECT("A"&amp;ROW()), 'Recent Changes'!A:H, 8, FALSE)</f>
        <v>2023-12-07T07:05:24Z</v>
      </c>
    </row>
    <row r="239" spans="1:22" x14ac:dyDescent="0.25">
      <c r="A239">
        <v>16247398</v>
      </c>
      <c r="B239" t="s">
        <v>433</v>
      </c>
      <c r="C239">
        <v>56</v>
      </c>
      <c r="G239" t="s" cm="1">
        <v>442</v>
      </c>
      <c r="H239" t="s">
        <v>14</v>
      </c>
      <c r="I239" t="s">
        <v>380</v>
      </c>
      <c r="J239" t="s">
        <v>1412</v>
      </c>
      <c r="K239" t="s">
        <v>43</v>
      </c>
      <c r="L239" t="s">
        <v>2124</v>
      </c>
      <c r="M239" t="s">
        <v>76</v>
      </c>
      <c r="N239" t="s">
        <v>83</v>
      </c>
      <c r="P239" t="str" cm="1">
        <f t="array" aca="1" ref="P239" ca="1">VLOOKUP(INDIRECT("A"&amp;ROW()), 'Recent Changes'!A:G, 2, FALSE)</f>
        <v>NULL</v>
      </c>
      <c r="Q239" t="str" cm="1">
        <f t="array" aca="1" ref="Q239" ca="1">VLOOKUP(INDIRECT("A"&amp;ROW()), 'Recent Changes'!A:G, 3, FALSE)</f>
        <v>NULL</v>
      </c>
      <c r="R239" t="str" cm="1">
        <f t="array" aca="1" ref="R239" ca="1">VLOOKUP(INDIRECT("A"&amp;ROW()), 'Recent Changes'!A:G, 4, FALSE)</f>
        <v>NULL</v>
      </c>
      <c r="S239" t="str" cm="1">
        <f t="array" aca="1" ref="S239" ca="1">VLOOKUP(INDIRECT("A"&amp;ROW()), 'Recent Changes'!A:G, 5, FALSE)</f>
        <v>2023-12-07T01:06:38Z</v>
      </c>
      <c r="T239" t="str" cm="1">
        <f t="array" aca="1" ref="T239" ca="1">VLOOKUP(INDIRECT("A"&amp;ROW()), 'Recent Changes'!A:G, 6, FALSE)</f>
        <v>NULL</v>
      </c>
      <c r="U239" t="str" cm="1">
        <f t="array" aca="1" ref="U239" ca="1">VLOOKUP(INDIRECT("A"&amp;ROW()), 'Recent Changes'!A:G, 7, FALSE)</f>
        <v>NULL</v>
      </c>
      <c r="V239" t="str" cm="1">
        <f t="array" aca="1" ref="V239" ca="1">VLOOKUP(INDIRECT("A"&amp;ROW()), 'Recent Changes'!A:H, 8, FALSE)</f>
        <v>2023-12-07T07:14:06Z</v>
      </c>
    </row>
    <row r="240" spans="1:22" x14ac:dyDescent="0.25">
      <c r="A240">
        <v>17436669</v>
      </c>
      <c r="B240" t="s" cm="1">
        <v>430</v>
      </c>
      <c r="C240">
        <v>55</v>
      </c>
      <c r="G240" t="e" cm="1">
        <v>#N/A</v>
      </c>
      <c r="H240" t="s">
        <v>14</v>
      </c>
      <c r="I240" t="s">
        <v>14</v>
      </c>
      <c r="J240" t="s">
        <v>26</v>
      </c>
      <c r="K240" t="s">
        <v>52</v>
      </c>
      <c r="L240" t="s">
        <v>1705</v>
      </c>
      <c r="M240" t="s">
        <v>76</v>
      </c>
      <c r="N240" t="s">
        <v>83</v>
      </c>
      <c r="P240" t="str" cm="1">
        <f t="array" aca="1" ref="P240" ca="1">VLOOKUP(INDIRECT("A"&amp;ROW()), 'Recent Changes'!A:G, 2, FALSE)</f>
        <v>NULL</v>
      </c>
      <c r="Q240" t="str" cm="1">
        <f t="array" aca="1" ref="Q240" ca="1">VLOOKUP(INDIRECT("A"&amp;ROW()), 'Recent Changes'!A:G, 3, FALSE)</f>
        <v>NULL</v>
      </c>
      <c r="R240" t="str" cm="1">
        <f t="array" aca="1" ref="R240" ca="1">VLOOKUP(INDIRECT("A"&amp;ROW()), 'Recent Changes'!A:G, 4, FALSE)</f>
        <v>NULL</v>
      </c>
      <c r="S240" t="str" cm="1">
        <f t="array" aca="1" ref="S240" ca="1">VLOOKUP(INDIRECT("A"&amp;ROW()), 'Recent Changes'!A:G, 5, FALSE)</f>
        <v>2023-12-13T20:27:22Z</v>
      </c>
      <c r="T240" t="str" cm="1">
        <f t="array" aca="1" ref="T240" ca="1">VLOOKUP(INDIRECT("A"&amp;ROW()), 'Recent Changes'!A:G, 6, FALSE)</f>
        <v>NULL</v>
      </c>
      <c r="U240" t="str" cm="1">
        <f t="array" aca="1" ref="U240" ca="1">VLOOKUP(INDIRECT("A"&amp;ROW()), 'Recent Changes'!A:G, 7, FALSE)</f>
        <v>2023-12-20T17:19:48Z</v>
      </c>
      <c r="V240" t="str" cm="1">
        <f t="array" aca="1" ref="V240" ca="1">VLOOKUP(INDIRECT("A"&amp;ROW()), 'Recent Changes'!A:H, 8, FALSE)</f>
        <v>2023-12-13T21:11:29Z</v>
      </c>
    </row>
    <row r="241" spans="1:22" x14ac:dyDescent="0.25">
      <c r="A241">
        <v>17436789</v>
      </c>
      <c r="B241" t="s" cm="1">
        <v>430</v>
      </c>
      <c r="C241">
        <v>55</v>
      </c>
      <c r="G241" t="e" cm="1">
        <v>#N/A</v>
      </c>
      <c r="H241" t="s">
        <v>14</v>
      </c>
      <c r="I241" t="s">
        <v>14</v>
      </c>
      <c r="J241" t="s">
        <v>26</v>
      </c>
      <c r="K241" t="s">
        <v>52</v>
      </c>
      <c r="L241" t="s">
        <v>2125</v>
      </c>
      <c r="M241" t="s">
        <v>1713</v>
      </c>
      <c r="N241" t="s">
        <v>83</v>
      </c>
      <c r="P241" t="str" cm="1">
        <f t="array" aca="1" ref="P241" ca="1">VLOOKUP(INDIRECT("A"&amp;ROW()), 'Recent Changes'!A:G, 2, FALSE)</f>
        <v>2023-12-13T02:02:06Z</v>
      </c>
      <c r="Q241" t="str" cm="1">
        <f t="array" aca="1" ref="Q241" ca="1">VLOOKUP(INDIRECT("A"&amp;ROW()), 'Recent Changes'!A:G, 3, FALSE)</f>
        <v>NULL</v>
      </c>
      <c r="R241" t="str" cm="1">
        <f t="array" aca="1" ref="R241" ca="1">VLOOKUP(INDIRECT("A"&amp;ROW()), 'Recent Changes'!A:G, 4, FALSE)</f>
        <v>NULL</v>
      </c>
      <c r="S241" t="str" cm="1">
        <f t="array" aca="1" ref="S241" ca="1">VLOOKUP(INDIRECT("A"&amp;ROW()), 'Recent Changes'!A:G, 5, FALSE)</f>
        <v>2023-12-13T02:02:06Z</v>
      </c>
      <c r="T241" t="str" cm="1">
        <f t="array" aca="1" ref="T241" ca="1">VLOOKUP(INDIRECT("A"&amp;ROW()), 'Recent Changes'!A:G, 6, FALSE)</f>
        <v>NULL</v>
      </c>
      <c r="U241" t="str" cm="1">
        <f t="array" aca="1" ref="U241" ca="1">VLOOKUP(INDIRECT("A"&amp;ROW()), 'Recent Changes'!A:G, 7, FALSE)</f>
        <v>NULL</v>
      </c>
      <c r="V241" t="str" cm="1">
        <f t="array" aca="1" ref="V241" ca="1">VLOOKUP(INDIRECT("A"&amp;ROW()), 'Recent Changes'!A:H, 8, FALSE)</f>
        <v>2023-12-13T07:38:41Z</v>
      </c>
    </row>
    <row r="242" spans="1:22" x14ac:dyDescent="0.25">
      <c r="A242">
        <v>17436808</v>
      </c>
      <c r="B242" t="s">
        <v>433</v>
      </c>
      <c r="C242">
        <v>55</v>
      </c>
      <c r="G242" t="s" cm="1">
        <v>442</v>
      </c>
      <c r="H242">
        <v>45294</v>
      </c>
      <c r="I242" t="s">
        <v>15</v>
      </c>
      <c r="J242" t="s">
        <v>26</v>
      </c>
      <c r="K242" t="s">
        <v>43</v>
      </c>
      <c r="L242" t="s">
        <v>1699</v>
      </c>
      <c r="M242" t="s">
        <v>78</v>
      </c>
      <c r="N242" t="s">
        <v>1597</v>
      </c>
      <c r="O242" t="s">
        <v>431</v>
      </c>
      <c r="P242" t="e" cm="1">
        <f t="array" aca="1" ref="P242" ca="1">VLOOKUP(INDIRECT("A"&amp;ROW()), 'Recent Changes'!A:G, 2, FALSE)</f>
        <v>#N/A</v>
      </c>
      <c r="Q242" t="e" cm="1">
        <f t="array" aca="1" ref="Q242" ca="1">VLOOKUP(INDIRECT("A"&amp;ROW()), 'Recent Changes'!A:G, 3, FALSE)</f>
        <v>#N/A</v>
      </c>
      <c r="R242" t="e" cm="1">
        <f t="array" aca="1" ref="R242" ca="1">VLOOKUP(INDIRECT("A"&amp;ROW()), 'Recent Changes'!A:G, 4, FALSE)</f>
        <v>#N/A</v>
      </c>
      <c r="S242" t="e" cm="1">
        <f t="array" aca="1" ref="S242" ca="1">VLOOKUP(INDIRECT("A"&amp;ROW()), 'Recent Changes'!A:G, 5, FALSE)</f>
        <v>#N/A</v>
      </c>
      <c r="T242" t="e" cm="1">
        <f t="array" aca="1" ref="T242" ca="1">VLOOKUP(INDIRECT("A"&amp;ROW()), 'Recent Changes'!A:G, 6, FALSE)</f>
        <v>#N/A</v>
      </c>
      <c r="U242" t="e" cm="1">
        <f t="array" aca="1" ref="U242" ca="1">VLOOKUP(INDIRECT("A"&amp;ROW()), 'Recent Changes'!A:G, 7, FALSE)</f>
        <v>#N/A</v>
      </c>
      <c r="V242" t="e" cm="1">
        <f t="array" aca="1" ref="V242" ca="1">VLOOKUP(INDIRECT("A"&amp;ROW()), 'Recent Changes'!A:H, 8, FALSE)</f>
        <v>#N/A</v>
      </c>
    </row>
    <row r="243" spans="1:22" x14ac:dyDescent="0.25">
      <c r="A243">
        <v>17438139</v>
      </c>
      <c r="B243" t="s" cm="1">
        <v>430</v>
      </c>
      <c r="C243">
        <v>55</v>
      </c>
      <c r="G243" t="e" cm="1">
        <v>#N/A</v>
      </c>
      <c r="H243" t="s">
        <v>14</v>
      </c>
      <c r="I243" t="s">
        <v>14</v>
      </c>
      <c r="J243" t="s">
        <v>30</v>
      </c>
      <c r="K243" t="s">
        <v>52</v>
      </c>
      <c r="L243" t="s">
        <v>58</v>
      </c>
      <c r="M243" t="s">
        <v>76</v>
      </c>
      <c r="N243" t="s">
        <v>83</v>
      </c>
      <c r="P243" t="str" cm="1">
        <f t="array" aca="1" ref="P243" ca="1">VLOOKUP(INDIRECT("A"&amp;ROW()), 'Recent Changes'!A:G, 2, FALSE)</f>
        <v>NULL</v>
      </c>
      <c r="Q243" t="str" cm="1">
        <f t="array" aca="1" ref="Q243" ca="1">VLOOKUP(INDIRECT("A"&amp;ROW()), 'Recent Changes'!A:G, 3, FALSE)</f>
        <v>NULL</v>
      </c>
      <c r="R243" t="str" cm="1">
        <f t="array" aca="1" ref="R243" ca="1">VLOOKUP(INDIRECT("A"&amp;ROW()), 'Recent Changes'!A:G, 4, FALSE)</f>
        <v>NULL</v>
      </c>
      <c r="S243" t="str" cm="1">
        <f t="array" aca="1" ref="S243" ca="1">VLOOKUP(INDIRECT("A"&amp;ROW()), 'Recent Changes'!A:G, 5, FALSE)</f>
        <v>2023-12-16T05:24:48Z</v>
      </c>
      <c r="T243" t="str" cm="1">
        <f t="array" aca="1" ref="T243" ca="1">VLOOKUP(INDIRECT("A"&amp;ROW()), 'Recent Changes'!A:G, 6, FALSE)</f>
        <v>NULL</v>
      </c>
      <c r="U243" t="str" cm="1">
        <f t="array" aca="1" ref="U243" ca="1">VLOOKUP(INDIRECT("A"&amp;ROW()), 'Recent Changes'!A:G, 7, FALSE)</f>
        <v>2023-12-07T15:19:11Z</v>
      </c>
      <c r="V243" t="str" cm="1">
        <f t="array" aca="1" ref="V243" ca="1">VLOOKUP(INDIRECT("A"&amp;ROW()), 'Recent Changes'!A:H, 8, FALSE)</f>
        <v>2023-12-16T07:25:46Z</v>
      </c>
    </row>
    <row r="244" spans="1:22" x14ac:dyDescent="0.25">
      <c r="A244">
        <v>17438820</v>
      </c>
      <c r="B244" t="s">
        <v>430</v>
      </c>
      <c r="C244">
        <v>55</v>
      </c>
      <c r="G244" t="e" cm="1">
        <v>#N/A</v>
      </c>
      <c r="H244" t="s">
        <v>14</v>
      </c>
      <c r="I244" t="s">
        <v>14</v>
      </c>
      <c r="J244" t="s">
        <v>21</v>
      </c>
      <c r="K244" t="s">
        <v>49</v>
      </c>
      <c r="L244" t="s">
        <v>396</v>
      </c>
      <c r="M244" t="s">
        <v>76</v>
      </c>
      <c r="N244" t="s">
        <v>83</v>
      </c>
      <c r="P244" t="str" cm="1">
        <f t="array" aca="1" ref="P244" ca="1">VLOOKUP(INDIRECT("A"&amp;ROW()), 'Recent Changes'!A:G, 2, FALSE)</f>
        <v>NULL</v>
      </c>
      <c r="Q244" t="str" cm="1">
        <f t="array" aca="1" ref="Q244" ca="1">VLOOKUP(INDIRECT("A"&amp;ROW()), 'Recent Changes'!A:G, 3, FALSE)</f>
        <v>NULL</v>
      </c>
      <c r="R244" t="str" cm="1">
        <f t="array" aca="1" ref="R244" ca="1">VLOOKUP(INDIRECT("A"&amp;ROW()), 'Recent Changes'!A:G, 4, FALSE)</f>
        <v>NULL</v>
      </c>
      <c r="S244" t="str" cm="1">
        <f t="array" aca="1" ref="S244" ca="1">VLOOKUP(INDIRECT("A"&amp;ROW()), 'Recent Changes'!A:G, 5, FALSE)</f>
        <v>NULL</v>
      </c>
      <c r="T244" t="str" cm="1">
        <f t="array" aca="1" ref="T244" ca="1">VLOOKUP(INDIRECT("A"&amp;ROW()), 'Recent Changes'!A:G, 6, FALSE)</f>
        <v>NULL</v>
      </c>
      <c r="U244" t="str" cm="1">
        <f t="array" aca="1" ref="U244" ca="1">VLOOKUP(INDIRECT("A"&amp;ROW()), 'Recent Changes'!A:G, 7, FALSE)</f>
        <v>2024-01-04T12:38:42Z</v>
      </c>
      <c r="V244" t="str" cm="1">
        <f t="array" aca="1" ref="V244" ca="1">VLOOKUP(INDIRECT("A"&amp;ROW()), 'Recent Changes'!A:H, 8, FALSE)</f>
        <v>2024-01-04T16:19:02Z</v>
      </c>
    </row>
    <row r="245" spans="1:22" x14ac:dyDescent="0.25">
      <c r="A245">
        <v>17438930</v>
      </c>
      <c r="B245" t="s" cm="1">
        <v>433</v>
      </c>
      <c r="C245">
        <v>55</v>
      </c>
      <c r="G245" t="e" cm="1">
        <v>#N/A</v>
      </c>
      <c r="H245" t="s">
        <v>14</v>
      </c>
      <c r="I245" t="s">
        <v>14</v>
      </c>
      <c r="J245" t="s">
        <v>30</v>
      </c>
      <c r="K245" t="s">
        <v>52</v>
      </c>
      <c r="L245" t="s">
        <v>88</v>
      </c>
      <c r="M245" t="s">
        <v>76</v>
      </c>
      <c r="N245" t="s">
        <v>83</v>
      </c>
      <c r="P245" t="str" cm="1">
        <f t="array" aca="1" ref="P245" ca="1">VLOOKUP(INDIRECT("A"&amp;ROW()), 'Recent Changes'!A:G, 2, FALSE)</f>
        <v>NULL</v>
      </c>
      <c r="Q245" t="str" cm="1">
        <f t="array" aca="1" ref="Q245" ca="1">VLOOKUP(INDIRECT("A"&amp;ROW()), 'Recent Changes'!A:G, 3, FALSE)</f>
        <v>NULL</v>
      </c>
      <c r="R245" t="str" cm="1">
        <f t="array" aca="1" ref="R245" ca="1">VLOOKUP(INDIRECT("A"&amp;ROW()), 'Recent Changes'!A:G, 4, FALSE)</f>
        <v>NULL</v>
      </c>
      <c r="S245" t="str" cm="1">
        <f t="array" aca="1" ref="S245" ca="1">VLOOKUP(INDIRECT("A"&amp;ROW()), 'Recent Changes'!A:G, 5, FALSE)</f>
        <v>NULL</v>
      </c>
      <c r="T245" t="str" cm="1">
        <f t="array" aca="1" ref="T245" ca="1">VLOOKUP(INDIRECT("A"&amp;ROW()), 'Recent Changes'!A:G, 6, FALSE)</f>
        <v>NULL</v>
      </c>
      <c r="U245" t="str" cm="1">
        <f t="array" aca="1" ref="U245" ca="1">VLOOKUP(INDIRECT("A"&amp;ROW()), 'Recent Changes'!A:G, 7, FALSE)</f>
        <v>2023-12-27T22:12:48Z</v>
      </c>
      <c r="V245" t="str" cm="1">
        <f t="array" aca="1" ref="V245" ca="1">VLOOKUP(INDIRECT("A"&amp;ROW()), 'Recent Changes'!A:H, 8, FALSE)</f>
        <v>2023-12-28T07:32:39Z</v>
      </c>
    </row>
    <row r="246" spans="1:22" x14ac:dyDescent="0.25">
      <c r="A246">
        <v>17442384</v>
      </c>
      <c r="B246" t="s" cm="1">
        <v>430</v>
      </c>
      <c r="C246">
        <v>55</v>
      </c>
      <c r="G246" t="e" cm="1">
        <v>#N/A</v>
      </c>
      <c r="H246" t="s">
        <v>14</v>
      </c>
      <c r="I246" t="s">
        <v>14</v>
      </c>
      <c r="J246" t="s">
        <v>30</v>
      </c>
      <c r="K246" t="s">
        <v>53</v>
      </c>
      <c r="L246" t="s">
        <v>1689</v>
      </c>
      <c r="M246" t="s">
        <v>78</v>
      </c>
      <c r="N246" t="s">
        <v>83</v>
      </c>
      <c r="P246" t="str" cm="1">
        <f t="array" aca="1" ref="P246" ca="1">VLOOKUP(INDIRECT("A"&amp;ROW()), 'Recent Changes'!A:G, 2, FALSE)</f>
        <v>NULL</v>
      </c>
      <c r="Q246" t="str" cm="1">
        <f t="array" aca="1" ref="Q246" ca="1">VLOOKUP(INDIRECT("A"&amp;ROW()), 'Recent Changes'!A:G, 3, FALSE)</f>
        <v>NULL</v>
      </c>
      <c r="R246" t="str" cm="1">
        <f t="array" aca="1" ref="R246" ca="1">VLOOKUP(INDIRECT("A"&amp;ROW()), 'Recent Changes'!A:G, 4, FALSE)</f>
        <v>NULL</v>
      </c>
      <c r="S246" t="str" cm="1">
        <f t="array" aca="1" ref="S246" ca="1">VLOOKUP(INDIRECT("A"&amp;ROW()), 'Recent Changes'!A:G, 5, FALSE)</f>
        <v>2023-12-15T01:18:00Z</v>
      </c>
      <c r="T246" t="str" cm="1">
        <f t="array" aca="1" ref="T246" ca="1">VLOOKUP(INDIRECT("A"&amp;ROW()), 'Recent Changes'!A:G, 6, FALSE)</f>
        <v>NULL</v>
      </c>
      <c r="U246" t="str" cm="1">
        <f t="array" aca="1" ref="U246" ca="1">VLOOKUP(INDIRECT("A"&amp;ROW()), 'Recent Changes'!A:G, 7, FALSE)</f>
        <v>NULL</v>
      </c>
      <c r="V246" t="str" cm="1">
        <f t="array" aca="1" ref="V246" ca="1">VLOOKUP(INDIRECT("A"&amp;ROW()), 'Recent Changes'!A:H, 8, FALSE)</f>
        <v>2023-12-15T07:14:05Z</v>
      </c>
    </row>
    <row r="247" spans="1:22" x14ac:dyDescent="0.25">
      <c r="A247">
        <v>17443915</v>
      </c>
      <c r="B247" t="s">
        <v>433</v>
      </c>
      <c r="C247">
        <v>55</v>
      </c>
      <c r="G247" t="e" cm="1">
        <v>#N/A</v>
      </c>
      <c r="H247">
        <v>45279</v>
      </c>
      <c r="I247" t="s">
        <v>15</v>
      </c>
      <c r="J247" t="s">
        <v>33</v>
      </c>
      <c r="K247" t="s">
        <v>44</v>
      </c>
      <c r="L247" t="s">
        <v>56</v>
      </c>
      <c r="M247" t="s">
        <v>2188</v>
      </c>
      <c r="N247" t="s">
        <v>412</v>
      </c>
      <c r="O247" t="s">
        <v>431</v>
      </c>
      <c r="P247" t="e" cm="1">
        <f t="array" aca="1" ref="P247" ca="1">VLOOKUP(INDIRECT("A"&amp;ROW()), 'Recent Changes'!A:G, 2, FALSE)</f>
        <v>#N/A</v>
      </c>
      <c r="Q247" t="e" cm="1">
        <f t="array" aca="1" ref="Q247" ca="1">VLOOKUP(INDIRECT("A"&amp;ROW()), 'Recent Changes'!A:G, 3, FALSE)</f>
        <v>#N/A</v>
      </c>
      <c r="R247" t="e" cm="1">
        <f t="array" aca="1" ref="R247" ca="1">VLOOKUP(INDIRECT("A"&amp;ROW()), 'Recent Changes'!A:G, 4, FALSE)</f>
        <v>#N/A</v>
      </c>
      <c r="S247" t="e" cm="1">
        <f t="array" aca="1" ref="S247" ca="1">VLOOKUP(INDIRECT("A"&amp;ROW()), 'Recent Changes'!A:G, 5, FALSE)</f>
        <v>#N/A</v>
      </c>
      <c r="T247" t="e" cm="1">
        <f t="array" aca="1" ref="T247" ca="1">VLOOKUP(INDIRECT("A"&amp;ROW()), 'Recent Changes'!A:G, 6, FALSE)</f>
        <v>#N/A</v>
      </c>
      <c r="U247" t="e" cm="1">
        <f t="array" aca="1" ref="U247" ca="1">VLOOKUP(INDIRECT("A"&amp;ROW()), 'Recent Changes'!A:G, 7, FALSE)</f>
        <v>#N/A</v>
      </c>
      <c r="V247" t="e" cm="1">
        <f t="array" aca="1" ref="V247" ca="1">VLOOKUP(INDIRECT("A"&amp;ROW()), 'Recent Changes'!A:H, 8, FALSE)</f>
        <v>#N/A</v>
      </c>
    </row>
    <row r="248" spans="1:22" x14ac:dyDescent="0.25">
      <c r="A248">
        <v>16193614</v>
      </c>
      <c r="B248" t="s" cm="1">
        <v>430</v>
      </c>
      <c r="C248">
        <v>54</v>
      </c>
      <c r="G248" t="s" cm="1">
        <v>2277</v>
      </c>
      <c r="H248" t="s">
        <v>14</v>
      </c>
      <c r="I248" t="s">
        <v>14</v>
      </c>
      <c r="J248" t="s">
        <v>18</v>
      </c>
      <c r="K248" t="s">
        <v>44</v>
      </c>
      <c r="L248" t="s">
        <v>2126</v>
      </c>
      <c r="M248" t="s">
        <v>76</v>
      </c>
      <c r="N248" t="s">
        <v>83</v>
      </c>
      <c r="P248" t="str" cm="1">
        <f t="array" aca="1" ref="P248" ca="1">VLOOKUP(INDIRECT("A"&amp;ROW()), 'Recent Changes'!A:G, 2, FALSE)</f>
        <v>2023-12-19T14:35:05Z</v>
      </c>
      <c r="Q248" t="str" cm="1">
        <f t="array" aca="1" ref="Q248" ca="1">VLOOKUP(INDIRECT("A"&amp;ROW()), 'Recent Changes'!A:G, 3, FALSE)</f>
        <v>NULL</v>
      </c>
      <c r="R248" t="str" cm="1">
        <f t="array" aca="1" ref="R248" ca="1">VLOOKUP(INDIRECT("A"&amp;ROW()), 'Recent Changes'!A:G, 4, FALSE)</f>
        <v>NULL</v>
      </c>
      <c r="S248" t="str" cm="1">
        <f t="array" aca="1" ref="S248" ca="1">VLOOKUP(INDIRECT("A"&amp;ROW()), 'Recent Changes'!A:G, 5, FALSE)</f>
        <v>2023-12-14T18:00:15Z</v>
      </c>
      <c r="T248" t="str" cm="1">
        <f t="array" aca="1" ref="T248" ca="1">VLOOKUP(INDIRECT("A"&amp;ROW()), 'Recent Changes'!A:G, 6, FALSE)</f>
        <v>NULL</v>
      </c>
      <c r="U248" t="str" cm="1">
        <f t="array" aca="1" ref="U248" ca="1">VLOOKUP(INDIRECT("A"&amp;ROW()), 'Recent Changes'!A:G, 7, FALSE)</f>
        <v>NULL</v>
      </c>
      <c r="V248" t="str" cm="1">
        <f t="array" aca="1" ref="V248" ca="1">VLOOKUP(INDIRECT("A"&amp;ROW()), 'Recent Changes'!A:H, 8, FALSE)</f>
        <v>2023-12-19T16:25:30Z</v>
      </c>
    </row>
    <row r="249" spans="1:22" x14ac:dyDescent="0.25">
      <c r="A249">
        <v>16976031</v>
      </c>
      <c r="B249" t="s" cm="1">
        <v>430</v>
      </c>
      <c r="C249">
        <v>54</v>
      </c>
      <c r="G249" t="s" cm="1">
        <v>442</v>
      </c>
      <c r="H249" t="s">
        <v>14</v>
      </c>
      <c r="I249" t="s">
        <v>14</v>
      </c>
      <c r="J249" t="s">
        <v>30</v>
      </c>
      <c r="K249" t="s">
        <v>48</v>
      </c>
      <c r="L249" t="s">
        <v>74</v>
      </c>
      <c r="M249" t="s">
        <v>76</v>
      </c>
      <c r="N249" t="s">
        <v>83</v>
      </c>
      <c r="P249" t="str" cm="1">
        <f t="array" aca="1" ref="P249" ca="1">VLOOKUP(INDIRECT("A"&amp;ROW()), 'Recent Changes'!A:G, 2, FALSE)</f>
        <v>2023-11-15T00:58:49Z</v>
      </c>
      <c r="Q249" t="str" cm="1">
        <f t="array" aca="1" ref="Q249" ca="1">VLOOKUP(INDIRECT("A"&amp;ROW()), 'Recent Changes'!A:G, 3, FALSE)</f>
        <v>NULL</v>
      </c>
      <c r="R249" t="str" cm="1">
        <f t="array" aca="1" ref="R249" ca="1">VLOOKUP(INDIRECT("A"&amp;ROW()), 'Recent Changes'!A:G, 4, FALSE)</f>
        <v>NULL</v>
      </c>
      <c r="S249" t="str" cm="1">
        <f t="array" aca="1" ref="S249" ca="1">VLOOKUP(INDIRECT("A"&amp;ROW()), 'Recent Changes'!A:G, 5, FALSE)</f>
        <v>2023-11-15T00:51:51Z</v>
      </c>
      <c r="T249" t="str" cm="1">
        <f t="array" aca="1" ref="T249" ca="1">VLOOKUP(INDIRECT("A"&amp;ROW()), 'Recent Changes'!A:G, 6, FALSE)</f>
        <v>NULL</v>
      </c>
      <c r="U249" t="str" cm="1">
        <f t="array" aca="1" ref="U249" ca="1">VLOOKUP(INDIRECT("A"&amp;ROW()), 'Recent Changes'!A:G, 7, FALSE)</f>
        <v>2023-08-22T14:07:20Z</v>
      </c>
      <c r="V249" t="str" cm="1">
        <f t="array" aca="1" ref="V249" ca="1">VLOOKUP(INDIRECT("A"&amp;ROW()), 'Recent Changes'!A:H, 8, FALSE)</f>
        <v>2023-11-15T07:09:49Z</v>
      </c>
    </row>
    <row r="250" spans="1:22" x14ac:dyDescent="0.25">
      <c r="A250">
        <v>16992541</v>
      </c>
      <c r="B250" t="s" cm="1">
        <v>430</v>
      </c>
      <c r="C250">
        <v>54</v>
      </c>
      <c r="G250" t="s" cm="1">
        <v>442</v>
      </c>
      <c r="H250" t="s">
        <v>14</v>
      </c>
      <c r="I250" t="s">
        <v>14</v>
      </c>
      <c r="J250" t="s">
        <v>30</v>
      </c>
      <c r="K250" t="s">
        <v>506</v>
      </c>
      <c r="L250" t="s">
        <v>2127</v>
      </c>
      <c r="M250" t="s">
        <v>76</v>
      </c>
      <c r="N250" t="s">
        <v>83</v>
      </c>
      <c r="P250" t="str" cm="1">
        <f t="array" aca="1" ref="P250" ca="1">VLOOKUP(INDIRECT("A"&amp;ROW()), 'Recent Changes'!A:G, 2, FALSE)</f>
        <v>NULL</v>
      </c>
      <c r="Q250" t="str" cm="1">
        <f t="array" aca="1" ref="Q250" ca="1">VLOOKUP(INDIRECT("A"&amp;ROW()), 'Recent Changes'!A:G, 3, FALSE)</f>
        <v>NULL</v>
      </c>
      <c r="R250" t="str" cm="1">
        <f t="array" aca="1" ref="R250" ca="1">VLOOKUP(INDIRECT("A"&amp;ROW()), 'Recent Changes'!A:G, 4, FALSE)</f>
        <v>NULL</v>
      </c>
      <c r="S250" t="str" cm="1">
        <f t="array" aca="1" ref="S250" ca="1">VLOOKUP(INDIRECT("A"&amp;ROW()), 'Recent Changes'!A:G, 5, FALSE)</f>
        <v>NULL</v>
      </c>
      <c r="T250" t="str" cm="1">
        <f t="array" aca="1" ref="T250" ca="1">VLOOKUP(INDIRECT("A"&amp;ROW()), 'Recent Changes'!A:G, 6, FALSE)</f>
        <v>NULL</v>
      </c>
      <c r="U250" t="str" cm="1">
        <f t="array" aca="1" ref="U250" ca="1">VLOOKUP(INDIRECT("A"&amp;ROW()), 'Recent Changes'!A:G, 7, FALSE)</f>
        <v>2023-11-15T04:13:42Z</v>
      </c>
      <c r="V250" t="str" cm="1">
        <f t="array" aca="1" ref="V250" ca="1">VLOOKUP(INDIRECT("A"&amp;ROW()), 'Recent Changes'!A:H, 8, FALSE)</f>
        <v>2023-11-15T07:13:30Z</v>
      </c>
    </row>
    <row r="251" spans="1:22" x14ac:dyDescent="0.25">
      <c r="A251">
        <v>17150360</v>
      </c>
      <c r="B251" t="s">
        <v>433</v>
      </c>
      <c r="C251">
        <v>54</v>
      </c>
      <c r="G251" t="s" cm="1">
        <v>442</v>
      </c>
      <c r="H251">
        <v>45251</v>
      </c>
      <c r="I251" t="s">
        <v>15</v>
      </c>
      <c r="J251" t="s">
        <v>20</v>
      </c>
      <c r="K251" t="s">
        <v>44</v>
      </c>
      <c r="L251" t="s">
        <v>2128</v>
      </c>
      <c r="M251" t="s">
        <v>78</v>
      </c>
      <c r="N251" t="s">
        <v>2250</v>
      </c>
      <c r="O251" t="s">
        <v>431</v>
      </c>
      <c r="P251" t="e" cm="1">
        <f t="array" aca="1" ref="P251" ca="1">VLOOKUP(INDIRECT("A"&amp;ROW()), 'Recent Changes'!A:G, 2, FALSE)</f>
        <v>#N/A</v>
      </c>
      <c r="Q251" t="e" cm="1">
        <f t="array" aca="1" ref="Q251" ca="1">VLOOKUP(INDIRECT("A"&amp;ROW()), 'Recent Changes'!A:G, 3, FALSE)</f>
        <v>#N/A</v>
      </c>
      <c r="R251" t="e" cm="1">
        <f t="array" aca="1" ref="R251" ca="1">VLOOKUP(INDIRECT("A"&amp;ROW()), 'Recent Changes'!A:G, 4, FALSE)</f>
        <v>#N/A</v>
      </c>
      <c r="S251" t="e" cm="1">
        <f t="array" aca="1" ref="S251" ca="1">VLOOKUP(INDIRECT("A"&amp;ROW()), 'Recent Changes'!A:G, 5, FALSE)</f>
        <v>#N/A</v>
      </c>
      <c r="T251" t="e" cm="1">
        <f t="array" aca="1" ref="T251" ca="1">VLOOKUP(INDIRECT("A"&amp;ROW()), 'Recent Changes'!A:G, 6, FALSE)</f>
        <v>#N/A</v>
      </c>
      <c r="U251" t="e" cm="1">
        <f t="array" aca="1" ref="U251" ca="1">VLOOKUP(INDIRECT("A"&amp;ROW()), 'Recent Changes'!A:G, 7, FALSE)</f>
        <v>#N/A</v>
      </c>
      <c r="V251" t="e" cm="1">
        <f t="array" aca="1" ref="V251" ca="1">VLOOKUP(INDIRECT("A"&amp;ROW()), 'Recent Changes'!A:H, 8, FALSE)</f>
        <v>#N/A</v>
      </c>
    </row>
    <row r="252" spans="1:22" x14ac:dyDescent="0.25">
      <c r="A252">
        <v>17445792</v>
      </c>
      <c r="B252" t="s" cm="1">
        <v>430</v>
      </c>
      <c r="C252">
        <v>54</v>
      </c>
      <c r="G252" t="e" cm="1">
        <v>#N/A</v>
      </c>
      <c r="H252" t="s">
        <v>14</v>
      </c>
      <c r="I252" t="s">
        <v>14</v>
      </c>
      <c r="J252" t="s">
        <v>30</v>
      </c>
      <c r="K252" t="s">
        <v>48</v>
      </c>
      <c r="L252" t="s">
        <v>63</v>
      </c>
      <c r="M252" t="s">
        <v>76</v>
      </c>
      <c r="N252" t="s">
        <v>83</v>
      </c>
      <c r="P252" t="str" cm="1">
        <f t="array" aca="1" ref="P252" ca="1">VLOOKUP(INDIRECT("A"&amp;ROW()), 'Recent Changes'!A:G, 2, FALSE)</f>
        <v>NULL</v>
      </c>
      <c r="Q252" t="str" cm="1">
        <f t="array" aca="1" ref="Q252" ca="1">VLOOKUP(INDIRECT("A"&amp;ROW()), 'Recent Changes'!A:G, 3, FALSE)</f>
        <v>NULL</v>
      </c>
      <c r="R252" t="str" cm="1">
        <f t="array" aca="1" ref="R252" ca="1">VLOOKUP(INDIRECT("A"&amp;ROW()), 'Recent Changes'!A:G, 4, FALSE)</f>
        <v>NULL</v>
      </c>
      <c r="S252" t="str" cm="1">
        <f t="array" aca="1" ref="S252" ca="1">VLOOKUP(INDIRECT("A"&amp;ROW()), 'Recent Changes'!A:G, 5, FALSE)</f>
        <v>NULL</v>
      </c>
      <c r="T252" t="str" cm="1">
        <f t="array" aca="1" ref="T252" ca="1">VLOOKUP(INDIRECT("A"&amp;ROW()), 'Recent Changes'!A:G, 6, FALSE)</f>
        <v>NULL</v>
      </c>
      <c r="U252" t="str" cm="1">
        <f t="array" aca="1" ref="U252" ca="1">VLOOKUP(INDIRECT("A"&amp;ROW()), 'Recent Changes'!A:G, 7, FALSE)</f>
        <v>2023-12-13T21:02:03Z</v>
      </c>
      <c r="V252" t="str" cm="1">
        <f t="array" aca="1" ref="V252" ca="1">VLOOKUP(INDIRECT("A"&amp;ROW()), 'Recent Changes'!A:H, 8, FALSE)</f>
        <v>2023-12-14T07:44:04Z</v>
      </c>
    </row>
    <row r="253" spans="1:22" x14ac:dyDescent="0.25">
      <c r="A253">
        <v>17446644</v>
      </c>
      <c r="B253" t="s" cm="1">
        <v>430</v>
      </c>
      <c r="C253">
        <v>54</v>
      </c>
      <c r="G253" t="e" cm="1">
        <v>#N/A</v>
      </c>
      <c r="H253" t="s">
        <v>14</v>
      </c>
      <c r="I253" t="s">
        <v>14</v>
      </c>
      <c r="J253" t="s">
        <v>30</v>
      </c>
      <c r="K253" t="s">
        <v>53</v>
      </c>
      <c r="L253" t="s">
        <v>2129</v>
      </c>
      <c r="M253" t="s">
        <v>78</v>
      </c>
      <c r="N253" t="s">
        <v>83</v>
      </c>
      <c r="P253" t="str" cm="1">
        <f t="array" aca="1" ref="P253" ca="1">VLOOKUP(INDIRECT("A"&amp;ROW()), 'Recent Changes'!A:G, 2, FALSE)</f>
        <v>NULL</v>
      </c>
      <c r="Q253" t="str" cm="1">
        <f t="array" aca="1" ref="Q253" ca="1">VLOOKUP(INDIRECT("A"&amp;ROW()), 'Recent Changes'!A:G, 3, FALSE)</f>
        <v>NULL</v>
      </c>
      <c r="R253" t="str" cm="1">
        <f t="array" aca="1" ref="R253" ca="1">VLOOKUP(INDIRECT("A"&amp;ROW()), 'Recent Changes'!A:G, 4, FALSE)</f>
        <v>NULL</v>
      </c>
      <c r="S253" t="str" cm="1">
        <f t="array" aca="1" ref="S253" ca="1">VLOOKUP(INDIRECT("A"&amp;ROW()), 'Recent Changes'!A:G, 5, FALSE)</f>
        <v>2023-12-11T23:32:45Z</v>
      </c>
      <c r="T253" t="str" cm="1">
        <f t="array" aca="1" ref="T253" ca="1">VLOOKUP(INDIRECT("A"&amp;ROW()), 'Recent Changes'!A:G, 6, FALSE)</f>
        <v>NULL</v>
      </c>
      <c r="U253" t="str" cm="1">
        <f t="array" aca="1" ref="U253" ca="1">VLOOKUP(INDIRECT("A"&amp;ROW()), 'Recent Changes'!A:G, 7, FALSE)</f>
        <v>NULL</v>
      </c>
      <c r="V253" t="str" cm="1">
        <f t="array" aca="1" ref="V253" ca="1">VLOOKUP(INDIRECT("A"&amp;ROW()), 'Recent Changes'!A:H, 8, FALSE)</f>
        <v>2023-12-12T07:45:28Z</v>
      </c>
    </row>
    <row r="254" spans="1:22" x14ac:dyDescent="0.25">
      <c r="A254">
        <v>17448377</v>
      </c>
      <c r="B254" t="s" cm="1">
        <v>430</v>
      </c>
      <c r="C254">
        <v>54</v>
      </c>
      <c r="G254" t="e" cm="1">
        <v>#N/A</v>
      </c>
      <c r="H254" t="s">
        <v>14</v>
      </c>
      <c r="I254" t="s">
        <v>14</v>
      </c>
      <c r="J254" t="s">
        <v>30</v>
      </c>
      <c r="K254" t="s">
        <v>43</v>
      </c>
      <c r="L254" t="s">
        <v>58</v>
      </c>
      <c r="M254" t="s">
        <v>76</v>
      </c>
      <c r="N254" t="s">
        <v>83</v>
      </c>
      <c r="P254" t="str" cm="1">
        <f t="array" aca="1" ref="P254" ca="1">VLOOKUP(INDIRECT("A"&amp;ROW()), 'Recent Changes'!A:G, 2, FALSE)</f>
        <v>NULL</v>
      </c>
      <c r="Q254" t="str" cm="1">
        <f t="array" aca="1" ref="Q254" ca="1">VLOOKUP(INDIRECT("A"&amp;ROW()), 'Recent Changes'!A:G, 3, FALSE)</f>
        <v>NULL</v>
      </c>
      <c r="R254" t="str" cm="1">
        <f t="array" aca="1" ref="R254" ca="1">VLOOKUP(INDIRECT("A"&amp;ROW()), 'Recent Changes'!A:G, 4, FALSE)</f>
        <v>NULL</v>
      </c>
      <c r="S254" t="str" cm="1">
        <f t="array" aca="1" ref="S254" ca="1">VLOOKUP(INDIRECT("A"&amp;ROW()), 'Recent Changes'!A:G, 5, FALSE)</f>
        <v>2024-01-03T17:14:39Z</v>
      </c>
      <c r="T254" t="str" cm="1">
        <f t="array" aca="1" ref="T254" ca="1">VLOOKUP(INDIRECT("A"&amp;ROW()), 'Recent Changes'!A:G, 6, FALSE)</f>
        <v>NULL</v>
      </c>
      <c r="U254" t="str" cm="1">
        <f t="array" aca="1" ref="U254" ca="1">VLOOKUP(INDIRECT("A"&amp;ROW()), 'Recent Changes'!A:G, 7, FALSE)</f>
        <v>2023-12-20T00:49:21Z</v>
      </c>
      <c r="V254" t="str" cm="1">
        <f t="array" aca="1" ref="V254" ca="1">VLOOKUP(INDIRECT("A"&amp;ROW()), 'Recent Changes'!A:H, 8, FALSE)</f>
        <v>2024-01-03T21:35:11Z</v>
      </c>
    </row>
    <row r="255" spans="1:22" x14ac:dyDescent="0.25">
      <c r="A255">
        <v>17448814</v>
      </c>
      <c r="B255" t="s" cm="1">
        <v>430</v>
      </c>
      <c r="C255">
        <v>54</v>
      </c>
      <c r="G255" t="s" cm="1">
        <v>442</v>
      </c>
      <c r="H255" t="s">
        <v>14</v>
      </c>
      <c r="I255" t="s">
        <v>379</v>
      </c>
      <c r="J255" t="s">
        <v>30</v>
      </c>
      <c r="K255" t="s">
        <v>52</v>
      </c>
      <c r="L255" t="s">
        <v>74</v>
      </c>
      <c r="M255" t="s">
        <v>76</v>
      </c>
      <c r="N255" t="s">
        <v>83</v>
      </c>
      <c r="P255" t="str" cm="1">
        <f t="array" aca="1" ref="P255" ca="1">VLOOKUP(INDIRECT("A"&amp;ROW()), 'Recent Changes'!A:G, 2, FALSE)</f>
        <v>NULL</v>
      </c>
      <c r="Q255" t="str" cm="1">
        <f t="array" aca="1" ref="Q255" ca="1">VLOOKUP(INDIRECT("A"&amp;ROW()), 'Recent Changes'!A:G, 3, FALSE)</f>
        <v>NULL</v>
      </c>
      <c r="R255" t="str" cm="1">
        <f t="array" aca="1" ref="R255" ca="1">VLOOKUP(INDIRECT("A"&amp;ROW()), 'Recent Changes'!A:G, 4, FALSE)</f>
        <v>NULL</v>
      </c>
      <c r="S255" t="str" cm="1">
        <f t="array" aca="1" ref="S255" ca="1">VLOOKUP(INDIRECT("A"&amp;ROW()), 'Recent Changes'!A:G, 5, FALSE)</f>
        <v>NULL</v>
      </c>
      <c r="T255" t="str" cm="1">
        <f t="array" aca="1" ref="T255" ca="1">VLOOKUP(INDIRECT("A"&amp;ROW()), 'Recent Changes'!A:G, 6, FALSE)</f>
        <v>NULL</v>
      </c>
      <c r="U255" t="str" cm="1">
        <f t="array" aca="1" ref="U255" ca="1">VLOOKUP(INDIRECT("A"&amp;ROW()), 'Recent Changes'!A:G, 7, FALSE)</f>
        <v>2023-12-20T06:56:25Z</v>
      </c>
      <c r="V255" t="str" cm="1">
        <f t="array" aca="1" ref="V255" ca="1">VLOOKUP(INDIRECT("A"&amp;ROW()), 'Recent Changes'!A:H, 8, FALSE)</f>
        <v>2023-12-05T16:33:39Z</v>
      </c>
    </row>
    <row r="256" spans="1:22" x14ac:dyDescent="0.25">
      <c r="A256">
        <v>17450589</v>
      </c>
      <c r="B256" t="s" cm="1">
        <v>433</v>
      </c>
      <c r="C256">
        <v>54</v>
      </c>
      <c r="G256" t="e" cm="1">
        <v>#N/A</v>
      </c>
      <c r="H256" t="s">
        <v>14</v>
      </c>
      <c r="I256" t="s">
        <v>14</v>
      </c>
      <c r="J256" t="s">
        <v>28</v>
      </c>
      <c r="K256" t="s">
        <v>44</v>
      </c>
      <c r="L256" t="s">
        <v>2130</v>
      </c>
      <c r="M256" t="s">
        <v>76</v>
      </c>
      <c r="N256" t="s">
        <v>83</v>
      </c>
      <c r="P256" t="str" cm="1">
        <f t="array" aca="1" ref="P256" ca="1">VLOOKUP(INDIRECT("A"&amp;ROW()), 'Recent Changes'!A:G, 2, FALSE)</f>
        <v>NULL</v>
      </c>
      <c r="Q256" t="str" cm="1">
        <f t="array" aca="1" ref="Q256" ca="1">VLOOKUP(INDIRECT("A"&amp;ROW()), 'Recent Changes'!A:G, 3, FALSE)</f>
        <v>NULL</v>
      </c>
      <c r="R256" t="str" cm="1">
        <f t="array" aca="1" ref="R256" ca="1">VLOOKUP(INDIRECT("A"&amp;ROW()), 'Recent Changes'!A:G, 4, FALSE)</f>
        <v>NULL</v>
      </c>
      <c r="S256" t="str" cm="1">
        <f t="array" aca="1" ref="S256" ca="1">VLOOKUP(INDIRECT("A"&amp;ROW()), 'Recent Changes'!A:G, 5, FALSE)</f>
        <v>2023-12-22T00:47:04Z</v>
      </c>
      <c r="T256" t="str" cm="1">
        <f t="array" aca="1" ref="T256" ca="1">VLOOKUP(INDIRECT("A"&amp;ROW()), 'Recent Changes'!A:G, 6, FALSE)</f>
        <v>NULL</v>
      </c>
      <c r="U256" t="str" cm="1">
        <f t="array" aca="1" ref="U256" ca="1">VLOOKUP(INDIRECT("A"&amp;ROW()), 'Recent Changes'!A:G, 7, FALSE)</f>
        <v>2023-12-19T17:22:07Z</v>
      </c>
      <c r="V256" t="str" cm="1">
        <f t="array" aca="1" ref="V256" ca="1">VLOOKUP(INDIRECT("A"&amp;ROW()), 'Recent Changes'!A:H, 8, FALSE)</f>
        <v>2023-12-22T07:26:06Z</v>
      </c>
    </row>
    <row r="257" spans="1:22" x14ac:dyDescent="0.25">
      <c r="A257">
        <v>11152416</v>
      </c>
      <c r="B257" t="s">
        <v>433</v>
      </c>
      <c r="C257">
        <v>53</v>
      </c>
      <c r="G257" t="s" cm="1">
        <v>442</v>
      </c>
      <c r="H257">
        <v>45246</v>
      </c>
      <c r="I257" t="s">
        <v>15</v>
      </c>
      <c r="J257" t="s">
        <v>22</v>
      </c>
      <c r="K257" t="s">
        <v>44</v>
      </c>
      <c r="L257" t="s">
        <v>449</v>
      </c>
      <c r="M257" t="s">
        <v>76</v>
      </c>
      <c r="N257" t="s">
        <v>528</v>
      </c>
      <c r="O257" t="s">
        <v>431</v>
      </c>
      <c r="P257" t="e" cm="1">
        <f t="array" aca="1" ref="P257" ca="1">VLOOKUP(INDIRECT("A"&amp;ROW()), 'Recent Changes'!A:G, 2, FALSE)</f>
        <v>#N/A</v>
      </c>
      <c r="Q257" t="e" cm="1">
        <f t="array" aca="1" ref="Q257" ca="1">VLOOKUP(INDIRECT("A"&amp;ROW()), 'Recent Changes'!A:G, 3, FALSE)</f>
        <v>#N/A</v>
      </c>
      <c r="R257" t="e" cm="1">
        <f t="array" aca="1" ref="R257" ca="1">VLOOKUP(INDIRECT("A"&amp;ROW()), 'Recent Changes'!A:G, 4, FALSE)</f>
        <v>#N/A</v>
      </c>
      <c r="S257" t="e" cm="1">
        <f t="array" aca="1" ref="S257" ca="1">VLOOKUP(INDIRECT("A"&amp;ROW()), 'Recent Changes'!A:G, 5, FALSE)</f>
        <v>#N/A</v>
      </c>
      <c r="T257" t="e" cm="1">
        <f t="array" aca="1" ref="T257" ca="1">VLOOKUP(INDIRECT("A"&amp;ROW()), 'Recent Changes'!A:G, 6, FALSE)</f>
        <v>#N/A</v>
      </c>
      <c r="U257" t="e" cm="1">
        <f t="array" aca="1" ref="U257" ca="1">VLOOKUP(INDIRECT("A"&amp;ROW()), 'Recent Changes'!A:G, 7, FALSE)</f>
        <v>#N/A</v>
      </c>
      <c r="V257" t="e" cm="1">
        <f t="array" aca="1" ref="V257" ca="1">VLOOKUP(INDIRECT("A"&amp;ROW()), 'Recent Changes'!A:H, 8, FALSE)</f>
        <v>#N/A</v>
      </c>
    </row>
    <row r="258" spans="1:22" x14ac:dyDescent="0.25">
      <c r="A258">
        <v>16756201</v>
      </c>
      <c r="B258" t="s">
        <v>433</v>
      </c>
      <c r="C258">
        <v>53</v>
      </c>
      <c r="G258" t="s" cm="1">
        <v>442</v>
      </c>
      <c r="H258">
        <v>45246</v>
      </c>
      <c r="I258" t="s">
        <v>15</v>
      </c>
      <c r="J258" t="s">
        <v>33</v>
      </c>
      <c r="K258" t="s">
        <v>44</v>
      </c>
      <c r="L258" t="s">
        <v>60</v>
      </c>
      <c r="M258" t="s">
        <v>76</v>
      </c>
      <c r="N258" t="s">
        <v>528</v>
      </c>
      <c r="O258" t="s">
        <v>431</v>
      </c>
      <c r="P258" t="e" cm="1">
        <f t="array" aca="1" ref="P258" ca="1">VLOOKUP(INDIRECT("A"&amp;ROW()), 'Recent Changes'!A:G, 2, FALSE)</f>
        <v>#N/A</v>
      </c>
      <c r="Q258" t="e" cm="1">
        <f t="array" aca="1" ref="Q258" ca="1">VLOOKUP(INDIRECT("A"&amp;ROW()), 'Recent Changes'!A:G, 3, FALSE)</f>
        <v>#N/A</v>
      </c>
      <c r="R258" t="e" cm="1">
        <f t="array" aca="1" ref="R258" ca="1">VLOOKUP(INDIRECT("A"&amp;ROW()), 'Recent Changes'!A:G, 4, FALSE)</f>
        <v>#N/A</v>
      </c>
      <c r="S258" t="e" cm="1">
        <f t="array" aca="1" ref="S258" ca="1">VLOOKUP(INDIRECT("A"&amp;ROW()), 'Recent Changes'!A:G, 5, FALSE)</f>
        <v>#N/A</v>
      </c>
      <c r="T258" t="e" cm="1">
        <f t="array" aca="1" ref="T258" ca="1">VLOOKUP(INDIRECT("A"&amp;ROW()), 'Recent Changes'!A:G, 6, FALSE)</f>
        <v>#N/A</v>
      </c>
      <c r="U258" t="e" cm="1">
        <f t="array" aca="1" ref="U258" ca="1">VLOOKUP(INDIRECT("A"&amp;ROW()), 'Recent Changes'!A:G, 7, FALSE)</f>
        <v>#N/A</v>
      </c>
      <c r="V258" t="e" cm="1">
        <f t="array" aca="1" ref="V258" ca="1">VLOOKUP(INDIRECT("A"&amp;ROW()), 'Recent Changes'!A:H, 8, FALSE)</f>
        <v>#N/A</v>
      </c>
    </row>
    <row r="259" spans="1:22" x14ac:dyDescent="0.25">
      <c r="A259">
        <v>17451451</v>
      </c>
      <c r="B259" t="s">
        <v>430</v>
      </c>
      <c r="C259">
        <v>53</v>
      </c>
      <c r="G259" t="e" cm="1">
        <v>#N/A</v>
      </c>
      <c r="H259" t="s">
        <v>14</v>
      </c>
      <c r="I259" t="s">
        <v>593</v>
      </c>
      <c r="J259" t="s">
        <v>21</v>
      </c>
      <c r="K259" t="s">
        <v>53</v>
      </c>
      <c r="L259" t="s">
        <v>396</v>
      </c>
      <c r="M259" t="s">
        <v>76</v>
      </c>
      <c r="N259" t="s">
        <v>83</v>
      </c>
      <c r="P259" t="str" cm="1">
        <f t="array" aca="1" ref="P259" ca="1">VLOOKUP(INDIRECT("A"&amp;ROW()), 'Recent Changes'!A:G, 2, FALSE)</f>
        <v>NULL</v>
      </c>
      <c r="Q259" t="str" cm="1">
        <f t="array" aca="1" ref="Q259" ca="1">VLOOKUP(INDIRECT("A"&amp;ROW()), 'Recent Changes'!A:G, 3, FALSE)</f>
        <v>NULL</v>
      </c>
      <c r="R259" t="str" cm="1">
        <f t="array" aca="1" ref="R259" ca="1">VLOOKUP(INDIRECT("A"&amp;ROW()), 'Recent Changes'!A:G, 4, FALSE)</f>
        <v>NULL</v>
      </c>
      <c r="S259" t="str" cm="1">
        <f t="array" aca="1" ref="S259" ca="1">VLOOKUP(INDIRECT("A"&amp;ROW()), 'Recent Changes'!A:G, 5, FALSE)</f>
        <v>2023-12-21T13:45:50Z</v>
      </c>
      <c r="T259" t="str" cm="1">
        <f t="array" aca="1" ref="T259" ca="1">VLOOKUP(INDIRECT("A"&amp;ROW()), 'Recent Changes'!A:G, 6, FALSE)</f>
        <v>NULL</v>
      </c>
      <c r="U259" t="str" cm="1">
        <f t="array" aca="1" ref="U259" ca="1">VLOOKUP(INDIRECT("A"&amp;ROW()), 'Recent Changes'!A:G, 7, FALSE)</f>
        <v>2023-12-20T17:16:02Z</v>
      </c>
      <c r="V259" t="str" cm="1">
        <f t="array" aca="1" ref="V259" ca="1">VLOOKUP(INDIRECT("A"&amp;ROW()), 'Recent Changes'!A:H, 8, FALSE)</f>
        <v>2023-12-20T21:23:18Z</v>
      </c>
    </row>
    <row r="260" spans="1:22" x14ac:dyDescent="0.25">
      <c r="A260">
        <v>17452883</v>
      </c>
      <c r="B260" t="s">
        <v>433</v>
      </c>
      <c r="C260">
        <v>53</v>
      </c>
      <c r="G260" t="s" cm="1">
        <v>442</v>
      </c>
      <c r="H260">
        <v>45250</v>
      </c>
      <c r="I260" t="s">
        <v>15</v>
      </c>
      <c r="J260" t="s">
        <v>18</v>
      </c>
      <c r="K260" t="s">
        <v>44</v>
      </c>
      <c r="L260" t="s">
        <v>69</v>
      </c>
      <c r="M260" t="s">
        <v>76</v>
      </c>
      <c r="N260" t="s">
        <v>749</v>
      </c>
      <c r="O260" t="s">
        <v>431</v>
      </c>
      <c r="P260" t="e" cm="1">
        <f t="array" aca="1" ref="P260" ca="1">VLOOKUP(INDIRECT("A"&amp;ROW()), 'Recent Changes'!A:G, 2, FALSE)</f>
        <v>#N/A</v>
      </c>
      <c r="Q260" t="e" cm="1">
        <f t="array" aca="1" ref="Q260" ca="1">VLOOKUP(INDIRECT("A"&amp;ROW()), 'Recent Changes'!A:G, 3, FALSE)</f>
        <v>#N/A</v>
      </c>
      <c r="R260" t="e" cm="1">
        <f t="array" aca="1" ref="R260" ca="1">VLOOKUP(INDIRECT("A"&amp;ROW()), 'Recent Changes'!A:G, 4, FALSE)</f>
        <v>#N/A</v>
      </c>
      <c r="S260" t="e" cm="1">
        <f t="array" aca="1" ref="S260" ca="1">VLOOKUP(INDIRECT("A"&amp;ROW()), 'Recent Changes'!A:G, 5, FALSE)</f>
        <v>#N/A</v>
      </c>
      <c r="T260" t="e" cm="1">
        <f t="array" aca="1" ref="T260" ca="1">VLOOKUP(INDIRECT("A"&amp;ROW()), 'Recent Changes'!A:G, 6, FALSE)</f>
        <v>#N/A</v>
      </c>
      <c r="U260" t="e" cm="1">
        <f t="array" aca="1" ref="U260" ca="1">VLOOKUP(INDIRECT("A"&amp;ROW()), 'Recent Changes'!A:G, 7, FALSE)</f>
        <v>#N/A</v>
      </c>
      <c r="V260" t="e" cm="1">
        <f t="array" aca="1" ref="V260" ca="1">VLOOKUP(INDIRECT("A"&amp;ROW()), 'Recent Changes'!A:H, 8, FALSE)</f>
        <v>#N/A</v>
      </c>
    </row>
    <row r="261" spans="1:22" x14ac:dyDescent="0.25">
      <c r="A261">
        <v>17455416</v>
      </c>
      <c r="B261" t="s">
        <v>433</v>
      </c>
      <c r="C261">
        <v>53</v>
      </c>
      <c r="G261" t="s" cm="1">
        <v>1611</v>
      </c>
      <c r="H261">
        <v>45271</v>
      </c>
      <c r="I261" t="s">
        <v>15</v>
      </c>
      <c r="J261" t="s">
        <v>18</v>
      </c>
      <c r="K261" t="s">
        <v>44</v>
      </c>
      <c r="L261" t="s">
        <v>63</v>
      </c>
      <c r="M261" t="s">
        <v>411</v>
      </c>
      <c r="N261" t="s">
        <v>423</v>
      </c>
      <c r="O261" t="s">
        <v>431</v>
      </c>
      <c r="P261" t="e" cm="1">
        <f t="array" aca="1" ref="P261" ca="1">VLOOKUP(INDIRECT("A"&amp;ROW()), 'Recent Changes'!A:G, 2, FALSE)</f>
        <v>#N/A</v>
      </c>
      <c r="Q261" t="e" cm="1">
        <f t="array" aca="1" ref="Q261" ca="1">VLOOKUP(INDIRECT("A"&amp;ROW()), 'Recent Changes'!A:G, 3, FALSE)</f>
        <v>#N/A</v>
      </c>
      <c r="R261" t="e" cm="1">
        <f t="array" aca="1" ref="R261" ca="1">VLOOKUP(INDIRECT("A"&amp;ROW()), 'Recent Changes'!A:G, 4, FALSE)</f>
        <v>#N/A</v>
      </c>
      <c r="S261" t="e" cm="1">
        <f t="array" aca="1" ref="S261" ca="1">VLOOKUP(INDIRECT("A"&amp;ROW()), 'Recent Changes'!A:G, 5, FALSE)</f>
        <v>#N/A</v>
      </c>
      <c r="T261" t="e" cm="1">
        <f t="array" aca="1" ref="T261" ca="1">VLOOKUP(INDIRECT("A"&amp;ROW()), 'Recent Changes'!A:G, 6, FALSE)</f>
        <v>#N/A</v>
      </c>
      <c r="U261" t="e" cm="1">
        <f t="array" aca="1" ref="U261" ca="1">VLOOKUP(INDIRECT("A"&amp;ROW()), 'Recent Changes'!A:G, 7, FALSE)</f>
        <v>#N/A</v>
      </c>
      <c r="V261" t="e" cm="1">
        <f t="array" aca="1" ref="V261" ca="1">VLOOKUP(INDIRECT("A"&amp;ROW()), 'Recent Changes'!A:H, 8, FALSE)</f>
        <v>#N/A</v>
      </c>
    </row>
    <row r="262" spans="1:22" x14ac:dyDescent="0.25">
      <c r="A262">
        <v>16931026</v>
      </c>
      <c r="B262" t="s">
        <v>430</v>
      </c>
      <c r="C262">
        <v>52</v>
      </c>
      <c r="G262" t="e" cm="1">
        <v>#N/A</v>
      </c>
      <c r="H262">
        <v>45194</v>
      </c>
      <c r="I262" t="s">
        <v>16</v>
      </c>
      <c r="J262" t="s">
        <v>21</v>
      </c>
      <c r="K262" t="s">
        <v>2062</v>
      </c>
      <c r="L262" t="s">
        <v>2131</v>
      </c>
      <c r="M262" t="s">
        <v>76</v>
      </c>
      <c r="N262" t="s">
        <v>83</v>
      </c>
      <c r="O262" t="s">
        <v>431</v>
      </c>
      <c r="P262" t="str" cm="1">
        <f t="array" aca="1" ref="P262" ca="1">VLOOKUP(INDIRECT("A"&amp;ROW()), 'Recent Changes'!A:G, 2, FALSE)</f>
        <v>NULL</v>
      </c>
      <c r="Q262" t="str" cm="1">
        <f t="array" aca="1" ref="Q262" ca="1">VLOOKUP(INDIRECT("A"&amp;ROW()), 'Recent Changes'!A:G, 3, FALSE)</f>
        <v>NULL</v>
      </c>
      <c r="R262" t="str" cm="1">
        <f t="array" aca="1" ref="R262" ca="1">VLOOKUP(INDIRECT("A"&amp;ROW()), 'Recent Changes'!A:G, 4, FALSE)</f>
        <v>NULL</v>
      </c>
      <c r="S262" t="str" cm="1">
        <f t="array" aca="1" ref="S262" ca="1">VLOOKUP(INDIRECT("A"&amp;ROW()), 'Recent Changes'!A:G, 5, FALSE)</f>
        <v>NULL</v>
      </c>
      <c r="T262" t="str" cm="1">
        <f t="array" aca="1" ref="T262" ca="1">VLOOKUP(INDIRECT("A"&amp;ROW()), 'Recent Changes'!A:G, 6, FALSE)</f>
        <v>NULL</v>
      </c>
      <c r="U262" t="str" cm="1">
        <f t="array" aca="1" ref="U262" ca="1">VLOOKUP(INDIRECT("A"&amp;ROW()), 'Recent Changes'!A:G, 7, FALSE)</f>
        <v>2023-12-20T17:00:56Z</v>
      </c>
      <c r="V262" t="str" cm="1">
        <f t="array" aca="1" ref="V262" ca="1">VLOOKUP(INDIRECT("A"&amp;ROW()), 'Recent Changes'!A:H, 8, FALSE)</f>
        <v>2023-12-20T21:23:01Z</v>
      </c>
    </row>
    <row r="263" spans="1:22" x14ac:dyDescent="0.25">
      <c r="A263">
        <v>17459343</v>
      </c>
      <c r="B263" t="s" cm="1">
        <v>430</v>
      </c>
      <c r="C263">
        <v>52</v>
      </c>
      <c r="G263" t="e" cm="1">
        <v>#N/A</v>
      </c>
      <c r="H263" t="s">
        <v>14</v>
      </c>
      <c r="I263" t="s">
        <v>14</v>
      </c>
      <c r="J263" t="s">
        <v>30</v>
      </c>
      <c r="K263" t="s">
        <v>43</v>
      </c>
      <c r="L263" t="s">
        <v>63</v>
      </c>
      <c r="M263" t="s">
        <v>76</v>
      </c>
      <c r="N263" t="s">
        <v>83</v>
      </c>
      <c r="P263" t="str" cm="1">
        <f t="array" aca="1" ref="P263" ca="1">VLOOKUP(INDIRECT("A"&amp;ROW()), 'Recent Changes'!A:G, 2, FALSE)</f>
        <v>NULL</v>
      </c>
      <c r="Q263" t="str" cm="1">
        <f t="array" aca="1" ref="Q263" ca="1">VLOOKUP(INDIRECT("A"&amp;ROW()), 'Recent Changes'!A:G, 3, FALSE)</f>
        <v>NULL</v>
      </c>
      <c r="R263" t="str" cm="1">
        <f t="array" aca="1" ref="R263" ca="1">VLOOKUP(INDIRECT("A"&amp;ROW()), 'Recent Changes'!A:G, 4, FALSE)</f>
        <v>NULL</v>
      </c>
      <c r="S263" t="str" cm="1">
        <f t="array" aca="1" ref="S263" ca="1">VLOOKUP(INDIRECT("A"&amp;ROW()), 'Recent Changes'!A:G, 5, FALSE)</f>
        <v>NULL</v>
      </c>
      <c r="T263" t="str" cm="1">
        <f t="array" aca="1" ref="T263" ca="1">VLOOKUP(INDIRECT("A"&amp;ROW()), 'Recent Changes'!A:G, 6, FALSE)</f>
        <v>NULL</v>
      </c>
      <c r="U263" t="str" cm="1">
        <f t="array" aca="1" ref="U263" ca="1">VLOOKUP(INDIRECT("A"&amp;ROW()), 'Recent Changes'!A:G, 7, FALSE)</f>
        <v>2023-12-14T15:04:12Z</v>
      </c>
      <c r="V263" t="str" cm="1">
        <f t="array" aca="1" ref="V263" ca="1">VLOOKUP(INDIRECT("A"&amp;ROW()), 'Recent Changes'!A:H, 8, FALSE)</f>
        <v>2023-12-14T16:20:22Z</v>
      </c>
    </row>
    <row r="264" spans="1:22" x14ac:dyDescent="0.25">
      <c r="A264">
        <v>17462299</v>
      </c>
      <c r="B264" t="s">
        <v>433</v>
      </c>
      <c r="C264">
        <v>52</v>
      </c>
      <c r="G264" t="e" cm="1">
        <v>#N/A</v>
      </c>
      <c r="H264">
        <v>45296</v>
      </c>
      <c r="I264" t="s">
        <v>15</v>
      </c>
      <c r="J264" t="s">
        <v>36</v>
      </c>
      <c r="K264" t="s">
        <v>44</v>
      </c>
      <c r="L264" t="s">
        <v>55</v>
      </c>
      <c r="M264" t="s">
        <v>76</v>
      </c>
      <c r="N264" t="s">
        <v>2251</v>
      </c>
      <c r="O264" t="s">
        <v>431</v>
      </c>
      <c r="P264" t="e" cm="1">
        <f t="array" aca="1" ref="P264" ca="1">VLOOKUP(INDIRECT("A"&amp;ROW()), 'Recent Changes'!A:G, 2, FALSE)</f>
        <v>#N/A</v>
      </c>
      <c r="Q264" t="e" cm="1">
        <f t="array" aca="1" ref="Q264" ca="1">VLOOKUP(INDIRECT("A"&amp;ROW()), 'Recent Changes'!A:G, 3, FALSE)</f>
        <v>#N/A</v>
      </c>
      <c r="R264" t="e" cm="1">
        <f t="array" aca="1" ref="R264" ca="1">VLOOKUP(INDIRECT("A"&amp;ROW()), 'Recent Changes'!A:G, 4, FALSE)</f>
        <v>#N/A</v>
      </c>
      <c r="S264" t="e" cm="1">
        <f t="array" aca="1" ref="S264" ca="1">VLOOKUP(INDIRECT("A"&amp;ROW()), 'Recent Changes'!A:G, 5, FALSE)</f>
        <v>#N/A</v>
      </c>
      <c r="T264" t="e" cm="1">
        <f t="array" aca="1" ref="T264" ca="1">VLOOKUP(INDIRECT("A"&amp;ROW()), 'Recent Changes'!A:G, 6, FALSE)</f>
        <v>#N/A</v>
      </c>
      <c r="U264" t="e" cm="1">
        <f t="array" aca="1" ref="U264" ca="1">VLOOKUP(INDIRECT("A"&amp;ROW()), 'Recent Changes'!A:G, 7, FALSE)</f>
        <v>#N/A</v>
      </c>
      <c r="V264" t="e" cm="1">
        <f t="array" aca="1" ref="V264" ca="1">VLOOKUP(INDIRECT("A"&amp;ROW()), 'Recent Changes'!A:H, 8, FALSE)</f>
        <v>#N/A</v>
      </c>
    </row>
    <row r="265" spans="1:22" x14ac:dyDescent="0.25">
      <c r="A265">
        <v>17464437</v>
      </c>
      <c r="B265" t="s">
        <v>430</v>
      </c>
      <c r="C265">
        <v>52</v>
      </c>
      <c r="G265" t="e" cm="1">
        <v>#N/A</v>
      </c>
      <c r="H265" t="s">
        <v>14</v>
      </c>
      <c r="I265" t="s">
        <v>14</v>
      </c>
      <c r="J265" t="s">
        <v>25</v>
      </c>
      <c r="K265" t="s">
        <v>389</v>
      </c>
      <c r="L265" t="s">
        <v>57</v>
      </c>
      <c r="M265" t="s">
        <v>2189</v>
      </c>
      <c r="N265" t="s">
        <v>83</v>
      </c>
      <c r="P265" t="str" cm="1">
        <f t="array" aca="1" ref="P265" ca="1">VLOOKUP(INDIRECT("A"&amp;ROW()), 'Recent Changes'!A:G, 2, FALSE)</f>
        <v>NULL</v>
      </c>
      <c r="Q265" t="str" cm="1">
        <f t="array" aca="1" ref="Q265" ca="1">VLOOKUP(INDIRECT("A"&amp;ROW()), 'Recent Changes'!A:G, 3, FALSE)</f>
        <v>NULL</v>
      </c>
      <c r="R265" t="str" cm="1">
        <f t="array" aca="1" ref="R265" ca="1">VLOOKUP(INDIRECT("A"&amp;ROW()), 'Recent Changes'!A:G, 4, FALSE)</f>
        <v>NULL</v>
      </c>
      <c r="S265" t="str" cm="1">
        <f t="array" aca="1" ref="S265" ca="1">VLOOKUP(INDIRECT("A"&amp;ROW()), 'Recent Changes'!A:G, 5, FALSE)</f>
        <v>2023-12-20T21:08:37Z</v>
      </c>
      <c r="T265" t="str" cm="1">
        <f t="array" aca="1" ref="T265" ca="1">VLOOKUP(INDIRECT("A"&amp;ROW()), 'Recent Changes'!A:G, 6, FALSE)</f>
        <v>NULL</v>
      </c>
      <c r="U265" t="str" cm="1">
        <f t="array" aca="1" ref="U265" ca="1">VLOOKUP(INDIRECT("A"&amp;ROW()), 'Recent Changes'!A:G, 7, FALSE)</f>
        <v>2023-12-13T17:31:52Z</v>
      </c>
      <c r="V265" t="str" cm="1">
        <f t="array" aca="1" ref="V265" ca="1">VLOOKUP(INDIRECT("A"&amp;ROW()), 'Recent Changes'!A:H, 8, FALSE)</f>
        <v>2023-12-21T07:25:15Z</v>
      </c>
    </row>
    <row r="266" spans="1:22" x14ac:dyDescent="0.25">
      <c r="A266">
        <v>17465045</v>
      </c>
      <c r="B266" t="s" cm="1">
        <v>430</v>
      </c>
      <c r="C266">
        <v>51</v>
      </c>
      <c r="G266" t="e" cm="1">
        <v>#N/A</v>
      </c>
      <c r="H266" t="s">
        <v>14</v>
      </c>
      <c r="I266" t="s">
        <v>14</v>
      </c>
      <c r="J266" t="s">
        <v>30</v>
      </c>
      <c r="K266" t="s">
        <v>48</v>
      </c>
      <c r="L266" t="s">
        <v>74</v>
      </c>
      <c r="M266" t="s">
        <v>76</v>
      </c>
      <c r="N266" t="s">
        <v>83</v>
      </c>
      <c r="P266" t="str" cm="1">
        <f t="array" aca="1" ref="P266" ca="1">VLOOKUP(INDIRECT("A"&amp;ROW()), 'Recent Changes'!A:G, 2, FALSE)</f>
        <v>2023-12-19T15:47:18Z</v>
      </c>
      <c r="Q266" t="str" cm="1">
        <f t="array" aca="1" ref="Q266" ca="1">VLOOKUP(INDIRECT("A"&amp;ROW()), 'Recent Changes'!A:G, 3, FALSE)</f>
        <v>NULL</v>
      </c>
      <c r="R266" t="str" cm="1">
        <f t="array" aca="1" ref="R266" ca="1">VLOOKUP(INDIRECT("A"&amp;ROW()), 'Recent Changes'!A:G, 4, FALSE)</f>
        <v>NULL</v>
      </c>
      <c r="S266" t="str" cm="1">
        <f t="array" aca="1" ref="S266" ca="1">VLOOKUP(INDIRECT("A"&amp;ROW()), 'Recent Changes'!A:G, 5, FALSE)</f>
        <v>2023-12-19T15:47:45Z</v>
      </c>
      <c r="T266" t="str" cm="1">
        <f t="array" aca="1" ref="T266" ca="1">VLOOKUP(INDIRECT("A"&amp;ROW()), 'Recent Changes'!A:G, 6, FALSE)</f>
        <v>NULL</v>
      </c>
      <c r="U266" t="str" cm="1">
        <f t="array" aca="1" ref="U266" ca="1">VLOOKUP(INDIRECT("A"&amp;ROW()), 'Recent Changes'!A:G, 7, FALSE)</f>
        <v>2023-12-20T08:35:12Z</v>
      </c>
      <c r="V266" t="str" cm="1">
        <f t="array" aca="1" ref="V266" ca="1">VLOOKUP(INDIRECT("A"&amp;ROW()), 'Recent Changes'!A:H, 8, FALSE)</f>
        <v>2023-12-19T16:35:55Z</v>
      </c>
    </row>
    <row r="267" spans="1:22" x14ac:dyDescent="0.25">
      <c r="A267">
        <v>17465147</v>
      </c>
      <c r="B267" t="s">
        <v>433</v>
      </c>
      <c r="C267">
        <v>51</v>
      </c>
      <c r="G267" t="e" cm="1">
        <v>#N/A</v>
      </c>
      <c r="H267">
        <v>45266</v>
      </c>
      <c r="I267" t="s">
        <v>15</v>
      </c>
      <c r="J267" t="s">
        <v>22</v>
      </c>
      <c r="K267" t="s">
        <v>49</v>
      </c>
      <c r="L267" t="s">
        <v>1706</v>
      </c>
      <c r="M267" t="s">
        <v>76</v>
      </c>
      <c r="N267" t="s">
        <v>1716</v>
      </c>
      <c r="O267" t="s">
        <v>431</v>
      </c>
      <c r="P267" t="e" cm="1">
        <f t="array" aca="1" ref="P267" ca="1">VLOOKUP(INDIRECT("A"&amp;ROW()), 'Recent Changes'!A:G, 2, FALSE)</f>
        <v>#N/A</v>
      </c>
      <c r="Q267" t="e" cm="1">
        <f t="array" aca="1" ref="Q267" ca="1">VLOOKUP(INDIRECT("A"&amp;ROW()), 'Recent Changes'!A:G, 3, FALSE)</f>
        <v>#N/A</v>
      </c>
      <c r="R267" t="e" cm="1">
        <f t="array" aca="1" ref="R267" ca="1">VLOOKUP(INDIRECT("A"&amp;ROW()), 'Recent Changes'!A:G, 4, FALSE)</f>
        <v>#N/A</v>
      </c>
      <c r="S267" t="e" cm="1">
        <f t="array" aca="1" ref="S267" ca="1">VLOOKUP(INDIRECT("A"&amp;ROW()), 'Recent Changes'!A:G, 5, FALSE)</f>
        <v>#N/A</v>
      </c>
      <c r="T267" t="e" cm="1">
        <f t="array" aca="1" ref="T267" ca="1">VLOOKUP(INDIRECT("A"&amp;ROW()), 'Recent Changes'!A:G, 6, FALSE)</f>
        <v>#N/A</v>
      </c>
      <c r="U267" t="e" cm="1">
        <f t="array" aca="1" ref="U267" ca="1">VLOOKUP(INDIRECT("A"&amp;ROW()), 'Recent Changes'!A:G, 7, FALSE)</f>
        <v>#N/A</v>
      </c>
      <c r="V267" t="e" cm="1">
        <f t="array" aca="1" ref="V267" ca="1">VLOOKUP(INDIRECT("A"&amp;ROW()), 'Recent Changes'!A:H, 8, FALSE)</f>
        <v>#N/A</v>
      </c>
    </row>
    <row r="268" spans="1:22" x14ac:dyDescent="0.25">
      <c r="A268">
        <v>17465154</v>
      </c>
      <c r="B268" t="s">
        <v>430</v>
      </c>
      <c r="C268">
        <v>51</v>
      </c>
      <c r="G268" t="e" cm="1">
        <v>#N/A</v>
      </c>
      <c r="H268" t="s">
        <v>14</v>
      </c>
      <c r="I268" t="s">
        <v>14</v>
      </c>
      <c r="J268" t="s">
        <v>21</v>
      </c>
      <c r="K268" t="s">
        <v>388</v>
      </c>
      <c r="L268" t="s">
        <v>2118</v>
      </c>
      <c r="M268" t="s">
        <v>76</v>
      </c>
      <c r="N268" t="s">
        <v>83</v>
      </c>
      <c r="P268" t="str" cm="1">
        <f t="array" aca="1" ref="P268" ca="1">VLOOKUP(INDIRECT("A"&amp;ROW()), 'Recent Changes'!A:G, 2, FALSE)</f>
        <v>NULL</v>
      </c>
      <c r="Q268" t="str" cm="1">
        <f t="array" aca="1" ref="Q268" ca="1">VLOOKUP(INDIRECT("A"&amp;ROW()), 'Recent Changes'!A:G, 3, FALSE)</f>
        <v>NULL</v>
      </c>
      <c r="R268" t="str" cm="1">
        <f t="array" aca="1" ref="R268" ca="1">VLOOKUP(INDIRECT("A"&amp;ROW()), 'Recent Changes'!A:G, 4, FALSE)</f>
        <v>NULL</v>
      </c>
      <c r="S268" t="str" cm="1">
        <f t="array" aca="1" ref="S268" ca="1">VLOOKUP(INDIRECT("A"&amp;ROW()), 'Recent Changes'!A:G, 5, FALSE)</f>
        <v>NULL</v>
      </c>
      <c r="T268" t="str" cm="1">
        <f t="array" aca="1" ref="T268" ca="1">VLOOKUP(INDIRECT("A"&amp;ROW()), 'Recent Changes'!A:G, 6, FALSE)</f>
        <v>NULL</v>
      </c>
      <c r="U268" t="str" cm="1">
        <f t="array" aca="1" ref="U268" ca="1">VLOOKUP(INDIRECT("A"&amp;ROW()), 'Recent Changes'!A:G, 7, FALSE)</f>
        <v>2023-12-27T16:27:04Z</v>
      </c>
      <c r="V268" t="str" cm="1">
        <f t="array" aca="1" ref="V268" ca="1">VLOOKUP(INDIRECT("A"&amp;ROW()), 'Recent Changes'!A:H, 8, FALSE)</f>
        <v>2023-12-28T08:00:49Z</v>
      </c>
    </row>
    <row r="269" spans="1:22" x14ac:dyDescent="0.25">
      <c r="A269">
        <v>17465289</v>
      </c>
      <c r="B269" t="s">
        <v>433</v>
      </c>
      <c r="C269">
        <v>51</v>
      </c>
      <c r="G269" t="e" cm="1">
        <v>#N/A</v>
      </c>
      <c r="H269">
        <v>45293</v>
      </c>
      <c r="I269" t="s">
        <v>15</v>
      </c>
      <c r="J269" t="s">
        <v>30</v>
      </c>
      <c r="K269" t="s">
        <v>44</v>
      </c>
      <c r="L269" t="s">
        <v>74</v>
      </c>
      <c r="M269" t="s">
        <v>76</v>
      </c>
      <c r="N269" t="s">
        <v>1596</v>
      </c>
      <c r="O269" t="s">
        <v>431</v>
      </c>
      <c r="P269" t="e" cm="1">
        <f t="array" aca="1" ref="P269" ca="1">VLOOKUP(INDIRECT("A"&amp;ROW()), 'Recent Changes'!A:G, 2, FALSE)</f>
        <v>#N/A</v>
      </c>
      <c r="Q269" t="e" cm="1">
        <f t="array" aca="1" ref="Q269" ca="1">VLOOKUP(INDIRECT("A"&amp;ROW()), 'Recent Changes'!A:G, 3, FALSE)</f>
        <v>#N/A</v>
      </c>
      <c r="R269" t="e" cm="1">
        <f t="array" aca="1" ref="R269" ca="1">VLOOKUP(INDIRECT("A"&amp;ROW()), 'Recent Changes'!A:G, 4, FALSE)</f>
        <v>#N/A</v>
      </c>
      <c r="S269" t="e" cm="1">
        <f t="array" aca="1" ref="S269" ca="1">VLOOKUP(INDIRECT("A"&amp;ROW()), 'Recent Changes'!A:G, 5, FALSE)</f>
        <v>#N/A</v>
      </c>
      <c r="T269" t="e" cm="1">
        <f t="array" aca="1" ref="T269" ca="1">VLOOKUP(INDIRECT("A"&amp;ROW()), 'Recent Changes'!A:G, 6, FALSE)</f>
        <v>#N/A</v>
      </c>
      <c r="U269" t="e" cm="1">
        <f t="array" aca="1" ref="U269" ca="1">VLOOKUP(INDIRECT("A"&amp;ROW()), 'Recent Changes'!A:G, 7, FALSE)</f>
        <v>#N/A</v>
      </c>
      <c r="V269" t="e" cm="1">
        <f t="array" aca="1" ref="V269" ca="1">VLOOKUP(INDIRECT("A"&amp;ROW()), 'Recent Changes'!A:H, 8, FALSE)</f>
        <v>#N/A</v>
      </c>
    </row>
    <row r="270" spans="1:22" x14ac:dyDescent="0.25">
      <c r="A270">
        <v>17465360</v>
      </c>
      <c r="B270" t="s">
        <v>433</v>
      </c>
      <c r="C270">
        <v>51</v>
      </c>
      <c r="G270" t="s" cm="1">
        <v>442</v>
      </c>
      <c r="H270">
        <v>45264</v>
      </c>
      <c r="I270" t="s">
        <v>15</v>
      </c>
      <c r="J270" t="s">
        <v>32</v>
      </c>
      <c r="K270" t="s">
        <v>44</v>
      </c>
      <c r="L270" t="s">
        <v>392</v>
      </c>
      <c r="M270" t="s">
        <v>76</v>
      </c>
      <c r="N270" t="s">
        <v>419</v>
      </c>
      <c r="O270" t="s">
        <v>431</v>
      </c>
      <c r="P270" t="e" cm="1">
        <f t="array" aca="1" ref="P270" ca="1">VLOOKUP(INDIRECT("A"&amp;ROW()), 'Recent Changes'!A:G, 2, FALSE)</f>
        <v>#N/A</v>
      </c>
      <c r="Q270" t="e" cm="1">
        <f t="array" aca="1" ref="Q270" ca="1">VLOOKUP(INDIRECT("A"&amp;ROW()), 'Recent Changes'!A:G, 3, FALSE)</f>
        <v>#N/A</v>
      </c>
      <c r="R270" t="e" cm="1">
        <f t="array" aca="1" ref="R270" ca="1">VLOOKUP(INDIRECT("A"&amp;ROW()), 'Recent Changes'!A:G, 4, FALSE)</f>
        <v>#N/A</v>
      </c>
      <c r="S270" t="e" cm="1">
        <f t="array" aca="1" ref="S270" ca="1">VLOOKUP(INDIRECT("A"&amp;ROW()), 'Recent Changes'!A:G, 5, FALSE)</f>
        <v>#N/A</v>
      </c>
      <c r="T270" t="e" cm="1">
        <f t="array" aca="1" ref="T270" ca="1">VLOOKUP(INDIRECT("A"&amp;ROW()), 'Recent Changes'!A:G, 6, FALSE)</f>
        <v>#N/A</v>
      </c>
      <c r="U270" t="e" cm="1">
        <f t="array" aca="1" ref="U270" ca="1">VLOOKUP(INDIRECT("A"&amp;ROW()), 'Recent Changes'!A:G, 7, FALSE)</f>
        <v>#N/A</v>
      </c>
      <c r="V270" t="e" cm="1">
        <f t="array" aca="1" ref="V270" ca="1">VLOOKUP(INDIRECT("A"&amp;ROW()), 'Recent Changes'!A:H, 8, FALSE)</f>
        <v>#N/A</v>
      </c>
    </row>
    <row r="271" spans="1:22" x14ac:dyDescent="0.25">
      <c r="A271">
        <v>17465380</v>
      </c>
      <c r="B271" t="s" cm="1">
        <v>430</v>
      </c>
      <c r="C271">
        <v>51</v>
      </c>
      <c r="G271" t="e" cm="1">
        <v>#N/A</v>
      </c>
      <c r="H271" t="s">
        <v>14</v>
      </c>
      <c r="I271" t="s">
        <v>14</v>
      </c>
      <c r="J271" t="s">
        <v>18</v>
      </c>
      <c r="K271" t="s">
        <v>44</v>
      </c>
      <c r="L271" t="s">
        <v>2132</v>
      </c>
      <c r="M271" t="s">
        <v>76</v>
      </c>
      <c r="N271" t="s">
        <v>83</v>
      </c>
      <c r="P271" t="str" cm="1">
        <f t="array" aca="1" ref="P271" ca="1">VLOOKUP(INDIRECT("A"&amp;ROW()), 'Recent Changes'!A:G, 2, FALSE)</f>
        <v>NULL</v>
      </c>
      <c r="Q271" t="str" cm="1">
        <f t="array" aca="1" ref="Q271" ca="1">VLOOKUP(INDIRECT("A"&amp;ROW()), 'Recent Changes'!A:G, 3, FALSE)</f>
        <v>NULL</v>
      </c>
      <c r="R271" t="str" cm="1">
        <f t="array" aca="1" ref="R271" ca="1">VLOOKUP(INDIRECT("A"&amp;ROW()), 'Recent Changes'!A:G, 4, FALSE)</f>
        <v>NULL</v>
      </c>
      <c r="S271" t="str" cm="1">
        <f t="array" aca="1" ref="S271" ca="1">VLOOKUP(INDIRECT("A"&amp;ROW()), 'Recent Changes'!A:G, 5, FALSE)</f>
        <v>2023-12-20T21:16:20Z</v>
      </c>
      <c r="T271" t="str" cm="1">
        <f t="array" aca="1" ref="T271" ca="1">VLOOKUP(INDIRECT("A"&amp;ROW()), 'Recent Changes'!A:G, 6, FALSE)</f>
        <v>NULL</v>
      </c>
      <c r="U271" t="str" cm="1">
        <f t="array" aca="1" ref="U271" ca="1">VLOOKUP(INDIRECT("A"&amp;ROW()), 'Recent Changes'!A:G, 7, FALSE)</f>
        <v>NULL</v>
      </c>
      <c r="V271" t="str" cm="1">
        <f t="array" aca="1" ref="V271" ca="1">VLOOKUP(INDIRECT("A"&amp;ROW()), 'Recent Changes'!A:H, 8, FALSE)</f>
        <v>2023-12-21T07:30:02Z</v>
      </c>
    </row>
    <row r="272" spans="1:22" x14ac:dyDescent="0.25">
      <c r="A272">
        <v>16835970</v>
      </c>
      <c r="B272" t="s">
        <v>433</v>
      </c>
      <c r="C272">
        <v>49</v>
      </c>
      <c r="G272" t="e" cm="1">
        <v>#N/A</v>
      </c>
      <c r="H272">
        <v>45250</v>
      </c>
      <c r="I272" t="s">
        <v>15</v>
      </c>
      <c r="J272" t="s">
        <v>18</v>
      </c>
      <c r="K272" t="s">
        <v>44</v>
      </c>
      <c r="L272" t="s">
        <v>2133</v>
      </c>
      <c r="M272" t="s">
        <v>79</v>
      </c>
      <c r="N272" t="s">
        <v>749</v>
      </c>
      <c r="O272" t="s">
        <v>431</v>
      </c>
      <c r="P272" t="e" cm="1">
        <f t="array" aca="1" ref="P272" ca="1">VLOOKUP(INDIRECT("A"&amp;ROW()), 'Recent Changes'!A:G, 2, FALSE)</f>
        <v>#N/A</v>
      </c>
      <c r="Q272" t="e" cm="1">
        <f t="array" aca="1" ref="Q272" ca="1">VLOOKUP(INDIRECT("A"&amp;ROW()), 'Recent Changes'!A:G, 3, FALSE)</f>
        <v>#N/A</v>
      </c>
      <c r="R272" t="e" cm="1">
        <f t="array" aca="1" ref="R272" ca="1">VLOOKUP(INDIRECT("A"&amp;ROW()), 'Recent Changes'!A:G, 4, FALSE)</f>
        <v>#N/A</v>
      </c>
      <c r="S272" t="e" cm="1">
        <f t="array" aca="1" ref="S272" ca="1">VLOOKUP(INDIRECT("A"&amp;ROW()), 'Recent Changes'!A:G, 5, FALSE)</f>
        <v>#N/A</v>
      </c>
      <c r="T272" t="e" cm="1">
        <f t="array" aca="1" ref="T272" ca="1">VLOOKUP(INDIRECT("A"&amp;ROW()), 'Recent Changes'!A:G, 6, FALSE)</f>
        <v>#N/A</v>
      </c>
      <c r="U272" t="e" cm="1">
        <f t="array" aca="1" ref="U272" ca="1">VLOOKUP(INDIRECT("A"&amp;ROW()), 'Recent Changes'!A:G, 7, FALSE)</f>
        <v>#N/A</v>
      </c>
      <c r="V272" t="e" cm="1">
        <f t="array" aca="1" ref="V272" ca="1">VLOOKUP(INDIRECT("A"&amp;ROW()), 'Recent Changes'!A:H, 8, FALSE)</f>
        <v>#N/A</v>
      </c>
    </row>
    <row r="273" spans="1:22" x14ac:dyDescent="0.25">
      <c r="A273">
        <v>17216286</v>
      </c>
      <c r="B273" t="s">
        <v>433</v>
      </c>
      <c r="C273">
        <v>49</v>
      </c>
      <c r="G273" t="s" cm="1">
        <v>442</v>
      </c>
      <c r="H273">
        <v>45250</v>
      </c>
      <c r="I273" t="s">
        <v>15</v>
      </c>
      <c r="J273" t="s">
        <v>38</v>
      </c>
      <c r="K273" t="s">
        <v>44</v>
      </c>
      <c r="L273" t="s">
        <v>64</v>
      </c>
      <c r="M273" t="s">
        <v>76</v>
      </c>
      <c r="N273" t="s">
        <v>2252</v>
      </c>
      <c r="O273" t="s">
        <v>431</v>
      </c>
      <c r="P273" t="e" cm="1">
        <f t="array" aca="1" ref="P273" ca="1">VLOOKUP(INDIRECT("A"&amp;ROW()), 'Recent Changes'!A:G, 2, FALSE)</f>
        <v>#N/A</v>
      </c>
      <c r="Q273" t="e" cm="1">
        <f t="array" aca="1" ref="Q273" ca="1">VLOOKUP(INDIRECT("A"&amp;ROW()), 'Recent Changes'!A:G, 3, FALSE)</f>
        <v>#N/A</v>
      </c>
      <c r="R273" t="e" cm="1">
        <f t="array" aca="1" ref="R273" ca="1">VLOOKUP(INDIRECT("A"&amp;ROW()), 'Recent Changes'!A:G, 4, FALSE)</f>
        <v>#N/A</v>
      </c>
      <c r="S273" t="e" cm="1">
        <f t="array" aca="1" ref="S273" ca="1">VLOOKUP(INDIRECT("A"&amp;ROW()), 'Recent Changes'!A:G, 5, FALSE)</f>
        <v>#N/A</v>
      </c>
      <c r="T273" t="e" cm="1">
        <f t="array" aca="1" ref="T273" ca="1">VLOOKUP(INDIRECT("A"&amp;ROW()), 'Recent Changes'!A:G, 6, FALSE)</f>
        <v>#N/A</v>
      </c>
      <c r="U273" t="e" cm="1">
        <f t="array" aca="1" ref="U273" ca="1">VLOOKUP(INDIRECT("A"&amp;ROW()), 'Recent Changes'!A:G, 7, FALSE)</f>
        <v>#N/A</v>
      </c>
      <c r="V273" t="e" cm="1">
        <f t="array" aca="1" ref="V273" ca="1">VLOOKUP(INDIRECT("A"&amp;ROW()), 'Recent Changes'!A:H, 8, FALSE)</f>
        <v>#N/A</v>
      </c>
    </row>
    <row r="274" spans="1:22" x14ac:dyDescent="0.25">
      <c r="A274">
        <v>17466607</v>
      </c>
      <c r="B274" t="s">
        <v>430</v>
      </c>
      <c r="C274">
        <v>49</v>
      </c>
      <c r="G274" t="e" cm="1">
        <v>#N/A</v>
      </c>
      <c r="H274" t="s">
        <v>14</v>
      </c>
      <c r="I274" t="s">
        <v>14</v>
      </c>
      <c r="J274" t="s">
        <v>32</v>
      </c>
      <c r="K274" t="s">
        <v>43</v>
      </c>
      <c r="L274" t="s">
        <v>2134</v>
      </c>
      <c r="M274" t="s">
        <v>2190</v>
      </c>
      <c r="N274" t="s">
        <v>83</v>
      </c>
      <c r="P274" t="str" cm="1">
        <f t="array" aca="1" ref="P274" ca="1">VLOOKUP(INDIRECT("A"&amp;ROW()), 'Recent Changes'!A:G, 2, FALSE)</f>
        <v>NULL</v>
      </c>
      <c r="Q274" t="str" cm="1">
        <f t="array" aca="1" ref="Q274" ca="1">VLOOKUP(INDIRECT("A"&amp;ROW()), 'Recent Changes'!A:G, 3, FALSE)</f>
        <v>NULL</v>
      </c>
      <c r="R274" t="str" cm="1">
        <f t="array" aca="1" ref="R274" ca="1">VLOOKUP(INDIRECT("A"&amp;ROW()), 'Recent Changes'!A:G, 4, FALSE)</f>
        <v>NULL</v>
      </c>
      <c r="S274" t="str" cm="1">
        <f t="array" aca="1" ref="S274" ca="1">VLOOKUP(INDIRECT("A"&amp;ROW()), 'Recent Changes'!A:G, 5, FALSE)</f>
        <v>2023-12-29T18:29:19Z</v>
      </c>
      <c r="T274" t="str" cm="1">
        <f t="array" aca="1" ref="T274" ca="1">VLOOKUP(INDIRECT("A"&amp;ROW()), 'Recent Changes'!A:G, 6, FALSE)</f>
        <v>NULL</v>
      </c>
      <c r="U274" t="str" cm="1">
        <f t="array" aca="1" ref="U274" ca="1">VLOOKUP(INDIRECT("A"&amp;ROW()), 'Recent Changes'!A:G, 7, FALSE)</f>
        <v>2023-12-21T00:09:41Z</v>
      </c>
      <c r="V274" t="str" cm="1">
        <f t="array" aca="1" ref="V274" ca="1">VLOOKUP(INDIRECT("A"&amp;ROW()), 'Recent Changes'!A:H, 8, FALSE)</f>
        <v>2023-12-30T07:40:15Z</v>
      </c>
    </row>
    <row r="275" spans="1:22" x14ac:dyDescent="0.25">
      <c r="A275">
        <v>17466860</v>
      </c>
      <c r="B275" t="s" cm="1">
        <v>430</v>
      </c>
      <c r="C275">
        <v>49</v>
      </c>
      <c r="G275" t="e" cm="1">
        <v>#N/A</v>
      </c>
      <c r="H275" t="s">
        <v>14</v>
      </c>
      <c r="I275" t="s">
        <v>14</v>
      </c>
      <c r="J275" t="s">
        <v>30</v>
      </c>
      <c r="K275" t="s">
        <v>43</v>
      </c>
      <c r="L275" t="s">
        <v>63</v>
      </c>
      <c r="M275" t="s">
        <v>76</v>
      </c>
      <c r="N275" t="s">
        <v>83</v>
      </c>
      <c r="P275" t="str" cm="1">
        <f t="array" aca="1" ref="P275" ca="1">VLOOKUP(INDIRECT("A"&amp;ROW()), 'Recent Changes'!A:G, 2, FALSE)</f>
        <v>NULL</v>
      </c>
      <c r="Q275" t="str" cm="1">
        <f t="array" aca="1" ref="Q275" ca="1">VLOOKUP(INDIRECT("A"&amp;ROW()), 'Recent Changes'!A:G, 3, FALSE)</f>
        <v>NULL</v>
      </c>
      <c r="R275" t="str" cm="1">
        <f t="array" aca="1" ref="R275" ca="1">VLOOKUP(INDIRECT("A"&amp;ROW()), 'Recent Changes'!A:G, 4, FALSE)</f>
        <v>NULL</v>
      </c>
      <c r="S275" t="str" cm="1">
        <f t="array" aca="1" ref="S275" ca="1">VLOOKUP(INDIRECT("A"&amp;ROW()), 'Recent Changes'!A:G, 5, FALSE)</f>
        <v>NULL</v>
      </c>
      <c r="T275" t="str" cm="1">
        <f t="array" aca="1" ref="T275" ca="1">VLOOKUP(INDIRECT("A"&amp;ROW()), 'Recent Changes'!A:G, 6, FALSE)</f>
        <v>NULL</v>
      </c>
      <c r="U275" t="str" cm="1">
        <f t="array" aca="1" ref="U275" ca="1">VLOOKUP(INDIRECT("A"&amp;ROW()), 'Recent Changes'!A:G, 7, FALSE)</f>
        <v>2023-12-20T15:53:54Z</v>
      </c>
      <c r="V275" t="str" cm="1">
        <f t="array" aca="1" ref="V275" ca="1">VLOOKUP(INDIRECT("A"&amp;ROW()), 'Recent Changes'!A:H, 8, FALSE)</f>
        <v>2023-12-20T16:24:17Z</v>
      </c>
    </row>
    <row r="276" spans="1:22" x14ac:dyDescent="0.25">
      <c r="A276">
        <v>17467258</v>
      </c>
      <c r="B276" t="s" cm="1">
        <v>430</v>
      </c>
      <c r="C276">
        <v>49</v>
      </c>
      <c r="G276" t="s" cm="1">
        <v>442</v>
      </c>
      <c r="H276" t="s">
        <v>14</v>
      </c>
      <c r="I276" t="s">
        <v>14</v>
      </c>
      <c r="J276" t="s">
        <v>30</v>
      </c>
      <c r="K276" t="s">
        <v>44</v>
      </c>
      <c r="L276" t="s">
        <v>87</v>
      </c>
      <c r="M276" t="s">
        <v>76</v>
      </c>
      <c r="N276" t="s">
        <v>83</v>
      </c>
      <c r="P276" t="str" cm="1">
        <f t="array" aca="1" ref="P276" ca="1">VLOOKUP(INDIRECT("A"&amp;ROW()), 'Recent Changes'!A:G, 2, FALSE)</f>
        <v>NULL</v>
      </c>
      <c r="Q276" t="str" cm="1">
        <f t="array" aca="1" ref="Q276" ca="1">VLOOKUP(INDIRECT("A"&amp;ROW()), 'Recent Changes'!A:G, 3, FALSE)</f>
        <v>NULL</v>
      </c>
      <c r="R276" t="str" cm="1">
        <f t="array" aca="1" ref="R276" ca="1">VLOOKUP(INDIRECT("A"&amp;ROW()), 'Recent Changes'!A:G, 4, FALSE)</f>
        <v>NULL</v>
      </c>
      <c r="S276" t="str" cm="1">
        <f t="array" aca="1" ref="S276" ca="1">VLOOKUP(INDIRECT("A"&amp;ROW()), 'Recent Changes'!A:G, 5, FALSE)</f>
        <v>NULL</v>
      </c>
      <c r="T276" t="str" cm="1">
        <f t="array" aca="1" ref="T276" ca="1">VLOOKUP(INDIRECT("A"&amp;ROW()), 'Recent Changes'!A:G, 6, FALSE)</f>
        <v>NULL</v>
      </c>
      <c r="U276" t="str" cm="1">
        <f t="array" aca="1" ref="U276" ca="1">VLOOKUP(INDIRECT("A"&amp;ROW()), 'Recent Changes'!A:G, 7, FALSE)</f>
        <v>2023-12-07T15:22:33Z</v>
      </c>
      <c r="V276" t="str" cm="1">
        <f t="array" aca="1" ref="V276" ca="1">VLOOKUP(INDIRECT("A"&amp;ROW()), 'Recent Changes'!A:H, 8, FALSE)</f>
        <v>2023-12-07T16:45:40Z</v>
      </c>
    </row>
    <row r="277" spans="1:22" x14ac:dyDescent="0.25">
      <c r="A277">
        <v>10974791</v>
      </c>
      <c r="B277" t="s">
        <v>433</v>
      </c>
      <c r="C277">
        <v>48</v>
      </c>
      <c r="G277" t="s" cm="1">
        <v>442</v>
      </c>
      <c r="H277">
        <v>45251</v>
      </c>
      <c r="I277" t="s">
        <v>15</v>
      </c>
      <c r="J277" t="s">
        <v>18</v>
      </c>
      <c r="K277" t="s">
        <v>44</v>
      </c>
      <c r="L277" t="s">
        <v>572</v>
      </c>
      <c r="M277" t="s">
        <v>76</v>
      </c>
      <c r="N277" t="s">
        <v>439</v>
      </c>
      <c r="O277" t="s">
        <v>431</v>
      </c>
      <c r="P277" t="e" cm="1">
        <f t="array" aca="1" ref="P277" ca="1">VLOOKUP(INDIRECT("A"&amp;ROW()), 'Recent Changes'!A:G, 2, FALSE)</f>
        <v>#N/A</v>
      </c>
      <c r="Q277" t="e" cm="1">
        <f t="array" aca="1" ref="Q277" ca="1">VLOOKUP(INDIRECT("A"&amp;ROW()), 'Recent Changes'!A:G, 3, FALSE)</f>
        <v>#N/A</v>
      </c>
      <c r="R277" t="e" cm="1">
        <f t="array" aca="1" ref="R277" ca="1">VLOOKUP(INDIRECT("A"&amp;ROW()), 'Recent Changes'!A:G, 4, FALSE)</f>
        <v>#N/A</v>
      </c>
      <c r="S277" t="e" cm="1">
        <f t="array" aca="1" ref="S277" ca="1">VLOOKUP(INDIRECT("A"&amp;ROW()), 'Recent Changes'!A:G, 5, FALSE)</f>
        <v>#N/A</v>
      </c>
      <c r="T277" t="e" cm="1">
        <f t="array" aca="1" ref="T277" ca="1">VLOOKUP(INDIRECT("A"&amp;ROW()), 'Recent Changes'!A:G, 6, FALSE)</f>
        <v>#N/A</v>
      </c>
      <c r="U277" t="e" cm="1">
        <f t="array" aca="1" ref="U277" ca="1">VLOOKUP(INDIRECT("A"&amp;ROW()), 'Recent Changes'!A:G, 7, FALSE)</f>
        <v>#N/A</v>
      </c>
      <c r="V277" t="e" cm="1">
        <f t="array" aca="1" ref="V277" ca="1">VLOOKUP(INDIRECT("A"&amp;ROW()), 'Recent Changes'!A:H, 8, FALSE)</f>
        <v>#N/A</v>
      </c>
    </row>
    <row r="278" spans="1:22" x14ac:dyDescent="0.25">
      <c r="A278">
        <v>15910356</v>
      </c>
      <c r="B278" t="s" cm="1">
        <v>430</v>
      </c>
      <c r="C278">
        <v>48</v>
      </c>
      <c r="G278" t="s" cm="1">
        <v>442</v>
      </c>
      <c r="H278" t="s">
        <v>14</v>
      </c>
      <c r="I278" t="s">
        <v>14</v>
      </c>
      <c r="J278" t="s">
        <v>30</v>
      </c>
      <c r="K278" t="s">
        <v>46</v>
      </c>
      <c r="L278" t="s">
        <v>1517</v>
      </c>
      <c r="M278" t="s">
        <v>76</v>
      </c>
      <c r="N278" t="s">
        <v>83</v>
      </c>
      <c r="P278" t="str" cm="1">
        <f t="array" aca="1" ref="P278" ca="1">VLOOKUP(INDIRECT("A"&amp;ROW()), 'Recent Changes'!A:G, 2, FALSE)</f>
        <v>NULL</v>
      </c>
      <c r="Q278" t="str" cm="1">
        <f t="array" aca="1" ref="Q278" ca="1">VLOOKUP(INDIRECT("A"&amp;ROW()), 'Recent Changes'!A:G, 3, FALSE)</f>
        <v>NULL</v>
      </c>
      <c r="R278" t="str" cm="1">
        <f t="array" aca="1" ref="R278" ca="1">VLOOKUP(INDIRECT("A"&amp;ROW()), 'Recent Changes'!A:G, 4, FALSE)</f>
        <v>NULL</v>
      </c>
      <c r="S278" t="str" cm="1">
        <f t="array" aca="1" ref="S278" ca="1">VLOOKUP(INDIRECT("A"&amp;ROW()), 'Recent Changes'!A:G, 5, FALSE)</f>
        <v>2023-11-21T15:47:16Z</v>
      </c>
      <c r="T278" t="str" cm="1">
        <f t="array" aca="1" ref="T278" ca="1">VLOOKUP(INDIRECT("A"&amp;ROW()), 'Recent Changes'!A:G, 6, FALSE)</f>
        <v>NULL</v>
      </c>
      <c r="U278" t="str" cm="1">
        <f t="array" aca="1" ref="U278" ca="1">VLOOKUP(INDIRECT("A"&amp;ROW()), 'Recent Changes'!A:G, 7, FALSE)</f>
        <v>2023-11-21T15:51:31Z</v>
      </c>
      <c r="V278" t="str" cm="1">
        <f t="array" aca="1" ref="V278" ca="1">VLOOKUP(INDIRECT("A"&amp;ROW()), 'Recent Changes'!A:H, 8, FALSE)</f>
        <v>2023-11-21T16:09:46Z</v>
      </c>
    </row>
    <row r="279" spans="1:22" x14ac:dyDescent="0.25">
      <c r="A279">
        <v>15921520</v>
      </c>
      <c r="B279" t="s" cm="1">
        <v>430</v>
      </c>
      <c r="C279">
        <v>48</v>
      </c>
      <c r="G279" t="e" cm="1">
        <v>#N/A</v>
      </c>
      <c r="H279" t="s">
        <v>14</v>
      </c>
      <c r="I279" t="s">
        <v>14</v>
      </c>
      <c r="J279" t="s">
        <v>26</v>
      </c>
      <c r="K279" t="s">
        <v>46</v>
      </c>
      <c r="L279" t="s">
        <v>768</v>
      </c>
      <c r="M279" t="s">
        <v>76</v>
      </c>
      <c r="N279" t="s">
        <v>83</v>
      </c>
      <c r="P279" t="str" cm="1">
        <f t="array" aca="1" ref="P279" ca="1">VLOOKUP(INDIRECT("A"&amp;ROW()), 'Recent Changes'!A:G, 2, FALSE)</f>
        <v>NULL</v>
      </c>
      <c r="Q279" t="str" cm="1">
        <f t="array" aca="1" ref="Q279" ca="1">VLOOKUP(INDIRECT("A"&amp;ROW()), 'Recent Changes'!A:G, 3, FALSE)</f>
        <v>NULL</v>
      </c>
      <c r="R279" t="str" cm="1">
        <f t="array" aca="1" ref="R279" ca="1">VLOOKUP(INDIRECT("A"&amp;ROW()), 'Recent Changes'!A:G, 4, FALSE)</f>
        <v>NULL</v>
      </c>
      <c r="S279" t="str" cm="1">
        <f t="array" aca="1" ref="S279" ca="1">VLOOKUP(INDIRECT("A"&amp;ROW()), 'Recent Changes'!A:G, 5, FALSE)</f>
        <v>2023-12-13T15:07:08Z</v>
      </c>
      <c r="T279" t="str" cm="1">
        <f t="array" aca="1" ref="T279" ca="1">VLOOKUP(INDIRECT("A"&amp;ROW()), 'Recent Changes'!A:G, 6, FALSE)</f>
        <v>NULL</v>
      </c>
      <c r="U279" t="str" cm="1">
        <f t="array" aca="1" ref="U279" ca="1">VLOOKUP(INDIRECT("A"&amp;ROW()), 'Recent Changes'!A:G, 7, FALSE)</f>
        <v>NULL</v>
      </c>
      <c r="V279" t="str" cm="1">
        <f t="array" aca="1" ref="V279" ca="1">VLOOKUP(INDIRECT("A"&amp;ROW()), 'Recent Changes'!A:H, 8, FALSE)</f>
        <v>2023-12-13T16:24:32Z</v>
      </c>
    </row>
    <row r="280" spans="1:22" x14ac:dyDescent="0.25">
      <c r="A280">
        <v>16572079</v>
      </c>
      <c r="B280" t="s" cm="1">
        <v>430</v>
      </c>
      <c r="C280">
        <v>48</v>
      </c>
      <c r="G280" t="s" cm="1">
        <v>442</v>
      </c>
      <c r="H280" t="s">
        <v>14</v>
      </c>
      <c r="I280" t="s">
        <v>14</v>
      </c>
      <c r="J280" t="s">
        <v>30</v>
      </c>
      <c r="K280" t="s">
        <v>48</v>
      </c>
      <c r="L280" t="s">
        <v>55</v>
      </c>
      <c r="M280" t="s">
        <v>76</v>
      </c>
      <c r="N280" t="s">
        <v>83</v>
      </c>
      <c r="P280" t="str" cm="1">
        <f t="array" aca="1" ref="P280" ca="1">VLOOKUP(INDIRECT("A"&amp;ROW()), 'Recent Changes'!A:G, 2, FALSE)</f>
        <v>NULL</v>
      </c>
      <c r="Q280" t="str" cm="1">
        <f t="array" aca="1" ref="Q280" ca="1">VLOOKUP(INDIRECT("A"&amp;ROW()), 'Recent Changes'!A:G, 3, FALSE)</f>
        <v>NULL</v>
      </c>
      <c r="R280" t="str" cm="1">
        <f t="array" aca="1" ref="R280" ca="1">VLOOKUP(INDIRECT("A"&amp;ROW()), 'Recent Changes'!A:G, 4, FALSE)</f>
        <v>NULL</v>
      </c>
      <c r="S280" t="str" cm="1">
        <f t="array" aca="1" ref="S280" ca="1">VLOOKUP(INDIRECT("A"&amp;ROW()), 'Recent Changes'!A:G, 5, FALSE)</f>
        <v>2023-11-21T05:59:51Z</v>
      </c>
      <c r="T280" t="str" cm="1">
        <f t="array" aca="1" ref="T280" ca="1">VLOOKUP(INDIRECT("A"&amp;ROW()), 'Recent Changes'!A:G, 6, FALSE)</f>
        <v>NULL</v>
      </c>
      <c r="U280" t="str" cm="1">
        <f t="array" aca="1" ref="U280" ca="1">VLOOKUP(INDIRECT("A"&amp;ROW()), 'Recent Changes'!A:G, 7, FALSE)</f>
        <v>2023-05-20T08:13:15Z</v>
      </c>
      <c r="V280" t="str" cm="1">
        <f t="array" aca="1" ref="V280" ca="1">VLOOKUP(INDIRECT("A"&amp;ROW()), 'Recent Changes'!A:H, 8, FALSE)</f>
        <v>2023-11-21T08:17:34Z</v>
      </c>
    </row>
    <row r="281" spans="1:22" x14ac:dyDescent="0.25">
      <c r="A281">
        <v>17051414</v>
      </c>
      <c r="B281" t="s" cm="1">
        <v>430</v>
      </c>
      <c r="C281">
        <v>48</v>
      </c>
      <c r="G281" t="s" cm="1">
        <v>442</v>
      </c>
      <c r="H281" t="s">
        <v>14</v>
      </c>
      <c r="I281" t="s">
        <v>14</v>
      </c>
      <c r="J281" t="s">
        <v>30</v>
      </c>
      <c r="K281" t="s">
        <v>48</v>
      </c>
      <c r="L281" t="s">
        <v>395</v>
      </c>
      <c r="M281" t="s">
        <v>76</v>
      </c>
      <c r="N281" t="s">
        <v>83</v>
      </c>
      <c r="P281" t="str" cm="1">
        <f t="array" aca="1" ref="P281" ca="1">VLOOKUP(INDIRECT("A"&amp;ROW()), 'Recent Changes'!A:G, 2, FALSE)</f>
        <v>NULL</v>
      </c>
      <c r="Q281" t="str" cm="1">
        <f t="array" aca="1" ref="Q281" ca="1">VLOOKUP(INDIRECT("A"&amp;ROW()), 'Recent Changes'!A:G, 3, FALSE)</f>
        <v>NULL</v>
      </c>
      <c r="R281" t="str" cm="1">
        <f t="array" aca="1" ref="R281" ca="1">VLOOKUP(INDIRECT("A"&amp;ROW()), 'Recent Changes'!A:G, 4, FALSE)</f>
        <v>NULL</v>
      </c>
      <c r="S281" t="str" cm="1">
        <f t="array" aca="1" ref="S281" ca="1">VLOOKUP(INDIRECT("A"&amp;ROW()), 'Recent Changes'!A:G, 5, FALSE)</f>
        <v>2023-11-30T01:51:39Z</v>
      </c>
      <c r="T281" t="str" cm="1">
        <f t="array" aca="1" ref="T281" ca="1">VLOOKUP(INDIRECT("A"&amp;ROW()), 'Recent Changes'!A:G, 6, FALSE)</f>
        <v>NULL</v>
      </c>
      <c r="U281" t="str" cm="1">
        <f t="array" aca="1" ref="U281" ca="1">VLOOKUP(INDIRECT("A"&amp;ROW()), 'Recent Changes'!A:G, 7, FALSE)</f>
        <v>2023-09-06T23:42:44Z</v>
      </c>
      <c r="V281" t="str" cm="1">
        <f t="array" aca="1" ref="V281" ca="1">VLOOKUP(INDIRECT("A"&amp;ROW()), 'Recent Changes'!A:H, 8, FALSE)</f>
        <v>2023-11-21T08:26:29Z</v>
      </c>
    </row>
    <row r="282" spans="1:22" x14ac:dyDescent="0.25">
      <c r="A282">
        <v>17472180</v>
      </c>
      <c r="B282" t="s" cm="1">
        <v>430</v>
      </c>
      <c r="C282">
        <v>48</v>
      </c>
      <c r="G282" t="e" cm="1">
        <v>#N/A</v>
      </c>
      <c r="H282" t="s">
        <v>14</v>
      </c>
      <c r="I282" t="s">
        <v>14</v>
      </c>
      <c r="J282" t="s">
        <v>26</v>
      </c>
      <c r="K282" t="s">
        <v>53</v>
      </c>
      <c r="L282" t="s">
        <v>2135</v>
      </c>
      <c r="M282" t="s">
        <v>78</v>
      </c>
      <c r="N282" t="s">
        <v>83</v>
      </c>
      <c r="P282" t="str" cm="1">
        <f t="array" aca="1" ref="P282" ca="1">VLOOKUP(INDIRECT("A"&amp;ROW()), 'Recent Changes'!A:G, 2, FALSE)</f>
        <v>2023-12-28T17:15:58Z</v>
      </c>
      <c r="Q282" t="str" cm="1">
        <f t="array" aca="1" ref="Q282" ca="1">VLOOKUP(INDIRECT("A"&amp;ROW()), 'Recent Changes'!A:G, 3, FALSE)</f>
        <v>NULL</v>
      </c>
      <c r="R282" t="str" cm="1">
        <f t="array" aca="1" ref="R282" ca="1">VLOOKUP(INDIRECT("A"&amp;ROW()), 'Recent Changes'!A:G, 4, FALSE)</f>
        <v>NULL</v>
      </c>
      <c r="S282" t="str" cm="1">
        <f t="array" aca="1" ref="S282" ca="1">VLOOKUP(INDIRECT("A"&amp;ROW()), 'Recent Changes'!A:G, 5, FALSE)</f>
        <v>2023-12-28T17:15:58Z</v>
      </c>
      <c r="T282" t="str" cm="1">
        <f t="array" aca="1" ref="T282" ca="1">VLOOKUP(INDIRECT("A"&amp;ROW()), 'Recent Changes'!A:G, 6, FALSE)</f>
        <v>NULL</v>
      </c>
      <c r="U282" t="str" cm="1">
        <f t="array" aca="1" ref="U282" ca="1">VLOOKUP(INDIRECT("A"&amp;ROW()), 'Recent Changes'!A:G, 7, FALSE)</f>
        <v>NULL</v>
      </c>
      <c r="V282" t="str" cm="1">
        <f t="array" aca="1" ref="V282" ca="1">VLOOKUP(INDIRECT("A"&amp;ROW()), 'Recent Changes'!A:H, 8, FALSE)</f>
        <v>2023-12-28T21:56:40Z</v>
      </c>
    </row>
    <row r="283" spans="1:22" x14ac:dyDescent="0.25">
      <c r="A283">
        <v>17476475</v>
      </c>
      <c r="B283" t="s">
        <v>430</v>
      </c>
      <c r="C283">
        <v>48</v>
      </c>
      <c r="G283" t="e" cm="1">
        <v>#N/A</v>
      </c>
      <c r="H283" t="s">
        <v>14</v>
      </c>
      <c r="I283" t="s">
        <v>14</v>
      </c>
      <c r="J283" t="s">
        <v>21</v>
      </c>
      <c r="K283" t="s">
        <v>48</v>
      </c>
      <c r="L283" t="s">
        <v>396</v>
      </c>
      <c r="M283" t="s">
        <v>76</v>
      </c>
      <c r="N283" t="s">
        <v>83</v>
      </c>
      <c r="P283" t="str" cm="1">
        <f t="array" aca="1" ref="P283" ca="1">VLOOKUP(INDIRECT("A"&amp;ROW()), 'Recent Changes'!A:G, 2, FALSE)</f>
        <v>NULL</v>
      </c>
      <c r="Q283" t="str" cm="1">
        <f t="array" aca="1" ref="Q283" ca="1">VLOOKUP(INDIRECT("A"&amp;ROW()), 'Recent Changes'!A:G, 3, FALSE)</f>
        <v>NULL</v>
      </c>
      <c r="R283" t="str" cm="1">
        <f t="array" aca="1" ref="R283" ca="1">VLOOKUP(INDIRECT("A"&amp;ROW()), 'Recent Changes'!A:G, 4, FALSE)</f>
        <v>NULL</v>
      </c>
      <c r="S283" t="str" cm="1">
        <f t="array" aca="1" ref="S283" ca="1">VLOOKUP(INDIRECT("A"&amp;ROW()), 'Recent Changes'!A:G, 5, FALSE)</f>
        <v>NULL</v>
      </c>
      <c r="T283" t="str" cm="1">
        <f t="array" aca="1" ref="T283" ca="1">VLOOKUP(INDIRECT("A"&amp;ROW()), 'Recent Changes'!A:G, 6, FALSE)</f>
        <v>NULL</v>
      </c>
      <c r="U283" t="str" cm="1">
        <f t="array" aca="1" ref="U283" ca="1">VLOOKUP(INDIRECT("A"&amp;ROW()), 'Recent Changes'!A:G, 7, FALSE)</f>
        <v>2024-01-04T20:46:07Z</v>
      </c>
      <c r="V283" t="str" cm="1">
        <f t="array" aca="1" ref="V283" ca="1">VLOOKUP(INDIRECT("A"&amp;ROW()), 'Recent Changes'!A:H, 8, FALSE)</f>
        <v>2024-01-04T21:22:42Z</v>
      </c>
    </row>
    <row r="284" spans="1:22" x14ac:dyDescent="0.25">
      <c r="A284">
        <v>17476598</v>
      </c>
      <c r="B284" t="s" cm="1">
        <v>430</v>
      </c>
      <c r="C284">
        <v>48</v>
      </c>
      <c r="G284" t="e" cm="1">
        <v>#N/A</v>
      </c>
      <c r="H284" t="s">
        <v>14</v>
      </c>
      <c r="I284" t="s">
        <v>14</v>
      </c>
      <c r="J284" t="s">
        <v>30</v>
      </c>
      <c r="K284" t="s">
        <v>52</v>
      </c>
      <c r="L284" t="s">
        <v>63</v>
      </c>
      <c r="M284" t="s">
        <v>76</v>
      </c>
      <c r="N284" t="s">
        <v>83</v>
      </c>
      <c r="P284" t="str" cm="1">
        <f t="array" aca="1" ref="P284" ca="1">VLOOKUP(INDIRECT("A"&amp;ROW()), 'Recent Changes'!A:G, 2, FALSE)</f>
        <v>NULL</v>
      </c>
      <c r="Q284" t="str" cm="1">
        <f t="array" aca="1" ref="Q284" ca="1">VLOOKUP(INDIRECT("A"&amp;ROW()), 'Recent Changes'!A:G, 3, FALSE)</f>
        <v>NULL</v>
      </c>
      <c r="R284" t="str" cm="1">
        <f t="array" aca="1" ref="R284" ca="1">VLOOKUP(INDIRECT("A"&amp;ROW()), 'Recent Changes'!A:G, 4, FALSE)</f>
        <v>NULL</v>
      </c>
      <c r="S284" t="str" cm="1">
        <f t="array" aca="1" ref="S284" ca="1">VLOOKUP(INDIRECT("A"&amp;ROW()), 'Recent Changes'!A:G, 5, FALSE)</f>
        <v>NULL</v>
      </c>
      <c r="T284" t="str" cm="1">
        <f t="array" aca="1" ref="T284" ca="1">VLOOKUP(INDIRECT("A"&amp;ROW()), 'Recent Changes'!A:G, 6, FALSE)</f>
        <v>NULL</v>
      </c>
      <c r="U284" t="str" cm="1">
        <f t="array" aca="1" ref="U284" ca="1">VLOOKUP(INDIRECT("A"&amp;ROW()), 'Recent Changes'!A:G, 7, FALSE)</f>
        <v>2023-12-20T15:50:33Z</v>
      </c>
      <c r="V284" t="str" cm="1">
        <f t="array" aca="1" ref="V284" ca="1">VLOOKUP(INDIRECT("A"&amp;ROW()), 'Recent Changes'!A:H, 8, FALSE)</f>
        <v>2023-12-20T16:30:16Z</v>
      </c>
    </row>
    <row r="285" spans="1:22" x14ac:dyDescent="0.25">
      <c r="A285">
        <v>13380611</v>
      </c>
      <c r="B285" t="s">
        <v>433</v>
      </c>
      <c r="C285">
        <v>47</v>
      </c>
      <c r="G285" t="s" cm="1">
        <v>442</v>
      </c>
      <c r="H285">
        <v>45252</v>
      </c>
      <c r="I285" t="s">
        <v>15</v>
      </c>
      <c r="J285" t="s">
        <v>18</v>
      </c>
      <c r="K285" t="s">
        <v>44</v>
      </c>
      <c r="L285" t="s">
        <v>450</v>
      </c>
      <c r="M285" t="s">
        <v>77</v>
      </c>
      <c r="N285" t="s">
        <v>428</v>
      </c>
      <c r="O285" t="s">
        <v>431</v>
      </c>
      <c r="P285" t="e" cm="1">
        <f t="array" aca="1" ref="P285" ca="1">VLOOKUP(INDIRECT("A"&amp;ROW()), 'Recent Changes'!A:G, 2, FALSE)</f>
        <v>#N/A</v>
      </c>
      <c r="Q285" t="e" cm="1">
        <f t="array" aca="1" ref="Q285" ca="1">VLOOKUP(INDIRECT("A"&amp;ROW()), 'Recent Changes'!A:G, 3, FALSE)</f>
        <v>#N/A</v>
      </c>
      <c r="R285" t="e" cm="1">
        <f t="array" aca="1" ref="R285" ca="1">VLOOKUP(INDIRECT("A"&amp;ROW()), 'Recent Changes'!A:G, 4, FALSE)</f>
        <v>#N/A</v>
      </c>
      <c r="S285" t="e" cm="1">
        <f t="array" aca="1" ref="S285" ca="1">VLOOKUP(INDIRECT("A"&amp;ROW()), 'Recent Changes'!A:G, 5, FALSE)</f>
        <v>#N/A</v>
      </c>
      <c r="T285" t="e" cm="1">
        <f t="array" aca="1" ref="T285" ca="1">VLOOKUP(INDIRECT("A"&amp;ROW()), 'Recent Changes'!A:G, 6, FALSE)</f>
        <v>#N/A</v>
      </c>
      <c r="U285" t="e" cm="1">
        <f t="array" aca="1" ref="U285" ca="1">VLOOKUP(INDIRECT("A"&amp;ROW()), 'Recent Changes'!A:G, 7, FALSE)</f>
        <v>#N/A</v>
      </c>
      <c r="V285" t="e" cm="1">
        <f t="array" aca="1" ref="V285" ca="1">VLOOKUP(INDIRECT("A"&amp;ROW()), 'Recent Changes'!A:H, 8, FALSE)</f>
        <v>#N/A</v>
      </c>
    </row>
    <row r="286" spans="1:22" x14ac:dyDescent="0.25">
      <c r="A286">
        <v>15688568</v>
      </c>
      <c r="B286" t="s" cm="1">
        <v>430</v>
      </c>
      <c r="C286">
        <v>47</v>
      </c>
      <c r="G286" t="s" cm="1">
        <v>442</v>
      </c>
      <c r="H286" t="s">
        <v>14</v>
      </c>
      <c r="I286" t="s">
        <v>14</v>
      </c>
      <c r="J286" t="s">
        <v>30</v>
      </c>
      <c r="K286" t="s">
        <v>52</v>
      </c>
      <c r="L286" t="s">
        <v>60</v>
      </c>
      <c r="M286" t="s">
        <v>76</v>
      </c>
      <c r="N286" t="s">
        <v>83</v>
      </c>
      <c r="P286" t="str" cm="1">
        <f t="array" aca="1" ref="P286" ca="1">VLOOKUP(INDIRECT("A"&amp;ROW()), 'Recent Changes'!A:G, 2, FALSE)</f>
        <v>NULL</v>
      </c>
      <c r="Q286" t="str" cm="1">
        <f t="array" aca="1" ref="Q286" ca="1">VLOOKUP(INDIRECT("A"&amp;ROW()), 'Recent Changes'!A:G, 3, FALSE)</f>
        <v>NULL</v>
      </c>
      <c r="R286" t="str" cm="1">
        <f t="array" aca="1" ref="R286" ca="1">VLOOKUP(INDIRECT("A"&amp;ROW()), 'Recent Changes'!A:G, 4, FALSE)</f>
        <v>NULL</v>
      </c>
      <c r="S286" t="str" cm="1">
        <f t="array" aca="1" ref="S286" ca="1">VLOOKUP(INDIRECT("A"&amp;ROW()), 'Recent Changes'!A:G, 5, FALSE)</f>
        <v>2023-11-22T21:41:04Z</v>
      </c>
      <c r="T286" t="str" cm="1">
        <f t="array" aca="1" ref="T286" ca="1">VLOOKUP(INDIRECT("A"&amp;ROW()), 'Recent Changes'!A:G, 6, FALSE)</f>
        <v>NULL</v>
      </c>
      <c r="U286" t="str" cm="1">
        <f t="array" aca="1" ref="U286" ca="1">VLOOKUP(INDIRECT("A"&amp;ROW()), 'Recent Changes'!A:G, 7, FALSE)</f>
        <v>NULL</v>
      </c>
      <c r="V286" t="str" cm="1">
        <f t="array" aca="1" ref="V286" ca="1">VLOOKUP(INDIRECT("A"&amp;ROW()), 'Recent Changes'!A:H, 8, FALSE)</f>
        <v>2023-11-22T21:02:44Z</v>
      </c>
    </row>
    <row r="287" spans="1:22" x14ac:dyDescent="0.25">
      <c r="A287">
        <v>17480548</v>
      </c>
      <c r="B287" t="s" cm="1">
        <v>430</v>
      </c>
      <c r="C287">
        <v>47</v>
      </c>
      <c r="G287" t="e" cm="1">
        <v>#N/A</v>
      </c>
      <c r="H287" t="s">
        <v>14</v>
      </c>
      <c r="I287" t="s">
        <v>379</v>
      </c>
      <c r="J287" t="s">
        <v>30</v>
      </c>
      <c r="K287" t="s">
        <v>52</v>
      </c>
      <c r="L287" t="s">
        <v>74</v>
      </c>
      <c r="M287" t="s">
        <v>76</v>
      </c>
      <c r="N287" t="s">
        <v>83</v>
      </c>
      <c r="P287" t="str" cm="1">
        <f t="array" aca="1" ref="P287" ca="1">VLOOKUP(INDIRECT("A"&amp;ROW()), 'Recent Changes'!A:G, 2, FALSE)</f>
        <v>2023-12-20T15:00:11Z</v>
      </c>
      <c r="Q287" t="str" cm="1">
        <f t="array" aca="1" ref="Q287" ca="1">VLOOKUP(INDIRECT("A"&amp;ROW()), 'Recent Changes'!A:G, 3, FALSE)</f>
        <v>NULL</v>
      </c>
      <c r="R287" t="str" cm="1">
        <f t="array" aca="1" ref="R287" ca="1">VLOOKUP(INDIRECT("A"&amp;ROW()), 'Recent Changes'!A:G, 4, FALSE)</f>
        <v>NULL</v>
      </c>
      <c r="S287" t="str" cm="1">
        <f t="array" aca="1" ref="S287" ca="1">VLOOKUP(INDIRECT("A"&amp;ROW()), 'Recent Changes'!A:G, 5, FALSE)</f>
        <v>2023-12-20T15:00:11Z</v>
      </c>
      <c r="T287" t="str" cm="1">
        <f t="array" aca="1" ref="T287" ca="1">VLOOKUP(INDIRECT("A"&amp;ROW()), 'Recent Changes'!A:G, 6, FALSE)</f>
        <v>NULL</v>
      </c>
      <c r="U287" t="str" cm="1">
        <f t="array" aca="1" ref="U287" ca="1">VLOOKUP(INDIRECT("A"&amp;ROW()), 'Recent Changes'!A:G, 7, FALSE)</f>
        <v>2023-12-21T00:57:48Z</v>
      </c>
      <c r="V287" t="str" cm="1">
        <f t="array" aca="1" ref="V287" ca="1">VLOOKUP(INDIRECT("A"&amp;ROW()), 'Recent Changes'!A:H, 8, FALSE)</f>
        <v>2023-12-20T16:25:11Z</v>
      </c>
    </row>
    <row r="288" spans="1:22" x14ac:dyDescent="0.25">
      <c r="A288">
        <v>17481724</v>
      </c>
      <c r="B288" t="s" cm="1">
        <v>430</v>
      </c>
      <c r="C288">
        <v>47</v>
      </c>
      <c r="G288" t="e" cm="1">
        <v>#N/A</v>
      </c>
      <c r="H288" t="s">
        <v>14</v>
      </c>
      <c r="I288" t="s">
        <v>14</v>
      </c>
      <c r="J288" t="s">
        <v>30</v>
      </c>
      <c r="K288" t="s">
        <v>43</v>
      </c>
      <c r="L288" t="s">
        <v>673</v>
      </c>
      <c r="M288" t="s">
        <v>76</v>
      </c>
      <c r="N288" t="s">
        <v>83</v>
      </c>
      <c r="P288" t="str" cm="1">
        <f t="array" aca="1" ref="P288" ca="1">VLOOKUP(INDIRECT("A"&amp;ROW()), 'Recent Changes'!A:G, 2, FALSE)</f>
        <v>NULL</v>
      </c>
      <c r="Q288" t="str" cm="1">
        <f t="array" aca="1" ref="Q288" ca="1">VLOOKUP(INDIRECT("A"&amp;ROW()), 'Recent Changes'!A:G, 3, FALSE)</f>
        <v>NULL</v>
      </c>
      <c r="R288" t="str" cm="1">
        <f t="array" aca="1" ref="R288" ca="1">VLOOKUP(INDIRECT("A"&amp;ROW()), 'Recent Changes'!A:G, 4, FALSE)</f>
        <v>NULL</v>
      </c>
      <c r="S288" t="str" cm="1">
        <f t="array" aca="1" ref="S288" ca="1">VLOOKUP(INDIRECT("A"&amp;ROW()), 'Recent Changes'!A:G, 5, FALSE)</f>
        <v>2023-12-13T23:03:21Z</v>
      </c>
      <c r="T288" t="str" cm="1">
        <f t="array" aca="1" ref="T288" ca="1">VLOOKUP(INDIRECT("A"&amp;ROW()), 'Recent Changes'!A:G, 6, FALSE)</f>
        <v>NULL</v>
      </c>
      <c r="U288" t="str" cm="1">
        <f t="array" aca="1" ref="U288" ca="1">VLOOKUP(INDIRECT("A"&amp;ROW()), 'Recent Changes'!A:G, 7, FALSE)</f>
        <v>2023-12-20T01:16:14Z</v>
      </c>
      <c r="V288" t="str" cm="1">
        <f t="array" aca="1" ref="V288" ca="1">VLOOKUP(INDIRECT("A"&amp;ROW()), 'Recent Changes'!A:H, 8, FALSE)</f>
        <v>2023-12-14T07:46:02Z</v>
      </c>
    </row>
    <row r="289" spans="1:22" x14ac:dyDescent="0.25">
      <c r="A289">
        <v>17482780</v>
      </c>
      <c r="B289" t="s">
        <v>433</v>
      </c>
      <c r="C289">
        <v>47</v>
      </c>
      <c r="G289" t="e" cm="1">
        <v>#N/A</v>
      </c>
      <c r="H289">
        <v>45295</v>
      </c>
      <c r="I289" t="s">
        <v>15</v>
      </c>
      <c r="J289" t="s">
        <v>24</v>
      </c>
      <c r="K289" t="s">
        <v>44</v>
      </c>
      <c r="L289" t="s">
        <v>449</v>
      </c>
      <c r="M289" t="s">
        <v>76</v>
      </c>
      <c r="N289" t="s">
        <v>2253</v>
      </c>
      <c r="O289" t="s">
        <v>431</v>
      </c>
      <c r="P289" t="e" cm="1">
        <f t="array" aca="1" ref="P289" ca="1">VLOOKUP(INDIRECT("A"&amp;ROW()), 'Recent Changes'!A:G, 2, FALSE)</f>
        <v>#N/A</v>
      </c>
      <c r="Q289" t="e" cm="1">
        <f t="array" aca="1" ref="Q289" ca="1">VLOOKUP(INDIRECT("A"&amp;ROW()), 'Recent Changes'!A:G, 3, FALSE)</f>
        <v>#N/A</v>
      </c>
      <c r="R289" t="e" cm="1">
        <f t="array" aca="1" ref="R289" ca="1">VLOOKUP(INDIRECT("A"&amp;ROW()), 'Recent Changes'!A:G, 4, FALSE)</f>
        <v>#N/A</v>
      </c>
      <c r="S289" t="e" cm="1">
        <f t="array" aca="1" ref="S289" ca="1">VLOOKUP(INDIRECT("A"&amp;ROW()), 'Recent Changes'!A:G, 5, FALSE)</f>
        <v>#N/A</v>
      </c>
      <c r="T289" t="e" cm="1">
        <f t="array" aca="1" ref="T289" ca="1">VLOOKUP(INDIRECT("A"&amp;ROW()), 'Recent Changes'!A:G, 6, FALSE)</f>
        <v>#N/A</v>
      </c>
      <c r="U289" t="e" cm="1">
        <f t="array" aca="1" ref="U289" ca="1">VLOOKUP(INDIRECT("A"&amp;ROW()), 'Recent Changes'!A:G, 7, FALSE)</f>
        <v>#N/A</v>
      </c>
      <c r="V289" t="e" cm="1">
        <f t="array" aca="1" ref="V289" ca="1">VLOOKUP(INDIRECT("A"&amp;ROW()), 'Recent Changes'!A:H, 8, FALSE)</f>
        <v>#N/A</v>
      </c>
    </row>
    <row r="290" spans="1:22" x14ac:dyDescent="0.25">
      <c r="A290">
        <v>17485968</v>
      </c>
      <c r="B290" t="s" cm="1">
        <v>433</v>
      </c>
      <c r="C290">
        <v>47</v>
      </c>
      <c r="G290" t="e" cm="1">
        <v>#N/A</v>
      </c>
      <c r="H290" t="s">
        <v>14</v>
      </c>
      <c r="I290" t="s">
        <v>14</v>
      </c>
      <c r="J290" t="s">
        <v>26</v>
      </c>
      <c r="K290" t="s">
        <v>52</v>
      </c>
      <c r="L290" t="s">
        <v>2136</v>
      </c>
      <c r="M290" t="s">
        <v>78</v>
      </c>
      <c r="N290" t="s">
        <v>83</v>
      </c>
      <c r="P290" t="str" cm="1">
        <f t="array" aca="1" ref="P290" ca="1">VLOOKUP(INDIRECT("A"&amp;ROW()), 'Recent Changes'!A:G, 2, FALSE)</f>
        <v>NULL</v>
      </c>
      <c r="Q290" t="str" cm="1">
        <f t="array" aca="1" ref="Q290" ca="1">VLOOKUP(INDIRECT("A"&amp;ROW()), 'Recent Changes'!A:G, 3, FALSE)</f>
        <v>NULL</v>
      </c>
      <c r="R290" t="str" cm="1">
        <f t="array" aca="1" ref="R290" ca="1">VLOOKUP(INDIRECT("A"&amp;ROW()), 'Recent Changes'!A:G, 4, FALSE)</f>
        <v>NULL</v>
      </c>
      <c r="S290" t="str" cm="1">
        <f t="array" aca="1" ref="S290" ca="1">VLOOKUP(INDIRECT("A"&amp;ROW()), 'Recent Changes'!A:G, 5, FALSE)</f>
        <v>2024-01-02T14:30:52Z</v>
      </c>
      <c r="T290" t="str" cm="1">
        <f t="array" aca="1" ref="T290" ca="1">VLOOKUP(INDIRECT("A"&amp;ROW()), 'Recent Changes'!A:G, 6, FALSE)</f>
        <v>NULL</v>
      </c>
      <c r="U290" t="str" cm="1">
        <f t="array" aca="1" ref="U290" ca="1">VLOOKUP(INDIRECT("A"&amp;ROW()), 'Recent Changes'!A:G, 7, FALSE)</f>
        <v>2024-01-03T04:14:56Z</v>
      </c>
      <c r="V290" t="str" cm="1">
        <f t="array" aca="1" ref="V290" ca="1">VLOOKUP(INDIRECT("A"&amp;ROW()), 'Recent Changes'!A:H, 8, FALSE)</f>
        <v>2024-01-02T16:10:29Z</v>
      </c>
    </row>
    <row r="291" spans="1:22" x14ac:dyDescent="0.25">
      <c r="A291">
        <v>17486278</v>
      </c>
      <c r="B291" t="s" cm="1">
        <v>430</v>
      </c>
      <c r="C291">
        <v>47</v>
      </c>
      <c r="G291" t="e" cm="1">
        <v>#N/A</v>
      </c>
      <c r="H291" t="s">
        <v>14</v>
      </c>
      <c r="I291" t="s">
        <v>14</v>
      </c>
      <c r="J291" t="s">
        <v>30</v>
      </c>
      <c r="K291" t="s">
        <v>44</v>
      </c>
      <c r="L291" t="s">
        <v>74</v>
      </c>
      <c r="M291" t="s">
        <v>76</v>
      </c>
      <c r="N291" t="s">
        <v>83</v>
      </c>
      <c r="P291" t="str" cm="1">
        <f t="array" aca="1" ref="P291" ca="1">VLOOKUP(INDIRECT("A"&amp;ROW()), 'Recent Changes'!A:G, 2, FALSE)</f>
        <v>NULL</v>
      </c>
      <c r="Q291" t="str" cm="1">
        <f t="array" aca="1" ref="Q291" ca="1">VLOOKUP(INDIRECT("A"&amp;ROW()), 'Recent Changes'!A:G, 3, FALSE)</f>
        <v>NULL</v>
      </c>
      <c r="R291" t="str" cm="1">
        <f t="array" aca="1" ref="R291" ca="1">VLOOKUP(INDIRECT("A"&amp;ROW()), 'Recent Changes'!A:G, 4, FALSE)</f>
        <v>NULL</v>
      </c>
      <c r="S291" t="str" cm="1">
        <f t="array" aca="1" ref="S291" ca="1">VLOOKUP(INDIRECT("A"&amp;ROW()), 'Recent Changes'!A:G, 5, FALSE)</f>
        <v>2023-12-21T16:13:06Z</v>
      </c>
      <c r="T291" t="str" cm="1">
        <f t="array" aca="1" ref="T291" ca="1">VLOOKUP(INDIRECT("A"&amp;ROW()), 'Recent Changes'!A:G, 6, FALSE)</f>
        <v>NULL</v>
      </c>
      <c r="U291" t="str" cm="1">
        <f t="array" aca="1" ref="U291" ca="1">VLOOKUP(INDIRECT("A"&amp;ROW()), 'Recent Changes'!A:G, 7, FALSE)</f>
        <v>2023-12-20T20:57:40Z</v>
      </c>
      <c r="V291" t="str" cm="1">
        <f t="array" aca="1" ref="V291" ca="1">VLOOKUP(INDIRECT("A"&amp;ROW()), 'Recent Changes'!A:H, 8, FALSE)</f>
        <v>2023-12-21T21:34:44Z</v>
      </c>
    </row>
    <row r="292" spans="1:22" x14ac:dyDescent="0.25">
      <c r="A292">
        <v>14993523</v>
      </c>
      <c r="B292" t="s">
        <v>433</v>
      </c>
      <c r="C292">
        <v>46</v>
      </c>
      <c r="G292" t="s" cm="1">
        <v>442</v>
      </c>
      <c r="H292">
        <v>45265</v>
      </c>
      <c r="I292" t="s">
        <v>15</v>
      </c>
      <c r="J292" t="s">
        <v>32</v>
      </c>
      <c r="K292" t="s">
        <v>44</v>
      </c>
      <c r="L292" t="s">
        <v>671</v>
      </c>
      <c r="M292" t="s">
        <v>76</v>
      </c>
      <c r="N292" t="s">
        <v>1583</v>
      </c>
      <c r="O292" t="s">
        <v>431</v>
      </c>
      <c r="P292" t="e" cm="1">
        <f t="array" aca="1" ref="P292" ca="1">VLOOKUP(INDIRECT("A"&amp;ROW()), 'Recent Changes'!A:G, 2, FALSE)</f>
        <v>#N/A</v>
      </c>
      <c r="Q292" t="e" cm="1">
        <f t="array" aca="1" ref="Q292" ca="1">VLOOKUP(INDIRECT("A"&amp;ROW()), 'Recent Changes'!A:G, 3, FALSE)</f>
        <v>#N/A</v>
      </c>
      <c r="R292" t="e" cm="1">
        <f t="array" aca="1" ref="R292" ca="1">VLOOKUP(INDIRECT("A"&amp;ROW()), 'Recent Changes'!A:G, 4, FALSE)</f>
        <v>#N/A</v>
      </c>
      <c r="S292" t="e" cm="1">
        <f t="array" aca="1" ref="S292" ca="1">VLOOKUP(INDIRECT("A"&amp;ROW()), 'Recent Changes'!A:G, 5, FALSE)</f>
        <v>#N/A</v>
      </c>
      <c r="T292" t="e" cm="1">
        <f t="array" aca="1" ref="T292" ca="1">VLOOKUP(INDIRECT("A"&amp;ROW()), 'Recent Changes'!A:G, 6, FALSE)</f>
        <v>#N/A</v>
      </c>
      <c r="U292" t="e" cm="1">
        <f t="array" aca="1" ref="U292" ca="1">VLOOKUP(INDIRECT("A"&amp;ROW()), 'Recent Changes'!A:G, 7, FALSE)</f>
        <v>#N/A</v>
      </c>
      <c r="V292" t="e" cm="1">
        <f t="array" aca="1" ref="V292" ca="1">VLOOKUP(INDIRECT("A"&amp;ROW()), 'Recent Changes'!A:H, 8, FALSE)</f>
        <v>#N/A</v>
      </c>
    </row>
    <row r="293" spans="1:22" x14ac:dyDescent="0.25">
      <c r="A293">
        <v>17490121</v>
      </c>
      <c r="B293" t="s" cm="1">
        <v>430</v>
      </c>
      <c r="C293">
        <v>46</v>
      </c>
      <c r="G293" t="e" cm="1">
        <v>#N/A</v>
      </c>
      <c r="H293" t="s">
        <v>14</v>
      </c>
      <c r="I293" t="s">
        <v>14</v>
      </c>
      <c r="J293" t="s">
        <v>26</v>
      </c>
      <c r="K293" t="s">
        <v>52</v>
      </c>
      <c r="L293" t="s">
        <v>1707</v>
      </c>
      <c r="M293" t="s">
        <v>78</v>
      </c>
      <c r="N293" t="s">
        <v>83</v>
      </c>
      <c r="P293" t="str" cm="1">
        <f t="array" aca="1" ref="P293" ca="1">VLOOKUP(INDIRECT("A"&amp;ROW()), 'Recent Changes'!A:G, 2, FALSE)</f>
        <v>NULL</v>
      </c>
      <c r="Q293" t="str" cm="1">
        <f t="array" aca="1" ref="Q293" ca="1">VLOOKUP(INDIRECT("A"&amp;ROW()), 'Recent Changes'!A:G, 3, FALSE)</f>
        <v>NULL</v>
      </c>
      <c r="R293" t="str" cm="1">
        <f t="array" aca="1" ref="R293" ca="1">VLOOKUP(INDIRECT("A"&amp;ROW()), 'Recent Changes'!A:G, 4, FALSE)</f>
        <v>NULL</v>
      </c>
      <c r="S293" t="str" cm="1">
        <f t="array" aca="1" ref="S293" ca="1">VLOOKUP(INDIRECT("A"&amp;ROW()), 'Recent Changes'!A:G, 5, FALSE)</f>
        <v>NULL</v>
      </c>
      <c r="T293" t="str" cm="1">
        <f t="array" aca="1" ref="T293" ca="1">VLOOKUP(INDIRECT("A"&amp;ROW()), 'Recent Changes'!A:G, 6, FALSE)</f>
        <v>2023-12-13T04:20:14Z</v>
      </c>
      <c r="U293" t="str" cm="1">
        <f t="array" aca="1" ref="U293" ca="1">VLOOKUP(INDIRECT("A"&amp;ROW()), 'Recent Changes'!A:G, 7, FALSE)</f>
        <v>2023-12-20T01:32:29Z</v>
      </c>
      <c r="V293" t="str" cm="1">
        <f t="array" aca="1" ref="V293" ca="1">VLOOKUP(INDIRECT("A"&amp;ROW()), 'Recent Changes'!A:H, 8, FALSE)</f>
        <v>2023-12-13T07:48:00Z</v>
      </c>
    </row>
    <row r="294" spans="1:22" x14ac:dyDescent="0.25">
      <c r="A294">
        <v>17490444</v>
      </c>
      <c r="B294" t="s">
        <v>433</v>
      </c>
      <c r="C294">
        <v>46</v>
      </c>
      <c r="G294" t="e" cm="1">
        <v>#N/A</v>
      </c>
      <c r="H294" t="s">
        <v>14</v>
      </c>
      <c r="I294" t="s">
        <v>380</v>
      </c>
      <c r="J294" t="s">
        <v>23</v>
      </c>
      <c r="K294" t="s">
        <v>571</v>
      </c>
      <c r="L294" t="s">
        <v>56</v>
      </c>
      <c r="M294" t="s">
        <v>76</v>
      </c>
      <c r="N294" t="s">
        <v>83</v>
      </c>
      <c r="P294" t="str" cm="1">
        <f t="array" aca="1" ref="P294" ca="1">VLOOKUP(INDIRECT("A"&amp;ROW()), 'Recent Changes'!A:G, 2, FALSE)</f>
        <v>NULL</v>
      </c>
      <c r="Q294" t="str" cm="1">
        <f t="array" aca="1" ref="Q294" ca="1">VLOOKUP(INDIRECT("A"&amp;ROW()), 'Recent Changes'!A:G, 3, FALSE)</f>
        <v>2024-01-02T23:37:25Z</v>
      </c>
      <c r="R294" t="str" cm="1">
        <f t="array" aca="1" ref="R294" ca="1">VLOOKUP(INDIRECT("A"&amp;ROW()), 'Recent Changes'!A:G, 4, FALSE)</f>
        <v>2024-01-02T23:37:25Z</v>
      </c>
      <c r="S294" t="str" cm="1">
        <f t="array" aca="1" ref="S294" ca="1">VLOOKUP(INDIRECT("A"&amp;ROW()), 'Recent Changes'!A:G, 5, FALSE)</f>
        <v>2024-01-02T23:56:01Z</v>
      </c>
      <c r="T294" t="str" cm="1">
        <f t="array" aca="1" ref="T294" ca="1">VLOOKUP(INDIRECT("A"&amp;ROW()), 'Recent Changes'!A:G, 6, FALSE)</f>
        <v>2024-01-02T23:37:25Z</v>
      </c>
      <c r="U294" t="str" cm="1">
        <f t="array" aca="1" ref="U294" ca="1">VLOOKUP(INDIRECT("A"&amp;ROW()), 'Recent Changes'!A:G, 7, FALSE)</f>
        <v>NULL</v>
      </c>
      <c r="V294" t="str" cm="1">
        <f t="array" aca="1" ref="V294" ca="1">VLOOKUP(INDIRECT("A"&amp;ROW()), 'Recent Changes'!A:H, 8, FALSE)</f>
        <v>2023-12-21T07:26:55Z</v>
      </c>
    </row>
    <row r="295" spans="1:22" x14ac:dyDescent="0.25">
      <c r="A295">
        <v>17491558</v>
      </c>
      <c r="B295" t="s">
        <v>430</v>
      </c>
      <c r="C295">
        <v>46</v>
      </c>
      <c r="G295" t="e" cm="1">
        <v>#N/A</v>
      </c>
      <c r="H295" t="s">
        <v>14</v>
      </c>
      <c r="I295" t="s">
        <v>14</v>
      </c>
      <c r="J295" t="s">
        <v>42</v>
      </c>
      <c r="K295" t="s">
        <v>44</v>
      </c>
      <c r="L295" t="s">
        <v>2137</v>
      </c>
      <c r="M295" t="s">
        <v>14</v>
      </c>
      <c r="N295" t="s">
        <v>2254</v>
      </c>
      <c r="P295" t="e" cm="1">
        <f t="array" aca="1" ref="P295" ca="1">VLOOKUP(INDIRECT("A"&amp;ROW()), 'Recent Changes'!A:G, 2, FALSE)</f>
        <v>#N/A</v>
      </c>
      <c r="Q295" t="e" cm="1">
        <f t="array" aca="1" ref="Q295" ca="1">VLOOKUP(INDIRECT("A"&amp;ROW()), 'Recent Changes'!A:G, 3, FALSE)</f>
        <v>#N/A</v>
      </c>
      <c r="R295" t="e" cm="1">
        <f t="array" aca="1" ref="R295" ca="1">VLOOKUP(INDIRECT("A"&amp;ROW()), 'Recent Changes'!A:G, 4, FALSE)</f>
        <v>#N/A</v>
      </c>
      <c r="S295" t="e" cm="1">
        <f t="array" aca="1" ref="S295" ca="1">VLOOKUP(INDIRECT("A"&amp;ROW()), 'Recent Changes'!A:G, 5, FALSE)</f>
        <v>#N/A</v>
      </c>
      <c r="T295" t="e" cm="1">
        <f t="array" aca="1" ref="T295" ca="1">VLOOKUP(INDIRECT("A"&amp;ROW()), 'Recent Changes'!A:G, 6, FALSE)</f>
        <v>#N/A</v>
      </c>
      <c r="U295" t="e" cm="1">
        <f t="array" aca="1" ref="U295" ca="1">VLOOKUP(INDIRECT("A"&amp;ROW()), 'Recent Changes'!A:G, 7, FALSE)</f>
        <v>#N/A</v>
      </c>
      <c r="V295" t="e" cm="1">
        <f t="array" aca="1" ref="V295" ca="1">VLOOKUP(INDIRECT("A"&amp;ROW()), 'Recent Changes'!A:H, 8, FALSE)</f>
        <v>#N/A</v>
      </c>
    </row>
    <row r="296" spans="1:22" x14ac:dyDescent="0.25">
      <c r="A296">
        <v>17491721</v>
      </c>
      <c r="B296" t="s">
        <v>433</v>
      </c>
      <c r="C296">
        <v>46</v>
      </c>
      <c r="G296" t="e" cm="1">
        <v>#N/A</v>
      </c>
      <c r="H296">
        <v>45279</v>
      </c>
      <c r="I296" t="s">
        <v>15</v>
      </c>
      <c r="J296" t="s">
        <v>24</v>
      </c>
      <c r="K296" t="s">
        <v>44</v>
      </c>
      <c r="L296" t="s">
        <v>2138</v>
      </c>
      <c r="M296" t="s">
        <v>76</v>
      </c>
      <c r="N296" t="s">
        <v>412</v>
      </c>
      <c r="O296" t="s">
        <v>431</v>
      </c>
      <c r="P296" t="e" cm="1">
        <f t="array" aca="1" ref="P296" ca="1">VLOOKUP(INDIRECT("A"&amp;ROW()), 'Recent Changes'!A:G, 2, FALSE)</f>
        <v>#N/A</v>
      </c>
      <c r="Q296" t="e" cm="1">
        <f t="array" aca="1" ref="Q296" ca="1">VLOOKUP(INDIRECT("A"&amp;ROW()), 'Recent Changes'!A:G, 3, FALSE)</f>
        <v>#N/A</v>
      </c>
      <c r="R296" t="e" cm="1">
        <f t="array" aca="1" ref="R296" ca="1">VLOOKUP(INDIRECT("A"&amp;ROW()), 'Recent Changes'!A:G, 4, FALSE)</f>
        <v>#N/A</v>
      </c>
      <c r="S296" t="e" cm="1">
        <f t="array" aca="1" ref="S296" ca="1">VLOOKUP(INDIRECT("A"&amp;ROW()), 'Recent Changes'!A:G, 5, FALSE)</f>
        <v>#N/A</v>
      </c>
      <c r="T296" t="e" cm="1">
        <f t="array" aca="1" ref="T296" ca="1">VLOOKUP(INDIRECT("A"&amp;ROW()), 'Recent Changes'!A:G, 6, FALSE)</f>
        <v>#N/A</v>
      </c>
      <c r="U296" t="e" cm="1">
        <f t="array" aca="1" ref="U296" ca="1">VLOOKUP(INDIRECT("A"&amp;ROW()), 'Recent Changes'!A:G, 7, FALSE)</f>
        <v>#N/A</v>
      </c>
      <c r="V296" t="e" cm="1">
        <f t="array" aca="1" ref="V296" ca="1">VLOOKUP(INDIRECT("A"&amp;ROW()), 'Recent Changes'!A:H, 8, FALSE)</f>
        <v>#N/A</v>
      </c>
    </row>
    <row r="297" spans="1:22" x14ac:dyDescent="0.25">
      <c r="A297">
        <v>17492004</v>
      </c>
      <c r="B297" t="s" cm="1">
        <v>430</v>
      </c>
      <c r="C297">
        <v>46</v>
      </c>
      <c r="G297" t="e" cm="1">
        <v>#N/A</v>
      </c>
      <c r="H297" t="s">
        <v>14</v>
      </c>
      <c r="I297" t="s">
        <v>14</v>
      </c>
      <c r="J297" t="s">
        <v>30</v>
      </c>
      <c r="K297" t="s">
        <v>47</v>
      </c>
      <c r="L297" t="s">
        <v>2139</v>
      </c>
      <c r="M297" t="s">
        <v>78</v>
      </c>
      <c r="N297" t="s">
        <v>83</v>
      </c>
      <c r="P297" t="str" cm="1">
        <f t="array" aca="1" ref="P297" ca="1">VLOOKUP(INDIRECT("A"&amp;ROW()), 'Recent Changes'!A:G, 2, FALSE)</f>
        <v>NULL</v>
      </c>
      <c r="Q297" t="str" cm="1">
        <f t="array" aca="1" ref="Q297" ca="1">VLOOKUP(INDIRECT("A"&amp;ROW()), 'Recent Changes'!A:G, 3, FALSE)</f>
        <v>NULL</v>
      </c>
      <c r="R297" t="str" cm="1">
        <f t="array" aca="1" ref="R297" ca="1">VLOOKUP(INDIRECT("A"&amp;ROW()), 'Recent Changes'!A:G, 4, FALSE)</f>
        <v>NULL</v>
      </c>
      <c r="S297" t="str" cm="1">
        <f t="array" aca="1" ref="S297" ca="1">VLOOKUP(INDIRECT("A"&amp;ROW()), 'Recent Changes'!A:G, 5, FALSE)</f>
        <v>2024-01-02T14:31:58Z</v>
      </c>
      <c r="T297" t="str" cm="1">
        <f t="array" aca="1" ref="T297" ca="1">VLOOKUP(INDIRECT("A"&amp;ROW()), 'Recent Changes'!A:G, 6, FALSE)</f>
        <v>NULL</v>
      </c>
      <c r="U297" t="str" cm="1">
        <f t="array" aca="1" ref="U297" ca="1">VLOOKUP(INDIRECT("A"&amp;ROW()), 'Recent Changes'!A:G, 7, FALSE)</f>
        <v>NULL</v>
      </c>
      <c r="V297" t="str" cm="1">
        <f t="array" aca="1" ref="V297" ca="1">VLOOKUP(INDIRECT("A"&amp;ROW()), 'Recent Changes'!A:H, 8, FALSE)</f>
        <v>2024-01-02T21:10:43Z</v>
      </c>
    </row>
    <row r="298" spans="1:22" x14ac:dyDescent="0.25">
      <c r="A298">
        <v>17493908</v>
      </c>
      <c r="B298" t="s" cm="1">
        <v>430</v>
      </c>
      <c r="C298">
        <v>45</v>
      </c>
      <c r="G298" t="e" cm="1">
        <v>#N/A</v>
      </c>
      <c r="H298" t="s">
        <v>14</v>
      </c>
      <c r="I298" t="s">
        <v>14</v>
      </c>
      <c r="J298" t="s">
        <v>30</v>
      </c>
      <c r="K298" t="s">
        <v>51</v>
      </c>
      <c r="L298" t="s">
        <v>2140</v>
      </c>
      <c r="M298" t="s">
        <v>76</v>
      </c>
      <c r="N298" t="s">
        <v>83</v>
      </c>
      <c r="P298" t="str" cm="1">
        <f t="array" aca="1" ref="P298" ca="1">VLOOKUP(INDIRECT("A"&amp;ROW()), 'Recent Changes'!A:G, 2, FALSE)</f>
        <v>NULL</v>
      </c>
      <c r="Q298" t="str" cm="1">
        <f t="array" aca="1" ref="Q298" ca="1">VLOOKUP(INDIRECT("A"&amp;ROW()), 'Recent Changes'!A:G, 3, FALSE)</f>
        <v>NULL</v>
      </c>
      <c r="R298" t="str" cm="1">
        <f t="array" aca="1" ref="R298" ca="1">VLOOKUP(INDIRECT("A"&amp;ROW()), 'Recent Changes'!A:G, 4, FALSE)</f>
        <v>NULL</v>
      </c>
      <c r="S298" t="str" cm="1">
        <f t="array" aca="1" ref="S298" ca="1">VLOOKUP(INDIRECT("A"&amp;ROW()), 'Recent Changes'!A:G, 5, FALSE)</f>
        <v>2023-12-20T12:36:22Z</v>
      </c>
      <c r="T298" t="str" cm="1">
        <f t="array" aca="1" ref="T298" ca="1">VLOOKUP(INDIRECT("A"&amp;ROW()), 'Recent Changes'!A:G, 6, FALSE)</f>
        <v>NULL</v>
      </c>
      <c r="U298" t="str" cm="1">
        <f t="array" aca="1" ref="U298" ca="1">VLOOKUP(INDIRECT("A"&amp;ROW()), 'Recent Changes'!A:G, 7, FALSE)</f>
        <v>NULL</v>
      </c>
      <c r="V298" t="str" cm="1">
        <f t="array" aca="1" ref="V298" ca="1">VLOOKUP(INDIRECT("A"&amp;ROW()), 'Recent Changes'!A:H, 8, FALSE)</f>
        <v>2023-12-20T16:09:14Z</v>
      </c>
    </row>
    <row r="299" spans="1:22" x14ac:dyDescent="0.25">
      <c r="A299">
        <v>17494105</v>
      </c>
      <c r="B299" t="s" cm="1">
        <v>430</v>
      </c>
      <c r="C299">
        <v>45</v>
      </c>
      <c r="G299" t="e" cm="1">
        <v>#N/A</v>
      </c>
      <c r="H299" t="s">
        <v>14</v>
      </c>
      <c r="I299" t="s">
        <v>14</v>
      </c>
      <c r="J299" t="s">
        <v>22</v>
      </c>
      <c r="K299" t="s">
        <v>48</v>
      </c>
      <c r="L299" t="s">
        <v>63</v>
      </c>
      <c r="M299" t="s">
        <v>76</v>
      </c>
      <c r="N299" t="s">
        <v>83</v>
      </c>
      <c r="P299" t="str" cm="1">
        <f t="array" aca="1" ref="P299" ca="1">VLOOKUP(INDIRECT("A"&amp;ROW()), 'Recent Changes'!A:G, 2, FALSE)</f>
        <v>NULL</v>
      </c>
      <c r="Q299" t="str" cm="1">
        <f t="array" aca="1" ref="Q299" ca="1">VLOOKUP(INDIRECT("A"&amp;ROW()), 'Recent Changes'!A:G, 3, FALSE)</f>
        <v>NULL</v>
      </c>
      <c r="R299" t="str" cm="1">
        <f t="array" aca="1" ref="R299" ca="1">VLOOKUP(INDIRECT("A"&amp;ROW()), 'Recent Changes'!A:G, 4, FALSE)</f>
        <v>NULL</v>
      </c>
      <c r="S299" t="str" cm="1">
        <f t="array" aca="1" ref="S299" ca="1">VLOOKUP(INDIRECT("A"&amp;ROW()), 'Recent Changes'!A:G, 5, FALSE)</f>
        <v>2023-12-18T14:23:06Z</v>
      </c>
      <c r="T299" t="str" cm="1">
        <f t="array" aca="1" ref="T299" ca="1">VLOOKUP(INDIRECT("A"&amp;ROW()), 'Recent Changes'!A:G, 6, FALSE)</f>
        <v>NULL</v>
      </c>
      <c r="U299" t="str" cm="1">
        <f t="array" aca="1" ref="U299" ca="1">VLOOKUP(INDIRECT("A"&amp;ROW()), 'Recent Changes'!A:G, 7, FALSE)</f>
        <v>NULL</v>
      </c>
      <c r="V299" t="str" cm="1">
        <f t="array" aca="1" ref="V299" ca="1">VLOOKUP(INDIRECT("A"&amp;ROW()), 'Recent Changes'!A:H, 8, FALSE)</f>
        <v>2023-12-18T16:06:16Z</v>
      </c>
    </row>
    <row r="300" spans="1:22" x14ac:dyDescent="0.25">
      <c r="A300">
        <v>17497328</v>
      </c>
      <c r="B300" t="s" cm="1">
        <v>430</v>
      </c>
      <c r="C300">
        <v>43</v>
      </c>
      <c r="G300" t="e" cm="1">
        <v>#N/A</v>
      </c>
      <c r="H300" t="s">
        <v>14</v>
      </c>
      <c r="I300" t="s">
        <v>14</v>
      </c>
      <c r="J300" t="s">
        <v>30</v>
      </c>
      <c r="K300" t="s">
        <v>49</v>
      </c>
      <c r="L300" t="s">
        <v>1531</v>
      </c>
      <c r="M300" t="s">
        <v>76</v>
      </c>
      <c r="N300" t="s">
        <v>83</v>
      </c>
      <c r="P300" t="str" cm="1">
        <f t="array" aca="1" ref="P300" ca="1">VLOOKUP(INDIRECT("A"&amp;ROW()), 'Recent Changes'!A:G, 2, FALSE)</f>
        <v>NULL</v>
      </c>
      <c r="Q300" t="str" cm="1">
        <f t="array" aca="1" ref="Q300" ca="1">VLOOKUP(INDIRECT("A"&amp;ROW()), 'Recent Changes'!A:G, 3, FALSE)</f>
        <v>NULL</v>
      </c>
      <c r="R300" t="str" cm="1">
        <f t="array" aca="1" ref="R300" ca="1">VLOOKUP(INDIRECT("A"&amp;ROW()), 'Recent Changes'!A:G, 4, FALSE)</f>
        <v>NULL</v>
      </c>
      <c r="S300" t="str" cm="1">
        <f t="array" aca="1" ref="S300" ca="1">VLOOKUP(INDIRECT("A"&amp;ROW()), 'Recent Changes'!A:G, 5, FALSE)</f>
        <v>NULL</v>
      </c>
      <c r="T300" t="str" cm="1">
        <f t="array" aca="1" ref="T300" ca="1">VLOOKUP(INDIRECT("A"&amp;ROW()), 'Recent Changes'!A:G, 6, FALSE)</f>
        <v>NULL</v>
      </c>
      <c r="U300" t="str" cm="1">
        <f t="array" aca="1" ref="U300" ca="1">VLOOKUP(INDIRECT("A"&amp;ROW()), 'Recent Changes'!A:G, 7, FALSE)</f>
        <v>2023-12-20T16:28:53Z</v>
      </c>
      <c r="V300" t="str" cm="1">
        <f t="array" aca="1" ref="V300" ca="1">VLOOKUP(INDIRECT("A"&amp;ROW()), 'Recent Changes'!A:H, 8, FALSE)</f>
        <v>2023-12-20T21:31:42Z</v>
      </c>
    </row>
    <row r="301" spans="1:22" x14ac:dyDescent="0.25">
      <c r="A301">
        <v>17497468</v>
      </c>
      <c r="B301" t="s">
        <v>433</v>
      </c>
      <c r="C301">
        <v>43</v>
      </c>
      <c r="G301" t="e" cm="1">
        <v>#N/A</v>
      </c>
      <c r="H301">
        <v>45274</v>
      </c>
      <c r="I301" t="s">
        <v>15</v>
      </c>
      <c r="J301" t="s">
        <v>22</v>
      </c>
      <c r="K301" t="s">
        <v>44</v>
      </c>
      <c r="L301" t="s">
        <v>2141</v>
      </c>
      <c r="M301" t="s">
        <v>76</v>
      </c>
      <c r="N301" t="s">
        <v>438</v>
      </c>
      <c r="O301" t="s">
        <v>431</v>
      </c>
      <c r="P301" t="e" cm="1">
        <f t="array" aca="1" ref="P301" ca="1">VLOOKUP(INDIRECT("A"&amp;ROW()), 'Recent Changes'!A:G, 2, FALSE)</f>
        <v>#N/A</v>
      </c>
      <c r="Q301" t="e" cm="1">
        <f t="array" aca="1" ref="Q301" ca="1">VLOOKUP(INDIRECT("A"&amp;ROW()), 'Recent Changes'!A:G, 3, FALSE)</f>
        <v>#N/A</v>
      </c>
      <c r="R301" t="e" cm="1">
        <f t="array" aca="1" ref="R301" ca="1">VLOOKUP(INDIRECT("A"&amp;ROW()), 'Recent Changes'!A:G, 4, FALSE)</f>
        <v>#N/A</v>
      </c>
      <c r="S301" t="e" cm="1">
        <f t="array" aca="1" ref="S301" ca="1">VLOOKUP(INDIRECT("A"&amp;ROW()), 'Recent Changes'!A:G, 5, FALSE)</f>
        <v>#N/A</v>
      </c>
      <c r="T301" t="e" cm="1">
        <f t="array" aca="1" ref="T301" ca="1">VLOOKUP(INDIRECT("A"&amp;ROW()), 'Recent Changes'!A:G, 6, FALSE)</f>
        <v>#N/A</v>
      </c>
      <c r="U301" t="e" cm="1">
        <f t="array" aca="1" ref="U301" ca="1">VLOOKUP(INDIRECT("A"&amp;ROW()), 'Recent Changes'!A:G, 7, FALSE)</f>
        <v>#N/A</v>
      </c>
      <c r="V301" t="e" cm="1">
        <f t="array" aca="1" ref="V301" ca="1">VLOOKUP(INDIRECT("A"&amp;ROW()), 'Recent Changes'!A:H, 8, FALSE)</f>
        <v>#N/A</v>
      </c>
    </row>
    <row r="302" spans="1:22" x14ac:dyDescent="0.25">
      <c r="A302">
        <v>17087456</v>
      </c>
      <c r="B302" t="s">
        <v>433</v>
      </c>
      <c r="C302">
        <v>42</v>
      </c>
      <c r="G302" t="e" cm="1">
        <v>#N/A</v>
      </c>
      <c r="H302">
        <v>45272</v>
      </c>
      <c r="I302" t="s">
        <v>15</v>
      </c>
      <c r="J302" t="s">
        <v>32</v>
      </c>
      <c r="K302" t="s">
        <v>49</v>
      </c>
      <c r="L302" t="s">
        <v>2142</v>
      </c>
      <c r="M302" t="s">
        <v>76</v>
      </c>
      <c r="N302" t="s">
        <v>429</v>
      </c>
      <c r="O302" t="s">
        <v>431</v>
      </c>
      <c r="P302" t="e" cm="1">
        <f t="array" aca="1" ref="P302" ca="1">VLOOKUP(INDIRECT("A"&amp;ROW()), 'Recent Changes'!A:G, 2, FALSE)</f>
        <v>#N/A</v>
      </c>
      <c r="Q302" t="e" cm="1">
        <f t="array" aca="1" ref="Q302" ca="1">VLOOKUP(INDIRECT("A"&amp;ROW()), 'Recent Changes'!A:G, 3, FALSE)</f>
        <v>#N/A</v>
      </c>
      <c r="R302" t="e" cm="1">
        <f t="array" aca="1" ref="R302" ca="1">VLOOKUP(INDIRECT("A"&amp;ROW()), 'Recent Changes'!A:G, 4, FALSE)</f>
        <v>#N/A</v>
      </c>
      <c r="S302" t="e" cm="1">
        <f t="array" aca="1" ref="S302" ca="1">VLOOKUP(INDIRECT("A"&amp;ROW()), 'Recent Changes'!A:G, 5, FALSE)</f>
        <v>#N/A</v>
      </c>
      <c r="T302" t="e" cm="1">
        <f t="array" aca="1" ref="T302" ca="1">VLOOKUP(INDIRECT("A"&amp;ROW()), 'Recent Changes'!A:G, 6, FALSE)</f>
        <v>#N/A</v>
      </c>
      <c r="U302" t="e" cm="1">
        <f t="array" aca="1" ref="U302" ca="1">VLOOKUP(INDIRECT("A"&amp;ROW()), 'Recent Changes'!A:G, 7, FALSE)</f>
        <v>#N/A</v>
      </c>
      <c r="V302" t="e" cm="1">
        <f t="array" aca="1" ref="V302" ca="1">VLOOKUP(INDIRECT("A"&amp;ROW()), 'Recent Changes'!A:H, 8, FALSE)</f>
        <v>#N/A</v>
      </c>
    </row>
    <row r="303" spans="1:22" x14ac:dyDescent="0.25">
      <c r="A303">
        <v>17500541</v>
      </c>
      <c r="B303" t="s" cm="1">
        <v>433</v>
      </c>
      <c r="C303">
        <v>42</v>
      </c>
      <c r="G303" t="e" cm="1">
        <v>#N/A</v>
      </c>
      <c r="H303" t="s">
        <v>14</v>
      </c>
      <c r="I303" t="s">
        <v>14</v>
      </c>
      <c r="J303" t="s">
        <v>20</v>
      </c>
      <c r="K303" t="s">
        <v>44</v>
      </c>
      <c r="L303" t="s">
        <v>2143</v>
      </c>
      <c r="M303" t="s">
        <v>78</v>
      </c>
      <c r="N303" t="s">
        <v>83</v>
      </c>
      <c r="P303" t="str" cm="1">
        <f t="array" aca="1" ref="P303" ca="1">VLOOKUP(INDIRECT("A"&amp;ROW()), 'Recent Changes'!A:G, 2, FALSE)</f>
        <v>NULL</v>
      </c>
      <c r="Q303" t="str" cm="1">
        <f t="array" aca="1" ref="Q303" ca="1">VLOOKUP(INDIRECT("A"&amp;ROW()), 'Recent Changes'!A:G, 3, FALSE)</f>
        <v>NULL</v>
      </c>
      <c r="R303" t="str" cm="1">
        <f t="array" aca="1" ref="R303" ca="1">VLOOKUP(INDIRECT("A"&amp;ROW()), 'Recent Changes'!A:G, 4, FALSE)</f>
        <v>NULL</v>
      </c>
      <c r="S303" t="str" cm="1">
        <f t="array" aca="1" ref="S303" ca="1">VLOOKUP(INDIRECT("A"&amp;ROW()), 'Recent Changes'!A:G, 5, FALSE)</f>
        <v>2023-12-28T15:09:25Z</v>
      </c>
      <c r="T303" t="str" cm="1">
        <f t="array" aca="1" ref="T303" ca="1">VLOOKUP(INDIRECT("A"&amp;ROW()), 'Recent Changes'!A:G, 6, FALSE)</f>
        <v>NULL</v>
      </c>
      <c r="U303" t="str" cm="1">
        <f t="array" aca="1" ref="U303" ca="1">VLOOKUP(INDIRECT("A"&amp;ROW()), 'Recent Changes'!A:G, 7, FALSE)</f>
        <v>NULL</v>
      </c>
      <c r="V303" t="str" cm="1">
        <f t="array" aca="1" ref="V303" ca="1">VLOOKUP(INDIRECT("A"&amp;ROW()), 'Recent Changes'!A:H, 8, FALSE)</f>
        <v>2023-12-15T21:08:04Z</v>
      </c>
    </row>
    <row r="304" spans="1:22" x14ac:dyDescent="0.25">
      <c r="A304">
        <v>15500024</v>
      </c>
      <c r="B304" t="s" cm="1">
        <v>430</v>
      </c>
      <c r="C304">
        <v>41</v>
      </c>
      <c r="G304" t="s" cm="1">
        <v>442</v>
      </c>
      <c r="H304" t="s">
        <v>14</v>
      </c>
      <c r="I304" t="s">
        <v>14</v>
      </c>
      <c r="J304" t="s">
        <v>30</v>
      </c>
      <c r="K304" t="s">
        <v>46</v>
      </c>
      <c r="L304" t="s">
        <v>626</v>
      </c>
      <c r="M304" t="s">
        <v>78</v>
      </c>
      <c r="N304" t="s">
        <v>83</v>
      </c>
      <c r="P304" t="str" cm="1">
        <f t="array" aca="1" ref="P304" ca="1">VLOOKUP(INDIRECT("A"&amp;ROW()), 'Recent Changes'!A:G, 2, FALSE)</f>
        <v>NULL</v>
      </c>
      <c r="Q304" t="str" cm="1">
        <f t="array" aca="1" ref="Q304" ca="1">VLOOKUP(INDIRECT("A"&amp;ROW()), 'Recent Changes'!A:G, 3, FALSE)</f>
        <v>NULL</v>
      </c>
      <c r="R304" t="str" cm="1">
        <f t="array" aca="1" ref="R304" ca="1">VLOOKUP(INDIRECT("A"&amp;ROW()), 'Recent Changes'!A:G, 4, FALSE)</f>
        <v>NULL</v>
      </c>
      <c r="S304" t="str" cm="1">
        <f t="array" aca="1" ref="S304" ca="1">VLOOKUP(INDIRECT("A"&amp;ROW()), 'Recent Changes'!A:G, 5, FALSE)</f>
        <v>2023-11-28T13:15:17Z</v>
      </c>
      <c r="T304" t="str" cm="1">
        <f t="array" aca="1" ref="T304" ca="1">VLOOKUP(INDIRECT("A"&amp;ROW()), 'Recent Changes'!A:G, 6, FALSE)</f>
        <v>NULL</v>
      </c>
      <c r="U304" t="str" cm="1">
        <f t="array" aca="1" ref="U304" ca="1">VLOOKUP(INDIRECT("A"&amp;ROW()), 'Recent Changes'!A:G, 7, FALSE)</f>
        <v>2023-11-28T13:10:55Z</v>
      </c>
      <c r="V304" t="str" cm="1">
        <f t="array" aca="1" ref="V304" ca="1">VLOOKUP(INDIRECT("A"&amp;ROW()), 'Recent Changes'!A:H, 8, FALSE)</f>
        <v>2023-11-28T16:37:08Z</v>
      </c>
    </row>
    <row r="305" spans="1:22" x14ac:dyDescent="0.25">
      <c r="A305">
        <v>16541992</v>
      </c>
      <c r="B305" t="s">
        <v>433</v>
      </c>
      <c r="C305">
        <v>41</v>
      </c>
      <c r="G305" t="s" cm="1">
        <v>442</v>
      </c>
      <c r="H305">
        <v>45258</v>
      </c>
      <c r="I305" t="s">
        <v>15</v>
      </c>
      <c r="J305" t="s">
        <v>18</v>
      </c>
      <c r="K305" t="s">
        <v>44</v>
      </c>
      <c r="L305" t="s">
        <v>2144</v>
      </c>
      <c r="M305" t="s">
        <v>76</v>
      </c>
      <c r="N305" t="s">
        <v>2244</v>
      </c>
      <c r="O305" t="s">
        <v>431</v>
      </c>
      <c r="P305" t="e" cm="1">
        <f t="array" aca="1" ref="P305" ca="1">VLOOKUP(INDIRECT("A"&amp;ROW()), 'Recent Changes'!A:G, 2, FALSE)</f>
        <v>#N/A</v>
      </c>
      <c r="Q305" t="e" cm="1">
        <f t="array" aca="1" ref="Q305" ca="1">VLOOKUP(INDIRECT("A"&amp;ROW()), 'Recent Changes'!A:G, 3, FALSE)</f>
        <v>#N/A</v>
      </c>
      <c r="R305" t="e" cm="1">
        <f t="array" aca="1" ref="R305" ca="1">VLOOKUP(INDIRECT("A"&amp;ROW()), 'Recent Changes'!A:G, 4, FALSE)</f>
        <v>#N/A</v>
      </c>
      <c r="S305" t="e" cm="1">
        <f t="array" aca="1" ref="S305" ca="1">VLOOKUP(INDIRECT("A"&amp;ROW()), 'Recent Changes'!A:G, 5, FALSE)</f>
        <v>#N/A</v>
      </c>
      <c r="T305" t="e" cm="1">
        <f t="array" aca="1" ref="T305" ca="1">VLOOKUP(INDIRECT("A"&amp;ROW()), 'Recent Changes'!A:G, 6, FALSE)</f>
        <v>#N/A</v>
      </c>
      <c r="U305" t="e" cm="1">
        <f t="array" aca="1" ref="U305" ca="1">VLOOKUP(INDIRECT("A"&amp;ROW()), 'Recent Changes'!A:G, 7, FALSE)</f>
        <v>#N/A</v>
      </c>
      <c r="V305" t="e" cm="1">
        <f t="array" aca="1" ref="V305" ca="1">VLOOKUP(INDIRECT("A"&amp;ROW()), 'Recent Changes'!A:H, 8, FALSE)</f>
        <v>#N/A</v>
      </c>
    </row>
    <row r="306" spans="1:22" x14ac:dyDescent="0.25">
      <c r="A306">
        <v>16994357</v>
      </c>
      <c r="B306" t="s">
        <v>433</v>
      </c>
      <c r="C306">
        <v>41</v>
      </c>
      <c r="G306" t="e" cm="1">
        <v>#N/A</v>
      </c>
      <c r="H306">
        <v>45258</v>
      </c>
      <c r="I306" t="s">
        <v>15</v>
      </c>
      <c r="J306" t="s">
        <v>33</v>
      </c>
      <c r="K306" t="s">
        <v>44</v>
      </c>
      <c r="L306" t="s">
        <v>395</v>
      </c>
      <c r="M306" t="s">
        <v>76</v>
      </c>
      <c r="N306" t="s">
        <v>2244</v>
      </c>
      <c r="O306" t="s">
        <v>431</v>
      </c>
      <c r="P306" t="e" cm="1">
        <f t="array" aca="1" ref="P306" ca="1">VLOOKUP(INDIRECT("A"&amp;ROW()), 'Recent Changes'!A:G, 2, FALSE)</f>
        <v>#N/A</v>
      </c>
      <c r="Q306" t="e" cm="1">
        <f t="array" aca="1" ref="Q306" ca="1">VLOOKUP(INDIRECT("A"&amp;ROW()), 'Recent Changes'!A:G, 3, FALSE)</f>
        <v>#N/A</v>
      </c>
      <c r="R306" t="e" cm="1">
        <f t="array" aca="1" ref="R306" ca="1">VLOOKUP(INDIRECT("A"&amp;ROW()), 'Recent Changes'!A:G, 4, FALSE)</f>
        <v>#N/A</v>
      </c>
      <c r="S306" t="e" cm="1">
        <f t="array" aca="1" ref="S306" ca="1">VLOOKUP(INDIRECT("A"&amp;ROW()), 'Recent Changes'!A:G, 5, FALSE)</f>
        <v>#N/A</v>
      </c>
      <c r="T306" t="e" cm="1">
        <f t="array" aca="1" ref="T306" ca="1">VLOOKUP(INDIRECT("A"&amp;ROW()), 'Recent Changes'!A:G, 6, FALSE)</f>
        <v>#N/A</v>
      </c>
      <c r="U306" t="e" cm="1">
        <f t="array" aca="1" ref="U306" ca="1">VLOOKUP(INDIRECT("A"&amp;ROW()), 'Recent Changes'!A:G, 7, FALSE)</f>
        <v>#N/A</v>
      </c>
      <c r="V306" t="e" cm="1">
        <f t="array" aca="1" ref="V306" ca="1">VLOOKUP(INDIRECT("A"&amp;ROW()), 'Recent Changes'!A:H, 8, FALSE)</f>
        <v>#N/A</v>
      </c>
    </row>
    <row r="307" spans="1:22" x14ac:dyDescent="0.25">
      <c r="A307">
        <v>17184351</v>
      </c>
      <c r="B307" t="s">
        <v>433</v>
      </c>
      <c r="C307">
        <v>41</v>
      </c>
      <c r="G307" t="e" cm="1">
        <v>#N/A</v>
      </c>
      <c r="H307">
        <v>45258</v>
      </c>
      <c r="I307" t="s">
        <v>15</v>
      </c>
      <c r="J307" t="s">
        <v>25</v>
      </c>
      <c r="K307" t="s">
        <v>44</v>
      </c>
      <c r="L307" t="s">
        <v>741</v>
      </c>
      <c r="M307" t="s">
        <v>76</v>
      </c>
      <c r="N307" t="s">
        <v>83</v>
      </c>
      <c r="O307" t="s">
        <v>431</v>
      </c>
      <c r="P307" t="str" cm="1">
        <f t="array" aca="1" ref="P307" ca="1">VLOOKUP(INDIRECT("A"&amp;ROW()), 'Recent Changes'!A:G, 2, FALSE)</f>
        <v>NULL</v>
      </c>
      <c r="Q307" t="str" cm="1">
        <f t="array" aca="1" ref="Q307" ca="1">VLOOKUP(INDIRECT("A"&amp;ROW()), 'Recent Changes'!A:G, 3, FALSE)</f>
        <v>NULL</v>
      </c>
      <c r="R307" t="str" cm="1">
        <f t="array" aca="1" ref="R307" ca="1">VLOOKUP(INDIRECT("A"&amp;ROW()), 'Recent Changes'!A:G, 4, FALSE)</f>
        <v>NULL</v>
      </c>
      <c r="S307" t="str" cm="1">
        <f t="array" aca="1" ref="S307" ca="1">VLOOKUP(INDIRECT("A"&amp;ROW()), 'Recent Changes'!A:G, 5, FALSE)</f>
        <v>2023-12-20T23:24:07Z</v>
      </c>
      <c r="T307" t="str" cm="1">
        <f t="array" aca="1" ref="T307" ca="1">VLOOKUP(INDIRECT("A"&amp;ROW()), 'Recent Changes'!A:G, 6, FALSE)</f>
        <v>NULL</v>
      </c>
      <c r="U307" t="str" cm="1">
        <f t="array" aca="1" ref="U307" ca="1">VLOOKUP(INDIRECT("A"&amp;ROW()), 'Recent Changes'!A:G, 7, FALSE)</f>
        <v>NULL</v>
      </c>
      <c r="V307" t="str" cm="1">
        <f t="array" aca="1" ref="V307" ca="1">VLOOKUP(INDIRECT("A"&amp;ROW()), 'Recent Changes'!A:H, 8, FALSE)</f>
        <v>2023-12-18T21:37:37Z</v>
      </c>
    </row>
    <row r="308" spans="1:22" x14ac:dyDescent="0.25">
      <c r="A308">
        <v>17301407</v>
      </c>
      <c r="B308" t="s">
        <v>433</v>
      </c>
      <c r="C308">
        <v>41</v>
      </c>
      <c r="G308" t="e" cm="1">
        <v>#N/A</v>
      </c>
      <c r="H308">
        <v>45258</v>
      </c>
      <c r="I308" t="s">
        <v>15</v>
      </c>
      <c r="J308" t="s">
        <v>32</v>
      </c>
      <c r="K308" t="s">
        <v>44</v>
      </c>
      <c r="L308" t="s">
        <v>56</v>
      </c>
      <c r="M308" t="s">
        <v>81</v>
      </c>
      <c r="N308" t="s">
        <v>83</v>
      </c>
      <c r="O308" t="s">
        <v>431</v>
      </c>
      <c r="P308" t="str" cm="1">
        <f t="array" aca="1" ref="P308" ca="1">VLOOKUP(INDIRECT("A"&amp;ROW()), 'Recent Changes'!A:G, 2, FALSE)</f>
        <v>NULL</v>
      </c>
      <c r="Q308" t="str" cm="1">
        <f t="array" aca="1" ref="Q308" ca="1">VLOOKUP(INDIRECT("A"&amp;ROW()), 'Recent Changes'!A:G, 3, FALSE)</f>
        <v>NULL</v>
      </c>
      <c r="R308" t="str" cm="1">
        <f t="array" aca="1" ref="R308" ca="1">VLOOKUP(INDIRECT("A"&amp;ROW()), 'Recent Changes'!A:G, 4, FALSE)</f>
        <v>NULL</v>
      </c>
      <c r="S308" t="str" cm="1">
        <f t="array" aca="1" ref="S308" ca="1">VLOOKUP(INDIRECT("A"&amp;ROW()), 'Recent Changes'!A:G, 5, FALSE)</f>
        <v>2024-01-05T19:11:30Z</v>
      </c>
      <c r="T308" t="str" cm="1">
        <f t="array" aca="1" ref="T308" ca="1">VLOOKUP(INDIRECT("A"&amp;ROW()), 'Recent Changes'!A:G, 6, FALSE)</f>
        <v>NULL</v>
      </c>
      <c r="U308" t="str" cm="1">
        <f t="array" aca="1" ref="U308" ca="1">VLOOKUP(INDIRECT("A"&amp;ROW()), 'Recent Changes'!A:G, 7, FALSE)</f>
        <v>NULL</v>
      </c>
      <c r="V308" t="str" cm="1">
        <f t="array" aca="1" ref="V308" ca="1">VLOOKUP(INDIRECT("A"&amp;ROW()), 'Recent Changes'!A:H, 8, FALSE)</f>
        <v>2024-01-05T21:04:37Z</v>
      </c>
    </row>
    <row r="309" spans="1:22" x14ac:dyDescent="0.25">
      <c r="A309">
        <v>17509483</v>
      </c>
      <c r="B309" t="s">
        <v>433</v>
      </c>
      <c r="C309">
        <v>41</v>
      </c>
      <c r="G309" t="e" cm="1">
        <v>#N/A</v>
      </c>
      <c r="H309">
        <v>45295</v>
      </c>
      <c r="I309" t="s">
        <v>15</v>
      </c>
      <c r="J309" t="s">
        <v>18</v>
      </c>
      <c r="K309" t="s">
        <v>571</v>
      </c>
      <c r="L309" t="s">
        <v>86</v>
      </c>
      <c r="M309" t="s">
        <v>76</v>
      </c>
      <c r="N309" t="s">
        <v>2255</v>
      </c>
      <c r="O309" t="s">
        <v>431</v>
      </c>
      <c r="P309" t="e" cm="1">
        <f t="array" aca="1" ref="P309" ca="1">VLOOKUP(INDIRECT("A"&amp;ROW()), 'Recent Changes'!A:G, 2, FALSE)</f>
        <v>#N/A</v>
      </c>
      <c r="Q309" t="e" cm="1">
        <f t="array" aca="1" ref="Q309" ca="1">VLOOKUP(INDIRECT("A"&amp;ROW()), 'Recent Changes'!A:G, 3, FALSE)</f>
        <v>#N/A</v>
      </c>
      <c r="R309" t="e" cm="1">
        <f t="array" aca="1" ref="R309" ca="1">VLOOKUP(INDIRECT("A"&amp;ROW()), 'Recent Changes'!A:G, 4, FALSE)</f>
        <v>#N/A</v>
      </c>
      <c r="S309" t="e" cm="1">
        <f t="array" aca="1" ref="S309" ca="1">VLOOKUP(INDIRECT("A"&amp;ROW()), 'Recent Changes'!A:G, 5, FALSE)</f>
        <v>#N/A</v>
      </c>
      <c r="T309" t="e" cm="1">
        <f t="array" aca="1" ref="T309" ca="1">VLOOKUP(INDIRECT("A"&amp;ROW()), 'Recent Changes'!A:G, 6, FALSE)</f>
        <v>#N/A</v>
      </c>
      <c r="U309" t="e" cm="1">
        <f t="array" aca="1" ref="U309" ca="1">VLOOKUP(INDIRECT("A"&amp;ROW()), 'Recent Changes'!A:G, 7, FALSE)</f>
        <v>#N/A</v>
      </c>
      <c r="V309" t="e" cm="1">
        <f t="array" aca="1" ref="V309" ca="1">VLOOKUP(INDIRECT("A"&amp;ROW()), 'Recent Changes'!A:H, 8, FALSE)</f>
        <v>#N/A</v>
      </c>
    </row>
    <row r="310" spans="1:22" x14ac:dyDescent="0.25">
      <c r="A310">
        <v>12631646</v>
      </c>
      <c r="B310" t="s">
        <v>433</v>
      </c>
      <c r="C310">
        <v>40</v>
      </c>
      <c r="G310" t="s" cm="1">
        <v>442</v>
      </c>
      <c r="H310">
        <v>45259</v>
      </c>
      <c r="I310" t="s">
        <v>15</v>
      </c>
      <c r="J310" t="s">
        <v>18</v>
      </c>
      <c r="K310" t="s">
        <v>44</v>
      </c>
      <c r="L310" t="s">
        <v>398</v>
      </c>
      <c r="M310" t="s">
        <v>77</v>
      </c>
      <c r="N310" t="s">
        <v>426</v>
      </c>
      <c r="O310" t="s">
        <v>431</v>
      </c>
      <c r="P310" t="e" cm="1">
        <f t="array" aca="1" ref="P310" ca="1">VLOOKUP(INDIRECT("A"&amp;ROW()), 'Recent Changes'!A:G, 2, FALSE)</f>
        <v>#N/A</v>
      </c>
      <c r="Q310" t="e" cm="1">
        <f t="array" aca="1" ref="Q310" ca="1">VLOOKUP(INDIRECT("A"&amp;ROW()), 'Recent Changes'!A:G, 3, FALSE)</f>
        <v>#N/A</v>
      </c>
      <c r="R310" t="e" cm="1">
        <f t="array" aca="1" ref="R310" ca="1">VLOOKUP(INDIRECT("A"&amp;ROW()), 'Recent Changes'!A:G, 4, FALSE)</f>
        <v>#N/A</v>
      </c>
      <c r="S310" t="e" cm="1">
        <f t="array" aca="1" ref="S310" ca="1">VLOOKUP(INDIRECT("A"&amp;ROW()), 'Recent Changes'!A:G, 5, FALSE)</f>
        <v>#N/A</v>
      </c>
      <c r="T310" t="e" cm="1">
        <f t="array" aca="1" ref="T310" ca="1">VLOOKUP(INDIRECT("A"&amp;ROW()), 'Recent Changes'!A:G, 6, FALSE)</f>
        <v>#N/A</v>
      </c>
      <c r="U310" t="e" cm="1">
        <f t="array" aca="1" ref="U310" ca="1">VLOOKUP(INDIRECT("A"&amp;ROW()), 'Recent Changes'!A:G, 7, FALSE)</f>
        <v>#N/A</v>
      </c>
      <c r="V310" t="e" cm="1">
        <f t="array" aca="1" ref="V310" ca="1">VLOOKUP(INDIRECT("A"&amp;ROW()), 'Recent Changes'!A:H, 8, FALSE)</f>
        <v>#N/A</v>
      </c>
    </row>
    <row r="311" spans="1:22" x14ac:dyDescent="0.25">
      <c r="A311">
        <v>15553212</v>
      </c>
      <c r="B311" t="s">
        <v>433</v>
      </c>
      <c r="C311">
        <v>40</v>
      </c>
      <c r="G311" t="s" cm="1">
        <v>442</v>
      </c>
      <c r="H311" t="s">
        <v>14</v>
      </c>
      <c r="I311" t="s">
        <v>380</v>
      </c>
      <c r="J311" t="s">
        <v>23</v>
      </c>
      <c r="K311" t="s">
        <v>43</v>
      </c>
      <c r="L311" t="s">
        <v>2145</v>
      </c>
      <c r="M311" t="s">
        <v>78</v>
      </c>
      <c r="N311" t="s">
        <v>83</v>
      </c>
      <c r="P311" t="str" cm="1">
        <f t="array" aca="1" ref="P311" ca="1">VLOOKUP(INDIRECT("A"&amp;ROW()), 'Recent Changes'!A:G, 2, FALSE)</f>
        <v>NULL</v>
      </c>
      <c r="Q311" t="str" cm="1">
        <f t="array" aca="1" ref="Q311" ca="1">VLOOKUP(INDIRECT("A"&amp;ROW()), 'Recent Changes'!A:G, 3, FALSE)</f>
        <v>NULL</v>
      </c>
      <c r="R311" t="str" cm="1">
        <f t="array" aca="1" ref="R311" ca="1">VLOOKUP(INDIRECT("A"&amp;ROW()), 'Recent Changes'!A:G, 4, FALSE)</f>
        <v>NULL</v>
      </c>
      <c r="S311" t="str" cm="1">
        <f t="array" aca="1" ref="S311" ca="1">VLOOKUP(INDIRECT("A"&amp;ROW()), 'Recent Changes'!A:G, 5, FALSE)</f>
        <v>2023-11-29T01:39:00Z</v>
      </c>
      <c r="T311" t="str" cm="1">
        <f t="array" aca="1" ref="T311" ca="1">VLOOKUP(INDIRECT("A"&amp;ROW()), 'Recent Changes'!A:G, 6, FALSE)</f>
        <v>NULL</v>
      </c>
      <c r="U311" t="str" cm="1">
        <f t="array" aca="1" ref="U311" ca="1">VLOOKUP(INDIRECT("A"&amp;ROW()), 'Recent Changes'!A:G, 7, FALSE)</f>
        <v>NULL</v>
      </c>
      <c r="V311" t="str" cm="1">
        <f t="array" aca="1" ref="V311" ca="1">VLOOKUP(INDIRECT("A"&amp;ROW()), 'Recent Changes'!A:H, 8, FALSE)</f>
        <v>2023-11-29T07:56:05Z</v>
      </c>
    </row>
    <row r="312" spans="1:22" x14ac:dyDescent="0.25">
      <c r="A312">
        <v>16673803</v>
      </c>
      <c r="B312" t="s" cm="1">
        <v>430</v>
      </c>
      <c r="C312">
        <v>40</v>
      </c>
      <c r="G312" t="s" cm="1">
        <v>442</v>
      </c>
      <c r="H312" t="s">
        <v>14</v>
      </c>
      <c r="I312" t="s">
        <v>14</v>
      </c>
      <c r="J312" t="s">
        <v>30</v>
      </c>
      <c r="K312" t="s">
        <v>45</v>
      </c>
      <c r="L312" t="s">
        <v>55</v>
      </c>
      <c r="M312" t="s">
        <v>76</v>
      </c>
      <c r="N312" t="s">
        <v>83</v>
      </c>
      <c r="P312" t="e" cm="1">
        <f t="array" aca="1" ref="P312" ca="1">VLOOKUP(INDIRECT("A"&amp;ROW()), 'Recent Changes'!A:G, 2, FALSE)</f>
        <v>#N/A</v>
      </c>
      <c r="Q312" t="e" cm="1">
        <f t="array" aca="1" ref="Q312" ca="1">VLOOKUP(INDIRECT("A"&amp;ROW()), 'Recent Changes'!A:G, 3, FALSE)</f>
        <v>#N/A</v>
      </c>
      <c r="R312" t="e" cm="1">
        <f t="array" aca="1" ref="R312" ca="1">VLOOKUP(INDIRECT("A"&amp;ROW()), 'Recent Changes'!A:G, 4, FALSE)</f>
        <v>#N/A</v>
      </c>
      <c r="S312" t="e" cm="1">
        <f t="array" aca="1" ref="S312" ca="1">VLOOKUP(INDIRECT("A"&amp;ROW()), 'Recent Changes'!A:G, 5, FALSE)</f>
        <v>#N/A</v>
      </c>
      <c r="T312" t="e" cm="1">
        <f t="array" aca="1" ref="T312" ca="1">VLOOKUP(INDIRECT("A"&amp;ROW()), 'Recent Changes'!A:G, 6, FALSE)</f>
        <v>#N/A</v>
      </c>
      <c r="U312" t="e" cm="1">
        <f t="array" aca="1" ref="U312" ca="1">VLOOKUP(INDIRECT("A"&amp;ROW()), 'Recent Changes'!A:G, 7, FALSE)</f>
        <v>#N/A</v>
      </c>
      <c r="V312" t="e" cm="1">
        <f t="array" aca="1" ref="V312" ca="1">VLOOKUP(INDIRECT("A"&amp;ROW()), 'Recent Changes'!A:H, 8, FALSE)</f>
        <v>#N/A</v>
      </c>
    </row>
    <row r="313" spans="1:22" x14ac:dyDescent="0.25">
      <c r="A313">
        <v>17142889</v>
      </c>
      <c r="B313" t="s">
        <v>433</v>
      </c>
      <c r="C313">
        <v>40</v>
      </c>
      <c r="G313" t="e" cm="1">
        <v>#N/A</v>
      </c>
      <c r="H313">
        <v>45259</v>
      </c>
      <c r="I313" t="s">
        <v>15</v>
      </c>
      <c r="J313" t="s">
        <v>18</v>
      </c>
      <c r="K313" t="s">
        <v>44</v>
      </c>
      <c r="L313" t="s">
        <v>1710</v>
      </c>
      <c r="M313" t="s">
        <v>411</v>
      </c>
      <c r="N313" t="s">
        <v>426</v>
      </c>
      <c r="O313" t="s">
        <v>431</v>
      </c>
      <c r="P313" t="e" cm="1">
        <f t="array" aca="1" ref="P313" ca="1">VLOOKUP(INDIRECT("A"&amp;ROW()), 'Recent Changes'!A:G, 2, FALSE)</f>
        <v>#N/A</v>
      </c>
      <c r="Q313" t="e" cm="1">
        <f t="array" aca="1" ref="Q313" ca="1">VLOOKUP(INDIRECT("A"&amp;ROW()), 'Recent Changes'!A:G, 3, FALSE)</f>
        <v>#N/A</v>
      </c>
      <c r="R313" t="e" cm="1">
        <f t="array" aca="1" ref="R313" ca="1">VLOOKUP(INDIRECT("A"&amp;ROW()), 'Recent Changes'!A:G, 4, FALSE)</f>
        <v>#N/A</v>
      </c>
      <c r="S313" t="e" cm="1">
        <f t="array" aca="1" ref="S313" ca="1">VLOOKUP(INDIRECT("A"&amp;ROW()), 'Recent Changes'!A:G, 5, FALSE)</f>
        <v>#N/A</v>
      </c>
      <c r="T313" t="e" cm="1">
        <f t="array" aca="1" ref="T313" ca="1">VLOOKUP(INDIRECT("A"&amp;ROW()), 'Recent Changes'!A:G, 6, FALSE)</f>
        <v>#N/A</v>
      </c>
      <c r="U313" t="e" cm="1">
        <f t="array" aca="1" ref="U313" ca="1">VLOOKUP(INDIRECT("A"&amp;ROW()), 'Recent Changes'!A:G, 7, FALSE)</f>
        <v>#N/A</v>
      </c>
      <c r="V313" t="e" cm="1">
        <f t="array" aca="1" ref="V313" ca="1">VLOOKUP(INDIRECT("A"&amp;ROW()), 'Recent Changes'!A:H, 8, FALSE)</f>
        <v>#N/A</v>
      </c>
    </row>
    <row r="314" spans="1:22" x14ac:dyDescent="0.25">
      <c r="A314">
        <v>17511460</v>
      </c>
      <c r="B314" t="s">
        <v>433</v>
      </c>
      <c r="C314">
        <v>40</v>
      </c>
      <c r="G314" t="s" cm="1">
        <v>442</v>
      </c>
      <c r="H314">
        <v>45251</v>
      </c>
      <c r="I314" t="s">
        <v>15</v>
      </c>
      <c r="J314" t="s">
        <v>18</v>
      </c>
      <c r="K314" t="s">
        <v>44</v>
      </c>
      <c r="L314" t="s">
        <v>56</v>
      </c>
      <c r="M314" t="s">
        <v>81</v>
      </c>
      <c r="N314" t="s">
        <v>439</v>
      </c>
      <c r="O314" t="s">
        <v>431</v>
      </c>
      <c r="P314" t="e" cm="1">
        <f t="array" aca="1" ref="P314" ca="1">VLOOKUP(INDIRECT("A"&amp;ROW()), 'Recent Changes'!A:G, 2, FALSE)</f>
        <v>#N/A</v>
      </c>
      <c r="Q314" t="e" cm="1">
        <f t="array" aca="1" ref="Q314" ca="1">VLOOKUP(INDIRECT("A"&amp;ROW()), 'Recent Changes'!A:G, 3, FALSE)</f>
        <v>#N/A</v>
      </c>
      <c r="R314" t="e" cm="1">
        <f t="array" aca="1" ref="R314" ca="1">VLOOKUP(INDIRECT("A"&amp;ROW()), 'Recent Changes'!A:G, 4, FALSE)</f>
        <v>#N/A</v>
      </c>
      <c r="S314" t="e" cm="1">
        <f t="array" aca="1" ref="S314" ca="1">VLOOKUP(INDIRECT("A"&amp;ROW()), 'Recent Changes'!A:G, 5, FALSE)</f>
        <v>#N/A</v>
      </c>
      <c r="T314" t="e" cm="1">
        <f t="array" aca="1" ref="T314" ca="1">VLOOKUP(INDIRECT("A"&amp;ROW()), 'Recent Changes'!A:G, 6, FALSE)</f>
        <v>#N/A</v>
      </c>
      <c r="U314" t="e" cm="1">
        <f t="array" aca="1" ref="U314" ca="1">VLOOKUP(INDIRECT("A"&amp;ROW()), 'Recent Changes'!A:G, 7, FALSE)</f>
        <v>#N/A</v>
      </c>
      <c r="V314" t="e" cm="1">
        <f t="array" aca="1" ref="V314" ca="1">VLOOKUP(INDIRECT("A"&amp;ROW()), 'Recent Changes'!A:H, 8, FALSE)</f>
        <v>#N/A</v>
      </c>
    </row>
    <row r="315" spans="1:22" x14ac:dyDescent="0.25">
      <c r="A315">
        <v>17513753</v>
      </c>
      <c r="B315" t="s" cm="1">
        <v>430</v>
      </c>
      <c r="C315">
        <v>40</v>
      </c>
      <c r="G315" t="e" cm="1">
        <v>#N/A</v>
      </c>
      <c r="H315" t="s">
        <v>14</v>
      </c>
      <c r="I315" t="s">
        <v>14</v>
      </c>
      <c r="J315" t="s">
        <v>30</v>
      </c>
      <c r="K315" t="s">
        <v>44</v>
      </c>
      <c r="L315" t="s">
        <v>58</v>
      </c>
      <c r="M315" t="s">
        <v>76</v>
      </c>
      <c r="N315" t="s">
        <v>83</v>
      </c>
      <c r="P315" t="str" cm="1">
        <f t="array" aca="1" ref="P315" ca="1">VLOOKUP(INDIRECT("A"&amp;ROW()), 'Recent Changes'!A:G, 2, FALSE)</f>
        <v>NULL</v>
      </c>
      <c r="Q315" t="str" cm="1">
        <f t="array" aca="1" ref="Q315" ca="1">VLOOKUP(INDIRECT("A"&amp;ROW()), 'Recent Changes'!A:G, 3, FALSE)</f>
        <v>NULL</v>
      </c>
      <c r="R315" t="str" cm="1">
        <f t="array" aca="1" ref="R315" ca="1">VLOOKUP(INDIRECT("A"&amp;ROW()), 'Recent Changes'!A:G, 4, FALSE)</f>
        <v>NULL</v>
      </c>
      <c r="S315" t="str" cm="1">
        <f t="array" aca="1" ref="S315" ca="1">VLOOKUP(INDIRECT("A"&amp;ROW()), 'Recent Changes'!A:G, 5, FALSE)</f>
        <v>2024-01-05T15:17:09Z</v>
      </c>
      <c r="T315" t="str" cm="1">
        <f t="array" aca="1" ref="T315" ca="1">VLOOKUP(INDIRECT("A"&amp;ROW()), 'Recent Changes'!A:G, 6, FALSE)</f>
        <v>NULL</v>
      </c>
      <c r="U315" t="str" cm="1">
        <f t="array" aca="1" ref="U315" ca="1">VLOOKUP(INDIRECT("A"&amp;ROW()), 'Recent Changes'!A:G, 7, FALSE)</f>
        <v>2023-12-21T00:13:32Z</v>
      </c>
      <c r="V315" t="str" cm="1">
        <f t="array" aca="1" ref="V315" ca="1">VLOOKUP(INDIRECT("A"&amp;ROW()), 'Recent Changes'!A:H, 8, FALSE)</f>
        <v>2024-01-05T16:14:09Z</v>
      </c>
    </row>
    <row r="316" spans="1:22" x14ac:dyDescent="0.25">
      <c r="A316">
        <v>17515373</v>
      </c>
      <c r="B316" t="s" cm="1">
        <v>430</v>
      </c>
      <c r="C316">
        <v>40</v>
      </c>
      <c r="G316" t="e" cm="1">
        <v>#N/A</v>
      </c>
      <c r="H316" t="s">
        <v>14</v>
      </c>
      <c r="I316" t="s">
        <v>14</v>
      </c>
      <c r="J316" t="s">
        <v>22</v>
      </c>
      <c r="K316" t="s">
        <v>44</v>
      </c>
      <c r="L316" t="s">
        <v>63</v>
      </c>
      <c r="M316" t="s">
        <v>76</v>
      </c>
      <c r="N316" t="s">
        <v>83</v>
      </c>
      <c r="P316" t="str" cm="1">
        <f t="array" aca="1" ref="P316" ca="1">VLOOKUP(INDIRECT("A"&amp;ROW()), 'Recent Changes'!A:G, 2, FALSE)</f>
        <v>NULL</v>
      </c>
      <c r="Q316" t="str" cm="1">
        <f t="array" aca="1" ref="Q316" ca="1">VLOOKUP(INDIRECT("A"&amp;ROW()), 'Recent Changes'!A:G, 3, FALSE)</f>
        <v>NULL</v>
      </c>
      <c r="R316" t="str" cm="1">
        <f t="array" aca="1" ref="R316" ca="1">VLOOKUP(INDIRECT("A"&amp;ROW()), 'Recent Changes'!A:G, 4, FALSE)</f>
        <v>NULL</v>
      </c>
      <c r="S316" t="str" cm="1">
        <f t="array" aca="1" ref="S316" ca="1">VLOOKUP(INDIRECT("A"&amp;ROW()), 'Recent Changes'!A:G, 5, FALSE)</f>
        <v>NULL</v>
      </c>
      <c r="T316" t="str" cm="1">
        <f t="array" aca="1" ref="T316" ca="1">VLOOKUP(INDIRECT("A"&amp;ROW()), 'Recent Changes'!A:G, 6, FALSE)</f>
        <v>NULL</v>
      </c>
      <c r="U316" t="str" cm="1">
        <f t="array" aca="1" ref="U316" ca="1">VLOOKUP(INDIRECT("A"&amp;ROW()), 'Recent Changes'!A:G, 7, FALSE)</f>
        <v>NULL</v>
      </c>
      <c r="V316" t="str" cm="1">
        <f t="array" aca="1" ref="V316" ca="1">VLOOKUP(INDIRECT("A"&amp;ROW()), 'Recent Changes'!A:H, 8, FALSE)</f>
        <v>2024-01-03T21:29:31Z</v>
      </c>
    </row>
    <row r="317" spans="1:22" x14ac:dyDescent="0.25">
      <c r="A317">
        <v>17515438</v>
      </c>
      <c r="B317" t="s" cm="1">
        <v>433</v>
      </c>
      <c r="C317">
        <v>40</v>
      </c>
      <c r="G317" t="e" cm="1">
        <v>#N/A</v>
      </c>
      <c r="H317" t="s">
        <v>14</v>
      </c>
      <c r="I317" t="s">
        <v>14</v>
      </c>
      <c r="J317" t="s">
        <v>18</v>
      </c>
      <c r="K317" t="s">
        <v>44</v>
      </c>
      <c r="L317" t="s">
        <v>2146</v>
      </c>
      <c r="M317" t="s">
        <v>76</v>
      </c>
      <c r="N317" t="s">
        <v>2256</v>
      </c>
      <c r="P317" t="e" cm="1">
        <f t="array" aca="1" ref="P317" ca="1">VLOOKUP(INDIRECT("A"&amp;ROW()), 'Recent Changes'!A:G, 2, FALSE)</f>
        <v>#N/A</v>
      </c>
      <c r="Q317" t="e" cm="1">
        <f t="array" aca="1" ref="Q317" ca="1">VLOOKUP(INDIRECT("A"&amp;ROW()), 'Recent Changes'!A:G, 3, FALSE)</f>
        <v>#N/A</v>
      </c>
      <c r="R317" t="e" cm="1">
        <f t="array" aca="1" ref="R317" ca="1">VLOOKUP(INDIRECT("A"&amp;ROW()), 'Recent Changes'!A:G, 4, FALSE)</f>
        <v>#N/A</v>
      </c>
      <c r="S317" t="e" cm="1">
        <f t="array" aca="1" ref="S317" ca="1">VLOOKUP(INDIRECT("A"&amp;ROW()), 'Recent Changes'!A:G, 5, FALSE)</f>
        <v>#N/A</v>
      </c>
      <c r="T317" t="e" cm="1">
        <f t="array" aca="1" ref="T317" ca="1">VLOOKUP(INDIRECT("A"&amp;ROW()), 'Recent Changes'!A:G, 6, FALSE)</f>
        <v>#N/A</v>
      </c>
      <c r="U317" t="e" cm="1">
        <f t="array" aca="1" ref="U317" ca="1">VLOOKUP(INDIRECT("A"&amp;ROW()), 'Recent Changes'!A:G, 7, FALSE)</f>
        <v>#N/A</v>
      </c>
      <c r="V317" t="e" cm="1">
        <f t="array" aca="1" ref="V317" ca="1">VLOOKUP(INDIRECT("A"&amp;ROW()), 'Recent Changes'!A:H, 8, FALSE)</f>
        <v>#N/A</v>
      </c>
    </row>
    <row r="318" spans="1:22" x14ac:dyDescent="0.25">
      <c r="A318">
        <v>17516618</v>
      </c>
      <c r="B318" t="s">
        <v>433</v>
      </c>
      <c r="C318">
        <v>39</v>
      </c>
      <c r="G318" t="s" cm="1">
        <v>442</v>
      </c>
      <c r="H318">
        <v>45293</v>
      </c>
      <c r="I318" t="s">
        <v>15</v>
      </c>
      <c r="J318" t="s">
        <v>38</v>
      </c>
      <c r="K318" t="s">
        <v>49</v>
      </c>
      <c r="L318" t="s">
        <v>71</v>
      </c>
      <c r="M318" t="s">
        <v>76</v>
      </c>
      <c r="N318" t="s">
        <v>2257</v>
      </c>
      <c r="O318" t="s">
        <v>431</v>
      </c>
      <c r="P318" t="e" cm="1">
        <f t="array" aca="1" ref="P318" ca="1">VLOOKUP(INDIRECT("A"&amp;ROW()), 'Recent Changes'!A:G, 2, FALSE)</f>
        <v>#N/A</v>
      </c>
      <c r="Q318" t="e" cm="1">
        <f t="array" aca="1" ref="Q318" ca="1">VLOOKUP(INDIRECT("A"&amp;ROW()), 'Recent Changes'!A:G, 3, FALSE)</f>
        <v>#N/A</v>
      </c>
      <c r="R318" t="e" cm="1">
        <f t="array" aca="1" ref="R318" ca="1">VLOOKUP(INDIRECT("A"&amp;ROW()), 'Recent Changes'!A:G, 4, FALSE)</f>
        <v>#N/A</v>
      </c>
      <c r="S318" t="e" cm="1">
        <f t="array" aca="1" ref="S318" ca="1">VLOOKUP(INDIRECT("A"&amp;ROW()), 'Recent Changes'!A:G, 5, FALSE)</f>
        <v>#N/A</v>
      </c>
      <c r="T318" t="e" cm="1">
        <f t="array" aca="1" ref="T318" ca="1">VLOOKUP(INDIRECT("A"&amp;ROW()), 'Recent Changes'!A:G, 6, FALSE)</f>
        <v>#N/A</v>
      </c>
      <c r="U318" t="e" cm="1">
        <f t="array" aca="1" ref="U318" ca="1">VLOOKUP(INDIRECT("A"&amp;ROW()), 'Recent Changes'!A:G, 7, FALSE)</f>
        <v>#N/A</v>
      </c>
      <c r="V318" t="e" cm="1">
        <f t="array" aca="1" ref="V318" ca="1">VLOOKUP(INDIRECT("A"&amp;ROW()), 'Recent Changes'!A:H, 8, FALSE)</f>
        <v>#N/A</v>
      </c>
    </row>
    <row r="319" spans="1:22" x14ac:dyDescent="0.25">
      <c r="A319">
        <v>17520079</v>
      </c>
      <c r="B319" t="s" cm="1">
        <v>430</v>
      </c>
      <c r="C319">
        <v>39</v>
      </c>
      <c r="G319" t="e" cm="1">
        <v>#N/A</v>
      </c>
      <c r="H319" t="s">
        <v>14</v>
      </c>
      <c r="I319" t="s">
        <v>14</v>
      </c>
      <c r="J319" t="s">
        <v>22</v>
      </c>
      <c r="K319" t="s">
        <v>44</v>
      </c>
      <c r="L319" t="s">
        <v>2147</v>
      </c>
      <c r="M319" t="s">
        <v>76</v>
      </c>
      <c r="N319" t="s">
        <v>83</v>
      </c>
      <c r="P319" t="str" cm="1">
        <f t="array" aca="1" ref="P319" ca="1">VLOOKUP(INDIRECT("A"&amp;ROW()), 'Recent Changes'!A:G, 2, FALSE)</f>
        <v>NULL</v>
      </c>
      <c r="Q319" t="str" cm="1">
        <f t="array" aca="1" ref="Q319" ca="1">VLOOKUP(INDIRECT("A"&amp;ROW()), 'Recent Changes'!A:G, 3, FALSE)</f>
        <v>NULL</v>
      </c>
      <c r="R319" t="str" cm="1">
        <f t="array" aca="1" ref="R319" ca="1">VLOOKUP(INDIRECT("A"&amp;ROW()), 'Recent Changes'!A:G, 4, FALSE)</f>
        <v>NULL</v>
      </c>
      <c r="S319" t="str" cm="1">
        <f t="array" aca="1" ref="S319" ca="1">VLOOKUP(INDIRECT("A"&amp;ROW()), 'Recent Changes'!A:G, 5, FALSE)</f>
        <v>2023-12-18T16:19:02Z</v>
      </c>
      <c r="T319" t="str" cm="1">
        <f t="array" aca="1" ref="T319" ca="1">VLOOKUP(INDIRECT("A"&amp;ROW()), 'Recent Changes'!A:G, 6, FALSE)</f>
        <v>NULL</v>
      </c>
      <c r="U319" t="str" cm="1">
        <f t="array" aca="1" ref="U319" ca="1">VLOOKUP(INDIRECT("A"&amp;ROW()), 'Recent Changes'!A:G, 7, FALSE)</f>
        <v>NULL</v>
      </c>
      <c r="V319" t="str" cm="1">
        <f t="array" aca="1" ref="V319" ca="1">VLOOKUP(INDIRECT("A"&amp;ROW()), 'Recent Changes'!A:H, 8, FALSE)</f>
        <v>2023-12-18T21:35:18Z</v>
      </c>
    </row>
    <row r="320" spans="1:22" x14ac:dyDescent="0.25">
      <c r="A320">
        <v>17520114</v>
      </c>
      <c r="B320" t="s" cm="1">
        <v>430</v>
      </c>
      <c r="C320">
        <v>39</v>
      </c>
      <c r="G320" t="e" cm="1">
        <v>#N/A</v>
      </c>
      <c r="H320" t="s">
        <v>14</v>
      </c>
      <c r="I320" t="s">
        <v>14</v>
      </c>
      <c r="J320" t="s">
        <v>30</v>
      </c>
      <c r="K320" t="s">
        <v>44</v>
      </c>
      <c r="L320" t="s">
        <v>74</v>
      </c>
      <c r="M320" t="s">
        <v>76</v>
      </c>
      <c r="N320" t="s">
        <v>83</v>
      </c>
      <c r="P320" t="str" cm="1">
        <f t="array" aca="1" ref="P320" ca="1">VLOOKUP(INDIRECT("A"&amp;ROW()), 'Recent Changes'!A:G, 2, FALSE)</f>
        <v>NULL</v>
      </c>
      <c r="Q320" t="str" cm="1">
        <f t="array" aca="1" ref="Q320" ca="1">VLOOKUP(INDIRECT("A"&amp;ROW()), 'Recent Changes'!A:G, 3, FALSE)</f>
        <v>NULL</v>
      </c>
      <c r="R320" t="str" cm="1">
        <f t="array" aca="1" ref="R320" ca="1">VLOOKUP(INDIRECT("A"&amp;ROW()), 'Recent Changes'!A:G, 4, FALSE)</f>
        <v>NULL</v>
      </c>
      <c r="S320" t="str" cm="1">
        <f t="array" aca="1" ref="S320" ca="1">VLOOKUP(INDIRECT("A"&amp;ROW()), 'Recent Changes'!A:G, 5, FALSE)</f>
        <v>2024-01-05T14:37:29Z</v>
      </c>
      <c r="T320" t="str" cm="1">
        <f t="array" aca="1" ref="T320" ca="1">VLOOKUP(INDIRECT("A"&amp;ROW()), 'Recent Changes'!A:G, 6, FALSE)</f>
        <v>NULL</v>
      </c>
      <c r="U320" t="str" cm="1">
        <f t="array" aca="1" ref="U320" ca="1">VLOOKUP(INDIRECT("A"&amp;ROW()), 'Recent Changes'!A:G, 7, FALSE)</f>
        <v>2023-12-22T12:58:35Z</v>
      </c>
      <c r="V320" t="str" cm="1">
        <f t="array" aca="1" ref="V320" ca="1">VLOOKUP(INDIRECT("A"&amp;ROW()), 'Recent Changes'!A:H, 8, FALSE)</f>
        <v>2024-01-05T16:13:46Z</v>
      </c>
    </row>
    <row r="321" spans="1:22" x14ac:dyDescent="0.25">
      <c r="A321">
        <v>16176417</v>
      </c>
      <c r="B321" t="s">
        <v>433</v>
      </c>
      <c r="C321">
        <v>38</v>
      </c>
      <c r="G321" t="s" cm="1">
        <v>442</v>
      </c>
      <c r="H321">
        <v>45265</v>
      </c>
      <c r="I321" t="s">
        <v>15</v>
      </c>
      <c r="J321" t="s">
        <v>18</v>
      </c>
      <c r="K321" t="s">
        <v>44</v>
      </c>
      <c r="L321" t="s">
        <v>395</v>
      </c>
      <c r="M321" t="s">
        <v>76</v>
      </c>
      <c r="N321" t="s">
        <v>1583</v>
      </c>
      <c r="O321" t="s">
        <v>431</v>
      </c>
      <c r="P321" t="e" cm="1">
        <f t="array" aca="1" ref="P321" ca="1">VLOOKUP(INDIRECT("A"&amp;ROW()), 'Recent Changes'!A:G, 2, FALSE)</f>
        <v>#N/A</v>
      </c>
      <c r="Q321" t="e" cm="1">
        <f t="array" aca="1" ref="Q321" ca="1">VLOOKUP(INDIRECT("A"&amp;ROW()), 'Recent Changes'!A:G, 3, FALSE)</f>
        <v>#N/A</v>
      </c>
      <c r="R321" t="e" cm="1">
        <f t="array" aca="1" ref="R321" ca="1">VLOOKUP(INDIRECT("A"&amp;ROW()), 'Recent Changes'!A:G, 4, FALSE)</f>
        <v>#N/A</v>
      </c>
      <c r="S321" t="e" cm="1">
        <f t="array" aca="1" ref="S321" ca="1">VLOOKUP(INDIRECT("A"&amp;ROW()), 'Recent Changes'!A:G, 5, FALSE)</f>
        <v>#N/A</v>
      </c>
      <c r="T321" t="e" cm="1">
        <f t="array" aca="1" ref="T321" ca="1">VLOOKUP(INDIRECT("A"&amp;ROW()), 'Recent Changes'!A:G, 6, FALSE)</f>
        <v>#N/A</v>
      </c>
      <c r="U321" t="e" cm="1">
        <f t="array" aca="1" ref="U321" ca="1">VLOOKUP(INDIRECT("A"&amp;ROW()), 'Recent Changes'!A:G, 7, FALSE)</f>
        <v>#N/A</v>
      </c>
      <c r="V321" t="e" cm="1">
        <f t="array" aca="1" ref="V321" ca="1">VLOOKUP(INDIRECT("A"&amp;ROW()), 'Recent Changes'!A:H, 8, FALSE)</f>
        <v>#N/A</v>
      </c>
    </row>
    <row r="322" spans="1:22" x14ac:dyDescent="0.25">
      <c r="A322">
        <v>17084940</v>
      </c>
      <c r="B322" t="s">
        <v>430</v>
      </c>
      <c r="C322">
        <v>38</v>
      </c>
      <c r="G322" t="s" cm="1">
        <v>442</v>
      </c>
      <c r="H322">
        <v>45273</v>
      </c>
      <c r="I322" t="s">
        <v>17</v>
      </c>
      <c r="J322" t="s">
        <v>19</v>
      </c>
      <c r="K322" t="s">
        <v>47</v>
      </c>
      <c r="L322" t="s">
        <v>757</v>
      </c>
      <c r="M322" t="s">
        <v>76</v>
      </c>
      <c r="N322" t="s">
        <v>2258</v>
      </c>
      <c r="P322" t="e" cm="1">
        <f t="array" aca="1" ref="P322" ca="1">VLOOKUP(INDIRECT("A"&amp;ROW()), 'Recent Changes'!A:G, 2, FALSE)</f>
        <v>#N/A</v>
      </c>
      <c r="Q322" t="e" cm="1">
        <f t="array" aca="1" ref="Q322" ca="1">VLOOKUP(INDIRECT("A"&amp;ROW()), 'Recent Changes'!A:G, 3, FALSE)</f>
        <v>#N/A</v>
      </c>
      <c r="R322" t="e" cm="1">
        <f t="array" aca="1" ref="R322" ca="1">VLOOKUP(INDIRECT("A"&amp;ROW()), 'Recent Changes'!A:G, 4, FALSE)</f>
        <v>#N/A</v>
      </c>
      <c r="S322" t="e" cm="1">
        <f t="array" aca="1" ref="S322" ca="1">VLOOKUP(INDIRECT("A"&amp;ROW()), 'Recent Changes'!A:G, 5, FALSE)</f>
        <v>#N/A</v>
      </c>
      <c r="T322" t="e" cm="1">
        <f t="array" aca="1" ref="T322" ca="1">VLOOKUP(INDIRECT("A"&amp;ROW()), 'Recent Changes'!A:G, 6, FALSE)</f>
        <v>#N/A</v>
      </c>
      <c r="U322" t="e" cm="1">
        <f t="array" aca="1" ref="U322" ca="1">VLOOKUP(INDIRECT("A"&amp;ROW()), 'Recent Changes'!A:G, 7, FALSE)</f>
        <v>#N/A</v>
      </c>
      <c r="V322" t="e" cm="1">
        <f t="array" aca="1" ref="V322" ca="1">VLOOKUP(INDIRECT("A"&amp;ROW()), 'Recent Changes'!A:H, 8, FALSE)</f>
        <v>#N/A</v>
      </c>
    </row>
    <row r="323" spans="1:22" x14ac:dyDescent="0.25">
      <c r="A323">
        <v>17130944</v>
      </c>
      <c r="B323" t="s">
        <v>433</v>
      </c>
      <c r="C323">
        <v>38</v>
      </c>
      <c r="G323" t="e" cm="1">
        <v>#N/A</v>
      </c>
      <c r="H323">
        <v>45232</v>
      </c>
      <c r="I323" t="s">
        <v>15</v>
      </c>
      <c r="J323" t="s">
        <v>30</v>
      </c>
      <c r="K323" t="s">
        <v>44</v>
      </c>
      <c r="L323" t="s">
        <v>2148</v>
      </c>
      <c r="M323" t="s">
        <v>2191</v>
      </c>
      <c r="N323" t="s">
        <v>1589</v>
      </c>
      <c r="O323" t="s">
        <v>431</v>
      </c>
      <c r="P323" t="e" cm="1">
        <f t="array" aca="1" ref="P323" ca="1">VLOOKUP(INDIRECT("A"&amp;ROW()), 'Recent Changes'!A:G, 2, FALSE)</f>
        <v>#N/A</v>
      </c>
      <c r="Q323" t="e" cm="1">
        <f t="array" aca="1" ref="Q323" ca="1">VLOOKUP(INDIRECT("A"&amp;ROW()), 'Recent Changes'!A:G, 3, FALSE)</f>
        <v>#N/A</v>
      </c>
      <c r="R323" t="e" cm="1">
        <f t="array" aca="1" ref="R323" ca="1">VLOOKUP(INDIRECT("A"&amp;ROW()), 'Recent Changes'!A:G, 4, FALSE)</f>
        <v>#N/A</v>
      </c>
      <c r="S323" t="e" cm="1">
        <f t="array" aca="1" ref="S323" ca="1">VLOOKUP(INDIRECT("A"&amp;ROW()), 'Recent Changes'!A:G, 5, FALSE)</f>
        <v>#N/A</v>
      </c>
      <c r="T323" t="e" cm="1">
        <f t="array" aca="1" ref="T323" ca="1">VLOOKUP(INDIRECT("A"&amp;ROW()), 'Recent Changes'!A:G, 6, FALSE)</f>
        <v>#N/A</v>
      </c>
      <c r="U323" t="e" cm="1">
        <f t="array" aca="1" ref="U323" ca="1">VLOOKUP(INDIRECT("A"&amp;ROW()), 'Recent Changes'!A:G, 7, FALSE)</f>
        <v>#N/A</v>
      </c>
      <c r="V323" t="e" cm="1">
        <f t="array" aca="1" ref="V323" ca="1">VLOOKUP(INDIRECT("A"&amp;ROW()), 'Recent Changes'!A:H, 8, FALSE)</f>
        <v>#N/A</v>
      </c>
    </row>
    <row r="324" spans="1:22" x14ac:dyDescent="0.25">
      <c r="A324">
        <v>17523249</v>
      </c>
      <c r="B324" t="s" cm="1">
        <v>433</v>
      </c>
      <c r="C324">
        <v>38</v>
      </c>
      <c r="G324" t="e" cm="1">
        <v>#N/A</v>
      </c>
      <c r="H324" t="s">
        <v>14</v>
      </c>
      <c r="I324" t="s">
        <v>14</v>
      </c>
      <c r="J324" t="s">
        <v>30</v>
      </c>
      <c r="K324" t="s">
        <v>44</v>
      </c>
      <c r="L324" t="s">
        <v>88</v>
      </c>
      <c r="M324" t="s">
        <v>76</v>
      </c>
      <c r="N324" t="s">
        <v>83</v>
      </c>
      <c r="P324" t="str" cm="1">
        <f t="array" aca="1" ref="P324" ca="1">VLOOKUP(INDIRECT("A"&amp;ROW()), 'Recent Changes'!A:G, 2, FALSE)</f>
        <v>NULL</v>
      </c>
      <c r="Q324" t="str" cm="1">
        <f t="array" aca="1" ref="Q324" ca="1">VLOOKUP(INDIRECT("A"&amp;ROW()), 'Recent Changes'!A:G, 3, FALSE)</f>
        <v>NULL</v>
      </c>
      <c r="R324" t="str" cm="1">
        <f t="array" aca="1" ref="R324" ca="1">VLOOKUP(INDIRECT("A"&amp;ROW()), 'Recent Changes'!A:G, 4, FALSE)</f>
        <v>NULL</v>
      </c>
      <c r="S324" t="str" cm="1">
        <f t="array" aca="1" ref="S324" ca="1">VLOOKUP(INDIRECT("A"&amp;ROW()), 'Recent Changes'!A:G, 5, FALSE)</f>
        <v>NULL</v>
      </c>
      <c r="T324" t="str" cm="1">
        <f t="array" aca="1" ref="T324" ca="1">VLOOKUP(INDIRECT("A"&amp;ROW()), 'Recent Changes'!A:G, 6, FALSE)</f>
        <v>NULL</v>
      </c>
      <c r="U324" t="str" cm="1">
        <f t="array" aca="1" ref="U324" ca="1">VLOOKUP(INDIRECT("A"&amp;ROW()), 'Recent Changes'!A:G, 7, FALSE)</f>
        <v>2024-01-04T14:39:47Z</v>
      </c>
      <c r="V324" t="str" cm="1">
        <f t="array" aca="1" ref="V324" ca="1">VLOOKUP(INDIRECT("A"&amp;ROW()), 'Recent Changes'!A:H, 8, FALSE)</f>
        <v>2024-01-04T16:13:42Z</v>
      </c>
    </row>
    <row r="325" spans="1:22" x14ac:dyDescent="0.25">
      <c r="A325">
        <v>17524405</v>
      </c>
      <c r="B325" t="s">
        <v>430</v>
      </c>
      <c r="C325">
        <v>38</v>
      </c>
      <c r="G325" t="e" cm="1">
        <v>#N/A</v>
      </c>
      <c r="H325" t="s">
        <v>14</v>
      </c>
      <c r="I325" t="s">
        <v>14</v>
      </c>
      <c r="J325" t="s">
        <v>37</v>
      </c>
      <c r="K325" t="s">
        <v>44</v>
      </c>
      <c r="L325" t="s">
        <v>401</v>
      </c>
      <c r="M325" t="s">
        <v>81</v>
      </c>
      <c r="N325" t="s">
        <v>2259</v>
      </c>
      <c r="P325" t="e" cm="1">
        <f t="array" aca="1" ref="P325" ca="1">VLOOKUP(INDIRECT("A"&amp;ROW()), 'Recent Changes'!A:G, 2, FALSE)</f>
        <v>#N/A</v>
      </c>
      <c r="Q325" t="e" cm="1">
        <f t="array" aca="1" ref="Q325" ca="1">VLOOKUP(INDIRECT("A"&amp;ROW()), 'Recent Changes'!A:G, 3, FALSE)</f>
        <v>#N/A</v>
      </c>
      <c r="R325" t="e" cm="1">
        <f t="array" aca="1" ref="R325" ca="1">VLOOKUP(INDIRECT("A"&amp;ROW()), 'Recent Changes'!A:G, 4, FALSE)</f>
        <v>#N/A</v>
      </c>
      <c r="S325" t="e" cm="1">
        <f t="array" aca="1" ref="S325" ca="1">VLOOKUP(INDIRECT("A"&amp;ROW()), 'Recent Changes'!A:G, 5, FALSE)</f>
        <v>#N/A</v>
      </c>
      <c r="T325" t="e" cm="1">
        <f t="array" aca="1" ref="T325" ca="1">VLOOKUP(INDIRECT("A"&amp;ROW()), 'Recent Changes'!A:G, 6, FALSE)</f>
        <v>#N/A</v>
      </c>
      <c r="U325" t="e" cm="1">
        <f t="array" aca="1" ref="U325" ca="1">VLOOKUP(INDIRECT("A"&amp;ROW()), 'Recent Changes'!A:G, 7, FALSE)</f>
        <v>#N/A</v>
      </c>
      <c r="V325" t="e" cm="1">
        <f t="array" aca="1" ref="V325" ca="1">VLOOKUP(INDIRECT("A"&amp;ROW()), 'Recent Changes'!A:H, 8, FALSE)</f>
        <v>#N/A</v>
      </c>
    </row>
    <row r="326" spans="1:22" x14ac:dyDescent="0.25">
      <c r="A326">
        <v>17526621</v>
      </c>
      <c r="B326" t="s" cm="1">
        <v>430</v>
      </c>
      <c r="C326">
        <v>38</v>
      </c>
      <c r="G326" t="e" cm="1">
        <v>#N/A</v>
      </c>
      <c r="H326" t="s">
        <v>14</v>
      </c>
      <c r="I326" t="s">
        <v>14</v>
      </c>
      <c r="J326" t="s">
        <v>30</v>
      </c>
      <c r="K326" t="s">
        <v>53</v>
      </c>
      <c r="L326" t="s">
        <v>2149</v>
      </c>
      <c r="M326" t="s">
        <v>78</v>
      </c>
      <c r="N326" t="s">
        <v>83</v>
      </c>
      <c r="P326" t="str" cm="1">
        <f t="array" aca="1" ref="P326" ca="1">VLOOKUP(INDIRECT("A"&amp;ROW()), 'Recent Changes'!A:G, 2, FALSE)</f>
        <v>NULL</v>
      </c>
      <c r="Q326" t="str" cm="1">
        <f t="array" aca="1" ref="Q326" ca="1">VLOOKUP(INDIRECT("A"&amp;ROW()), 'Recent Changes'!A:G, 3, FALSE)</f>
        <v>NULL</v>
      </c>
      <c r="R326" t="str" cm="1">
        <f t="array" aca="1" ref="R326" ca="1">VLOOKUP(INDIRECT("A"&amp;ROW()), 'Recent Changes'!A:G, 4, FALSE)</f>
        <v>NULL</v>
      </c>
      <c r="S326" t="str" cm="1">
        <f t="array" aca="1" ref="S326" ca="1">VLOOKUP(INDIRECT("A"&amp;ROW()), 'Recent Changes'!A:G, 5, FALSE)</f>
        <v>2023-12-13T14:00:46Z</v>
      </c>
      <c r="T326" t="str" cm="1">
        <f t="array" aca="1" ref="T326" ca="1">VLOOKUP(INDIRECT("A"&amp;ROW()), 'Recent Changes'!A:G, 6, FALSE)</f>
        <v>NULL</v>
      </c>
      <c r="U326" t="str" cm="1">
        <f t="array" aca="1" ref="U326" ca="1">VLOOKUP(INDIRECT("A"&amp;ROW()), 'Recent Changes'!A:G, 7, FALSE)</f>
        <v>NULL</v>
      </c>
      <c r="V326" t="str" cm="1">
        <f t="array" aca="1" ref="V326" ca="1">VLOOKUP(INDIRECT("A"&amp;ROW()), 'Recent Changes'!A:H, 8, FALSE)</f>
        <v>2023-12-13T16:12:23Z</v>
      </c>
    </row>
    <row r="327" spans="1:22" x14ac:dyDescent="0.25">
      <c r="A327">
        <v>17526657</v>
      </c>
      <c r="B327" t="s" cm="1">
        <v>430</v>
      </c>
      <c r="C327">
        <v>38</v>
      </c>
      <c r="G327" t="e" cm="1">
        <v>#N/A</v>
      </c>
      <c r="H327" t="s">
        <v>14</v>
      </c>
      <c r="I327" t="s">
        <v>14</v>
      </c>
      <c r="J327" t="s">
        <v>30</v>
      </c>
      <c r="K327" t="s">
        <v>44</v>
      </c>
      <c r="L327" t="s">
        <v>2150</v>
      </c>
      <c r="M327" t="s">
        <v>76</v>
      </c>
      <c r="N327" t="s">
        <v>83</v>
      </c>
      <c r="P327" t="str" cm="1">
        <f t="array" aca="1" ref="P327" ca="1">VLOOKUP(INDIRECT("A"&amp;ROW()), 'Recent Changes'!A:G, 2, FALSE)</f>
        <v>NULL</v>
      </c>
      <c r="Q327" t="str" cm="1">
        <f t="array" aca="1" ref="Q327" ca="1">VLOOKUP(INDIRECT("A"&amp;ROW()), 'Recent Changes'!A:G, 3, FALSE)</f>
        <v>NULL</v>
      </c>
      <c r="R327" t="str" cm="1">
        <f t="array" aca="1" ref="R327" ca="1">VLOOKUP(INDIRECT("A"&amp;ROW()), 'Recent Changes'!A:G, 4, FALSE)</f>
        <v>NULL</v>
      </c>
      <c r="S327" t="str" cm="1">
        <f t="array" aca="1" ref="S327" ca="1">VLOOKUP(INDIRECT("A"&amp;ROW()), 'Recent Changes'!A:G, 5, FALSE)</f>
        <v>NULL</v>
      </c>
      <c r="T327" t="str" cm="1">
        <f t="array" aca="1" ref="T327" ca="1">VLOOKUP(INDIRECT("A"&amp;ROW()), 'Recent Changes'!A:G, 6, FALSE)</f>
        <v>NULL</v>
      </c>
      <c r="U327" t="str" cm="1">
        <f t="array" aca="1" ref="U327" ca="1">VLOOKUP(INDIRECT("A"&amp;ROW()), 'Recent Changes'!A:G, 7, FALSE)</f>
        <v>2023-12-14T20:03:34Z</v>
      </c>
      <c r="V327" t="str" cm="1">
        <f t="array" aca="1" ref="V327" ca="1">VLOOKUP(INDIRECT("A"&amp;ROW()), 'Recent Changes'!A:H, 8, FALSE)</f>
        <v>2023-12-14T21:09:50Z</v>
      </c>
    </row>
    <row r="328" spans="1:22" x14ac:dyDescent="0.25">
      <c r="A328">
        <v>17527596</v>
      </c>
      <c r="B328" t="s">
        <v>433</v>
      </c>
      <c r="C328">
        <v>38</v>
      </c>
      <c r="G328" t="e" cm="1">
        <v>#N/A</v>
      </c>
      <c r="H328">
        <v>45182</v>
      </c>
      <c r="I328" t="s">
        <v>15</v>
      </c>
      <c r="J328" t="s">
        <v>32</v>
      </c>
      <c r="K328" t="s">
        <v>44</v>
      </c>
      <c r="L328" t="s">
        <v>56</v>
      </c>
      <c r="M328" t="s">
        <v>2192</v>
      </c>
      <c r="N328" t="s">
        <v>2260</v>
      </c>
      <c r="O328" t="s">
        <v>431</v>
      </c>
      <c r="P328" t="e" cm="1">
        <f t="array" aca="1" ref="P328" ca="1">VLOOKUP(INDIRECT("A"&amp;ROW()), 'Recent Changes'!A:G, 2, FALSE)</f>
        <v>#N/A</v>
      </c>
      <c r="Q328" t="e" cm="1">
        <f t="array" aca="1" ref="Q328" ca="1">VLOOKUP(INDIRECT("A"&amp;ROW()), 'Recent Changes'!A:G, 3, FALSE)</f>
        <v>#N/A</v>
      </c>
      <c r="R328" t="e" cm="1">
        <f t="array" aca="1" ref="R328" ca="1">VLOOKUP(INDIRECT("A"&amp;ROW()), 'Recent Changes'!A:G, 4, FALSE)</f>
        <v>#N/A</v>
      </c>
      <c r="S328" t="e" cm="1">
        <f t="array" aca="1" ref="S328" ca="1">VLOOKUP(INDIRECT("A"&amp;ROW()), 'Recent Changes'!A:G, 5, FALSE)</f>
        <v>#N/A</v>
      </c>
      <c r="T328" t="e" cm="1">
        <f t="array" aca="1" ref="T328" ca="1">VLOOKUP(INDIRECT("A"&amp;ROW()), 'Recent Changes'!A:G, 6, FALSE)</f>
        <v>#N/A</v>
      </c>
      <c r="U328" t="e" cm="1">
        <f t="array" aca="1" ref="U328" ca="1">VLOOKUP(INDIRECT("A"&amp;ROW()), 'Recent Changes'!A:G, 7, FALSE)</f>
        <v>#N/A</v>
      </c>
      <c r="V328" t="e" cm="1">
        <f t="array" aca="1" ref="V328" ca="1">VLOOKUP(INDIRECT("A"&amp;ROW()), 'Recent Changes'!A:H, 8, FALSE)</f>
        <v>#N/A</v>
      </c>
    </row>
    <row r="329" spans="1:22" x14ac:dyDescent="0.25">
      <c r="A329">
        <v>17527617</v>
      </c>
      <c r="B329" t="s" cm="1">
        <v>430</v>
      </c>
      <c r="C329">
        <v>38</v>
      </c>
      <c r="G329" t="e" cm="1">
        <v>#N/A</v>
      </c>
      <c r="H329" t="s">
        <v>14</v>
      </c>
      <c r="I329" t="s">
        <v>14</v>
      </c>
      <c r="J329" t="s">
        <v>30</v>
      </c>
      <c r="K329" t="s">
        <v>44</v>
      </c>
      <c r="L329" t="s">
        <v>2151</v>
      </c>
      <c r="M329" t="s">
        <v>76</v>
      </c>
      <c r="N329" t="s">
        <v>83</v>
      </c>
      <c r="P329" t="str" cm="1">
        <f t="array" aca="1" ref="P329" ca="1">VLOOKUP(INDIRECT("A"&amp;ROW()), 'Recent Changes'!A:G, 2, FALSE)</f>
        <v>NULL</v>
      </c>
      <c r="Q329" t="str" cm="1">
        <f t="array" aca="1" ref="Q329" ca="1">VLOOKUP(INDIRECT("A"&amp;ROW()), 'Recent Changes'!A:G, 3, FALSE)</f>
        <v>NULL</v>
      </c>
      <c r="R329" t="str" cm="1">
        <f t="array" aca="1" ref="R329" ca="1">VLOOKUP(INDIRECT("A"&amp;ROW()), 'Recent Changes'!A:G, 4, FALSE)</f>
        <v>NULL</v>
      </c>
      <c r="S329" t="str" cm="1">
        <f t="array" aca="1" ref="S329" ca="1">VLOOKUP(INDIRECT("A"&amp;ROW()), 'Recent Changes'!A:G, 5, FALSE)</f>
        <v>2024-01-04T13:59:39Z</v>
      </c>
      <c r="T329" t="str" cm="1">
        <f t="array" aca="1" ref="T329" ca="1">VLOOKUP(INDIRECT("A"&amp;ROW()), 'Recent Changes'!A:G, 6, FALSE)</f>
        <v>NULL</v>
      </c>
      <c r="U329" t="str" cm="1">
        <f t="array" aca="1" ref="U329" ca="1">VLOOKUP(INDIRECT("A"&amp;ROW()), 'Recent Changes'!A:G, 7, FALSE)</f>
        <v>2024-01-03T05:55:24Z</v>
      </c>
      <c r="V329" t="str" cm="1">
        <f t="array" aca="1" ref="V329" ca="1">VLOOKUP(INDIRECT("A"&amp;ROW()), 'Recent Changes'!A:H, 8, FALSE)</f>
        <v>2024-01-04T16:07:27Z</v>
      </c>
    </row>
    <row r="330" spans="1:22" x14ac:dyDescent="0.25">
      <c r="A330">
        <v>17528472</v>
      </c>
      <c r="B330" t="s" cm="1">
        <v>430</v>
      </c>
      <c r="C330">
        <v>38</v>
      </c>
      <c r="G330" t="e" cm="1">
        <v>#N/A</v>
      </c>
      <c r="H330" t="s">
        <v>14</v>
      </c>
      <c r="I330" t="s">
        <v>14</v>
      </c>
      <c r="J330" t="s">
        <v>30</v>
      </c>
      <c r="K330" t="s">
        <v>44</v>
      </c>
      <c r="L330" t="s">
        <v>58</v>
      </c>
      <c r="M330" t="s">
        <v>76</v>
      </c>
      <c r="N330" t="s">
        <v>83</v>
      </c>
      <c r="P330" t="str" cm="1">
        <f t="array" aca="1" ref="P330" ca="1">VLOOKUP(INDIRECT("A"&amp;ROW()), 'Recent Changes'!A:G, 2, FALSE)</f>
        <v>NULL</v>
      </c>
      <c r="Q330" t="str" cm="1">
        <f t="array" aca="1" ref="Q330" ca="1">VLOOKUP(INDIRECT("A"&amp;ROW()), 'Recent Changes'!A:G, 3, FALSE)</f>
        <v>NULL</v>
      </c>
      <c r="R330" t="str" cm="1">
        <f t="array" aca="1" ref="R330" ca="1">VLOOKUP(INDIRECT("A"&amp;ROW()), 'Recent Changes'!A:G, 4, FALSE)</f>
        <v>NULL</v>
      </c>
      <c r="S330" t="str" cm="1">
        <f t="array" aca="1" ref="S330" ca="1">VLOOKUP(INDIRECT("A"&amp;ROW()), 'Recent Changes'!A:G, 5, FALSE)</f>
        <v>2023-12-26T16:24:49Z</v>
      </c>
      <c r="T330" t="str" cm="1">
        <f t="array" aca="1" ref="T330" ca="1">VLOOKUP(INDIRECT("A"&amp;ROW()), 'Recent Changes'!A:G, 6, FALSE)</f>
        <v>NULL</v>
      </c>
      <c r="U330" t="str" cm="1">
        <f t="array" aca="1" ref="U330" ca="1">VLOOKUP(INDIRECT("A"&amp;ROW()), 'Recent Changes'!A:G, 7, FALSE)</f>
        <v>2023-12-22T12:50:21Z</v>
      </c>
      <c r="V330" t="str" cm="1">
        <f t="array" aca="1" ref="V330" ca="1">VLOOKUP(INDIRECT("A"&amp;ROW()), 'Recent Changes'!A:H, 8, FALSE)</f>
        <v>2023-12-26T21:10:08Z</v>
      </c>
    </row>
    <row r="331" spans="1:22" x14ac:dyDescent="0.25">
      <c r="A331">
        <v>17528938</v>
      </c>
      <c r="B331" t="s">
        <v>433</v>
      </c>
      <c r="C331">
        <v>37</v>
      </c>
      <c r="G331" t="e" cm="1">
        <v>#N/A</v>
      </c>
      <c r="H331" t="s">
        <v>14</v>
      </c>
      <c r="I331" t="s">
        <v>14</v>
      </c>
      <c r="J331" t="s">
        <v>38</v>
      </c>
      <c r="K331" t="s">
        <v>49</v>
      </c>
      <c r="L331" t="s">
        <v>1711</v>
      </c>
      <c r="M331" t="s">
        <v>76</v>
      </c>
      <c r="N331" t="s">
        <v>1974</v>
      </c>
      <c r="P331" t="e" cm="1">
        <f t="array" aca="1" ref="P331" ca="1">VLOOKUP(INDIRECT("A"&amp;ROW()), 'Recent Changes'!A:G, 2, FALSE)</f>
        <v>#N/A</v>
      </c>
      <c r="Q331" t="e" cm="1">
        <f t="array" aca="1" ref="Q331" ca="1">VLOOKUP(INDIRECT("A"&amp;ROW()), 'Recent Changes'!A:G, 3, FALSE)</f>
        <v>#N/A</v>
      </c>
      <c r="R331" t="e" cm="1">
        <f t="array" aca="1" ref="R331" ca="1">VLOOKUP(INDIRECT("A"&amp;ROW()), 'Recent Changes'!A:G, 4, FALSE)</f>
        <v>#N/A</v>
      </c>
      <c r="S331" t="e" cm="1">
        <f t="array" aca="1" ref="S331" ca="1">VLOOKUP(INDIRECT("A"&amp;ROW()), 'Recent Changes'!A:G, 5, FALSE)</f>
        <v>#N/A</v>
      </c>
      <c r="T331" t="e" cm="1">
        <f t="array" aca="1" ref="T331" ca="1">VLOOKUP(INDIRECT("A"&amp;ROW()), 'Recent Changes'!A:G, 6, FALSE)</f>
        <v>#N/A</v>
      </c>
      <c r="U331" t="e" cm="1">
        <f t="array" aca="1" ref="U331" ca="1">VLOOKUP(INDIRECT("A"&amp;ROW()), 'Recent Changes'!A:G, 7, FALSE)</f>
        <v>#N/A</v>
      </c>
      <c r="V331" t="e" cm="1">
        <f t="array" aca="1" ref="V331" ca="1">VLOOKUP(INDIRECT("A"&amp;ROW()), 'Recent Changes'!A:H, 8, FALSE)</f>
        <v>#N/A</v>
      </c>
    </row>
    <row r="332" spans="1:22" x14ac:dyDescent="0.25">
      <c r="A332">
        <v>17529854</v>
      </c>
      <c r="B332" t="s" cm="1">
        <v>433</v>
      </c>
      <c r="C332">
        <v>36</v>
      </c>
      <c r="G332" t="e" cm="1">
        <v>#N/A</v>
      </c>
      <c r="H332" t="s">
        <v>14</v>
      </c>
      <c r="I332" t="s">
        <v>14</v>
      </c>
      <c r="J332" t="s">
        <v>26</v>
      </c>
      <c r="K332" t="s">
        <v>44</v>
      </c>
      <c r="L332" t="s">
        <v>2152</v>
      </c>
      <c r="M332" t="s">
        <v>78</v>
      </c>
      <c r="N332" t="s">
        <v>2261</v>
      </c>
      <c r="P332" t="e" cm="1">
        <f t="array" aca="1" ref="P332" ca="1">VLOOKUP(INDIRECT("A"&amp;ROW()), 'Recent Changes'!A:G, 2, FALSE)</f>
        <v>#N/A</v>
      </c>
      <c r="Q332" t="e" cm="1">
        <f t="array" aca="1" ref="Q332" ca="1">VLOOKUP(INDIRECT("A"&amp;ROW()), 'Recent Changes'!A:G, 3, FALSE)</f>
        <v>#N/A</v>
      </c>
      <c r="R332" t="e" cm="1">
        <f t="array" aca="1" ref="R332" ca="1">VLOOKUP(INDIRECT("A"&amp;ROW()), 'Recent Changes'!A:G, 4, FALSE)</f>
        <v>#N/A</v>
      </c>
      <c r="S332" t="e" cm="1">
        <f t="array" aca="1" ref="S332" ca="1">VLOOKUP(INDIRECT("A"&amp;ROW()), 'Recent Changes'!A:G, 5, FALSE)</f>
        <v>#N/A</v>
      </c>
      <c r="T332" t="e" cm="1">
        <f t="array" aca="1" ref="T332" ca="1">VLOOKUP(INDIRECT("A"&amp;ROW()), 'Recent Changes'!A:G, 6, FALSE)</f>
        <v>#N/A</v>
      </c>
      <c r="U332" t="e" cm="1">
        <f t="array" aca="1" ref="U332" ca="1">VLOOKUP(INDIRECT("A"&amp;ROW()), 'Recent Changes'!A:G, 7, FALSE)</f>
        <v>#N/A</v>
      </c>
      <c r="V332" t="e" cm="1">
        <f t="array" aca="1" ref="V332" ca="1">VLOOKUP(INDIRECT("A"&amp;ROW()), 'Recent Changes'!A:H, 8, FALSE)</f>
        <v>#N/A</v>
      </c>
    </row>
    <row r="333" spans="1:22" x14ac:dyDescent="0.25">
      <c r="A333">
        <v>10422842</v>
      </c>
      <c r="B333" t="s">
        <v>433</v>
      </c>
      <c r="C333">
        <v>35</v>
      </c>
      <c r="G333" t="e" cm="1">
        <v>#N/A</v>
      </c>
      <c r="H333">
        <v>45264</v>
      </c>
      <c r="I333" t="s">
        <v>15</v>
      </c>
      <c r="J333" t="s">
        <v>18</v>
      </c>
      <c r="K333" t="s">
        <v>44</v>
      </c>
      <c r="L333" t="s">
        <v>2027</v>
      </c>
      <c r="M333" t="s">
        <v>76</v>
      </c>
      <c r="N333" t="s">
        <v>419</v>
      </c>
      <c r="O333" t="s">
        <v>431</v>
      </c>
      <c r="P333" t="e" cm="1">
        <f t="array" aca="1" ref="P333" ca="1">VLOOKUP(INDIRECT("A"&amp;ROW()), 'Recent Changes'!A:G, 2, FALSE)</f>
        <v>#N/A</v>
      </c>
      <c r="Q333" t="e" cm="1">
        <f t="array" aca="1" ref="Q333" ca="1">VLOOKUP(INDIRECT("A"&amp;ROW()), 'Recent Changes'!A:G, 3, FALSE)</f>
        <v>#N/A</v>
      </c>
      <c r="R333" t="e" cm="1">
        <f t="array" aca="1" ref="R333" ca="1">VLOOKUP(INDIRECT("A"&amp;ROW()), 'Recent Changes'!A:G, 4, FALSE)</f>
        <v>#N/A</v>
      </c>
      <c r="S333" t="e" cm="1">
        <f t="array" aca="1" ref="S333" ca="1">VLOOKUP(INDIRECT("A"&amp;ROW()), 'Recent Changes'!A:G, 5, FALSE)</f>
        <v>#N/A</v>
      </c>
      <c r="T333" t="e" cm="1">
        <f t="array" aca="1" ref="T333" ca="1">VLOOKUP(INDIRECT("A"&amp;ROW()), 'Recent Changes'!A:G, 6, FALSE)</f>
        <v>#N/A</v>
      </c>
      <c r="U333" t="e" cm="1">
        <f t="array" aca="1" ref="U333" ca="1">VLOOKUP(INDIRECT("A"&amp;ROW()), 'Recent Changes'!A:G, 7, FALSE)</f>
        <v>#N/A</v>
      </c>
      <c r="V333" t="e" cm="1">
        <f t="array" aca="1" ref="V333" ca="1">VLOOKUP(INDIRECT("A"&amp;ROW()), 'Recent Changes'!A:H, 8, FALSE)</f>
        <v>#N/A</v>
      </c>
    </row>
    <row r="334" spans="1:22" x14ac:dyDescent="0.25">
      <c r="A334">
        <v>17043980</v>
      </c>
      <c r="B334" t="s" cm="1">
        <v>430</v>
      </c>
      <c r="C334">
        <v>35</v>
      </c>
      <c r="G334" t="s" cm="1">
        <v>442</v>
      </c>
      <c r="H334" t="s">
        <v>14</v>
      </c>
      <c r="I334" t="s">
        <v>14</v>
      </c>
      <c r="J334" t="s">
        <v>30</v>
      </c>
      <c r="K334" t="s">
        <v>45</v>
      </c>
      <c r="L334" t="s">
        <v>56</v>
      </c>
      <c r="M334" t="s">
        <v>81</v>
      </c>
      <c r="N334" t="s">
        <v>83</v>
      </c>
      <c r="P334" t="str" cm="1">
        <f t="array" aca="1" ref="P334" ca="1">VLOOKUP(INDIRECT("A"&amp;ROW()), 'Recent Changes'!A:G, 2, FALSE)</f>
        <v>NULL</v>
      </c>
      <c r="Q334" t="str" cm="1">
        <f t="array" aca="1" ref="Q334" ca="1">VLOOKUP(INDIRECT("A"&amp;ROW()), 'Recent Changes'!A:G, 3, FALSE)</f>
        <v>NULL</v>
      </c>
      <c r="R334" t="str" cm="1">
        <f t="array" aca="1" ref="R334" ca="1">VLOOKUP(INDIRECT("A"&amp;ROW()), 'Recent Changes'!A:G, 4, FALSE)</f>
        <v>NULL</v>
      </c>
      <c r="S334" t="str" cm="1">
        <f t="array" aca="1" ref="S334" ca="1">VLOOKUP(INDIRECT("A"&amp;ROW()), 'Recent Changes'!A:G, 5, FALSE)</f>
        <v>2023-12-04T21:01:00Z</v>
      </c>
      <c r="T334" t="str" cm="1">
        <f t="array" aca="1" ref="T334" ca="1">VLOOKUP(INDIRECT("A"&amp;ROW()), 'Recent Changes'!A:G, 6, FALSE)</f>
        <v>NULL</v>
      </c>
      <c r="U334" t="str" cm="1">
        <f t="array" aca="1" ref="U334" ca="1">VLOOKUP(INDIRECT("A"&amp;ROW()), 'Recent Changes'!A:G, 7, FALSE)</f>
        <v>2023-09-15T09:48:03Z</v>
      </c>
      <c r="V334" t="str" cm="1">
        <f t="array" aca="1" ref="V334" ca="1">VLOOKUP(INDIRECT("A"&amp;ROW()), 'Recent Changes'!A:H, 8, FALSE)</f>
        <v>2023-12-05T16:33:16Z</v>
      </c>
    </row>
    <row r="335" spans="1:22" x14ac:dyDescent="0.25">
      <c r="A335">
        <v>17090304</v>
      </c>
      <c r="B335" t="s" cm="1">
        <v>430</v>
      </c>
      <c r="C335">
        <v>35</v>
      </c>
      <c r="G335" t="s" cm="1">
        <v>442</v>
      </c>
      <c r="H335" t="s">
        <v>14</v>
      </c>
      <c r="I335" t="s">
        <v>14</v>
      </c>
      <c r="J335" t="s">
        <v>26</v>
      </c>
      <c r="K335" t="s">
        <v>45</v>
      </c>
      <c r="L335" t="s">
        <v>56</v>
      </c>
      <c r="M335" t="s">
        <v>81</v>
      </c>
      <c r="N335" t="s">
        <v>83</v>
      </c>
      <c r="P335" t="str" cm="1">
        <f t="array" aca="1" ref="P335" ca="1">VLOOKUP(INDIRECT("A"&amp;ROW()), 'Recent Changes'!A:G, 2, FALSE)</f>
        <v>NULL</v>
      </c>
      <c r="Q335" t="str" cm="1">
        <f t="array" aca="1" ref="Q335" ca="1">VLOOKUP(INDIRECT("A"&amp;ROW()), 'Recent Changes'!A:G, 3, FALSE)</f>
        <v>NULL</v>
      </c>
      <c r="R335" t="str" cm="1">
        <f t="array" aca="1" ref="R335" ca="1">VLOOKUP(INDIRECT("A"&amp;ROW()), 'Recent Changes'!A:G, 4, FALSE)</f>
        <v>NULL</v>
      </c>
      <c r="S335" t="str" cm="1">
        <f t="array" aca="1" ref="S335" ca="1">VLOOKUP(INDIRECT("A"&amp;ROW()), 'Recent Changes'!A:G, 5, FALSE)</f>
        <v>2023-12-04T21:27:52Z</v>
      </c>
      <c r="T335" t="str" cm="1">
        <f t="array" aca="1" ref="T335" ca="1">VLOOKUP(INDIRECT("A"&amp;ROW()), 'Recent Changes'!A:G, 6, FALSE)</f>
        <v>NULL</v>
      </c>
      <c r="U335" t="str" cm="1">
        <f t="array" aca="1" ref="U335" ca="1">VLOOKUP(INDIRECT("A"&amp;ROW()), 'Recent Changes'!A:G, 7, FALSE)</f>
        <v>2023-09-12T15:51:53Z</v>
      </c>
      <c r="V335" t="str" cm="1">
        <f t="array" aca="1" ref="V335" ca="1">VLOOKUP(INDIRECT("A"&amp;ROW()), 'Recent Changes'!A:H, 8, FALSE)</f>
        <v>2023-12-05T16:58:14Z</v>
      </c>
    </row>
    <row r="336" spans="1:22" x14ac:dyDescent="0.25">
      <c r="A336">
        <v>17183455</v>
      </c>
      <c r="B336" t="s">
        <v>433</v>
      </c>
      <c r="C336">
        <v>35</v>
      </c>
      <c r="G336" t="s" cm="1">
        <v>442</v>
      </c>
      <c r="H336">
        <v>45264</v>
      </c>
      <c r="I336" t="s">
        <v>15</v>
      </c>
      <c r="J336" t="s">
        <v>18</v>
      </c>
      <c r="K336" t="s">
        <v>44</v>
      </c>
      <c r="L336" t="s">
        <v>86</v>
      </c>
      <c r="M336" t="s">
        <v>76</v>
      </c>
      <c r="N336" t="s">
        <v>419</v>
      </c>
      <c r="O336" t="s">
        <v>431</v>
      </c>
      <c r="P336" t="e" cm="1">
        <f t="array" aca="1" ref="P336" ca="1">VLOOKUP(INDIRECT("A"&amp;ROW()), 'Recent Changes'!A:G, 2, FALSE)</f>
        <v>#N/A</v>
      </c>
      <c r="Q336" t="e" cm="1">
        <f t="array" aca="1" ref="Q336" ca="1">VLOOKUP(INDIRECT("A"&amp;ROW()), 'Recent Changes'!A:G, 3, FALSE)</f>
        <v>#N/A</v>
      </c>
      <c r="R336" t="e" cm="1">
        <f t="array" aca="1" ref="R336" ca="1">VLOOKUP(INDIRECT("A"&amp;ROW()), 'Recent Changes'!A:G, 4, FALSE)</f>
        <v>#N/A</v>
      </c>
      <c r="S336" t="e" cm="1">
        <f t="array" aca="1" ref="S336" ca="1">VLOOKUP(INDIRECT("A"&amp;ROW()), 'Recent Changes'!A:G, 5, FALSE)</f>
        <v>#N/A</v>
      </c>
      <c r="T336" t="e" cm="1">
        <f t="array" aca="1" ref="T336" ca="1">VLOOKUP(INDIRECT("A"&amp;ROW()), 'Recent Changes'!A:G, 6, FALSE)</f>
        <v>#N/A</v>
      </c>
      <c r="U336" t="e" cm="1">
        <f t="array" aca="1" ref="U336" ca="1">VLOOKUP(INDIRECT("A"&amp;ROW()), 'Recent Changes'!A:G, 7, FALSE)</f>
        <v>#N/A</v>
      </c>
      <c r="V336" t="e" cm="1">
        <f t="array" aca="1" ref="V336" ca="1">VLOOKUP(INDIRECT("A"&amp;ROW()), 'Recent Changes'!A:H, 8, FALSE)</f>
        <v>#N/A</v>
      </c>
    </row>
    <row r="337" spans="1:22" x14ac:dyDescent="0.25">
      <c r="A337">
        <v>17197591</v>
      </c>
      <c r="B337" t="s" cm="1">
        <v>430</v>
      </c>
      <c r="C337">
        <v>35</v>
      </c>
      <c r="G337" t="s" cm="1">
        <v>442</v>
      </c>
      <c r="H337" t="s">
        <v>14</v>
      </c>
      <c r="I337" t="s">
        <v>14</v>
      </c>
      <c r="J337" t="s">
        <v>30</v>
      </c>
      <c r="K337" t="s">
        <v>51</v>
      </c>
      <c r="L337" t="s">
        <v>1324</v>
      </c>
      <c r="M337" t="s">
        <v>76</v>
      </c>
      <c r="N337" t="s">
        <v>83</v>
      </c>
      <c r="P337" t="str" cm="1">
        <f t="array" aca="1" ref="P337" ca="1">VLOOKUP(INDIRECT("A"&amp;ROW()), 'Recent Changes'!A:G, 2, FALSE)</f>
        <v>NULL</v>
      </c>
      <c r="Q337" t="str" cm="1">
        <f t="array" aca="1" ref="Q337" ca="1">VLOOKUP(INDIRECT("A"&amp;ROW()), 'Recent Changes'!A:G, 3, FALSE)</f>
        <v>NULL</v>
      </c>
      <c r="R337" t="str" cm="1">
        <f t="array" aca="1" ref="R337" ca="1">VLOOKUP(INDIRECT("A"&amp;ROW()), 'Recent Changes'!A:G, 4, FALSE)</f>
        <v>NULL</v>
      </c>
      <c r="S337" t="str" cm="1">
        <f t="array" aca="1" ref="S337" ca="1">VLOOKUP(INDIRECT("A"&amp;ROW()), 'Recent Changes'!A:G, 5, FALSE)</f>
        <v>2023-12-06T20:07:50Z</v>
      </c>
      <c r="T337" t="str" cm="1">
        <f t="array" aca="1" ref="T337" ca="1">VLOOKUP(INDIRECT("A"&amp;ROW()), 'Recent Changes'!A:G, 6, FALSE)</f>
        <v>NULL</v>
      </c>
      <c r="U337" t="str" cm="1">
        <f t="array" aca="1" ref="U337" ca="1">VLOOKUP(INDIRECT("A"&amp;ROW()), 'Recent Changes'!A:G, 7, FALSE)</f>
        <v>2023-12-06T20:13:21Z</v>
      </c>
      <c r="V337" t="str" cm="1">
        <f t="array" aca="1" ref="V337" ca="1">VLOOKUP(INDIRECT("A"&amp;ROW()), 'Recent Changes'!A:H, 8, FALSE)</f>
        <v>2023-12-06T21:55:50Z</v>
      </c>
    </row>
    <row r="338" spans="1:22" x14ac:dyDescent="0.25">
      <c r="A338">
        <v>17533931</v>
      </c>
      <c r="B338" t="s">
        <v>433</v>
      </c>
      <c r="C338">
        <v>35</v>
      </c>
      <c r="G338" t="s" cm="1">
        <v>442</v>
      </c>
      <c r="H338" t="s">
        <v>14</v>
      </c>
      <c r="I338" t="s">
        <v>14</v>
      </c>
      <c r="J338" t="s">
        <v>1413</v>
      </c>
      <c r="K338" t="s">
        <v>730</v>
      </c>
      <c r="L338" t="s">
        <v>1527</v>
      </c>
      <c r="M338" t="s">
        <v>76</v>
      </c>
      <c r="N338" t="s">
        <v>1974</v>
      </c>
      <c r="P338" t="e" cm="1">
        <f t="array" aca="1" ref="P338" ca="1">VLOOKUP(INDIRECT("A"&amp;ROW()), 'Recent Changes'!A:G, 2, FALSE)</f>
        <v>#N/A</v>
      </c>
      <c r="Q338" t="e" cm="1">
        <f t="array" aca="1" ref="Q338" ca="1">VLOOKUP(INDIRECT("A"&amp;ROW()), 'Recent Changes'!A:G, 3, FALSE)</f>
        <v>#N/A</v>
      </c>
      <c r="R338" t="e" cm="1">
        <f t="array" aca="1" ref="R338" ca="1">VLOOKUP(INDIRECT("A"&amp;ROW()), 'Recent Changes'!A:G, 4, FALSE)</f>
        <v>#N/A</v>
      </c>
      <c r="S338" t="e" cm="1">
        <f t="array" aca="1" ref="S338" ca="1">VLOOKUP(INDIRECT("A"&amp;ROW()), 'Recent Changes'!A:G, 5, FALSE)</f>
        <v>#N/A</v>
      </c>
      <c r="T338" t="e" cm="1">
        <f t="array" aca="1" ref="T338" ca="1">VLOOKUP(INDIRECT("A"&amp;ROW()), 'Recent Changes'!A:G, 6, FALSE)</f>
        <v>#N/A</v>
      </c>
      <c r="U338" t="e" cm="1">
        <f t="array" aca="1" ref="U338" ca="1">VLOOKUP(INDIRECT("A"&amp;ROW()), 'Recent Changes'!A:G, 7, FALSE)</f>
        <v>#N/A</v>
      </c>
      <c r="V338" t="e" cm="1">
        <f t="array" aca="1" ref="V338" ca="1">VLOOKUP(INDIRECT("A"&amp;ROW()), 'Recent Changes'!A:H, 8, FALSE)</f>
        <v>#N/A</v>
      </c>
    </row>
    <row r="339" spans="1:22" x14ac:dyDescent="0.25">
      <c r="A339">
        <v>17534430</v>
      </c>
      <c r="B339" t="s" cm="1">
        <v>430</v>
      </c>
      <c r="C339">
        <v>35</v>
      </c>
      <c r="G339" t="e" cm="1">
        <v>#N/A</v>
      </c>
      <c r="H339" t="s">
        <v>14</v>
      </c>
      <c r="I339" t="s">
        <v>14</v>
      </c>
      <c r="J339" t="s">
        <v>26</v>
      </c>
      <c r="K339" t="s">
        <v>53</v>
      </c>
      <c r="L339" t="s">
        <v>1695</v>
      </c>
      <c r="M339" t="s">
        <v>78</v>
      </c>
      <c r="N339" t="s">
        <v>83</v>
      </c>
      <c r="P339" t="str" cm="1">
        <f t="array" aca="1" ref="P339" ca="1">VLOOKUP(INDIRECT("A"&amp;ROW()), 'Recent Changes'!A:G, 2, FALSE)</f>
        <v>NULL</v>
      </c>
      <c r="Q339" t="str" cm="1">
        <f t="array" aca="1" ref="Q339" ca="1">VLOOKUP(INDIRECT("A"&amp;ROW()), 'Recent Changes'!A:G, 3, FALSE)</f>
        <v>NULL</v>
      </c>
      <c r="R339" t="str" cm="1">
        <f t="array" aca="1" ref="R339" ca="1">VLOOKUP(INDIRECT("A"&amp;ROW()), 'Recent Changes'!A:G, 4, FALSE)</f>
        <v>NULL</v>
      </c>
      <c r="S339" t="str" cm="1">
        <f t="array" aca="1" ref="S339" ca="1">VLOOKUP(INDIRECT("A"&amp;ROW()), 'Recent Changes'!A:G, 5, FALSE)</f>
        <v>2023-12-13T14:00:46Z</v>
      </c>
      <c r="T339" t="str" cm="1">
        <f t="array" aca="1" ref="T339" ca="1">VLOOKUP(INDIRECT("A"&amp;ROW()), 'Recent Changes'!A:G, 6, FALSE)</f>
        <v>NULL</v>
      </c>
      <c r="U339" t="str" cm="1">
        <f t="array" aca="1" ref="U339" ca="1">VLOOKUP(INDIRECT("A"&amp;ROW()), 'Recent Changes'!A:G, 7, FALSE)</f>
        <v>NULL</v>
      </c>
      <c r="V339" t="str" cm="1">
        <f t="array" aca="1" ref="V339" ca="1">VLOOKUP(INDIRECT("A"&amp;ROW()), 'Recent Changes'!A:H, 8, FALSE)</f>
        <v>2023-12-13T21:08:40Z</v>
      </c>
    </row>
    <row r="340" spans="1:22" x14ac:dyDescent="0.25">
      <c r="A340">
        <v>12648581</v>
      </c>
      <c r="B340" t="s">
        <v>433</v>
      </c>
      <c r="C340">
        <v>34</v>
      </c>
      <c r="G340" t="e" cm="1">
        <v>#N/A</v>
      </c>
      <c r="H340">
        <v>45265</v>
      </c>
      <c r="I340" t="s">
        <v>15</v>
      </c>
      <c r="J340" t="s">
        <v>18</v>
      </c>
      <c r="K340" t="s">
        <v>44</v>
      </c>
      <c r="L340" t="s">
        <v>2153</v>
      </c>
      <c r="M340" t="s">
        <v>79</v>
      </c>
      <c r="N340" t="s">
        <v>1583</v>
      </c>
      <c r="O340" t="s">
        <v>431</v>
      </c>
      <c r="P340" t="e" cm="1">
        <f t="array" aca="1" ref="P340" ca="1">VLOOKUP(INDIRECT("A"&amp;ROW()), 'Recent Changes'!A:G, 2, FALSE)</f>
        <v>#N/A</v>
      </c>
      <c r="Q340" t="e" cm="1">
        <f t="array" aca="1" ref="Q340" ca="1">VLOOKUP(INDIRECT("A"&amp;ROW()), 'Recent Changes'!A:G, 3, FALSE)</f>
        <v>#N/A</v>
      </c>
      <c r="R340" t="e" cm="1">
        <f t="array" aca="1" ref="R340" ca="1">VLOOKUP(INDIRECT("A"&amp;ROW()), 'Recent Changes'!A:G, 4, FALSE)</f>
        <v>#N/A</v>
      </c>
      <c r="S340" t="e" cm="1">
        <f t="array" aca="1" ref="S340" ca="1">VLOOKUP(INDIRECT("A"&amp;ROW()), 'Recent Changes'!A:G, 5, FALSE)</f>
        <v>#N/A</v>
      </c>
      <c r="T340" t="e" cm="1">
        <f t="array" aca="1" ref="T340" ca="1">VLOOKUP(INDIRECT("A"&amp;ROW()), 'Recent Changes'!A:G, 6, FALSE)</f>
        <v>#N/A</v>
      </c>
      <c r="U340" t="e" cm="1">
        <f t="array" aca="1" ref="U340" ca="1">VLOOKUP(INDIRECT("A"&amp;ROW()), 'Recent Changes'!A:G, 7, FALSE)</f>
        <v>#N/A</v>
      </c>
      <c r="V340" t="e" cm="1">
        <f t="array" aca="1" ref="V340" ca="1">VLOOKUP(INDIRECT("A"&amp;ROW()), 'Recent Changes'!A:H, 8, FALSE)</f>
        <v>#N/A</v>
      </c>
    </row>
    <row r="341" spans="1:22" x14ac:dyDescent="0.25">
      <c r="A341">
        <v>16617052</v>
      </c>
      <c r="B341" t="s">
        <v>433</v>
      </c>
      <c r="C341">
        <v>34</v>
      </c>
      <c r="G341" t="s" cm="1">
        <v>752</v>
      </c>
      <c r="H341">
        <v>45272</v>
      </c>
      <c r="I341" t="s">
        <v>15</v>
      </c>
      <c r="J341" t="s">
        <v>18</v>
      </c>
      <c r="K341" t="s">
        <v>1415</v>
      </c>
      <c r="L341" t="s">
        <v>86</v>
      </c>
      <c r="M341" t="s">
        <v>76</v>
      </c>
      <c r="N341" t="s">
        <v>429</v>
      </c>
      <c r="O341" t="s">
        <v>431</v>
      </c>
      <c r="P341" t="e" cm="1">
        <f t="array" aca="1" ref="P341" ca="1">VLOOKUP(INDIRECT("A"&amp;ROW()), 'Recent Changes'!A:G, 2, FALSE)</f>
        <v>#N/A</v>
      </c>
      <c r="Q341" t="e" cm="1">
        <f t="array" aca="1" ref="Q341" ca="1">VLOOKUP(INDIRECT("A"&amp;ROW()), 'Recent Changes'!A:G, 3, FALSE)</f>
        <v>#N/A</v>
      </c>
      <c r="R341" t="e" cm="1">
        <f t="array" aca="1" ref="R341" ca="1">VLOOKUP(INDIRECT("A"&amp;ROW()), 'Recent Changes'!A:G, 4, FALSE)</f>
        <v>#N/A</v>
      </c>
      <c r="S341" t="e" cm="1">
        <f t="array" aca="1" ref="S341" ca="1">VLOOKUP(INDIRECT("A"&amp;ROW()), 'Recent Changes'!A:G, 5, FALSE)</f>
        <v>#N/A</v>
      </c>
      <c r="T341" t="e" cm="1">
        <f t="array" aca="1" ref="T341" ca="1">VLOOKUP(INDIRECT("A"&amp;ROW()), 'Recent Changes'!A:G, 6, FALSE)</f>
        <v>#N/A</v>
      </c>
      <c r="U341" t="e" cm="1">
        <f t="array" aca="1" ref="U341" ca="1">VLOOKUP(INDIRECT("A"&amp;ROW()), 'Recent Changes'!A:G, 7, FALSE)</f>
        <v>#N/A</v>
      </c>
      <c r="V341" t="e" cm="1">
        <f t="array" aca="1" ref="V341" ca="1">VLOOKUP(INDIRECT("A"&amp;ROW()), 'Recent Changes'!A:H, 8, FALSE)</f>
        <v>#N/A</v>
      </c>
    </row>
    <row r="342" spans="1:22" x14ac:dyDescent="0.25">
      <c r="A342">
        <v>17536167</v>
      </c>
      <c r="B342" t="s" cm="1">
        <v>430</v>
      </c>
      <c r="C342">
        <v>34</v>
      </c>
      <c r="G342" t="e" cm="1">
        <v>#N/A</v>
      </c>
      <c r="H342" t="s">
        <v>14</v>
      </c>
      <c r="I342" t="s">
        <v>14</v>
      </c>
      <c r="J342" t="s">
        <v>30</v>
      </c>
      <c r="K342" t="s">
        <v>43</v>
      </c>
      <c r="L342" t="s">
        <v>55</v>
      </c>
      <c r="M342" t="s">
        <v>76</v>
      </c>
      <c r="N342" t="s">
        <v>83</v>
      </c>
      <c r="P342" t="str" cm="1">
        <f t="array" aca="1" ref="P342" ca="1">VLOOKUP(INDIRECT("A"&amp;ROW()), 'Recent Changes'!A:G, 2, FALSE)</f>
        <v>2023-12-20T16:09:43Z</v>
      </c>
      <c r="Q342" t="str" cm="1">
        <f t="array" aca="1" ref="Q342" ca="1">VLOOKUP(INDIRECT("A"&amp;ROW()), 'Recent Changes'!A:G, 3, FALSE)</f>
        <v>NULL</v>
      </c>
      <c r="R342" t="str" cm="1">
        <f t="array" aca="1" ref="R342" ca="1">VLOOKUP(INDIRECT("A"&amp;ROW()), 'Recent Changes'!A:G, 4, FALSE)</f>
        <v>NULL</v>
      </c>
      <c r="S342" t="str" cm="1">
        <f t="array" aca="1" ref="S342" ca="1">VLOOKUP(INDIRECT("A"&amp;ROW()), 'Recent Changes'!A:G, 5, FALSE)</f>
        <v>2023-12-20T16:09:43Z</v>
      </c>
      <c r="T342" t="str" cm="1">
        <f t="array" aca="1" ref="T342" ca="1">VLOOKUP(INDIRECT("A"&amp;ROW()), 'Recent Changes'!A:G, 6, FALSE)</f>
        <v>NULL</v>
      </c>
      <c r="U342" t="str" cm="1">
        <f t="array" aca="1" ref="U342" ca="1">VLOOKUP(INDIRECT("A"&amp;ROW()), 'Recent Changes'!A:G, 7, FALSE)</f>
        <v>2023-12-21T01:28:46Z</v>
      </c>
      <c r="V342" t="str" cm="1">
        <f t="array" aca="1" ref="V342" ca="1">VLOOKUP(INDIRECT("A"&amp;ROW()), 'Recent Changes'!A:H, 8, FALSE)</f>
        <v>2023-12-20T21:40:44Z</v>
      </c>
    </row>
    <row r="343" spans="1:22" x14ac:dyDescent="0.25">
      <c r="A343">
        <v>17539282</v>
      </c>
      <c r="B343" t="s">
        <v>430</v>
      </c>
      <c r="C343">
        <v>34</v>
      </c>
      <c r="G343" t="s" cm="1">
        <v>442</v>
      </c>
      <c r="H343" t="s">
        <v>14</v>
      </c>
      <c r="I343" t="s">
        <v>14</v>
      </c>
      <c r="J343" t="s">
        <v>19</v>
      </c>
      <c r="K343" t="s">
        <v>53</v>
      </c>
      <c r="L343" t="s">
        <v>63</v>
      </c>
      <c r="M343" t="s">
        <v>76</v>
      </c>
      <c r="N343" t="s">
        <v>1974</v>
      </c>
      <c r="P343" t="e" cm="1">
        <f t="array" aca="1" ref="P343" ca="1">VLOOKUP(INDIRECT("A"&amp;ROW()), 'Recent Changes'!A:G, 2, FALSE)</f>
        <v>#N/A</v>
      </c>
      <c r="Q343" t="e" cm="1">
        <f t="array" aca="1" ref="Q343" ca="1">VLOOKUP(INDIRECT("A"&amp;ROW()), 'Recent Changes'!A:G, 3, FALSE)</f>
        <v>#N/A</v>
      </c>
      <c r="R343" t="e" cm="1">
        <f t="array" aca="1" ref="R343" ca="1">VLOOKUP(INDIRECT("A"&amp;ROW()), 'Recent Changes'!A:G, 4, FALSE)</f>
        <v>#N/A</v>
      </c>
      <c r="S343" t="e" cm="1">
        <f t="array" aca="1" ref="S343" ca="1">VLOOKUP(INDIRECT("A"&amp;ROW()), 'Recent Changes'!A:G, 5, FALSE)</f>
        <v>#N/A</v>
      </c>
      <c r="T343" t="e" cm="1">
        <f t="array" aca="1" ref="T343" ca="1">VLOOKUP(INDIRECT("A"&amp;ROW()), 'Recent Changes'!A:G, 6, FALSE)</f>
        <v>#N/A</v>
      </c>
      <c r="U343" t="e" cm="1">
        <f t="array" aca="1" ref="U343" ca="1">VLOOKUP(INDIRECT("A"&amp;ROW()), 'Recent Changes'!A:G, 7, FALSE)</f>
        <v>#N/A</v>
      </c>
      <c r="V343" t="e" cm="1">
        <f t="array" aca="1" ref="V343" ca="1">VLOOKUP(INDIRECT("A"&amp;ROW()), 'Recent Changes'!A:H, 8, FALSE)</f>
        <v>#N/A</v>
      </c>
    </row>
    <row r="344" spans="1:22" x14ac:dyDescent="0.25">
      <c r="A344">
        <v>17540421</v>
      </c>
      <c r="B344" t="s" cm="1">
        <v>433</v>
      </c>
      <c r="C344">
        <v>34</v>
      </c>
      <c r="G344" t="e" cm="1">
        <v>#N/A</v>
      </c>
      <c r="H344" t="s">
        <v>14</v>
      </c>
      <c r="I344" t="s">
        <v>14</v>
      </c>
      <c r="J344" t="s">
        <v>18</v>
      </c>
      <c r="K344" t="s">
        <v>44</v>
      </c>
      <c r="L344" t="s">
        <v>69</v>
      </c>
      <c r="M344" t="s">
        <v>76</v>
      </c>
      <c r="N344" t="s">
        <v>83</v>
      </c>
      <c r="P344" t="str" cm="1">
        <f t="array" aca="1" ref="P344" ca="1">VLOOKUP(INDIRECT("A"&amp;ROW()), 'Recent Changes'!A:G, 2, FALSE)</f>
        <v>NULL</v>
      </c>
      <c r="Q344" t="str" cm="1">
        <f t="array" aca="1" ref="Q344" ca="1">VLOOKUP(INDIRECT("A"&amp;ROW()), 'Recent Changes'!A:G, 3, FALSE)</f>
        <v>NULL</v>
      </c>
      <c r="R344" t="str" cm="1">
        <f t="array" aca="1" ref="R344" ca="1">VLOOKUP(INDIRECT("A"&amp;ROW()), 'Recent Changes'!A:G, 4, FALSE)</f>
        <v>NULL</v>
      </c>
      <c r="S344" t="str" cm="1">
        <f t="array" aca="1" ref="S344" ca="1">VLOOKUP(INDIRECT("A"&amp;ROW()), 'Recent Changes'!A:G, 5, FALSE)</f>
        <v>2024-01-05T16:53:30Z</v>
      </c>
      <c r="T344" t="str" cm="1">
        <f t="array" aca="1" ref="T344" ca="1">VLOOKUP(INDIRECT("A"&amp;ROW()), 'Recent Changes'!A:G, 6, FALSE)</f>
        <v>NULL</v>
      </c>
      <c r="U344" t="str" cm="1">
        <f t="array" aca="1" ref="U344" ca="1">VLOOKUP(INDIRECT("A"&amp;ROW()), 'Recent Changes'!A:G, 7, FALSE)</f>
        <v>NULL</v>
      </c>
      <c r="V344" t="str" cm="1">
        <f t="array" aca="1" ref="V344" ca="1">VLOOKUP(INDIRECT("A"&amp;ROW()), 'Recent Changes'!A:H, 8, FALSE)</f>
        <v>2024-01-05T21:16:48Z</v>
      </c>
    </row>
    <row r="345" spans="1:22" x14ac:dyDescent="0.25">
      <c r="A345">
        <v>17541988</v>
      </c>
      <c r="B345" t="s">
        <v>430</v>
      </c>
      <c r="C345">
        <v>34</v>
      </c>
      <c r="G345" t="e" cm="1">
        <v>#N/A</v>
      </c>
      <c r="H345" t="s">
        <v>14</v>
      </c>
      <c r="I345" t="s">
        <v>14</v>
      </c>
      <c r="J345" t="s">
        <v>24</v>
      </c>
      <c r="K345" t="s">
        <v>44</v>
      </c>
      <c r="L345" t="s">
        <v>1387</v>
      </c>
      <c r="M345" t="s">
        <v>76</v>
      </c>
      <c r="N345" t="s">
        <v>83</v>
      </c>
      <c r="P345" t="str" cm="1">
        <f t="array" aca="1" ref="P345" ca="1">VLOOKUP(INDIRECT("A"&amp;ROW()), 'Recent Changes'!A:G, 2, FALSE)</f>
        <v>NULL</v>
      </c>
      <c r="Q345" t="str" cm="1">
        <f t="array" aca="1" ref="Q345" ca="1">VLOOKUP(INDIRECT("A"&amp;ROW()), 'Recent Changes'!A:G, 3, FALSE)</f>
        <v>NULL</v>
      </c>
      <c r="R345" t="str" cm="1">
        <f t="array" aca="1" ref="R345" ca="1">VLOOKUP(INDIRECT("A"&amp;ROW()), 'Recent Changes'!A:G, 4, FALSE)</f>
        <v>NULL</v>
      </c>
      <c r="S345" t="str" cm="1">
        <f t="array" aca="1" ref="S345" ca="1">VLOOKUP(INDIRECT("A"&amp;ROW()), 'Recent Changes'!A:G, 5, FALSE)</f>
        <v>2024-01-05T18:18:43Z</v>
      </c>
      <c r="T345" t="str" cm="1">
        <f t="array" aca="1" ref="T345" ca="1">VLOOKUP(INDIRECT("A"&amp;ROW()), 'Recent Changes'!A:G, 6, FALSE)</f>
        <v>NULL</v>
      </c>
      <c r="U345" t="str" cm="1">
        <f t="array" aca="1" ref="U345" ca="1">VLOOKUP(INDIRECT("A"&amp;ROW()), 'Recent Changes'!A:G, 7, FALSE)</f>
        <v>NULL</v>
      </c>
      <c r="V345" t="str" cm="1">
        <f t="array" aca="1" ref="V345" ca="1">VLOOKUP(INDIRECT("A"&amp;ROW()), 'Recent Changes'!A:H, 8, FALSE)</f>
        <v>2024-01-05T21:08:53Z</v>
      </c>
    </row>
    <row r="346" spans="1:22" x14ac:dyDescent="0.25">
      <c r="A346">
        <v>15446927</v>
      </c>
      <c r="B346" t="s">
        <v>433</v>
      </c>
      <c r="C346">
        <v>33</v>
      </c>
      <c r="G346" t="s" cm="1">
        <v>442</v>
      </c>
      <c r="H346">
        <v>45266</v>
      </c>
      <c r="I346" t="s">
        <v>15</v>
      </c>
      <c r="J346" t="s">
        <v>22</v>
      </c>
      <c r="K346" t="s">
        <v>43</v>
      </c>
      <c r="L346" t="s">
        <v>63</v>
      </c>
      <c r="M346" t="s">
        <v>76</v>
      </c>
      <c r="N346" t="s">
        <v>1716</v>
      </c>
      <c r="O346" t="s">
        <v>431</v>
      </c>
      <c r="P346" t="e" cm="1">
        <f t="array" aca="1" ref="P346" ca="1">VLOOKUP(INDIRECT("A"&amp;ROW()), 'Recent Changes'!A:G, 2, FALSE)</f>
        <v>#N/A</v>
      </c>
      <c r="Q346" t="e" cm="1">
        <f t="array" aca="1" ref="Q346" ca="1">VLOOKUP(INDIRECT("A"&amp;ROW()), 'Recent Changes'!A:G, 3, FALSE)</f>
        <v>#N/A</v>
      </c>
      <c r="R346" t="e" cm="1">
        <f t="array" aca="1" ref="R346" ca="1">VLOOKUP(INDIRECT("A"&amp;ROW()), 'Recent Changes'!A:G, 4, FALSE)</f>
        <v>#N/A</v>
      </c>
      <c r="S346" t="e" cm="1">
        <f t="array" aca="1" ref="S346" ca="1">VLOOKUP(INDIRECT("A"&amp;ROW()), 'Recent Changes'!A:G, 5, FALSE)</f>
        <v>#N/A</v>
      </c>
      <c r="T346" t="e" cm="1">
        <f t="array" aca="1" ref="T346" ca="1">VLOOKUP(INDIRECT("A"&amp;ROW()), 'Recent Changes'!A:G, 6, FALSE)</f>
        <v>#N/A</v>
      </c>
      <c r="U346" t="e" cm="1">
        <f t="array" aca="1" ref="U346" ca="1">VLOOKUP(INDIRECT("A"&amp;ROW()), 'Recent Changes'!A:G, 7, FALSE)</f>
        <v>#N/A</v>
      </c>
      <c r="V346" t="e" cm="1">
        <f t="array" aca="1" ref="V346" ca="1">VLOOKUP(INDIRECT("A"&amp;ROW()), 'Recent Changes'!A:H, 8, FALSE)</f>
        <v>#N/A</v>
      </c>
    </row>
    <row r="347" spans="1:22" x14ac:dyDescent="0.25">
      <c r="A347">
        <v>15458551</v>
      </c>
      <c r="B347" t="s" cm="1">
        <v>430</v>
      </c>
      <c r="C347">
        <v>33</v>
      </c>
      <c r="G347" t="s" cm="1">
        <v>442</v>
      </c>
      <c r="H347" t="s">
        <v>14</v>
      </c>
      <c r="I347" t="s">
        <v>14</v>
      </c>
      <c r="J347" t="s">
        <v>30</v>
      </c>
      <c r="K347" t="s">
        <v>44</v>
      </c>
      <c r="L347" t="s">
        <v>67</v>
      </c>
      <c r="M347" t="s">
        <v>76</v>
      </c>
      <c r="N347" t="s">
        <v>83</v>
      </c>
      <c r="P347" t="str" cm="1">
        <f t="array" aca="1" ref="P347" ca="1">VLOOKUP(INDIRECT("A"&amp;ROW()), 'Recent Changes'!A:G, 2, FALSE)</f>
        <v>NULL</v>
      </c>
      <c r="Q347" t="str" cm="1">
        <f t="array" aca="1" ref="Q347" ca="1">VLOOKUP(INDIRECT("A"&amp;ROW()), 'Recent Changes'!A:G, 3, FALSE)</f>
        <v>NULL</v>
      </c>
      <c r="R347" t="str" cm="1">
        <f t="array" aca="1" ref="R347" ca="1">VLOOKUP(INDIRECT("A"&amp;ROW()), 'Recent Changes'!A:G, 4, FALSE)</f>
        <v>NULL</v>
      </c>
      <c r="S347" t="str" cm="1">
        <f t="array" aca="1" ref="S347" ca="1">VLOOKUP(INDIRECT("A"&amp;ROW()), 'Recent Changes'!A:G, 5, FALSE)</f>
        <v>2023-12-06T04:14:04Z</v>
      </c>
      <c r="T347" t="str" cm="1">
        <f t="array" aca="1" ref="T347" ca="1">VLOOKUP(INDIRECT("A"&amp;ROW()), 'Recent Changes'!A:G, 6, FALSE)</f>
        <v>NULL</v>
      </c>
      <c r="U347" t="str" cm="1">
        <f t="array" aca="1" ref="U347" ca="1">VLOOKUP(INDIRECT("A"&amp;ROW()), 'Recent Changes'!A:G, 7, FALSE)</f>
        <v>NULL</v>
      </c>
      <c r="V347" t="str" cm="1">
        <f t="array" aca="1" ref="V347" ca="1">VLOOKUP(INDIRECT("A"&amp;ROW()), 'Recent Changes'!A:H, 8, FALSE)</f>
        <v>2023-12-06T07:08:18Z</v>
      </c>
    </row>
    <row r="348" spans="1:22" x14ac:dyDescent="0.25">
      <c r="A348">
        <v>16013312</v>
      </c>
      <c r="B348" t="s">
        <v>433</v>
      </c>
      <c r="C348">
        <v>33</v>
      </c>
      <c r="G348" t="s" cm="1">
        <v>442</v>
      </c>
      <c r="H348">
        <v>45266</v>
      </c>
      <c r="I348" t="s">
        <v>15</v>
      </c>
      <c r="J348" t="s">
        <v>18</v>
      </c>
      <c r="K348" t="s">
        <v>44</v>
      </c>
      <c r="L348" t="s">
        <v>86</v>
      </c>
      <c r="M348" t="s">
        <v>76</v>
      </c>
      <c r="N348" t="s">
        <v>1716</v>
      </c>
      <c r="O348" t="s">
        <v>431</v>
      </c>
      <c r="P348" t="e" cm="1">
        <f t="array" aca="1" ref="P348" ca="1">VLOOKUP(INDIRECT("A"&amp;ROW()), 'Recent Changes'!A:G, 2, FALSE)</f>
        <v>#N/A</v>
      </c>
      <c r="Q348" t="e" cm="1">
        <f t="array" aca="1" ref="Q348" ca="1">VLOOKUP(INDIRECT("A"&amp;ROW()), 'Recent Changes'!A:G, 3, FALSE)</f>
        <v>#N/A</v>
      </c>
      <c r="R348" t="e" cm="1">
        <f t="array" aca="1" ref="R348" ca="1">VLOOKUP(INDIRECT("A"&amp;ROW()), 'Recent Changes'!A:G, 4, FALSE)</f>
        <v>#N/A</v>
      </c>
      <c r="S348" t="e" cm="1">
        <f t="array" aca="1" ref="S348" ca="1">VLOOKUP(INDIRECT("A"&amp;ROW()), 'Recent Changes'!A:G, 5, FALSE)</f>
        <v>#N/A</v>
      </c>
      <c r="T348" t="e" cm="1">
        <f t="array" aca="1" ref="T348" ca="1">VLOOKUP(INDIRECT("A"&amp;ROW()), 'Recent Changes'!A:G, 6, FALSE)</f>
        <v>#N/A</v>
      </c>
      <c r="U348" t="e" cm="1">
        <f t="array" aca="1" ref="U348" ca="1">VLOOKUP(INDIRECT("A"&amp;ROW()), 'Recent Changes'!A:G, 7, FALSE)</f>
        <v>#N/A</v>
      </c>
      <c r="V348" t="e" cm="1">
        <f t="array" aca="1" ref="V348" ca="1">VLOOKUP(INDIRECT("A"&amp;ROW()), 'Recent Changes'!A:H, 8, FALSE)</f>
        <v>#N/A</v>
      </c>
    </row>
    <row r="349" spans="1:22" x14ac:dyDescent="0.25">
      <c r="A349">
        <v>16601552</v>
      </c>
      <c r="B349" t="s">
        <v>433</v>
      </c>
      <c r="C349">
        <v>33</v>
      </c>
      <c r="G349" t="e" cm="1">
        <v>#N/A</v>
      </c>
      <c r="H349">
        <v>45266</v>
      </c>
      <c r="I349" t="s">
        <v>15</v>
      </c>
      <c r="J349" t="s">
        <v>22</v>
      </c>
      <c r="K349" t="s">
        <v>43</v>
      </c>
      <c r="L349" t="s">
        <v>63</v>
      </c>
      <c r="M349" t="s">
        <v>76</v>
      </c>
      <c r="N349" t="s">
        <v>1716</v>
      </c>
      <c r="O349" t="s">
        <v>431</v>
      </c>
      <c r="P349" t="e" cm="1">
        <f t="array" aca="1" ref="P349" ca="1">VLOOKUP(INDIRECT("A"&amp;ROW()), 'Recent Changes'!A:G, 2, FALSE)</f>
        <v>#N/A</v>
      </c>
      <c r="Q349" t="e" cm="1">
        <f t="array" aca="1" ref="Q349" ca="1">VLOOKUP(INDIRECT("A"&amp;ROW()), 'Recent Changes'!A:G, 3, FALSE)</f>
        <v>#N/A</v>
      </c>
      <c r="R349" t="e" cm="1">
        <f t="array" aca="1" ref="R349" ca="1">VLOOKUP(INDIRECT("A"&amp;ROW()), 'Recent Changes'!A:G, 4, FALSE)</f>
        <v>#N/A</v>
      </c>
      <c r="S349" t="e" cm="1">
        <f t="array" aca="1" ref="S349" ca="1">VLOOKUP(INDIRECT("A"&amp;ROW()), 'Recent Changes'!A:G, 5, FALSE)</f>
        <v>#N/A</v>
      </c>
      <c r="T349" t="e" cm="1">
        <f t="array" aca="1" ref="T349" ca="1">VLOOKUP(INDIRECT("A"&amp;ROW()), 'Recent Changes'!A:G, 6, FALSE)</f>
        <v>#N/A</v>
      </c>
      <c r="U349" t="e" cm="1">
        <f t="array" aca="1" ref="U349" ca="1">VLOOKUP(INDIRECT("A"&amp;ROW()), 'Recent Changes'!A:G, 7, FALSE)</f>
        <v>#N/A</v>
      </c>
      <c r="V349" t="e" cm="1">
        <f t="array" aca="1" ref="V349" ca="1">VLOOKUP(INDIRECT("A"&amp;ROW()), 'Recent Changes'!A:H, 8, FALSE)</f>
        <v>#N/A</v>
      </c>
    </row>
    <row r="350" spans="1:22" x14ac:dyDescent="0.25">
      <c r="A350">
        <v>16631357</v>
      </c>
      <c r="B350" t="s">
        <v>433</v>
      </c>
      <c r="C350">
        <v>33</v>
      </c>
      <c r="G350" t="e" cm="1">
        <v>#N/A</v>
      </c>
      <c r="H350">
        <v>45266</v>
      </c>
      <c r="I350" t="s">
        <v>15</v>
      </c>
      <c r="J350" t="s">
        <v>22</v>
      </c>
      <c r="K350" t="s">
        <v>43</v>
      </c>
      <c r="L350" t="s">
        <v>63</v>
      </c>
      <c r="M350" t="s">
        <v>76</v>
      </c>
      <c r="N350" t="s">
        <v>1716</v>
      </c>
      <c r="O350" t="s">
        <v>431</v>
      </c>
      <c r="P350" t="e" cm="1">
        <f t="array" aca="1" ref="P350" ca="1">VLOOKUP(INDIRECT("A"&amp;ROW()), 'Recent Changes'!A:G, 2, FALSE)</f>
        <v>#N/A</v>
      </c>
      <c r="Q350" t="e" cm="1">
        <f t="array" aca="1" ref="Q350" ca="1">VLOOKUP(INDIRECT("A"&amp;ROW()), 'Recent Changes'!A:G, 3, FALSE)</f>
        <v>#N/A</v>
      </c>
      <c r="R350" t="e" cm="1">
        <f t="array" aca="1" ref="R350" ca="1">VLOOKUP(INDIRECT("A"&amp;ROW()), 'Recent Changes'!A:G, 4, FALSE)</f>
        <v>#N/A</v>
      </c>
      <c r="S350" t="e" cm="1">
        <f t="array" aca="1" ref="S350" ca="1">VLOOKUP(INDIRECT("A"&amp;ROW()), 'Recent Changes'!A:G, 5, FALSE)</f>
        <v>#N/A</v>
      </c>
      <c r="T350" t="e" cm="1">
        <f t="array" aca="1" ref="T350" ca="1">VLOOKUP(INDIRECT("A"&amp;ROW()), 'Recent Changes'!A:G, 6, FALSE)</f>
        <v>#N/A</v>
      </c>
      <c r="U350" t="e" cm="1">
        <f t="array" aca="1" ref="U350" ca="1">VLOOKUP(INDIRECT("A"&amp;ROW()), 'Recent Changes'!A:G, 7, FALSE)</f>
        <v>#N/A</v>
      </c>
      <c r="V350" t="e" cm="1">
        <f t="array" aca="1" ref="V350" ca="1">VLOOKUP(INDIRECT("A"&amp;ROW()), 'Recent Changes'!A:H, 8, FALSE)</f>
        <v>#N/A</v>
      </c>
    </row>
    <row r="351" spans="1:22" x14ac:dyDescent="0.25">
      <c r="A351">
        <v>16862202</v>
      </c>
      <c r="B351" t="s" cm="1">
        <v>430</v>
      </c>
      <c r="C351">
        <v>33</v>
      </c>
      <c r="G351" t="s" cm="1">
        <v>442</v>
      </c>
      <c r="H351" t="s">
        <v>14</v>
      </c>
      <c r="I351" t="s">
        <v>14</v>
      </c>
      <c r="J351" t="s">
        <v>30</v>
      </c>
      <c r="K351" t="s">
        <v>45</v>
      </c>
      <c r="L351" t="s">
        <v>74</v>
      </c>
      <c r="M351" t="s">
        <v>76</v>
      </c>
      <c r="N351" t="s">
        <v>83</v>
      </c>
      <c r="P351" t="e" cm="1">
        <f t="array" aca="1" ref="P351" ca="1">VLOOKUP(INDIRECT("A"&amp;ROW()), 'Recent Changes'!A:G, 2, FALSE)</f>
        <v>#N/A</v>
      </c>
      <c r="Q351" t="e" cm="1">
        <f t="array" aca="1" ref="Q351" ca="1">VLOOKUP(INDIRECT("A"&amp;ROW()), 'Recent Changes'!A:G, 3, FALSE)</f>
        <v>#N/A</v>
      </c>
      <c r="R351" t="e" cm="1">
        <f t="array" aca="1" ref="R351" ca="1">VLOOKUP(INDIRECT("A"&amp;ROW()), 'Recent Changes'!A:G, 4, FALSE)</f>
        <v>#N/A</v>
      </c>
      <c r="S351" t="e" cm="1">
        <f t="array" aca="1" ref="S351" ca="1">VLOOKUP(INDIRECT("A"&amp;ROW()), 'Recent Changes'!A:G, 5, FALSE)</f>
        <v>#N/A</v>
      </c>
      <c r="T351" t="e" cm="1">
        <f t="array" aca="1" ref="T351" ca="1">VLOOKUP(INDIRECT("A"&amp;ROW()), 'Recent Changes'!A:G, 6, FALSE)</f>
        <v>#N/A</v>
      </c>
      <c r="U351" t="e" cm="1">
        <f t="array" aca="1" ref="U351" ca="1">VLOOKUP(INDIRECT("A"&amp;ROW()), 'Recent Changes'!A:G, 7, FALSE)</f>
        <v>#N/A</v>
      </c>
      <c r="V351" t="e" cm="1">
        <f t="array" aca="1" ref="V351" ca="1">VLOOKUP(INDIRECT("A"&amp;ROW()), 'Recent Changes'!A:H, 8, FALSE)</f>
        <v>#N/A</v>
      </c>
    </row>
    <row r="352" spans="1:22" x14ac:dyDescent="0.25">
      <c r="A352">
        <v>17136428</v>
      </c>
      <c r="B352" t="s">
        <v>433</v>
      </c>
      <c r="C352">
        <v>33</v>
      </c>
      <c r="G352" t="e" cm="1">
        <v>#N/A</v>
      </c>
      <c r="H352">
        <v>45266</v>
      </c>
      <c r="I352" t="s">
        <v>15</v>
      </c>
      <c r="J352" t="s">
        <v>22</v>
      </c>
      <c r="K352" t="s">
        <v>44</v>
      </c>
      <c r="L352" t="s">
        <v>60</v>
      </c>
      <c r="M352" t="s">
        <v>76</v>
      </c>
      <c r="N352" t="s">
        <v>1716</v>
      </c>
      <c r="O352" t="s">
        <v>431</v>
      </c>
      <c r="P352" t="e" cm="1">
        <f t="array" aca="1" ref="P352" ca="1">VLOOKUP(INDIRECT("A"&amp;ROW()), 'Recent Changes'!A:G, 2, FALSE)</f>
        <v>#N/A</v>
      </c>
      <c r="Q352" t="e" cm="1">
        <f t="array" aca="1" ref="Q352" ca="1">VLOOKUP(INDIRECT("A"&amp;ROW()), 'Recent Changes'!A:G, 3, FALSE)</f>
        <v>#N/A</v>
      </c>
      <c r="R352" t="e" cm="1">
        <f t="array" aca="1" ref="R352" ca="1">VLOOKUP(INDIRECT("A"&amp;ROW()), 'Recent Changes'!A:G, 4, FALSE)</f>
        <v>#N/A</v>
      </c>
      <c r="S352" t="e" cm="1">
        <f t="array" aca="1" ref="S352" ca="1">VLOOKUP(INDIRECT("A"&amp;ROW()), 'Recent Changes'!A:G, 5, FALSE)</f>
        <v>#N/A</v>
      </c>
      <c r="T352" t="e" cm="1">
        <f t="array" aca="1" ref="T352" ca="1">VLOOKUP(INDIRECT("A"&amp;ROW()), 'Recent Changes'!A:G, 6, FALSE)</f>
        <v>#N/A</v>
      </c>
      <c r="U352" t="e" cm="1">
        <f t="array" aca="1" ref="U352" ca="1">VLOOKUP(INDIRECT("A"&amp;ROW()), 'Recent Changes'!A:G, 7, FALSE)</f>
        <v>#N/A</v>
      </c>
      <c r="V352" t="e" cm="1">
        <f t="array" aca="1" ref="V352" ca="1">VLOOKUP(INDIRECT("A"&amp;ROW()), 'Recent Changes'!A:H, 8, FALSE)</f>
        <v>#N/A</v>
      </c>
    </row>
    <row r="353" spans="1:22" x14ac:dyDescent="0.25">
      <c r="A353">
        <v>17209611</v>
      </c>
      <c r="B353" t="s">
        <v>430</v>
      </c>
      <c r="C353">
        <v>33</v>
      </c>
      <c r="G353" t="e" cm="1">
        <v>#N/A</v>
      </c>
      <c r="H353" t="s">
        <v>14</v>
      </c>
      <c r="I353" t="s">
        <v>14</v>
      </c>
      <c r="J353" t="s">
        <v>37</v>
      </c>
      <c r="K353" t="s">
        <v>51</v>
      </c>
      <c r="L353" t="s">
        <v>2154</v>
      </c>
      <c r="M353" t="s">
        <v>76</v>
      </c>
      <c r="N353" t="s">
        <v>2259</v>
      </c>
      <c r="P353" t="e" cm="1">
        <f t="array" aca="1" ref="P353" ca="1">VLOOKUP(INDIRECT("A"&amp;ROW()), 'Recent Changes'!A:G, 2, FALSE)</f>
        <v>#N/A</v>
      </c>
      <c r="Q353" t="e" cm="1">
        <f t="array" aca="1" ref="Q353" ca="1">VLOOKUP(INDIRECT("A"&amp;ROW()), 'Recent Changes'!A:G, 3, FALSE)</f>
        <v>#N/A</v>
      </c>
      <c r="R353" t="e" cm="1">
        <f t="array" aca="1" ref="R353" ca="1">VLOOKUP(INDIRECT("A"&amp;ROW()), 'Recent Changes'!A:G, 4, FALSE)</f>
        <v>#N/A</v>
      </c>
      <c r="S353" t="e" cm="1">
        <f t="array" aca="1" ref="S353" ca="1">VLOOKUP(INDIRECT("A"&amp;ROW()), 'Recent Changes'!A:G, 5, FALSE)</f>
        <v>#N/A</v>
      </c>
      <c r="T353" t="e" cm="1">
        <f t="array" aca="1" ref="T353" ca="1">VLOOKUP(INDIRECT("A"&amp;ROW()), 'Recent Changes'!A:G, 6, FALSE)</f>
        <v>#N/A</v>
      </c>
      <c r="U353" t="e" cm="1">
        <f t="array" aca="1" ref="U353" ca="1">VLOOKUP(INDIRECT("A"&amp;ROW()), 'Recent Changes'!A:G, 7, FALSE)</f>
        <v>#N/A</v>
      </c>
      <c r="V353" t="e" cm="1">
        <f t="array" aca="1" ref="V353" ca="1">VLOOKUP(INDIRECT("A"&amp;ROW()), 'Recent Changes'!A:H, 8, FALSE)</f>
        <v>#N/A</v>
      </c>
    </row>
    <row r="354" spans="1:22" x14ac:dyDescent="0.25">
      <c r="A354">
        <v>17276792</v>
      </c>
      <c r="B354" t="s">
        <v>433</v>
      </c>
      <c r="C354">
        <v>33</v>
      </c>
      <c r="G354" t="s" cm="1">
        <v>442</v>
      </c>
      <c r="H354">
        <v>45266</v>
      </c>
      <c r="I354" t="s">
        <v>15</v>
      </c>
      <c r="J354" t="s">
        <v>22</v>
      </c>
      <c r="K354" t="s">
        <v>44</v>
      </c>
      <c r="L354" t="s">
        <v>55</v>
      </c>
      <c r="M354" t="s">
        <v>76</v>
      </c>
      <c r="N354" t="s">
        <v>1716</v>
      </c>
      <c r="O354" t="s">
        <v>431</v>
      </c>
      <c r="P354" t="e" cm="1">
        <f t="array" aca="1" ref="P354" ca="1">VLOOKUP(INDIRECT("A"&amp;ROW()), 'Recent Changes'!A:G, 2, FALSE)</f>
        <v>#N/A</v>
      </c>
      <c r="Q354" t="e" cm="1">
        <f t="array" aca="1" ref="Q354" ca="1">VLOOKUP(INDIRECT("A"&amp;ROW()), 'Recent Changes'!A:G, 3, FALSE)</f>
        <v>#N/A</v>
      </c>
      <c r="R354" t="e" cm="1">
        <f t="array" aca="1" ref="R354" ca="1">VLOOKUP(INDIRECT("A"&amp;ROW()), 'Recent Changes'!A:G, 4, FALSE)</f>
        <v>#N/A</v>
      </c>
      <c r="S354" t="e" cm="1">
        <f t="array" aca="1" ref="S354" ca="1">VLOOKUP(INDIRECT("A"&amp;ROW()), 'Recent Changes'!A:G, 5, FALSE)</f>
        <v>#N/A</v>
      </c>
      <c r="T354" t="e" cm="1">
        <f t="array" aca="1" ref="T354" ca="1">VLOOKUP(INDIRECT("A"&amp;ROW()), 'Recent Changes'!A:G, 6, FALSE)</f>
        <v>#N/A</v>
      </c>
      <c r="U354" t="e" cm="1">
        <f t="array" aca="1" ref="U354" ca="1">VLOOKUP(INDIRECT("A"&amp;ROW()), 'Recent Changes'!A:G, 7, FALSE)</f>
        <v>#N/A</v>
      </c>
      <c r="V354" t="e" cm="1">
        <f t="array" aca="1" ref="V354" ca="1">VLOOKUP(INDIRECT("A"&amp;ROW()), 'Recent Changes'!A:H, 8, FALSE)</f>
        <v>#N/A</v>
      </c>
    </row>
    <row r="355" spans="1:22" x14ac:dyDescent="0.25">
      <c r="A355">
        <v>17547730</v>
      </c>
      <c r="B355" t="s" cm="1">
        <v>430</v>
      </c>
      <c r="C355">
        <v>33</v>
      </c>
      <c r="G355" t="e" cm="1">
        <v>#N/A</v>
      </c>
      <c r="H355" t="s">
        <v>14</v>
      </c>
      <c r="I355" t="s">
        <v>14</v>
      </c>
      <c r="J355" t="s">
        <v>30</v>
      </c>
      <c r="K355" t="s">
        <v>44</v>
      </c>
      <c r="L355" t="s">
        <v>2150</v>
      </c>
      <c r="M355" t="s">
        <v>76</v>
      </c>
      <c r="N355" t="s">
        <v>83</v>
      </c>
      <c r="P355" t="str" cm="1">
        <f t="array" aca="1" ref="P355" ca="1">VLOOKUP(INDIRECT("A"&amp;ROW()), 'Recent Changes'!A:G, 2, FALSE)</f>
        <v>NULL</v>
      </c>
      <c r="Q355" t="str" cm="1">
        <f t="array" aca="1" ref="Q355" ca="1">VLOOKUP(INDIRECT("A"&amp;ROW()), 'Recent Changes'!A:G, 3, FALSE)</f>
        <v>NULL</v>
      </c>
      <c r="R355" t="str" cm="1">
        <f t="array" aca="1" ref="R355" ca="1">VLOOKUP(INDIRECT("A"&amp;ROW()), 'Recent Changes'!A:G, 4, FALSE)</f>
        <v>NULL</v>
      </c>
      <c r="S355" t="str" cm="1">
        <f t="array" aca="1" ref="S355" ca="1">VLOOKUP(INDIRECT("A"&amp;ROW()), 'Recent Changes'!A:G, 5, FALSE)</f>
        <v>NULL</v>
      </c>
      <c r="T355" t="str" cm="1">
        <f t="array" aca="1" ref="T355" ca="1">VLOOKUP(INDIRECT("A"&amp;ROW()), 'Recent Changes'!A:G, 6, FALSE)</f>
        <v>NULL</v>
      </c>
      <c r="U355" t="str" cm="1">
        <f t="array" aca="1" ref="U355" ca="1">VLOOKUP(INDIRECT("A"&amp;ROW()), 'Recent Changes'!A:G, 7, FALSE)</f>
        <v>2023-12-22T13:33:39Z</v>
      </c>
      <c r="V355" t="str" cm="1">
        <f t="array" aca="1" ref="V355" ca="1">VLOOKUP(INDIRECT("A"&amp;ROW()), 'Recent Changes'!A:H, 8, FALSE)</f>
        <v>2023-12-22T16:08:41Z</v>
      </c>
    </row>
    <row r="356" spans="1:22" x14ac:dyDescent="0.25">
      <c r="A356">
        <v>13700335</v>
      </c>
      <c r="B356" t="s">
        <v>433</v>
      </c>
      <c r="C356">
        <v>32</v>
      </c>
      <c r="G356" t="e" cm="1">
        <v>#N/A</v>
      </c>
      <c r="H356">
        <v>45266</v>
      </c>
      <c r="I356" t="s">
        <v>15</v>
      </c>
      <c r="J356" t="s">
        <v>22</v>
      </c>
      <c r="K356" t="s">
        <v>44</v>
      </c>
      <c r="L356" t="s">
        <v>1712</v>
      </c>
      <c r="M356" t="s">
        <v>91</v>
      </c>
      <c r="N356" t="s">
        <v>1716</v>
      </c>
      <c r="O356" t="s">
        <v>431</v>
      </c>
      <c r="P356" t="e" cm="1">
        <f t="array" aca="1" ref="P356" ca="1">VLOOKUP(INDIRECT("A"&amp;ROW()), 'Recent Changes'!A:G, 2, FALSE)</f>
        <v>#N/A</v>
      </c>
      <c r="Q356" t="e" cm="1">
        <f t="array" aca="1" ref="Q356" ca="1">VLOOKUP(INDIRECT("A"&amp;ROW()), 'Recent Changes'!A:G, 3, FALSE)</f>
        <v>#N/A</v>
      </c>
      <c r="R356" t="e" cm="1">
        <f t="array" aca="1" ref="R356" ca="1">VLOOKUP(INDIRECT("A"&amp;ROW()), 'Recent Changes'!A:G, 4, FALSE)</f>
        <v>#N/A</v>
      </c>
      <c r="S356" t="e" cm="1">
        <f t="array" aca="1" ref="S356" ca="1">VLOOKUP(INDIRECT("A"&amp;ROW()), 'Recent Changes'!A:G, 5, FALSE)</f>
        <v>#N/A</v>
      </c>
      <c r="T356" t="e" cm="1">
        <f t="array" aca="1" ref="T356" ca="1">VLOOKUP(INDIRECT("A"&amp;ROW()), 'Recent Changes'!A:G, 6, FALSE)</f>
        <v>#N/A</v>
      </c>
      <c r="U356" t="e" cm="1">
        <f t="array" aca="1" ref="U356" ca="1">VLOOKUP(INDIRECT("A"&amp;ROW()), 'Recent Changes'!A:G, 7, FALSE)</f>
        <v>#N/A</v>
      </c>
      <c r="V356" t="e" cm="1">
        <f t="array" aca="1" ref="V356" ca="1">VLOOKUP(INDIRECT("A"&amp;ROW()), 'Recent Changes'!A:H, 8, FALSE)</f>
        <v>#N/A</v>
      </c>
    </row>
    <row r="357" spans="1:22" x14ac:dyDescent="0.25">
      <c r="A357">
        <v>16982638</v>
      </c>
      <c r="B357" t="s" cm="1">
        <v>430</v>
      </c>
      <c r="C357">
        <v>32</v>
      </c>
      <c r="G357" t="s" cm="1">
        <v>442</v>
      </c>
      <c r="H357" t="s">
        <v>14</v>
      </c>
      <c r="I357" t="s">
        <v>14</v>
      </c>
      <c r="J357" t="s">
        <v>30</v>
      </c>
      <c r="K357" t="s">
        <v>50</v>
      </c>
      <c r="L357" t="s">
        <v>436</v>
      </c>
      <c r="M357" t="s">
        <v>76</v>
      </c>
      <c r="N357" t="s">
        <v>83</v>
      </c>
      <c r="P357" t="str" cm="1">
        <f t="array" aca="1" ref="P357" ca="1">VLOOKUP(INDIRECT("A"&amp;ROW()), 'Recent Changes'!A:G, 2, FALSE)</f>
        <v>NULL</v>
      </c>
      <c r="Q357" t="str" cm="1">
        <f t="array" aca="1" ref="Q357" ca="1">VLOOKUP(INDIRECT("A"&amp;ROW()), 'Recent Changes'!A:G, 3, FALSE)</f>
        <v>NULL</v>
      </c>
      <c r="R357" t="str" cm="1">
        <f t="array" aca="1" ref="R357" ca="1">VLOOKUP(INDIRECT("A"&amp;ROW()), 'Recent Changes'!A:G, 4, FALSE)</f>
        <v>NULL</v>
      </c>
      <c r="S357" t="str" cm="1">
        <f t="array" aca="1" ref="S357" ca="1">VLOOKUP(INDIRECT("A"&amp;ROW()), 'Recent Changes'!A:G, 5, FALSE)</f>
        <v>2023-12-07T04:31:58Z</v>
      </c>
      <c r="T357" t="str" cm="1">
        <f t="array" aca="1" ref="T357" ca="1">VLOOKUP(INDIRECT("A"&amp;ROW()), 'Recent Changes'!A:G, 6, FALSE)</f>
        <v>NULL</v>
      </c>
      <c r="U357" t="str" cm="1">
        <f t="array" aca="1" ref="U357" ca="1">VLOOKUP(INDIRECT("A"&amp;ROW()), 'Recent Changes'!A:G, 7, FALSE)</f>
        <v>2023-08-23T02:17:02Z</v>
      </c>
      <c r="V357" t="str" cm="1">
        <f t="array" aca="1" ref="V357" ca="1">VLOOKUP(INDIRECT("A"&amp;ROW()), 'Recent Changes'!A:H, 8, FALSE)</f>
        <v>2023-12-07T07:11:15Z</v>
      </c>
    </row>
    <row r="358" spans="1:22" x14ac:dyDescent="0.25">
      <c r="A358">
        <v>17499411</v>
      </c>
      <c r="B358" t="s" cm="1">
        <v>430</v>
      </c>
      <c r="C358">
        <v>32</v>
      </c>
      <c r="G358" t="e" cm="1">
        <v>#N/A</v>
      </c>
      <c r="H358" t="s">
        <v>14</v>
      </c>
      <c r="I358" t="s">
        <v>14</v>
      </c>
      <c r="J358" t="s">
        <v>30</v>
      </c>
      <c r="K358" t="s">
        <v>389</v>
      </c>
      <c r="L358" t="s">
        <v>1333</v>
      </c>
      <c r="M358" t="s">
        <v>78</v>
      </c>
      <c r="N358" t="s">
        <v>83</v>
      </c>
      <c r="P358" t="str" cm="1">
        <f t="array" aca="1" ref="P358" ca="1">VLOOKUP(INDIRECT("A"&amp;ROW()), 'Recent Changes'!A:G, 2, FALSE)</f>
        <v>NULL</v>
      </c>
      <c r="Q358" t="str" cm="1">
        <f t="array" aca="1" ref="Q358" ca="1">VLOOKUP(INDIRECT("A"&amp;ROW()), 'Recent Changes'!A:G, 3, FALSE)</f>
        <v>NULL</v>
      </c>
      <c r="R358" t="str" cm="1">
        <f t="array" aca="1" ref="R358" ca="1">VLOOKUP(INDIRECT("A"&amp;ROW()), 'Recent Changes'!A:G, 4, FALSE)</f>
        <v>NULL</v>
      </c>
      <c r="S358" t="str" cm="1">
        <f t="array" aca="1" ref="S358" ca="1">VLOOKUP(INDIRECT("A"&amp;ROW()), 'Recent Changes'!A:G, 5, FALSE)</f>
        <v>2024-01-03T21:01:56Z</v>
      </c>
      <c r="T358" t="str" cm="1">
        <f t="array" aca="1" ref="T358" ca="1">VLOOKUP(INDIRECT("A"&amp;ROW()), 'Recent Changes'!A:G, 6, FALSE)</f>
        <v>NULL</v>
      </c>
      <c r="U358" t="str" cm="1">
        <f t="array" aca="1" ref="U358" ca="1">VLOOKUP(INDIRECT("A"&amp;ROW()), 'Recent Changes'!A:G, 7, FALSE)</f>
        <v>2023-12-21T17:03:25Z</v>
      </c>
      <c r="V358" t="str" cm="1">
        <f t="array" aca="1" ref="V358" ca="1">VLOOKUP(INDIRECT("A"&amp;ROW()), 'Recent Changes'!A:H, 8, FALSE)</f>
        <v>2024-01-04T07:40:52Z</v>
      </c>
    </row>
    <row r="359" spans="1:22" x14ac:dyDescent="0.25">
      <c r="A359">
        <v>17549429</v>
      </c>
      <c r="B359" t="s">
        <v>430</v>
      </c>
      <c r="C359">
        <v>32</v>
      </c>
      <c r="G359" t="e" cm="1">
        <v>#N/A</v>
      </c>
      <c r="H359" t="s">
        <v>14</v>
      </c>
      <c r="I359" t="s">
        <v>14</v>
      </c>
      <c r="J359" t="s">
        <v>37</v>
      </c>
      <c r="K359" t="s">
        <v>44</v>
      </c>
      <c r="L359" t="s">
        <v>1614</v>
      </c>
      <c r="M359" t="s">
        <v>76</v>
      </c>
      <c r="N359" t="s">
        <v>2259</v>
      </c>
      <c r="P359" t="e" cm="1">
        <f t="array" aca="1" ref="P359" ca="1">VLOOKUP(INDIRECT("A"&amp;ROW()), 'Recent Changes'!A:G, 2, FALSE)</f>
        <v>#N/A</v>
      </c>
      <c r="Q359" t="e" cm="1">
        <f t="array" aca="1" ref="Q359" ca="1">VLOOKUP(INDIRECT("A"&amp;ROW()), 'Recent Changes'!A:G, 3, FALSE)</f>
        <v>#N/A</v>
      </c>
      <c r="R359" t="e" cm="1">
        <f t="array" aca="1" ref="R359" ca="1">VLOOKUP(INDIRECT("A"&amp;ROW()), 'Recent Changes'!A:G, 4, FALSE)</f>
        <v>#N/A</v>
      </c>
      <c r="S359" t="e" cm="1">
        <f t="array" aca="1" ref="S359" ca="1">VLOOKUP(INDIRECT("A"&amp;ROW()), 'Recent Changes'!A:G, 5, FALSE)</f>
        <v>#N/A</v>
      </c>
      <c r="T359" t="e" cm="1">
        <f t="array" aca="1" ref="T359" ca="1">VLOOKUP(INDIRECT("A"&amp;ROW()), 'Recent Changes'!A:G, 6, FALSE)</f>
        <v>#N/A</v>
      </c>
      <c r="U359" t="e" cm="1">
        <f t="array" aca="1" ref="U359" ca="1">VLOOKUP(INDIRECT("A"&amp;ROW()), 'Recent Changes'!A:G, 7, FALSE)</f>
        <v>#N/A</v>
      </c>
      <c r="V359" t="e" cm="1">
        <f t="array" aca="1" ref="V359" ca="1">VLOOKUP(INDIRECT("A"&amp;ROW()), 'Recent Changes'!A:H, 8, FALSE)</f>
        <v>#N/A</v>
      </c>
    </row>
    <row r="360" spans="1:22" x14ac:dyDescent="0.25">
      <c r="A360">
        <v>17549663</v>
      </c>
      <c r="B360" t="s">
        <v>433</v>
      </c>
      <c r="C360">
        <v>32</v>
      </c>
      <c r="G360" t="e" cm="1">
        <v>#N/A</v>
      </c>
      <c r="H360" t="s">
        <v>14</v>
      </c>
      <c r="I360" t="s">
        <v>14</v>
      </c>
      <c r="J360" t="s">
        <v>38</v>
      </c>
      <c r="K360" t="s">
        <v>49</v>
      </c>
      <c r="L360" t="s">
        <v>405</v>
      </c>
      <c r="M360" t="s">
        <v>76</v>
      </c>
      <c r="N360" t="s">
        <v>1974</v>
      </c>
      <c r="P360" t="e" cm="1">
        <f t="array" aca="1" ref="P360" ca="1">VLOOKUP(INDIRECT("A"&amp;ROW()), 'Recent Changes'!A:G, 2, FALSE)</f>
        <v>#N/A</v>
      </c>
      <c r="Q360" t="e" cm="1">
        <f t="array" aca="1" ref="Q360" ca="1">VLOOKUP(INDIRECT("A"&amp;ROW()), 'Recent Changes'!A:G, 3, FALSE)</f>
        <v>#N/A</v>
      </c>
      <c r="R360" t="e" cm="1">
        <f t="array" aca="1" ref="R360" ca="1">VLOOKUP(INDIRECT("A"&amp;ROW()), 'Recent Changes'!A:G, 4, FALSE)</f>
        <v>#N/A</v>
      </c>
      <c r="S360" t="e" cm="1">
        <f t="array" aca="1" ref="S360" ca="1">VLOOKUP(INDIRECT("A"&amp;ROW()), 'Recent Changes'!A:G, 5, FALSE)</f>
        <v>#N/A</v>
      </c>
      <c r="T360" t="e" cm="1">
        <f t="array" aca="1" ref="T360" ca="1">VLOOKUP(INDIRECT("A"&amp;ROW()), 'Recent Changes'!A:G, 6, FALSE)</f>
        <v>#N/A</v>
      </c>
      <c r="U360" t="e" cm="1">
        <f t="array" aca="1" ref="U360" ca="1">VLOOKUP(INDIRECT("A"&amp;ROW()), 'Recent Changes'!A:G, 7, FALSE)</f>
        <v>#N/A</v>
      </c>
      <c r="V360" t="e" cm="1">
        <f t="array" aca="1" ref="V360" ca="1">VLOOKUP(INDIRECT("A"&amp;ROW()), 'Recent Changes'!A:H, 8, FALSE)</f>
        <v>#N/A</v>
      </c>
    </row>
    <row r="361" spans="1:22" x14ac:dyDescent="0.25">
      <c r="A361">
        <v>17551762</v>
      </c>
      <c r="B361" t="s" cm="1">
        <v>430</v>
      </c>
      <c r="C361">
        <v>32</v>
      </c>
      <c r="G361" t="e" cm="1">
        <v>#N/A</v>
      </c>
      <c r="H361" t="s">
        <v>14</v>
      </c>
      <c r="I361" t="s">
        <v>14</v>
      </c>
      <c r="J361" t="s">
        <v>26</v>
      </c>
      <c r="K361" t="s">
        <v>389</v>
      </c>
      <c r="L361" t="s">
        <v>434</v>
      </c>
      <c r="M361" t="s">
        <v>78</v>
      </c>
      <c r="N361" t="s">
        <v>83</v>
      </c>
      <c r="P361" t="str" cm="1">
        <f t="array" aca="1" ref="P361" ca="1">VLOOKUP(INDIRECT("A"&amp;ROW()), 'Recent Changes'!A:G, 2, FALSE)</f>
        <v>NULL</v>
      </c>
      <c r="Q361" t="str" cm="1">
        <f t="array" aca="1" ref="Q361" ca="1">VLOOKUP(INDIRECT("A"&amp;ROW()), 'Recent Changes'!A:G, 3, FALSE)</f>
        <v>NULL</v>
      </c>
      <c r="R361" t="str" cm="1">
        <f t="array" aca="1" ref="R361" ca="1">VLOOKUP(INDIRECT("A"&amp;ROW()), 'Recent Changes'!A:G, 4, FALSE)</f>
        <v>NULL</v>
      </c>
      <c r="S361" t="str" cm="1">
        <f t="array" aca="1" ref="S361" ca="1">VLOOKUP(INDIRECT("A"&amp;ROW()), 'Recent Changes'!A:G, 5, FALSE)</f>
        <v>2024-01-03T21:02:55Z</v>
      </c>
      <c r="T361" t="str" cm="1">
        <f t="array" aca="1" ref="T361" ca="1">VLOOKUP(INDIRECT("A"&amp;ROW()), 'Recent Changes'!A:G, 6, FALSE)</f>
        <v>NULL</v>
      </c>
      <c r="U361" t="str" cm="1">
        <f t="array" aca="1" ref="U361" ca="1">VLOOKUP(INDIRECT("A"&amp;ROW()), 'Recent Changes'!A:G, 7, FALSE)</f>
        <v>2023-12-21T17:23:31Z</v>
      </c>
      <c r="V361" t="str" cm="1">
        <f t="array" aca="1" ref="V361" ca="1">VLOOKUP(INDIRECT("A"&amp;ROW()), 'Recent Changes'!A:H, 8, FALSE)</f>
        <v>2024-01-04T07:33:34Z</v>
      </c>
    </row>
    <row r="362" spans="1:22" x14ac:dyDescent="0.25">
      <c r="A362">
        <v>17555761</v>
      </c>
      <c r="B362" t="s" cm="1">
        <v>430</v>
      </c>
      <c r="C362">
        <v>32</v>
      </c>
      <c r="G362" t="e" cm="1">
        <v>#N/A</v>
      </c>
      <c r="H362" t="s">
        <v>14</v>
      </c>
      <c r="I362" t="s">
        <v>14</v>
      </c>
      <c r="J362" t="s">
        <v>30</v>
      </c>
      <c r="K362" t="s">
        <v>44</v>
      </c>
      <c r="L362" t="s">
        <v>58</v>
      </c>
      <c r="M362" t="s">
        <v>76</v>
      </c>
      <c r="N362" t="s">
        <v>83</v>
      </c>
      <c r="P362" t="str" cm="1">
        <f t="array" aca="1" ref="P362" ca="1">VLOOKUP(INDIRECT("A"&amp;ROW()), 'Recent Changes'!A:G, 2, FALSE)</f>
        <v>NULL</v>
      </c>
      <c r="Q362" t="str" cm="1">
        <f t="array" aca="1" ref="Q362" ca="1">VLOOKUP(INDIRECT("A"&amp;ROW()), 'Recent Changes'!A:G, 3, FALSE)</f>
        <v>NULL</v>
      </c>
      <c r="R362" t="str" cm="1">
        <f t="array" aca="1" ref="R362" ca="1">VLOOKUP(INDIRECT("A"&amp;ROW()), 'Recent Changes'!A:G, 4, FALSE)</f>
        <v>NULL</v>
      </c>
      <c r="S362" t="str" cm="1">
        <f t="array" aca="1" ref="S362" ca="1">VLOOKUP(INDIRECT("A"&amp;ROW()), 'Recent Changes'!A:G, 5, FALSE)</f>
        <v>2024-01-03T15:54:39Z</v>
      </c>
      <c r="T362" t="str" cm="1">
        <f t="array" aca="1" ref="T362" ca="1">VLOOKUP(INDIRECT("A"&amp;ROW()), 'Recent Changes'!A:G, 6, FALSE)</f>
        <v>NULL</v>
      </c>
      <c r="U362" t="str" cm="1">
        <f t="array" aca="1" ref="U362" ca="1">VLOOKUP(INDIRECT("A"&amp;ROW()), 'Recent Changes'!A:G, 7, FALSE)</f>
        <v>NULL</v>
      </c>
      <c r="V362" t="str" cm="1">
        <f t="array" aca="1" ref="V362" ca="1">VLOOKUP(INDIRECT("A"&amp;ROW()), 'Recent Changes'!A:H, 8, FALSE)</f>
        <v>2024-01-03T21:01:16Z</v>
      </c>
    </row>
    <row r="363" spans="1:22" x14ac:dyDescent="0.25">
      <c r="A363">
        <v>17555788</v>
      </c>
      <c r="B363" t="s">
        <v>433</v>
      </c>
      <c r="C363">
        <v>32</v>
      </c>
      <c r="G363" t="e" cm="1">
        <v>#N/A</v>
      </c>
      <c r="H363">
        <v>45274</v>
      </c>
      <c r="I363" t="s">
        <v>15</v>
      </c>
      <c r="J363" t="s">
        <v>18</v>
      </c>
      <c r="K363" t="s">
        <v>44</v>
      </c>
      <c r="L363" t="s">
        <v>395</v>
      </c>
      <c r="M363" t="s">
        <v>76</v>
      </c>
      <c r="N363" t="s">
        <v>438</v>
      </c>
      <c r="O363" t="s">
        <v>431</v>
      </c>
      <c r="P363" t="e" cm="1">
        <f t="array" aca="1" ref="P363" ca="1">VLOOKUP(INDIRECT("A"&amp;ROW()), 'Recent Changes'!A:G, 2, FALSE)</f>
        <v>#N/A</v>
      </c>
      <c r="Q363" t="e" cm="1">
        <f t="array" aca="1" ref="Q363" ca="1">VLOOKUP(INDIRECT("A"&amp;ROW()), 'Recent Changes'!A:G, 3, FALSE)</f>
        <v>#N/A</v>
      </c>
      <c r="R363" t="e" cm="1">
        <f t="array" aca="1" ref="R363" ca="1">VLOOKUP(INDIRECT("A"&amp;ROW()), 'Recent Changes'!A:G, 4, FALSE)</f>
        <v>#N/A</v>
      </c>
      <c r="S363" t="e" cm="1">
        <f t="array" aca="1" ref="S363" ca="1">VLOOKUP(INDIRECT("A"&amp;ROW()), 'Recent Changes'!A:G, 5, FALSE)</f>
        <v>#N/A</v>
      </c>
      <c r="T363" t="e" cm="1">
        <f t="array" aca="1" ref="T363" ca="1">VLOOKUP(INDIRECT("A"&amp;ROW()), 'Recent Changes'!A:G, 6, FALSE)</f>
        <v>#N/A</v>
      </c>
      <c r="U363" t="e" cm="1">
        <f t="array" aca="1" ref="U363" ca="1">VLOOKUP(INDIRECT("A"&amp;ROW()), 'Recent Changes'!A:G, 7, FALSE)</f>
        <v>#N/A</v>
      </c>
      <c r="V363" t="e" cm="1">
        <f t="array" aca="1" ref="V363" ca="1">VLOOKUP(INDIRECT("A"&amp;ROW()), 'Recent Changes'!A:H, 8, FALSE)</f>
        <v>#N/A</v>
      </c>
    </row>
    <row r="364" spans="1:22" x14ac:dyDescent="0.25">
      <c r="A364">
        <v>10532472</v>
      </c>
      <c r="B364" t="s">
        <v>433</v>
      </c>
      <c r="C364">
        <v>31</v>
      </c>
      <c r="G364" t="e" cm="1">
        <v>#N/A</v>
      </c>
      <c r="H364">
        <v>45268</v>
      </c>
      <c r="I364" t="s">
        <v>15</v>
      </c>
      <c r="J364" t="s">
        <v>18</v>
      </c>
      <c r="K364" t="s">
        <v>44</v>
      </c>
      <c r="L364" t="s">
        <v>572</v>
      </c>
      <c r="M364" t="s">
        <v>76</v>
      </c>
      <c r="N364" t="s">
        <v>440</v>
      </c>
      <c r="O364" t="s">
        <v>431</v>
      </c>
      <c r="P364" t="e" cm="1">
        <f t="array" aca="1" ref="P364" ca="1">VLOOKUP(INDIRECT("A"&amp;ROW()), 'Recent Changes'!A:G, 2, FALSE)</f>
        <v>#N/A</v>
      </c>
      <c r="Q364" t="e" cm="1">
        <f t="array" aca="1" ref="Q364" ca="1">VLOOKUP(INDIRECT("A"&amp;ROW()), 'Recent Changes'!A:G, 3, FALSE)</f>
        <v>#N/A</v>
      </c>
      <c r="R364" t="e" cm="1">
        <f t="array" aca="1" ref="R364" ca="1">VLOOKUP(INDIRECT("A"&amp;ROW()), 'Recent Changes'!A:G, 4, FALSE)</f>
        <v>#N/A</v>
      </c>
      <c r="S364" t="e" cm="1">
        <f t="array" aca="1" ref="S364" ca="1">VLOOKUP(INDIRECT("A"&amp;ROW()), 'Recent Changes'!A:G, 5, FALSE)</f>
        <v>#N/A</v>
      </c>
      <c r="T364" t="e" cm="1">
        <f t="array" aca="1" ref="T364" ca="1">VLOOKUP(INDIRECT("A"&amp;ROW()), 'Recent Changes'!A:G, 6, FALSE)</f>
        <v>#N/A</v>
      </c>
      <c r="U364" t="e" cm="1">
        <f t="array" aca="1" ref="U364" ca="1">VLOOKUP(INDIRECT("A"&amp;ROW()), 'Recent Changes'!A:G, 7, FALSE)</f>
        <v>#N/A</v>
      </c>
      <c r="V364" t="e" cm="1">
        <f t="array" aca="1" ref="V364" ca="1">VLOOKUP(INDIRECT("A"&amp;ROW()), 'Recent Changes'!A:H, 8, FALSE)</f>
        <v>#N/A</v>
      </c>
    </row>
    <row r="365" spans="1:22" x14ac:dyDescent="0.25">
      <c r="A365">
        <v>11306292</v>
      </c>
      <c r="B365" t="s">
        <v>433</v>
      </c>
      <c r="C365">
        <v>31</v>
      </c>
      <c r="G365" t="e" cm="1">
        <v>#N/A</v>
      </c>
      <c r="H365">
        <v>45268</v>
      </c>
      <c r="I365" t="s">
        <v>15</v>
      </c>
      <c r="J365" t="s">
        <v>18</v>
      </c>
      <c r="K365" t="s">
        <v>44</v>
      </c>
      <c r="L365" t="s">
        <v>90</v>
      </c>
      <c r="M365" t="s">
        <v>77</v>
      </c>
      <c r="N365" t="s">
        <v>440</v>
      </c>
      <c r="O365" t="s">
        <v>431</v>
      </c>
      <c r="P365" t="e" cm="1">
        <f t="array" aca="1" ref="P365" ca="1">VLOOKUP(INDIRECT("A"&amp;ROW()), 'Recent Changes'!A:G, 2, FALSE)</f>
        <v>#N/A</v>
      </c>
      <c r="Q365" t="e" cm="1">
        <f t="array" aca="1" ref="Q365" ca="1">VLOOKUP(INDIRECT("A"&amp;ROW()), 'Recent Changes'!A:G, 3, FALSE)</f>
        <v>#N/A</v>
      </c>
      <c r="R365" t="e" cm="1">
        <f t="array" aca="1" ref="R365" ca="1">VLOOKUP(INDIRECT("A"&amp;ROW()), 'Recent Changes'!A:G, 4, FALSE)</f>
        <v>#N/A</v>
      </c>
      <c r="S365" t="e" cm="1">
        <f t="array" aca="1" ref="S365" ca="1">VLOOKUP(INDIRECT("A"&amp;ROW()), 'Recent Changes'!A:G, 5, FALSE)</f>
        <v>#N/A</v>
      </c>
      <c r="T365" t="e" cm="1">
        <f t="array" aca="1" ref="T365" ca="1">VLOOKUP(INDIRECT("A"&amp;ROW()), 'Recent Changes'!A:G, 6, FALSE)</f>
        <v>#N/A</v>
      </c>
      <c r="U365" t="e" cm="1">
        <f t="array" aca="1" ref="U365" ca="1">VLOOKUP(INDIRECT("A"&amp;ROW()), 'Recent Changes'!A:G, 7, FALSE)</f>
        <v>#N/A</v>
      </c>
      <c r="V365" t="e" cm="1">
        <f t="array" aca="1" ref="V365" ca="1">VLOOKUP(INDIRECT("A"&amp;ROW()), 'Recent Changes'!A:H, 8, FALSE)</f>
        <v>#N/A</v>
      </c>
    </row>
    <row r="366" spans="1:22" x14ac:dyDescent="0.25">
      <c r="A366">
        <v>16110107</v>
      </c>
      <c r="B366" t="s">
        <v>433</v>
      </c>
      <c r="C366">
        <v>31</v>
      </c>
      <c r="G366" t="e" cm="1">
        <v>#N/A</v>
      </c>
      <c r="H366">
        <v>45268</v>
      </c>
      <c r="I366" t="s">
        <v>15</v>
      </c>
      <c r="J366" t="s">
        <v>22</v>
      </c>
      <c r="K366" t="s">
        <v>44</v>
      </c>
      <c r="L366" t="s">
        <v>63</v>
      </c>
      <c r="M366" t="s">
        <v>76</v>
      </c>
      <c r="N366" t="s">
        <v>440</v>
      </c>
      <c r="O366" t="s">
        <v>431</v>
      </c>
      <c r="P366" t="e" cm="1">
        <f t="array" aca="1" ref="P366" ca="1">VLOOKUP(INDIRECT("A"&amp;ROW()), 'Recent Changes'!A:G, 2, FALSE)</f>
        <v>#N/A</v>
      </c>
      <c r="Q366" t="e" cm="1">
        <f t="array" aca="1" ref="Q366" ca="1">VLOOKUP(INDIRECT("A"&amp;ROW()), 'Recent Changes'!A:G, 3, FALSE)</f>
        <v>#N/A</v>
      </c>
      <c r="R366" t="e" cm="1">
        <f t="array" aca="1" ref="R366" ca="1">VLOOKUP(INDIRECT("A"&amp;ROW()), 'Recent Changes'!A:G, 4, FALSE)</f>
        <v>#N/A</v>
      </c>
      <c r="S366" t="e" cm="1">
        <f t="array" aca="1" ref="S366" ca="1">VLOOKUP(INDIRECT("A"&amp;ROW()), 'Recent Changes'!A:G, 5, FALSE)</f>
        <v>#N/A</v>
      </c>
      <c r="T366" t="e" cm="1">
        <f t="array" aca="1" ref="T366" ca="1">VLOOKUP(INDIRECT("A"&amp;ROW()), 'Recent Changes'!A:G, 6, FALSE)</f>
        <v>#N/A</v>
      </c>
      <c r="U366" t="e" cm="1">
        <f t="array" aca="1" ref="U366" ca="1">VLOOKUP(INDIRECT("A"&amp;ROW()), 'Recent Changes'!A:G, 7, FALSE)</f>
        <v>#N/A</v>
      </c>
      <c r="V366" t="e" cm="1">
        <f t="array" aca="1" ref="V366" ca="1">VLOOKUP(INDIRECT("A"&amp;ROW()), 'Recent Changes'!A:H, 8, FALSE)</f>
        <v>#N/A</v>
      </c>
    </row>
    <row r="367" spans="1:22" x14ac:dyDescent="0.25">
      <c r="A367">
        <v>16365290</v>
      </c>
      <c r="B367" t="s">
        <v>433</v>
      </c>
      <c r="C367">
        <v>31</v>
      </c>
      <c r="G367" t="e" cm="1">
        <v>#N/A</v>
      </c>
      <c r="H367">
        <v>45265</v>
      </c>
      <c r="I367" t="s">
        <v>15</v>
      </c>
      <c r="J367" t="s">
        <v>18</v>
      </c>
      <c r="K367" t="s">
        <v>44</v>
      </c>
      <c r="L367" t="s">
        <v>395</v>
      </c>
      <c r="M367" t="s">
        <v>76</v>
      </c>
      <c r="N367" t="s">
        <v>1583</v>
      </c>
      <c r="O367" t="s">
        <v>431</v>
      </c>
      <c r="P367" t="e" cm="1">
        <f t="array" aca="1" ref="P367" ca="1">VLOOKUP(INDIRECT("A"&amp;ROW()), 'Recent Changes'!A:G, 2, FALSE)</f>
        <v>#N/A</v>
      </c>
      <c r="Q367" t="e" cm="1">
        <f t="array" aca="1" ref="Q367" ca="1">VLOOKUP(INDIRECT("A"&amp;ROW()), 'Recent Changes'!A:G, 3, FALSE)</f>
        <v>#N/A</v>
      </c>
      <c r="R367" t="e" cm="1">
        <f t="array" aca="1" ref="R367" ca="1">VLOOKUP(INDIRECT("A"&amp;ROW()), 'Recent Changes'!A:G, 4, FALSE)</f>
        <v>#N/A</v>
      </c>
      <c r="S367" t="e" cm="1">
        <f t="array" aca="1" ref="S367" ca="1">VLOOKUP(INDIRECT("A"&amp;ROW()), 'Recent Changes'!A:G, 5, FALSE)</f>
        <v>#N/A</v>
      </c>
      <c r="T367" t="e" cm="1">
        <f t="array" aca="1" ref="T367" ca="1">VLOOKUP(INDIRECT("A"&amp;ROW()), 'Recent Changes'!A:G, 6, FALSE)</f>
        <v>#N/A</v>
      </c>
      <c r="U367" t="e" cm="1">
        <f t="array" aca="1" ref="U367" ca="1">VLOOKUP(INDIRECT("A"&amp;ROW()), 'Recent Changes'!A:G, 7, FALSE)</f>
        <v>#N/A</v>
      </c>
      <c r="V367" t="e" cm="1">
        <f t="array" aca="1" ref="V367" ca="1">VLOOKUP(INDIRECT("A"&amp;ROW()), 'Recent Changes'!A:H, 8, FALSE)</f>
        <v>#N/A</v>
      </c>
    </row>
    <row r="368" spans="1:22" x14ac:dyDescent="0.25">
      <c r="A368">
        <v>17196307</v>
      </c>
      <c r="B368" t="s">
        <v>433</v>
      </c>
      <c r="C368">
        <v>31</v>
      </c>
      <c r="G368" t="e" cm="1">
        <v>#N/A</v>
      </c>
      <c r="H368">
        <v>45265</v>
      </c>
      <c r="I368" t="s">
        <v>15</v>
      </c>
      <c r="J368" t="s">
        <v>33</v>
      </c>
      <c r="K368" t="s">
        <v>44</v>
      </c>
      <c r="L368" t="s">
        <v>2155</v>
      </c>
      <c r="M368" t="s">
        <v>76</v>
      </c>
      <c r="N368" t="s">
        <v>1583</v>
      </c>
      <c r="O368" t="s">
        <v>431</v>
      </c>
      <c r="P368" t="e" cm="1">
        <f t="array" aca="1" ref="P368" ca="1">VLOOKUP(INDIRECT("A"&amp;ROW()), 'Recent Changes'!A:G, 2, FALSE)</f>
        <v>#N/A</v>
      </c>
      <c r="Q368" t="e" cm="1">
        <f t="array" aca="1" ref="Q368" ca="1">VLOOKUP(INDIRECT("A"&amp;ROW()), 'Recent Changes'!A:G, 3, FALSE)</f>
        <v>#N/A</v>
      </c>
      <c r="R368" t="e" cm="1">
        <f t="array" aca="1" ref="R368" ca="1">VLOOKUP(INDIRECT("A"&amp;ROW()), 'Recent Changes'!A:G, 4, FALSE)</f>
        <v>#N/A</v>
      </c>
      <c r="S368" t="e" cm="1">
        <f t="array" aca="1" ref="S368" ca="1">VLOOKUP(INDIRECT("A"&amp;ROW()), 'Recent Changes'!A:G, 5, FALSE)</f>
        <v>#N/A</v>
      </c>
      <c r="T368" t="e" cm="1">
        <f t="array" aca="1" ref="T368" ca="1">VLOOKUP(INDIRECT("A"&amp;ROW()), 'Recent Changes'!A:G, 6, FALSE)</f>
        <v>#N/A</v>
      </c>
      <c r="U368" t="e" cm="1">
        <f t="array" aca="1" ref="U368" ca="1">VLOOKUP(INDIRECT("A"&amp;ROW()), 'Recent Changes'!A:G, 7, FALSE)</f>
        <v>#N/A</v>
      </c>
      <c r="V368" t="e" cm="1">
        <f t="array" aca="1" ref="V368" ca="1">VLOOKUP(INDIRECT("A"&amp;ROW()), 'Recent Changes'!A:H, 8, FALSE)</f>
        <v>#N/A</v>
      </c>
    </row>
    <row r="369" spans="1:22" x14ac:dyDescent="0.25">
      <c r="A369">
        <v>17556242</v>
      </c>
      <c r="B369" t="s" cm="1">
        <v>430</v>
      </c>
      <c r="C369">
        <v>31</v>
      </c>
      <c r="G369" t="e" cm="1">
        <v>#N/A</v>
      </c>
      <c r="H369" t="s">
        <v>14</v>
      </c>
      <c r="I369" t="s">
        <v>14</v>
      </c>
      <c r="J369" t="s">
        <v>30</v>
      </c>
      <c r="K369" t="s">
        <v>44</v>
      </c>
      <c r="L369" t="s">
        <v>58</v>
      </c>
      <c r="M369" t="s">
        <v>76</v>
      </c>
      <c r="N369" t="s">
        <v>2262</v>
      </c>
      <c r="P369" t="e" cm="1">
        <f t="array" aca="1" ref="P369" ca="1">VLOOKUP(INDIRECT("A"&amp;ROW()), 'Recent Changes'!A:G, 2, FALSE)</f>
        <v>#N/A</v>
      </c>
      <c r="Q369" t="e" cm="1">
        <f t="array" aca="1" ref="Q369" ca="1">VLOOKUP(INDIRECT("A"&amp;ROW()), 'Recent Changes'!A:G, 3, FALSE)</f>
        <v>#N/A</v>
      </c>
      <c r="R369" t="e" cm="1">
        <f t="array" aca="1" ref="R369" ca="1">VLOOKUP(INDIRECT("A"&amp;ROW()), 'Recent Changes'!A:G, 4, FALSE)</f>
        <v>#N/A</v>
      </c>
      <c r="S369" t="e" cm="1">
        <f t="array" aca="1" ref="S369" ca="1">VLOOKUP(INDIRECT("A"&amp;ROW()), 'Recent Changes'!A:G, 5, FALSE)</f>
        <v>#N/A</v>
      </c>
      <c r="T369" t="e" cm="1">
        <f t="array" aca="1" ref="T369" ca="1">VLOOKUP(INDIRECT("A"&amp;ROW()), 'Recent Changes'!A:G, 6, FALSE)</f>
        <v>#N/A</v>
      </c>
      <c r="U369" t="e" cm="1">
        <f t="array" aca="1" ref="U369" ca="1">VLOOKUP(INDIRECT("A"&amp;ROW()), 'Recent Changes'!A:G, 7, FALSE)</f>
        <v>#N/A</v>
      </c>
      <c r="V369" t="e" cm="1">
        <f t="array" aca="1" ref="V369" ca="1">VLOOKUP(INDIRECT("A"&amp;ROW()), 'Recent Changes'!A:H, 8, FALSE)</f>
        <v>#N/A</v>
      </c>
    </row>
    <row r="370" spans="1:22" x14ac:dyDescent="0.25">
      <c r="A370">
        <v>17557339</v>
      </c>
      <c r="B370" t="s" cm="1">
        <v>430</v>
      </c>
      <c r="C370">
        <v>31</v>
      </c>
      <c r="G370" t="e" cm="1">
        <v>#N/A</v>
      </c>
      <c r="H370" t="s">
        <v>14</v>
      </c>
      <c r="I370" t="s">
        <v>14</v>
      </c>
      <c r="J370" t="s">
        <v>30</v>
      </c>
      <c r="K370" t="s">
        <v>52</v>
      </c>
      <c r="L370" t="s">
        <v>74</v>
      </c>
      <c r="M370" t="s">
        <v>76</v>
      </c>
      <c r="N370" t="s">
        <v>83</v>
      </c>
      <c r="P370" t="str" cm="1">
        <f t="array" aca="1" ref="P370" ca="1">VLOOKUP(INDIRECT("A"&amp;ROW()), 'Recent Changes'!A:G, 2, FALSE)</f>
        <v>NULL</v>
      </c>
      <c r="Q370" t="str" cm="1">
        <f t="array" aca="1" ref="Q370" ca="1">VLOOKUP(INDIRECT("A"&amp;ROW()), 'Recent Changes'!A:G, 3, FALSE)</f>
        <v>NULL</v>
      </c>
      <c r="R370" t="str" cm="1">
        <f t="array" aca="1" ref="R370" ca="1">VLOOKUP(INDIRECT("A"&amp;ROW()), 'Recent Changes'!A:G, 4, FALSE)</f>
        <v>NULL</v>
      </c>
      <c r="S370" t="str" cm="1">
        <f t="array" aca="1" ref="S370" ca="1">VLOOKUP(INDIRECT("A"&amp;ROW()), 'Recent Changes'!A:G, 5, FALSE)</f>
        <v>2023-12-27T14:35:24Z</v>
      </c>
      <c r="T370" t="str" cm="1">
        <f t="array" aca="1" ref="T370" ca="1">VLOOKUP(INDIRECT("A"&amp;ROW()), 'Recent Changes'!A:G, 6, FALSE)</f>
        <v>NULL</v>
      </c>
      <c r="U370" t="str" cm="1">
        <f t="array" aca="1" ref="U370" ca="1">VLOOKUP(INDIRECT("A"&amp;ROW()), 'Recent Changes'!A:G, 7, FALSE)</f>
        <v>2024-01-03T02:46:37Z</v>
      </c>
      <c r="V370" t="str" cm="1">
        <f t="array" aca="1" ref="V370" ca="1">VLOOKUP(INDIRECT("A"&amp;ROW()), 'Recent Changes'!A:H, 8, FALSE)</f>
        <v>2023-12-27T16:10:56Z</v>
      </c>
    </row>
    <row r="371" spans="1:22" x14ac:dyDescent="0.25">
      <c r="A371">
        <v>17558809</v>
      </c>
      <c r="B371" t="s" cm="1">
        <v>430</v>
      </c>
      <c r="C371">
        <v>31</v>
      </c>
      <c r="G371" t="e" cm="1">
        <v>#N/A</v>
      </c>
      <c r="H371" t="s">
        <v>14</v>
      </c>
      <c r="I371" t="s">
        <v>14</v>
      </c>
      <c r="J371" t="s">
        <v>30</v>
      </c>
      <c r="K371" t="s">
        <v>50</v>
      </c>
      <c r="L371" t="s">
        <v>1433</v>
      </c>
      <c r="M371" t="s">
        <v>76</v>
      </c>
      <c r="N371" t="s">
        <v>83</v>
      </c>
      <c r="P371" t="str" cm="1">
        <f t="array" aca="1" ref="P371" ca="1">VLOOKUP(INDIRECT("A"&amp;ROW()), 'Recent Changes'!A:G, 2, FALSE)</f>
        <v>NULL</v>
      </c>
      <c r="Q371" t="str" cm="1">
        <f t="array" aca="1" ref="Q371" ca="1">VLOOKUP(INDIRECT("A"&amp;ROW()), 'Recent Changes'!A:G, 3, FALSE)</f>
        <v>NULL</v>
      </c>
      <c r="R371" t="str" cm="1">
        <f t="array" aca="1" ref="R371" ca="1">VLOOKUP(INDIRECT("A"&amp;ROW()), 'Recent Changes'!A:G, 4, FALSE)</f>
        <v>NULL</v>
      </c>
      <c r="S371" t="str" cm="1">
        <f t="array" aca="1" ref="S371" ca="1">VLOOKUP(INDIRECT("A"&amp;ROW()), 'Recent Changes'!A:G, 5, FALSE)</f>
        <v>2024-01-04T04:58:38Z</v>
      </c>
      <c r="T371" t="str" cm="1">
        <f t="array" aca="1" ref="T371" ca="1">VLOOKUP(INDIRECT("A"&amp;ROW()), 'Recent Changes'!A:G, 6, FALSE)</f>
        <v>NULL</v>
      </c>
      <c r="U371" t="str" cm="1">
        <f t="array" aca="1" ref="U371" ca="1">VLOOKUP(INDIRECT("A"&amp;ROW()), 'Recent Changes'!A:G, 7, FALSE)</f>
        <v>2024-01-03T06:03:32Z</v>
      </c>
      <c r="V371" t="str" cm="1">
        <f t="array" aca="1" ref="V371" ca="1">VLOOKUP(INDIRECT("A"&amp;ROW()), 'Recent Changes'!A:H, 8, FALSE)</f>
        <v>2024-01-04T07:41:48Z</v>
      </c>
    </row>
    <row r="372" spans="1:22" x14ac:dyDescent="0.25">
      <c r="A372">
        <v>17561192</v>
      </c>
      <c r="B372" t="s" cm="1">
        <v>430</v>
      </c>
      <c r="C372">
        <v>31</v>
      </c>
      <c r="G372" t="e" cm="1">
        <v>#N/A</v>
      </c>
      <c r="H372" t="s">
        <v>14</v>
      </c>
      <c r="I372" t="s">
        <v>14</v>
      </c>
      <c r="J372" t="s">
        <v>30</v>
      </c>
      <c r="K372" t="s">
        <v>49</v>
      </c>
      <c r="L372" t="s">
        <v>1703</v>
      </c>
      <c r="M372" t="s">
        <v>78</v>
      </c>
      <c r="N372" t="s">
        <v>83</v>
      </c>
      <c r="P372" t="str" cm="1">
        <f t="array" aca="1" ref="P372" ca="1">VLOOKUP(INDIRECT("A"&amp;ROW()), 'Recent Changes'!A:G, 2, FALSE)</f>
        <v>NULL</v>
      </c>
      <c r="Q372" t="str" cm="1">
        <f t="array" aca="1" ref="Q372" ca="1">VLOOKUP(INDIRECT("A"&amp;ROW()), 'Recent Changes'!A:G, 3, FALSE)</f>
        <v>NULL</v>
      </c>
      <c r="R372" t="str" cm="1">
        <f t="array" aca="1" ref="R372" ca="1">VLOOKUP(INDIRECT("A"&amp;ROW()), 'Recent Changes'!A:G, 4, FALSE)</f>
        <v>NULL</v>
      </c>
      <c r="S372" t="str" cm="1">
        <f t="array" aca="1" ref="S372" ca="1">VLOOKUP(INDIRECT("A"&amp;ROW()), 'Recent Changes'!A:G, 5, FALSE)</f>
        <v>2024-01-02T20:22:54Z</v>
      </c>
      <c r="T372" t="str" cm="1">
        <f t="array" aca="1" ref="T372" ca="1">VLOOKUP(INDIRECT("A"&amp;ROW()), 'Recent Changes'!A:G, 6, FALSE)</f>
        <v>NULL</v>
      </c>
      <c r="U372" t="str" cm="1">
        <f t="array" aca="1" ref="U372" ca="1">VLOOKUP(INDIRECT("A"&amp;ROW()), 'Recent Changes'!A:G, 7, FALSE)</f>
        <v>NULL</v>
      </c>
      <c r="V372" t="str" cm="1">
        <f t="array" aca="1" ref="V372" ca="1">VLOOKUP(INDIRECT("A"&amp;ROW()), 'Recent Changes'!A:H, 8, FALSE)</f>
        <v>2024-01-02T21:27:45Z</v>
      </c>
    </row>
    <row r="373" spans="1:22" x14ac:dyDescent="0.25">
      <c r="A373">
        <v>17561331</v>
      </c>
      <c r="B373" t="s">
        <v>430</v>
      </c>
      <c r="C373">
        <v>30</v>
      </c>
      <c r="G373" t="e" cm="1">
        <v>#N/A</v>
      </c>
      <c r="H373" t="s">
        <v>14</v>
      </c>
      <c r="I373" t="s">
        <v>14</v>
      </c>
      <c r="J373" t="s">
        <v>21</v>
      </c>
      <c r="K373" t="s">
        <v>44</v>
      </c>
      <c r="L373" t="s">
        <v>63</v>
      </c>
      <c r="M373" t="s">
        <v>76</v>
      </c>
      <c r="N373" t="s">
        <v>2263</v>
      </c>
      <c r="P373" t="e" cm="1">
        <f t="array" aca="1" ref="P373" ca="1">VLOOKUP(INDIRECT("A"&amp;ROW()), 'Recent Changes'!A:G, 2, FALSE)</f>
        <v>#N/A</v>
      </c>
      <c r="Q373" t="e" cm="1">
        <f t="array" aca="1" ref="Q373" ca="1">VLOOKUP(INDIRECT("A"&amp;ROW()), 'Recent Changes'!A:G, 3, FALSE)</f>
        <v>#N/A</v>
      </c>
      <c r="R373" t="e" cm="1">
        <f t="array" aca="1" ref="R373" ca="1">VLOOKUP(INDIRECT("A"&amp;ROW()), 'Recent Changes'!A:G, 4, FALSE)</f>
        <v>#N/A</v>
      </c>
      <c r="S373" t="e" cm="1">
        <f t="array" aca="1" ref="S373" ca="1">VLOOKUP(INDIRECT("A"&amp;ROW()), 'Recent Changes'!A:G, 5, FALSE)</f>
        <v>#N/A</v>
      </c>
      <c r="T373" t="e" cm="1">
        <f t="array" aca="1" ref="T373" ca="1">VLOOKUP(INDIRECT("A"&amp;ROW()), 'Recent Changes'!A:G, 6, FALSE)</f>
        <v>#N/A</v>
      </c>
      <c r="U373" t="e" cm="1">
        <f t="array" aca="1" ref="U373" ca="1">VLOOKUP(INDIRECT("A"&amp;ROW()), 'Recent Changes'!A:G, 7, FALSE)</f>
        <v>#N/A</v>
      </c>
      <c r="V373" t="e" cm="1">
        <f t="array" aca="1" ref="V373" ca="1">VLOOKUP(INDIRECT("A"&amp;ROW()), 'Recent Changes'!A:H, 8, FALSE)</f>
        <v>#N/A</v>
      </c>
    </row>
    <row r="374" spans="1:22" x14ac:dyDescent="0.25">
      <c r="A374">
        <v>17561700</v>
      </c>
      <c r="B374" t="s">
        <v>433</v>
      </c>
      <c r="C374">
        <v>30</v>
      </c>
      <c r="G374" t="e" cm="1">
        <v>#N/A</v>
      </c>
      <c r="H374" t="s">
        <v>14</v>
      </c>
      <c r="I374" t="s">
        <v>14</v>
      </c>
      <c r="J374" t="s">
        <v>38</v>
      </c>
      <c r="K374" t="s">
        <v>49</v>
      </c>
      <c r="L374" t="s">
        <v>62</v>
      </c>
      <c r="M374" t="s">
        <v>76</v>
      </c>
      <c r="N374" t="s">
        <v>1974</v>
      </c>
      <c r="P374" t="e" cm="1">
        <f t="array" aca="1" ref="P374" ca="1">VLOOKUP(INDIRECT("A"&amp;ROW()), 'Recent Changes'!A:G, 2, FALSE)</f>
        <v>#N/A</v>
      </c>
      <c r="Q374" t="e" cm="1">
        <f t="array" aca="1" ref="Q374" ca="1">VLOOKUP(INDIRECT("A"&amp;ROW()), 'Recent Changes'!A:G, 3, FALSE)</f>
        <v>#N/A</v>
      </c>
      <c r="R374" t="e" cm="1">
        <f t="array" aca="1" ref="R374" ca="1">VLOOKUP(INDIRECT("A"&amp;ROW()), 'Recent Changes'!A:G, 4, FALSE)</f>
        <v>#N/A</v>
      </c>
      <c r="S374" t="e" cm="1">
        <f t="array" aca="1" ref="S374" ca="1">VLOOKUP(INDIRECT("A"&amp;ROW()), 'Recent Changes'!A:G, 5, FALSE)</f>
        <v>#N/A</v>
      </c>
      <c r="T374" t="e" cm="1">
        <f t="array" aca="1" ref="T374" ca="1">VLOOKUP(INDIRECT("A"&amp;ROW()), 'Recent Changes'!A:G, 6, FALSE)</f>
        <v>#N/A</v>
      </c>
      <c r="U374" t="e" cm="1">
        <f t="array" aca="1" ref="U374" ca="1">VLOOKUP(INDIRECT("A"&amp;ROW()), 'Recent Changes'!A:G, 7, FALSE)</f>
        <v>#N/A</v>
      </c>
      <c r="V374" t="e" cm="1">
        <f t="array" aca="1" ref="V374" ca="1">VLOOKUP(INDIRECT("A"&amp;ROW()), 'Recent Changes'!A:H, 8, FALSE)</f>
        <v>#N/A</v>
      </c>
    </row>
    <row r="375" spans="1:22" x14ac:dyDescent="0.25">
      <c r="A375">
        <v>17561740</v>
      </c>
      <c r="B375" t="s">
        <v>430</v>
      </c>
      <c r="C375">
        <v>30</v>
      </c>
      <c r="G375" t="e" cm="1">
        <v>#N/A</v>
      </c>
      <c r="H375" t="s">
        <v>14</v>
      </c>
      <c r="I375" t="s">
        <v>14</v>
      </c>
      <c r="J375" t="s">
        <v>37</v>
      </c>
      <c r="K375" t="s">
        <v>44</v>
      </c>
      <c r="L375" t="s">
        <v>1519</v>
      </c>
      <c r="M375" t="s">
        <v>76</v>
      </c>
      <c r="N375" t="s">
        <v>2259</v>
      </c>
      <c r="P375" t="e" cm="1">
        <f t="array" aca="1" ref="P375" ca="1">VLOOKUP(INDIRECT("A"&amp;ROW()), 'Recent Changes'!A:G, 2, FALSE)</f>
        <v>#N/A</v>
      </c>
      <c r="Q375" t="e" cm="1">
        <f t="array" aca="1" ref="Q375" ca="1">VLOOKUP(INDIRECT("A"&amp;ROW()), 'Recent Changes'!A:G, 3, FALSE)</f>
        <v>#N/A</v>
      </c>
      <c r="R375" t="e" cm="1">
        <f t="array" aca="1" ref="R375" ca="1">VLOOKUP(INDIRECT("A"&amp;ROW()), 'Recent Changes'!A:G, 4, FALSE)</f>
        <v>#N/A</v>
      </c>
      <c r="S375" t="e" cm="1">
        <f t="array" aca="1" ref="S375" ca="1">VLOOKUP(INDIRECT("A"&amp;ROW()), 'Recent Changes'!A:G, 5, FALSE)</f>
        <v>#N/A</v>
      </c>
      <c r="T375" t="e" cm="1">
        <f t="array" aca="1" ref="T375" ca="1">VLOOKUP(INDIRECT("A"&amp;ROW()), 'Recent Changes'!A:G, 6, FALSE)</f>
        <v>#N/A</v>
      </c>
      <c r="U375" t="e" cm="1">
        <f t="array" aca="1" ref="U375" ca="1">VLOOKUP(INDIRECT("A"&amp;ROW()), 'Recent Changes'!A:G, 7, FALSE)</f>
        <v>#N/A</v>
      </c>
      <c r="V375" t="e" cm="1">
        <f t="array" aca="1" ref="V375" ca="1">VLOOKUP(INDIRECT("A"&amp;ROW()), 'Recent Changes'!A:H, 8, FALSE)</f>
        <v>#N/A</v>
      </c>
    </row>
    <row r="376" spans="1:22" x14ac:dyDescent="0.25">
      <c r="A376">
        <v>17561794</v>
      </c>
      <c r="B376" t="s">
        <v>430</v>
      </c>
      <c r="C376">
        <v>30</v>
      </c>
      <c r="G376" t="e" cm="1">
        <v>#N/A</v>
      </c>
      <c r="H376" t="s">
        <v>14</v>
      </c>
      <c r="I376" t="s">
        <v>14</v>
      </c>
      <c r="J376" t="s">
        <v>21</v>
      </c>
      <c r="K376" t="s">
        <v>49</v>
      </c>
      <c r="L376" t="s">
        <v>63</v>
      </c>
      <c r="M376" t="s">
        <v>76</v>
      </c>
      <c r="N376" t="s">
        <v>83</v>
      </c>
      <c r="P376" t="str" cm="1">
        <f t="array" aca="1" ref="P376" ca="1">VLOOKUP(INDIRECT("A"&amp;ROW()), 'Recent Changes'!A:G, 2, FALSE)</f>
        <v>NULL</v>
      </c>
      <c r="Q376" t="str" cm="1">
        <f t="array" aca="1" ref="Q376" ca="1">VLOOKUP(INDIRECT("A"&amp;ROW()), 'Recent Changes'!A:G, 3, FALSE)</f>
        <v>NULL</v>
      </c>
      <c r="R376" t="str" cm="1">
        <f t="array" aca="1" ref="R376" ca="1">VLOOKUP(INDIRECT("A"&amp;ROW()), 'Recent Changes'!A:G, 4, FALSE)</f>
        <v>2023-12-21T13:12:42Z</v>
      </c>
      <c r="S376" t="str" cm="1">
        <f t="array" aca="1" ref="S376" ca="1">VLOOKUP(INDIRECT("A"&amp;ROW()), 'Recent Changes'!A:G, 5, FALSE)</f>
        <v>NULL</v>
      </c>
      <c r="T376" t="str" cm="1">
        <f t="array" aca="1" ref="T376" ca="1">VLOOKUP(INDIRECT("A"&amp;ROW()), 'Recent Changes'!A:G, 6, FALSE)</f>
        <v>2023-12-21T13:12:42Z</v>
      </c>
      <c r="U376" t="str" cm="1">
        <f t="array" aca="1" ref="U376" ca="1">VLOOKUP(INDIRECT("A"&amp;ROW()), 'Recent Changes'!A:G, 7, FALSE)</f>
        <v>NULL</v>
      </c>
      <c r="V376" t="str" cm="1">
        <f t="array" aca="1" ref="V376" ca="1">VLOOKUP(INDIRECT("A"&amp;ROW()), 'Recent Changes'!A:H, 8, FALSE)</f>
        <v>2023-12-21T16:27:48Z</v>
      </c>
    </row>
    <row r="377" spans="1:22" x14ac:dyDescent="0.25">
      <c r="A377">
        <v>17561888</v>
      </c>
      <c r="B377" t="s">
        <v>430</v>
      </c>
      <c r="C377">
        <v>30</v>
      </c>
      <c r="G377" t="e" cm="1">
        <v>#N/A</v>
      </c>
      <c r="H377" t="s">
        <v>14</v>
      </c>
      <c r="I377" t="s">
        <v>14</v>
      </c>
      <c r="J377" t="s">
        <v>19</v>
      </c>
      <c r="K377" t="s">
        <v>49</v>
      </c>
      <c r="L377" t="s">
        <v>1691</v>
      </c>
      <c r="M377" t="s">
        <v>76</v>
      </c>
      <c r="N377" t="s">
        <v>1974</v>
      </c>
      <c r="P377" t="e" cm="1">
        <f t="array" aca="1" ref="P377" ca="1">VLOOKUP(INDIRECT("A"&amp;ROW()), 'Recent Changes'!A:G, 2, FALSE)</f>
        <v>#N/A</v>
      </c>
      <c r="Q377" t="e" cm="1">
        <f t="array" aca="1" ref="Q377" ca="1">VLOOKUP(INDIRECT("A"&amp;ROW()), 'Recent Changes'!A:G, 3, FALSE)</f>
        <v>#N/A</v>
      </c>
      <c r="R377" t="e" cm="1">
        <f t="array" aca="1" ref="R377" ca="1">VLOOKUP(INDIRECT("A"&amp;ROW()), 'Recent Changes'!A:G, 4, FALSE)</f>
        <v>#N/A</v>
      </c>
      <c r="S377" t="e" cm="1">
        <f t="array" aca="1" ref="S377" ca="1">VLOOKUP(INDIRECT("A"&amp;ROW()), 'Recent Changes'!A:G, 5, FALSE)</f>
        <v>#N/A</v>
      </c>
      <c r="T377" t="e" cm="1">
        <f t="array" aca="1" ref="T377" ca="1">VLOOKUP(INDIRECT("A"&amp;ROW()), 'Recent Changes'!A:G, 6, FALSE)</f>
        <v>#N/A</v>
      </c>
      <c r="U377" t="e" cm="1">
        <f t="array" aca="1" ref="U377" ca="1">VLOOKUP(INDIRECT("A"&amp;ROW()), 'Recent Changes'!A:G, 7, FALSE)</f>
        <v>#N/A</v>
      </c>
      <c r="V377" t="e" cm="1">
        <f t="array" aca="1" ref="V377" ca="1">VLOOKUP(INDIRECT("A"&amp;ROW()), 'Recent Changes'!A:H, 8, FALSE)</f>
        <v>#N/A</v>
      </c>
    </row>
    <row r="378" spans="1:22" x14ac:dyDescent="0.25">
      <c r="A378">
        <v>11530725</v>
      </c>
      <c r="B378" t="s">
        <v>433</v>
      </c>
      <c r="C378">
        <v>28</v>
      </c>
      <c r="G378" t="e" cm="1">
        <v>#N/A</v>
      </c>
      <c r="H378">
        <v>45271</v>
      </c>
      <c r="I378" t="s">
        <v>15</v>
      </c>
      <c r="J378" t="s">
        <v>18</v>
      </c>
      <c r="K378" t="s">
        <v>44</v>
      </c>
      <c r="L378" t="s">
        <v>2156</v>
      </c>
      <c r="M378" t="s">
        <v>76</v>
      </c>
      <c r="N378" t="s">
        <v>423</v>
      </c>
      <c r="O378" t="s">
        <v>431</v>
      </c>
      <c r="P378" t="e" cm="1">
        <f t="array" aca="1" ref="P378" ca="1">VLOOKUP(INDIRECT("A"&amp;ROW()), 'Recent Changes'!A:G, 2, FALSE)</f>
        <v>#N/A</v>
      </c>
      <c r="Q378" t="e" cm="1">
        <f t="array" aca="1" ref="Q378" ca="1">VLOOKUP(INDIRECT("A"&amp;ROW()), 'Recent Changes'!A:G, 3, FALSE)</f>
        <v>#N/A</v>
      </c>
      <c r="R378" t="e" cm="1">
        <f t="array" aca="1" ref="R378" ca="1">VLOOKUP(INDIRECT("A"&amp;ROW()), 'Recent Changes'!A:G, 4, FALSE)</f>
        <v>#N/A</v>
      </c>
      <c r="S378" t="e" cm="1">
        <f t="array" aca="1" ref="S378" ca="1">VLOOKUP(INDIRECT("A"&amp;ROW()), 'Recent Changes'!A:G, 5, FALSE)</f>
        <v>#N/A</v>
      </c>
      <c r="T378" t="e" cm="1">
        <f t="array" aca="1" ref="T378" ca="1">VLOOKUP(INDIRECT("A"&amp;ROW()), 'Recent Changes'!A:G, 6, FALSE)</f>
        <v>#N/A</v>
      </c>
      <c r="U378" t="e" cm="1">
        <f t="array" aca="1" ref="U378" ca="1">VLOOKUP(INDIRECT("A"&amp;ROW()), 'Recent Changes'!A:G, 7, FALSE)</f>
        <v>#N/A</v>
      </c>
      <c r="V378" t="e" cm="1">
        <f t="array" aca="1" ref="V378" ca="1">VLOOKUP(INDIRECT("A"&amp;ROW()), 'Recent Changes'!A:H, 8, FALSE)</f>
        <v>#N/A</v>
      </c>
    </row>
    <row r="379" spans="1:22" x14ac:dyDescent="0.25">
      <c r="A379">
        <v>11720555</v>
      </c>
      <c r="B379" t="s">
        <v>433</v>
      </c>
      <c r="C379">
        <v>28</v>
      </c>
      <c r="G379" t="e" cm="1">
        <v>#N/A</v>
      </c>
      <c r="H379">
        <v>45265</v>
      </c>
      <c r="I379" t="s">
        <v>15</v>
      </c>
      <c r="J379" t="s">
        <v>30</v>
      </c>
      <c r="K379" t="s">
        <v>44</v>
      </c>
      <c r="L379" t="s">
        <v>1475</v>
      </c>
      <c r="M379" t="s">
        <v>78</v>
      </c>
      <c r="N379" t="s">
        <v>1583</v>
      </c>
      <c r="O379" t="s">
        <v>431</v>
      </c>
      <c r="P379" t="e" cm="1">
        <f t="array" aca="1" ref="P379" ca="1">VLOOKUP(INDIRECT("A"&amp;ROW()), 'Recent Changes'!A:G, 2, FALSE)</f>
        <v>#N/A</v>
      </c>
      <c r="Q379" t="e" cm="1">
        <f t="array" aca="1" ref="Q379" ca="1">VLOOKUP(INDIRECT("A"&amp;ROW()), 'Recent Changes'!A:G, 3, FALSE)</f>
        <v>#N/A</v>
      </c>
      <c r="R379" t="e" cm="1">
        <f t="array" aca="1" ref="R379" ca="1">VLOOKUP(INDIRECT("A"&amp;ROW()), 'Recent Changes'!A:G, 4, FALSE)</f>
        <v>#N/A</v>
      </c>
      <c r="S379" t="e" cm="1">
        <f t="array" aca="1" ref="S379" ca="1">VLOOKUP(INDIRECT("A"&amp;ROW()), 'Recent Changes'!A:G, 5, FALSE)</f>
        <v>#N/A</v>
      </c>
      <c r="T379" t="e" cm="1">
        <f t="array" aca="1" ref="T379" ca="1">VLOOKUP(INDIRECT("A"&amp;ROW()), 'Recent Changes'!A:G, 6, FALSE)</f>
        <v>#N/A</v>
      </c>
      <c r="U379" t="e" cm="1">
        <f t="array" aca="1" ref="U379" ca="1">VLOOKUP(INDIRECT("A"&amp;ROW()), 'Recent Changes'!A:G, 7, FALSE)</f>
        <v>#N/A</v>
      </c>
      <c r="V379" t="e" cm="1">
        <f t="array" aca="1" ref="V379" ca="1">VLOOKUP(INDIRECT("A"&amp;ROW()), 'Recent Changes'!A:H, 8, FALSE)</f>
        <v>#N/A</v>
      </c>
    </row>
    <row r="380" spans="1:22" x14ac:dyDescent="0.25">
      <c r="A380">
        <v>15390133</v>
      </c>
      <c r="B380" t="s">
        <v>433</v>
      </c>
      <c r="C380">
        <v>28</v>
      </c>
      <c r="G380" t="e" cm="1">
        <v>#N/A</v>
      </c>
      <c r="H380">
        <v>45271</v>
      </c>
      <c r="I380" t="s">
        <v>15</v>
      </c>
      <c r="J380" t="s">
        <v>30</v>
      </c>
      <c r="K380" t="s">
        <v>44</v>
      </c>
      <c r="L380" t="s">
        <v>1346</v>
      </c>
      <c r="M380" t="s">
        <v>78</v>
      </c>
      <c r="N380" t="s">
        <v>423</v>
      </c>
      <c r="O380" t="s">
        <v>431</v>
      </c>
      <c r="P380" t="e" cm="1">
        <f t="array" aca="1" ref="P380" ca="1">VLOOKUP(INDIRECT("A"&amp;ROW()), 'Recent Changes'!A:G, 2, FALSE)</f>
        <v>#N/A</v>
      </c>
      <c r="Q380" t="e" cm="1">
        <f t="array" aca="1" ref="Q380" ca="1">VLOOKUP(INDIRECT("A"&amp;ROW()), 'Recent Changes'!A:G, 3, FALSE)</f>
        <v>#N/A</v>
      </c>
      <c r="R380" t="e" cm="1">
        <f t="array" aca="1" ref="R380" ca="1">VLOOKUP(INDIRECT("A"&amp;ROW()), 'Recent Changes'!A:G, 4, FALSE)</f>
        <v>#N/A</v>
      </c>
      <c r="S380" t="e" cm="1">
        <f t="array" aca="1" ref="S380" ca="1">VLOOKUP(INDIRECT("A"&amp;ROW()), 'Recent Changes'!A:G, 5, FALSE)</f>
        <v>#N/A</v>
      </c>
      <c r="T380" t="e" cm="1">
        <f t="array" aca="1" ref="T380" ca="1">VLOOKUP(INDIRECT("A"&amp;ROW()), 'Recent Changes'!A:G, 6, FALSE)</f>
        <v>#N/A</v>
      </c>
      <c r="U380" t="e" cm="1">
        <f t="array" aca="1" ref="U380" ca="1">VLOOKUP(INDIRECT("A"&amp;ROW()), 'Recent Changes'!A:G, 7, FALSE)</f>
        <v>#N/A</v>
      </c>
      <c r="V380" t="e" cm="1">
        <f t="array" aca="1" ref="V380" ca="1">VLOOKUP(INDIRECT("A"&amp;ROW()), 'Recent Changes'!A:H, 8, FALSE)</f>
        <v>#N/A</v>
      </c>
    </row>
    <row r="381" spans="1:22" x14ac:dyDescent="0.25">
      <c r="A381">
        <v>15513739</v>
      </c>
      <c r="B381" t="s" cm="1">
        <v>430</v>
      </c>
      <c r="C381">
        <v>28</v>
      </c>
      <c r="G381" t="e" cm="1">
        <v>#N/A</v>
      </c>
      <c r="H381" t="s">
        <v>14</v>
      </c>
      <c r="I381" t="s">
        <v>14</v>
      </c>
      <c r="J381" t="s">
        <v>28</v>
      </c>
      <c r="K381" t="s">
        <v>46</v>
      </c>
      <c r="L381" t="s">
        <v>735</v>
      </c>
      <c r="M381" t="s">
        <v>78</v>
      </c>
      <c r="N381" t="s">
        <v>83</v>
      </c>
      <c r="P381" t="str" cm="1">
        <f t="array" aca="1" ref="P381" ca="1">VLOOKUP(INDIRECT("A"&amp;ROW()), 'Recent Changes'!A:G, 2, FALSE)</f>
        <v>NULL</v>
      </c>
      <c r="Q381" t="str" cm="1">
        <f t="array" aca="1" ref="Q381" ca="1">VLOOKUP(INDIRECT("A"&amp;ROW()), 'Recent Changes'!A:G, 3, FALSE)</f>
        <v>NULL</v>
      </c>
      <c r="R381" t="str" cm="1">
        <f t="array" aca="1" ref="R381" ca="1">VLOOKUP(INDIRECT("A"&amp;ROW()), 'Recent Changes'!A:G, 4, FALSE)</f>
        <v>NULL</v>
      </c>
      <c r="S381" t="str" cm="1">
        <f t="array" aca="1" ref="S381" ca="1">VLOOKUP(INDIRECT("A"&amp;ROW()), 'Recent Changes'!A:G, 5, FALSE)</f>
        <v>2023-12-11T11:16:27Z</v>
      </c>
      <c r="T381" t="str" cm="1">
        <f t="array" aca="1" ref="T381" ca="1">VLOOKUP(INDIRECT("A"&amp;ROW()), 'Recent Changes'!A:G, 6, FALSE)</f>
        <v>NULL</v>
      </c>
      <c r="U381" t="str" cm="1">
        <f t="array" aca="1" ref="U381" ca="1">VLOOKUP(INDIRECT("A"&amp;ROW()), 'Recent Changes'!A:G, 7, FALSE)</f>
        <v>2023-12-11T11:09:13Z</v>
      </c>
      <c r="V381" t="str" cm="1">
        <f t="array" aca="1" ref="V381" ca="1">VLOOKUP(INDIRECT("A"&amp;ROW()), 'Recent Changes'!A:H, 8, FALSE)</f>
        <v>2023-12-11T16:02:26Z</v>
      </c>
    </row>
    <row r="382" spans="1:22" x14ac:dyDescent="0.25">
      <c r="A382">
        <v>16832315</v>
      </c>
      <c r="B382" t="s">
        <v>430</v>
      </c>
      <c r="C382">
        <v>28</v>
      </c>
      <c r="G382" t="e" cm="1">
        <v>#N/A</v>
      </c>
      <c r="H382">
        <v>45194</v>
      </c>
      <c r="I382" t="s">
        <v>16</v>
      </c>
      <c r="J382" t="s">
        <v>21</v>
      </c>
      <c r="K382" t="s">
        <v>43</v>
      </c>
      <c r="L382" t="s">
        <v>2157</v>
      </c>
      <c r="M382" t="s">
        <v>76</v>
      </c>
      <c r="N382" t="s">
        <v>83</v>
      </c>
      <c r="O382" t="s">
        <v>431</v>
      </c>
      <c r="P382" t="str" cm="1">
        <f t="array" aca="1" ref="P382" ca="1">VLOOKUP(INDIRECT("A"&amp;ROW()), 'Recent Changes'!A:G, 2, FALSE)</f>
        <v>NULL</v>
      </c>
      <c r="Q382" t="str" cm="1">
        <f t="array" aca="1" ref="Q382" ca="1">VLOOKUP(INDIRECT("A"&amp;ROW()), 'Recent Changes'!A:G, 3, FALSE)</f>
        <v>NULL</v>
      </c>
      <c r="R382" t="str" cm="1">
        <f t="array" aca="1" ref="R382" ca="1">VLOOKUP(INDIRECT("A"&amp;ROW()), 'Recent Changes'!A:G, 4, FALSE)</f>
        <v>NULL</v>
      </c>
      <c r="S382" t="str" cm="1">
        <f t="array" aca="1" ref="S382" ca="1">VLOOKUP(INDIRECT("A"&amp;ROW()), 'Recent Changes'!A:G, 5, FALSE)</f>
        <v>NULL</v>
      </c>
      <c r="T382" t="str" cm="1">
        <f t="array" aca="1" ref="T382" ca="1">VLOOKUP(INDIRECT("A"&amp;ROW()), 'Recent Changes'!A:G, 6, FALSE)</f>
        <v>NULL</v>
      </c>
      <c r="U382" t="str" cm="1">
        <f t="array" aca="1" ref="U382" ca="1">VLOOKUP(INDIRECT("A"&amp;ROW()), 'Recent Changes'!A:G, 7, FALSE)</f>
        <v>2024-01-05T20:07:33Z</v>
      </c>
      <c r="V382" t="str" cm="1">
        <f t="array" aca="1" ref="V382" ca="1">VLOOKUP(INDIRECT("A"&amp;ROW()), 'Recent Changes'!A:H, 8, FALSE)</f>
        <v>2024-01-05T21:07:19Z</v>
      </c>
    </row>
    <row r="383" spans="1:22" x14ac:dyDescent="0.25">
      <c r="A383">
        <v>17565028</v>
      </c>
      <c r="B383" t="s">
        <v>430</v>
      </c>
      <c r="C383">
        <v>28</v>
      </c>
      <c r="G383" t="e" cm="1">
        <v>#N/A</v>
      </c>
      <c r="H383" t="s">
        <v>14</v>
      </c>
      <c r="I383" t="s">
        <v>14</v>
      </c>
      <c r="J383" t="s">
        <v>42</v>
      </c>
      <c r="K383" t="s">
        <v>54</v>
      </c>
      <c r="L383" t="s">
        <v>2158</v>
      </c>
      <c r="M383" t="s">
        <v>76</v>
      </c>
      <c r="N383" t="s">
        <v>83</v>
      </c>
      <c r="P383" t="str" cm="1">
        <f t="array" aca="1" ref="P383" ca="1">VLOOKUP(INDIRECT("A"&amp;ROW()), 'Recent Changes'!A:G, 2, FALSE)</f>
        <v>2024-01-05T15:23:08Z</v>
      </c>
      <c r="Q383" t="str" cm="1">
        <f t="array" aca="1" ref="Q383" ca="1">VLOOKUP(INDIRECT("A"&amp;ROW()), 'Recent Changes'!A:G, 3, FALSE)</f>
        <v>NULL</v>
      </c>
      <c r="R383" t="str" cm="1">
        <f t="array" aca="1" ref="R383" ca="1">VLOOKUP(INDIRECT("A"&amp;ROW()), 'Recent Changes'!A:G, 4, FALSE)</f>
        <v>NULL</v>
      </c>
      <c r="S383" t="str" cm="1">
        <f t="array" aca="1" ref="S383" ca="1">VLOOKUP(INDIRECT("A"&amp;ROW()), 'Recent Changes'!A:G, 5, FALSE)</f>
        <v>2024-01-05T15:24:15Z</v>
      </c>
      <c r="T383" t="str" cm="1">
        <f t="array" aca="1" ref="T383" ca="1">VLOOKUP(INDIRECT("A"&amp;ROW()), 'Recent Changes'!A:G, 6, FALSE)</f>
        <v>NULL</v>
      </c>
      <c r="U383" t="str" cm="1">
        <f t="array" aca="1" ref="U383" ca="1">VLOOKUP(INDIRECT("A"&amp;ROW()), 'Recent Changes'!A:G, 7, FALSE)</f>
        <v>NULL</v>
      </c>
      <c r="V383" t="str" cm="1">
        <f t="array" aca="1" ref="V383" ca="1">VLOOKUP(INDIRECT("A"&amp;ROW()), 'Recent Changes'!A:H, 8, FALSE)</f>
        <v>2024-01-05T16:16:24Z</v>
      </c>
    </row>
    <row r="384" spans="1:22" x14ac:dyDescent="0.25">
      <c r="A384">
        <v>11391301</v>
      </c>
      <c r="B384" t="s" cm="1">
        <v>430</v>
      </c>
      <c r="C384">
        <v>27</v>
      </c>
      <c r="G384" t="e" cm="1">
        <v>#N/A</v>
      </c>
      <c r="H384" t="s">
        <v>14</v>
      </c>
      <c r="I384" t="s">
        <v>14</v>
      </c>
      <c r="J384" t="s">
        <v>30</v>
      </c>
      <c r="K384" t="s">
        <v>48</v>
      </c>
      <c r="L384" t="s">
        <v>1397</v>
      </c>
      <c r="M384" t="s">
        <v>78</v>
      </c>
      <c r="N384" t="s">
        <v>83</v>
      </c>
      <c r="P384" t="str" cm="1">
        <f t="array" aca="1" ref="P384" ca="1">VLOOKUP(INDIRECT("A"&amp;ROW()), 'Recent Changes'!A:G, 2, FALSE)</f>
        <v>2023-12-21T14:57:54Z</v>
      </c>
      <c r="Q384" t="str" cm="1">
        <f t="array" aca="1" ref="Q384" ca="1">VLOOKUP(INDIRECT("A"&amp;ROW()), 'Recent Changes'!A:G, 3, FALSE)</f>
        <v>2023-12-14T16:00:42Z</v>
      </c>
      <c r="R384" t="str" cm="1">
        <f t="array" aca="1" ref="R384" ca="1">VLOOKUP(INDIRECT("A"&amp;ROW()), 'Recent Changes'!A:G, 4, FALSE)</f>
        <v>2023-12-14T16:00:42Z</v>
      </c>
      <c r="S384" t="str" cm="1">
        <f t="array" aca="1" ref="S384" ca="1">VLOOKUP(INDIRECT("A"&amp;ROW()), 'Recent Changes'!A:G, 5, FALSE)</f>
        <v>2023-12-12T14:02:01Z</v>
      </c>
      <c r="T384" t="str" cm="1">
        <f t="array" aca="1" ref="T384" ca="1">VLOOKUP(INDIRECT("A"&amp;ROW()), 'Recent Changes'!A:G, 6, FALSE)</f>
        <v>2023-12-14T16:00:42Z</v>
      </c>
      <c r="U384" t="str" cm="1">
        <f t="array" aca="1" ref="U384" ca="1">VLOOKUP(INDIRECT("A"&amp;ROW()), 'Recent Changes'!A:G, 7, FALSE)</f>
        <v>NULL</v>
      </c>
      <c r="V384" t="str" cm="1">
        <f t="array" aca="1" ref="V384" ca="1">VLOOKUP(INDIRECT("A"&amp;ROW()), 'Recent Changes'!A:H, 8, FALSE)</f>
        <v>2023-12-12T16:02:28Z</v>
      </c>
    </row>
    <row r="385" spans="1:22" x14ac:dyDescent="0.25">
      <c r="A385">
        <v>12388810</v>
      </c>
      <c r="B385" t="s">
        <v>433</v>
      </c>
      <c r="C385">
        <v>27</v>
      </c>
      <c r="G385" t="e" cm="1">
        <v>#N/A</v>
      </c>
      <c r="H385">
        <v>45272</v>
      </c>
      <c r="I385" t="s">
        <v>15</v>
      </c>
      <c r="J385" t="s">
        <v>22</v>
      </c>
      <c r="K385" t="s">
        <v>44</v>
      </c>
      <c r="L385" t="s">
        <v>2159</v>
      </c>
      <c r="M385" t="s">
        <v>76</v>
      </c>
      <c r="N385" t="s">
        <v>429</v>
      </c>
      <c r="O385" t="s">
        <v>431</v>
      </c>
      <c r="P385" t="e" cm="1">
        <f t="array" aca="1" ref="P385" ca="1">VLOOKUP(INDIRECT("A"&amp;ROW()), 'Recent Changes'!A:G, 2, FALSE)</f>
        <v>#N/A</v>
      </c>
      <c r="Q385" t="e" cm="1">
        <f t="array" aca="1" ref="Q385" ca="1">VLOOKUP(INDIRECT("A"&amp;ROW()), 'Recent Changes'!A:G, 3, FALSE)</f>
        <v>#N/A</v>
      </c>
      <c r="R385" t="e" cm="1">
        <f t="array" aca="1" ref="R385" ca="1">VLOOKUP(INDIRECT("A"&amp;ROW()), 'Recent Changes'!A:G, 4, FALSE)</f>
        <v>#N/A</v>
      </c>
      <c r="S385" t="e" cm="1">
        <f t="array" aca="1" ref="S385" ca="1">VLOOKUP(INDIRECT("A"&amp;ROW()), 'Recent Changes'!A:G, 5, FALSE)</f>
        <v>#N/A</v>
      </c>
      <c r="T385" t="e" cm="1">
        <f t="array" aca="1" ref="T385" ca="1">VLOOKUP(INDIRECT("A"&amp;ROW()), 'Recent Changes'!A:G, 6, FALSE)</f>
        <v>#N/A</v>
      </c>
      <c r="U385" t="e" cm="1">
        <f t="array" aca="1" ref="U385" ca="1">VLOOKUP(INDIRECT("A"&amp;ROW()), 'Recent Changes'!A:G, 7, FALSE)</f>
        <v>#N/A</v>
      </c>
      <c r="V385" t="e" cm="1">
        <f t="array" aca="1" ref="V385" ca="1">VLOOKUP(INDIRECT("A"&amp;ROW()), 'Recent Changes'!A:H, 8, FALSE)</f>
        <v>#N/A</v>
      </c>
    </row>
    <row r="386" spans="1:22" x14ac:dyDescent="0.25">
      <c r="A386">
        <v>14295837</v>
      </c>
      <c r="B386" t="s">
        <v>433</v>
      </c>
      <c r="C386">
        <v>27</v>
      </c>
      <c r="G386" t="e" cm="1">
        <v>#N/A</v>
      </c>
      <c r="H386" t="s">
        <v>14</v>
      </c>
      <c r="I386" t="s">
        <v>380</v>
      </c>
      <c r="J386" t="s">
        <v>41</v>
      </c>
      <c r="K386" t="s">
        <v>48</v>
      </c>
      <c r="L386" t="s">
        <v>59</v>
      </c>
      <c r="M386" t="s">
        <v>78</v>
      </c>
      <c r="N386" t="s">
        <v>83</v>
      </c>
      <c r="P386" t="str" cm="1">
        <f t="array" aca="1" ref="P386" ca="1">VLOOKUP(INDIRECT("A"&amp;ROW()), 'Recent Changes'!A:G, 2, FALSE)</f>
        <v>NULL</v>
      </c>
      <c r="Q386" t="str" cm="1">
        <f t="array" aca="1" ref="Q386" ca="1">VLOOKUP(INDIRECT("A"&amp;ROW()), 'Recent Changes'!A:G, 3, FALSE)</f>
        <v>NULL</v>
      </c>
      <c r="R386" t="str" cm="1">
        <f t="array" aca="1" ref="R386" ca="1">VLOOKUP(INDIRECT("A"&amp;ROW()), 'Recent Changes'!A:G, 4, FALSE)</f>
        <v>NULL</v>
      </c>
      <c r="S386" t="str" cm="1">
        <f t="array" aca="1" ref="S386" ca="1">VLOOKUP(INDIRECT("A"&amp;ROW()), 'Recent Changes'!A:G, 5, FALSE)</f>
        <v>2023-12-21T15:27:55Z</v>
      </c>
      <c r="T386" t="str" cm="1">
        <f t="array" aca="1" ref="T386" ca="1">VLOOKUP(INDIRECT("A"&amp;ROW()), 'Recent Changes'!A:G, 6, FALSE)</f>
        <v>NULL</v>
      </c>
      <c r="U386" t="str" cm="1">
        <f t="array" aca="1" ref="U386" ca="1">VLOOKUP(INDIRECT("A"&amp;ROW()), 'Recent Changes'!A:G, 7, FALSE)</f>
        <v>NULL</v>
      </c>
      <c r="V386" t="str" cm="1">
        <f t="array" aca="1" ref="V386" ca="1">VLOOKUP(INDIRECT("A"&amp;ROW()), 'Recent Changes'!A:H, 8, FALSE)</f>
        <v>2023-12-21T16:26:30Z</v>
      </c>
    </row>
    <row r="387" spans="1:22" x14ac:dyDescent="0.25">
      <c r="A387">
        <v>14710308</v>
      </c>
      <c r="B387" t="s" cm="1">
        <v>430</v>
      </c>
      <c r="C387">
        <v>27</v>
      </c>
      <c r="G387" t="e" cm="1">
        <v>#N/A</v>
      </c>
      <c r="H387" t="s">
        <v>14</v>
      </c>
      <c r="I387" t="s">
        <v>14</v>
      </c>
      <c r="J387" t="s">
        <v>30</v>
      </c>
      <c r="K387" t="s">
        <v>53</v>
      </c>
      <c r="L387" t="s">
        <v>408</v>
      </c>
      <c r="M387" t="s">
        <v>78</v>
      </c>
      <c r="N387" t="s">
        <v>83</v>
      </c>
      <c r="P387" t="str" cm="1">
        <f t="array" aca="1" ref="P387" ca="1">VLOOKUP(INDIRECT("A"&amp;ROW()), 'Recent Changes'!A:G, 2, FALSE)</f>
        <v>NULL</v>
      </c>
      <c r="Q387" t="str" cm="1">
        <f t="array" aca="1" ref="Q387" ca="1">VLOOKUP(INDIRECT("A"&amp;ROW()), 'Recent Changes'!A:G, 3, FALSE)</f>
        <v>NULL</v>
      </c>
      <c r="R387" t="str" cm="1">
        <f t="array" aca="1" ref="R387" ca="1">VLOOKUP(INDIRECT("A"&amp;ROW()), 'Recent Changes'!A:G, 4, FALSE)</f>
        <v>NULL</v>
      </c>
      <c r="S387" t="str" cm="1">
        <f t="array" aca="1" ref="S387" ca="1">VLOOKUP(INDIRECT("A"&amp;ROW()), 'Recent Changes'!A:G, 5, FALSE)</f>
        <v>NULL</v>
      </c>
      <c r="T387" t="str" cm="1">
        <f t="array" aca="1" ref="T387" ca="1">VLOOKUP(INDIRECT("A"&amp;ROW()), 'Recent Changes'!A:G, 6, FALSE)</f>
        <v>NULL</v>
      </c>
      <c r="U387" t="str" cm="1">
        <f t="array" aca="1" ref="U387" ca="1">VLOOKUP(INDIRECT("A"&amp;ROW()), 'Recent Changes'!A:G, 7, FALSE)</f>
        <v>2023-12-12T23:03:51Z</v>
      </c>
      <c r="V387" t="str" cm="1">
        <f t="array" aca="1" ref="V387" ca="1">VLOOKUP(INDIRECT("A"&amp;ROW()), 'Recent Changes'!A:H, 8, FALSE)</f>
        <v>2023-12-13T07:32:35Z</v>
      </c>
    </row>
    <row r="388" spans="1:22" x14ac:dyDescent="0.25">
      <c r="A388">
        <v>17385491</v>
      </c>
      <c r="B388" t="s">
        <v>433</v>
      </c>
      <c r="C388">
        <v>27</v>
      </c>
      <c r="G388" t="e" cm="1">
        <v>#N/A</v>
      </c>
      <c r="H388">
        <v>45279</v>
      </c>
      <c r="I388" t="s">
        <v>15</v>
      </c>
      <c r="J388" t="s">
        <v>22</v>
      </c>
      <c r="K388" t="s">
        <v>44</v>
      </c>
      <c r="L388" t="s">
        <v>63</v>
      </c>
      <c r="M388" t="s">
        <v>76</v>
      </c>
      <c r="N388" t="s">
        <v>412</v>
      </c>
      <c r="O388" t="s">
        <v>431</v>
      </c>
      <c r="P388" t="e" cm="1">
        <f t="array" aca="1" ref="P388" ca="1">VLOOKUP(INDIRECT("A"&amp;ROW()), 'Recent Changes'!A:G, 2, FALSE)</f>
        <v>#N/A</v>
      </c>
      <c r="Q388" t="e" cm="1">
        <f t="array" aca="1" ref="Q388" ca="1">VLOOKUP(INDIRECT("A"&amp;ROW()), 'Recent Changes'!A:G, 3, FALSE)</f>
        <v>#N/A</v>
      </c>
      <c r="R388" t="e" cm="1">
        <f t="array" aca="1" ref="R388" ca="1">VLOOKUP(INDIRECT("A"&amp;ROW()), 'Recent Changes'!A:G, 4, FALSE)</f>
        <v>#N/A</v>
      </c>
      <c r="S388" t="e" cm="1">
        <f t="array" aca="1" ref="S388" ca="1">VLOOKUP(INDIRECT("A"&amp;ROW()), 'Recent Changes'!A:G, 5, FALSE)</f>
        <v>#N/A</v>
      </c>
      <c r="T388" t="e" cm="1">
        <f t="array" aca="1" ref="T388" ca="1">VLOOKUP(INDIRECT("A"&amp;ROW()), 'Recent Changes'!A:G, 6, FALSE)</f>
        <v>#N/A</v>
      </c>
      <c r="U388" t="e" cm="1">
        <f t="array" aca="1" ref="U388" ca="1">VLOOKUP(INDIRECT("A"&amp;ROW()), 'Recent Changes'!A:G, 7, FALSE)</f>
        <v>#N/A</v>
      </c>
      <c r="V388" t="e" cm="1">
        <f t="array" aca="1" ref="V388" ca="1">VLOOKUP(INDIRECT("A"&amp;ROW()), 'Recent Changes'!A:H, 8, FALSE)</f>
        <v>#N/A</v>
      </c>
    </row>
    <row r="389" spans="1:22" x14ac:dyDescent="0.25">
      <c r="A389">
        <v>17568908</v>
      </c>
      <c r="B389" t="s">
        <v>430</v>
      </c>
      <c r="C389">
        <v>27</v>
      </c>
      <c r="G389" t="e" cm="1">
        <v>#N/A</v>
      </c>
      <c r="H389" t="s">
        <v>14</v>
      </c>
      <c r="I389" t="s">
        <v>14</v>
      </c>
      <c r="J389" t="s">
        <v>19</v>
      </c>
      <c r="K389" t="s">
        <v>49</v>
      </c>
      <c r="L389" t="s">
        <v>1691</v>
      </c>
      <c r="M389" t="s">
        <v>76</v>
      </c>
      <c r="N389" t="s">
        <v>1974</v>
      </c>
      <c r="P389" t="e" cm="1">
        <f t="array" aca="1" ref="P389" ca="1">VLOOKUP(INDIRECT("A"&amp;ROW()), 'Recent Changes'!A:G, 2, FALSE)</f>
        <v>#N/A</v>
      </c>
      <c r="Q389" t="e" cm="1">
        <f t="array" aca="1" ref="Q389" ca="1">VLOOKUP(INDIRECT("A"&amp;ROW()), 'Recent Changes'!A:G, 3, FALSE)</f>
        <v>#N/A</v>
      </c>
      <c r="R389" t="e" cm="1">
        <f t="array" aca="1" ref="R389" ca="1">VLOOKUP(INDIRECT("A"&amp;ROW()), 'Recent Changes'!A:G, 4, FALSE)</f>
        <v>#N/A</v>
      </c>
      <c r="S389" t="e" cm="1">
        <f t="array" aca="1" ref="S389" ca="1">VLOOKUP(INDIRECT("A"&amp;ROW()), 'Recent Changes'!A:G, 5, FALSE)</f>
        <v>#N/A</v>
      </c>
      <c r="T389" t="e" cm="1">
        <f t="array" aca="1" ref="T389" ca="1">VLOOKUP(INDIRECT("A"&amp;ROW()), 'Recent Changes'!A:G, 6, FALSE)</f>
        <v>#N/A</v>
      </c>
      <c r="U389" t="e" cm="1">
        <f t="array" aca="1" ref="U389" ca="1">VLOOKUP(INDIRECT("A"&amp;ROW()), 'Recent Changes'!A:G, 7, FALSE)</f>
        <v>#N/A</v>
      </c>
      <c r="V389" t="e" cm="1">
        <f t="array" aca="1" ref="V389" ca="1">VLOOKUP(INDIRECT("A"&amp;ROW()), 'Recent Changes'!A:H, 8, FALSE)</f>
        <v>#N/A</v>
      </c>
    </row>
    <row r="390" spans="1:22" x14ac:dyDescent="0.25">
      <c r="A390">
        <v>17569224</v>
      </c>
      <c r="B390" t="s" cm="1">
        <v>430</v>
      </c>
      <c r="C390">
        <v>27</v>
      </c>
      <c r="G390" t="e" cm="1">
        <v>#N/A</v>
      </c>
      <c r="H390" t="s">
        <v>14</v>
      </c>
      <c r="I390" t="s">
        <v>14</v>
      </c>
      <c r="J390" t="s">
        <v>30</v>
      </c>
      <c r="K390" t="s">
        <v>53</v>
      </c>
      <c r="L390" t="s">
        <v>55</v>
      </c>
      <c r="M390" t="s">
        <v>76</v>
      </c>
      <c r="N390" t="s">
        <v>83</v>
      </c>
      <c r="P390" t="str" cm="1">
        <f t="array" aca="1" ref="P390" ca="1">VLOOKUP(INDIRECT("A"&amp;ROW()), 'Recent Changes'!A:G, 2, FALSE)</f>
        <v>NULL</v>
      </c>
      <c r="Q390" t="str" cm="1">
        <f t="array" aca="1" ref="Q390" ca="1">VLOOKUP(INDIRECT("A"&amp;ROW()), 'Recent Changes'!A:G, 3, FALSE)</f>
        <v>NULL</v>
      </c>
      <c r="R390" t="str" cm="1">
        <f t="array" aca="1" ref="R390" ca="1">VLOOKUP(INDIRECT("A"&amp;ROW()), 'Recent Changes'!A:G, 4, FALSE)</f>
        <v>NULL</v>
      </c>
      <c r="S390" t="str" cm="1">
        <f t="array" aca="1" ref="S390" ca="1">VLOOKUP(INDIRECT("A"&amp;ROW()), 'Recent Changes'!A:G, 5, FALSE)</f>
        <v>2023-12-29T07:09:42Z</v>
      </c>
      <c r="T390" t="str" cm="1">
        <f t="array" aca="1" ref="T390" ca="1">VLOOKUP(INDIRECT("A"&amp;ROW()), 'Recent Changes'!A:G, 6, FALSE)</f>
        <v>NULL</v>
      </c>
      <c r="U390" t="str" cm="1">
        <f t="array" aca="1" ref="U390" ca="1">VLOOKUP(INDIRECT("A"&amp;ROW()), 'Recent Changes'!A:G, 7, FALSE)</f>
        <v>NULL</v>
      </c>
      <c r="V390" t="str" cm="1">
        <f t="array" aca="1" ref="V390" ca="1">VLOOKUP(INDIRECT("A"&amp;ROW()), 'Recent Changes'!A:H, 8, FALSE)</f>
        <v>2023-12-30T07:54:06Z</v>
      </c>
    </row>
    <row r="391" spans="1:22" x14ac:dyDescent="0.25">
      <c r="A391">
        <v>17569226</v>
      </c>
      <c r="B391" t="s">
        <v>433</v>
      </c>
      <c r="C391">
        <v>27</v>
      </c>
      <c r="G391" t="e" cm="1">
        <v>#N/A</v>
      </c>
      <c r="H391" t="s">
        <v>14</v>
      </c>
      <c r="I391" t="s">
        <v>14</v>
      </c>
      <c r="J391" t="s">
        <v>38</v>
      </c>
      <c r="K391" t="s">
        <v>48</v>
      </c>
      <c r="L391" t="s">
        <v>62</v>
      </c>
      <c r="M391" t="s">
        <v>76</v>
      </c>
      <c r="N391" t="s">
        <v>2264</v>
      </c>
      <c r="P391" t="e" cm="1">
        <f t="array" aca="1" ref="P391" ca="1">VLOOKUP(INDIRECT("A"&amp;ROW()), 'Recent Changes'!A:G, 2, FALSE)</f>
        <v>#N/A</v>
      </c>
      <c r="Q391" t="e" cm="1">
        <f t="array" aca="1" ref="Q391" ca="1">VLOOKUP(INDIRECT("A"&amp;ROW()), 'Recent Changes'!A:G, 3, FALSE)</f>
        <v>#N/A</v>
      </c>
      <c r="R391" t="e" cm="1">
        <f t="array" aca="1" ref="R391" ca="1">VLOOKUP(INDIRECT("A"&amp;ROW()), 'Recent Changes'!A:G, 4, FALSE)</f>
        <v>#N/A</v>
      </c>
      <c r="S391" t="e" cm="1">
        <f t="array" aca="1" ref="S391" ca="1">VLOOKUP(INDIRECT("A"&amp;ROW()), 'Recent Changes'!A:G, 5, FALSE)</f>
        <v>#N/A</v>
      </c>
      <c r="T391" t="e" cm="1">
        <f t="array" aca="1" ref="T391" ca="1">VLOOKUP(INDIRECT("A"&amp;ROW()), 'Recent Changes'!A:G, 6, FALSE)</f>
        <v>#N/A</v>
      </c>
      <c r="U391" t="e" cm="1">
        <f t="array" aca="1" ref="U391" ca="1">VLOOKUP(INDIRECT("A"&amp;ROW()), 'Recent Changes'!A:G, 7, FALSE)</f>
        <v>#N/A</v>
      </c>
      <c r="V391" t="e" cm="1">
        <f t="array" aca="1" ref="V391" ca="1">VLOOKUP(INDIRECT("A"&amp;ROW()), 'Recent Changes'!A:H, 8, FALSE)</f>
        <v>#N/A</v>
      </c>
    </row>
    <row r="392" spans="1:22" x14ac:dyDescent="0.25">
      <c r="A392">
        <v>17569229</v>
      </c>
      <c r="B392" t="s" cm="1">
        <v>430</v>
      </c>
      <c r="C392">
        <v>27</v>
      </c>
      <c r="G392" t="e" cm="1">
        <v>#N/A</v>
      </c>
      <c r="H392" t="s">
        <v>14</v>
      </c>
      <c r="I392" t="s">
        <v>14</v>
      </c>
      <c r="J392" t="s">
        <v>30</v>
      </c>
      <c r="K392" t="s">
        <v>53</v>
      </c>
      <c r="L392" t="s">
        <v>74</v>
      </c>
      <c r="M392" t="s">
        <v>76</v>
      </c>
      <c r="N392" t="s">
        <v>83</v>
      </c>
      <c r="P392" t="str" cm="1">
        <f t="array" aca="1" ref="P392" ca="1">VLOOKUP(INDIRECT("A"&amp;ROW()), 'Recent Changes'!A:G, 2, FALSE)</f>
        <v>NULL</v>
      </c>
      <c r="Q392" t="str" cm="1">
        <f t="array" aca="1" ref="Q392" ca="1">VLOOKUP(INDIRECT("A"&amp;ROW()), 'Recent Changes'!A:G, 3, FALSE)</f>
        <v>NULL</v>
      </c>
      <c r="R392" t="str" cm="1">
        <f t="array" aca="1" ref="R392" ca="1">VLOOKUP(INDIRECT("A"&amp;ROW()), 'Recent Changes'!A:G, 4, FALSE)</f>
        <v>NULL</v>
      </c>
      <c r="S392" t="str" cm="1">
        <f t="array" aca="1" ref="S392" ca="1">VLOOKUP(INDIRECT("A"&amp;ROW()), 'Recent Changes'!A:G, 5, FALSE)</f>
        <v>NULL</v>
      </c>
      <c r="T392" t="str" cm="1">
        <f t="array" aca="1" ref="T392" ca="1">VLOOKUP(INDIRECT("A"&amp;ROW()), 'Recent Changes'!A:G, 6, FALSE)</f>
        <v>NULL</v>
      </c>
      <c r="U392" t="str" cm="1">
        <f t="array" aca="1" ref="U392" ca="1">VLOOKUP(INDIRECT("A"&amp;ROW()), 'Recent Changes'!A:G, 7, FALSE)</f>
        <v>NULL</v>
      </c>
      <c r="V392" t="str" cm="1">
        <f t="array" aca="1" ref="V392" ca="1">VLOOKUP(INDIRECT("A"&amp;ROW()), 'Recent Changes'!A:H, 8, FALSE)</f>
        <v>2024-01-03T07:16:26Z</v>
      </c>
    </row>
    <row r="393" spans="1:22" x14ac:dyDescent="0.25">
      <c r="A393">
        <v>17569905</v>
      </c>
      <c r="B393" t="s">
        <v>433</v>
      </c>
      <c r="C393">
        <v>27</v>
      </c>
      <c r="G393" t="e" cm="1">
        <v>#N/A</v>
      </c>
      <c r="H393" t="s">
        <v>14</v>
      </c>
      <c r="I393" t="s">
        <v>14</v>
      </c>
      <c r="J393" t="s">
        <v>38</v>
      </c>
      <c r="K393" t="s">
        <v>53</v>
      </c>
      <c r="L393" t="s">
        <v>405</v>
      </c>
      <c r="M393" t="s">
        <v>76</v>
      </c>
      <c r="N393" t="s">
        <v>1974</v>
      </c>
      <c r="P393" t="e" cm="1">
        <f t="array" aca="1" ref="P393" ca="1">VLOOKUP(INDIRECT("A"&amp;ROW()), 'Recent Changes'!A:G, 2, FALSE)</f>
        <v>#N/A</v>
      </c>
      <c r="Q393" t="e" cm="1">
        <f t="array" aca="1" ref="Q393" ca="1">VLOOKUP(INDIRECT("A"&amp;ROW()), 'Recent Changes'!A:G, 3, FALSE)</f>
        <v>#N/A</v>
      </c>
      <c r="R393" t="e" cm="1">
        <f t="array" aca="1" ref="R393" ca="1">VLOOKUP(INDIRECT("A"&amp;ROW()), 'Recent Changes'!A:G, 4, FALSE)</f>
        <v>#N/A</v>
      </c>
      <c r="S393" t="e" cm="1">
        <f t="array" aca="1" ref="S393" ca="1">VLOOKUP(INDIRECT("A"&amp;ROW()), 'Recent Changes'!A:G, 5, FALSE)</f>
        <v>#N/A</v>
      </c>
      <c r="T393" t="e" cm="1">
        <f t="array" aca="1" ref="T393" ca="1">VLOOKUP(INDIRECT("A"&amp;ROW()), 'Recent Changes'!A:G, 6, FALSE)</f>
        <v>#N/A</v>
      </c>
      <c r="U393" t="e" cm="1">
        <f t="array" aca="1" ref="U393" ca="1">VLOOKUP(INDIRECT("A"&amp;ROW()), 'Recent Changes'!A:G, 7, FALSE)</f>
        <v>#N/A</v>
      </c>
      <c r="V393" t="e" cm="1">
        <f t="array" aca="1" ref="V393" ca="1">VLOOKUP(INDIRECT("A"&amp;ROW()), 'Recent Changes'!A:H, 8, FALSE)</f>
        <v>#N/A</v>
      </c>
    </row>
    <row r="394" spans="1:22" x14ac:dyDescent="0.25">
      <c r="A394">
        <v>17571461</v>
      </c>
      <c r="B394" t="s">
        <v>433</v>
      </c>
      <c r="C394">
        <v>27</v>
      </c>
      <c r="G394" t="e" cm="1">
        <v>#N/A</v>
      </c>
      <c r="H394" t="s">
        <v>14</v>
      </c>
      <c r="I394" t="s">
        <v>14</v>
      </c>
      <c r="J394" t="s">
        <v>38</v>
      </c>
      <c r="K394" t="s">
        <v>53</v>
      </c>
      <c r="L394" t="s">
        <v>62</v>
      </c>
      <c r="M394" t="s">
        <v>76</v>
      </c>
      <c r="N394" t="s">
        <v>1974</v>
      </c>
      <c r="P394" t="e" cm="1">
        <f t="array" aca="1" ref="P394" ca="1">VLOOKUP(INDIRECT("A"&amp;ROW()), 'Recent Changes'!A:G, 2, FALSE)</f>
        <v>#N/A</v>
      </c>
      <c r="Q394" t="e" cm="1">
        <f t="array" aca="1" ref="Q394" ca="1">VLOOKUP(INDIRECT("A"&amp;ROW()), 'Recent Changes'!A:G, 3, FALSE)</f>
        <v>#N/A</v>
      </c>
      <c r="R394" t="e" cm="1">
        <f t="array" aca="1" ref="R394" ca="1">VLOOKUP(INDIRECT("A"&amp;ROW()), 'Recent Changes'!A:G, 4, FALSE)</f>
        <v>#N/A</v>
      </c>
      <c r="S394" t="e" cm="1">
        <f t="array" aca="1" ref="S394" ca="1">VLOOKUP(INDIRECT("A"&amp;ROW()), 'Recent Changes'!A:G, 5, FALSE)</f>
        <v>#N/A</v>
      </c>
      <c r="T394" t="e" cm="1">
        <f t="array" aca="1" ref="T394" ca="1">VLOOKUP(INDIRECT("A"&amp;ROW()), 'Recent Changes'!A:G, 6, FALSE)</f>
        <v>#N/A</v>
      </c>
      <c r="U394" t="e" cm="1">
        <f t="array" aca="1" ref="U394" ca="1">VLOOKUP(INDIRECT("A"&amp;ROW()), 'Recent Changes'!A:G, 7, FALSE)</f>
        <v>#N/A</v>
      </c>
      <c r="V394" t="e" cm="1">
        <f t="array" aca="1" ref="V394" ca="1">VLOOKUP(INDIRECT("A"&amp;ROW()), 'Recent Changes'!A:H, 8, FALSE)</f>
        <v>#N/A</v>
      </c>
    </row>
    <row r="395" spans="1:22" x14ac:dyDescent="0.25">
      <c r="A395">
        <v>17571565</v>
      </c>
      <c r="B395" t="s">
        <v>433</v>
      </c>
      <c r="C395">
        <v>27</v>
      </c>
      <c r="G395" t="e" cm="1">
        <v>#N/A</v>
      </c>
      <c r="H395">
        <v>45296</v>
      </c>
      <c r="I395" t="s">
        <v>15</v>
      </c>
      <c r="J395" t="s">
        <v>38</v>
      </c>
      <c r="K395" t="s">
        <v>44</v>
      </c>
      <c r="L395" t="s">
        <v>1692</v>
      </c>
      <c r="M395" t="s">
        <v>76</v>
      </c>
      <c r="N395" t="s">
        <v>441</v>
      </c>
      <c r="O395" t="s">
        <v>431</v>
      </c>
      <c r="P395" t="e" cm="1">
        <f t="array" aca="1" ref="P395" ca="1">VLOOKUP(INDIRECT("A"&amp;ROW()), 'Recent Changes'!A:G, 2, FALSE)</f>
        <v>#N/A</v>
      </c>
      <c r="Q395" t="e" cm="1">
        <f t="array" aca="1" ref="Q395" ca="1">VLOOKUP(INDIRECT("A"&amp;ROW()), 'Recent Changes'!A:G, 3, FALSE)</f>
        <v>#N/A</v>
      </c>
      <c r="R395" t="e" cm="1">
        <f t="array" aca="1" ref="R395" ca="1">VLOOKUP(INDIRECT("A"&amp;ROW()), 'Recent Changes'!A:G, 4, FALSE)</f>
        <v>#N/A</v>
      </c>
      <c r="S395" t="e" cm="1">
        <f t="array" aca="1" ref="S395" ca="1">VLOOKUP(INDIRECT("A"&amp;ROW()), 'Recent Changes'!A:G, 5, FALSE)</f>
        <v>#N/A</v>
      </c>
      <c r="T395" t="e" cm="1">
        <f t="array" aca="1" ref="T395" ca="1">VLOOKUP(INDIRECT("A"&amp;ROW()), 'Recent Changes'!A:G, 6, FALSE)</f>
        <v>#N/A</v>
      </c>
      <c r="U395" t="e" cm="1">
        <f t="array" aca="1" ref="U395" ca="1">VLOOKUP(INDIRECT("A"&amp;ROW()), 'Recent Changes'!A:G, 7, FALSE)</f>
        <v>#N/A</v>
      </c>
      <c r="V395" t="e" cm="1">
        <f t="array" aca="1" ref="V395" ca="1">VLOOKUP(INDIRECT("A"&amp;ROW()), 'Recent Changes'!A:H, 8, FALSE)</f>
        <v>#N/A</v>
      </c>
    </row>
    <row r="396" spans="1:22" x14ac:dyDescent="0.25">
      <c r="A396">
        <v>17571795</v>
      </c>
      <c r="B396" t="s">
        <v>433</v>
      </c>
      <c r="C396">
        <v>27</v>
      </c>
      <c r="G396" t="e" cm="1">
        <v>#N/A</v>
      </c>
      <c r="H396" t="s">
        <v>14</v>
      </c>
      <c r="I396" t="s">
        <v>14</v>
      </c>
      <c r="J396" t="s">
        <v>38</v>
      </c>
      <c r="K396" t="s">
        <v>43</v>
      </c>
      <c r="L396" t="s">
        <v>71</v>
      </c>
      <c r="M396" t="s">
        <v>76</v>
      </c>
      <c r="N396" t="s">
        <v>2264</v>
      </c>
      <c r="P396" t="e" cm="1">
        <f t="array" aca="1" ref="P396" ca="1">VLOOKUP(INDIRECT("A"&amp;ROW()), 'Recent Changes'!A:G, 2, FALSE)</f>
        <v>#N/A</v>
      </c>
      <c r="Q396" t="e" cm="1">
        <f t="array" aca="1" ref="Q396" ca="1">VLOOKUP(INDIRECT("A"&amp;ROW()), 'Recent Changes'!A:G, 3, FALSE)</f>
        <v>#N/A</v>
      </c>
      <c r="R396" t="e" cm="1">
        <f t="array" aca="1" ref="R396" ca="1">VLOOKUP(INDIRECT("A"&amp;ROW()), 'Recent Changes'!A:G, 4, FALSE)</f>
        <v>#N/A</v>
      </c>
      <c r="S396" t="e" cm="1">
        <f t="array" aca="1" ref="S396" ca="1">VLOOKUP(INDIRECT("A"&amp;ROW()), 'Recent Changes'!A:G, 5, FALSE)</f>
        <v>#N/A</v>
      </c>
      <c r="T396" t="e" cm="1">
        <f t="array" aca="1" ref="T396" ca="1">VLOOKUP(INDIRECT("A"&amp;ROW()), 'Recent Changes'!A:G, 6, FALSE)</f>
        <v>#N/A</v>
      </c>
      <c r="U396" t="e" cm="1">
        <f t="array" aca="1" ref="U396" ca="1">VLOOKUP(INDIRECT("A"&amp;ROW()), 'Recent Changes'!A:G, 7, FALSE)</f>
        <v>#N/A</v>
      </c>
      <c r="V396" t="e" cm="1">
        <f t="array" aca="1" ref="V396" ca="1">VLOOKUP(INDIRECT("A"&amp;ROW()), 'Recent Changes'!A:H, 8, FALSE)</f>
        <v>#N/A</v>
      </c>
    </row>
    <row r="397" spans="1:22" x14ac:dyDescent="0.25">
      <c r="A397">
        <v>17573173</v>
      </c>
      <c r="B397" t="s" cm="1">
        <v>430</v>
      </c>
      <c r="C397">
        <v>27</v>
      </c>
      <c r="G397" t="e" cm="1">
        <v>#N/A</v>
      </c>
      <c r="H397" t="s">
        <v>14</v>
      </c>
      <c r="I397" t="s">
        <v>14</v>
      </c>
      <c r="J397" t="s">
        <v>30</v>
      </c>
      <c r="K397" t="s">
        <v>44</v>
      </c>
      <c r="L397" t="s">
        <v>2160</v>
      </c>
      <c r="M397" t="s">
        <v>78</v>
      </c>
      <c r="N397" t="s">
        <v>83</v>
      </c>
      <c r="P397" t="str" cm="1">
        <f t="array" aca="1" ref="P397" ca="1">VLOOKUP(INDIRECT("A"&amp;ROW()), 'Recent Changes'!A:G, 2, FALSE)</f>
        <v>NULL</v>
      </c>
      <c r="Q397" t="str" cm="1">
        <f t="array" aca="1" ref="Q397" ca="1">VLOOKUP(INDIRECT("A"&amp;ROW()), 'Recent Changes'!A:G, 3, FALSE)</f>
        <v>NULL</v>
      </c>
      <c r="R397" t="str" cm="1">
        <f t="array" aca="1" ref="R397" ca="1">VLOOKUP(INDIRECT("A"&amp;ROW()), 'Recent Changes'!A:G, 4, FALSE)</f>
        <v>NULL</v>
      </c>
      <c r="S397" t="str" cm="1">
        <f t="array" aca="1" ref="S397" ca="1">VLOOKUP(INDIRECT("A"&amp;ROW()), 'Recent Changes'!A:G, 5, FALSE)</f>
        <v>2023-12-22T15:08:08Z</v>
      </c>
      <c r="T397" t="str" cm="1">
        <f t="array" aca="1" ref="T397" ca="1">VLOOKUP(INDIRECT("A"&amp;ROW()), 'Recent Changes'!A:G, 6, FALSE)</f>
        <v>NULL</v>
      </c>
      <c r="U397" t="str" cm="1">
        <f t="array" aca="1" ref="U397" ca="1">VLOOKUP(INDIRECT("A"&amp;ROW()), 'Recent Changes'!A:G, 7, FALSE)</f>
        <v>NULL</v>
      </c>
      <c r="V397" t="str" cm="1">
        <f t="array" aca="1" ref="V397" ca="1">VLOOKUP(INDIRECT("A"&amp;ROW()), 'Recent Changes'!A:H, 8, FALSE)</f>
        <v>2023-12-22T16:12:08Z</v>
      </c>
    </row>
    <row r="398" spans="1:22" x14ac:dyDescent="0.25">
      <c r="A398">
        <v>17573739</v>
      </c>
      <c r="B398" t="s">
        <v>433</v>
      </c>
      <c r="C398">
        <v>27</v>
      </c>
      <c r="G398" t="e" cm="1">
        <v>#N/A</v>
      </c>
      <c r="H398">
        <v>45280</v>
      </c>
      <c r="I398" t="s">
        <v>15</v>
      </c>
      <c r="J398" t="s">
        <v>38</v>
      </c>
      <c r="K398" t="s">
        <v>44</v>
      </c>
      <c r="L398" t="s">
        <v>1386</v>
      </c>
      <c r="M398" t="s">
        <v>76</v>
      </c>
      <c r="N398" t="s">
        <v>2265</v>
      </c>
      <c r="O398" t="s">
        <v>431</v>
      </c>
      <c r="P398" t="e" cm="1">
        <f t="array" aca="1" ref="P398" ca="1">VLOOKUP(INDIRECT("A"&amp;ROW()), 'Recent Changes'!A:G, 2, FALSE)</f>
        <v>#N/A</v>
      </c>
      <c r="Q398" t="e" cm="1">
        <f t="array" aca="1" ref="Q398" ca="1">VLOOKUP(INDIRECT("A"&amp;ROW()), 'Recent Changes'!A:G, 3, FALSE)</f>
        <v>#N/A</v>
      </c>
      <c r="R398" t="e" cm="1">
        <f t="array" aca="1" ref="R398" ca="1">VLOOKUP(INDIRECT("A"&amp;ROW()), 'Recent Changes'!A:G, 4, FALSE)</f>
        <v>#N/A</v>
      </c>
      <c r="S398" t="e" cm="1">
        <f t="array" aca="1" ref="S398" ca="1">VLOOKUP(INDIRECT("A"&amp;ROW()), 'Recent Changes'!A:G, 5, FALSE)</f>
        <v>#N/A</v>
      </c>
      <c r="T398" t="e" cm="1">
        <f t="array" aca="1" ref="T398" ca="1">VLOOKUP(INDIRECT("A"&amp;ROW()), 'Recent Changes'!A:G, 6, FALSE)</f>
        <v>#N/A</v>
      </c>
      <c r="U398" t="e" cm="1">
        <f t="array" aca="1" ref="U398" ca="1">VLOOKUP(INDIRECT("A"&amp;ROW()), 'Recent Changes'!A:G, 7, FALSE)</f>
        <v>#N/A</v>
      </c>
      <c r="V398" t="e" cm="1">
        <f t="array" aca="1" ref="V398" ca="1">VLOOKUP(INDIRECT("A"&amp;ROW()), 'Recent Changes'!A:H, 8, FALSE)</f>
        <v>#N/A</v>
      </c>
    </row>
    <row r="399" spans="1:22" x14ac:dyDescent="0.25">
      <c r="A399">
        <v>15224052</v>
      </c>
      <c r="B399" t="s">
        <v>433</v>
      </c>
      <c r="C399">
        <v>26</v>
      </c>
      <c r="G399" t="e" cm="1">
        <v>#N/A</v>
      </c>
      <c r="H399">
        <v>45294</v>
      </c>
      <c r="I399" t="s">
        <v>15</v>
      </c>
      <c r="J399" t="s">
        <v>22</v>
      </c>
      <c r="K399" t="s">
        <v>46</v>
      </c>
      <c r="L399" t="s">
        <v>86</v>
      </c>
      <c r="M399" t="s">
        <v>76</v>
      </c>
      <c r="N399" t="s">
        <v>461</v>
      </c>
      <c r="O399" t="s">
        <v>431</v>
      </c>
      <c r="P399" t="e" cm="1">
        <f t="array" aca="1" ref="P399" ca="1">VLOOKUP(INDIRECT("A"&amp;ROW()), 'Recent Changes'!A:G, 2, FALSE)</f>
        <v>#N/A</v>
      </c>
      <c r="Q399" t="e" cm="1">
        <f t="array" aca="1" ref="Q399" ca="1">VLOOKUP(INDIRECT("A"&amp;ROW()), 'Recent Changes'!A:G, 3, FALSE)</f>
        <v>#N/A</v>
      </c>
      <c r="R399" t="e" cm="1">
        <f t="array" aca="1" ref="R399" ca="1">VLOOKUP(INDIRECT("A"&amp;ROW()), 'Recent Changes'!A:G, 4, FALSE)</f>
        <v>#N/A</v>
      </c>
      <c r="S399" t="e" cm="1">
        <f t="array" aca="1" ref="S399" ca="1">VLOOKUP(INDIRECT("A"&amp;ROW()), 'Recent Changes'!A:G, 5, FALSE)</f>
        <v>#N/A</v>
      </c>
      <c r="T399" t="e" cm="1">
        <f t="array" aca="1" ref="T399" ca="1">VLOOKUP(INDIRECT("A"&amp;ROW()), 'Recent Changes'!A:G, 6, FALSE)</f>
        <v>#N/A</v>
      </c>
      <c r="U399" t="e" cm="1">
        <f t="array" aca="1" ref="U399" ca="1">VLOOKUP(INDIRECT("A"&amp;ROW()), 'Recent Changes'!A:G, 7, FALSE)</f>
        <v>#N/A</v>
      </c>
      <c r="V399" t="e" cm="1">
        <f t="array" aca="1" ref="V399" ca="1">VLOOKUP(INDIRECT("A"&amp;ROW()), 'Recent Changes'!A:H, 8, FALSE)</f>
        <v>#N/A</v>
      </c>
    </row>
    <row r="400" spans="1:22" x14ac:dyDescent="0.25">
      <c r="A400">
        <v>17429056</v>
      </c>
      <c r="B400" t="s" cm="1">
        <v>430</v>
      </c>
      <c r="C400">
        <v>26</v>
      </c>
      <c r="G400" t="e" cm="1">
        <v>#N/A</v>
      </c>
      <c r="H400" t="s">
        <v>14</v>
      </c>
      <c r="I400" t="s">
        <v>14</v>
      </c>
      <c r="J400" t="s">
        <v>30</v>
      </c>
      <c r="K400" t="s">
        <v>44</v>
      </c>
      <c r="L400" t="s">
        <v>63</v>
      </c>
      <c r="M400" t="s">
        <v>76</v>
      </c>
      <c r="N400" t="s">
        <v>83</v>
      </c>
      <c r="P400" t="str" cm="1">
        <f t="array" aca="1" ref="P400" ca="1">VLOOKUP(INDIRECT("A"&amp;ROW()), 'Recent Changes'!A:G, 2, FALSE)</f>
        <v>NULL</v>
      </c>
      <c r="Q400" t="str" cm="1">
        <f t="array" aca="1" ref="Q400" ca="1">VLOOKUP(INDIRECT("A"&amp;ROW()), 'Recent Changes'!A:G, 3, FALSE)</f>
        <v>NULL</v>
      </c>
      <c r="R400" t="str" cm="1">
        <f t="array" aca="1" ref="R400" ca="1">VLOOKUP(INDIRECT("A"&amp;ROW()), 'Recent Changes'!A:G, 4, FALSE)</f>
        <v>NULL</v>
      </c>
      <c r="S400" t="str" cm="1">
        <f t="array" aca="1" ref="S400" ca="1">VLOOKUP(INDIRECT("A"&amp;ROW()), 'Recent Changes'!A:G, 5, FALSE)</f>
        <v>NULL</v>
      </c>
      <c r="T400" t="str" cm="1">
        <f t="array" aca="1" ref="T400" ca="1">VLOOKUP(INDIRECT("A"&amp;ROW()), 'Recent Changes'!A:G, 6, FALSE)</f>
        <v>NULL</v>
      </c>
      <c r="U400" t="str" cm="1">
        <f t="array" aca="1" ref="U400" ca="1">VLOOKUP(INDIRECT("A"&amp;ROW()), 'Recent Changes'!A:G, 7, FALSE)</f>
        <v>2023-12-13T16:57:09Z</v>
      </c>
      <c r="V400" t="str" cm="1">
        <f t="array" aca="1" ref="V400" ca="1">VLOOKUP(INDIRECT("A"&amp;ROW()), 'Recent Changes'!A:H, 8, FALSE)</f>
        <v>2023-12-13T21:42:14Z</v>
      </c>
    </row>
    <row r="401" spans="1:22" x14ac:dyDescent="0.25">
      <c r="A401">
        <v>17574809</v>
      </c>
      <c r="B401" t="s">
        <v>433</v>
      </c>
      <c r="C401">
        <v>26</v>
      </c>
      <c r="G401" t="e" cm="1">
        <v>#N/A</v>
      </c>
      <c r="H401" t="s">
        <v>14</v>
      </c>
      <c r="I401" t="s">
        <v>14</v>
      </c>
      <c r="J401" t="s">
        <v>38</v>
      </c>
      <c r="K401" t="s">
        <v>49</v>
      </c>
      <c r="L401" t="s">
        <v>620</v>
      </c>
      <c r="M401" t="s">
        <v>76</v>
      </c>
      <c r="N401" t="s">
        <v>1974</v>
      </c>
      <c r="P401" t="e" cm="1">
        <f t="array" aca="1" ref="P401" ca="1">VLOOKUP(INDIRECT("A"&amp;ROW()), 'Recent Changes'!A:G, 2, FALSE)</f>
        <v>#N/A</v>
      </c>
      <c r="Q401" t="e" cm="1">
        <f t="array" aca="1" ref="Q401" ca="1">VLOOKUP(INDIRECT("A"&amp;ROW()), 'Recent Changes'!A:G, 3, FALSE)</f>
        <v>#N/A</v>
      </c>
      <c r="R401" t="e" cm="1">
        <f t="array" aca="1" ref="R401" ca="1">VLOOKUP(INDIRECT("A"&amp;ROW()), 'Recent Changes'!A:G, 4, FALSE)</f>
        <v>#N/A</v>
      </c>
      <c r="S401" t="e" cm="1">
        <f t="array" aca="1" ref="S401" ca="1">VLOOKUP(INDIRECT("A"&amp;ROW()), 'Recent Changes'!A:G, 5, FALSE)</f>
        <v>#N/A</v>
      </c>
      <c r="T401" t="e" cm="1">
        <f t="array" aca="1" ref="T401" ca="1">VLOOKUP(INDIRECT("A"&amp;ROW()), 'Recent Changes'!A:G, 6, FALSE)</f>
        <v>#N/A</v>
      </c>
      <c r="U401" t="e" cm="1">
        <f t="array" aca="1" ref="U401" ca="1">VLOOKUP(INDIRECT("A"&amp;ROW()), 'Recent Changes'!A:G, 7, FALSE)</f>
        <v>#N/A</v>
      </c>
      <c r="V401" t="e" cm="1">
        <f t="array" aca="1" ref="V401" ca="1">VLOOKUP(INDIRECT("A"&amp;ROW()), 'Recent Changes'!A:H, 8, FALSE)</f>
        <v>#N/A</v>
      </c>
    </row>
    <row r="402" spans="1:22" x14ac:dyDescent="0.25">
      <c r="A402">
        <v>17575384</v>
      </c>
      <c r="B402" t="s">
        <v>433</v>
      </c>
      <c r="C402">
        <v>26</v>
      </c>
      <c r="G402" t="e" cm="1">
        <v>#N/A</v>
      </c>
      <c r="H402" t="s">
        <v>14</v>
      </c>
      <c r="I402" t="s">
        <v>14</v>
      </c>
      <c r="J402" t="s">
        <v>38</v>
      </c>
      <c r="K402" t="s">
        <v>51</v>
      </c>
      <c r="L402" t="s">
        <v>62</v>
      </c>
      <c r="M402" t="s">
        <v>76</v>
      </c>
      <c r="N402" t="s">
        <v>2264</v>
      </c>
      <c r="P402" t="e" cm="1">
        <f t="array" aca="1" ref="P402" ca="1">VLOOKUP(INDIRECT("A"&amp;ROW()), 'Recent Changes'!A:G, 2, FALSE)</f>
        <v>#N/A</v>
      </c>
      <c r="Q402" t="e" cm="1">
        <f t="array" aca="1" ref="Q402" ca="1">VLOOKUP(INDIRECT("A"&amp;ROW()), 'Recent Changes'!A:G, 3, FALSE)</f>
        <v>#N/A</v>
      </c>
      <c r="R402" t="e" cm="1">
        <f t="array" aca="1" ref="R402" ca="1">VLOOKUP(INDIRECT("A"&amp;ROW()), 'Recent Changes'!A:G, 4, FALSE)</f>
        <v>#N/A</v>
      </c>
      <c r="S402" t="e" cm="1">
        <f t="array" aca="1" ref="S402" ca="1">VLOOKUP(INDIRECT("A"&amp;ROW()), 'Recent Changes'!A:G, 5, FALSE)</f>
        <v>#N/A</v>
      </c>
      <c r="T402" t="e" cm="1">
        <f t="array" aca="1" ref="T402" ca="1">VLOOKUP(INDIRECT("A"&amp;ROW()), 'Recent Changes'!A:G, 6, FALSE)</f>
        <v>#N/A</v>
      </c>
      <c r="U402" t="e" cm="1">
        <f t="array" aca="1" ref="U402" ca="1">VLOOKUP(INDIRECT("A"&amp;ROW()), 'Recent Changes'!A:G, 7, FALSE)</f>
        <v>#N/A</v>
      </c>
      <c r="V402" t="e" cm="1">
        <f t="array" aca="1" ref="V402" ca="1">VLOOKUP(INDIRECT("A"&amp;ROW()), 'Recent Changes'!A:H, 8, FALSE)</f>
        <v>#N/A</v>
      </c>
    </row>
    <row r="403" spans="1:22" x14ac:dyDescent="0.25">
      <c r="A403">
        <v>17577860</v>
      </c>
      <c r="B403" t="s">
        <v>433</v>
      </c>
      <c r="C403">
        <v>26</v>
      </c>
      <c r="G403" t="e" cm="1">
        <v>#N/A</v>
      </c>
      <c r="H403">
        <v>45294</v>
      </c>
      <c r="I403" t="s">
        <v>15</v>
      </c>
      <c r="J403" t="s">
        <v>18</v>
      </c>
      <c r="K403" t="s">
        <v>44</v>
      </c>
      <c r="L403" t="s">
        <v>63</v>
      </c>
      <c r="M403" t="s">
        <v>76</v>
      </c>
      <c r="N403" t="s">
        <v>461</v>
      </c>
      <c r="O403" t="s">
        <v>431</v>
      </c>
      <c r="P403" t="e" cm="1">
        <f t="array" aca="1" ref="P403" ca="1">VLOOKUP(INDIRECT("A"&amp;ROW()), 'Recent Changes'!A:G, 2, FALSE)</f>
        <v>#N/A</v>
      </c>
      <c r="Q403" t="e" cm="1">
        <f t="array" aca="1" ref="Q403" ca="1">VLOOKUP(INDIRECT("A"&amp;ROW()), 'Recent Changes'!A:G, 3, FALSE)</f>
        <v>#N/A</v>
      </c>
      <c r="R403" t="e" cm="1">
        <f t="array" aca="1" ref="R403" ca="1">VLOOKUP(INDIRECT("A"&amp;ROW()), 'Recent Changes'!A:G, 4, FALSE)</f>
        <v>#N/A</v>
      </c>
      <c r="S403" t="e" cm="1">
        <f t="array" aca="1" ref="S403" ca="1">VLOOKUP(INDIRECT("A"&amp;ROW()), 'Recent Changes'!A:G, 5, FALSE)</f>
        <v>#N/A</v>
      </c>
      <c r="T403" t="e" cm="1">
        <f t="array" aca="1" ref="T403" ca="1">VLOOKUP(INDIRECT("A"&amp;ROW()), 'Recent Changes'!A:G, 6, FALSE)</f>
        <v>#N/A</v>
      </c>
      <c r="U403" t="e" cm="1">
        <f t="array" aca="1" ref="U403" ca="1">VLOOKUP(INDIRECT("A"&amp;ROW()), 'Recent Changes'!A:G, 7, FALSE)</f>
        <v>#N/A</v>
      </c>
      <c r="V403" t="e" cm="1">
        <f t="array" aca="1" ref="V403" ca="1">VLOOKUP(INDIRECT("A"&amp;ROW()), 'Recent Changes'!A:H, 8, FALSE)</f>
        <v>#N/A</v>
      </c>
    </row>
    <row r="404" spans="1:22" x14ac:dyDescent="0.25">
      <c r="A404">
        <v>17578258</v>
      </c>
      <c r="B404" t="s">
        <v>433</v>
      </c>
      <c r="C404">
        <v>26</v>
      </c>
      <c r="G404" t="e" cm="1">
        <v>#N/A</v>
      </c>
      <c r="H404" t="s">
        <v>14</v>
      </c>
      <c r="I404" t="s">
        <v>14</v>
      </c>
      <c r="J404" t="s">
        <v>38</v>
      </c>
      <c r="K404" t="s">
        <v>49</v>
      </c>
      <c r="L404" t="s">
        <v>405</v>
      </c>
      <c r="M404" t="s">
        <v>76</v>
      </c>
      <c r="N404" t="s">
        <v>1974</v>
      </c>
      <c r="P404" t="e" cm="1">
        <f t="array" aca="1" ref="P404" ca="1">VLOOKUP(INDIRECT("A"&amp;ROW()), 'Recent Changes'!A:G, 2, FALSE)</f>
        <v>#N/A</v>
      </c>
      <c r="Q404" t="e" cm="1">
        <f t="array" aca="1" ref="Q404" ca="1">VLOOKUP(INDIRECT("A"&amp;ROW()), 'Recent Changes'!A:G, 3, FALSE)</f>
        <v>#N/A</v>
      </c>
      <c r="R404" t="e" cm="1">
        <f t="array" aca="1" ref="R404" ca="1">VLOOKUP(INDIRECT("A"&amp;ROW()), 'Recent Changes'!A:G, 4, FALSE)</f>
        <v>#N/A</v>
      </c>
      <c r="S404" t="e" cm="1">
        <f t="array" aca="1" ref="S404" ca="1">VLOOKUP(INDIRECT("A"&amp;ROW()), 'Recent Changes'!A:G, 5, FALSE)</f>
        <v>#N/A</v>
      </c>
      <c r="T404" t="e" cm="1">
        <f t="array" aca="1" ref="T404" ca="1">VLOOKUP(INDIRECT("A"&amp;ROW()), 'Recent Changes'!A:G, 6, FALSE)</f>
        <v>#N/A</v>
      </c>
      <c r="U404" t="e" cm="1">
        <f t="array" aca="1" ref="U404" ca="1">VLOOKUP(INDIRECT("A"&amp;ROW()), 'Recent Changes'!A:G, 7, FALSE)</f>
        <v>#N/A</v>
      </c>
      <c r="V404" t="e" cm="1">
        <f t="array" aca="1" ref="V404" ca="1">VLOOKUP(INDIRECT("A"&amp;ROW()), 'Recent Changes'!A:H, 8, FALSE)</f>
        <v>#N/A</v>
      </c>
    </row>
    <row r="405" spans="1:22" x14ac:dyDescent="0.25">
      <c r="A405">
        <v>11729553</v>
      </c>
      <c r="B405" t="s">
        <v>433</v>
      </c>
      <c r="C405">
        <v>25</v>
      </c>
      <c r="G405" t="e" cm="1">
        <v>#N/A</v>
      </c>
      <c r="H405">
        <v>45274</v>
      </c>
      <c r="I405" t="s">
        <v>15</v>
      </c>
      <c r="J405" t="s">
        <v>22</v>
      </c>
      <c r="K405" t="s">
        <v>44</v>
      </c>
      <c r="L405" t="s">
        <v>87</v>
      </c>
      <c r="M405" t="s">
        <v>77</v>
      </c>
      <c r="N405" t="s">
        <v>438</v>
      </c>
      <c r="O405" t="s">
        <v>431</v>
      </c>
      <c r="P405" t="e" cm="1">
        <f t="array" aca="1" ref="P405" ca="1">VLOOKUP(INDIRECT("A"&amp;ROW()), 'Recent Changes'!A:G, 2, FALSE)</f>
        <v>#N/A</v>
      </c>
      <c r="Q405" t="e" cm="1">
        <f t="array" aca="1" ref="Q405" ca="1">VLOOKUP(INDIRECT("A"&amp;ROW()), 'Recent Changes'!A:G, 3, FALSE)</f>
        <v>#N/A</v>
      </c>
      <c r="R405" t="e" cm="1">
        <f t="array" aca="1" ref="R405" ca="1">VLOOKUP(INDIRECT("A"&amp;ROW()), 'Recent Changes'!A:G, 4, FALSE)</f>
        <v>#N/A</v>
      </c>
      <c r="S405" t="e" cm="1">
        <f t="array" aca="1" ref="S405" ca="1">VLOOKUP(INDIRECT("A"&amp;ROW()), 'Recent Changes'!A:G, 5, FALSE)</f>
        <v>#N/A</v>
      </c>
      <c r="T405" t="e" cm="1">
        <f t="array" aca="1" ref="T405" ca="1">VLOOKUP(INDIRECT("A"&amp;ROW()), 'Recent Changes'!A:G, 6, FALSE)</f>
        <v>#N/A</v>
      </c>
      <c r="U405" t="e" cm="1">
        <f t="array" aca="1" ref="U405" ca="1">VLOOKUP(INDIRECT("A"&amp;ROW()), 'Recent Changes'!A:G, 7, FALSE)</f>
        <v>#N/A</v>
      </c>
      <c r="V405" t="e" cm="1">
        <f t="array" aca="1" ref="V405" ca="1">VLOOKUP(INDIRECT("A"&amp;ROW()), 'Recent Changes'!A:H, 8, FALSE)</f>
        <v>#N/A</v>
      </c>
    </row>
    <row r="406" spans="1:22" x14ac:dyDescent="0.25">
      <c r="A406">
        <v>13917513</v>
      </c>
      <c r="B406" t="s" cm="1">
        <v>433</v>
      </c>
      <c r="C406">
        <v>25</v>
      </c>
      <c r="G406" t="e" cm="1">
        <v>#N/A</v>
      </c>
      <c r="H406" t="s">
        <v>14</v>
      </c>
      <c r="I406" t="s">
        <v>14</v>
      </c>
      <c r="J406" t="s">
        <v>30</v>
      </c>
      <c r="K406" t="s">
        <v>53</v>
      </c>
      <c r="L406" t="s">
        <v>394</v>
      </c>
      <c r="M406" t="s">
        <v>76</v>
      </c>
      <c r="N406" t="s">
        <v>83</v>
      </c>
      <c r="P406" t="str" cm="1">
        <f t="array" aca="1" ref="P406" ca="1">VLOOKUP(INDIRECT("A"&amp;ROW()), 'Recent Changes'!A:G, 2, FALSE)</f>
        <v>NULL</v>
      </c>
      <c r="Q406" t="str" cm="1">
        <f t="array" aca="1" ref="Q406" ca="1">VLOOKUP(INDIRECT("A"&amp;ROW()), 'Recent Changes'!A:G, 3, FALSE)</f>
        <v>NULL</v>
      </c>
      <c r="R406" t="str" cm="1">
        <f t="array" aca="1" ref="R406" ca="1">VLOOKUP(INDIRECT("A"&amp;ROW()), 'Recent Changes'!A:G, 4, FALSE)</f>
        <v>NULL</v>
      </c>
      <c r="S406" t="str" cm="1">
        <f t="array" aca="1" ref="S406" ca="1">VLOOKUP(INDIRECT("A"&amp;ROW()), 'Recent Changes'!A:G, 5, FALSE)</f>
        <v>2024-01-02T16:22:01Z</v>
      </c>
      <c r="T406" t="str" cm="1">
        <f t="array" aca="1" ref="T406" ca="1">VLOOKUP(INDIRECT("A"&amp;ROW()), 'Recent Changes'!A:G, 6, FALSE)</f>
        <v>NULL</v>
      </c>
      <c r="U406" t="str" cm="1">
        <f t="array" aca="1" ref="U406" ca="1">VLOOKUP(INDIRECT("A"&amp;ROW()), 'Recent Changes'!A:G, 7, FALSE)</f>
        <v>2023-12-14T18:59:52Z</v>
      </c>
      <c r="V406" t="str" cm="1">
        <f t="array" aca="1" ref="V406" ca="1">VLOOKUP(INDIRECT("A"&amp;ROW()), 'Recent Changes'!A:H, 8, FALSE)</f>
        <v>2023-12-14T21:35:01Z</v>
      </c>
    </row>
    <row r="407" spans="1:22" x14ac:dyDescent="0.25">
      <c r="A407">
        <v>17252076</v>
      </c>
      <c r="B407" t="s" cm="1">
        <v>430</v>
      </c>
      <c r="C407">
        <v>25</v>
      </c>
      <c r="G407" t="e" cm="1">
        <v>#N/A</v>
      </c>
      <c r="H407" t="s">
        <v>14</v>
      </c>
      <c r="I407" t="s">
        <v>14</v>
      </c>
      <c r="J407" t="s">
        <v>30</v>
      </c>
      <c r="K407" t="s">
        <v>44</v>
      </c>
      <c r="L407" t="s">
        <v>74</v>
      </c>
      <c r="M407" t="s">
        <v>76</v>
      </c>
      <c r="N407" t="s">
        <v>83</v>
      </c>
      <c r="P407" t="str" cm="1">
        <f t="array" aca="1" ref="P407" ca="1">VLOOKUP(INDIRECT("A"&amp;ROW()), 'Recent Changes'!A:G, 2, FALSE)</f>
        <v>NULL</v>
      </c>
      <c r="Q407" t="str" cm="1">
        <f t="array" aca="1" ref="Q407" ca="1">VLOOKUP(INDIRECT("A"&amp;ROW()), 'Recent Changes'!A:G, 3, FALSE)</f>
        <v>NULL</v>
      </c>
      <c r="R407" t="str" cm="1">
        <f t="array" aca="1" ref="R407" ca="1">VLOOKUP(INDIRECT("A"&amp;ROW()), 'Recent Changes'!A:G, 4, FALSE)</f>
        <v>NULL</v>
      </c>
      <c r="S407" t="str" cm="1">
        <f t="array" aca="1" ref="S407" ca="1">VLOOKUP(INDIRECT("A"&amp;ROW()), 'Recent Changes'!A:G, 5, FALSE)</f>
        <v>2023-12-14T19:13:51Z</v>
      </c>
      <c r="T407" t="str" cm="1">
        <f t="array" aca="1" ref="T407" ca="1">VLOOKUP(INDIRECT("A"&amp;ROW()), 'Recent Changes'!A:G, 6, FALSE)</f>
        <v>NULL</v>
      </c>
      <c r="U407" t="str" cm="1">
        <f t="array" aca="1" ref="U407" ca="1">VLOOKUP(INDIRECT("A"&amp;ROW()), 'Recent Changes'!A:G, 7, FALSE)</f>
        <v>2023-10-20T09:24:53Z</v>
      </c>
      <c r="V407" t="str" cm="1">
        <f t="array" aca="1" ref="V407" ca="1">VLOOKUP(INDIRECT("A"&amp;ROW()), 'Recent Changes'!A:H, 8, FALSE)</f>
        <v>2023-12-14T21:29:04Z</v>
      </c>
    </row>
    <row r="408" spans="1:22" x14ac:dyDescent="0.25">
      <c r="A408">
        <v>17582950</v>
      </c>
      <c r="B408" t="s">
        <v>433</v>
      </c>
      <c r="C408">
        <v>25</v>
      </c>
      <c r="G408" t="e" cm="1">
        <v>#N/A</v>
      </c>
      <c r="H408">
        <v>45274</v>
      </c>
      <c r="I408" t="s">
        <v>15</v>
      </c>
      <c r="J408" t="s">
        <v>22</v>
      </c>
      <c r="K408" t="s">
        <v>44</v>
      </c>
      <c r="L408" t="s">
        <v>2161</v>
      </c>
      <c r="M408" t="s">
        <v>76</v>
      </c>
      <c r="N408" t="s">
        <v>438</v>
      </c>
      <c r="O408" t="s">
        <v>431</v>
      </c>
      <c r="P408" t="e" cm="1">
        <f t="array" aca="1" ref="P408" ca="1">VLOOKUP(INDIRECT("A"&amp;ROW()), 'Recent Changes'!A:G, 2, FALSE)</f>
        <v>#N/A</v>
      </c>
      <c r="Q408" t="e" cm="1">
        <f t="array" aca="1" ref="Q408" ca="1">VLOOKUP(INDIRECT("A"&amp;ROW()), 'Recent Changes'!A:G, 3, FALSE)</f>
        <v>#N/A</v>
      </c>
      <c r="R408" t="e" cm="1">
        <f t="array" aca="1" ref="R408" ca="1">VLOOKUP(INDIRECT("A"&amp;ROW()), 'Recent Changes'!A:G, 4, FALSE)</f>
        <v>#N/A</v>
      </c>
      <c r="S408" t="e" cm="1">
        <f t="array" aca="1" ref="S408" ca="1">VLOOKUP(INDIRECT("A"&amp;ROW()), 'Recent Changes'!A:G, 5, FALSE)</f>
        <v>#N/A</v>
      </c>
      <c r="T408" t="e" cm="1">
        <f t="array" aca="1" ref="T408" ca="1">VLOOKUP(INDIRECT("A"&amp;ROW()), 'Recent Changes'!A:G, 6, FALSE)</f>
        <v>#N/A</v>
      </c>
      <c r="U408" t="e" cm="1">
        <f t="array" aca="1" ref="U408" ca="1">VLOOKUP(INDIRECT("A"&amp;ROW()), 'Recent Changes'!A:G, 7, FALSE)</f>
        <v>#N/A</v>
      </c>
      <c r="V408" t="e" cm="1">
        <f t="array" aca="1" ref="V408" ca="1">VLOOKUP(INDIRECT("A"&amp;ROW()), 'Recent Changes'!A:H, 8, FALSE)</f>
        <v>#N/A</v>
      </c>
    </row>
    <row r="409" spans="1:22" x14ac:dyDescent="0.25">
      <c r="A409">
        <v>17586271</v>
      </c>
      <c r="B409" t="s">
        <v>433</v>
      </c>
      <c r="C409">
        <v>25</v>
      </c>
      <c r="G409" t="e" cm="1">
        <v>#N/A</v>
      </c>
      <c r="H409" t="s">
        <v>14</v>
      </c>
      <c r="I409" t="s">
        <v>14</v>
      </c>
      <c r="J409" t="s">
        <v>1413</v>
      </c>
      <c r="K409" t="s">
        <v>730</v>
      </c>
      <c r="L409" t="s">
        <v>1527</v>
      </c>
      <c r="M409" t="s">
        <v>76</v>
      </c>
      <c r="N409" t="s">
        <v>1974</v>
      </c>
      <c r="P409" t="e" cm="1">
        <f t="array" aca="1" ref="P409" ca="1">VLOOKUP(INDIRECT("A"&amp;ROW()), 'Recent Changes'!A:G, 2, FALSE)</f>
        <v>#N/A</v>
      </c>
      <c r="Q409" t="e" cm="1">
        <f t="array" aca="1" ref="Q409" ca="1">VLOOKUP(INDIRECT("A"&amp;ROW()), 'Recent Changes'!A:G, 3, FALSE)</f>
        <v>#N/A</v>
      </c>
      <c r="R409" t="e" cm="1">
        <f t="array" aca="1" ref="R409" ca="1">VLOOKUP(INDIRECT("A"&amp;ROW()), 'Recent Changes'!A:G, 4, FALSE)</f>
        <v>#N/A</v>
      </c>
      <c r="S409" t="e" cm="1">
        <f t="array" aca="1" ref="S409" ca="1">VLOOKUP(INDIRECT("A"&amp;ROW()), 'Recent Changes'!A:G, 5, FALSE)</f>
        <v>#N/A</v>
      </c>
      <c r="T409" t="e" cm="1">
        <f t="array" aca="1" ref="T409" ca="1">VLOOKUP(INDIRECT("A"&amp;ROW()), 'Recent Changes'!A:G, 6, FALSE)</f>
        <v>#N/A</v>
      </c>
      <c r="U409" t="e" cm="1">
        <f t="array" aca="1" ref="U409" ca="1">VLOOKUP(INDIRECT("A"&amp;ROW()), 'Recent Changes'!A:G, 7, FALSE)</f>
        <v>#N/A</v>
      </c>
      <c r="V409" t="e" cm="1">
        <f t="array" aca="1" ref="V409" ca="1">VLOOKUP(INDIRECT("A"&amp;ROW()), 'Recent Changes'!A:H, 8, FALSE)</f>
        <v>#N/A</v>
      </c>
    </row>
    <row r="410" spans="1:22" x14ac:dyDescent="0.25">
      <c r="A410">
        <v>16298313</v>
      </c>
      <c r="B410" t="s">
        <v>433</v>
      </c>
      <c r="C410">
        <v>24</v>
      </c>
      <c r="G410" t="e" cm="1">
        <v>#N/A</v>
      </c>
      <c r="H410">
        <v>45275</v>
      </c>
      <c r="I410" t="s">
        <v>15</v>
      </c>
      <c r="J410" t="s">
        <v>30</v>
      </c>
      <c r="K410" t="s">
        <v>1415</v>
      </c>
      <c r="L410" t="s">
        <v>402</v>
      </c>
      <c r="M410" t="s">
        <v>78</v>
      </c>
      <c r="N410" t="s">
        <v>1582</v>
      </c>
      <c r="O410" t="s">
        <v>431</v>
      </c>
      <c r="P410" t="e" cm="1">
        <f t="array" aca="1" ref="P410" ca="1">VLOOKUP(INDIRECT("A"&amp;ROW()), 'Recent Changes'!A:G, 2, FALSE)</f>
        <v>#N/A</v>
      </c>
      <c r="Q410" t="e" cm="1">
        <f t="array" aca="1" ref="Q410" ca="1">VLOOKUP(INDIRECT("A"&amp;ROW()), 'Recent Changes'!A:G, 3, FALSE)</f>
        <v>#N/A</v>
      </c>
      <c r="R410" t="e" cm="1">
        <f t="array" aca="1" ref="R410" ca="1">VLOOKUP(INDIRECT("A"&amp;ROW()), 'Recent Changes'!A:G, 4, FALSE)</f>
        <v>#N/A</v>
      </c>
      <c r="S410" t="e" cm="1">
        <f t="array" aca="1" ref="S410" ca="1">VLOOKUP(INDIRECT("A"&amp;ROW()), 'Recent Changes'!A:G, 5, FALSE)</f>
        <v>#N/A</v>
      </c>
      <c r="T410" t="e" cm="1">
        <f t="array" aca="1" ref="T410" ca="1">VLOOKUP(INDIRECT("A"&amp;ROW()), 'Recent Changes'!A:G, 6, FALSE)</f>
        <v>#N/A</v>
      </c>
      <c r="U410" t="e" cm="1">
        <f t="array" aca="1" ref="U410" ca="1">VLOOKUP(INDIRECT("A"&amp;ROW()), 'Recent Changes'!A:G, 7, FALSE)</f>
        <v>#N/A</v>
      </c>
      <c r="V410" t="e" cm="1">
        <f t="array" aca="1" ref="V410" ca="1">VLOOKUP(INDIRECT("A"&amp;ROW()), 'Recent Changes'!A:H, 8, FALSE)</f>
        <v>#N/A</v>
      </c>
    </row>
    <row r="411" spans="1:22" x14ac:dyDescent="0.25">
      <c r="A411">
        <v>16637486</v>
      </c>
      <c r="B411" t="s" cm="1">
        <v>430</v>
      </c>
      <c r="C411">
        <v>24</v>
      </c>
      <c r="G411" t="e" cm="1">
        <v>#N/A</v>
      </c>
      <c r="H411" t="s">
        <v>14</v>
      </c>
      <c r="I411" t="s">
        <v>14</v>
      </c>
      <c r="J411" t="s">
        <v>30</v>
      </c>
      <c r="K411" t="s">
        <v>48</v>
      </c>
      <c r="L411" t="s">
        <v>767</v>
      </c>
      <c r="M411" t="s">
        <v>76</v>
      </c>
      <c r="N411" t="s">
        <v>83</v>
      </c>
      <c r="P411" t="str" cm="1">
        <f t="array" aca="1" ref="P411" ca="1">VLOOKUP(INDIRECT("A"&amp;ROW()), 'Recent Changes'!A:G, 2, FALSE)</f>
        <v>NULL</v>
      </c>
      <c r="Q411" t="str" cm="1">
        <f t="array" aca="1" ref="Q411" ca="1">VLOOKUP(INDIRECT("A"&amp;ROW()), 'Recent Changes'!A:G, 3, FALSE)</f>
        <v>NULL</v>
      </c>
      <c r="R411" t="str" cm="1">
        <f t="array" aca="1" ref="R411" ca="1">VLOOKUP(INDIRECT("A"&amp;ROW()), 'Recent Changes'!A:G, 4, FALSE)</f>
        <v>NULL</v>
      </c>
      <c r="S411" t="str" cm="1">
        <f t="array" aca="1" ref="S411" ca="1">VLOOKUP(INDIRECT("A"&amp;ROW()), 'Recent Changes'!A:G, 5, FALSE)</f>
        <v>2023-12-15T18:35:44Z</v>
      </c>
      <c r="T411" t="str" cm="1">
        <f t="array" aca="1" ref="T411" ca="1">VLOOKUP(INDIRECT("A"&amp;ROW()), 'Recent Changes'!A:G, 6, FALSE)</f>
        <v>NULL</v>
      </c>
      <c r="U411" t="str" cm="1">
        <f t="array" aca="1" ref="U411" ca="1">VLOOKUP(INDIRECT("A"&amp;ROW()), 'Recent Changes'!A:G, 7, FALSE)</f>
        <v>2023-12-15T18:38:23Z</v>
      </c>
      <c r="V411" t="str" cm="1">
        <f t="array" aca="1" ref="V411" ca="1">VLOOKUP(INDIRECT("A"&amp;ROW()), 'Recent Changes'!A:H, 8, FALSE)</f>
        <v>2023-12-15T21:06:15Z</v>
      </c>
    </row>
    <row r="412" spans="1:22" x14ac:dyDescent="0.25">
      <c r="A412">
        <v>17437880</v>
      </c>
      <c r="B412" t="s">
        <v>433</v>
      </c>
      <c r="C412">
        <v>24</v>
      </c>
      <c r="G412" t="e" cm="1">
        <v>#N/A</v>
      </c>
      <c r="H412" t="s">
        <v>14</v>
      </c>
      <c r="I412" t="s">
        <v>1694</v>
      </c>
      <c r="J412" t="s">
        <v>38</v>
      </c>
      <c r="K412" t="s">
        <v>49</v>
      </c>
      <c r="L412" t="s">
        <v>1524</v>
      </c>
      <c r="M412" t="s">
        <v>76</v>
      </c>
      <c r="N412" t="s">
        <v>2266</v>
      </c>
      <c r="P412" t="e" cm="1">
        <f t="array" aca="1" ref="P412" ca="1">VLOOKUP(INDIRECT("A"&amp;ROW()), 'Recent Changes'!A:G, 2, FALSE)</f>
        <v>#N/A</v>
      </c>
      <c r="Q412" t="e" cm="1">
        <f t="array" aca="1" ref="Q412" ca="1">VLOOKUP(INDIRECT("A"&amp;ROW()), 'Recent Changes'!A:G, 3, FALSE)</f>
        <v>#N/A</v>
      </c>
      <c r="R412" t="e" cm="1">
        <f t="array" aca="1" ref="R412" ca="1">VLOOKUP(INDIRECT("A"&amp;ROW()), 'Recent Changes'!A:G, 4, FALSE)</f>
        <v>#N/A</v>
      </c>
      <c r="S412" t="e" cm="1">
        <f t="array" aca="1" ref="S412" ca="1">VLOOKUP(INDIRECT("A"&amp;ROW()), 'Recent Changes'!A:G, 5, FALSE)</f>
        <v>#N/A</v>
      </c>
      <c r="T412" t="e" cm="1">
        <f t="array" aca="1" ref="T412" ca="1">VLOOKUP(INDIRECT("A"&amp;ROW()), 'Recent Changes'!A:G, 6, FALSE)</f>
        <v>#N/A</v>
      </c>
      <c r="U412" t="e" cm="1">
        <f t="array" aca="1" ref="U412" ca="1">VLOOKUP(INDIRECT("A"&amp;ROW()), 'Recent Changes'!A:G, 7, FALSE)</f>
        <v>#N/A</v>
      </c>
      <c r="V412" t="e" cm="1">
        <f t="array" aca="1" ref="V412" ca="1">VLOOKUP(INDIRECT("A"&amp;ROW()), 'Recent Changes'!A:H, 8, FALSE)</f>
        <v>#N/A</v>
      </c>
    </row>
    <row r="413" spans="1:22" x14ac:dyDescent="0.25">
      <c r="A413">
        <v>17446158</v>
      </c>
      <c r="B413" t="s" cm="1">
        <v>430</v>
      </c>
      <c r="C413">
        <v>24</v>
      </c>
      <c r="G413" t="e" cm="1">
        <v>#N/A</v>
      </c>
      <c r="H413" t="s">
        <v>14</v>
      </c>
      <c r="I413" t="s">
        <v>14</v>
      </c>
      <c r="J413" t="s">
        <v>30</v>
      </c>
      <c r="K413" t="s">
        <v>44</v>
      </c>
      <c r="L413" t="s">
        <v>507</v>
      </c>
      <c r="M413" t="s">
        <v>78</v>
      </c>
      <c r="N413" t="s">
        <v>83</v>
      </c>
      <c r="P413" t="str" cm="1">
        <f t="array" aca="1" ref="P413" ca="1">VLOOKUP(INDIRECT("A"&amp;ROW()), 'Recent Changes'!A:G, 2, FALSE)</f>
        <v>NULL</v>
      </c>
      <c r="Q413" t="str" cm="1">
        <f t="array" aca="1" ref="Q413" ca="1">VLOOKUP(INDIRECT("A"&amp;ROW()), 'Recent Changes'!A:G, 3, FALSE)</f>
        <v>NULL</v>
      </c>
      <c r="R413" t="str" cm="1">
        <f t="array" aca="1" ref="R413" ca="1">VLOOKUP(INDIRECT("A"&amp;ROW()), 'Recent Changes'!A:G, 4, FALSE)</f>
        <v>NULL</v>
      </c>
      <c r="S413" t="str" cm="1">
        <f t="array" aca="1" ref="S413" ca="1">VLOOKUP(INDIRECT("A"&amp;ROW()), 'Recent Changes'!A:G, 5, FALSE)</f>
        <v>2023-12-15T18:58:41Z</v>
      </c>
      <c r="T413" t="str" cm="1">
        <f t="array" aca="1" ref="T413" ca="1">VLOOKUP(INDIRECT("A"&amp;ROW()), 'Recent Changes'!A:G, 6, FALSE)</f>
        <v>NULL</v>
      </c>
      <c r="U413" t="str" cm="1">
        <f t="array" aca="1" ref="U413" ca="1">VLOOKUP(INDIRECT("A"&amp;ROW()), 'Recent Changes'!A:G, 7, FALSE)</f>
        <v>2023-12-15T19:03:28Z</v>
      </c>
      <c r="V413" t="str" cm="1">
        <f t="array" aca="1" ref="V413" ca="1">VLOOKUP(INDIRECT("A"&amp;ROW()), 'Recent Changes'!A:H, 8, FALSE)</f>
        <v>2023-12-15T21:15:37Z</v>
      </c>
    </row>
    <row r="414" spans="1:22" x14ac:dyDescent="0.25">
      <c r="A414">
        <v>17593327</v>
      </c>
      <c r="B414" t="s">
        <v>430</v>
      </c>
      <c r="C414">
        <v>23</v>
      </c>
      <c r="G414" t="e" cm="1">
        <v>#N/A</v>
      </c>
      <c r="H414" t="s">
        <v>14</v>
      </c>
      <c r="I414" t="s">
        <v>14</v>
      </c>
      <c r="J414" t="s">
        <v>37</v>
      </c>
      <c r="K414" t="s">
        <v>44</v>
      </c>
      <c r="L414" t="s">
        <v>2162</v>
      </c>
      <c r="M414" t="s">
        <v>76</v>
      </c>
      <c r="N414" t="s">
        <v>1974</v>
      </c>
      <c r="P414" t="e" cm="1">
        <f t="array" aca="1" ref="P414" ca="1">VLOOKUP(INDIRECT("A"&amp;ROW()), 'Recent Changes'!A:G, 2, FALSE)</f>
        <v>#N/A</v>
      </c>
      <c r="Q414" t="e" cm="1">
        <f t="array" aca="1" ref="Q414" ca="1">VLOOKUP(INDIRECT("A"&amp;ROW()), 'Recent Changes'!A:G, 3, FALSE)</f>
        <v>#N/A</v>
      </c>
      <c r="R414" t="e" cm="1">
        <f t="array" aca="1" ref="R414" ca="1">VLOOKUP(INDIRECT("A"&amp;ROW()), 'Recent Changes'!A:G, 4, FALSE)</f>
        <v>#N/A</v>
      </c>
      <c r="S414" t="e" cm="1">
        <f t="array" aca="1" ref="S414" ca="1">VLOOKUP(INDIRECT("A"&amp;ROW()), 'Recent Changes'!A:G, 5, FALSE)</f>
        <v>#N/A</v>
      </c>
      <c r="T414" t="e" cm="1">
        <f t="array" aca="1" ref="T414" ca="1">VLOOKUP(INDIRECT("A"&amp;ROW()), 'Recent Changes'!A:G, 6, FALSE)</f>
        <v>#N/A</v>
      </c>
      <c r="U414" t="e" cm="1">
        <f t="array" aca="1" ref="U414" ca="1">VLOOKUP(INDIRECT("A"&amp;ROW()), 'Recent Changes'!A:G, 7, FALSE)</f>
        <v>#N/A</v>
      </c>
      <c r="V414" t="e" cm="1">
        <f t="array" aca="1" ref="V414" ca="1">VLOOKUP(INDIRECT("A"&amp;ROW()), 'Recent Changes'!A:H, 8, FALSE)</f>
        <v>#N/A</v>
      </c>
    </row>
    <row r="415" spans="1:22" x14ac:dyDescent="0.25">
      <c r="A415">
        <v>17593423</v>
      </c>
      <c r="B415" t="s">
        <v>433</v>
      </c>
      <c r="C415">
        <v>23</v>
      </c>
      <c r="G415" t="e" cm="1">
        <v>#N/A</v>
      </c>
      <c r="H415" t="s">
        <v>14</v>
      </c>
      <c r="I415" t="s">
        <v>14</v>
      </c>
      <c r="J415" t="s">
        <v>38</v>
      </c>
      <c r="K415" t="s">
        <v>44</v>
      </c>
      <c r="L415" t="s">
        <v>2163</v>
      </c>
      <c r="M415" t="s">
        <v>76</v>
      </c>
      <c r="N415" t="s">
        <v>1974</v>
      </c>
      <c r="P415" t="e" cm="1">
        <f t="array" aca="1" ref="P415" ca="1">VLOOKUP(INDIRECT("A"&amp;ROW()), 'Recent Changes'!A:G, 2, FALSE)</f>
        <v>#N/A</v>
      </c>
      <c r="Q415" t="e" cm="1">
        <f t="array" aca="1" ref="Q415" ca="1">VLOOKUP(INDIRECT("A"&amp;ROW()), 'Recent Changes'!A:G, 3, FALSE)</f>
        <v>#N/A</v>
      </c>
      <c r="R415" t="e" cm="1">
        <f t="array" aca="1" ref="R415" ca="1">VLOOKUP(INDIRECT("A"&amp;ROW()), 'Recent Changes'!A:G, 4, FALSE)</f>
        <v>#N/A</v>
      </c>
      <c r="S415" t="e" cm="1">
        <f t="array" aca="1" ref="S415" ca="1">VLOOKUP(INDIRECT("A"&amp;ROW()), 'Recent Changes'!A:G, 5, FALSE)</f>
        <v>#N/A</v>
      </c>
      <c r="T415" t="e" cm="1">
        <f t="array" aca="1" ref="T415" ca="1">VLOOKUP(INDIRECT("A"&amp;ROW()), 'Recent Changes'!A:G, 6, FALSE)</f>
        <v>#N/A</v>
      </c>
      <c r="U415" t="e" cm="1">
        <f t="array" aca="1" ref="U415" ca="1">VLOOKUP(INDIRECT("A"&amp;ROW()), 'Recent Changes'!A:G, 7, FALSE)</f>
        <v>#N/A</v>
      </c>
      <c r="V415" t="e" cm="1">
        <f t="array" aca="1" ref="V415" ca="1">VLOOKUP(INDIRECT("A"&amp;ROW()), 'Recent Changes'!A:H, 8, FALSE)</f>
        <v>#N/A</v>
      </c>
    </row>
    <row r="416" spans="1:22" x14ac:dyDescent="0.25">
      <c r="A416">
        <v>12994151</v>
      </c>
      <c r="B416" t="s" cm="1">
        <v>430</v>
      </c>
      <c r="C416">
        <v>21</v>
      </c>
      <c r="G416" t="e" cm="1">
        <v>#N/A</v>
      </c>
      <c r="H416" t="s">
        <v>14</v>
      </c>
      <c r="I416" t="s">
        <v>14</v>
      </c>
      <c r="J416" t="s">
        <v>30</v>
      </c>
      <c r="K416" t="s">
        <v>43</v>
      </c>
      <c r="L416" t="s">
        <v>1701</v>
      </c>
      <c r="M416" t="s">
        <v>91</v>
      </c>
      <c r="N416" t="s">
        <v>83</v>
      </c>
      <c r="P416" t="str" cm="1">
        <f t="array" aca="1" ref="P416" ca="1">VLOOKUP(INDIRECT("A"&amp;ROW()), 'Recent Changes'!A:G, 2, FALSE)</f>
        <v>NULL</v>
      </c>
      <c r="Q416" t="str" cm="1">
        <f t="array" aca="1" ref="Q416" ca="1">VLOOKUP(INDIRECT("A"&amp;ROW()), 'Recent Changes'!A:G, 3, FALSE)</f>
        <v>NULL</v>
      </c>
      <c r="R416" t="str" cm="1">
        <f t="array" aca="1" ref="R416" ca="1">VLOOKUP(INDIRECT("A"&amp;ROW()), 'Recent Changes'!A:G, 4, FALSE)</f>
        <v>NULL</v>
      </c>
      <c r="S416" t="str" cm="1">
        <f t="array" aca="1" ref="S416" ca="1">VLOOKUP(INDIRECT("A"&amp;ROW()), 'Recent Changes'!A:G, 5, FALSE)</f>
        <v>2023-12-18T20:01:57Z</v>
      </c>
      <c r="T416" t="str" cm="1">
        <f t="array" aca="1" ref="T416" ca="1">VLOOKUP(INDIRECT("A"&amp;ROW()), 'Recent Changes'!A:G, 6, FALSE)</f>
        <v>NULL</v>
      </c>
      <c r="U416" t="str" cm="1">
        <f t="array" aca="1" ref="U416" ca="1">VLOOKUP(INDIRECT("A"&amp;ROW()), 'Recent Changes'!A:G, 7, FALSE)</f>
        <v>NULL</v>
      </c>
      <c r="V416" t="str" cm="1">
        <f t="array" aca="1" ref="V416" ca="1">VLOOKUP(INDIRECT("A"&amp;ROW()), 'Recent Changes'!A:H, 8, FALSE)</f>
        <v>2023-12-18T21:32:25Z</v>
      </c>
    </row>
    <row r="417" spans="1:22" x14ac:dyDescent="0.25">
      <c r="A417">
        <v>14308611</v>
      </c>
      <c r="B417" t="s" cm="1">
        <v>430</v>
      </c>
      <c r="C417">
        <v>21</v>
      </c>
      <c r="G417" t="e" cm="1">
        <v>#N/A</v>
      </c>
      <c r="H417" t="s">
        <v>14</v>
      </c>
      <c r="I417" t="s">
        <v>14</v>
      </c>
      <c r="J417" t="s">
        <v>30</v>
      </c>
      <c r="K417" t="s">
        <v>51</v>
      </c>
      <c r="L417" t="s">
        <v>2164</v>
      </c>
      <c r="M417" t="s">
        <v>78</v>
      </c>
      <c r="N417" t="s">
        <v>83</v>
      </c>
      <c r="P417" t="str" cm="1">
        <f t="array" aca="1" ref="P417" ca="1">VLOOKUP(INDIRECT("A"&amp;ROW()), 'Recent Changes'!A:G, 2, FALSE)</f>
        <v>NULL</v>
      </c>
      <c r="Q417" t="str" cm="1">
        <f t="array" aca="1" ref="Q417" ca="1">VLOOKUP(INDIRECT("A"&amp;ROW()), 'Recent Changes'!A:G, 3, FALSE)</f>
        <v>NULL</v>
      </c>
      <c r="R417" t="str" cm="1">
        <f t="array" aca="1" ref="R417" ca="1">VLOOKUP(INDIRECT("A"&amp;ROW()), 'Recent Changes'!A:G, 4, FALSE)</f>
        <v>NULL</v>
      </c>
      <c r="S417" t="str" cm="1">
        <f t="array" aca="1" ref="S417" ca="1">VLOOKUP(INDIRECT("A"&amp;ROW()), 'Recent Changes'!A:G, 5, FALSE)</f>
        <v>2023-12-18T15:15:18Z</v>
      </c>
      <c r="T417" t="str" cm="1">
        <f t="array" aca="1" ref="T417" ca="1">VLOOKUP(INDIRECT("A"&amp;ROW()), 'Recent Changes'!A:G, 6, FALSE)</f>
        <v>NULL</v>
      </c>
      <c r="U417" t="str" cm="1">
        <f t="array" aca="1" ref="U417" ca="1">VLOOKUP(INDIRECT("A"&amp;ROW()), 'Recent Changes'!A:G, 7, FALSE)</f>
        <v>NULL</v>
      </c>
      <c r="V417" t="str" cm="1">
        <f t="array" aca="1" ref="V417" ca="1">VLOOKUP(INDIRECT("A"&amp;ROW()), 'Recent Changes'!A:H, 8, FALSE)</f>
        <v>2023-12-18T16:32:23Z</v>
      </c>
    </row>
    <row r="418" spans="1:22" x14ac:dyDescent="0.25">
      <c r="A418">
        <v>15942255</v>
      </c>
      <c r="B418" t="s" cm="1">
        <v>430</v>
      </c>
      <c r="C418">
        <v>21</v>
      </c>
      <c r="G418" t="e" cm="1">
        <v>#N/A</v>
      </c>
      <c r="H418" t="s">
        <v>14</v>
      </c>
      <c r="I418" t="s">
        <v>14</v>
      </c>
      <c r="J418" t="s">
        <v>18</v>
      </c>
      <c r="K418" t="s">
        <v>48</v>
      </c>
      <c r="L418" t="s">
        <v>86</v>
      </c>
      <c r="M418" t="s">
        <v>76</v>
      </c>
      <c r="N418" t="s">
        <v>83</v>
      </c>
      <c r="P418" t="str" cm="1">
        <f t="array" aca="1" ref="P418" ca="1">VLOOKUP(INDIRECT("A"&amp;ROW()), 'Recent Changes'!A:G, 2, FALSE)</f>
        <v>NULL</v>
      </c>
      <c r="Q418" t="str" cm="1">
        <f t="array" aca="1" ref="Q418" ca="1">VLOOKUP(INDIRECT("A"&amp;ROW()), 'Recent Changes'!A:G, 3, FALSE)</f>
        <v>NULL</v>
      </c>
      <c r="R418" t="str" cm="1">
        <f t="array" aca="1" ref="R418" ca="1">VLOOKUP(INDIRECT("A"&amp;ROW()), 'Recent Changes'!A:G, 4, FALSE)</f>
        <v>NULL</v>
      </c>
      <c r="S418" t="str" cm="1">
        <f t="array" aca="1" ref="S418" ca="1">VLOOKUP(INDIRECT("A"&amp;ROW()), 'Recent Changes'!A:G, 5, FALSE)</f>
        <v>2023-12-18T00:06:31Z</v>
      </c>
      <c r="T418" t="str" cm="1">
        <f t="array" aca="1" ref="T418" ca="1">VLOOKUP(INDIRECT("A"&amp;ROW()), 'Recent Changes'!A:G, 6, FALSE)</f>
        <v>NULL</v>
      </c>
      <c r="U418" t="str" cm="1">
        <f t="array" aca="1" ref="U418" ca="1">VLOOKUP(INDIRECT("A"&amp;ROW()), 'Recent Changes'!A:G, 7, FALSE)</f>
        <v>NULL</v>
      </c>
      <c r="V418" t="str" cm="1">
        <f t="array" aca="1" ref="V418" ca="1">VLOOKUP(INDIRECT("A"&amp;ROW()), 'Recent Changes'!A:H, 8, FALSE)</f>
        <v>2023-12-18T07:30:14Z</v>
      </c>
    </row>
    <row r="419" spans="1:22" x14ac:dyDescent="0.25">
      <c r="A419">
        <v>16026426</v>
      </c>
      <c r="B419" t="s">
        <v>433</v>
      </c>
      <c r="C419">
        <v>21</v>
      </c>
      <c r="G419" t="e" cm="1">
        <v>#N/A</v>
      </c>
      <c r="H419">
        <v>45293</v>
      </c>
      <c r="I419" t="s">
        <v>15</v>
      </c>
      <c r="J419" t="s">
        <v>18</v>
      </c>
      <c r="K419" t="s">
        <v>44</v>
      </c>
      <c r="L419" t="s">
        <v>55</v>
      </c>
      <c r="M419" t="s">
        <v>76</v>
      </c>
      <c r="N419" t="s">
        <v>427</v>
      </c>
      <c r="O419" t="s">
        <v>431</v>
      </c>
      <c r="P419" t="e" cm="1">
        <f t="array" aca="1" ref="P419" ca="1">VLOOKUP(INDIRECT("A"&amp;ROW()), 'Recent Changes'!A:G, 2, FALSE)</f>
        <v>#N/A</v>
      </c>
      <c r="Q419" t="e" cm="1">
        <f t="array" aca="1" ref="Q419" ca="1">VLOOKUP(INDIRECT("A"&amp;ROW()), 'Recent Changes'!A:G, 3, FALSE)</f>
        <v>#N/A</v>
      </c>
      <c r="R419" t="e" cm="1">
        <f t="array" aca="1" ref="R419" ca="1">VLOOKUP(INDIRECT("A"&amp;ROW()), 'Recent Changes'!A:G, 4, FALSE)</f>
        <v>#N/A</v>
      </c>
      <c r="S419" t="e" cm="1">
        <f t="array" aca="1" ref="S419" ca="1">VLOOKUP(INDIRECT("A"&amp;ROW()), 'Recent Changes'!A:G, 5, FALSE)</f>
        <v>#N/A</v>
      </c>
      <c r="T419" t="e" cm="1">
        <f t="array" aca="1" ref="T419" ca="1">VLOOKUP(INDIRECT("A"&amp;ROW()), 'Recent Changes'!A:G, 6, FALSE)</f>
        <v>#N/A</v>
      </c>
      <c r="U419" t="e" cm="1">
        <f t="array" aca="1" ref="U419" ca="1">VLOOKUP(INDIRECT("A"&amp;ROW()), 'Recent Changes'!A:G, 7, FALSE)</f>
        <v>#N/A</v>
      </c>
      <c r="V419" t="e" cm="1">
        <f t="array" aca="1" ref="V419" ca="1">VLOOKUP(INDIRECT("A"&amp;ROW()), 'Recent Changes'!A:H, 8, FALSE)</f>
        <v>#N/A</v>
      </c>
    </row>
    <row r="420" spans="1:22" x14ac:dyDescent="0.25">
      <c r="A420">
        <v>16065876</v>
      </c>
      <c r="B420" t="s">
        <v>433</v>
      </c>
      <c r="C420">
        <v>21</v>
      </c>
      <c r="G420" t="e" cm="1">
        <v>#N/A</v>
      </c>
      <c r="H420">
        <v>45296</v>
      </c>
      <c r="I420" t="s">
        <v>15</v>
      </c>
      <c r="J420" t="s">
        <v>22</v>
      </c>
      <c r="K420" t="s">
        <v>44</v>
      </c>
      <c r="L420" t="s">
        <v>2165</v>
      </c>
      <c r="M420" t="s">
        <v>76</v>
      </c>
      <c r="N420" t="s">
        <v>2267</v>
      </c>
      <c r="O420" t="s">
        <v>431</v>
      </c>
      <c r="P420" t="e" cm="1">
        <f t="array" aca="1" ref="P420" ca="1">VLOOKUP(INDIRECT("A"&amp;ROW()), 'Recent Changes'!A:G, 2, FALSE)</f>
        <v>#N/A</v>
      </c>
      <c r="Q420" t="e" cm="1">
        <f t="array" aca="1" ref="Q420" ca="1">VLOOKUP(INDIRECT("A"&amp;ROW()), 'Recent Changes'!A:G, 3, FALSE)</f>
        <v>#N/A</v>
      </c>
      <c r="R420" t="e" cm="1">
        <f t="array" aca="1" ref="R420" ca="1">VLOOKUP(INDIRECT("A"&amp;ROW()), 'Recent Changes'!A:G, 4, FALSE)</f>
        <v>#N/A</v>
      </c>
      <c r="S420" t="e" cm="1">
        <f t="array" aca="1" ref="S420" ca="1">VLOOKUP(INDIRECT("A"&amp;ROW()), 'Recent Changes'!A:G, 5, FALSE)</f>
        <v>#N/A</v>
      </c>
      <c r="T420" t="e" cm="1">
        <f t="array" aca="1" ref="T420" ca="1">VLOOKUP(INDIRECT("A"&amp;ROW()), 'Recent Changes'!A:G, 6, FALSE)</f>
        <v>#N/A</v>
      </c>
      <c r="U420" t="e" cm="1">
        <f t="array" aca="1" ref="U420" ca="1">VLOOKUP(INDIRECT("A"&amp;ROW()), 'Recent Changes'!A:G, 7, FALSE)</f>
        <v>#N/A</v>
      </c>
      <c r="V420" t="e" cm="1">
        <f t="array" aca="1" ref="V420" ca="1">VLOOKUP(INDIRECT("A"&amp;ROW()), 'Recent Changes'!A:H, 8, FALSE)</f>
        <v>#N/A</v>
      </c>
    </row>
    <row r="421" spans="1:22" x14ac:dyDescent="0.25">
      <c r="A421">
        <v>16212846</v>
      </c>
      <c r="B421" t="s">
        <v>433</v>
      </c>
      <c r="C421">
        <v>21</v>
      </c>
      <c r="G421" t="e" cm="1">
        <v>#N/A</v>
      </c>
      <c r="H421">
        <v>45168</v>
      </c>
      <c r="I421" t="s">
        <v>15</v>
      </c>
      <c r="J421" t="s">
        <v>18</v>
      </c>
      <c r="K421" t="s">
        <v>44</v>
      </c>
      <c r="L421" t="s">
        <v>449</v>
      </c>
      <c r="M421" t="s">
        <v>76</v>
      </c>
      <c r="N421" t="s">
        <v>83</v>
      </c>
      <c r="O421" t="s">
        <v>431</v>
      </c>
      <c r="P421" t="str" cm="1">
        <f t="array" aca="1" ref="P421" ca="1">VLOOKUP(INDIRECT("A"&amp;ROW()), 'Recent Changes'!A:G, 2, FALSE)</f>
        <v>NULL</v>
      </c>
      <c r="Q421" t="str" cm="1">
        <f t="array" aca="1" ref="Q421" ca="1">VLOOKUP(INDIRECT("A"&amp;ROW()), 'Recent Changes'!A:G, 3, FALSE)</f>
        <v>NULL</v>
      </c>
      <c r="R421" t="str" cm="1">
        <f t="array" aca="1" ref="R421" ca="1">VLOOKUP(INDIRECT("A"&amp;ROW()), 'Recent Changes'!A:G, 4, FALSE)</f>
        <v>NULL</v>
      </c>
      <c r="S421" t="str" cm="1">
        <f t="array" aca="1" ref="S421" ca="1">VLOOKUP(INDIRECT("A"&amp;ROW()), 'Recent Changes'!A:G, 5, FALSE)</f>
        <v>NULL</v>
      </c>
      <c r="T421" t="str" cm="1">
        <f t="array" aca="1" ref="T421" ca="1">VLOOKUP(INDIRECT("A"&amp;ROW()), 'Recent Changes'!A:G, 6, FALSE)</f>
        <v>NULL</v>
      </c>
      <c r="U421" t="str" cm="1">
        <f t="array" aca="1" ref="U421" ca="1">VLOOKUP(INDIRECT("A"&amp;ROW()), 'Recent Changes'!A:G, 7, FALSE)</f>
        <v>2024-01-03T12:43:05Z</v>
      </c>
      <c r="V421" t="str" cm="1">
        <f t="array" aca="1" ref="V421" ca="1">VLOOKUP(INDIRECT("A"&amp;ROW()), 'Recent Changes'!A:H, 8, FALSE)</f>
        <v>2023-12-20T07:27:21Z</v>
      </c>
    </row>
    <row r="422" spans="1:22" x14ac:dyDescent="0.25">
      <c r="A422">
        <v>16270768</v>
      </c>
      <c r="B422" t="s" cm="1">
        <v>430</v>
      </c>
      <c r="C422">
        <v>21</v>
      </c>
      <c r="G422" t="e" cm="1">
        <v>#N/A</v>
      </c>
      <c r="H422" t="s">
        <v>14</v>
      </c>
      <c r="I422" t="s">
        <v>14</v>
      </c>
      <c r="J422" t="s">
        <v>30</v>
      </c>
      <c r="K422" t="s">
        <v>53</v>
      </c>
      <c r="L422" t="s">
        <v>395</v>
      </c>
      <c r="M422" t="s">
        <v>76</v>
      </c>
      <c r="N422" t="s">
        <v>83</v>
      </c>
      <c r="P422" t="str" cm="1">
        <f t="array" aca="1" ref="P422" ca="1">VLOOKUP(INDIRECT("A"&amp;ROW()), 'Recent Changes'!A:G, 2, FALSE)</f>
        <v>2023-12-18T13:21:01Z</v>
      </c>
      <c r="Q422" t="str" cm="1">
        <f t="array" aca="1" ref="Q422" ca="1">VLOOKUP(INDIRECT("A"&amp;ROW()), 'Recent Changes'!A:G, 3, FALSE)</f>
        <v>NULL</v>
      </c>
      <c r="R422" t="str" cm="1">
        <f t="array" aca="1" ref="R422" ca="1">VLOOKUP(INDIRECT("A"&amp;ROW()), 'Recent Changes'!A:G, 4, FALSE)</f>
        <v>NULL</v>
      </c>
      <c r="S422" t="str" cm="1">
        <f t="array" aca="1" ref="S422" ca="1">VLOOKUP(INDIRECT("A"&amp;ROW()), 'Recent Changes'!A:G, 5, FALSE)</f>
        <v>NULL</v>
      </c>
      <c r="T422" t="str" cm="1">
        <f t="array" aca="1" ref="T422" ca="1">VLOOKUP(INDIRECT("A"&amp;ROW()), 'Recent Changes'!A:G, 6, FALSE)</f>
        <v>NULL</v>
      </c>
      <c r="U422" t="str" cm="1">
        <f t="array" aca="1" ref="U422" ca="1">VLOOKUP(INDIRECT("A"&amp;ROW()), 'Recent Changes'!A:G, 7, FALSE)</f>
        <v>NULL</v>
      </c>
      <c r="V422" t="str" cm="1">
        <f t="array" aca="1" ref="V422" ca="1">VLOOKUP(INDIRECT("A"&amp;ROW()), 'Recent Changes'!A:H, 8, FALSE)</f>
        <v>2023-12-18T16:18:45Z</v>
      </c>
    </row>
    <row r="423" spans="1:22" x14ac:dyDescent="0.25">
      <c r="A423">
        <v>17071686</v>
      </c>
      <c r="B423" t="s">
        <v>433</v>
      </c>
      <c r="C423">
        <v>21</v>
      </c>
      <c r="G423" t="e" cm="1">
        <v>#N/A</v>
      </c>
      <c r="H423">
        <v>45294</v>
      </c>
      <c r="I423" t="s">
        <v>15</v>
      </c>
      <c r="J423" t="s">
        <v>30</v>
      </c>
      <c r="K423" t="s">
        <v>44</v>
      </c>
      <c r="L423" t="s">
        <v>58</v>
      </c>
      <c r="M423" t="s">
        <v>76</v>
      </c>
      <c r="N423" t="s">
        <v>461</v>
      </c>
      <c r="O423" t="s">
        <v>431</v>
      </c>
      <c r="P423" t="e" cm="1">
        <f t="array" aca="1" ref="P423" ca="1">VLOOKUP(INDIRECT("A"&amp;ROW()), 'Recent Changes'!A:G, 2, FALSE)</f>
        <v>#N/A</v>
      </c>
      <c r="Q423" t="e" cm="1">
        <f t="array" aca="1" ref="Q423" ca="1">VLOOKUP(INDIRECT("A"&amp;ROW()), 'Recent Changes'!A:G, 3, FALSE)</f>
        <v>#N/A</v>
      </c>
      <c r="R423" t="e" cm="1">
        <f t="array" aca="1" ref="R423" ca="1">VLOOKUP(INDIRECT("A"&amp;ROW()), 'Recent Changes'!A:G, 4, FALSE)</f>
        <v>#N/A</v>
      </c>
      <c r="S423" t="e" cm="1">
        <f t="array" aca="1" ref="S423" ca="1">VLOOKUP(INDIRECT("A"&amp;ROW()), 'Recent Changes'!A:G, 5, FALSE)</f>
        <v>#N/A</v>
      </c>
      <c r="T423" t="e" cm="1">
        <f t="array" aca="1" ref="T423" ca="1">VLOOKUP(INDIRECT("A"&amp;ROW()), 'Recent Changes'!A:G, 6, FALSE)</f>
        <v>#N/A</v>
      </c>
      <c r="U423" t="e" cm="1">
        <f t="array" aca="1" ref="U423" ca="1">VLOOKUP(INDIRECT("A"&amp;ROW()), 'Recent Changes'!A:G, 7, FALSE)</f>
        <v>#N/A</v>
      </c>
      <c r="V423" t="e" cm="1">
        <f t="array" aca="1" ref="V423" ca="1">VLOOKUP(INDIRECT("A"&amp;ROW()), 'Recent Changes'!A:H, 8, FALSE)</f>
        <v>#N/A</v>
      </c>
    </row>
    <row r="424" spans="1:22" x14ac:dyDescent="0.25">
      <c r="A424">
        <v>17161793</v>
      </c>
      <c r="B424" t="s">
        <v>433</v>
      </c>
      <c r="C424">
        <v>21</v>
      </c>
      <c r="G424" t="e" cm="1">
        <v>#N/A</v>
      </c>
      <c r="H424">
        <v>45278</v>
      </c>
      <c r="I424" t="s">
        <v>15</v>
      </c>
      <c r="J424" t="s">
        <v>32</v>
      </c>
      <c r="K424" t="s">
        <v>44</v>
      </c>
      <c r="L424" t="s">
        <v>56</v>
      </c>
      <c r="M424" t="s">
        <v>81</v>
      </c>
      <c r="N424" t="s">
        <v>1571</v>
      </c>
      <c r="O424" t="s">
        <v>431</v>
      </c>
      <c r="P424" t="e" cm="1">
        <f t="array" aca="1" ref="P424" ca="1">VLOOKUP(INDIRECT("A"&amp;ROW()), 'Recent Changes'!A:G, 2, FALSE)</f>
        <v>#N/A</v>
      </c>
      <c r="Q424" t="e" cm="1">
        <f t="array" aca="1" ref="Q424" ca="1">VLOOKUP(INDIRECT("A"&amp;ROW()), 'Recent Changes'!A:G, 3, FALSE)</f>
        <v>#N/A</v>
      </c>
      <c r="R424" t="e" cm="1">
        <f t="array" aca="1" ref="R424" ca="1">VLOOKUP(INDIRECT("A"&amp;ROW()), 'Recent Changes'!A:G, 4, FALSE)</f>
        <v>#N/A</v>
      </c>
      <c r="S424" t="e" cm="1">
        <f t="array" aca="1" ref="S424" ca="1">VLOOKUP(INDIRECT("A"&amp;ROW()), 'Recent Changes'!A:G, 5, FALSE)</f>
        <v>#N/A</v>
      </c>
      <c r="T424" t="e" cm="1">
        <f t="array" aca="1" ref="T424" ca="1">VLOOKUP(INDIRECT("A"&amp;ROW()), 'Recent Changes'!A:G, 6, FALSE)</f>
        <v>#N/A</v>
      </c>
      <c r="U424" t="e" cm="1">
        <f t="array" aca="1" ref="U424" ca="1">VLOOKUP(INDIRECT("A"&amp;ROW()), 'Recent Changes'!A:G, 7, FALSE)</f>
        <v>#N/A</v>
      </c>
      <c r="V424" t="e" cm="1">
        <f t="array" aca="1" ref="V424" ca="1">VLOOKUP(INDIRECT("A"&amp;ROW()), 'Recent Changes'!A:H, 8, FALSE)</f>
        <v>#N/A</v>
      </c>
    </row>
    <row r="425" spans="1:22" x14ac:dyDescent="0.25">
      <c r="A425">
        <v>17169935</v>
      </c>
      <c r="B425" t="s" cm="1">
        <v>430</v>
      </c>
      <c r="C425">
        <v>21</v>
      </c>
      <c r="G425" t="e" cm="1">
        <v>#N/A</v>
      </c>
      <c r="H425" t="s">
        <v>14</v>
      </c>
      <c r="I425" t="s">
        <v>14</v>
      </c>
      <c r="J425" t="s">
        <v>30</v>
      </c>
      <c r="K425" t="s">
        <v>53</v>
      </c>
      <c r="L425" t="s">
        <v>395</v>
      </c>
      <c r="M425" t="s">
        <v>76</v>
      </c>
      <c r="N425" t="s">
        <v>83</v>
      </c>
      <c r="P425" t="str" cm="1">
        <f t="array" aca="1" ref="P425" ca="1">VLOOKUP(INDIRECT("A"&amp;ROW()), 'Recent Changes'!A:G, 2, FALSE)</f>
        <v>NULL</v>
      </c>
      <c r="Q425" t="str" cm="1">
        <f t="array" aca="1" ref="Q425" ca="1">VLOOKUP(INDIRECT("A"&amp;ROW()), 'Recent Changes'!A:G, 3, FALSE)</f>
        <v>NULL</v>
      </c>
      <c r="R425" t="str" cm="1">
        <f t="array" aca="1" ref="R425" ca="1">VLOOKUP(INDIRECT("A"&amp;ROW()), 'Recent Changes'!A:G, 4, FALSE)</f>
        <v>NULL</v>
      </c>
      <c r="S425" t="str" cm="1">
        <f t="array" aca="1" ref="S425" ca="1">VLOOKUP(INDIRECT("A"&amp;ROW()), 'Recent Changes'!A:G, 5, FALSE)</f>
        <v>2023-12-18T15:48:31Z</v>
      </c>
      <c r="T425" t="str" cm="1">
        <f t="array" aca="1" ref="T425" ca="1">VLOOKUP(INDIRECT("A"&amp;ROW()), 'Recent Changes'!A:G, 6, FALSE)</f>
        <v>NULL</v>
      </c>
      <c r="U425" t="str" cm="1">
        <f t="array" aca="1" ref="U425" ca="1">VLOOKUP(INDIRECT("A"&amp;ROW()), 'Recent Changes'!A:G, 7, FALSE)</f>
        <v>2023-12-18T15:56:29Z</v>
      </c>
      <c r="V425" t="str" cm="1">
        <f t="array" aca="1" ref="V425" ca="1">VLOOKUP(INDIRECT("A"&amp;ROW()), 'Recent Changes'!A:H, 8, FALSE)</f>
        <v>2023-12-18T16:28:33Z</v>
      </c>
    </row>
    <row r="426" spans="1:22" x14ac:dyDescent="0.25">
      <c r="A426">
        <v>17187806</v>
      </c>
      <c r="B426" t="s" cm="1">
        <v>430</v>
      </c>
      <c r="C426">
        <v>21</v>
      </c>
      <c r="G426" t="e" cm="1">
        <v>#N/A</v>
      </c>
      <c r="H426" t="s">
        <v>14</v>
      </c>
      <c r="I426" t="s">
        <v>14</v>
      </c>
      <c r="J426" t="s">
        <v>30</v>
      </c>
      <c r="K426" t="s">
        <v>44</v>
      </c>
      <c r="L426" t="s">
        <v>2166</v>
      </c>
      <c r="M426" t="s">
        <v>78</v>
      </c>
      <c r="N426" t="s">
        <v>83</v>
      </c>
      <c r="P426" t="str" cm="1">
        <f t="array" aca="1" ref="P426" ca="1">VLOOKUP(INDIRECT("A"&amp;ROW()), 'Recent Changes'!A:G, 2, FALSE)</f>
        <v>NULL</v>
      </c>
      <c r="Q426" t="str" cm="1">
        <f t="array" aca="1" ref="Q426" ca="1">VLOOKUP(INDIRECT("A"&amp;ROW()), 'Recent Changes'!A:G, 3, FALSE)</f>
        <v>NULL</v>
      </c>
      <c r="R426" t="str" cm="1">
        <f t="array" aca="1" ref="R426" ca="1">VLOOKUP(INDIRECT("A"&amp;ROW()), 'Recent Changes'!A:G, 4, FALSE)</f>
        <v>NULL</v>
      </c>
      <c r="S426" t="str" cm="1">
        <f t="array" aca="1" ref="S426" ca="1">VLOOKUP(INDIRECT("A"&amp;ROW()), 'Recent Changes'!A:G, 5, FALSE)</f>
        <v>2023-12-19T21:46:07Z</v>
      </c>
      <c r="T426" t="str" cm="1">
        <f t="array" aca="1" ref="T426" ca="1">VLOOKUP(INDIRECT("A"&amp;ROW()), 'Recent Changes'!A:G, 6, FALSE)</f>
        <v>NULL</v>
      </c>
      <c r="U426" t="str" cm="1">
        <f t="array" aca="1" ref="U426" ca="1">VLOOKUP(INDIRECT("A"&amp;ROW()), 'Recent Changes'!A:G, 7, FALSE)</f>
        <v>NULL</v>
      </c>
      <c r="V426" t="str" cm="1">
        <f t="array" aca="1" ref="V426" ca="1">VLOOKUP(INDIRECT("A"&amp;ROW()), 'Recent Changes'!A:H, 8, FALSE)</f>
        <v>2023-12-18T21:38:07Z</v>
      </c>
    </row>
    <row r="427" spans="1:22" x14ac:dyDescent="0.25">
      <c r="A427">
        <v>17516334</v>
      </c>
      <c r="B427" t="s" cm="1">
        <v>430</v>
      </c>
      <c r="C427">
        <v>21</v>
      </c>
      <c r="G427" t="e" cm="1">
        <v>#N/A</v>
      </c>
      <c r="H427" t="s">
        <v>14</v>
      </c>
      <c r="I427" t="s">
        <v>14</v>
      </c>
      <c r="J427" t="s">
        <v>30</v>
      </c>
      <c r="K427" t="s">
        <v>44</v>
      </c>
      <c r="L427" t="s">
        <v>2167</v>
      </c>
      <c r="M427" t="s">
        <v>76</v>
      </c>
      <c r="N427" t="s">
        <v>83</v>
      </c>
      <c r="P427" t="str" cm="1">
        <f t="array" aca="1" ref="P427" ca="1">VLOOKUP(INDIRECT("A"&amp;ROW()), 'Recent Changes'!A:G, 2, FALSE)</f>
        <v>NULL</v>
      </c>
      <c r="Q427" t="str" cm="1">
        <f t="array" aca="1" ref="Q427" ca="1">VLOOKUP(INDIRECT("A"&amp;ROW()), 'Recent Changes'!A:G, 3, FALSE)</f>
        <v>NULL</v>
      </c>
      <c r="R427" t="str" cm="1">
        <f t="array" aca="1" ref="R427" ca="1">VLOOKUP(INDIRECT("A"&amp;ROW()), 'Recent Changes'!A:G, 4, FALSE)</f>
        <v>NULL</v>
      </c>
      <c r="S427" t="str" cm="1">
        <f t="array" aca="1" ref="S427" ca="1">VLOOKUP(INDIRECT("A"&amp;ROW()), 'Recent Changes'!A:G, 5, FALSE)</f>
        <v>2023-12-19T13:39:10Z</v>
      </c>
      <c r="T427" t="str" cm="1">
        <f t="array" aca="1" ref="T427" ca="1">VLOOKUP(INDIRECT("A"&amp;ROW()), 'Recent Changes'!A:G, 6, FALSE)</f>
        <v>NULL</v>
      </c>
      <c r="U427" t="str" cm="1">
        <f t="array" aca="1" ref="U427" ca="1">VLOOKUP(INDIRECT("A"&amp;ROW()), 'Recent Changes'!A:G, 7, FALSE)</f>
        <v>2023-12-18T17:35:41Z</v>
      </c>
      <c r="V427" t="str" cm="1">
        <f t="array" aca="1" ref="V427" ca="1">VLOOKUP(INDIRECT("A"&amp;ROW()), 'Recent Changes'!A:H, 8, FALSE)</f>
        <v>2023-12-18T21:16:17Z</v>
      </c>
    </row>
    <row r="428" spans="1:22" x14ac:dyDescent="0.25">
      <c r="A428">
        <v>10482132</v>
      </c>
      <c r="B428" t="s">
        <v>433</v>
      </c>
      <c r="C428">
        <v>20</v>
      </c>
      <c r="G428" t="e" cm="1">
        <v>#N/A</v>
      </c>
      <c r="H428">
        <v>45279</v>
      </c>
      <c r="I428" t="s">
        <v>15</v>
      </c>
      <c r="J428" t="s">
        <v>18</v>
      </c>
      <c r="K428" t="s">
        <v>44</v>
      </c>
      <c r="L428" t="s">
        <v>2168</v>
      </c>
      <c r="M428" t="s">
        <v>79</v>
      </c>
      <c r="N428" t="s">
        <v>412</v>
      </c>
      <c r="O428" t="s">
        <v>431</v>
      </c>
      <c r="P428" t="e" cm="1">
        <f t="array" aca="1" ref="P428" ca="1">VLOOKUP(INDIRECT("A"&amp;ROW()), 'Recent Changes'!A:G, 2, FALSE)</f>
        <v>#N/A</v>
      </c>
      <c r="Q428" t="e" cm="1">
        <f t="array" aca="1" ref="Q428" ca="1">VLOOKUP(INDIRECT("A"&amp;ROW()), 'Recent Changes'!A:G, 3, FALSE)</f>
        <v>#N/A</v>
      </c>
      <c r="R428" t="e" cm="1">
        <f t="array" aca="1" ref="R428" ca="1">VLOOKUP(INDIRECT("A"&amp;ROW()), 'Recent Changes'!A:G, 4, FALSE)</f>
        <v>#N/A</v>
      </c>
      <c r="S428" t="e" cm="1">
        <f t="array" aca="1" ref="S428" ca="1">VLOOKUP(INDIRECT("A"&amp;ROW()), 'Recent Changes'!A:G, 5, FALSE)</f>
        <v>#N/A</v>
      </c>
      <c r="T428" t="e" cm="1">
        <f t="array" aca="1" ref="T428" ca="1">VLOOKUP(INDIRECT("A"&amp;ROW()), 'Recent Changes'!A:G, 6, FALSE)</f>
        <v>#N/A</v>
      </c>
      <c r="U428" t="e" cm="1">
        <f t="array" aca="1" ref="U428" ca="1">VLOOKUP(INDIRECT("A"&amp;ROW()), 'Recent Changes'!A:G, 7, FALSE)</f>
        <v>#N/A</v>
      </c>
      <c r="V428" t="e" cm="1">
        <f t="array" aca="1" ref="V428" ca="1">VLOOKUP(INDIRECT("A"&amp;ROW()), 'Recent Changes'!A:H, 8, FALSE)</f>
        <v>#N/A</v>
      </c>
    </row>
    <row r="429" spans="1:22" x14ac:dyDescent="0.25">
      <c r="A429">
        <v>17191278</v>
      </c>
      <c r="B429" t="s">
        <v>433</v>
      </c>
      <c r="C429">
        <v>20</v>
      </c>
      <c r="G429" t="e" cm="1">
        <v>#N/A</v>
      </c>
      <c r="H429">
        <v>45294</v>
      </c>
      <c r="I429" t="s">
        <v>15</v>
      </c>
      <c r="J429" t="s">
        <v>30</v>
      </c>
      <c r="K429" t="s">
        <v>44</v>
      </c>
      <c r="L429" t="s">
        <v>58</v>
      </c>
      <c r="M429" t="s">
        <v>76</v>
      </c>
      <c r="N429" t="s">
        <v>461</v>
      </c>
      <c r="O429" t="s">
        <v>431</v>
      </c>
      <c r="P429" t="e" cm="1">
        <f t="array" aca="1" ref="P429" ca="1">VLOOKUP(INDIRECT("A"&amp;ROW()), 'Recent Changes'!A:G, 2, FALSE)</f>
        <v>#N/A</v>
      </c>
      <c r="Q429" t="e" cm="1">
        <f t="array" aca="1" ref="Q429" ca="1">VLOOKUP(INDIRECT("A"&amp;ROW()), 'Recent Changes'!A:G, 3, FALSE)</f>
        <v>#N/A</v>
      </c>
      <c r="R429" t="e" cm="1">
        <f t="array" aca="1" ref="R429" ca="1">VLOOKUP(INDIRECT("A"&amp;ROW()), 'Recent Changes'!A:G, 4, FALSE)</f>
        <v>#N/A</v>
      </c>
      <c r="S429" t="e" cm="1">
        <f t="array" aca="1" ref="S429" ca="1">VLOOKUP(INDIRECT("A"&amp;ROW()), 'Recent Changes'!A:G, 5, FALSE)</f>
        <v>#N/A</v>
      </c>
      <c r="T429" t="e" cm="1">
        <f t="array" aca="1" ref="T429" ca="1">VLOOKUP(INDIRECT("A"&amp;ROW()), 'Recent Changes'!A:G, 6, FALSE)</f>
        <v>#N/A</v>
      </c>
      <c r="U429" t="e" cm="1">
        <f t="array" aca="1" ref="U429" ca="1">VLOOKUP(INDIRECT("A"&amp;ROW()), 'Recent Changes'!A:G, 7, FALSE)</f>
        <v>#N/A</v>
      </c>
      <c r="V429" t="e" cm="1">
        <f t="array" aca="1" ref="V429" ca="1">VLOOKUP(INDIRECT("A"&amp;ROW()), 'Recent Changes'!A:H, 8, FALSE)</f>
        <v>#N/A</v>
      </c>
    </row>
    <row r="430" spans="1:22" x14ac:dyDescent="0.25">
      <c r="A430">
        <v>17265154</v>
      </c>
      <c r="B430" t="s">
        <v>433</v>
      </c>
      <c r="C430">
        <v>20</v>
      </c>
      <c r="G430" t="e" cm="1">
        <v>#N/A</v>
      </c>
      <c r="H430">
        <v>45279</v>
      </c>
      <c r="I430" t="s">
        <v>15</v>
      </c>
      <c r="J430" t="s">
        <v>27</v>
      </c>
      <c r="K430" t="s">
        <v>44</v>
      </c>
      <c r="L430" t="s">
        <v>55</v>
      </c>
      <c r="M430" t="s">
        <v>76</v>
      </c>
      <c r="N430" t="s">
        <v>2268</v>
      </c>
      <c r="O430" t="s">
        <v>431</v>
      </c>
      <c r="P430" t="e" cm="1">
        <f t="array" aca="1" ref="P430" ca="1">VLOOKUP(INDIRECT("A"&amp;ROW()), 'Recent Changes'!A:G, 2, FALSE)</f>
        <v>#N/A</v>
      </c>
      <c r="Q430" t="e" cm="1">
        <f t="array" aca="1" ref="Q430" ca="1">VLOOKUP(INDIRECT("A"&amp;ROW()), 'Recent Changes'!A:G, 3, FALSE)</f>
        <v>#N/A</v>
      </c>
      <c r="R430" t="e" cm="1">
        <f t="array" aca="1" ref="R430" ca="1">VLOOKUP(INDIRECT("A"&amp;ROW()), 'Recent Changes'!A:G, 4, FALSE)</f>
        <v>#N/A</v>
      </c>
      <c r="S430" t="e" cm="1">
        <f t="array" aca="1" ref="S430" ca="1">VLOOKUP(INDIRECT("A"&amp;ROW()), 'Recent Changes'!A:G, 5, FALSE)</f>
        <v>#N/A</v>
      </c>
      <c r="T430" t="e" cm="1">
        <f t="array" aca="1" ref="T430" ca="1">VLOOKUP(INDIRECT("A"&amp;ROW()), 'Recent Changes'!A:G, 6, FALSE)</f>
        <v>#N/A</v>
      </c>
      <c r="U430" t="e" cm="1">
        <f t="array" aca="1" ref="U430" ca="1">VLOOKUP(INDIRECT("A"&amp;ROW()), 'Recent Changes'!A:G, 7, FALSE)</f>
        <v>#N/A</v>
      </c>
      <c r="V430" t="e" cm="1">
        <f t="array" aca="1" ref="V430" ca="1">VLOOKUP(INDIRECT("A"&amp;ROW()), 'Recent Changes'!A:H, 8, FALSE)</f>
        <v>#N/A</v>
      </c>
    </row>
    <row r="431" spans="1:22" x14ac:dyDescent="0.25">
      <c r="A431">
        <v>17600997</v>
      </c>
      <c r="B431" t="s">
        <v>430</v>
      </c>
      <c r="C431">
        <v>20</v>
      </c>
      <c r="G431" t="e" cm="1">
        <v>#N/A</v>
      </c>
      <c r="H431" t="s">
        <v>14</v>
      </c>
      <c r="I431" t="s">
        <v>14</v>
      </c>
      <c r="J431" t="s">
        <v>19</v>
      </c>
      <c r="K431" t="s">
        <v>49</v>
      </c>
      <c r="L431" t="s">
        <v>2169</v>
      </c>
      <c r="M431" t="s">
        <v>76</v>
      </c>
      <c r="N431" t="s">
        <v>1974</v>
      </c>
      <c r="P431" t="e" cm="1">
        <f t="array" aca="1" ref="P431" ca="1">VLOOKUP(INDIRECT("A"&amp;ROW()), 'Recent Changes'!A:G, 2, FALSE)</f>
        <v>#N/A</v>
      </c>
      <c r="Q431" t="e" cm="1">
        <f t="array" aca="1" ref="Q431" ca="1">VLOOKUP(INDIRECT("A"&amp;ROW()), 'Recent Changes'!A:G, 3, FALSE)</f>
        <v>#N/A</v>
      </c>
      <c r="R431" t="e" cm="1">
        <f t="array" aca="1" ref="R431" ca="1">VLOOKUP(INDIRECT("A"&amp;ROW()), 'Recent Changes'!A:G, 4, FALSE)</f>
        <v>#N/A</v>
      </c>
      <c r="S431" t="e" cm="1">
        <f t="array" aca="1" ref="S431" ca="1">VLOOKUP(INDIRECT("A"&amp;ROW()), 'Recent Changes'!A:G, 5, FALSE)</f>
        <v>#N/A</v>
      </c>
      <c r="T431" t="e" cm="1">
        <f t="array" aca="1" ref="T431" ca="1">VLOOKUP(INDIRECT("A"&amp;ROW()), 'Recent Changes'!A:G, 6, FALSE)</f>
        <v>#N/A</v>
      </c>
      <c r="U431" t="e" cm="1">
        <f t="array" aca="1" ref="U431" ca="1">VLOOKUP(INDIRECT("A"&amp;ROW()), 'Recent Changes'!A:G, 7, FALSE)</f>
        <v>#N/A</v>
      </c>
      <c r="V431" t="e" cm="1">
        <f t="array" aca="1" ref="V431" ca="1">VLOOKUP(INDIRECT("A"&amp;ROW()), 'Recent Changes'!A:H, 8, FALSE)</f>
        <v>#N/A</v>
      </c>
    </row>
    <row r="432" spans="1:22" x14ac:dyDescent="0.25">
      <c r="A432">
        <v>14263705</v>
      </c>
      <c r="B432" t="s" cm="1">
        <v>433</v>
      </c>
      <c r="C432">
        <v>19</v>
      </c>
      <c r="G432" t="e" cm="1">
        <v>#N/A</v>
      </c>
      <c r="H432" t="s">
        <v>14</v>
      </c>
      <c r="I432" t="s">
        <v>14</v>
      </c>
      <c r="J432" t="s">
        <v>30</v>
      </c>
      <c r="K432" t="s">
        <v>53</v>
      </c>
      <c r="L432" t="s">
        <v>2170</v>
      </c>
      <c r="M432" t="s">
        <v>76</v>
      </c>
      <c r="N432" t="s">
        <v>83</v>
      </c>
      <c r="P432" t="str" cm="1">
        <f t="array" aca="1" ref="P432" ca="1">VLOOKUP(INDIRECT("A"&amp;ROW()), 'Recent Changes'!A:G, 2, FALSE)</f>
        <v>NULL</v>
      </c>
      <c r="Q432" t="str" cm="1">
        <f t="array" aca="1" ref="Q432" ca="1">VLOOKUP(INDIRECT("A"&amp;ROW()), 'Recent Changes'!A:G, 3, FALSE)</f>
        <v>NULL</v>
      </c>
      <c r="R432" t="str" cm="1">
        <f t="array" aca="1" ref="R432" ca="1">VLOOKUP(INDIRECT("A"&amp;ROW()), 'Recent Changes'!A:G, 4, FALSE)</f>
        <v>NULL</v>
      </c>
      <c r="S432" t="str" cm="1">
        <f t="array" aca="1" ref="S432" ca="1">VLOOKUP(INDIRECT("A"&amp;ROW()), 'Recent Changes'!A:G, 5, FALSE)</f>
        <v>2023-12-20T15:45:40Z</v>
      </c>
      <c r="T432" t="str" cm="1">
        <f t="array" aca="1" ref="T432" ca="1">VLOOKUP(INDIRECT("A"&amp;ROW()), 'Recent Changes'!A:G, 6, FALSE)</f>
        <v>NULL</v>
      </c>
      <c r="U432" t="str" cm="1">
        <f t="array" aca="1" ref="U432" ca="1">VLOOKUP(INDIRECT("A"&amp;ROW()), 'Recent Changes'!A:G, 7, FALSE)</f>
        <v>2023-12-20T15:53:58Z</v>
      </c>
      <c r="V432" t="str" cm="1">
        <f t="array" aca="1" ref="V432" ca="1">VLOOKUP(INDIRECT("A"&amp;ROW()), 'Recent Changes'!A:H, 8, FALSE)</f>
        <v>2023-12-20T16:17:41Z</v>
      </c>
    </row>
    <row r="433" spans="1:22" x14ac:dyDescent="0.25">
      <c r="A433">
        <v>16416396</v>
      </c>
      <c r="B433" t="s" cm="1">
        <v>430</v>
      </c>
      <c r="C433">
        <v>19</v>
      </c>
      <c r="G433" t="e" cm="1">
        <v>#N/A</v>
      </c>
      <c r="H433" t="s">
        <v>14</v>
      </c>
      <c r="I433" t="s">
        <v>14</v>
      </c>
      <c r="J433" t="s">
        <v>26</v>
      </c>
      <c r="K433" t="s">
        <v>44</v>
      </c>
      <c r="L433" t="s">
        <v>2171</v>
      </c>
      <c r="M433" t="s">
        <v>78</v>
      </c>
      <c r="N433" t="s">
        <v>83</v>
      </c>
      <c r="P433" t="str" cm="1">
        <f t="array" aca="1" ref="P433" ca="1">VLOOKUP(INDIRECT("A"&amp;ROW()), 'Recent Changes'!A:G, 2, FALSE)</f>
        <v>NULL</v>
      </c>
      <c r="Q433" t="str" cm="1">
        <f t="array" aca="1" ref="Q433" ca="1">VLOOKUP(INDIRECT("A"&amp;ROW()), 'Recent Changes'!A:G, 3, FALSE)</f>
        <v>NULL</v>
      </c>
      <c r="R433" t="str" cm="1">
        <f t="array" aca="1" ref="R433" ca="1">VLOOKUP(INDIRECT("A"&amp;ROW()), 'Recent Changes'!A:G, 4, FALSE)</f>
        <v>NULL</v>
      </c>
      <c r="S433" t="str" cm="1">
        <f t="array" aca="1" ref="S433" ca="1">VLOOKUP(INDIRECT("A"&amp;ROW()), 'Recent Changes'!A:G, 5, FALSE)</f>
        <v>2023-12-20T01:21:10Z</v>
      </c>
      <c r="T433" t="str" cm="1">
        <f t="array" aca="1" ref="T433" ca="1">VLOOKUP(INDIRECT("A"&amp;ROW()), 'Recent Changes'!A:G, 6, FALSE)</f>
        <v>NULL</v>
      </c>
      <c r="U433" t="str" cm="1">
        <f t="array" aca="1" ref="U433" ca="1">VLOOKUP(INDIRECT("A"&amp;ROW()), 'Recent Changes'!A:G, 7, FALSE)</f>
        <v>NULL</v>
      </c>
      <c r="V433" t="str" cm="1">
        <f t="array" aca="1" ref="V433" ca="1">VLOOKUP(INDIRECT("A"&amp;ROW()), 'Recent Changes'!A:H, 8, FALSE)</f>
        <v>2023-12-20T07:39:25Z</v>
      </c>
    </row>
    <row r="434" spans="1:22" x14ac:dyDescent="0.25">
      <c r="A434">
        <v>16899714</v>
      </c>
      <c r="B434" t="s" cm="1">
        <v>430</v>
      </c>
      <c r="C434">
        <v>19</v>
      </c>
      <c r="G434" t="e" cm="1">
        <v>#N/A</v>
      </c>
      <c r="H434" t="s">
        <v>14</v>
      </c>
      <c r="I434" t="s">
        <v>570</v>
      </c>
      <c r="J434" t="s">
        <v>18</v>
      </c>
      <c r="K434" t="s">
        <v>49</v>
      </c>
      <c r="L434" t="s">
        <v>395</v>
      </c>
      <c r="M434" t="s">
        <v>76</v>
      </c>
      <c r="N434" t="s">
        <v>83</v>
      </c>
      <c r="P434" t="str" cm="1">
        <f t="array" aca="1" ref="P434" ca="1">VLOOKUP(INDIRECT("A"&amp;ROW()), 'Recent Changes'!A:G, 2, FALSE)</f>
        <v>NULL</v>
      </c>
      <c r="Q434" t="str" cm="1">
        <f t="array" aca="1" ref="Q434" ca="1">VLOOKUP(INDIRECT("A"&amp;ROW()), 'Recent Changes'!A:G, 3, FALSE)</f>
        <v>NULL</v>
      </c>
      <c r="R434" t="str" cm="1">
        <f t="array" aca="1" ref="R434" ca="1">VLOOKUP(INDIRECT("A"&amp;ROW()), 'Recent Changes'!A:G, 4, FALSE)</f>
        <v>NULL</v>
      </c>
      <c r="S434" t="str" cm="1">
        <f t="array" aca="1" ref="S434" ca="1">VLOOKUP(INDIRECT("A"&amp;ROW()), 'Recent Changes'!A:G, 5, FALSE)</f>
        <v>2023-12-20T17:24:51Z</v>
      </c>
      <c r="T434" t="str" cm="1">
        <f t="array" aca="1" ref="T434" ca="1">VLOOKUP(INDIRECT("A"&amp;ROW()), 'Recent Changes'!A:G, 6, FALSE)</f>
        <v>NULL</v>
      </c>
      <c r="U434" t="str" cm="1">
        <f t="array" aca="1" ref="U434" ca="1">VLOOKUP(INDIRECT("A"&amp;ROW()), 'Recent Changes'!A:G, 7, FALSE)</f>
        <v>NULL</v>
      </c>
      <c r="V434" t="str" cm="1">
        <f t="array" aca="1" ref="V434" ca="1">VLOOKUP(INDIRECT("A"&amp;ROW()), 'Recent Changes'!A:H, 8, FALSE)</f>
        <v>2023-12-20T21:27:49Z</v>
      </c>
    </row>
    <row r="435" spans="1:22" x14ac:dyDescent="0.25">
      <c r="A435">
        <v>17608319</v>
      </c>
      <c r="B435" t="s">
        <v>433</v>
      </c>
      <c r="C435">
        <v>19</v>
      </c>
      <c r="G435" t="e" cm="1">
        <v>#N/A</v>
      </c>
      <c r="H435">
        <v>45294</v>
      </c>
      <c r="I435" t="s">
        <v>15</v>
      </c>
      <c r="J435" t="s">
        <v>18</v>
      </c>
      <c r="K435" t="s">
        <v>44</v>
      </c>
      <c r="L435" t="s">
        <v>55</v>
      </c>
      <c r="M435" t="s">
        <v>76</v>
      </c>
      <c r="N435" t="s">
        <v>461</v>
      </c>
      <c r="O435" t="s">
        <v>431</v>
      </c>
      <c r="P435" t="e" cm="1">
        <f t="array" aca="1" ref="P435" ca="1">VLOOKUP(INDIRECT("A"&amp;ROW()), 'Recent Changes'!A:G, 2, FALSE)</f>
        <v>#N/A</v>
      </c>
      <c r="Q435" t="e" cm="1">
        <f t="array" aca="1" ref="Q435" ca="1">VLOOKUP(INDIRECT("A"&amp;ROW()), 'Recent Changes'!A:G, 3, FALSE)</f>
        <v>#N/A</v>
      </c>
      <c r="R435" t="e" cm="1">
        <f t="array" aca="1" ref="R435" ca="1">VLOOKUP(INDIRECT("A"&amp;ROW()), 'Recent Changes'!A:G, 4, FALSE)</f>
        <v>#N/A</v>
      </c>
      <c r="S435" t="e" cm="1">
        <f t="array" aca="1" ref="S435" ca="1">VLOOKUP(INDIRECT("A"&amp;ROW()), 'Recent Changes'!A:G, 5, FALSE)</f>
        <v>#N/A</v>
      </c>
      <c r="T435" t="e" cm="1">
        <f t="array" aca="1" ref="T435" ca="1">VLOOKUP(INDIRECT("A"&amp;ROW()), 'Recent Changes'!A:G, 6, FALSE)</f>
        <v>#N/A</v>
      </c>
      <c r="U435" t="e" cm="1">
        <f t="array" aca="1" ref="U435" ca="1">VLOOKUP(INDIRECT("A"&amp;ROW()), 'Recent Changes'!A:G, 7, FALSE)</f>
        <v>#N/A</v>
      </c>
      <c r="V435" t="e" cm="1">
        <f t="array" aca="1" ref="V435" ca="1">VLOOKUP(INDIRECT("A"&amp;ROW()), 'Recent Changes'!A:H, 8, FALSE)</f>
        <v>#N/A</v>
      </c>
    </row>
    <row r="436" spans="1:22" x14ac:dyDescent="0.25">
      <c r="A436">
        <v>13500351</v>
      </c>
      <c r="B436" t="s">
        <v>430</v>
      </c>
      <c r="C436">
        <v>18</v>
      </c>
      <c r="G436" t="e" cm="1">
        <v>#N/A</v>
      </c>
      <c r="H436" t="s">
        <v>14</v>
      </c>
      <c r="I436" t="s">
        <v>14</v>
      </c>
      <c r="J436" t="s">
        <v>24</v>
      </c>
      <c r="K436" t="s">
        <v>44</v>
      </c>
      <c r="L436" t="s">
        <v>2172</v>
      </c>
      <c r="M436" t="s">
        <v>77</v>
      </c>
      <c r="N436" t="s">
        <v>83</v>
      </c>
      <c r="P436" t="str" cm="1">
        <f t="array" aca="1" ref="P436" ca="1">VLOOKUP(INDIRECT("A"&amp;ROW()), 'Recent Changes'!A:G, 2, FALSE)</f>
        <v>NULL</v>
      </c>
      <c r="Q436" t="str" cm="1">
        <f t="array" aca="1" ref="Q436" ca="1">VLOOKUP(INDIRECT("A"&amp;ROW()), 'Recent Changes'!A:G, 3, FALSE)</f>
        <v>NULL</v>
      </c>
      <c r="R436" t="str" cm="1">
        <f t="array" aca="1" ref="R436" ca="1">VLOOKUP(INDIRECT("A"&amp;ROW()), 'Recent Changes'!A:G, 4, FALSE)</f>
        <v>NULL</v>
      </c>
      <c r="S436" t="str" cm="1">
        <f t="array" aca="1" ref="S436" ca="1">VLOOKUP(INDIRECT("A"&amp;ROW()), 'Recent Changes'!A:G, 5, FALSE)</f>
        <v>2023-12-21T15:15:00Z</v>
      </c>
      <c r="T436" t="str" cm="1">
        <f t="array" aca="1" ref="T436" ca="1">VLOOKUP(INDIRECT("A"&amp;ROW()), 'Recent Changes'!A:G, 6, FALSE)</f>
        <v>NULL</v>
      </c>
      <c r="U436" t="str" cm="1">
        <f t="array" aca="1" ref="U436" ca="1">VLOOKUP(INDIRECT("A"&amp;ROW()), 'Recent Changes'!A:G, 7, FALSE)</f>
        <v>NULL</v>
      </c>
      <c r="V436" t="str" cm="1">
        <f t="array" aca="1" ref="V436" ca="1">VLOOKUP(INDIRECT("A"&amp;ROW()), 'Recent Changes'!A:H, 8, FALSE)</f>
        <v>2023-12-21T16:30:04Z</v>
      </c>
    </row>
    <row r="437" spans="1:22" x14ac:dyDescent="0.25">
      <c r="A437">
        <v>14557363</v>
      </c>
      <c r="B437" t="s">
        <v>433</v>
      </c>
      <c r="C437">
        <v>18</v>
      </c>
      <c r="G437" t="e" cm="1">
        <v>#N/A</v>
      </c>
      <c r="H437">
        <v>45295</v>
      </c>
      <c r="I437" t="s">
        <v>15</v>
      </c>
      <c r="J437" t="s">
        <v>18</v>
      </c>
      <c r="K437" t="s">
        <v>388</v>
      </c>
      <c r="L437" t="s">
        <v>86</v>
      </c>
      <c r="M437" t="s">
        <v>76</v>
      </c>
      <c r="N437" t="s">
        <v>2269</v>
      </c>
      <c r="O437" t="s">
        <v>431</v>
      </c>
      <c r="P437" t="e" cm="1">
        <f t="array" aca="1" ref="P437" ca="1">VLOOKUP(INDIRECT("A"&amp;ROW()), 'Recent Changes'!A:G, 2, FALSE)</f>
        <v>#N/A</v>
      </c>
      <c r="Q437" t="e" cm="1">
        <f t="array" aca="1" ref="Q437" ca="1">VLOOKUP(INDIRECT("A"&amp;ROW()), 'Recent Changes'!A:G, 3, FALSE)</f>
        <v>#N/A</v>
      </c>
      <c r="R437" t="e" cm="1">
        <f t="array" aca="1" ref="R437" ca="1">VLOOKUP(INDIRECT("A"&amp;ROW()), 'Recent Changes'!A:G, 4, FALSE)</f>
        <v>#N/A</v>
      </c>
      <c r="S437" t="e" cm="1">
        <f t="array" aca="1" ref="S437" ca="1">VLOOKUP(INDIRECT("A"&amp;ROW()), 'Recent Changes'!A:G, 5, FALSE)</f>
        <v>#N/A</v>
      </c>
      <c r="T437" t="e" cm="1">
        <f t="array" aca="1" ref="T437" ca="1">VLOOKUP(INDIRECT("A"&amp;ROW()), 'Recent Changes'!A:G, 6, FALSE)</f>
        <v>#N/A</v>
      </c>
      <c r="U437" t="e" cm="1">
        <f t="array" aca="1" ref="U437" ca="1">VLOOKUP(INDIRECT("A"&amp;ROW()), 'Recent Changes'!A:G, 7, FALSE)</f>
        <v>#N/A</v>
      </c>
      <c r="V437" t="e" cm="1">
        <f t="array" aca="1" ref="V437" ca="1">VLOOKUP(INDIRECT("A"&amp;ROW()), 'Recent Changes'!A:H, 8, FALSE)</f>
        <v>#N/A</v>
      </c>
    </row>
    <row r="438" spans="1:22" x14ac:dyDescent="0.25">
      <c r="A438">
        <v>14625326</v>
      </c>
      <c r="B438" t="s">
        <v>433</v>
      </c>
      <c r="C438">
        <v>18</v>
      </c>
      <c r="G438" t="e" cm="1">
        <v>#N/A</v>
      </c>
      <c r="H438" t="s">
        <v>14</v>
      </c>
      <c r="I438" t="s">
        <v>14</v>
      </c>
      <c r="J438" t="s">
        <v>41</v>
      </c>
      <c r="K438" t="s">
        <v>44</v>
      </c>
      <c r="L438" t="s">
        <v>2173</v>
      </c>
      <c r="M438" t="s">
        <v>76</v>
      </c>
      <c r="N438" t="s">
        <v>83</v>
      </c>
      <c r="P438" t="str" cm="1">
        <f t="array" aca="1" ref="P438" ca="1">VLOOKUP(INDIRECT("A"&amp;ROW()), 'Recent Changes'!A:G, 2, FALSE)</f>
        <v>NULL</v>
      </c>
      <c r="Q438" t="str" cm="1">
        <f t="array" aca="1" ref="Q438" ca="1">VLOOKUP(INDIRECT("A"&amp;ROW()), 'Recent Changes'!A:G, 3, FALSE)</f>
        <v>NULL</v>
      </c>
      <c r="R438" t="str" cm="1">
        <f t="array" aca="1" ref="R438" ca="1">VLOOKUP(INDIRECT("A"&amp;ROW()), 'Recent Changes'!A:G, 4, FALSE)</f>
        <v>NULL</v>
      </c>
      <c r="S438" t="str" cm="1">
        <f t="array" aca="1" ref="S438" ca="1">VLOOKUP(INDIRECT("A"&amp;ROW()), 'Recent Changes'!A:G, 5, FALSE)</f>
        <v>2023-12-21T19:37:32Z</v>
      </c>
      <c r="T438" t="str" cm="1">
        <f t="array" aca="1" ref="T438" ca="1">VLOOKUP(INDIRECT("A"&amp;ROW()), 'Recent Changes'!A:G, 6, FALSE)</f>
        <v>NULL</v>
      </c>
      <c r="U438" t="str" cm="1">
        <f t="array" aca="1" ref="U438" ca="1">VLOOKUP(INDIRECT("A"&amp;ROW()), 'Recent Changes'!A:G, 7, FALSE)</f>
        <v>NULL</v>
      </c>
      <c r="V438" t="str" cm="1">
        <f t="array" aca="1" ref="V438" ca="1">VLOOKUP(INDIRECT("A"&amp;ROW()), 'Recent Changes'!A:H, 8, FALSE)</f>
        <v>2023-12-21T21:32:50Z</v>
      </c>
    </row>
    <row r="439" spans="1:22" x14ac:dyDescent="0.25">
      <c r="A439">
        <v>17183227</v>
      </c>
      <c r="B439" t="s">
        <v>433</v>
      </c>
      <c r="C439">
        <v>18</v>
      </c>
      <c r="G439" t="e" cm="1">
        <v>#N/A</v>
      </c>
      <c r="H439">
        <v>45294</v>
      </c>
      <c r="I439" t="s">
        <v>15</v>
      </c>
      <c r="J439" t="s">
        <v>30</v>
      </c>
      <c r="K439" t="s">
        <v>44</v>
      </c>
      <c r="L439" t="s">
        <v>74</v>
      </c>
      <c r="M439" t="s">
        <v>76</v>
      </c>
      <c r="N439" t="s">
        <v>461</v>
      </c>
      <c r="O439" t="s">
        <v>431</v>
      </c>
      <c r="P439" t="e" cm="1">
        <f t="array" aca="1" ref="P439" ca="1">VLOOKUP(INDIRECT("A"&amp;ROW()), 'Recent Changes'!A:G, 2, FALSE)</f>
        <v>#N/A</v>
      </c>
      <c r="Q439" t="e" cm="1">
        <f t="array" aca="1" ref="Q439" ca="1">VLOOKUP(INDIRECT("A"&amp;ROW()), 'Recent Changes'!A:G, 3, FALSE)</f>
        <v>#N/A</v>
      </c>
      <c r="R439" t="e" cm="1">
        <f t="array" aca="1" ref="R439" ca="1">VLOOKUP(INDIRECT("A"&amp;ROW()), 'Recent Changes'!A:G, 4, FALSE)</f>
        <v>#N/A</v>
      </c>
      <c r="S439" t="e" cm="1">
        <f t="array" aca="1" ref="S439" ca="1">VLOOKUP(INDIRECT("A"&amp;ROW()), 'Recent Changes'!A:G, 5, FALSE)</f>
        <v>#N/A</v>
      </c>
      <c r="T439" t="e" cm="1">
        <f t="array" aca="1" ref="T439" ca="1">VLOOKUP(INDIRECT("A"&amp;ROW()), 'Recent Changes'!A:G, 6, FALSE)</f>
        <v>#N/A</v>
      </c>
      <c r="U439" t="e" cm="1">
        <f t="array" aca="1" ref="U439" ca="1">VLOOKUP(INDIRECT("A"&amp;ROW()), 'Recent Changes'!A:G, 7, FALSE)</f>
        <v>#N/A</v>
      </c>
      <c r="V439" t="e" cm="1">
        <f t="array" aca="1" ref="V439" ca="1">VLOOKUP(INDIRECT("A"&amp;ROW()), 'Recent Changes'!A:H, 8, FALSE)</f>
        <v>#N/A</v>
      </c>
    </row>
    <row r="440" spans="1:22" x14ac:dyDescent="0.25">
      <c r="A440">
        <v>17282576</v>
      </c>
      <c r="B440" t="s" cm="1">
        <v>430</v>
      </c>
      <c r="C440">
        <v>18</v>
      </c>
      <c r="G440" t="e" cm="1">
        <v>#N/A</v>
      </c>
      <c r="H440" t="s">
        <v>14</v>
      </c>
      <c r="I440" t="s">
        <v>14</v>
      </c>
      <c r="J440" t="s">
        <v>30</v>
      </c>
      <c r="K440" t="s">
        <v>44</v>
      </c>
      <c r="L440" t="s">
        <v>58</v>
      </c>
      <c r="M440" t="s">
        <v>76</v>
      </c>
      <c r="N440" t="s">
        <v>83</v>
      </c>
      <c r="P440" t="str" cm="1">
        <f t="array" aca="1" ref="P440" ca="1">VLOOKUP(INDIRECT("A"&amp;ROW()), 'Recent Changes'!A:G, 2, FALSE)</f>
        <v>NULL</v>
      </c>
      <c r="Q440" t="str" cm="1">
        <f t="array" aca="1" ref="Q440" ca="1">VLOOKUP(INDIRECT("A"&amp;ROW()), 'Recent Changes'!A:G, 3, FALSE)</f>
        <v>NULL</v>
      </c>
      <c r="R440" t="str" cm="1">
        <f t="array" aca="1" ref="R440" ca="1">VLOOKUP(INDIRECT("A"&amp;ROW()), 'Recent Changes'!A:G, 4, FALSE)</f>
        <v>NULL</v>
      </c>
      <c r="S440" t="str" cm="1">
        <f t="array" aca="1" ref="S440" ca="1">VLOOKUP(INDIRECT("A"&amp;ROW()), 'Recent Changes'!A:G, 5, FALSE)</f>
        <v>2023-12-21T09:24:34Z</v>
      </c>
      <c r="T440" t="str" cm="1">
        <f t="array" aca="1" ref="T440" ca="1">VLOOKUP(INDIRECT("A"&amp;ROW()), 'Recent Changes'!A:G, 6, FALSE)</f>
        <v>NULL</v>
      </c>
      <c r="U440" t="str" cm="1">
        <f t="array" aca="1" ref="U440" ca="1">VLOOKUP(INDIRECT("A"&amp;ROW()), 'Recent Changes'!A:G, 7, FALSE)</f>
        <v>2023-11-07T05:38:59Z</v>
      </c>
      <c r="V440" t="str" cm="1">
        <f t="array" aca="1" ref="V440" ca="1">VLOOKUP(INDIRECT("A"&amp;ROW()), 'Recent Changes'!A:H, 8, FALSE)</f>
        <v>2023-12-21T16:11:32Z</v>
      </c>
    </row>
    <row r="441" spans="1:22" x14ac:dyDescent="0.25">
      <c r="A441">
        <v>17296252</v>
      </c>
      <c r="B441" t="s" cm="1">
        <v>430</v>
      </c>
      <c r="C441">
        <v>18</v>
      </c>
      <c r="G441" t="e" cm="1">
        <v>#N/A</v>
      </c>
      <c r="H441" t="s">
        <v>14</v>
      </c>
      <c r="I441" t="s">
        <v>14</v>
      </c>
      <c r="J441" t="s">
        <v>18</v>
      </c>
      <c r="K441" t="s">
        <v>46</v>
      </c>
      <c r="L441" t="s">
        <v>55</v>
      </c>
      <c r="M441" t="s">
        <v>76</v>
      </c>
      <c r="N441" t="s">
        <v>83</v>
      </c>
      <c r="P441" t="str" cm="1">
        <f t="array" aca="1" ref="P441" ca="1">VLOOKUP(INDIRECT("A"&amp;ROW()), 'Recent Changes'!A:G, 2, FALSE)</f>
        <v>NULL</v>
      </c>
      <c r="Q441" t="str" cm="1">
        <f t="array" aca="1" ref="Q441" ca="1">VLOOKUP(INDIRECT("A"&amp;ROW()), 'Recent Changes'!A:G, 3, FALSE)</f>
        <v>NULL</v>
      </c>
      <c r="R441" t="str" cm="1">
        <f t="array" aca="1" ref="R441" ca="1">VLOOKUP(INDIRECT("A"&amp;ROW()), 'Recent Changes'!A:G, 4, FALSE)</f>
        <v>NULL</v>
      </c>
      <c r="S441" t="str" cm="1">
        <f t="array" aca="1" ref="S441" ca="1">VLOOKUP(INDIRECT("A"&amp;ROW()), 'Recent Changes'!A:G, 5, FALSE)</f>
        <v>2023-12-27T15:19:51Z</v>
      </c>
      <c r="T441" t="str" cm="1">
        <f t="array" aca="1" ref="T441" ca="1">VLOOKUP(INDIRECT("A"&amp;ROW()), 'Recent Changes'!A:G, 6, FALSE)</f>
        <v>NULL</v>
      </c>
      <c r="U441" t="str" cm="1">
        <f t="array" aca="1" ref="U441" ca="1">VLOOKUP(INDIRECT("A"&amp;ROW()), 'Recent Changes'!A:G, 7, FALSE)</f>
        <v>2023-11-14T08:45:02Z</v>
      </c>
      <c r="V441" t="str" cm="1">
        <f t="array" aca="1" ref="V441" ca="1">VLOOKUP(INDIRECT("A"&amp;ROW()), 'Recent Changes'!A:H, 8, FALSE)</f>
        <v>2023-12-27T16:24:42Z</v>
      </c>
    </row>
    <row r="442" spans="1:22" x14ac:dyDescent="0.25">
      <c r="A442">
        <v>17425292</v>
      </c>
      <c r="B442" t="s">
        <v>430</v>
      </c>
      <c r="C442">
        <v>18</v>
      </c>
      <c r="G442" t="e" cm="1">
        <v>#N/A</v>
      </c>
      <c r="H442" t="s">
        <v>14</v>
      </c>
      <c r="I442" t="s">
        <v>14</v>
      </c>
      <c r="J442" t="s">
        <v>385</v>
      </c>
      <c r="K442" t="s">
        <v>44</v>
      </c>
      <c r="L442" t="s">
        <v>2174</v>
      </c>
      <c r="M442" t="s">
        <v>79</v>
      </c>
      <c r="N442" t="s">
        <v>83</v>
      </c>
      <c r="P442" t="str" cm="1">
        <f t="array" aca="1" ref="P442" ca="1">VLOOKUP(INDIRECT("A"&amp;ROW()), 'Recent Changes'!A:G, 2, FALSE)</f>
        <v>NULL</v>
      </c>
      <c r="Q442" t="str" cm="1">
        <f t="array" aca="1" ref="Q442" ca="1">VLOOKUP(INDIRECT("A"&amp;ROW()), 'Recent Changes'!A:G, 3, FALSE)</f>
        <v>NULL</v>
      </c>
      <c r="R442" t="str" cm="1">
        <f t="array" aca="1" ref="R442" ca="1">VLOOKUP(INDIRECT("A"&amp;ROW()), 'Recent Changes'!A:G, 4, FALSE)</f>
        <v>NULL</v>
      </c>
      <c r="S442" t="str" cm="1">
        <f t="array" aca="1" ref="S442" ca="1">VLOOKUP(INDIRECT("A"&amp;ROW()), 'Recent Changes'!A:G, 5, FALSE)</f>
        <v>2023-12-21T21:39:35Z</v>
      </c>
      <c r="T442" t="str" cm="1">
        <f t="array" aca="1" ref="T442" ca="1">VLOOKUP(INDIRECT("A"&amp;ROW()), 'Recent Changes'!A:G, 6, FALSE)</f>
        <v>NULL</v>
      </c>
      <c r="U442" t="str" cm="1">
        <f t="array" aca="1" ref="U442" ca="1">VLOOKUP(INDIRECT("A"&amp;ROW()), 'Recent Changes'!A:G, 7, FALSE)</f>
        <v>NULL</v>
      </c>
      <c r="V442" t="str" cm="1">
        <f t="array" aca="1" ref="V442" ca="1">VLOOKUP(INDIRECT("A"&amp;ROW()), 'Recent Changes'!A:H, 8, FALSE)</f>
        <v>2023-12-22T07:50:35Z</v>
      </c>
    </row>
    <row r="443" spans="1:22" x14ac:dyDescent="0.25">
      <c r="A443">
        <v>17620217</v>
      </c>
      <c r="B443" t="s">
        <v>433</v>
      </c>
      <c r="C443">
        <v>18</v>
      </c>
      <c r="G443" t="e" cm="1">
        <v>#N/A</v>
      </c>
      <c r="H443" t="s">
        <v>14</v>
      </c>
      <c r="I443" t="s">
        <v>14</v>
      </c>
      <c r="J443" t="s">
        <v>38</v>
      </c>
      <c r="K443" t="s">
        <v>44</v>
      </c>
      <c r="L443" t="s">
        <v>1690</v>
      </c>
      <c r="M443" t="s">
        <v>76</v>
      </c>
      <c r="N443" t="s">
        <v>1974</v>
      </c>
      <c r="P443" t="e" cm="1">
        <f t="array" aca="1" ref="P443" ca="1">VLOOKUP(INDIRECT("A"&amp;ROW()), 'Recent Changes'!A:G, 2, FALSE)</f>
        <v>#N/A</v>
      </c>
      <c r="Q443" t="e" cm="1">
        <f t="array" aca="1" ref="Q443" ca="1">VLOOKUP(INDIRECT("A"&amp;ROW()), 'Recent Changes'!A:G, 3, FALSE)</f>
        <v>#N/A</v>
      </c>
      <c r="R443" t="e" cm="1">
        <f t="array" aca="1" ref="R443" ca="1">VLOOKUP(INDIRECT("A"&amp;ROW()), 'Recent Changes'!A:G, 4, FALSE)</f>
        <v>#N/A</v>
      </c>
      <c r="S443" t="e" cm="1">
        <f t="array" aca="1" ref="S443" ca="1">VLOOKUP(INDIRECT("A"&amp;ROW()), 'Recent Changes'!A:G, 5, FALSE)</f>
        <v>#N/A</v>
      </c>
      <c r="T443" t="e" cm="1">
        <f t="array" aca="1" ref="T443" ca="1">VLOOKUP(INDIRECT("A"&amp;ROW()), 'Recent Changes'!A:G, 6, FALSE)</f>
        <v>#N/A</v>
      </c>
      <c r="U443" t="e" cm="1">
        <f t="array" aca="1" ref="U443" ca="1">VLOOKUP(INDIRECT("A"&amp;ROW()), 'Recent Changes'!A:G, 7, FALSE)</f>
        <v>#N/A</v>
      </c>
      <c r="V443" t="e" cm="1">
        <f t="array" aca="1" ref="V443" ca="1">VLOOKUP(INDIRECT("A"&amp;ROW()), 'Recent Changes'!A:H, 8, FALSE)</f>
        <v>#N/A</v>
      </c>
    </row>
    <row r="444" spans="1:22" x14ac:dyDescent="0.25">
      <c r="A444">
        <v>15454209</v>
      </c>
      <c r="B444" t="s" cm="1">
        <v>430</v>
      </c>
      <c r="C444">
        <v>17</v>
      </c>
      <c r="G444" t="e" cm="1">
        <v>#N/A</v>
      </c>
      <c r="H444" t="s">
        <v>14</v>
      </c>
      <c r="I444" t="s">
        <v>14</v>
      </c>
      <c r="J444" t="s">
        <v>30</v>
      </c>
      <c r="K444" t="s">
        <v>44</v>
      </c>
      <c r="L444" t="s">
        <v>1475</v>
      </c>
      <c r="M444" t="s">
        <v>2193</v>
      </c>
      <c r="N444" t="s">
        <v>83</v>
      </c>
      <c r="P444" t="str" cm="1">
        <f t="array" aca="1" ref="P444" ca="1">VLOOKUP(INDIRECT("A"&amp;ROW()), 'Recent Changes'!A:G, 2, FALSE)</f>
        <v>NULL</v>
      </c>
      <c r="Q444" t="str" cm="1">
        <f t="array" aca="1" ref="Q444" ca="1">VLOOKUP(INDIRECT("A"&amp;ROW()), 'Recent Changes'!A:G, 3, FALSE)</f>
        <v>NULL</v>
      </c>
      <c r="R444" t="str" cm="1">
        <f t="array" aca="1" ref="R444" ca="1">VLOOKUP(INDIRECT("A"&amp;ROW()), 'Recent Changes'!A:G, 4, FALSE)</f>
        <v>NULL</v>
      </c>
      <c r="S444" t="str" cm="1">
        <f t="array" aca="1" ref="S444" ca="1">VLOOKUP(INDIRECT("A"&amp;ROW()), 'Recent Changes'!A:G, 5, FALSE)</f>
        <v>2023-12-22T15:41:56Z</v>
      </c>
      <c r="T444" t="str" cm="1">
        <f t="array" aca="1" ref="T444" ca="1">VLOOKUP(INDIRECT("A"&amp;ROW()), 'Recent Changes'!A:G, 6, FALSE)</f>
        <v>NULL</v>
      </c>
      <c r="U444" t="str" cm="1">
        <f t="array" aca="1" ref="U444" ca="1">VLOOKUP(INDIRECT("A"&amp;ROW()), 'Recent Changes'!A:G, 7, FALSE)</f>
        <v>2023-12-22T15:43:18Z</v>
      </c>
      <c r="V444" t="str" cm="1">
        <f t="array" aca="1" ref="V444" ca="1">VLOOKUP(INDIRECT("A"&amp;ROW()), 'Recent Changes'!A:H, 8, FALSE)</f>
        <v>2023-12-22T16:23:06Z</v>
      </c>
    </row>
    <row r="445" spans="1:22" x14ac:dyDescent="0.25">
      <c r="A445">
        <v>16081005</v>
      </c>
      <c r="B445" t="s" cm="1">
        <v>430</v>
      </c>
      <c r="C445">
        <v>17</v>
      </c>
      <c r="G445" t="e" cm="1">
        <v>#N/A</v>
      </c>
      <c r="H445" t="s">
        <v>14</v>
      </c>
      <c r="I445" t="s">
        <v>14</v>
      </c>
      <c r="J445" t="s">
        <v>30</v>
      </c>
      <c r="K445" t="s">
        <v>53</v>
      </c>
      <c r="L445" t="s">
        <v>2175</v>
      </c>
      <c r="M445" t="s">
        <v>2186</v>
      </c>
      <c r="N445" t="s">
        <v>83</v>
      </c>
      <c r="P445" t="str" cm="1">
        <f t="array" aca="1" ref="P445" ca="1">VLOOKUP(INDIRECT("A"&amp;ROW()), 'Recent Changes'!A:G, 2, FALSE)</f>
        <v>2024-01-03T18:01:02Z</v>
      </c>
      <c r="Q445" t="str" cm="1">
        <f t="array" aca="1" ref="Q445" ca="1">VLOOKUP(INDIRECT("A"&amp;ROW()), 'Recent Changes'!A:G, 3, FALSE)</f>
        <v>NULL</v>
      </c>
      <c r="R445" t="str" cm="1">
        <f t="array" aca="1" ref="R445" ca="1">VLOOKUP(INDIRECT("A"&amp;ROW()), 'Recent Changes'!A:G, 4, FALSE)</f>
        <v>NULL</v>
      </c>
      <c r="S445" t="str" cm="1">
        <f t="array" aca="1" ref="S445" ca="1">VLOOKUP(INDIRECT("A"&amp;ROW()), 'Recent Changes'!A:G, 5, FALSE)</f>
        <v>2024-01-03T17:58:43Z</v>
      </c>
      <c r="T445" t="str" cm="1">
        <f t="array" aca="1" ref="T445" ca="1">VLOOKUP(INDIRECT("A"&amp;ROW()), 'Recent Changes'!A:G, 6, FALSE)</f>
        <v>NULL</v>
      </c>
      <c r="U445" t="str" cm="1">
        <f t="array" aca="1" ref="U445" ca="1">VLOOKUP(INDIRECT("A"&amp;ROW()), 'Recent Changes'!A:G, 7, FALSE)</f>
        <v>2024-01-03T18:10:46Z</v>
      </c>
      <c r="V445" t="str" cm="1">
        <f t="array" aca="1" ref="V445" ca="1">VLOOKUP(INDIRECT("A"&amp;ROW()), 'Recent Changes'!A:H, 8, FALSE)</f>
        <v>2023-12-23T07:55:15Z</v>
      </c>
    </row>
    <row r="446" spans="1:22" x14ac:dyDescent="0.25">
      <c r="A446">
        <v>17182940</v>
      </c>
      <c r="B446" t="s">
        <v>433</v>
      </c>
      <c r="C446">
        <v>17</v>
      </c>
      <c r="G446" t="e" cm="1">
        <v>#N/A</v>
      </c>
      <c r="H446">
        <v>45295</v>
      </c>
      <c r="I446" t="s">
        <v>15</v>
      </c>
      <c r="J446" t="s">
        <v>27</v>
      </c>
      <c r="K446" t="s">
        <v>44</v>
      </c>
      <c r="L446" t="s">
        <v>395</v>
      </c>
      <c r="M446" t="s">
        <v>76</v>
      </c>
      <c r="N446" t="s">
        <v>2270</v>
      </c>
      <c r="O446" t="s">
        <v>431</v>
      </c>
      <c r="P446" t="e" cm="1">
        <f t="array" aca="1" ref="P446" ca="1">VLOOKUP(INDIRECT("A"&amp;ROW()), 'Recent Changes'!A:G, 2, FALSE)</f>
        <v>#N/A</v>
      </c>
      <c r="Q446" t="e" cm="1">
        <f t="array" aca="1" ref="Q446" ca="1">VLOOKUP(INDIRECT("A"&amp;ROW()), 'Recent Changes'!A:G, 3, FALSE)</f>
        <v>#N/A</v>
      </c>
      <c r="R446" t="e" cm="1">
        <f t="array" aca="1" ref="R446" ca="1">VLOOKUP(INDIRECT("A"&amp;ROW()), 'Recent Changes'!A:G, 4, FALSE)</f>
        <v>#N/A</v>
      </c>
      <c r="S446" t="e" cm="1">
        <f t="array" aca="1" ref="S446" ca="1">VLOOKUP(INDIRECT("A"&amp;ROW()), 'Recent Changes'!A:G, 5, FALSE)</f>
        <v>#N/A</v>
      </c>
      <c r="T446" t="e" cm="1">
        <f t="array" aca="1" ref="T446" ca="1">VLOOKUP(INDIRECT("A"&amp;ROW()), 'Recent Changes'!A:G, 6, FALSE)</f>
        <v>#N/A</v>
      </c>
      <c r="U446" t="e" cm="1">
        <f t="array" aca="1" ref="U446" ca="1">VLOOKUP(INDIRECT("A"&amp;ROW()), 'Recent Changes'!A:G, 7, FALSE)</f>
        <v>#N/A</v>
      </c>
      <c r="V446" t="e" cm="1">
        <f t="array" aca="1" ref="V446" ca="1">VLOOKUP(INDIRECT("A"&amp;ROW()), 'Recent Changes'!A:H, 8, FALSE)</f>
        <v>#N/A</v>
      </c>
    </row>
    <row r="447" spans="1:22" x14ac:dyDescent="0.25">
      <c r="A447">
        <v>17284847</v>
      </c>
      <c r="B447" t="s">
        <v>433</v>
      </c>
      <c r="C447">
        <v>17</v>
      </c>
      <c r="G447" t="e" cm="1">
        <v>#N/A</v>
      </c>
      <c r="H447">
        <v>45294</v>
      </c>
      <c r="I447" t="s">
        <v>15</v>
      </c>
      <c r="J447" t="s">
        <v>18</v>
      </c>
      <c r="K447" t="s">
        <v>44</v>
      </c>
      <c r="L447" t="s">
        <v>58</v>
      </c>
      <c r="M447" t="s">
        <v>76</v>
      </c>
      <c r="N447" t="s">
        <v>461</v>
      </c>
      <c r="O447" t="s">
        <v>431</v>
      </c>
      <c r="P447" t="e" cm="1">
        <f t="array" aca="1" ref="P447" ca="1">VLOOKUP(INDIRECT("A"&amp;ROW()), 'Recent Changes'!A:G, 2, FALSE)</f>
        <v>#N/A</v>
      </c>
      <c r="Q447" t="e" cm="1">
        <f t="array" aca="1" ref="Q447" ca="1">VLOOKUP(INDIRECT("A"&amp;ROW()), 'Recent Changes'!A:G, 3, FALSE)</f>
        <v>#N/A</v>
      </c>
      <c r="R447" t="e" cm="1">
        <f t="array" aca="1" ref="R447" ca="1">VLOOKUP(INDIRECT("A"&amp;ROW()), 'Recent Changes'!A:G, 4, FALSE)</f>
        <v>#N/A</v>
      </c>
      <c r="S447" t="e" cm="1">
        <f t="array" aca="1" ref="S447" ca="1">VLOOKUP(INDIRECT("A"&amp;ROW()), 'Recent Changes'!A:G, 5, FALSE)</f>
        <v>#N/A</v>
      </c>
      <c r="T447" t="e" cm="1">
        <f t="array" aca="1" ref="T447" ca="1">VLOOKUP(INDIRECT("A"&amp;ROW()), 'Recent Changes'!A:G, 6, FALSE)</f>
        <v>#N/A</v>
      </c>
      <c r="U447" t="e" cm="1">
        <f t="array" aca="1" ref="U447" ca="1">VLOOKUP(INDIRECT("A"&amp;ROW()), 'Recent Changes'!A:G, 7, FALSE)</f>
        <v>#N/A</v>
      </c>
      <c r="V447" t="e" cm="1">
        <f t="array" aca="1" ref="V447" ca="1">VLOOKUP(INDIRECT("A"&amp;ROW()), 'Recent Changes'!A:H, 8, FALSE)</f>
        <v>#N/A</v>
      </c>
    </row>
    <row r="448" spans="1:22" x14ac:dyDescent="0.25">
      <c r="A448">
        <v>17622060</v>
      </c>
      <c r="B448" t="s">
        <v>433</v>
      </c>
      <c r="C448">
        <v>17</v>
      </c>
      <c r="G448" t="e" cm="1">
        <v>#N/A</v>
      </c>
      <c r="H448" t="s">
        <v>14</v>
      </c>
      <c r="I448" t="s">
        <v>14</v>
      </c>
      <c r="J448" t="s">
        <v>38</v>
      </c>
      <c r="K448" t="s">
        <v>49</v>
      </c>
      <c r="L448" t="s">
        <v>1690</v>
      </c>
      <c r="M448" t="s">
        <v>76</v>
      </c>
      <c r="N448" t="s">
        <v>1974</v>
      </c>
      <c r="P448" t="e" cm="1">
        <f t="array" aca="1" ref="P448" ca="1">VLOOKUP(INDIRECT("A"&amp;ROW()), 'Recent Changes'!A:G, 2, FALSE)</f>
        <v>#N/A</v>
      </c>
      <c r="Q448" t="e" cm="1">
        <f t="array" aca="1" ref="Q448" ca="1">VLOOKUP(INDIRECT("A"&amp;ROW()), 'Recent Changes'!A:G, 3, FALSE)</f>
        <v>#N/A</v>
      </c>
      <c r="R448" t="e" cm="1">
        <f t="array" aca="1" ref="R448" ca="1">VLOOKUP(INDIRECT("A"&amp;ROW()), 'Recent Changes'!A:G, 4, FALSE)</f>
        <v>#N/A</v>
      </c>
      <c r="S448" t="e" cm="1">
        <f t="array" aca="1" ref="S448" ca="1">VLOOKUP(INDIRECT("A"&amp;ROW()), 'Recent Changes'!A:G, 5, FALSE)</f>
        <v>#N/A</v>
      </c>
      <c r="T448" t="e" cm="1">
        <f t="array" aca="1" ref="T448" ca="1">VLOOKUP(INDIRECT("A"&amp;ROW()), 'Recent Changes'!A:G, 6, FALSE)</f>
        <v>#N/A</v>
      </c>
      <c r="U448" t="e" cm="1">
        <f t="array" aca="1" ref="U448" ca="1">VLOOKUP(INDIRECT("A"&amp;ROW()), 'Recent Changes'!A:G, 7, FALSE)</f>
        <v>#N/A</v>
      </c>
      <c r="V448" t="e" cm="1">
        <f t="array" aca="1" ref="V448" ca="1">VLOOKUP(INDIRECT("A"&amp;ROW()), 'Recent Changes'!A:H, 8, FALSE)</f>
        <v>#N/A</v>
      </c>
    </row>
    <row r="449" spans="1:22" x14ac:dyDescent="0.25">
      <c r="A449">
        <v>10182502</v>
      </c>
      <c r="B449" t="s">
        <v>433</v>
      </c>
      <c r="C449">
        <v>16</v>
      </c>
      <c r="G449" t="e" cm="1">
        <v>#N/A</v>
      </c>
      <c r="H449">
        <v>45296</v>
      </c>
      <c r="I449" t="s">
        <v>15</v>
      </c>
      <c r="J449" t="s">
        <v>22</v>
      </c>
      <c r="K449" t="s">
        <v>44</v>
      </c>
      <c r="L449" t="s">
        <v>597</v>
      </c>
      <c r="M449" t="s">
        <v>745</v>
      </c>
      <c r="N449" t="s">
        <v>2271</v>
      </c>
      <c r="O449" t="s">
        <v>431</v>
      </c>
      <c r="P449" t="e" cm="1">
        <f t="array" aca="1" ref="P449" ca="1">VLOOKUP(INDIRECT("A"&amp;ROW()), 'Recent Changes'!A:G, 2, FALSE)</f>
        <v>#N/A</v>
      </c>
      <c r="Q449" t="e" cm="1">
        <f t="array" aca="1" ref="Q449" ca="1">VLOOKUP(INDIRECT("A"&amp;ROW()), 'Recent Changes'!A:G, 3, FALSE)</f>
        <v>#N/A</v>
      </c>
      <c r="R449" t="e" cm="1">
        <f t="array" aca="1" ref="R449" ca="1">VLOOKUP(INDIRECT("A"&amp;ROW()), 'Recent Changes'!A:G, 4, FALSE)</f>
        <v>#N/A</v>
      </c>
      <c r="S449" t="e" cm="1">
        <f t="array" aca="1" ref="S449" ca="1">VLOOKUP(INDIRECT("A"&amp;ROW()), 'Recent Changes'!A:G, 5, FALSE)</f>
        <v>#N/A</v>
      </c>
      <c r="T449" t="e" cm="1">
        <f t="array" aca="1" ref="T449" ca="1">VLOOKUP(INDIRECT("A"&amp;ROW()), 'Recent Changes'!A:G, 6, FALSE)</f>
        <v>#N/A</v>
      </c>
      <c r="U449" t="e" cm="1">
        <f t="array" aca="1" ref="U449" ca="1">VLOOKUP(INDIRECT("A"&amp;ROW()), 'Recent Changes'!A:G, 7, FALSE)</f>
        <v>#N/A</v>
      </c>
      <c r="V449" t="e" cm="1">
        <f t="array" aca="1" ref="V449" ca="1">VLOOKUP(INDIRECT("A"&amp;ROW()), 'Recent Changes'!A:H, 8, FALSE)</f>
        <v>#N/A</v>
      </c>
    </row>
    <row r="450" spans="1:22" x14ac:dyDescent="0.25">
      <c r="A450">
        <v>17628070</v>
      </c>
      <c r="B450" t="s">
        <v>433</v>
      </c>
      <c r="C450">
        <v>16</v>
      </c>
      <c r="G450" t="e" cm="1">
        <v>#N/A</v>
      </c>
      <c r="H450">
        <v>45295</v>
      </c>
      <c r="I450" t="s">
        <v>15</v>
      </c>
      <c r="J450" t="s">
        <v>22</v>
      </c>
      <c r="K450" t="s">
        <v>44</v>
      </c>
      <c r="L450" t="s">
        <v>14</v>
      </c>
      <c r="M450" t="s">
        <v>14</v>
      </c>
      <c r="N450" t="s">
        <v>1606</v>
      </c>
      <c r="O450" t="s">
        <v>431</v>
      </c>
      <c r="P450" t="e" cm="1">
        <f t="array" aca="1" ref="P450" ca="1">VLOOKUP(INDIRECT("A"&amp;ROW()), 'Recent Changes'!A:G, 2, FALSE)</f>
        <v>#N/A</v>
      </c>
      <c r="Q450" t="e" cm="1">
        <f t="array" aca="1" ref="Q450" ca="1">VLOOKUP(INDIRECT("A"&amp;ROW()), 'Recent Changes'!A:G, 3, FALSE)</f>
        <v>#N/A</v>
      </c>
      <c r="R450" t="e" cm="1">
        <f t="array" aca="1" ref="R450" ca="1">VLOOKUP(INDIRECT("A"&amp;ROW()), 'Recent Changes'!A:G, 4, FALSE)</f>
        <v>#N/A</v>
      </c>
      <c r="S450" t="e" cm="1">
        <f t="array" aca="1" ref="S450" ca="1">VLOOKUP(INDIRECT("A"&amp;ROW()), 'Recent Changes'!A:G, 5, FALSE)</f>
        <v>#N/A</v>
      </c>
      <c r="T450" t="e" cm="1">
        <f t="array" aca="1" ref="T450" ca="1">VLOOKUP(INDIRECT("A"&amp;ROW()), 'Recent Changes'!A:G, 6, FALSE)</f>
        <v>#N/A</v>
      </c>
      <c r="U450" t="e" cm="1">
        <f t="array" aca="1" ref="U450" ca="1">VLOOKUP(INDIRECT("A"&amp;ROW()), 'Recent Changes'!A:G, 7, FALSE)</f>
        <v>#N/A</v>
      </c>
      <c r="V450" t="e" cm="1">
        <f t="array" aca="1" ref="V450" ca="1">VLOOKUP(INDIRECT("A"&amp;ROW()), 'Recent Changes'!A:H, 8, FALSE)</f>
        <v>#N/A</v>
      </c>
    </row>
    <row r="451" spans="1:22" x14ac:dyDescent="0.25">
      <c r="A451">
        <v>11999990</v>
      </c>
      <c r="B451" t="s">
        <v>433</v>
      </c>
      <c r="C451">
        <v>15</v>
      </c>
      <c r="G451" t="e" cm="1">
        <v>#N/A</v>
      </c>
      <c r="H451">
        <v>45294</v>
      </c>
      <c r="I451" t="s">
        <v>15</v>
      </c>
      <c r="J451" t="s">
        <v>22</v>
      </c>
      <c r="K451" t="s">
        <v>44</v>
      </c>
      <c r="L451" t="s">
        <v>55</v>
      </c>
      <c r="M451" t="s">
        <v>409</v>
      </c>
      <c r="N451" t="s">
        <v>2272</v>
      </c>
      <c r="O451" t="s">
        <v>431</v>
      </c>
      <c r="P451" t="e" cm="1">
        <f t="array" aca="1" ref="P451" ca="1">VLOOKUP(INDIRECT("A"&amp;ROW()), 'Recent Changes'!A:G, 2, FALSE)</f>
        <v>#N/A</v>
      </c>
      <c r="Q451" t="e" cm="1">
        <f t="array" aca="1" ref="Q451" ca="1">VLOOKUP(INDIRECT("A"&amp;ROW()), 'Recent Changes'!A:G, 3, FALSE)</f>
        <v>#N/A</v>
      </c>
      <c r="R451" t="e" cm="1">
        <f t="array" aca="1" ref="R451" ca="1">VLOOKUP(INDIRECT("A"&amp;ROW()), 'Recent Changes'!A:G, 4, FALSE)</f>
        <v>#N/A</v>
      </c>
      <c r="S451" t="e" cm="1">
        <f t="array" aca="1" ref="S451" ca="1">VLOOKUP(INDIRECT("A"&amp;ROW()), 'Recent Changes'!A:G, 5, FALSE)</f>
        <v>#N/A</v>
      </c>
      <c r="T451" t="e" cm="1">
        <f t="array" aca="1" ref="T451" ca="1">VLOOKUP(INDIRECT("A"&amp;ROW()), 'Recent Changes'!A:G, 6, FALSE)</f>
        <v>#N/A</v>
      </c>
      <c r="U451" t="e" cm="1">
        <f t="array" aca="1" ref="U451" ca="1">VLOOKUP(INDIRECT("A"&amp;ROW()), 'Recent Changes'!A:G, 7, FALSE)</f>
        <v>#N/A</v>
      </c>
      <c r="V451" t="e" cm="1">
        <f t="array" aca="1" ref="V451" ca="1">VLOOKUP(INDIRECT("A"&amp;ROW()), 'Recent Changes'!A:H, 8, FALSE)</f>
        <v>#N/A</v>
      </c>
    </row>
    <row r="452" spans="1:22" x14ac:dyDescent="0.25">
      <c r="A452">
        <v>16997141</v>
      </c>
      <c r="B452" t="s">
        <v>433</v>
      </c>
      <c r="C452">
        <v>13</v>
      </c>
      <c r="G452" t="e" cm="1">
        <v>#N/A</v>
      </c>
      <c r="H452">
        <v>45294</v>
      </c>
      <c r="I452" t="s">
        <v>15</v>
      </c>
      <c r="J452" t="s">
        <v>25</v>
      </c>
      <c r="K452" t="s">
        <v>44</v>
      </c>
      <c r="L452" t="s">
        <v>401</v>
      </c>
      <c r="M452" t="s">
        <v>2194</v>
      </c>
      <c r="N452" t="s">
        <v>2273</v>
      </c>
      <c r="O452" t="s">
        <v>431</v>
      </c>
      <c r="P452" t="e" cm="1">
        <f t="array" aca="1" ref="P452" ca="1">VLOOKUP(INDIRECT("A"&amp;ROW()), 'Recent Changes'!A:G, 2, FALSE)</f>
        <v>#N/A</v>
      </c>
      <c r="Q452" t="e" cm="1">
        <f t="array" aca="1" ref="Q452" ca="1">VLOOKUP(INDIRECT("A"&amp;ROW()), 'Recent Changes'!A:G, 3, FALSE)</f>
        <v>#N/A</v>
      </c>
      <c r="R452" t="e" cm="1">
        <f t="array" aca="1" ref="R452" ca="1">VLOOKUP(INDIRECT("A"&amp;ROW()), 'Recent Changes'!A:G, 4, FALSE)</f>
        <v>#N/A</v>
      </c>
      <c r="S452" t="e" cm="1">
        <f t="array" aca="1" ref="S452" ca="1">VLOOKUP(INDIRECT("A"&amp;ROW()), 'Recent Changes'!A:G, 5, FALSE)</f>
        <v>#N/A</v>
      </c>
      <c r="T452" t="e" cm="1">
        <f t="array" aca="1" ref="T452" ca="1">VLOOKUP(INDIRECT("A"&amp;ROW()), 'Recent Changes'!A:G, 6, FALSE)</f>
        <v>#N/A</v>
      </c>
      <c r="U452" t="e" cm="1">
        <f t="array" aca="1" ref="U452" ca="1">VLOOKUP(INDIRECT("A"&amp;ROW()), 'Recent Changes'!A:G, 7, FALSE)</f>
        <v>#N/A</v>
      </c>
      <c r="V452" t="e" cm="1">
        <f t="array" aca="1" ref="V452" ca="1">VLOOKUP(INDIRECT("A"&amp;ROW()), 'Recent Changes'!A:H, 8, FALSE)</f>
        <v>#N/A</v>
      </c>
    </row>
    <row r="453" spans="1:22" x14ac:dyDescent="0.25">
      <c r="A453">
        <v>17243897</v>
      </c>
      <c r="B453" t="s" cm="1">
        <v>430</v>
      </c>
      <c r="C453">
        <v>13</v>
      </c>
      <c r="G453" t="e" cm="1">
        <v>#N/A</v>
      </c>
      <c r="H453" t="s">
        <v>14</v>
      </c>
      <c r="I453" t="s">
        <v>14</v>
      </c>
      <c r="J453" t="s">
        <v>18</v>
      </c>
      <c r="K453" t="s">
        <v>44</v>
      </c>
      <c r="L453" t="s">
        <v>2122</v>
      </c>
      <c r="M453" t="s">
        <v>76</v>
      </c>
      <c r="N453" t="s">
        <v>83</v>
      </c>
      <c r="P453" t="str" cm="1">
        <f t="array" aca="1" ref="P453" ca="1">VLOOKUP(INDIRECT("A"&amp;ROW()), 'Recent Changes'!A:G, 2, FALSE)</f>
        <v>NULL</v>
      </c>
      <c r="Q453" t="str" cm="1">
        <f t="array" aca="1" ref="Q453" ca="1">VLOOKUP(INDIRECT("A"&amp;ROW()), 'Recent Changes'!A:G, 3, FALSE)</f>
        <v>NULL</v>
      </c>
      <c r="R453" t="str" cm="1">
        <f t="array" aca="1" ref="R453" ca="1">VLOOKUP(INDIRECT("A"&amp;ROW()), 'Recent Changes'!A:G, 4, FALSE)</f>
        <v>NULL</v>
      </c>
      <c r="S453" t="str" cm="1">
        <f t="array" aca="1" ref="S453" ca="1">VLOOKUP(INDIRECT("A"&amp;ROW()), 'Recent Changes'!A:G, 5, FALSE)</f>
        <v>2023-12-26T22:19:13Z</v>
      </c>
      <c r="T453" t="str" cm="1">
        <f t="array" aca="1" ref="T453" ca="1">VLOOKUP(INDIRECT("A"&amp;ROW()), 'Recent Changes'!A:G, 6, FALSE)</f>
        <v>NULL</v>
      </c>
      <c r="U453" t="str" cm="1">
        <f t="array" aca="1" ref="U453" ca="1">VLOOKUP(INDIRECT("A"&amp;ROW()), 'Recent Changes'!A:G, 7, FALSE)</f>
        <v>NULL</v>
      </c>
      <c r="V453" t="str" cm="1">
        <f t="array" aca="1" ref="V453" ca="1">VLOOKUP(INDIRECT("A"&amp;ROW()), 'Recent Changes'!A:H, 8, FALSE)</f>
        <v>2023-12-27T07:51:07Z</v>
      </c>
    </row>
    <row r="454" spans="1:22" x14ac:dyDescent="0.25">
      <c r="A454">
        <v>17282597</v>
      </c>
      <c r="B454" t="s" cm="1">
        <v>430</v>
      </c>
      <c r="C454">
        <v>13</v>
      </c>
      <c r="G454" t="e" cm="1">
        <v>#N/A</v>
      </c>
      <c r="H454" t="s">
        <v>14</v>
      </c>
      <c r="I454" t="s">
        <v>14</v>
      </c>
      <c r="J454" t="s">
        <v>26</v>
      </c>
      <c r="K454" t="s">
        <v>44</v>
      </c>
      <c r="L454" t="s">
        <v>434</v>
      </c>
      <c r="M454" t="s">
        <v>78</v>
      </c>
      <c r="N454" t="s">
        <v>83</v>
      </c>
      <c r="P454" t="str" cm="1">
        <f t="array" aca="1" ref="P454" ca="1">VLOOKUP(INDIRECT("A"&amp;ROW()), 'Recent Changes'!A:G, 2, FALSE)</f>
        <v>NULL</v>
      </c>
      <c r="Q454" t="str" cm="1">
        <f t="array" aca="1" ref="Q454" ca="1">VLOOKUP(INDIRECT("A"&amp;ROW()), 'Recent Changes'!A:G, 3, FALSE)</f>
        <v>NULL</v>
      </c>
      <c r="R454" t="str" cm="1">
        <f t="array" aca="1" ref="R454" ca="1">VLOOKUP(INDIRECT("A"&amp;ROW()), 'Recent Changes'!A:G, 4, FALSE)</f>
        <v>NULL</v>
      </c>
      <c r="S454" t="str" cm="1">
        <f t="array" aca="1" ref="S454" ca="1">VLOOKUP(INDIRECT("A"&amp;ROW()), 'Recent Changes'!A:G, 5, FALSE)</f>
        <v>2023-12-26T21:56:08Z</v>
      </c>
      <c r="T454" t="str" cm="1">
        <f t="array" aca="1" ref="T454" ca="1">VLOOKUP(INDIRECT("A"&amp;ROW()), 'Recent Changes'!A:G, 6, FALSE)</f>
        <v>NULL</v>
      </c>
      <c r="U454" t="str" cm="1">
        <f t="array" aca="1" ref="U454" ca="1">VLOOKUP(INDIRECT("A"&amp;ROW()), 'Recent Changes'!A:G, 7, FALSE)</f>
        <v>NULL</v>
      </c>
      <c r="V454" t="str" cm="1">
        <f t="array" aca="1" ref="V454" ca="1">VLOOKUP(INDIRECT("A"&amp;ROW()), 'Recent Changes'!A:H, 8, FALSE)</f>
        <v>2023-12-27T07:50:47Z</v>
      </c>
    </row>
    <row r="455" spans="1:22" x14ac:dyDescent="0.25">
      <c r="A455">
        <v>17306615</v>
      </c>
      <c r="B455" t="s">
        <v>433</v>
      </c>
      <c r="C455">
        <v>13</v>
      </c>
      <c r="G455" t="e" cm="1">
        <v>#N/A</v>
      </c>
      <c r="H455">
        <v>45295</v>
      </c>
      <c r="I455" t="s">
        <v>15</v>
      </c>
      <c r="J455" t="s">
        <v>30</v>
      </c>
      <c r="K455" t="s">
        <v>44</v>
      </c>
      <c r="L455" t="s">
        <v>74</v>
      </c>
      <c r="M455" t="s">
        <v>76</v>
      </c>
      <c r="N455" t="s">
        <v>2247</v>
      </c>
      <c r="O455" t="s">
        <v>431</v>
      </c>
      <c r="P455" t="e" cm="1">
        <f t="array" aca="1" ref="P455" ca="1">VLOOKUP(INDIRECT("A"&amp;ROW()), 'Recent Changes'!A:G, 2, FALSE)</f>
        <v>#N/A</v>
      </c>
      <c r="Q455" t="e" cm="1">
        <f t="array" aca="1" ref="Q455" ca="1">VLOOKUP(INDIRECT("A"&amp;ROW()), 'Recent Changes'!A:G, 3, FALSE)</f>
        <v>#N/A</v>
      </c>
      <c r="R455" t="e" cm="1">
        <f t="array" aca="1" ref="R455" ca="1">VLOOKUP(INDIRECT("A"&amp;ROW()), 'Recent Changes'!A:G, 4, FALSE)</f>
        <v>#N/A</v>
      </c>
      <c r="S455" t="e" cm="1">
        <f t="array" aca="1" ref="S455" ca="1">VLOOKUP(INDIRECT("A"&amp;ROW()), 'Recent Changes'!A:G, 5, FALSE)</f>
        <v>#N/A</v>
      </c>
      <c r="T455" t="e" cm="1">
        <f t="array" aca="1" ref="T455" ca="1">VLOOKUP(INDIRECT("A"&amp;ROW()), 'Recent Changes'!A:G, 6, FALSE)</f>
        <v>#N/A</v>
      </c>
      <c r="U455" t="e" cm="1">
        <f t="array" aca="1" ref="U455" ca="1">VLOOKUP(INDIRECT("A"&amp;ROW()), 'Recent Changes'!A:G, 7, FALSE)</f>
        <v>#N/A</v>
      </c>
      <c r="V455" t="e" cm="1">
        <f t="array" aca="1" ref="V455" ca="1">VLOOKUP(INDIRECT("A"&amp;ROW()), 'Recent Changes'!A:H, 8, FALSE)</f>
        <v>#N/A</v>
      </c>
    </row>
    <row r="456" spans="1:22" x14ac:dyDescent="0.25">
      <c r="A456">
        <v>17631348</v>
      </c>
      <c r="B456" t="s">
        <v>433</v>
      </c>
      <c r="C456">
        <v>13</v>
      </c>
      <c r="G456" t="e" cm="1">
        <v>#N/A</v>
      </c>
      <c r="H456" t="s">
        <v>14</v>
      </c>
      <c r="I456" t="s">
        <v>14</v>
      </c>
      <c r="J456" t="s">
        <v>38</v>
      </c>
      <c r="K456" t="s">
        <v>49</v>
      </c>
      <c r="L456" t="s">
        <v>71</v>
      </c>
      <c r="M456" t="s">
        <v>76</v>
      </c>
      <c r="N456" t="s">
        <v>1974</v>
      </c>
      <c r="P456" t="e" cm="1">
        <f t="array" aca="1" ref="P456" ca="1">VLOOKUP(INDIRECT("A"&amp;ROW()), 'Recent Changes'!A:G, 2, FALSE)</f>
        <v>#N/A</v>
      </c>
      <c r="Q456" t="e" cm="1">
        <f t="array" aca="1" ref="Q456" ca="1">VLOOKUP(INDIRECT("A"&amp;ROW()), 'Recent Changes'!A:G, 3, FALSE)</f>
        <v>#N/A</v>
      </c>
      <c r="R456" t="e" cm="1">
        <f t="array" aca="1" ref="R456" ca="1">VLOOKUP(INDIRECT("A"&amp;ROW()), 'Recent Changes'!A:G, 4, FALSE)</f>
        <v>#N/A</v>
      </c>
      <c r="S456" t="e" cm="1">
        <f t="array" aca="1" ref="S456" ca="1">VLOOKUP(INDIRECT("A"&amp;ROW()), 'Recent Changes'!A:G, 5, FALSE)</f>
        <v>#N/A</v>
      </c>
      <c r="T456" t="e" cm="1">
        <f t="array" aca="1" ref="T456" ca="1">VLOOKUP(INDIRECT("A"&amp;ROW()), 'Recent Changes'!A:G, 6, FALSE)</f>
        <v>#N/A</v>
      </c>
      <c r="U456" t="e" cm="1">
        <f t="array" aca="1" ref="U456" ca="1">VLOOKUP(INDIRECT("A"&amp;ROW()), 'Recent Changes'!A:G, 7, FALSE)</f>
        <v>#N/A</v>
      </c>
      <c r="V456" t="e" cm="1">
        <f t="array" aca="1" ref="V456" ca="1">VLOOKUP(INDIRECT("A"&amp;ROW()), 'Recent Changes'!A:H, 8, FALSE)</f>
        <v>#N/A</v>
      </c>
    </row>
    <row r="457" spans="1:22" x14ac:dyDescent="0.25">
      <c r="A457">
        <v>16661634</v>
      </c>
      <c r="B457" t="s">
        <v>430</v>
      </c>
      <c r="C457">
        <v>12</v>
      </c>
      <c r="G457" t="e" cm="1">
        <v>#N/A</v>
      </c>
      <c r="H457" t="s">
        <v>14</v>
      </c>
      <c r="I457" t="s">
        <v>14</v>
      </c>
      <c r="J457" t="s">
        <v>25</v>
      </c>
      <c r="K457" t="s">
        <v>44</v>
      </c>
      <c r="L457" t="s">
        <v>2176</v>
      </c>
      <c r="M457" t="s">
        <v>569</v>
      </c>
      <c r="N457" t="s">
        <v>83</v>
      </c>
      <c r="P457" t="str" cm="1">
        <f t="array" aca="1" ref="P457" ca="1">VLOOKUP(INDIRECT("A"&amp;ROW()), 'Recent Changes'!A:G, 2, FALSE)</f>
        <v>NULL</v>
      </c>
      <c r="Q457" t="str" cm="1">
        <f t="array" aca="1" ref="Q457" ca="1">VLOOKUP(INDIRECT("A"&amp;ROW()), 'Recent Changes'!A:G, 3, FALSE)</f>
        <v>NULL</v>
      </c>
      <c r="R457" t="str" cm="1">
        <f t="array" aca="1" ref="R457" ca="1">VLOOKUP(INDIRECT("A"&amp;ROW()), 'Recent Changes'!A:G, 4, FALSE)</f>
        <v>NULL</v>
      </c>
      <c r="S457" t="str" cm="1">
        <f t="array" aca="1" ref="S457" ca="1">VLOOKUP(INDIRECT("A"&amp;ROW()), 'Recent Changes'!A:G, 5, FALSE)</f>
        <v>2023-12-27T21:03:42Z</v>
      </c>
      <c r="T457" t="str" cm="1">
        <f t="array" aca="1" ref="T457" ca="1">VLOOKUP(INDIRECT("A"&amp;ROW()), 'Recent Changes'!A:G, 6, FALSE)</f>
        <v>NULL</v>
      </c>
      <c r="U457" t="str" cm="1">
        <f t="array" aca="1" ref="U457" ca="1">VLOOKUP(INDIRECT("A"&amp;ROW()), 'Recent Changes'!A:G, 7, FALSE)</f>
        <v>2023-07-07T15:44:37Z</v>
      </c>
      <c r="V457" t="str" cm="1">
        <f t="array" aca="1" ref="V457" ca="1">VLOOKUP(INDIRECT("A"&amp;ROW()), 'Recent Changes'!A:H, 8, FALSE)</f>
        <v>2023-12-28T08:03:16Z</v>
      </c>
    </row>
    <row r="458" spans="1:22" x14ac:dyDescent="0.25">
      <c r="A458">
        <v>16781267</v>
      </c>
      <c r="B458" t="s" cm="1">
        <v>430</v>
      </c>
      <c r="C458">
        <v>12</v>
      </c>
      <c r="G458" t="e" cm="1">
        <v>#N/A</v>
      </c>
      <c r="H458" t="s">
        <v>14</v>
      </c>
      <c r="I458" t="s">
        <v>14</v>
      </c>
      <c r="J458" t="s">
        <v>30</v>
      </c>
      <c r="K458" t="s">
        <v>44</v>
      </c>
      <c r="L458" t="s">
        <v>626</v>
      </c>
      <c r="M458" t="s">
        <v>78</v>
      </c>
      <c r="N458" t="s">
        <v>83</v>
      </c>
      <c r="P458" t="str" cm="1">
        <f t="array" aca="1" ref="P458" ca="1">VLOOKUP(INDIRECT("A"&amp;ROW()), 'Recent Changes'!A:G, 2, FALSE)</f>
        <v>NULL</v>
      </c>
      <c r="Q458" t="str" cm="1">
        <f t="array" aca="1" ref="Q458" ca="1">VLOOKUP(INDIRECT("A"&amp;ROW()), 'Recent Changes'!A:G, 3, FALSE)</f>
        <v>NULL</v>
      </c>
      <c r="R458" t="str" cm="1">
        <f t="array" aca="1" ref="R458" ca="1">VLOOKUP(INDIRECT("A"&amp;ROW()), 'Recent Changes'!A:G, 4, FALSE)</f>
        <v>NULL</v>
      </c>
      <c r="S458" t="str" cm="1">
        <f t="array" aca="1" ref="S458" ca="1">VLOOKUP(INDIRECT("A"&amp;ROW()), 'Recent Changes'!A:G, 5, FALSE)</f>
        <v>2023-12-27T14:03:52Z</v>
      </c>
      <c r="T458" t="str" cm="1">
        <f t="array" aca="1" ref="T458" ca="1">VLOOKUP(INDIRECT("A"&amp;ROW()), 'Recent Changes'!A:G, 6, FALSE)</f>
        <v>NULL</v>
      </c>
      <c r="U458" t="str" cm="1">
        <f t="array" aca="1" ref="U458" ca="1">VLOOKUP(INDIRECT("A"&amp;ROW()), 'Recent Changes'!A:G, 7, FALSE)</f>
        <v>NULL</v>
      </c>
      <c r="V458" t="str" cm="1">
        <f t="array" aca="1" ref="V458" ca="1">VLOOKUP(INDIRECT("A"&amp;ROW()), 'Recent Changes'!A:H, 8, FALSE)</f>
        <v>2023-12-27T16:10:26Z</v>
      </c>
    </row>
    <row r="459" spans="1:22" x14ac:dyDescent="0.25">
      <c r="A459">
        <v>16808166</v>
      </c>
      <c r="B459" t="s" cm="1">
        <v>430</v>
      </c>
      <c r="C459">
        <v>12</v>
      </c>
      <c r="G459" t="e" cm="1">
        <v>#N/A</v>
      </c>
      <c r="H459" t="s">
        <v>14</v>
      </c>
      <c r="I459" t="s">
        <v>14</v>
      </c>
      <c r="J459" t="s">
        <v>26</v>
      </c>
      <c r="K459" t="s">
        <v>44</v>
      </c>
      <c r="L459" t="s">
        <v>1708</v>
      </c>
      <c r="M459" t="s">
        <v>78</v>
      </c>
      <c r="N459" t="s">
        <v>83</v>
      </c>
      <c r="P459" t="str" cm="1">
        <f t="array" aca="1" ref="P459" ca="1">VLOOKUP(INDIRECT("A"&amp;ROW()), 'Recent Changes'!A:G, 2, FALSE)</f>
        <v>NULL</v>
      </c>
      <c r="Q459" t="str" cm="1">
        <f t="array" aca="1" ref="Q459" ca="1">VLOOKUP(INDIRECT("A"&amp;ROW()), 'Recent Changes'!A:G, 3, FALSE)</f>
        <v>NULL</v>
      </c>
      <c r="R459" t="str" cm="1">
        <f t="array" aca="1" ref="R459" ca="1">VLOOKUP(INDIRECT("A"&amp;ROW()), 'Recent Changes'!A:G, 4, FALSE)</f>
        <v>NULL</v>
      </c>
      <c r="S459" t="str" cm="1">
        <f t="array" aca="1" ref="S459" ca="1">VLOOKUP(INDIRECT("A"&amp;ROW()), 'Recent Changes'!A:G, 5, FALSE)</f>
        <v>2023-12-27T14:06:07Z</v>
      </c>
      <c r="T459" t="str" cm="1">
        <f t="array" aca="1" ref="T459" ca="1">VLOOKUP(INDIRECT("A"&amp;ROW()), 'Recent Changes'!A:G, 6, FALSE)</f>
        <v>NULL</v>
      </c>
      <c r="U459" t="str" cm="1">
        <f t="array" aca="1" ref="U459" ca="1">VLOOKUP(INDIRECT("A"&amp;ROW()), 'Recent Changes'!A:G, 7, FALSE)</f>
        <v>NULL</v>
      </c>
      <c r="V459" t="str" cm="1">
        <f t="array" aca="1" ref="V459" ca="1">VLOOKUP(INDIRECT("A"&amp;ROW()), 'Recent Changes'!A:H, 8, FALSE)</f>
        <v>2023-12-27T16:24:04Z</v>
      </c>
    </row>
    <row r="460" spans="1:22" x14ac:dyDescent="0.25">
      <c r="A460">
        <v>17257299</v>
      </c>
      <c r="B460" t="s" cm="1">
        <v>430</v>
      </c>
      <c r="C460">
        <v>12</v>
      </c>
      <c r="G460" t="e" cm="1">
        <v>#N/A</v>
      </c>
      <c r="H460" t="s">
        <v>14</v>
      </c>
      <c r="I460" t="s">
        <v>14</v>
      </c>
      <c r="J460" t="s">
        <v>30</v>
      </c>
      <c r="K460" t="s">
        <v>44</v>
      </c>
      <c r="L460" t="s">
        <v>400</v>
      </c>
      <c r="M460" t="s">
        <v>76</v>
      </c>
      <c r="N460" t="s">
        <v>83</v>
      </c>
      <c r="P460" t="str" cm="1">
        <f t="array" aca="1" ref="P460" ca="1">VLOOKUP(INDIRECT("A"&amp;ROW()), 'Recent Changes'!A:G, 2, FALSE)</f>
        <v>NULL</v>
      </c>
      <c r="Q460" t="str" cm="1">
        <f t="array" aca="1" ref="Q460" ca="1">VLOOKUP(INDIRECT("A"&amp;ROW()), 'Recent Changes'!A:G, 3, FALSE)</f>
        <v>NULL</v>
      </c>
      <c r="R460" t="str" cm="1">
        <f t="array" aca="1" ref="R460" ca="1">VLOOKUP(INDIRECT("A"&amp;ROW()), 'Recent Changes'!A:G, 4, FALSE)</f>
        <v>NULL</v>
      </c>
      <c r="S460" t="str" cm="1">
        <f t="array" aca="1" ref="S460" ca="1">VLOOKUP(INDIRECT("A"&amp;ROW()), 'Recent Changes'!A:G, 5, FALSE)</f>
        <v>2023-12-27T19:27:25Z</v>
      </c>
      <c r="T460" t="str" cm="1">
        <f t="array" aca="1" ref="T460" ca="1">VLOOKUP(INDIRECT("A"&amp;ROW()), 'Recent Changes'!A:G, 6, FALSE)</f>
        <v>NULL</v>
      </c>
      <c r="U460" t="str" cm="1">
        <f t="array" aca="1" ref="U460" ca="1">VLOOKUP(INDIRECT("A"&amp;ROW()), 'Recent Changes'!A:G, 7, FALSE)</f>
        <v>2023-10-23T23:57:08Z</v>
      </c>
      <c r="V460" t="str" cm="1">
        <f t="array" aca="1" ref="V460" ca="1">VLOOKUP(INDIRECT("A"&amp;ROW()), 'Recent Changes'!A:H, 8, FALSE)</f>
        <v>2023-12-28T07:51:37Z</v>
      </c>
    </row>
    <row r="461" spans="1:22" x14ac:dyDescent="0.25">
      <c r="A461">
        <v>17635149</v>
      </c>
      <c r="B461" t="s">
        <v>433</v>
      </c>
      <c r="C461">
        <v>12</v>
      </c>
      <c r="G461" t="e" cm="1">
        <v>#N/A</v>
      </c>
      <c r="H461">
        <v>45296</v>
      </c>
      <c r="I461" t="s">
        <v>15</v>
      </c>
      <c r="J461" t="s">
        <v>23</v>
      </c>
      <c r="K461" t="s">
        <v>44</v>
      </c>
      <c r="L461" t="s">
        <v>2177</v>
      </c>
      <c r="M461" t="s">
        <v>76</v>
      </c>
      <c r="N461" t="s">
        <v>441</v>
      </c>
      <c r="O461" t="s">
        <v>431</v>
      </c>
      <c r="P461" t="e" cm="1">
        <f t="array" aca="1" ref="P461" ca="1">VLOOKUP(INDIRECT("A"&amp;ROW()), 'Recent Changes'!A:G, 2, FALSE)</f>
        <v>#N/A</v>
      </c>
      <c r="Q461" t="e" cm="1">
        <f t="array" aca="1" ref="Q461" ca="1">VLOOKUP(INDIRECT("A"&amp;ROW()), 'Recent Changes'!A:G, 3, FALSE)</f>
        <v>#N/A</v>
      </c>
      <c r="R461" t="e" cm="1">
        <f t="array" aca="1" ref="R461" ca="1">VLOOKUP(INDIRECT("A"&amp;ROW()), 'Recent Changes'!A:G, 4, FALSE)</f>
        <v>#N/A</v>
      </c>
      <c r="S461" t="e" cm="1">
        <f t="array" aca="1" ref="S461" ca="1">VLOOKUP(INDIRECT("A"&amp;ROW()), 'Recent Changes'!A:G, 5, FALSE)</f>
        <v>#N/A</v>
      </c>
      <c r="T461" t="e" cm="1">
        <f t="array" aca="1" ref="T461" ca="1">VLOOKUP(INDIRECT("A"&amp;ROW()), 'Recent Changes'!A:G, 6, FALSE)</f>
        <v>#N/A</v>
      </c>
      <c r="U461" t="e" cm="1">
        <f t="array" aca="1" ref="U461" ca="1">VLOOKUP(INDIRECT("A"&amp;ROW()), 'Recent Changes'!A:G, 7, FALSE)</f>
        <v>#N/A</v>
      </c>
      <c r="V461" t="e" cm="1">
        <f t="array" aca="1" ref="V461" ca="1">VLOOKUP(INDIRECT("A"&amp;ROW()), 'Recent Changes'!A:H, 8, FALSE)</f>
        <v>#N/A</v>
      </c>
    </row>
    <row r="462" spans="1:22" x14ac:dyDescent="0.25">
      <c r="A462">
        <v>14535357</v>
      </c>
      <c r="B462" t="s" cm="1">
        <v>430</v>
      </c>
      <c r="C462">
        <v>8</v>
      </c>
      <c r="G462" t="e" cm="1">
        <v>#N/A</v>
      </c>
      <c r="H462" t="s">
        <v>14</v>
      </c>
      <c r="I462" t="s">
        <v>14</v>
      </c>
      <c r="J462" t="s">
        <v>30</v>
      </c>
      <c r="K462" t="s">
        <v>48</v>
      </c>
      <c r="L462" t="s">
        <v>1705</v>
      </c>
      <c r="M462" t="s">
        <v>78</v>
      </c>
      <c r="N462" t="s">
        <v>83</v>
      </c>
      <c r="P462" t="str" cm="1">
        <f t="array" aca="1" ref="P462" ca="1">VLOOKUP(INDIRECT("A"&amp;ROW()), 'Recent Changes'!A:G, 2, FALSE)</f>
        <v>NULL</v>
      </c>
      <c r="Q462" t="str" cm="1">
        <f t="array" aca="1" ref="Q462" ca="1">VLOOKUP(INDIRECT("A"&amp;ROW()), 'Recent Changes'!A:G, 3, FALSE)</f>
        <v>NULL</v>
      </c>
      <c r="R462" t="str" cm="1">
        <f t="array" aca="1" ref="R462" ca="1">VLOOKUP(INDIRECT("A"&amp;ROW()), 'Recent Changes'!A:G, 4, FALSE)</f>
        <v>NULL</v>
      </c>
      <c r="S462" t="str" cm="1">
        <f t="array" aca="1" ref="S462" ca="1">VLOOKUP(INDIRECT("A"&amp;ROW()), 'Recent Changes'!A:G, 5, FALSE)</f>
        <v>2023-12-31T17:40:17Z</v>
      </c>
      <c r="T462" t="str" cm="1">
        <f t="array" aca="1" ref="T462" ca="1">VLOOKUP(INDIRECT("A"&amp;ROW()), 'Recent Changes'!A:G, 6, FALSE)</f>
        <v>NULL</v>
      </c>
      <c r="U462" t="str" cm="1">
        <f t="array" aca="1" ref="U462" ca="1">VLOOKUP(INDIRECT("A"&amp;ROW()), 'Recent Changes'!A:G, 7, FALSE)</f>
        <v>2023-12-31T17:43:27Z</v>
      </c>
      <c r="V462" t="str" cm="1">
        <f t="array" aca="1" ref="V462" ca="1">VLOOKUP(INDIRECT("A"&amp;ROW()), 'Recent Changes'!A:H, 8, FALSE)</f>
        <v>2023-12-31T21:12:12Z</v>
      </c>
    </row>
    <row r="463" spans="1:22" x14ac:dyDescent="0.25">
      <c r="A463">
        <v>15349177</v>
      </c>
      <c r="B463" t="s">
        <v>433</v>
      </c>
      <c r="C463">
        <v>7</v>
      </c>
      <c r="G463" t="e" cm="1">
        <v>#N/A</v>
      </c>
      <c r="H463">
        <v>45295</v>
      </c>
      <c r="I463" t="s">
        <v>15</v>
      </c>
      <c r="J463" t="s">
        <v>24</v>
      </c>
      <c r="K463" t="s">
        <v>44</v>
      </c>
      <c r="L463" t="s">
        <v>397</v>
      </c>
      <c r="M463" t="s">
        <v>76</v>
      </c>
      <c r="N463" t="s">
        <v>2274</v>
      </c>
      <c r="O463" t="s">
        <v>431</v>
      </c>
      <c r="P463" t="e" cm="1">
        <f t="array" aca="1" ref="P463" ca="1">VLOOKUP(INDIRECT("A"&amp;ROW()), 'Recent Changes'!A:G, 2, FALSE)</f>
        <v>#N/A</v>
      </c>
      <c r="Q463" t="e" cm="1">
        <f t="array" aca="1" ref="Q463" ca="1">VLOOKUP(INDIRECT("A"&amp;ROW()), 'Recent Changes'!A:G, 3, FALSE)</f>
        <v>#N/A</v>
      </c>
      <c r="R463" t="e" cm="1">
        <f t="array" aca="1" ref="R463" ca="1">VLOOKUP(INDIRECT("A"&amp;ROW()), 'Recent Changes'!A:G, 4, FALSE)</f>
        <v>#N/A</v>
      </c>
      <c r="S463" t="e" cm="1">
        <f t="array" aca="1" ref="S463" ca="1">VLOOKUP(INDIRECT("A"&amp;ROW()), 'Recent Changes'!A:G, 5, FALSE)</f>
        <v>#N/A</v>
      </c>
      <c r="T463" t="e" cm="1">
        <f t="array" aca="1" ref="T463" ca="1">VLOOKUP(INDIRECT("A"&amp;ROW()), 'Recent Changes'!A:G, 6, FALSE)</f>
        <v>#N/A</v>
      </c>
      <c r="U463" t="e" cm="1">
        <f t="array" aca="1" ref="U463" ca="1">VLOOKUP(INDIRECT("A"&amp;ROW()), 'Recent Changes'!A:G, 7, FALSE)</f>
        <v>#N/A</v>
      </c>
      <c r="V463" t="e" cm="1">
        <f t="array" aca="1" ref="V463" ca="1">VLOOKUP(INDIRECT("A"&amp;ROW()), 'Recent Changes'!A:H, 8, FALSE)</f>
        <v>#N/A</v>
      </c>
    </row>
    <row r="464" spans="1:22" x14ac:dyDescent="0.25">
      <c r="A464">
        <v>14401877</v>
      </c>
      <c r="B464" t="s" cm="1">
        <v>430</v>
      </c>
      <c r="C464">
        <v>6</v>
      </c>
      <c r="G464" t="e" cm="1">
        <v>#N/A</v>
      </c>
      <c r="H464" t="s">
        <v>14</v>
      </c>
      <c r="I464" t="s">
        <v>14</v>
      </c>
      <c r="J464" t="s">
        <v>18</v>
      </c>
      <c r="K464" t="s">
        <v>44</v>
      </c>
      <c r="L464" t="s">
        <v>86</v>
      </c>
      <c r="M464" t="s">
        <v>76</v>
      </c>
      <c r="N464" t="s">
        <v>83</v>
      </c>
      <c r="P464" t="str" cm="1">
        <f t="array" aca="1" ref="P464" ca="1">VLOOKUP(INDIRECT("A"&amp;ROW()), 'Recent Changes'!A:G, 2, FALSE)</f>
        <v>NULL</v>
      </c>
      <c r="Q464" t="str" cm="1">
        <f t="array" aca="1" ref="Q464" ca="1">VLOOKUP(INDIRECT("A"&amp;ROW()), 'Recent Changes'!A:G, 3, FALSE)</f>
        <v>NULL</v>
      </c>
      <c r="R464" t="str" cm="1">
        <f t="array" aca="1" ref="R464" ca="1">VLOOKUP(INDIRECT("A"&amp;ROW()), 'Recent Changes'!A:G, 4, FALSE)</f>
        <v>NULL</v>
      </c>
      <c r="S464" t="str" cm="1">
        <f t="array" aca="1" ref="S464" ca="1">VLOOKUP(INDIRECT("A"&amp;ROW()), 'Recent Changes'!A:G, 5, FALSE)</f>
        <v>NULL</v>
      </c>
      <c r="T464" t="str" cm="1">
        <f t="array" aca="1" ref="T464" ca="1">VLOOKUP(INDIRECT("A"&amp;ROW()), 'Recent Changes'!A:G, 6, FALSE)</f>
        <v>NULL</v>
      </c>
      <c r="U464" t="str" cm="1">
        <f t="array" aca="1" ref="U464" ca="1">VLOOKUP(INDIRECT("A"&amp;ROW()), 'Recent Changes'!A:G, 7, FALSE)</f>
        <v>2024-01-02T16:29:01Z</v>
      </c>
      <c r="V464" t="str" cm="1">
        <f t="array" aca="1" ref="V464" ca="1">VLOOKUP(INDIRECT("A"&amp;ROW()), 'Recent Changes'!A:H, 8, FALSE)</f>
        <v>2024-01-02T21:14:48Z</v>
      </c>
    </row>
    <row r="465" spans="1:22" x14ac:dyDescent="0.25">
      <c r="A465">
        <v>16005601</v>
      </c>
      <c r="B465" t="s" cm="1">
        <v>430</v>
      </c>
      <c r="C465">
        <v>6</v>
      </c>
      <c r="G465" t="e" cm="1">
        <v>#N/A</v>
      </c>
      <c r="H465" t="s">
        <v>14</v>
      </c>
      <c r="I465" t="s">
        <v>14</v>
      </c>
      <c r="J465" t="s">
        <v>30</v>
      </c>
      <c r="K465" t="s">
        <v>43</v>
      </c>
      <c r="L465" t="s">
        <v>2178</v>
      </c>
      <c r="M465" t="s">
        <v>78</v>
      </c>
      <c r="N465" t="s">
        <v>83</v>
      </c>
      <c r="P465" t="str" cm="1">
        <f t="array" aca="1" ref="P465" ca="1">VLOOKUP(INDIRECT("A"&amp;ROW()), 'Recent Changes'!A:G, 2, FALSE)</f>
        <v>NULL</v>
      </c>
      <c r="Q465" t="str" cm="1">
        <f t="array" aca="1" ref="Q465" ca="1">VLOOKUP(INDIRECT("A"&amp;ROW()), 'Recent Changes'!A:G, 3, FALSE)</f>
        <v>NULL</v>
      </c>
      <c r="R465" t="str" cm="1">
        <f t="array" aca="1" ref="R465" ca="1">VLOOKUP(INDIRECT("A"&amp;ROW()), 'Recent Changes'!A:G, 4, FALSE)</f>
        <v>NULL</v>
      </c>
      <c r="S465" t="str" cm="1">
        <f t="array" aca="1" ref="S465" ca="1">VLOOKUP(INDIRECT("A"&amp;ROW()), 'Recent Changes'!A:G, 5, FALSE)</f>
        <v>NULL</v>
      </c>
      <c r="T465" t="str" cm="1">
        <f t="array" aca="1" ref="T465" ca="1">VLOOKUP(INDIRECT("A"&amp;ROW()), 'Recent Changes'!A:G, 6, FALSE)</f>
        <v>NULL</v>
      </c>
      <c r="U465" t="str" cm="1">
        <f t="array" aca="1" ref="U465" ca="1">VLOOKUP(INDIRECT("A"&amp;ROW()), 'Recent Changes'!A:G, 7, FALSE)</f>
        <v>2024-01-02T00:13:21Z</v>
      </c>
      <c r="V465" t="str" cm="1">
        <f t="array" aca="1" ref="V465" ca="1">VLOOKUP(INDIRECT("A"&amp;ROW()), 'Recent Changes'!A:H, 8, FALSE)</f>
        <v>2024-01-02T16:31:48Z</v>
      </c>
    </row>
    <row r="466" spans="1:22" x14ac:dyDescent="0.25">
      <c r="A466">
        <v>17034951</v>
      </c>
      <c r="B466" t="s" cm="1">
        <v>430</v>
      </c>
      <c r="C466">
        <v>6</v>
      </c>
      <c r="G466" t="e" cm="1">
        <v>#N/A</v>
      </c>
      <c r="H466" t="s">
        <v>14</v>
      </c>
      <c r="I466" t="s">
        <v>14</v>
      </c>
      <c r="J466" t="s">
        <v>30</v>
      </c>
      <c r="K466" t="s">
        <v>48</v>
      </c>
      <c r="L466" t="s">
        <v>1696</v>
      </c>
      <c r="M466" t="s">
        <v>76</v>
      </c>
      <c r="N466" t="s">
        <v>83</v>
      </c>
      <c r="P466" t="str" cm="1">
        <f t="array" aca="1" ref="P466" ca="1">VLOOKUP(INDIRECT("A"&amp;ROW()), 'Recent Changes'!A:G, 2, FALSE)</f>
        <v>2024-01-02T16:28:22Z</v>
      </c>
      <c r="Q466" t="str" cm="1">
        <f t="array" aca="1" ref="Q466" ca="1">VLOOKUP(INDIRECT("A"&amp;ROW()), 'Recent Changes'!A:G, 3, FALSE)</f>
        <v>NULL</v>
      </c>
      <c r="R466" t="str" cm="1">
        <f t="array" aca="1" ref="R466" ca="1">VLOOKUP(INDIRECT("A"&amp;ROW()), 'Recent Changes'!A:G, 4, FALSE)</f>
        <v>NULL</v>
      </c>
      <c r="S466" t="str" cm="1">
        <f t="array" aca="1" ref="S466" ca="1">VLOOKUP(INDIRECT("A"&amp;ROW()), 'Recent Changes'!A:G, 5, FALSE)</f>
        <v>2024-01-02T16:28:22Z</v>
      </c>
      <c r="T466" t="str" cm="1">
        <f t="array" aca="1" ref="T466" ca="1">VLOOKUP(INDIRECT("A"&amp;ROW()), 'Recent Changes'!A:G, 6, FALSE)</f>
        <v>NULL</v>
      </c>
      <c r="U466" t="str" cm="1">
        <f t="array" aca="1" ref="U466" ca="1">VLOOKUP(INDIRECT("A"&amp;ROW()), 'Recent Changes'!A:G, 7, FALSE)</f>
        <v>2023-08-31T23:17:32Z</v>
      </c>
      <c r="V466" t="str" cm="1">
        <f t="array" aca="1" ref="V466" ca="1">VLOOKUP(INDIRECT("A"&amp;ROW()), 'Recent Changes'!A:H, 8, FALSE)</f>
        <v>2024-01-02T21:19:06Z</v>
      </c>
    </row>
    <row r="467" spans="1:22" x14ac:dyDescent="0.25">
      <c r="A467">
        <v>17342438</v>
      </c>
      <c r="B467" t="s" cm="1">
        <v>433</v>
      </c>
      <c r="C467">
        <v>6</v>
      </c>
      <c r="G467" t="e" cm="1">
        <v>#N/A</v>
      </c>
      <c r="H467" t="s">
        <v>14</v>
      </c>
      <c r="I467" t="s">
        <v>14</v>
      </c>
      <c r="J467" t="s">
        <v>30</v>
      </c>
      <c r="K467" t="s">
        <v>44</v>
      </c>
      <c r="L467" t="s">
        <v>2179</v>
      </c>
      <c r="M467" t="s">
        <v>2058</v>
      </c>
      <c r="N467" t="s">
        <v>83</v>
      </c>
      <c r="P467" t="str" cm="1">
        <f t="array" aca="1" ref="P467" ca="1">VLOOKUP(INDIRECT("A"&amp;ROW()), 'Recent Changes'!A:G, 2, FALSE)</f>
        <v>NULL</v>
      </c>
      <c r="Q467" t="str" cm="1">
        <f t="array" aca="1" ref="Q467" ca="1">VLOOKUP(INDIRECT("A"&amp;ROW()), 'Recent Changes'!A:G, 3, FALSE)</f>
        <v>NULL</v>
      </c>
      <c r="R467" t="str" cm="1">
        <f t="array" aca="1" ref="R467" ca="1">VLOOKUP(INDIRECT("A"&amp;ROW()), 'Recent Changes'!A:G, 4, FALSE)</f>
        <v>NULL</v>
      </c>
      <c r="S467" t="str" cm="1">
        <f t="array" aca="1" ref="S467" ca="1">VLOOKUP(INDIRECT("A"&amp;ROW()), 'Recent Changes'!A:G, 5, FALSE)</f>
        <v>2024-01-02T20:49:47Z</v>
      </c>
      <c r="T467" t="str" cm="1">
        <f t="array" aca="1" ref="T467" ca="1">VLOOKUP(INDIRECT("A"&amp;ROW()), 'Recent Changes'!A:G, 6, FALSE)</f>
        <v>NULL</v>
      </c>
      <c r="U467" t="str" cm="1">
        <f t="array" aca="1" ref="U467" ca="1">VLOOKUP(INDIRECT("A"&amp;ROW()), 'Recent Changes'!A:G, 7, FALSE)</f>
        <v>NULL</v>
      </c>
      <c r="V467" t="str" cm="1">
        <f t="array" aca="1" ref="V467" ca="1">VLOOKUP(INDIRECT("A"&amp;ROW()), 'Recent Changes'!A:H, 8, FALSE)</f>
        <v>2024-01-02T21:14:21Z</v>
      </c>
    </row>
    <row r="468" spans="1:22" x14ac:dyDescent="0.25">
      <c r="A468">
        <v>17345358</v>
      </c>
      <c r="B468" t="s">
        <v>433</v>
      </c>
      <c r="C468">
        <v>6</v>
      </c>
      <c r="G468" t="e" cm="1">
        <v>#N/A</v>
      </c>
      <c r="H468">
        <v>45294</v>
      </c>
      <c r="I468" t="s">
        <v>15</v>
      </c>
      <c r="J468" t="s">
        <v>25</v>
      </c>
      <c r="K468" t="s">
        <v>44</v>
      </c>
      <c r="L468" t="s">
        <v>2180</v>
      </c>
      <c r="M468" t="s">
        <v>76</v>
      </c>
      <c r="N468" t="s">
        <v>1595</v>
      </c>
      <c r="O468" t="s">
        <v>431</v>
      </c>
      <c r="P468" t="e" cm="1">
        <f t="array" aca="1" ref="P468" ca="1">VLOOKUP(INDIRECT("A"&amp;ROW()), 'Recent Changes'!A:G, 2, FALSE)</f>
        <v>#N/A</v>
      </c>
      <c r="Q468" t="e" cm="1">
        <f t="array" aca="1" ref="Q468" ca="1">VLOOKUP(INDIRECT("A"&amp;ROW()), 'Recent Changes'!A:G, 3, FALSE)</f>
        <v>#N/A</v>
      </c>
      <c r="R468" t="e" cm="1">
        <f t="array" aca="1" ref="R468" ca="1">VLOOKUP(INDIRECT("A"&amp;ROW()), 'Recent Changes'!A:G, 4, FALSE)</f>
        <v>#N/A</v>
      </c>
      <c r="S468" t="e" cm="1">
        <f t="array" aca="1" ref="S468" ca="1">VLOOKUP(INDIRECT("A"&amp;ROW()), 'Recent Changes'!A:G, 5, FALSE)</f>
        <v>#N/A</v>
      </c>
      <c r="T468" t="e" cm="1">
        <f t="array" aca="1" ref="T468" ca="1">VLOOKUP(INDIRECT("A"&amp;ROW()), 'Recent Changes'!A:G, 6, FALSE)</f>
        <v>#N/A</v>
      </c>
      <c r="U468" t="e" cm="1">
        <f t="array" aca="1" ref="U468" ca="1">VLOOKUP(INDIRECT("A"&amp;ROW()), 'Recent Changes'!A:G, 7, FALSE)</f>
        <v>#N/A</v>
      </c>
      <c r="V468" t="e" cm="1">
        <f t="array" aca="1" ref="V468" ca="1">VLOOKUP(INDIRECT("A"&amp;ROW()), 'Recent Changes'!A:H, 8, FALSE)</f>
        <v>#N/A</v>
      </c>
    </row>
    <row r="469" spans="1:22" x14ac:dyDescent="0.25">
      <c r="A469">
        <v>17502901</v>
      </c>
      <c r="B469" t="s">
        <v>430</v>
      </c>
      <c r="C469">
        <v>6</v>
      </c>
      <c r="G469" t="e" cm="1">
        <v>#N/A</v>
      </c>
      <c r="H469" t="s">
        <v>14</v>
      </c>
      <c r="I469" t="s">
        <v>14</v>
      </c>
      <c r="J469" t="s">
        <v>27</v>
      </c>
      <c r="K469" t="s">
        <v>44</v>
      </c>
      <c r="L469" t="s">
        <v>733</v>
      </c>
      <c r="M469" t="s">
        <v>78</v>
      </c>
      <c r="N469" t="s">
        <v>83</v>
      </c>
      <c r="P469" t="str" cm="1">
        <f t="array" aca="1" ref="P469" ca="1">VLOOKUP(INDIRECT("A"&amp;ROW()), 'Recent Changes'!A:G, 2, FALSE)</f>
        <v>NULL</v>
      </c>
      <c r="Q469" t="str" cm="1">
        <f t="array" aca="1" ref="Q469" ca="1">VLOOKUP(INDIRECT("A"&amp;ROW()), 'Recent Changes'!A:G, 3, FALSE)</f>
        <v>NULL</v>
      </c>
      <c r="R469" t="str" cm="1">
        <f t="array" aca="1" ref="R469" ca="1">VLOOKUP(INDIRECT("A"&amp;ROW()), 'Recent Changes'!A:G, 4, FALSE)</f>
        <v>NULL</v>
      </c>
      <c r="S469" t="str" cm="1">
        <f t="array" aca="1" ref="S469" ca="1">VLOOKUP(INDIRECT("A"&amp;ROW()), 'Recent Changes'!A:G, 5, FALSE)</f>
        <v>2024-01-02T20:51:40Z</v>
      </c>
      <c r="T469" t="str" cm="1">
        <f t="array" aca="1" ref="T469" ca="1">VLOOKUP(INDIRECT("A"&amp;ROW()), 'Recent Changes'!A:G, 6, FALSE)</f>
        <v>NULL</v>
      </c>
      <c r="U469" t="str" cm="1">
        <f t="array" aca="1" ref="U469" ca="1">VLOOKUP(INDIRECT("A"&amp;ROW()), 'Recent Changes'!A:G, 7, FALSE)</f>
        <v>NULL</v>
      </c>
      <c r="V469" t="str" cm="1">
        <f t="array" aca="1" ref="V469" ca="1">VLOOKUP(INDIRECT("A"&amp;ROW()), 'Recent Changes'!A:H, 8, FALSE)</f>
        <v>2024-01-02T21:25:46Z</v>
      </c>
    </row>
    <row r="470" spans="1:22" x14ac:dyDescent="0.25">
      <c r="A470">
        <v>17509252</v>
      </c>
      <c r="B470" t="s" cm="1">
        <v>430</v>
      </c>
      <c r="C470">
        <v>6</v>
      </c>
      <c r="G470" t="e" cm="1">
        <v>#N/A</v>
      </c>
      <c r="H470" t="s">
        <v>14</v>
      </c>
      <c r="I470" t="s">
        <v>14</v>
      </c>
      <c r="J470" t="s">
        <v>30</v>
      </c>
      <c r="K470" t="s">
        <v>44</v>
      </c>
      <c r="L470" t="s">
        <v>2181</v>
      </c>
      <c r="M470" t="s">
        <v>78</v>
      </c>
      <c r="N470" t="s">
        <v>83</v>
      </c>
      <c r="P470" t="str" cm="1">
        <f t="array" aca="1" ref="P470" ca="1">VLOOKUP(INDIRECT("A"&amp;ROW()), 'Recent Changes'!A:G, 2, FALSE)</f>
        <v>NULL</v>
      </c>
      <c r="Q470" t="str" cm="1">
        <f t="array" aca="1" ref="Q470" ca="1">VLOOKUP(INDIRECT("A"&amp;ROW()), 'Recent Changes'!A:G, 3, FALSE)</f>
        <v>NULL</v>
      </c>
      <c r="R470" t="str" cm="1">
        <f t="array" aca="1" ref="R470" ca="1">VLOOKUP(INDIRECT("A"&amp;ROW()), 'Recent Changes'!A:G, 4, FALSE)</f>
        <v>NULL</v>
      </c>
      <c r="S470" t="str" cm="1">
        <f t="array" aca="1" ref="S470" ca="1">VLOOKUP(INDIRECT("A"&amp;ROW()), 'Recent Changes'!A:G, 5, FALSE)</f>
        <v>2024-01-02T15:28:23Z</v>
      </c>
      <c r="T470" t="str" cm="1">
        <f t="array" aca="1" ref="T470" ca="1">VLOOKUP(INDIRECT("A"&amp;ROW()), 'Recent Changes'!A:G, 6, FALSE)</f>
        <v>NULL</v>
      </c>
      <c r="U470" t="str" cm="1">
        <f t="array" aca="1" ref="U470" ca="1">VLOOKUP(INDIRECT("A"&amp;ROW()), 'Recent Changes'!A:G, 7, FALSE)</f>
        <v>2024-01-02T15:48:37Z</v>
      </c>
      <c r="V470" t="str" cm="1">
        <f t="array" aca="1" ref="V470" ca="1">VLOOKUP(INDIRECT("A"&amp;ROW()), 'Recent Changes'!A:H, 8, FALSE)</f>
        <v>2024-01-02T16:29:12Z</v>
      </c>
    </row>
    <row r="471" spans="1:22" x14ac:dyDescent="0.25">
      <c r="A471">
        <v>10453984</v>
      </c>
      <c r="B471" t="s">
        <v>430</v>
      </c>
      <c r="C471">
        <v>5</v>
      </c>
      <c r="G471" t="e" cm="1">
        <v>#N/A</v>
      </c>
      <c r="H471" t="s">
        <v>14</v>
      </c>
      <c r="I471" t="s">
        <v>14</v>
      </c>
      <c r="J471" t="s">
        <v>31</v>
      </c>
      <c r="K471" t="s">
        <v>44</v>
      </c>
      <c r="L471" t="s">
        <v>59</v>
      </c>
      <c r="M471" t="s">
        <v>76</v>
      </c>
      <c r="N471" t="s">
        <v>83</v>
      </c>
      <c r="P471" t="str" cm="1">
        <f t="array" aca="1" ref="P471" ca="1">VLOOKUP(INDIRECT("A"&amp;ROW()), 'Recent Changes'!A:G, 2, FALSE)</f>
        <v>2019-02-13T00:04:02Z</v>
      </c>
      <c r="Q471" t="str" cm="1">
        <f t="array" aca="1" ref="Q471" ca="1">VLOOKUP(INDIRECT("A"&amp;ROW()), 'Recent Changes'!A:G, 3, FALSE)</f>
        <v>NULL</v>
      </c>
      <c r="R471" t="str" cm="1">
        <f t="array" aca="1" ref="R471" ca="1">VLOOKUP(INDIRECT("A"&amp;ROW()), 'Recent Changes'!A:G, 4, FALSE)</f>
        <v>NULL</v>
      </c>
      <c r="S471" t="str" cm="1">
        <f t="array" aca="1" ref="S471" ca="1">VLOOKUP(INDIRECT("A"&amp;ROW()), 'Recent Changes'!A:G, 5, FALSE)</f>
        <v>2024-01-03T16:59:05Z</v>
      </c>
      <c r="T471" t="str" cm="1">
        <f t="array" aca="1" ref="T471" ca="1">VLOOKUP(INDIRECT("A"&amp;ROW()), 'Recent Changes'!A:G, 6, FALSE)</f>
        <v>NULL</v>
      </c>
      <c r="U471" t="str" cm="1">
        <f t="array" aca="1" ref="U471" ca="1">VLOOKUP(INDIRECT("A"&amp;ROW()), 'Recent Changes'!A:G, 7, FALSE)</f>
        <v>NULL</v>
      </c>
      <c r="V471" t="str" cm="1">
        <f t="array" aca="1" ref="V471" ca="1">VLOOKUP(INDIRECT("A"&amp;ROW()), 'Recent Changes'!A:H, 8, FALSE)</f>
        <v>2019-02-13T00:06:34Z</v>
      </c>
    </row>
    <row r="472" spans="1:22" x14ac:dyDescent="0.25">
      <c r="A472">
        <v>14587693</v>
      </c>
      <c r="B472" t="s">
        <v>433</v>
      </c>
      <c r="C472">
        <v>5</v>
      </c>
      <c r="G472" t="e" cm="1">
        <v>#N/A</v>
      </c>
      <c r="H472">
        <v>45294</v>
      </c>
      <c r="I472" t="s">
        <v>15</v>
      </c>
      <c r="J472" t="s">
        <v>27</v>
      </c>
      <c r="K472" t="s">
        <v>44</v>
      </c>
      <c r="L472" t="s">
        <v>399</v>
      </c>
      <c r="M472" t="s">
        <v>76</v>
      </c>
      <c r="N472" t="s">
        <v>1595</v>
      </c>
      <c r="O472" t="s">
        <v>431</v>
      </c>
      <c r="P472" t="e" cm="1">
        <f t="array" aca="1" ref="P472" ca="1">VLOOKUP(INDIRECT("A"&amp;ROW()), 'Recent Changes'!A:G, 2, FALSE)</f>
        <v>#N/A</v>
      </c>
      <c r="Q472" t="e" cm="1">
        <f t="array" aca="1" ref="Q472" ca="1">VLOOKUP(INDIRECT("A"&amp;ROW()), 'Recent Changes'!A:G, 3, FALSE)</f>
        <v>#N/A</v>
      </c>
      <c r="R472" t="e" cm="1">
        <f t="array" aca="1" ref="R472" ca="1">VLOOKUP(INDIRECT("A"&amp;ROW()), 'Recent Changes'!A:G, 4, FALSE)</f>
        <v>#N/A</v>
      </c>
      <c r="S472" t="e" cm="1">
        <f t="array" aca="1" ref="S472" ca="1">VLOOKUP(INDIRECT("A"&amp;ROW()), 'Recent Changes'!A:G, 5, FALSE)</f>
        <v>#N/A</v>
      </c>
      <c r="T472" t="e" cm="1">
        <f t="array" aca="1" ref="T472" ca="1">VLOOKUP(INDIRECT("A"&amp;ROW()), 'Recent Changes'!A:G, 6, FALSE)</f>
        <v>#N/A</v>
      </c>
      <c r="U472" t="e" cm="1">
        <f t="array" aca="1" ref="U472" ca="1">VLOOKUP(INDIRECT("A"&amp;ROW()), 'Recent Changes'!A:G, 7, FALSE)</f>
        <v>#N/A</v>
      </c>
      <c r="V472" t="e" cm="1">
        <f t="array" aca="1" ref="V472" ca="1">VLOOKUP(INDIRECT("A"&amp;ROW()), 'Recent Changes'!A:H, 8, FALSE)</f>
        <v>#N/A</v>
      </c>
    </row>
    <row r="473" spans="1:22" x14ac:dyDescent="0.25">
      <c r="A473">
        <v>14632637</v>
      </c>
      <c r="B473" t="s">
        <v>430</v>
      </c>
      <c r="C473">
        <v>5</v>
      </c>
      <c r="G473" t="e" cm="1">
        <v>#N/A</v>
      </c>
      <c r="H473" t="s">
        <v>14</v>
      </c>
      <c r="I473" t="s">
        <v>14</v>
      </c>
      <c r="J473" t="s">
        <v>24</v>
      </c>
      <c r="K473" t="s">
        <v>44</v>
      </c>
      <c r="L473" t="s">
        <v>2182</v>
      </c>
      <c r="M473" t="s">
        <v>76</v>
      </c>
      <c r="N473" t="s">
        <v>83</v>
      </c>
      <c r="P473" t="str" cm="1">
        <f t="array" aca="1" ref="P473" ca="1">VLOOKUP(INDIRECT("A"&amp;ROW()), 'Recent Changes'!A:G, 2, FALSE)</f>
        <v>NULL</v>
      </c>
      <c r="Q473" t="str" cm="1">
        <f t="array" aca="1" ref="Q473" ca="1">VLOOKUP(INDIRECT("A"&amp;ROW()), 'Recent Changes'!A:G, 3, FALSE)</f>
        <v>NULL</v>
      </c>
      <c r="R473" t="str" cm="1">
        <f t="array" aca="1" ref="R473" ca="1">VLOOKUP(INDIRECT("A"&amp;ROW()), 'Recent Changes'!A:G, 4, FALSE)</f>
        <v>NULL</v>
      </c>
      <c r="S473" t="str" cm="1">
        <f t="array" aca="1" ref="S473" ca="1">VLOOKUP(INDIRECT("A"&amp;ROW()), 'Recent Changes'!A:G, 5, FALSE)</f>
        <v>2024-01-03T21:42:04Z</v>
      </c>
      <c r="T473" t="str" cm="1">
        <f t="array" aca="1" ref="T473" ca="1">VLOOKUP(INDIRECT("A"&amp;ROW()), 'Recent Changes'!A:G, 6, FALSE)</f>
        <v>NULL</v>
      </c>
      <c r="U473" t="str" cm="1">
        <f t="array" aca="1" ref="U473" ca="1">VLOOKUP(INDIRECT("A"&amp;ROW()), 'Recent Changes'!A:G, 7, FALSE)</f>
        <v>2022-04-15T02:55:16Z</v>
      </c>
      <c r="V473" t="str" cm="1">
        <f t="array" aca="1" ref="V473" ca="1">VLOOKUP(INDIRECT("A"&amp;ROW()), 'Recent Changes'!A:H, 8, FALSE)</f>
        <v>2024-01-04T07:27:10Z</v>
      </c>
    </row>
    <row r="474" spans="1:22" x14ac:dyDescent="0.25">
      <c r="A474">
        <v>16675525</v>
      </c>
      <c r="B474" t="s">
        <v>433</v>
      </c>
      <c r="C474">
        <v>5</v>
      </c>
      <c r="G474" t="e" cm="1">
        <v>#N/A</v>
      </c>
      <c r="H474">
        <v>45295</v>
      </c>
      <c r="I474" t="s">
        <v>15</v>
      </c>
      <c r="J474" t="s">
        <v>18</v>
      </c>
      <c r="K474" t="s">
        <v>44</v>
      </c>
      <c r="L474" t="s">
        <v>86</v>
      </c>
      <c r="M474" t="s">
        <v>76</v>
      </c>
      <c r="N474" t="s">
        <v>2275</v>
      </c>
      <c r="O474" t="s">
        <v>431</v>
      </c>
      <c r="P474" t="e" cm="1">
        <f t="array" aca="1" ref="P474" ca="1">VLOOKUP(INDIRECT("A"&amp;ROW()), 'Recent Changes'!A:G, 2, FALSE)</f>
        <v>#N/A</v>
      </c>
      <c r="Q474" t="e" cm="1">
        <f t="array" aca="1" ref="Q474" ca="1">VLOOKUP(INDIRECT("A"&amp;ROW()), 'Recent Changes'!A:G, 3, FALSE)</f>
        <v>#N/A</v>
      </c>
      <c r="R474" t="e" cm="1">
        <f t="array" aca="1" ref="R474" ca="1">VLOOKUP(INDIRECT("A"&amp;ROW()), 'Recent Changes'!A:G, 4, FALSE)</f>
        <v>#N/A</v>
      </c>
      <c r="S474" t="e" cm="1">
        <f t="array" aca="1" ref="S474" ca="1">VLOOKUP(INDIRECT("A"&amp;ROW()), 'Recent Changes'!A:G, 5, FALSE)</f>
        <v>#N/A</v>
      </c>
      <c r="T474" t="e" cm="1">
        <f t="array" aca="1" ref="T474" ca="1">VLOOKUP(INDIRECT("A"&amp;ROW()), 'Recent Changes'!A:G, 6, FALSE)</f>
        <v>#N/A</v>
      </c>
      <c r="U474" t="e" cm="1">
        <f t="array" aca="1" ref="U474" ca="1">VLOOKUP(INDIRECT("A"&amp;ROW()), 'Recent Changes'!A:G, 7, FALSE)</f>
        <v>#N/A</v>
      </c>
      <c r="V474" t="e" cm="1">
        <f t="array" aca="1" ref="V474" ca="1">VLOOKUP(INDIRECT("A"&amp;ROW()), 'Recent Changes'!A:H, 8, FALSE)</f>
        <v>#N/A</v>
      </c>
    </row>
    <row r="475" spans="1:22" x14ac:dyDescent="0.25">
      <c r="A475">
        <v>17116020</v>
      </c>
      <c r="B475" t="s">
        <v>433</v>
      </c>
      <c r="C475">
        <v>5</v>
      </c>
      <c r="G475" t="e" cm="1">
        <v>#N/A</v>
      </c>
      <c r="H475">
        <v>45294</v>
      </c>
      <c r="I475" t="s">
        <v>15</v>
      </c>
      <c r="J475" t="s">
        <v>18</v>
      </c>
      <c r="K475" t="s">
        <v>44</v>
      </c>
      <c r="L475" t="s">
        <v>88</v>
      </c>
      <c r="M475" t="s">
        <v>76</v>
      </c>
      <c r="N475" t="s">
        <v>461</v>
      </c>
      <c r="O475" t="s">
        <v>431</v>
      </c>
      <c r="P475" t="e" cm="1">
        <f t="array" aca="1" ref="P475" ca="1">VLOOKUP(INDIRECT("A"&amp;ROW()), 'Recent Changes'!A:G, 2, FALSE)</f>
        <v>#N/A</v>
      </c>
      <c r="Q475" t="e" cm="1">
        <f t="array" aca="1" ref="Q475" ca="1">VLOOKUP(INDIRECT("A"&amp;ROW()), 'Recent Changes'!A:G, 3, FALSE)</f>
        <v>#N/A</v>
      </c>
      <c r="R475" t="e" cm="1">
        <f t="array" aca="1" ref="R475" ca="1">VLOOKUP(INDIRECT("A"&amp;ROW()), 'Recent Changes'!A:G, 4, FALSE)</f>
        <v>#N/A</v>
      </c>
      <c r="S475" t="e" cm="1">
        <f t="array" aca="1" ref="S475" ca="1">VLOOKUP(INDIRECT("A"&amp;ROW()), 'Recent Changes'!A:G, 5, FALSE)</f>
        <v>#N/A</v>
      </c>
      <c r="T475" t="e" cm="1">
        <f t="array" aca="1" ref="T475" ca="1">VLOOKUP(INDIRECT("A"&amp;ROW()), 'Recent Changes'!A:G, 6, FALSE)</f>
        <v>#N/A</v>
      </c>
      <c r="U475" t="e" cm="1">
        <f t="array" aca="1" ref="U475" ca="1">VLOOKUP(INDIRECT("A"&amp;ROW()), 'Recent Changes'!A:G, 7, FALSE)</f>
        <v>#N/A</v>
      </c>
      <c r="V475" t="e" cm="1">
        <f t="array" aca="1" ref="V475" ca="1">VLOOKUP(INDIRECT("A"&amp;ROW()), 'Recent Changes'!A:H, 8, FALSE)</f>
        <v>#N/A</v>
      </c>
    </row>
    <row r="476" spans="1:22" x14ac:dyDescent="0.25">
      <c r="A476">
        <v>17660401</v>
      </c>
      <c r="B476" t="s" cm="1">
        <v>430</v>
      </c>
      <c r="C476">
        <v>5</v>
      </c>
      <c r="G476" t="e" cm="1">
        <v>#N/A</v>
      </c>
      <c r="H476" t="s">
        <v>14</v>
      </c>
      <c r="I476" t="s">
        <v>14</v>
      </c>
      <c r="J476" t="s">
        <v>20</v>
      </c>
      <c r="K476" t="s">
        <v>51</v>
      </c>
      <c r="L476" t="s">
        <v>507</v>
      </c>
      <c r="M476" t="s">
        <v>78</v>
      </c>
      <c r="N476" t="s">
        <v>1974</v>
      </c>
      <c r="P476" t="e" cm="1">
        <f t="array" aca="1" ref="P476" ca="1">VLOOKUP(INDIRECT("A"&amp;ROW()), 'Recent Changes'!A:G, 2, FALSE)</f>
        <v>#N/A</v>
      </c>
      <c r="Q476" t="e" cm="1">
        <f t="array" aca="1" ref="Q476" ca="1">VLOOKUP(INDIRECT("A"&amp;ROW()), 'Recent Changes'!A:G, 3, FALSE)</f>
        <v>#N/A</v>
      </c>
      <c r="R476" t="e" cm="1">
        <f t="array" aca="1" ref="R476" ca="1">VLOOKUP(INDIRECT("A"&amp;ROW()), 'Recent Changes'!A:G, 4, FALSE)</f>
        <v>#N/A</v>
      </c>
      <c r="S476" t="e" cm="1">
        <f t="array" aca="1" ref="S476" ca="1">VLOOKUP(INDIRECT("A"&amp;ROW()), 'Recent Changes'!A:G, 5, FALSE)</f>
        <v>#N/A</v>
      </c>
      <c r="T476" t="e" cm="1">
        <f t="array" aca="1" ref="T476" ca="1">VLOOKUP(INDIRECT("A"&amp;ROW()), 'Recent Changes'!A:G, 6, FALSE)</f>
        <v>#N/A</v>
      </c>
      <c r="U476" t="e" cm="1">
        <f t="array" aca="1" ref="U476" ca="1">VLOOKUP(INDIRECT("A"&amp;ROW()), 'Recent Changes'!A:G, 7, FALSE)</f>
        <v>#N/A</v>
      </c>
      <c r="V476" t="e" cm="1">
        <f t="array" aca="1" ref="V476" ca="1">VLOOKUP(INDIRECT("A"&amp;ROW()), 'Recent Changes'!A:H, 8, FALSE)</f>
        <v>#N/A</v>
      </c>
    </row>
    <row r="477" spans="1:22" x14ac:dyDescent="0.25">
      <c r="A477">
        <v>11245255</v>
      </c>
      <c r="B477" t="s">
        <v>433</v>
      </c>
      <c r="C477">
        <v>4</v>
      </c>
      <c r="G477" t="e" cm="1">
        <v>#N/A</v>
      </c>
      <c r="H477">
        <v>45295</v>
      </c>
      <c r="I477" t="s">
        <v>15</v>
      </c>
      <c r="J477" t="s">
        <v>38</v>
      </c>
      <c r="K477" t="s">
        <v>44</v>
      </c>
      <c r="L477" t="s">
        <v>62</v>
      </c>
      <c r="M477" t="s">
        <v>77</v>
      </c>
      <c r="N477" t="s">
        <v>1606</v>
      </c>
      <c r="O477" t="s">
        <v>431</v>
      </c>
      <c r="P477" t="e" cm="1">
        <f t="array" aca="1" ref="P477" ca="1">VLOOKUP(INDIRECT("A"&amp;ROW()), 'Recent Changes'!A:G, 2, FALSE)</f>
        <v>#N/A</v>
      </c>
      <c r="Q477" t="e" cm="1">
        <f t="array" aca="1" ref="Q477" ca="1">VLOOKUP(INDIRECT("A"&amp;ROW()), 'Recent Changes'!A:G, 3, FALSE)</f>
        <v>#N/A</v>
      </c>
      <c r="R477" t="e" cm="1">
        <f t="array" aca="1" ref="R477" ca="1">VLOOKUP(INDIRECT("A"&amp;ROW()), 'Recent Changes'!A:G, 4, FALSE)</f>
        <v>#N/A</v>
      </c>
      <c r="S477" t="e" cm="1">
        <f t="array" aca="1" ref="S477" ca="1">VLOOKUP(INDIRECT("A"&amp;ROW()), 'Recent Changes'!A:G, 5, FALSE)</f>
        <v>#N/A</v>
      </c>
      <c r="T477" t="e" cm="1">
        <f t="array" aca="1" ref="T477" ca="1">VLOOKUP(INDIRECT("A"&amp;ROW()), 'Recent Changes'!A:G, 6, FALSE)</f>
        <v>#N/A</v>
      </c>
      <c r="U477" t="e" cm="1">
        <f t="array" aca="1" ref="U477" ca="1">VLOOKUP(INDIRECT("A"&amp;ROW()), 'Recent Changes'!A:G, 7, FALSE)</f>
        <v>#N/A</v>
      </c>
      <c r="V477" t="e" cm="1">
        <f t="array" aca="1" ref="V477" ca="1">VLOOKUP(INDIRECT("A"&amp;ROW()), 'Recent Changes'!A:H, 8, FALSE)</f>
        <v>#N/A</v>
      </c>
    </row>
    <row r="478" spans="1:22" x14ac:dyDescent="0.25">
      <c r="A478">
        <v>17170066</v>
      </c>
      <c r="B478" t="s" cm="1">
        <v>430</v>
      </c>
      <c r="C478">
        <v>4</v>
      </c>
      <c r="G478" t="e" cm="1">
        <v>#N/A</v>
      </c>
      <c r="H478" t="s">
        <v>14</v>
      </c>
      <c r="I478" t="s">
        <v>14</v>
      </c>
      <c r="J478" t="s">
        <v>30</v>
      </c>
      <c r="K478" t="s">
        <v>44</v>
      </c>
      <c r="L478" t="s">
        <v>402</v>
      </c>
      <c r="M478" t="s">
        <v>78</v>
      </c>
      <c r="N478" t="s">
        <v>83</v>
      </c>
      <c r="P478" t="str" cm="1">
        <f t="array" aca="1" ref="P478" ca="1">VLOOKUP(INDIRECT("A"&amp;ROW()), 'Recent Changes'!A:G, 2, FALSE)</f>
        <v>NULL</v>
      </c>
      <c r="Q478" t="str" cm="1">
        <f t="array" aca="1" ref="Q478" ca="1">VLOOKUP(INDIRECT("A"&amp;ROW()), 'Recent Changes'!A:G, 3, FALSE)</f>
        <v>NULL</v>
      </c>
      <c r="R478" t="str" cm="1">
        <f t="array" aca="1" ref="R478" ca="1">VLOOKUP(INDIRECT("A"&amp;ROW()), 'Recent Changes'!A:G, 4, FALSE)</f>
        <v>NULL</v>
      </c>
      <c r="S478" t="str" cm="1">
        <f t="array" aca="1" ref="S478" ca="1">VLOOKUP(INDIRECT("A"&amp;ROW()), 'Recent Changes'!A:G, 5, FALSE)</f>
        <v>2024-01-04T13:45:19Z</v>
      </c>
      <c r="T478" t="str" cm="1">
        <f t="array" aca="1" ref="T478" ca="1">VLOOKUP(INDIRECT("A"&amp;ROW()), 'Recent Changes'!A:G, 6, FALSE)</f>
        <v>NULL</v>
      </c>
      <c r="U478" t="str" cm="1">
        <f t="array" aca="1" ref="U478" ca="1">VLOOKUP(INDIRECT("A"&amp;ROW()), 'Recent Changes'!A:G, 7, FALSE)</f>
        <v>NULL</v>
      </c>
      <c r="V478" t="str" cm="1">
        <f t="array" aca="1" ref="V478" ca="1">VLOOKUP(INDIRECT("A"&amp;ROW()), 'Recent Changes'!A:H, 8, FALSE)</f>
        <v>2024-01-04T16:13:55Z</v>
      </c>
    </row>
    <row r="479" spans="1:22" x14ac:dyDescent="0.25">
      <c r="A479">
        <v>17225348</v>
      </c>
      <c r="B479" t="s" cm="1">
        <v>430</v>
      </c>
      <c r="C479">
        <v>4</v>
      </c>
      <c r="G479" t="e" cm="1">
        <v>#N/A</v>
      </c>
      <c r="H479" t="s">
        <v>14</v>
      </c>
      <c r="I479" t="s">
        <v>14</v>
      </c>
      <c r="J479" t="s">
        <v>26</v>
      </c>
      <c r="K479" t="s">
        <v>44</v>
      </c>
      <c r="L479" t="s">
        <v>507</v>
      </c>
      <c r="M479" t="s">
        <v>78</v>
      </c>
      <c r="N479" t="s">
        <v>83</v>
      </c>
      <c r="P479" t="str" cm="1">
        <f t="array" aca="1" ref="P479" ca="1">VLOOKUP(INDIRECT("A"&amp;ROW()), 'Recent Changes'!A:G, 2, FALSE)</f>
        <v>NULL</v>
      </c>
      <c r="Q479" t="str" cm="1">
        <f t="array" aca="1" ref="Q479" ca="1">VLOOKUP(INDIRECT("A"&amp;ROW()), 'Recent Changes'!A:G, 3, FALSE)</f>
        <v>NULL</v>
      </c>
      <c r="R479" t="str" cm="1">
        <f t="array" aca="1" ref="R479" ca="1">VLOOKUP(INDIRECT("A"&amp;ROW()), 'Recent Changes'!A:G, 4, FALSE)</f>
        <v>NULL</v>
      </c>
      <c r="S479" t="str" cm="1">
        <f t="array" aca="1" ref="S479" ca="1">VLOOKUP(INDIRECT("A"&amp;ROW()), 'Recent Changes'!A:G, 5, FALSE)</f>
        <v>2024-01-04T13:47:49Z</v>
      </c>
      <c r="T479" t="str" cm="1">
        <f t="array" aca="1" ref="T479" ca="1">VLOOKUP(INDIRECT("A"&amp;ROW()), 'Recent Changes'!A:G, 6, FALSE)</f>
        <v>NULL</v>
      </c>
      <c r="U479" t="str" cm="1">
        <f t="array" aca="1" ref="U479" ca="1">VLOOKUP(INDIRECT("A"&amp;ROW()), 'Recent Changes'!A:G, 7, FALSE)</f>
        <v>NULL</v>
      </c>
      <c r="V479" t="str" cm="1">
        <f t="array" aca="1" ref="V479" ca="1">VLOOKUP(INDIRECT("A"&amp;ROW()), 'Recent Changes'!A:H, 8, FALSE)</f>
        <v>2024-01-04T16:16:15Z</v>
      </c>
    </row>
    <row r="480" spans="1:22" x14ac:dyDescent="0.25">
      <c r="A480">
        <v>17297606</v>
      </c>
      <c r="B480" t="s" cm="1">
        <v>430</v>
      </c>
      <c r="C480">
        <v>4</v>
      </c>
      <c r="G480" t="e" cm="1">
        <v>#N/A</v>
      </c>
      <c r="H480" t="s">
        <v>14</v>
      </c>
      <c r="I480" t="s">
        <v>14</v>
      </c>
      <c r="J480" t="s">
        <v>30</v>
      </c>
      <c r="K480" t="s">
        <v>44</v>
      </c>
      <c r="L480" t="s">
        <v>74</v>
      </c>
      <c r="M480" t="s">
        <v>76</v>
      </c>
      <c r="N480" t="s">
        <v>83</v>
      </c>
      <c r="P480" t="str" cm="1">
        <f t="array" aca="1" ref="P480" ca="1">VLOOKUP(INDIRECT("A"&amp;ROW()), 'Recent Changes'!A:G, 2, FALSE)</f>
        <v>NULL</v>
      </c>
      <c r="Q480" t="str" cm="1">
        <f t="array" aca="1" ref="Q480" ca="1">VLOOKUP(INDIRECT("A"&amp;ROW()), 'Recent Changes'!A:G, 3, FALSE)</f>
        <v>NULL</v>
      </c>
      <c r="R480" t="str" cm="1">
        <f t="array" aca="1" ref="R480" ca="1">VLOOKUP(INDIRECT("A"&amp;ROW()), 'Recent Changes'!A:G, 4, FALSE)</f>
        <v>NULL</v>
      </c>
      <c r="S480" t="str" cm="1">
        <f t="array" aca="1" ref="S480" ca="1">VLOOKUP(INDIRECT("A"&amp;ROW()), 'Recent Changes'!A:G, 5, FALSE)</f>
        <v>2024-01-04T14:14:46Z</v>
      </c>
      <c r="T480" t="str" cm="1">
        <f t="array" aca="1" ref="T480" ca="1">VLOOKUP(INDIRECT("A"&amp;ROW()), 'Recent Changes'!A:G, 6, FALSE)</f>
        <v>NULL</v>
      </c>
      <c r="U480" t="str" cm="1">
        <f t="array" aca="1" ref="U480" ca="1">VLOOKUP(INDIRECT("A"&amp;ROW()), 'Recent Changes'!A:G, 7, FALSE)</f>
        <v>2023-11-12T11:22:26Z</v>
      </c>
      <c r="V480" t="str" cm="1">
        <f t="array" aca="1" ref="V480" ca="1">VLOOKUP(INDIRECT("A"&amp;ROW()), 'Recent Changes'!A:H, 8, FALSE)</f>
        <v>2024-01-04T16:03:16Z</v>
      </c>
    </row>
    <row r="481" spans="1:22" x14ac:dyDescent="0.25">
      <c r="A481">
        <v>17662149</v>
      </c>
      <c r="B481" t="s">
        <v>433</v>
      </c>
      <c r="C481">
        <v>4</v>
      </c>
      <c r="G481" t="e" cm="1">
        <v>#N/A</v>
      </c>
      <c r="H481" t="s">
        <v>14</v>
      </c>
      <c r="I481" t="s">
        <v>14</v>
      </c>
      <c r="J481" t="s">
        <v>38</v>
      </c>
      <c r="K481" t="s">
        <v>51</v>
      </c>
      <c r="L481" t="s">
        <v>62</v>
      </c>
      <c r="M481" t="s">
        <v>76</v>
      </c>
      <c r="N481" t="s">
        <v>1974</v>
      </c>
      <c r="P481" t="e" cm="1">
        <f t="array" aca="1" ref="P481" ca="1">VLOOKUP(INDIRECT("A"&amp;ROW()), 'Recent Changes'!A:G, 2, FALSE)</f>
        <v>#N/A</v>
      </c>
      <c r="Q481" t="e" cm="1">
        <f t="array" aca="1" ref="Q481" ca="1">VLOOKUP(INDIRECT("A"&amp;ROW()), 'Recent Changes'!A:G, 3, FALSE)</f>
        <v>#N/A</v>
      </c>
      <c r="R481" t="e" cm="1">
        <f t="array" aca="1" ref="R481" ca="1">VLOOKUP(INDIRECT("A"&amp;ROW()), 'Recent Changes'!A:G, 4, FALSE)</f>
        <v>#N/A</v>
      </c>
      <c r="S481" t="e" cm="1">
        <f t="array" aca="1" ref="S481" ca="1">VLOOKUP(INDIRECT("A"&amp;ROW()), 'Recent Changes'!A:G, 5, FALSE)</f>
        <v>#N/A</v>
      </c>
      <c r="T481" t="e" cm="1">
        <f t="array" aca="1" ref="T481" ca="1">VLOOKUP(INDIRECT("A"&amp;ROW()), 'Recent Changes'!A:G, 6, FALSE)</f>
        <v>#N/A</v>
      </c>
      <c r="U481" t="e" cm="1">
        <f t="array" aca="1" ref="U481" ca="1">VLOOKUP(INDIRECT("A"&amp;ROW()), 'Recent Changes'!A:G, 7, FALSE)</f>
        <v>#N/A</v>
      </c>
      <c r="V481" t="e" cm="1">
        <f t="array" aca="1" ref="V481" ca="1">VLOOKUP(INDIRECT("A"&amp;ROW()), 'Recent Changes'!A:H, 8, FALSE)</f>
        <v>#N/A</v>
      </c>
    </row>
    <row r="482" spans="1:22" x14ac:dyDescent="0.25">
      <c r="A482">
        <v>14317859</v>
      </c>
      <c r="B482" t="s">
        <v>433</v>
      </c>
      <c r="C482">
        <v>3</v>
      </c>
      <c r="G482" t="e" cm="1">
        <v>#N/A</v>
      </c>
      <c r="H482">
        <v>45296</v>
      </c>
      <c r="I482" t="s">
        <v>15</v>
      </c>
      <c r="J482" t="s">
        <v>30</v>
      </c>
      <c r="K482" t="s">
        <v>44</v>
      </c>
      <c r="L482" t="s">
        <v>2183</v>
      </c>
      <c r="M482" t="s">
        <v>76</v>
      </c>
      <c r="N482" t="s">
        <v>2276</v>
      </c>
      <c r="O482" t="s">
        <v>431</v>
      </c>
      <c r="P482" t="e" cm="1">
        <f t="array" aca="1" ref="P482" ca="1">VLOOKUP(INDIRECT("A"&amp;ROW()), 'Recent Changes'!A:G, 2, FALSE)</f>
        <v>#N/A</v>
      </c>
      <c r="Q482" t="e" cm="1">
        <f t="array" aca="1" ref="Q482" ca="1">VLOOKUP(INDIRECT("A"&amp;ROW()), 'Recent Changes'!A:G, 3, FALSE)</f>
        <v>#N/A</v>
      </c>
      <c r="R482" t="e" cm="1">
        <f t="array" aca="1" ref="R482" ca="1">VLOOKUP(INDIRECT("A"&amp;ROW()), 'Recent Changes'!A:G, 4, FALSE)</f>
        <v>#N/A</v>
      </c>
      <c r="S482" t="e" cm="1">
        <f t="array" aca="1" ref="S482" ca="1">VLOOKUP(INDIRECT("A"&amp;ROW()), 'Recent Changes'!A:G, 5, FALSE)</f>
        <v>#N/A</v>
      </c>
      <c r="T482" t="e" cm="1">
        <f t="array" aca="1" ref="T482" ca="1">VLOOKUP(INDIRECT("A"&amp;ROW()), 'Recent Changes'!A:G, 6, FALSE)</f>
        <v>#N/A</v>
      </c>
      <c r="U482" t="e" cm="1">
        <f t="array" aca="1" ref="U482" ca="1">VLOOKUP(INDIRECT("A"&amp;ROW()), 'Recent Changes'!A:G, 7, FALSE)</f>
        <v>#N/A</v>
      </c>
      <c r="V482" t="e" cm="1">
        <f t="array" aca="1" ref="V482" ca="1">VLOOKUP(INDIRECT("A"&amp;ROW()), 'Recent Changes'!A:H, 8, FALSE)</f>
        <v>#N/A</v>
      </c>
    </row>
    <row r="483" spans="1:22" x14ac:dyDescent="0.25">
      <c r="A483">
        <v>14793088</v>
      </c>
      <c r="B483" t="s" cm="1">
        <v>430</v>
      </c>
      <c r="C483">
        <v>3</v>
      </c>
      <c r="G483" t="e" cm="1">
        <v>#N/A</v>
      </c>
      <c r="H483" t="s">
        <v>14</v>
      </c>
      <c r="I483" t="s">
        <v>14</v>
      </c>
      <c r="J483" t="s">
        <v>30</v>
      </c>
      <c r="K483" t="s">
        <v>44</v>
      </c>
      <c r="L483" t="s">
        <v>739</v>
      </c>
      <c r="M483" t="s">
        <v>78</v>
      </c>
      <c r="N483" t="s">
        <v>83</v>
      </c>
      <c r="P483" t="str" cm="1">
        <f t="array" aca="1" ref="P483" ca="1">VLOOKUP(INDIRECT("A"&amp;ROW()), 'Recent Changes'!A:G, 2, FALSE)</f>
        <v>NULL</v>
      </c>
      <c r="Q483" t="str" cm="1">
        <f t="array" aca="1" ref="Q483" ca="1">VLOOKUP(INDIRECT("A"&amp;ROW()), 'Recent Changes'!A:G, 3, FALSE)</f>
        <v>NULL</v>
      </c>
      <c r="R483" t="str" cm="1">
        <f t="array" aca="1" ref="R483" ca="1">VLOOKUP(INDIRECT("A"&amp;ROW()), 'Recent Changes'!A:G, 4, FALSE)</f>
        <v>NULL</v>
      </c>
      <c r="S483" t="str" cm="1">
        <f t="array" aca="1" ref="S483" ca="1">VLOOKUP(INDIRECT("A"&amp;ROW()), 'Recent Changes'!A:G, 5, FALSE)</f>
        <v>2024-01-05T15:04:04Z</v>
      </c>
      <c r="T483" t="str" cm="1">
        <f t="array" aca="1" ref="T483" ca="1">VLOOKUP(INDIRECT("A"&amp;ROW()), 'Recent Changes'!A:G, 6, FALSE)</f>
        <v>NULL</v>
      </c>
      <c r="U483" t="str" cm="1">
        <f t="array" aca="1" ref="U483" ca="1">VLOOKUP(INDIRECT("A"&amp;ROW()), 'Recent Changes'!A:G, 7, FALSE)</f>
        <v>2024-01-05T15:16:08Z</v>
      </c>
      <c r="V483" t="str" cm="1">
        <f t="array" aca="1" ref="V483" ca="1">VLOOKUP(INDIRECT("A"&amp;ROW()), 'Recent Changes'!A:H, 8, FALSE)</f>
        <v>2024-01-05T16:17:10Z</v>
      </c>
    </row>
    <row r="484" spans="1:22" x14ac:dyDescent="0.25">
      <c r="A484">
        <v>14853221</v>
      </c>
      <c r="B484" t="s" cm="1">
        <v>430</v>
      </c>
      <c r="C484">
        <v>3</v>
      </c>
      <c r="G484" t="e" cm="1">
        <v>#N/A</v>
      </c>
      <c r="H484" t="s">
        <v>14</v>
      </c>
      <c r="I484" t="s">
        <v>14</v>
      </c>
      <c r="J484" t="s">
        <v>26</v>
      </c>
      <c r="K484" t="s">
        <v>44</v>
      </c>
      <c r="L484" t="s">
        <v>1318</v>
      </c>
      <c r="M484" t="s">
        <v>78</v>
      </c>
      <c r="N484" t="s">
        <v>83</v>
      </c>
      <c r="P484" t="str" cm="1">
        <f t="array" aca="1" ref="P484" ca="1">VLOOKUP(INDIRECT("A"&amp;ROW()), 'Recent Changes'!A:G, 2, FALSE)</f>
        <v>NULL</v>
      </c>
      <c r="Q484" t="str" cm="1">
        <f t="array" aca="1" ref="Q484" ca="1">VLOOKUP(INDIRECT("A"&amp;ROW()), 'Recent Changes'!A:G, 3, FALSE)</f>
        <v>NULL</v>
      </c>
      <c r="R484" t="str" cm="1">
        <f t="array" aca="1" ref="R484" ca="1">VLOOKUP(INDIRECT("A"&amp;ROW()), 'Recent Changes'!A:G, 4, FALSE)</f>
        <v>NULL</v>
      </c>
      <c r="S484" t="str" cm="1">
        <f t="array" aca="1" ref="S484" ca="1">VLOOKUP(INDIRECT("A"&amp;ROW()), 'Recent Changes'!A:G, 5, FALSE)</f>
        <v>2024-01-05T15:48:33Z</v>
      </c>
      <c r="T484" t="str" cm="1">
        <f t="array" aca="1" ref="T484" ca="1">VLOOKUP(INDIRECT("A"&amp;ROW()), 'Recent Changes'!A:G, 6, FALSE)</f>
        <v>NULL</v>
      </c>
      <c r="U484" t="str" cm="1">
        <f t="array" aca="1" ref="U484" ca="1">VLOOKUP(INDIRECT("A"&amp;ROW()), 'Recent Changes'!A:G, 7, FALSE)</f>
        <v>2024-01-05T15:50:11Z</v>
      </c>
      <c r="V484" t="str" cm="1">
        <f t="array" aca="1" ref="V484" ca="1">VLOOKUP(INDIRECT("A"&amp;ROW()), 'Recent Changes'!A:H, 8, FALSE)</f>
        <v>2024-01-05T16:14:38Z</v>
      </c>
    </row>
    <row r="485" spans="1:22" x14ac:dyDescent="0.25">
      <c r="A485">
        <v>15579254</v>
      </c>
      <c r="B485" t="s" cm="1">
        <v>430</v>
      </c>
      <c r="C485">
        <v>3</v>
      </c>
      <c r="G485" t="e" cm="1">
        <v>#N/A</v>
      </c>
      <c r="H485" t="s">
        <v>14</v>
      </c>
      <c r="I485" t="s">
        <v>14</v>
      </c>
      <c r="J485" t="s">
        <v>30</v>
      </c>
      <c r="K485" t="s">
        <v>49</v>
      </c>
      <c r="L485" t="s">
        <v>2184</v>
      </c>
      <c r="M485" t="s">
        <v>78</v>
      </c>
      <c r="N485" t="s">
        <v>83</v>
      </c>
      <c r="P485" t="str" cm="1">
        <f t="array" aca="1" ref="P485" ca="1">VLOOKUP(INDIRECT("A"&amp;ROW()), 'Recent Changes'!A:G, 2, FALSE)</f>
        <v>NULL</v>
      </c>
      <c r="Q485" t="str" cm="1">
        <f t="array" aca="1" ref="Q485" ca="1">VLOOKUP(INDIRECT("A"&amp;ROW()), 'Recent Changes'!A:G, 3, FALSE)</f>
        <v>NULL</v>
      </c>
      <c r="R485" t="str" cm="1">
        <f t="array" aca="1" ref="R485" ca="1">VLOOKUP(INDIRECT("A"&amp;ROW()), 'Recent Changes'!A:G, 4, FALSE)</f>
        <v>NULL</v>
      </c>
      <c r="S485" t="str" cm="1">
        <f t="array" aca="1" ref="S485" ca="1">VLOOKUP(INDIRECT("A"&amp;ROW()), 'Recent Changes'!A:G, 5, FALSE)</f>
        <v>2024-01-05T13:30:28Z</v>
      </c>
      <c r="T485" t="str" cm="1">
        <f t="array" aca="1" ref="T485" ca="1">VLOOKUP(INDIRECT("A"&amp;ROW()), 'Recent Changes'!A:G, 6, FALSE)</f>
        <v>NULL</v>
      </c>
      <c r="U485" t="str" cm="1">
        <f t="array" aca="1" ref="U485" ca="1">VLOOKUP(INDIRECT("A"&amp;ROW()), 'Recent Changes'!A:G, 7, FALSE)</f>
        <v>NULL</v>
      </c>
      <c r="V485" t="str" cm="1">
        <f t="array" aca="1" ref="V485" ca="1">VLOOKUP(INDIRECT("A"&amp;ROW()), 'Recent Changes'!A:H, 8, FALSE)</f>
        <v>2024-01-05T16:13:19Z</v>
      </c>
    </row>
    <row r="486" spans="1:22" x14ac:dyDescent="0.25">
      <c r="A486">
        <v>16642811</v>
      </c>
      <c r="B486" t="s" cm="1">
        <v>430</v>
      </c>
      <c r="C486">
        <v>3</v>
      </c>
      <c r="G486" t="e" cm="1">
        <v>#N/A</v>
      </c>
      <c r="H486" t="s">
        <v>14</v>
      </c>
      <c r="I486" t="s">
        <v>14</v>
      </c>
      <c r="J486" t="s">
        <v>30</v>
      </c>
      <c r="K486" t="s">
        <v>51</v>
      </c>
      <c r="L486" t="s">
        <v>395</v>
      </c>
      <c r="M486" t="s">
        <v>76</v>
      </c>
      <c r="N486" t="s">
        <v>83</v>
      </c>
      <c r="P486" t="str" cm="1">
        <f t="array" aca="1" ref="P486" ca="1">VLOOKUP(INDIRECT("A"&amp;ROW()), 'Recent Changes'!A:G, 2, FALSE)</f>
        <v>NULL</v>
      </c>
      <c r="Q486" t="str" cm="1">
        <f t="array" aca="1" ref="Q486" ca="1">VLOOKUP(INDIRECT("A"&amp;ROW()), 'Recent Changes'!A:G, 3, FALSE)</f>
        <v>NULL</v>
      </c>
      <c r="R486" t="str" cm="1">
        <f t="array" aca="1" ref="R486" ca="1">VLOOKUP(INDIRECT("A"&amp;ROW()), 'Recent Changes'!A:G, 4, FALSE)</f>
        <v>NULL</v>
      </c>
      <c r="S486" t="str" cm="1">
        <f t="array" aca="1" ref="S486" ca="1">VLOOKUP(INDIRECT("A"&amp;ROW()), 'Recent Changes'!A:G, 5, FALSE)</f>
        <v>2024-01-05T20:02:24Z</v>
      </c>
      <c r="T486" t="str" cm="1">
        <f t="array" aca="1" ref="T486" ca="1">VLOOKUP(INDIRECT("A"&amp;ROW()), 'Recent Changes'!A:G, 6, FALSE)</f>
        <v>NULL</v>
      </c>
      <c r="U486" t="str" cm="1">
        <f t="array" aca="1" ref="U486" ca="1">VLOOKUP(INDIRECT("A"&amp;ROW()), 'Recent Changes'!A:G, 7, FALSE)</f>
        <v>2023-05-30T22:07:56Z</v>
      </c>
      <c r="V486" t="str" cm="1">
        <f t="array" aca="1" ref="V486" ca="1">VLOOKUP(INDIRECT("A"&amp;ROW()), 'Recent Changes'!A:H, 8, FALSE)</f>
        <v>2024-01-05T21:13:53Z</v>
      </c>
    </row>
    <row r="487" spans="1:22" x14ac:dyDescent="0.25">
      <c r="A487">
        <v>17296672</v>
      </c>
      <c r="B487" t="s" cm="1">
        <v>430</v>
      </c>
      <c r="C487">
        <v>3</v>
      </c>
      <c r="G487" t="e" cm="1">
        <v>#N/A</v>
      </c>
      <c r="H487" t="s">
        <v>14</v>
      </c>
      <c r="I487" t="s">
        <v>14</v>
      </c>
      <c r="J487" t="s">
        <v>30</v>
      </c>
      <c r="K487" t="s">
        <v>44</v>
      </c>
      <c r="L487" t="s">
        <v>74</v>
      </c>
      <c r="M487" t="s">
        <v>76</v>
      </c>
      <c r="N487" t="s">
        <v>83</v>
      </c>
      <c r="P487" t="str" cm="1">
        <f t="array" aca="1" ref="P487" ca="1">VLOOKUP(INDIRECT("A"&amp;ROW()), 'Recent Changes'!A:G, 2, FALSE)</f>
        <v>NULL</v>
      </c>
      <c r="Q487" t="str" cm="1">
        <f t="array" aca="1" ref="Q487" ca="1">VLOOKUP(INDIRECT("A"&amp;ROW()), 'Recent Changes'!A:G, 3, FALSE)</f>
        <v>NULL</v>
      </c>
      <c r="R487" t="str" cm="1">
        <f t="array" aca="1" ref="R487" ca="1">VLOOKUP(INDIRECT("A"&amp;ROW()), 'Recent Changes'!A:G, 4, FALSE)</f>
        <v>NULL</v>
      </c>
      <c r="S487" t="str" cm="1">
        <f t="array" aca="1" ref="S487" ca="1">VLOOKUP(INDIRECT("A"&amp;ROW()), 'Recent Changes'!A:G, 5, FALSE)</f>
        <v>2024-01-05T14:28:55Z</v>
      </c>
      <c r="T487" t="str" cm="1">
        <f t="array" aca="1" ref="T487" ca="1">VLOOKUP(INDIRECT("A"&amp;ROW()), 'Recent Changes'!A:G, 6, FALSE)</f>
        <v>NULL</v>
      </c>
      <c r="U487" t="str" cm="1">
        <f t="array" aca="1" ref="U487" ca="1">VLOOKUP(INDIRECT("A"&amp;ROW()), 'Recent Changes'!A:G, 7, FALSE)</f>
        <v>2023-11-13T22:50:52Z</v>
      </c>
      <c r="V487" t="str" cm="1">
        <f t="array" aca="1" ref="V487" ca="1">VLOOKUP(INDIRECT("A"&amp;ROW()), 'Recent Changes'!A:H, 8, FALSE)</f>
        <v>2024-01-05T16:06:12Z</v>
      </c>
    </row>
    <row r="488" spans="1:22" x14ac:dyDescent="0.25">
      <c r="A488">
        <v>17328527</v>
      </c>
      <c r="B488" t="s">
        <v>430</v>
      </c>
      <c r="C488">
        <v>3</v>
      </c>
      <c r="G488" t="e" cm="1">
        <v>#N/A</v>
      </c>
      <c r="H488" t="s">
        <v>14</v>
      </c>
      <c r="I488" t="s">
        <v>14</v>
      </c>
      <c r="J488" t="s">
        <v>24</v>
      </c>
      <c r="K488" t="s">
        <v>43</v>
      </c>
      <c r="L488" t="s">
        <v>2185</v>
      </c>
      <c r="M488" t="s">
        <v>2052</v>
      </c>
      <c r="N488" t="s">
        <v>83</v>
      </c>
      <c r="P488" t="str" cm="1">
        <f t="array" aca="1" ref="P488" ca="1">VLOOKUP(INDIRECT("A"&amp;ROW()), 'Recent Changes'!A:G, 2, FALSE)</f>
        <v>NULL</v>
      </c>
      <c r="Q488" t="str" cm="1">
        <f t="array" aca="1" ref="Q488" ca="1">VLOOKUP(INDIRECT("A"&amp;ROW()), 'Recent Changes'!A:G, 3, FALSE)</f>
        <v>NULL</v>
      </c>
      <c r="R488" t="str" cm="1">
        <f t="array" aca="1" ref="R488" ca="1">VLOOKUP(INDIRECT("A"&amp;ROW()), 'Recent Changes'!A:G, 4, FALSE)</f>
        <v>NULL</v>
      </c>
      <c r="S488" t="str" cm="1">
        <f t="array" aca="1" ref="S488" ca="1">VLOOKUP(INDIRECT("A"&amp;ROW()), 'Recent Changes'!A:G, 5, FALSE)</f>
        <v>2024-01-05T21:22:51Z</v>
      </c>
      <c r="T488" t="str" cm="1">
        <f t="array" aca="1" ref="T488" ca="1">VLOOKUP(INDIRECT("A"&amp;ROW()), 'Recent Changes'!A:G, 6, FALSE)</f>
        <v>NULL</v>
      </c>
      <c r="U488" t="str" cm="1">
        <f t="array" aca="1" ref="U488" ca="1">VLOOKUP(INDIRECT("A"&amp;ROW()), 'Recent Changes'!A:G, 7, FALSE)</f>
        <v>NULL</v>
      </c>
      <c r="V488" t="str" cm="1">
        <f t="array" aca="1" ref="V488" ca="1">VLOOKUP(INDIRECT("A"&amp;ROW()), 'Recent Changes'!A:H, 8, FALSE)</f>
        <v>2024-01-06T07:32:11Z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342D50-F86C-4A3E-885D-5D68041CF550}">
  <sheetPr codeName="Sheet3"/>
  <dimension ref="A1:AA200"/>
  <sheetViews>
    <sheetView workbookViewId="0">
      <selection activeCell="H22" sqref="H22"/>
    </sheetView>
  </sheetViews>
  <sheetFormatPr defaultRowHeight="15" x14ac:dyDescent="0.25"/>
  <cols>
    <col min="1" max="1" width="14.5703125" customWidth="1"/>
    <col min="2" max="2" width="11" customWidth="1"/>
    <col min="6" max="6" width="12.7109375" customWidth="1"/>
    <col min="7" max="7" width="16.5703125" customWidth="1"/>
    <col min="8" max="8" width="15.85546875" customWidth="1"/>
    <col min="9" max="9" width="17" customWidth="1"/>
    <col min="10" max="10" width="16.28515625" customWidth="1"/>
    <col min="11" max="11" width="17.85546875" customWidth="1"/>
    <col min="12" max="12" width="18.140625" customWidth="1"/>
    <col min="13" max="13" width="18.5703125" customWidth="1"/>
    <col min="14" max="14" width="20.5703125" customWidth="1"/>
    <col min="15" max="15" width="15.85546875" customWidth="1"/>
    <col min="16" max="16" width="28.140625" customWidth="1"/>
    <col min="17" max="17" width="22.5703125" customWidth="1"/>
    <col min="18" max="18" width="20" customWidth="1"/>
    <col min="19" max="19" width="23.140625" customWidth="1"/>
    <col min="20" max="21" width="19.5703125" customWidth="1"/>
  </cols>
  <sheetData>
    <row r="1" spans="1:27" x14ac:dyDescent="0.2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13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3" t="s">
        <v>92</v>
      </c>
      <c r="P1" s="2" t="s">
        <v>462</v>
      </c>
      <c r="Q1" s="2" t="s">
        <v>463</v>
      </c>
      <c r="R1" s="2" t="s">
        <v>464</v>
      </c>
      <c r="S1" s="2" t="s">
        <v>465</v>
      </c>
      <c r="T1" s="2" t="s">
        <v>466</v>
      </c>
      <c r="U1" s="2" t="s">
        <v>467</v>
      </c>
      <c r="V1" s="2" t="s">
        <v>1014</v>
      </c>
      <c r="AA1" cm="1">
        <f t="array" aca="1" ref="AA1" ca="1">SUMPRODUCT(SUBTOTAL(3,OFFSET(D2,ROW(D2:D10011)-ROW(D2),0)),(D2:D10011="Done")+0)</f>
        <v>55</v>
      </c>
    </row>
    <row r="2" spans="1:27" x14ac:dyDescent="0.25">
      <c r="A2">
        <v>16666999</v>
      </c>
      <c r="B2" t="s" cm="1">
        <v>433</v>
      </c>
      <c r="C2">
        <v>203</v>
      </c>
      <c r="G2" t="s" cm="1">
        <v>442</v>
      </c>
      <c r="H2" t="s">
        <v>14</v>
      </c>
      <c r="I2" t="s">
        <v>14</v>
      </c>
      <c r="J2" t="s">
        <v>26</v>
      </c>
      <c r="K2" t="s">
        <v>52</v>
      </c>
      <c r="L2" t="s">
        <v>1362</v>
      </c>
      <c r="M2" t="s">
        <v>76</v>
      </c>
      <c r="N2" t="s">
        <v>83</v>
      </c>
      <c r="P2" t="s">
        <v>1717</v>
      </c>
      <c r="Q2" t="s">
        <v>14</v>
      </c>
      <c r="R2" t="s">
        <v>14</v>
      </c>
      <c r="S2" t="s">
        <v>817</v>
      </c>
      <c r="T2" t="s">
        <v>14</v>
      </c>
      <c r="U2" t="s">
        <v>14</v>
      </c>
      <c r="V2" t="s">
        <v>1098</v>
      </c>
    </row>
    <row r="3" spans="1:27" x14ac:dyDescent="0.25">
      <c r="A3">
        <v>16674380</v>
      </c>
      <c r="B3" t="s">
        <v>433</v>
      </c>
      <c r="C3">
        <v>202</v>
      </c>
      <c r="G3" t="e" cm="1">
        <v>#N/A</v>
      </c>
      <c r="H3">
        <v>45077</v>
      </c>
      <c r="I3" t="s">
        <v>15</v>
      </c>
      <c r="J3" t="s">
        <v>27</v>
      </c>
      <c r="K3" t="s">
        <v>44</v>
      </c>
      <c r="L3" t="s">
        <v>1363</v>
      </c>
      <c r="M3" t="s">
        <v>76</v>
      </c>
      <c r="N3" t="s">
        <v>83</v>
      </c>
      <c r="O3" t="s">
        <v>431</v>
      </c>
      <c r="P3" t="s">
        <v>611</v>
      </c>
      <c r="Q3" t="s">
        <v>14</v>
      </c>
      <c r="R3" t="s">
        <v>14</v>
      </c>
      <c r="S3" t="s">
        <v>611</v>
      </c>
      <c r="T3" t="s">
        <v>14</v>
      </c>
      <c r="U3" t="s">
        <v>14</v>
      </c>
      <c r="V3" t="s">
        <v>1100</v>
      </c>
    </row>
    <row r="4" spans="1:27" x14ac:dyDescent="0.25">
      <c r="A4">
        <v>16687946</v>
      </c>
      <c r="B4" t="s">
        <v>433</v>
      </c>
      <c r="C4">
        <v>200</v>
      </c>
      <c r="G4" t="s" cm="1">
        <v>442</v>
      </c>
      <c r="H4" t="s">
        <v>14</v>
      </c>
      <c r="I4" t="s">
        <v>14</v>
      </c>
      <c r="J4" t="s">
        <v>35</v>
      </c>
      <c r="K4" t="s">
        <v>49</v>
      </c>
      <c r="L4" t="s">
        <v>61</v>
      </c>
      <c r="M4" t="s">
        <v>76</v>
      </c>
      <c r="N4" t="s">
        <v>14</v>
      </c>
      <c r="P4" t="e">
        <v>#N/A</v>
      </c>
      <c r="Q4" t="e">
        <v>#N/A</v>
      </c>
      <c r="R4" t="e">
        <v>#N/A</v>
      </c>
      <c r="S4" t="e">
        <v>#N/A</v>
      </c>
      <c r="T4" t="e">
        <v>#N/A</v>
      </c>
      <c r="U4" t="e">
        <v>#N/A</v>
      </c>
      <c r="V4" t="e">
        <v>#N/A</v>
      </c>
    </row>
    <row r="5" spans="1:27" x14ac:dyDescent="0.25">
      <c r="A5">
        <v>16776740</v>
      </c>
      <c r="B5" t="s">
        <v>433</v>
      </c>
      <c r="C5">
        <v>179</v>
      </c>
      <c r="G5" t="s" cm="1">
        <v>442</v>
      </c>
      <c r="H5" t="s">
        <v>14</v>
      </c>
      <c r="I5" t="s">
        <v>14</v>
      </c>
      <c r="J5" t="s">
        <v>382</v>
      </c>
      <c r="K5" t="s">
        <v>48</v>
      </c>
      <c r="L5" t="s">
        <v>73</v>
      </c>
      <c r="M5" t="s">
        <v>76</v>
      </c>
      <c r="N5" t="s">
        <v>83</v>
      </c>
      <c r="P5" t="s">
        <v>14</v>
      </c>
      <c r="Q5" t="s">
        <v>14</v>
      </c>
      <c r="R5" t="s">
        <v>14</v>
      </c>
      <c r="S5" t="s">
        <v>707</v>
      </c>
      <c r="T5" t="s">
        <v>14</v>
      </c>
      <c r="U5" t="s">
        <v>14</v>
      </c>
      <c r="V5" t="s">
        <v>1109</v>
      </c>
    </row>
    <row r="6" spans="1:27" x14ac:dyDescent="0.25">
      <c r="A6">
        <v>16776416</v>
      </c>
      <c r="B6" t="s">
        <v>433</v>
      </c>
      <c r="C6">
        <v>179</v>
      </c>
      <c r="G6" t="s" cm="1">
        <v>442</v>
      </c>
      <c r="H6" t="s">
        <v>14</v>
      </c>
      <c r="I6" t="s">
        <v>14</v>
      </c>
      <c r="J6" t="s">
        <v>35</v>
      </c>
      <c r="K6" t="s">
        <v>49</v>
      </c>
      <c r="L6" t="s">
        <v>65</v>
      </c>
      <c r="M6" t="s">
        <v>81</v>
      </c>
      <c r="N6" t="s">
        <v>14</v>
      </c>
      <c r="P6" t="e">
        <v>#N/A</v>
      </c>
      <c r="Q6" t="e">
        <v>#N/A</v>
      </c>
      <c r="R6" t="e">
        <v>#N/A</v>
      </c>
      <c r="S6" t="e">
        <v>#N/A</v>
      </c>
      <c r="T6" t="e">
        <v>#N/A</v>
      </c>
      <c r="U6" t="e">
        <v>#N/A</v>
      </c>
      <c r="V6" t="e">
        <v>#N/A</v>
      </c>
    </row>
    <row r="7" spans="1:27" x14ac:dyDescent="0.25">
      <c r="A7">
        <v>16825888</v>
      </c>
      <c r="B7" t="s">
        <v>433</v>
      </c>
      <c r="C7">
        <v>167</v>
      </c>
      <c r="G7" t="s" cm="1">
        <v>442</v>
      </c>
      <c r="H7" t="s">
        <v>14</v>
      </c>
      <c r="I7" t="s">
        <v>14</v>
      </c>
      <c r="J7" t="s">
        <v>23</v>
      </c>
      <c r="K7" t="s">
        <v>54</v>
      </c>
      <c r="L7" t="s">
        <v>72</v>
      </c>
      <c r="M7" t="s">
        <v>76</v>
      </c>
      <c r="N7" t="s">
        <v>83</v>
      </c>
      <c r="P7" t="s">
        <v>14</v>
      </c>
      <c r="Q7" t="s">
        <v>14</v>
      </c>
      <c r="R7" t="s">
        <v>14</v>
      </c>
      <c r="S7" t="s">
        <v>14</v>
      </c>
      <c r="T7" t="s">
        <v>14</v>
      </c>
      <c r="U7" t="s">
        <v>706</v>
      </c>
      <c r="V7" t="s">
        <v>1117</v>
      </c>
    </row>
    <row r="8" spans="1:27" x14ac:dyDescent="0.25">
      <c r="A8">
        <v>16800279</v>
      </c>
      <c r="B8" t="s">
        <v>433</v>
      </c>
      <c r="C8">
        <v>165</v>
      </c>
      <c r="G8" t="e" cm="1">
        <v>#N/A</v>
      </c>
      <c r="H8">
        <v>45114</v>
      </c>
      <c r="I8" t="s">
        <v>15</v>
      </c>
      <c r="J8" t="s">
        <v>31</v>
      </c>
      <c r="K8" t="s">
        <v>51</v>
      </c>
      <c r="L8" t="s">
        <v>1364</v>
      </c>
      <c r="M8" t="s">
        <v>76</v>
      </c>
      <c r="N8" t="s">
        <v>83</v>
      </c>
      <c r="O8" t="s">
        <v>431</v>
      </c>
      <c r="P8" t="s">
        <v>826</v>
      </c>
      <c r="Q8" t="s">
        <v>14</v>
      </c>
      <c r="R8" t="s">
        <v>14</v>
      </c>
      <c r="S8" t="s">
        <v>14</v>
      </c>
      <c r="T8" t="s">
        <v>14</v>
      </c>
      <c r="U8" t="s">
        <v>14</v>
      </c>
      <c r="V8" t="s">
        <v>1113</v>
      </c>
    </row>
    <row r="9" spans="1:27" x14ac:dyDescent="0.25">
      <c r="A9">
        <v>16847242</v>
      </c>
      <c r="B9" t="s">
        <v>433</v>
      </c>
      <c r="C9">
        <v>164</v>
      </c>
      <c r="E9" s="6"/>
      <c r="G9" t="s" cm="1">
        <v>442</v>
      </c>
      <c r="H9" t="s">
        <v>14</v>
      </c>
      <c r="I9" t="s">
        <v>14</v>
      </c>
      <c r="J9" t="s">
        <v>39</v>
      </c>
      <c r="K9" t="s">
        <v>44</v>
      </c>
      <c r="L9" t="s">
        <v>68</v>
      </c>
      <c r="M9" t="s">
        <v>76</v>
      </c>
      <c r="N9" t="s">
        <v>83</v>
      </c>
      <c r="P9" t="s">
        <v>14</v>
      </c>
      <c r="Q9" t="s">
        <v>14</v>
      </c>
      <c r="R9" t="s">
        <v>14</v>
      </c>
      <c r="S9" t="s">
        <v>647</v>
      </c>
      <c r="T9" t="s">
        <v>14</v>
      </c>
      <c r="U9" t="s">
        <v>648</v>
      </c>
      <c r="V9" t="s">
        <v>1122</v>
      </c>
    </row>
    <row r="10" spans="1:27" x14ac:dyDescent="0.25">
      <c r="A10">
        <v>16855253</v>
      </c>
      <c r="B10" t="s">
        <v>430</v>
      </c>
      <c r="C10">
        <v>160</v>
      </c>
      <c r="D10" t="s">
        <v>452</v>
      </c>
      <c r="E10">
        <v>45272</v>
      </c>
      <c r="F10" t="s">
        <v>751</v>
      </c>
      <c r="G10" t="e">
        <v>#N/A</v>
      </c>
      <c r="H10" t="s">
        <v>14</v>
      </c>
      <c r="I10" t="s">
        <v>754</v>
      </c>
      <c r="J10" t="s">
        <v>42</v>
      </c>
      <c r="K10" t="s">
        <v>54</v>
      </c>
      <c r="L10" t="s">
        <v>1365</v>
      </c>
      <c r="M10" t="s">
        <v>76</v>
      </c>
      <c r="N10" t="s">
        <v>83</v>
      </c>
      <c r="P10" t="s">
        <v>14</v>
      </c>
      <c r="Q10" t="s">
        <v>14</v>
      </c>
      <c r="R10" t="s">
        <v>14</v>
      </c>
      <c r="S10" t="s">
        <v>833</v>
      </c>
      <c r="T10" t="s">
        <v>14</v>
      </c>
      <c r="U10" t="s">
        <v>834</v>
      </c>
      <c r="V10" t="s">
        <v>1124</v>
      </c>
    </row>
    <row r="11" spans="1:27" x14ac:dyDescent="0.25">
      <c r="A11">
        <v>16871982</v>
      </c>
      <c r="B11" t="s">
        <v>433</v>
      </c>
      <c r="C11">
        <v>157</v>
      </c>
      <c r="G11" t="s" cm="1">
        <v>442</v>
      </c>
      <c r="H11" t="s">
        <v>14</v>
      </c>
      <c r="I11" t="s">
        <v>14</v>
      </c>
      <c r="J11" t="s">
        <v>29</v>
      </c>
      <c r="K11" t="s">
        <v>48</v>
      </c>
      <c r="L11" t="s">
        <v>726</v>
      </c>
      <c r="M11" t="s">
        <v>76</v>
      </c>
      <c r="N11" t="s">
        <v>83</v>
      </c>
      <c r="P11" t="s">
        <v>14</v>
      </c>
      <c r="Q11" t="s">
        <v>14</v>
      </c>
      <c r="R11" t="s">
        <v>14</v>
      </c>
      <c r="S11" t="s">
        <v>14</v>
      </c>
      <c r="T11" t="s">
        <v>14</v>
      </c>
      <c r="U11" t="s">
        <v>835</v>
      </c>
      <c r="V11" t="s">
        <v>1125</v>
      </c>
    </row>
    <row r="12" spans="1:27" x14ac:dyDescent="0.25">
      <c r="A12">
        <v>16887884</v>
      </c>
      <c r="B12" t="s">
        <v>433</v>
      </c>
      <c r="C12">
        <v>152</v>
      </c>
      <c r="G12" t="s" cm="1">
        <v>442</v>
      </c>
      <c r="H12" t="s">
        <v>14</v>
      </c>
      <c r="I12" t="s">
        <v>14</v>
      </c>
      <c r="J12" t="s">
        <v>84</v>
      </c>
      <c r="K12" t="s">
        <v>44</v>
      </c>
      <c r="L12" t="s">
        <v>399</v>
      </c>
      <c r="M12" t="s">
        <v>76</v>
      </c>
      <c r="N12" t="s">
        <v>14</v>
      </c>
      <c r="P12" t="e">
        <v>#N/A</v>
      </c>
      <c r="Q12" t="e">
        <v>#N/A</v>
      </c>
      <c r="R12" t="e">
        <v>#N/A</v>
      </c>
      <c r="S12" t="e">
        <v>#N/A</v>
      </c>
      <c r="T12" t="e">
        <v>#N/A</v>
      </c>
      <c r="U12" t="e">
        <v>#N/A</v>
      </c>
      <c r="V12" t="e">
        <v>#N/A</v>
      </c>
    </row>
    <row r="13" spans="1:27" x14ac:dyDescent="0.25">
      <c r="A13">
        <v>16890202</v>
      </c>
      <c r="B13" t="s">
        <v>433</v>
      </c>
      <c r="C13">
        <v>152</v>
      </c>
      <c r="G13" t="s" cm="1">
        <v>442</v>
      </c>
      <c r="H13" t="s">
        <v>14</v>
      </c>
      <c r="I13" t="s">
        <v>14</v>
      </c>
      <c r="J13" t="s">
        <v>29</v>
      </c>
      <c r="K13" t="s">
        <v>44</v>
      </c>
      <c r="L13" t="s">
        <v>1366</v>
      </c>
      <c r="M13" t="s">
        <v>1405</v>
      </c>
      <c r="N13" t="s">
        <v>83</v>
      </c>
      <c r="P13" t="s">
        <v>14</v>
      </c>
      <c r="Q13" t="s">
        <v>14</v>
      </c>
      <c r="R13" t="s">
        <v>14</v>
      </c>
      <c r="S13" t="s">
        <v>14</v>
      </c>
      <c r="T13" t="s">
        <v>14</v>
      </c>
      <c r="U13" t="s">
        <v>14</v>
      </c>
      <c r="V13" t="s">
        <v>1127</v>
      </c>
    </row>
    <row r="14" spans="1:27" x14ac:dyDescent="0.25">
      <c r="A14">
        <v>16917866</v>
      </c>
      <c r="B14" t="s">
        <v>433</v>
      </c>
      <c r="C14">
        <v>145</v>
      </c>
      <c r="G14" t="s" cm="1">
        <v>442</v>
      </c>
      <c r="H14" t="s">
        <v>14</v>
      </c>
      <c r="I14" t="s">
        <v>380</v>
      </c>
      <c r="J14" t="s">
        <v>29</v>
      </c>
      <c r="K14" t="s">
        <v>48</v>
      </c>
      <c r="L14" t="s">
        <v>1367</v>
      </c>
      <c r="M14" t="s">
        <v>76</v>
      </c>
      <c r="N14" t="s">
        <v>83</v>
      </c>
      <c r="P14" t="s">
        <v>840</v>
      </c>
      <c r="Q14" t="s">
        <v>14</v>
      </c>
      <c r="R14" t="s">
        <v>14</v>
      </c>
      <c r="S14" t="s">
        <v>14</v>
      </c>
      <c r="T14" t="s">
        <v>14</v>
      </c>
      <c r="U14" t="s">
        <v>841</v>
      </c>
      <c r="V14" t="s">
        <v>1134</v>
      </c>
    </row>
    <row r="15" spans="1:27" x14ac:dyDescent="0.25">
      <c r="A15">
        <v>16940720</v>
      </c>
      <c r="B15" t="s">
        <v>433</v>
      </c>
      <c r="C15">
        <v>140</v>
      </c>
      <c r="E15" s="6"/>
      <c r="G15" t="s" cm="1">
        <v>442</v>
      </c>
      <c r="H15" t="s">
        <v>14</v>
      </c>
      <c r="I15" t="s">
        <v>380</v>
      </c>
      <c r="J15" t="s">
        <v>383</v>
      </c>
      <c r="K15" t="s">
        <v>456</v>
      </c>
      <c r="L15" t="s">
        <v>457</v>
      </c>
      <c r="M15" t="s">
        <v>508</v>
      </c>
      <c r="N15" t="s">
        <v>83</v>
      </c>
      <c r="P15" t="s">
        <v>14</v>
      </c>
      <c r="Q15" t="s">
        <v>14</v>
      </c>
      <c r="R15" t="s">
        <v>14</v>
      </c>
      <c r="S15" t="s">
        <v>842</v>
      </c>
      <c r="T15" t="s">
        <v>14</v>
      </c>
      <c r="U15" t="s">
        <v>843</v>
      </c>
      <c r="V15" t="s">
        <v>1138</v>
      </c>
    </row>
    <row r="16" spans="1:27" x14ac:dyDescent="0.25">
      <c r="A16">
        <v>16944622</v>
      </c>
      <c r="B16" t="s">
        <v>433</v>
      </c>
      <c r="C16">
        <v>139</v>
      </c>
      <c r="G16" t="s" cm="1">
        <v>442</v>
      </c>
      <c r="H16" t="s">
        <v>14</v>
      </c>
      <c r="I16" t="s">
        <v>380</v>
      </c>
      <c r="J16" t="s">
        <v>23</v>
      </c>
      <c r="K16" t="s">
        <v>53</v>
      </c>
      <c r="L16" t="s">
        <v>624</v>
      </c>
      <c r="M16" t="s">
        <v>78</v>
      </c>
      <c r="N16" t="s">
        <v>83</v>
      </c>
      <c r="P16" t="s">
        <v>548</v>
      </c>
      <c r="Q16" t="s">
        <v>14</v>
      </c>
      <c r="R16" t="s">
        <v>14</v>
      </c>
      <c r="S16" t="s">
        <v>14</v>
      </c>
      <c r="T16" t="s">
        <v>14</v>
      </c>
      <c r="U16" t="s">
        <v>549</v>
      </c>
      <c r="V16" t="s">
        <v>1139</v>
      </c>
    </row>
    <row r="17" spans="1:22" x14ac:dyDescent="0.25">
      <c r="A17">
        <v>16961068</v>
      </c>
      <c r="B17" t="s">
        <v>433</v>
      </c>
      <c r="C17">
        <v>136</v>
      </c>
      <c r="G17" t="s" cm="1">
        <v>442</v>
      </c>
      <c r="H17" t="s">
        <v>14</v>
      </c>
      <c r="I17" t="s">
        <v>14</v>
      </c>
      <c r="J17" t="s">
        <v>84</v>
      </c>
      <c r="K17" t="s">
        <v>44</v>
      </c>
      <c r="L17" t="s">
        <v>1314</v>
      </c>
      <c r="M17" t="s">
        <v>76</v>
      </c>
      <c r="N17" t="s">
        <v>14</v>
      </c>
      <c r="P17" t="e">
        <v>#N/A</v>
      </c>
      <c r="Q17" t="e">
        <v>#N/A</v>
      </c>
      <c r="R17" t="e">
        <v>#N/A</v>
      </c>
      <c r="S17" t="e">
        <v>#N/A</v>
      </c>
      <c r="T17" t="e">
        <v>#N/A</v>
      </c>
      <c r="U17" t="e">
        <v>#N/A</v>
      </c>
      <c r="V17" t="e">
        <v>#N/A</v>
      </c>
    </row>
    <row r="18" spans="1:22" x14ac:dyDescent="0.25">
      <c r="A18">
        <v>15770197</v>
      </c>
      <c r="B18" t="s">
        <v>433</v>
      </c>
      <c r="C18">
        <v>133</v>
      </c>
      <c r="G18" t="s" cm="1">
        <v>442</v>
      </c>
      <c r="H18" t="s">
        <v>14</v>
      </c>
      <c r="I18" t="s">
        <v>14</v>
      </c>
      <c r="J18" t="s">
        <v>41</v>
      </c>
      <c r="K18" t="s">
        <v>44</v>
      </c>
      <c r="L18" t="s">
        <v>66</v>
      </c>
      <c r="M18" t="s">
        <v>76</v>
      </c>
      <c r="N18" t="s">
        <v>83</v>
      </c>
      <c r="P18" t="s">
        <v>14</v>
      </c>
      <c r="Q18" t="s">
        <v>14</v>
      </c>
      <c r="R18" t="s">
        <v>14</v>
      </c>
      <c r="S18" t="s">
        <v>712</v>
      </c>
      <c r="T18" t="s">
        <v>14</v>
      </c>
      <c r="U18" t="s">
        <v>14</v>
      </c>
      <c r="V18" t="s">
        <v>1065</v>
      </c>
    </row>
    <row r="19" spans="1:22" x14ac:dyDescent="0.25">
      <c r="A19">
        <v>16947214</v>
      </c>
      <c r="B19" t="s">
        <v>433</v>
      </c>
      <c r="C19">
        <v>126</v>
      </c>
      <c r="G19" t="s" cm="1">
        <v>442</v>
      </c>
      <c r="H19" t="s">
        <v>14</v>
      </c>
      <c r="I19" t="s">
        <v>14</v>
      </c>
      <c r="J19" t="s">
        <v>375</v>
      </c>
      <c r="K19" t="s">
        <v>44</v>
      </c>
      <c r="L19" t="s">
        <v>85</v>
      </c>
      <c r="M19" t="s">
        <v>76</v>
      </c>
      <c r="N19" t="s">
        <v>83</v>
      </c>
      <c r="P19" t="s">
        <v>14</v>
      </c>
      <c r="Q19" t="s">
        <v>14</v>
      </c>
      <c r="R19" t="s">
        <v>14</v>
      </c>
      <c r="S19" t="s">
        <v>704</v>
      </c>
      <c r="T19" t="s">
        <v>14</v>
      </c>
      <c r="U19" t="s">
        <v>705</v>
      </c>
      <c r="V19" t="s">
        <v>1140</v>
      </c>
    </row>
    <row r="20" spans="1:22" x14ac:dyDescent="0.25">
      <c r="A20">
        <v>17003765</v>
      </c>
      <c r="B20" t="s">
        <v>433</v>
      </c>
      <c r="C20">
        <v>125</v>
      </c>
      <c r="G20" t="s" cm="1">
        <v>442</v>
      </c>
      <c r="H20" t="s">
        <v>14</v>
      </c>
      <c r="I20" t="s">
        <v>14</v>
      </c>
      <c r="J20" t="s">
        <v>84</v>
      </c>
      <c r="K20" t="s">
        <v>44</v>
      </c>
      <c r="L20" t="s">
        <v>69</v>
      </c>
      <c r="M20" t="s">
        <v>76</v>
      </c>
      <c r="N20" t="s">
        <v>14</v>
      </c>
      <c r="P20" t="e">
        <v>#N/A</v>
      </c>
      <c r="Q20" t="e">
        <v>#N/A</v>
      </c>
      <c r="R20" t="e">
        <v>#N/A</v>
      </c>
      <c r="S20" t="e">
        <v>#N/A</v>
      </c>
      <c r="T20" t="e">
        <v>#N/A</v>
      </c>
      <c r="U20" t="e">
        <v>#N/A</v>
      </c>
      <c r="V20" t="e">
        <v>#N/A</v>
      </c>
    </row>
    <row r="21" spans="1:22" x14ac:dyDescent="0.25">
      <c r="A21">
        <v>17009447</v>
      </c>
      <c r="B21" t="s">
        <v>433</v>
      </c>
      <c r="C21">
        <v>124</v>
      </c>
      <c r="E21" s="6"/>
      <c r="G21" t="e" cm="1">
        <v>#N/A</v>
      </c>
      <c r="H21">
        <v>45201</v>
      </c>
      <c r="I21" t="s">
        <v>15</v>
      </c>
      <c r="J21" t="s">
        <v>30</v>
      </c>
      <c r="K21" t="s">
        <v>49</v>
      </c>
      <c r="L21" t="s">
        <v>1368</v>
      </c>
      <c r="M21" t="s">
        <v>78</v>
      </c>
      <c r="N21" t="s">
        <v>83</v>
      </c>
      <c r="O21" t="s">
        <v>431</v>
      </c>
      <c r="P21" t="s">
        <v>14</v>
      </c>
      <c r="Q21" t="s">
        <v>14</v>
      </c>
      <c r="R21" t="s">
        <v>14</v>
      </c>
      <c r="S21" t="s">
        <v>534</v>
      </c>
      <c r="T21" t="s">
        <v>14</v>
      </c>
      <c r="U21" t="s">
        <v>14</v>
      </c>
      <c r="V21" t="s">
        <v>1148</v>
      </c>
    </row>
    <row r="22" spans="1:22" x14ac:dyDescent="0.25">
      <c r="A22">
        <v>16384634</v>
      </c>
      <c r="B22" t="s" cm="1">
        <v>433</v>
      </c>
      <c r="C22">
        <v>116</v>
      </c>
      <c r="E22" s="6"/>
      <c r="G22" t="s" cm="1">
        <v>442</v>
      </c>
      <c r="H22" t="s">
        <v>14</v>
      </c>
      <c r="I22" t="s">
        <v>14</v>
      </c>
      <c r="J22" t="s">
        <v>26</v>
      </c>
      <c r="K22" t="s">
        <v>49</v>
      </c>
      <c r="L22" t="s">
        <v>1315</v>
      </c>
      <c r="M22" t="s">
        <v>76</v>
      </c>
      <c r="N22" t="s">
        <v>83</v>
      </c>
      <c r="P22" t="s">
        <v>14</v>
      </c>
      <c r="Q22" t="s">
        <v>14</v>
      </c>
      <c r="R22" t="s">
        <v>14</v>
      </c>
      <c r="S22" t="s">
        <v>14</v>
      </c>
      <c r="T22" t="s">
        <v>14</v>
      </c>
      <c r="U22" t="s">
        <v>811</v>
      </c>
      <c r="V22" t="s">
        <v>1084</v>
      </c>
    </row>
    <row r="23" spans="1:22" x14ac:dyDescent="0.25">
      <c r="A23">
        <v>17056621</v>
      </c>
      <c r="B23" t="s" cm="1">
        <v>433</v>
      </c>
      <c r="C23">
        <v>114</v>
      </c>
      <c r="G23" t="s" cm="1">
        <v>442</v>
      </c>
      <c r="H23" t="s">
        <v>14</v>
      </c>
      <c r="I23" t="s">
        <v>14</v>
      </c>
      <c r="J23" t="s">
        <v>30</v>
      </c>
      <c r="K23" t="s">
        <v>48</v>
      </c>
      <c r="L23" t="s">
        <v>759</v>
      </c>
      <c r="M23" t="s">
        <v>78</v>
      </c>
      <c r="N23" t="s">
        <v>83</v>
      </c>
      <c r="P23" t="s">
        <v>849</v>
      </c>
      <c r="Q23" t="s">
        <v>14</v>
      </c>
      <c r="R23" t="s">
        <v>14</v>
      </c>
      <c r="S23" t="s">
        <v>14</v>
      </c>
      <c r="T23" t="s">
        <v>14</v>
      </c>
      <c r="U23" t="s">
        <v>14</v>
      </c>
      <c r="V23" t="s">
        <v>1158</v>
      </c>
    </row>
    <row r="24" spans="1:22" x14ac:dyDescent="0.25">
      <c r="A24">
        <v>17056716</v>
      </c>
      <c r="B24" t="s" cm="1">
        <v>430</v>
      </c>
      <c r="C24">
        <v>114</v>
      </c>
      <c r="G24" t="s" cm="1">
        <v>442</v>
      </c>
      <c r="H24" t="s">
        <v>14</v>
      </c>
      <c r="I24" t="s">
        <v>14</v>
      </c>
      <c r="J24" t="s">
        <v>30</v>
      </c>
      <c r="K24" t="s">
        <v>44</v>
      </c>
      <c r="L24" t="s">
        <v>1369</v>
      </c>
      <c r="M24" t="s">
        <v>76</v>
      </c>
      <c r="N24" t="s">
        <v>83</v>
      </c>
      <c r="P24" t="s">
        <v>14</v>
      </c>
      <c r="Q24" t="s">
        <v>14</v>
      </c>
      <c r="R24" t="s">
        <v>14</v>
      </c>
      <c r="S24" t="s">
        <v>522</v>
      </c>
      <c r="T24" t="s">
        <v>14</v>
      </c>
      <c r="U24" t="s">
        <v>14</v>
      </c>
      <c r="V24" t="s">
        <v>1159</v>
      </c>
    </row>
    <row r="25" spans="1:22" x14ac:dyDescent="0.25">
      <c r="A25">
        <v>10853971</v>
      </c>
      <c r="B25" t="s">
        <v>433</v>
      </c>
      <c r="C25">
        <v>112</v>
      </c>
      <c r="G25" t="s" cm="1">
        <v>442</v>
      </c>
      <c r="H25" t="s">
        <v>14</v>
      </c>
      <c r="I25" t="s">
        <v>380</v>
      </c>
      <c r="J25" t="s">
        <v>29</v>
      </c>
      <c r="K25" t="s">
        <v>50</v>
      </c>
      <c r="L25" t="s">
        <v>59</v>
      </c>
      <c r="M25" t="s">
        <v>76</v>
      </c>
      <c r="N25" t="s">
        <v>83</v>
      </c>
      <c r="P25">
        <v>0</v>
      </c>
      <c r="Q25">
        <v>0</v>
      </c>
      <c r="R25">
        <v>0</v>
      </c>
      <c r="S25" t="s">
        <v>503</v>
      </c>
      <c r="T25">
        <v>0</v>
      </c>
      <c r="U25" t="s">
        <v>504</v>
      </c>
      <c r="V25" t="s">
        <v>1020</v>
      </c>
    </row>
    <row r="26" spans="1:22" x14ac:dyDescent="0.25">
      <c r="A26">
        <v>16848517</v>
      </c>
      <c r="B26" t="s">
        <v>433</v>
      </c>
      <c r="C26">
        <v>112</v>
      </c>
      <c r="G26" t="s" cm="1">
        <v>442</v>
      </c>
      <c r="H26">
        <v>45135</v>
      </c>
      <c r="I26" t="s">
        <v>15</v>
      </c>
      <c r="J26" t="s">
        <v>445</v>
      </c>
      <c r="K26" t="s">
        <v>49</v>
      </c>
      <c r="L26" t="s">
        <v>446</v>
      </c>
      <c r="M26" t="s">
        <v>76</v>
      </c>
      <c r="N26" t="s">
        <v>83</v>
      </c>
      <c r="O26" t="s">
        <v>431</v>
      </c>
      <c r="P26" t="s">
        <v>14</v>
      </c>
      <c r="Q26" t="s">
        <v>14</v>
      </c>
      <c r="R26" t="s">
        <v>14</v>
      </c>
      <c r="S26" t="s">
        <v>832</v>
      </c>
      <c r="T26" t="s">
        <v>14</v>
      </c>
      <c r="U26" t="s">
        <v>14</v>
      </c>
      <c r="V26" t="s">
        <v>1123</v>
      </c>
    </row>
    <row r="27" spans="1:22" x14ac:dyDescent="0.25">
      <c r="A27">
        <v>16805199</v>
      </c>
      <c r="B27" t="s">
        <v>433</v>
      </c>
      <c r="C27">
        <v>111</v>
      </c>
      <c r="G27" t="s" cm="1">
        <v>442</v>
      </c>
      <c r="H27">
        <v>45160</v>
      </c>
      <c r="I27" t="s">
        <v>15</v>
      </c>
      <c r="J27" t="s">
        <v>18</v>
      </c>
      <c r="K27" t="s">
        <v>44</v>
      </c>
      <c r="L27" t="s">
        <v>395</v>
      </c>
      <c r="M27" t="s">
        <v>76</v>
      </c>
      <c r="N27" t="s">
        <v>83</v>
      </c>
      <c r="O27" t="s">
        <v>431</v>
      </c>
      <c r="P27" t="s">
        <v>827</v>
      </c>
      <c r="Q27" t="s">
        <v>14</v>
      </c>
      <c r="R27" t="s">
        <v>14</v>
      </c>
      <c r="S27" t="s">
        <v>14</v>
      </c>
      <c r="T27" t="s">
        <v>14</v>
      </c>
      <c r="U27" t="s">
        <v>14</v>
      </c>
      <c r="V27" t="s">
        <v>1114</v>
      </c>
    </row>
    <row r="28" spans="1:22" x14ac:dyDescent="0.25">
      <c r="A28">
        <v>17067208</v>
      </c>
      <c r="B28" t="s">
        <v>433</v>
      </c>
      <c r="C28">
        <v>111</v>
      </c>
      <c r="E28" s="6"/>
      <c r="G28" t="s" cm="1">
        <v>442</v>
      </c>
      <c r="H28" t="s">
        <v>14</v>
      </c>
      <c r="I28" t="s">
        <v>14</v>
      </c>
      <c r="J28" t="s">
        <v>41</v>
      </c>
      <c r="K28" t="s">
        <v>44</v>
      </c>
      <c r="L28" t="s">
        <v>1370</v>
      </c>
      <c r="M28" t="s">
        <v>76</v>
      </c>
      <c r="N28" t="s">
        <v>83</v>
      </c>
      <c r="P28" t="s">
        <v>14</v>
      </c>
      <c r="Q28" t="s">
        <v>14</v>
      </c>
      <c r="R28" t="s">
        <v>14</v>
      </c>
      <c r="S28" t="s">
        <v>470</v>
      </c>
      <c r="T28" t="s">
        <v>14</v>
      </c>
      <c r="U28" t="s">
        <v>14</v>
      </c>
      <c r="V28" t="s">
        <v>1162</v>
      </c>
    </row>
    <row r="29" spans="1:22" x14ac:dyDescent="0.25">
      <c r="A29">
        <v>12954923</v>
      </c>
      <c r="B29" t="s">
        <v>433</v>
      </c>
      <c r="C29">
        <v>109</v>
      </c>
      <c r="E29" s="6"/>
      <c r="G29" t="s" cm="1">
        <v>442</v>
      </c>
      <c r="H29">
        <v>45162</v>
      </c>
      <c r="I29" t="s">
        <v>15</v>
      </c>
      <c r="J29" t="s">
        <v>30</v>
      </c>
      <c r="K29" t="s">
        <v>44</v>
      </c>
      <c r="L29" t="s">
        <v>1371</v>
      </c>
      <c r="M29" t="s">
        <v>78</v>
      </c>
      <c r="N29" t="s">
        <v>83</v>
      </c>
      <c r="O29" t="s">
        <v>431</v>
      </c>
      <c r="P29" t="s">
        <v>14</v>
      </c>
      <c r="Q29" t="s">
        <v>14</v>
      </c>
      <c r="R29" t="s">
        <v>14</v>
      </c>
      <c r="S29" t="s">
        <v>778</v>
      </c>
      <c r="T29" t="s">
        <v>14</v>
      </c>
      <c r="U29" t="s">
        <v>14</v>
      </c>
      <c r="V29" t="s">
        <v>1031</v>
      </c>
    </row>
    <row r="30" spans="1:22" x14ac:dyDescent="0.25">
      <c r="A30">
        <v>11938688</v>
      </c>
      <c r="B30" t="s">
        <v>433</v>
      </c>
      <c r="C30">
        <v>109</v>
      </c>
      <c r="G30" t="s" cm="1">
        <v>442</v>
      </c>
      <c r="H30">
        <v>45162</v>
      </c>
      <c r="I30" t="s">
        <v>15</v>
      </c>
      <c r="J30" t="s">
        <v>30</v>
      </c>
      <c r="K30" t="s">
        <v>44</v>
      </c>
      <c r="L30" t="s">
        <v>1372</v>
      </c>
      <c r="M30" t="s">
        <v>78</v>
      </c>
      <c r="N30" t="s">
        <v>83</v>
      </c>
      <c r="O30" t="s">
        <v>431</v>
      </c>
      <c r="P30" t="s">
        <v>14</v>
      </c>
      <c r="Q30" t="s">
        <v>14</v>
      </c>
      <c r="R30" t="s">
        <v>14</v>
      </c>
      <c r="S30" t="s">
        <v>14</v>
      </c>
      <c r="T30" t="s">
        <v>14</v>
      </c>
      <c r="U30" t="s">
        <v>670</v>
      </c>
      <c r="V30" t="s">
        <v>1025</v>
      </c>
    </row>
    <row r="31" spans="1:22" x14ac:dyDescent="0.25">
      <c r="A31">
        <v>17081943</v>
      </c>
      <c r="B31" t="s">
        <v>433</v>
      </c>
      <c r="C31">
        <v>108</v>
      </c>
      <c r="G31" t="e" cm="1">
        <v>#N/A</v>
      </c>
      <c r="H31" t="s">
        <v>14</v>
      </c>
      <c r="I31" t="s">
        <v>14</v>
      </c>
      <c r="J31" t="s">
        <v>1361</v>
      </c>
      <c r="K31" t="s">
        <v>54</v>
      </c>
      <c r="L31" t="s">
        <v>1373</v>
      </c>
      <c r="M31" t="s">
        <v>76</v>
      </c>
      <c r="N31" t="s">
        <v>83</v>
      </c>
      <c r="P31" t="s">
        <v>852</v>
      </c>
      <c r="Q31" t="s">
        <v>14</v>
      </c>
      <c r="R31" t="s">
        <v>14</v>
      </c>
      <c r="S31" t="s">
        <v>853</v>
      </c>
      <c r="T31" t="s">
        <v>14</v>
      </c>
      <c r="U31" t="s">
        <v>854</v>
      </c>
      <c r="V31" t="s">
        <v>1165</v>
      </c>
    </row>
    <row r="32" spans="1:22" x14ac:dyDescent="0.25">
      <c r="A32">
        <v>17087079</v>
      </c>
      <c r="B32" t="s">
        <v>433</v>
      </c>
      <c r="C32">
        <v>105</v>
      </c>
      <c r="G32" t="s" cm="1">
        <v>442</v>
      </c>
      <c r="H32">
        <v>45203</v>
      </c>
      <c r="I32" t="s">
        <v>15</v>
      </c>
      <c r="J32" t="s">
        <v>30</v>
      </c>
      <c r="K32" t="s">
        <v>51</v>
      </c>
      <c r="L32" t="s">
        <v>74</v>
      </c>
      <c r="M32" t="s">
        <v>76</v>
      </c>
      <c r="N32" t="s">
        <v>83</v>
      </c>
      <c r="O32" t="s">
        <v>431</v>
      </c>
      <c r="P32" t="s">
        <v>14</v>
      </c>
      <c r="Q32" t="s">
        <v>14</v>
      </c>
      <c r="R32" t="s">
        <v>14</v>
      </c>
      <c r="S32" t="s">
        <v>14</v>
      </c>
      <c r="T32" t="s">
        <v>14</v>
      </c>
      <c r="U32" t="s">
        <v>855</v>
      </c>
      <c r="V32" t="s">
        <v>1168</v>
      </c>
    </row>
    <row r="33" spans="1:22" x14ac:dyDescent="0.25">
      <c r="A33">
        <v>13210112</v>
      </c>
      <c r="B33" t="s">
        <v>433</v>
      </c>
      <c r="C33">
        <v>105</v>
      </c>
      <c r="G33" t="s" cm="1">
        <v>442</v>
      </c>
      <c r="H33">
        <v>45166</v>
      </c>
      <c r="I33" t="s">
        <v>15</v>
      </c>
      <c r="J33" t="s">
        <v>24</v>
      </c>
      <c r="K33" t="s">
        <v>44</v>
      </c>
      <c r="L33" t="s">
        <v>88</v>
      </c>
      <c r="M33" t="s">
        <v>77</v>
      </c>
      <c r="N33" t="s">
        <v>83</v>
      </c>
      <c r="O33" t="s">
        <v>431</v>
      </c>
      <c r="P33" t="s">
        <v>14</v>
      </c>
      <c r="Q33" t="s">
        <v>14</v>
      </c>
      <c r="R33" t="s">
        <v>14</v>
      </c>
      <c r="S33" t="s">
        <v>665</v>
      </c>
      <c r="T33" t="s">
        <v>14</v>
      </c>
      <c r="U33" t="s">
        <v>666</v>
      </c>
      <c r="V33" t="s">
        <v>1032</v>
      </c>
    </row>
    <row r="34" spans="1:22" x14ac:dyDescent="0.25">
      <c r="A34">
        <v>17086941</v>
      </c>
      <c r="B34" t="s">
        <v>433</v>
      </c>
      <c r="C34">
        <v>105</v>
      </c>
      <c r="G34" t="s" cm="1">
        <v>442</v>
      </c>
      <c r="H34">
        <v>45166</v>
      </c>
      <c r="I34" t="s">
        <v>15</v>
      </c>
      <c r="J34" t="s">
        <v>25</v>
      </c>
      <c r="K34" t="s">
        <v>44</v>
      </c>
      <c r="L34" t="s">
        <v>72</v>
      </c>
      <c r="M34" t="s">
        <v>76</v>
      </c>
      <c r="N34" t="s">
        <v>83</v>
      </c>
      <c r="O34" t="s">
        <v>431</v>
      </c>
      <c r="P34" t="s">
        <v>14</v>
      </c>
      <c r="Q34" t="s">
        <v>14</v>
      </c>
      <c r="R34" t="s">
        <v>14</v>
      </c>
      <c r="S34" t="s">
        <v>702</v>
      </c>
      <c r="T34" t="s">
        <v>14</v>
      </c>
      <c r="U34" t="s">
        <v>703</v>
      </c>
      <c r="V34" t="s">
        <v>1167</v>
      </c>
    </row>
    <row r="35" spans="1:22" x14ac:dyDescent="0.25">
      <c r="A35">
        <v>16624635</v>
      </c>
      <c r="B35" t="s">
        <v>433</v>
      </c>
      <c r="C35">
        <v>102</v>
      </c>
      <c r="G35" t="s" cm="1">
        <v>442</v>
      </c>
      <c r="H35">
        <v>45169</v>
      </c>
      <c r="I35" t="s">
        <v>15</v>
      </c>
      <c r="J35" t="s">
        <v>25</v>
      </c>
      <c r="K35" t="s">
        <v>44</v>
      </c>
      <c r="L35" t="s">
        <v>56</v>
      </c>
      <c r="M35" t="s">
        <v>569</v>
      </c>
      <c r="N35" t="s">
        <v>83</v>
      </c>
      <c r="O35" t="s">
        <v>431</v>
      </c>
      <c r="P35" t="s">
        <v>14</v>
      </c>
      <c r="Q35" t="s">
        <v>14</v>
      </c>
      <c r="R35" t="s">
        <v>14</v>
      </c>
      <c r="S35" t="s">
        <v>14</v>
      </c>
      <c r="T35" t="s">
        <v>14</v>
      </c>
      <c r="U35" t="s">
        <v>816</v>
      </c>
      <c r="V35" t="s">
        <v>1097</v>
      </c>
    </row>
    <row r="36" spans="1:22" x14ac:dyDescent="0.25">
      <c r="A36">
        <v>17115445</v>
      </c>
      <c r="B36" t="s">
        <v>433</v>
      </c>
      <c r="C36">
        <v>100</v>
      </c>
      <c r="G36" t="s" cm="1">
        <v>442</v>
      </c>
      <c r="H36" t="s">
        <v>14</v>
      </c>
      <c r="I36" t="s">
        <v>14</v>
      </c>
      <c r="J36" t="s">
        <v>23</v>
      </c>
      <c r="K36" t="s">
        <v>44</v>
      </c>
      <c r="L36" t="s">
        <v>407</v>
      </c>
      <c r="M36" t="s">
        <v>1406</v>
      </c>
      <c r="N36" t="s">
        <v>83</v>
      </c>
      <c r="P36" t="s">
        <v>14</v>
      </c>
      <c r="Q36" t="s">
        <v>14</v>
      </c>
      <c r="R36" t="s">
        <v>14</v>
      </c>
      <c r="S36" t="s">
        <v>531</v>
      </c>
      <c r="T36" t="s">
        <v>14</v>
      </c>
      <c r="U36" t="s">
        <v>14</v>
      </c>
      <c r="V36" t="s">
        <v>1174</v>
      </c>
    </row>
    <row r="37" spans="1:22" x14ac:dyDescent="0.25">
      <c r="A37">
        <v>16584714</v>
      </c>
      <c r="B37" t="s">
        <v>433</v>
      </c>
      <c r="C37">
        <v>98</v>
      </c>
      <c r="E37" s="6"/>
      <c r="G37" t="s" cm="1">
        <v>442</v>
      </c>
      <c r="H37" t="s">
        <v>14</v>
      </c>
      <c r="I37" t="s">
        <v>14</v>
      </c>
      <c r="J37" t="s">
        <v>41</v>
      </c>
      <c r="K37" t="s">
        <v>44</v>
      </c>
      <c r="L37" t="s">
        <v>594</v>
      </c>
      <c r="M37" t="s">
        <v>1407</v>
      </c>
      <c r="N37" t="s">
        <v>83</v>
      </c>
      <c r="P37" t="s">
        <v>14</v>
      </c>
      <c r="Q37" t="s">
        <v>14</v>
      </c>
      <c r="R37" t="s">
        <v>14</v>
      </c>
      <c r="S37" t="s">
        <v>490</v>
      </c>
      <c r="T37" t="s">
        <v>14</v>
      </c>
      <c r="U37" t="s">
        <v>14</v>
      </c>
      <c r="V37" t="s">
        <v>1718</v>
      </c>
    </row>
    <row r="38" spans="1:22" x14ac:dyDescent="0.25">
      <c r="A38">
        <v>16270333</v>
      </c>
      <c r="B38" t="s">
        <v>433</v>
      </c>
      <c r="C38">
        <v>98</v>
      </c>
      <c r="G38" t="s" cm="1">
        <v>442</v>
      </c>
      <c r="H38" t="s">
        <v>14</v>
      </c>
      <c r="I38" t="s">
        <v>380</v>
      </c>
      <c r="J38" t="s">
        <v>384</v>
      </c>
      <c r="K38" t="s">
        <v>44</v>
      </c>
      <c r="L38" t="s">
        <v>1374</v>
      </c>
      <c r="M38" t="s">
        <v>76</v>
      </c>
      <c r="N38" t="s">
        <v>83</v>
      </c>
      <c r="P38" t="s">
        <v>14</v>
      </c>
      <c r="Q38" t="s">
        <v>14</v>
      </c>
      <c r="R38" t="s">
        <v>14</v>
      </c>
      <c r="S38" t="s">
        <v>809</v>
      </c>
      <c r="T38" t="s">
        <v>14</v>
      </c>
      <c r="U38" t="s">
        <v>810</v>
      </c>
      <c r="V38" t="s">
        <v>1079</v>
      </c>
    </row>
    <row r="39" spans="1:22" x14ac:dyDescent="0.25">
      <c r="A39">
        <v>17120673</v>
      </c>
      <c r="B39" t="s" cm="1">
        <v>433</v>
      </c>
      <c r="C39">
        <v>97</v>
      </c>
      <c r="G39" t="s" cm="1">
        <v>442</v>
      </c>
      <c r="H39" t="s">
        <v>14</v>
      </c>
      <c r="I39" t="s">
        <v>14</v>
      </c>
      <c r="J39" t="s">
        <v>30</v>
      </c>
      <c r="K39" t="s">
        <v>49</v>
      </c>
      <c r="L39" t="s">
        <v>1375</v>
      </c>
      <c r="M39" t="s">
        <v>1408</v>
      </c>
      <c r="N39" t="s">
        <v>83</v>
      </c>
      <c r="P39" t="s">
        <v>14</v>
      </c>
      <c r="Q39" t="s">
        <v>14</v>
      </c>
      <c r="R39" t="s">
        <v>14</v>
      </c>
      <c r="S39" t="s">
        <v>858</v>
      </c>
      <c r="T39" t="s">
        <v>14</v>
      </c>
      <c r="U39" t="s">
        <v>14</v>
      </c>
      <c r="V39" t="s">
        <v>1177</v>
      </c>
    </row>
    <row r="40" spans="1:22" x14ac:dyDescent="0.25">
      <c r="A40">
        <v>15422836</v>
      </c>
      <c r="B40" t="s" cm="1">
        <v>433</v>
      </c>
      <c r="C40">
        <v>97</v>
      </c>
      <c r="G40" t="s" cm="1">
        <v>442</v>
      </c>
      <c r="H40" t="s">
        <v>14</v>
      </c>
      <c r="I40" t="s">
        <v>14</v>
      </c>
      <c r="J40" t="s">
        <v>26</v>
      </c>
      <c r="K40" t="s">
        <v>44</v>
      </c>
      <c r="L40" t="s">
        <v>1376</v>
      </c>
      <c r="M40" t="s">
        <v>78</v>
      </c>
      <c r="N40" t="s">
        <v>83</v>
      </c>
      <c r="P40" t="s">
        <v>14</v>
      </c>
      <c r="Q40" t="s">
        <v>14</v>
      </c>
      <c r="R40" t="s">
        <v>14</v>
      </c>
      <c r="S40" t="s">
        <v>655</v>
      </c>
      <c r="T40" t="s">
        <v>14</v>
      </c>
      <c r="U40" t="s">
        <v>656</v>
      </c>
      <c r="V40" t="s">
        <v>1055</v>
      </c>
    </row>
    <row r="41" spans="1:22" x14ac:dyDescent="0.25">
      <c r="A41">
        <v>17126226</v>
      </c>
      <c r="B41" t="s">
        <v>433</v>
      </c>
      <c r="C41">
        <v>96</v>
      </c>
      <c r="G41" t="s" cm="1">
        <v>442</v>
      </c>
      <c r="H41">
        <v>45180</v>
      </c>
      <c r="I41" t="s">
        <v>15</v>
      </c>
      <c r="J41" t="s">
        <v>25</v>
      </c>
      <c r="K41" t="s">
        <v>44</v>
      </c>
      <c r="L41" t="s">
        <v>56</v>
      </c>
      <c r="M41" t="s">
        <v>1409</v>
      </c>
      <c r="N41" t="s">
        <v>83</v>
      </c>
      <c r="O41" t="s">
        <v>431</v>
      </c>
      <c r="P41" t="s">
        <v>14</v>
      </c>
      <c r="Q41" t="s">
        <v>14</v>
      </c>
      <c r="R41" t="s">
        <v>14</v>
      </c>
      <c r="S41" t="s">
        <v>14</v>
      </c>
      <c r="T41" t="s">
        <v>14</v>
      </c>
      <c r="U41" t="s">
        <v>638</v>
      </c>
      <c r="V41" t="s">
        <v>1179</v>
      </c>
    </row>
    <row r="42" spans="1:22" x14ac:dyDescent="0.25">
      <c r="A42">
        <v>17130460</v>
      </c>
      <c r="B42" t="s" cm="1">
        <v>430</v>
      </c>
      <c r="C42">
        <v>96</v>
      </c>
      <c r="D42" t="s">
        <v>452</v>
      </c>
      <c r="E42">
        <v>45272</v>
      </c>
      <c r="F42" t="s">
        <v>453</v>
      </c>
      <c r="G42" t="e" cm="1">
        <v>#N/A</v>
      </c>
      <c r="H42" t="s">
        <v>14</v>
      </c>
      <c r="I42" t="s">
        <v>14</v>
      </c>
      <c r="J42" t="s">
        <v>30</v>
      </c>
      <c r="K42" t="s">
        <v>46</v>
      </c>
      <c r="L42" t="s">
        <v>55</v>
      </c>
      <c r="M42" t="s">
        <v>76</v>
      </c>
      <c r="N42" t="s">
        <v>83</v>
      </c>
      <c r="P42" t="s">
        <v>14</v>
      </c>
      <c r="Q42" t="s">
        <v>14</v>
      </c>
      <c r="R42" t="s">
        <v>14</v>
      </c>
      <c r="S42" t="s">
        <v>547</v>
      </c>
      <c r="T42" t="s">
        <v>14</v>
      </c>
      <c r="U42" t="s">
        <v>14</v>
      </c>
      <c r="V42" t="s">
        <v>1180</v>
      </c>
    </row>
    <row r="43" spans="1:22" x14ac:dyDescent="0.25">
      <c r="A43">
        <v>17142679</v>
      </c>
      <c r="B43" t="s">
        <v>433</v>
      </c>
      <c r="C43">
        <v>93</v>
      </c>
      <c r="G43" t="s" cm="1">
        <v>442</v>
      </c>
      <c r="H43">
        <v>45184</v>
      </c>
      <c r="I43" t="s">
        <v>15</v>
      </c>
      <c r="J43" t="s">
        <v>382</v>
      </c>
      <c r="K43" t="s">
        <v>44</v>
      </c>
      <c r="L43" t="s">
        <v>595</v>
      </c>
      <c r="M43" t="s">
        <v>76</v>
      </c>
      <c r="N43" t="s">
        <v>83</v>
      </c>
      <c r="O43" t="s">
        <v>431</v>
      </c>
      <c r="P43" t="s">
        <v>14</v>
      </c>
      <c r="Q43" t="s">
        <v>14</v>
      </c>
      <c r="R43" t="s">
        <v>14</v>
      </c>
      <c r="S43" t="s">
        <v>863</v>
      </c>
      <c r="T43" t="s">
        <v>14</v>
      </c>
      <c r="U43" t="s">
        <v>14</v>
      </c>
      <c r="V43" t="s">
        <v>1182</v>
      </c>
    </row>
    <row r="44" spans="1:22" x14ac:dyDescent="0.25">
      <c r="A44">
        <v>17086324</v>
      </c>
      <c r="B44" t="s">
        <v>433</v>
      </c>
      <c r="C44">
        <v>90</v>
      </c>
      <c r="G44" t="s" cm="1">
        <v>752</v>
      </c>
      <c r="H44">
        <v>45175</v>
      </c>
      <c r="I44" t="s">
        <v>15</v>
      </c>
      <c r="J44" t="s">
        <v>40</v>
      </c>
      <c r="K44" t="s">
        <v>44</v>
      </c>
      <c r="L44" t="s">
        <v>505</v>
      </c>
      <c r="M44" t="s">
        <v>76</v>
      </c>
      <c r="N44" t="s">
        <v>83</v>
      </c>
      <c r="O44" t="s">
        <v>431</v>
      </c>
      <c r="P44" t="s">
        <v>14</v>
      </c>
      <c r="Q44" t="s">
        <v>14</v>
      </c>
      <c r="R44" t="s">
        <v>14</v>
      </c>
      <c r="S44" t="s">
        <v>532</v>
      </c>
      <c r="T44" t="s">
        <v>14</v>
      </c>
      <c r="U44" t="s">
        <v>14</v>
      </c>
      <c r="V44" t="s">
        <v>1166</v>
      </c>
    </row>
    <row r="45" spans="1:22" x14ac:dyDescent="0.25">
      <c r="A45">
        <v>17172346</v>
      </c>
      <c r="B45" t="s" cm="1">
        <v>430</v>
      </c>
      <c r="C45">
        <v>86</v>
      </c>
      <c r="D45" t="s">
        <v>452</v>
      </c>
      <c r="E45" s="6">
        <v>45272</v>
      </c>
      <c r="F45" t="s">
        <v>453</v>
      </c>
      <c r="G45" t="e" cm="1">
        <v>#N/A</v>
      </c>
      <c r="H45" t="s">
        <v>14</v>
      </c>
      <c r="I45" t="s">
        <v>14</v>
      </c>
      <c r="J45" t="s">
        <v>30</v>
      </c>
      <c r="K45" t="s">
        <v>52</v>
      </c>
      <c r="L45" t="s">
        <v>675</v>
      </c>
      <c r="M45" t="s">
        <v>76</v>
      </c>
      <c r="N45" t="s">
        <v>83</v>
      </c>
      <c r="P45" t="s">
        <v>14</v>
      </c>
      <c r="Q45" t="s">
        <v>14</v>
      </c>
      <c r="R45" t="s">
        <v>14</v>
      </c>
      <c r="S45" t="s">
        <v>869</v>
      </c>
      <c r="T45" t="s">
        <v>14</v>
      </c>
      <c r="U45" t="s">
        <v>870</v>
      </c>
      <c r="V45" t="s">
        <v>1191</v>
      </c>
    </row>
    <row r="46" spans="1:22" x14ac:dyDescent="0.25">
      <c r="A46">
        <v>17187540</v>
      </c>
      <c r="B46" t="s">
        <v>430</v>
      </c>
      <c r="C46">
        <v>82</v>
      </c>
      <c r="D46" t="s">
        <v>452</v>
      </c>
      <c r="E46">
        <v>45271</v>
      </c>
      <c r="F46" t="s">
        <v>1719</v>
      </c>
      <c r="G46" t="e" cm="1">
        <v>#N/A</v>
      </c>
      <c r="H46" t="s">
        <v>14</v>
      </c>
      <c r="I46" t="s">
        <v>14</v>
      </c>
      <c r="J46" t="s">
        <v>24</v>
      </c>
      <c r="K46" t="s">
        <v>44</v>
      </c>
      <c r="L46" t="s">
        <v>1377</v>
      </c>
      <c r="M46" t="s">
        <v>78</v>
      </c>
      <c r="N46" t="s">
        <v>83</v>
      </c>
      <c r="P46" t="s">
        <v>874</v>
      </c>
      <c r="Q46" t="s">
        <v>14</v>
      </c>
      <c r="R46" t="s">
        <v>14</v>
      </c>
      <c r="S46" t="s">
        <v>875</v>
      </c>
      <c r="T46" t="s">
        <v>14</v>
      </c>
      <c r="U46" t="s">
        <v>14</v>
      </c>
      <c r="V46" t="s">
        <v>1195</v>
      </c>
    </row>
    <row r="47" spans="1:22" x14ac:dyDescent="0.25">
      <c r="A47">
        <v>17192366</v>
      </c>
      <c r="B47" t="s">
        <v>433</v>
      </c>
      <c r="C47">
        <v>81</v>
      </c>
      <c r="E47" s="6"/>
      <c r="G47" t="s" cm="1">
        <v>442</v>
      </c>
      <c r="H47">
        <v>45190</v>
      </c>
      <c r="I47" t="s">
        <v>15</v>
      </c>
      <c r="J47" t="s">
        <v>18</v>
      </c>
      <c r="K47" t="s">
        <v>44</v>
      </c>
      <c r="L47" t="s">
        <v>597</v>
      </c>
      <c r="M47" t="s">
        <v>76</v>
      </c>
      <c r="N47" t="s">
        <v>83</v>
      </c>
      <c r="O47" t="s">
        <v>431</v>
      </c>
      <c r="P47" t="s">
        <v>14</v>
      </c>
      <c r="Q47" t="s">
        <v>14</v>
      </c>
      <c r="R47" t="s">
        <v>14</v>
      </c>
      <c r="S47" t="s">
        <v>14</v>
      </c>
      <c r="T47" t="s">
        <v>14</v>
      </c>
      <c r="U47" t="s">
        <v>635</v>
      </c>
      <c r="V47" t="s">
        <v>1196</v>
      </c>
    </row>
    <row r="48" spans="1:22" x14ac:dyDescent="0.25">
      <c r="A48">
        <v>17215049</v>
      </c>
      <c r="B48" t="s">
        <v>433</v>
      </c>
      <c r="C48">
        <v>76</v>
      </c>
      <c r="G48" t="e" cm="1">
        <v>#N/A</v>
      </c>
      <c r="H48">
        <v>45201</v>
      </c>
      <c r="I48" t="s">
        <v>15</v>
      </c>
      <c r="J48" t="s">
        <v>32</v>
      </c>
      <c r="K48" t="s">
        <v>44</v>
      </c>
      <c r="L48" t="s">
        <v>56</v>
      </c>
      <c r="M48" t="s">
        <v>81</v>
      </c>
      <c r="N48" t="s">
        <v>83</v>
      </c>
      <c r="O48" t="s">
        <v>431</v>
      </c>
      <c r="P48" t="s">
        <v>14</v>
      </c>
      <c r="Q48" t="s">
        <v>14</v>
      </c>
      <c r="R48" t="s">
        <v>14</v>
      </c>
      <c r="S48" t="s">
        <v>882</v>
      </c>
      <c r="T48" t="s">
        <v>14</v>
      </c>
      <c r="U48" t="s">
        <v>883</v>
      </c>
      <c r="V48" t="s">
        <v>1205</v>
      </c>
    </row>
    <row r="49" spans="1:22" x14ac:dyDescent="0.25">
      <c r="A49">
        <v>16334582</v>
      </c>
      <c r="B49" t="s" cm="1">
        <v>433</v>
      </c>
      <c r="C49">
        <v>76</v>
      </c>
      <c r="G49" t="s" cm="1">
        <v>442</v>
      </c>
      <c r="H49" t="s">
        <v>14</v>
      </c>
      <c r="I49" t="s">
        <v>14</v>
      </c>
      <c r="J49" t="s">
        <v>30</v>
      </c>
      <c r="K49" t="s">
        <v>44</v>
      </c>
      <c r="L49" t="s">
        <v>1378</v>
      </c>
      <c r="M49" t="s">
        <v>744</v>
      </c>
      <c r="N49" t="s">
        <v>83</v>
      </c>
      <c r="P49" t="s">
        <v>14</v>
      </c>
      <c r="Q49" t="s">
        <v>14</v>
      </c>
      <c r="R49" t="s">
        <v>14</v>
      </c>
      <c r="S49" t="s">
        <v>710</v>
      </c>
      <c r="T49" t="s">
        <v>14</v>
      </c>
      <c r="U49" t="s">
        <v>14</v>
      </c>
      <c r="V49" t="s">
        <v>1081</v>
      </c>
    </row>
    <row r="50" spans="1:22" x14ac:dyDescent="0.25">
      <c r="A50">
        <v>17212204</v>
      </c>
      <c r="B50" t="s">
        <v>433</v>
      </c>
      <c r="C50">
        <v>76</v>
      </c>
      <c r="G50" t="s" cm="1">
        <v>442</v>
      </c>
      <c r="H50" t="s">
        <v>14</v>
      </c>
      <c r="I50" t="s">
        <v>14</v>
      </c>
      <c r="J50" t="s">
        <v>34</v>
      </c>
      <c r="K50" t="s">
        <v>44</v>
      </c>
      <c r="L50" t="s">
        <v>728</v>
      </c>
      <c r="M50" t="s">
        <v>82</v>
      </c>
      <c r="N50" t="s">
        <v>14</v>
      </c>
      <c r="P50" t="e">
        <v>#N/A</v>
      </c>
      <c r="Q50" t="e">
        <v>#N/A</v>
      </c>
      <c r="R50" t="e">
        <v>#N/A</v>
      </c>
      <c r="S50" t="e">
        <v>#N/A</v>
      </c>
      <c r="T50" t="e">
        <v>#N/A</v>
      </c>
      <c r="U50" t="e">
        <v>#N/A</v>
      </c>
      <c r="V50" t="e">
        <v>#N/A</v>
      </c>
    </row>
    <row r="51" spans="1:22" x14ac:dyDescent="0.25">
      <c r="A51">
        <v>17216609</v>
      </c>
      <c r="B51" t="s">
        <v>433</v>
      </c>
      <c r="C51">
        <v>75</v>
      </c>
      <c r="G51" t="e" cm="1">
        <v>#N/A</v>
      </c>
      <c r="H51" t="s">
        <v>14</v>
      </c>
      <c r="I51" t="s">
        <v>14</v>
      </c>
      <c r="J51" t="s">
        <v>29</v>
      </c>
      <c r="K51" t="s">
        <v>44</v>
      </c>
      <c r="L51" t="s">
        <v>1331</v>
      </c>
      <c r="M51" t="s">
        <v>555</v>
      </c>
      <c r="N51" t="s">
        <v>83</v>
      </c>
      <c r="P51" t="s">
        <v>14</v>
      </c>
      <c r="Q51" t="s">
        <v>14</v>
      </c>
      <c r="R51" t="s">
        <v>14</v>
      </c>
      <c r="S51" t="s">
        <v>575</v>
      </c>
      <c r="T51" t="s">
        <v>14</v>
      </c>
      <c r="U51" t="s">
        <v>576</v>
      </c>
      <c r="V51" t="s">
        <v>1207</v>
      </c>
    </row>
    <row r="52" spans="1:22" x14ac:dyDescent="0.25">
      <c r="A52">
        <v>17228306</v>
      </c>
      <c r="B52" t="s">
        <v>433</v>
      </c>
      <c r="C52">
        <v>74</v>
      </c>
      <c r="G52" t="s" cm="1">
        <v>442</v>
      </c>
      <c r="H52">
        <v>45208</v>
      </c>
      <c r="I52" t="s">
        <v>15</v>
      </c>
      <c r="J52" t="s">
        <v>382</v>
      </c>
      <c r="K52" t="s">
        <v>46</v>
      </c>
      <c r="L52" t="s">
        <v>674</v>
      </c>
      <c r="M52" t="s">
        <v>76</v>
      </c>
      <c r="N52" t="s">
        <v>83</v>
      </c>
      <c r="O52" t="s">
        <v>431</v>
      </c>
      <c r="P52" t="s">
        <v>14</v>
      </c>
      <c r="Q52" t="s">
        <v>14</v>
      </c>
      <c r="R52" t="s">
        <v>14</v>
      </c>
      <c r="S52" t="s">
        <v>696</v>
      </c>
      <c r="T52" t="s">
        <v>14</v>
      </c>
      <c r="U52" t="s">
        <v>14</v>
      </c>
      <c r="V52" t="s">
        <v>1210</v>
      </c>
    </row>
    <row r="53" spans="1:22" x14ac:dyDescent="0.25">
      <c r="A53">
        <v>10765101</v>
      </c>
      <c r="B53" t="s">
        <v>433</v>
      </c>
      <c r="C53">
        <v>74</v>
      </c>
      <c r="G53" t="s" cm="1">
        <v>442</v>
      </c>
      <c r="H53">
        <v>45197</v>
      </c>
      <c r="I53" t="s">
        <v>15</v>
      </c>
      <c r="J53" t="s">
        <v>18</v>
      </c>
      <c r="K53" t="s">
        <v>44</v>
      </c>
      <c r="L53" t="s">
        <v>597</v>
      </c>
      <c r="M53" t="s">
        <v>1322</v>
      </c>
      <c r="N53" t="s">
        <v>83</v>
      </c>
      <c r="O53" t="s">
        <v>431</v>
      </c>
      <c r="P53">
        <v>0</v>
      </c>
      <c r="Q53">
        <v>0</v>
      </c>
      <c r="R53">
        <v>0</v>
      </c>
      <c r="S53" t="s">
        <v>1359</v>
      </c>
      <c r="T53">
        <v>0</v>
      </c>
      <c r="U53" t="s">
        <v>1360</v>
      </c>
      <c r="V53" t="s">
        <v>1019</v>
      </c>
    </row>
    <row r="54" spans="1:22" x14ac:dyDescent="0.25">
      <c r="A54">
        <v>17228025</v>
      </c>
      <c r="B54" t="s" cm="1">
        <v>430</v>
      </c>
      <c r="C54">
        <v>74</v>
      </c>
      <c r="D54" t="s">
        <v>452</v>
      </c>
      <c r="E54">
        <v>45272</v>
      </c>
      <c r="F54" t="s">
        <v>453</v>
      </c>
      <c r="G54" t="e" cm="1">
        <v>#N/A</v>
      </c>
      <c r="H54" t="s">
        <v>14</v>
      </c>
      <c r="I54" t="s">
        <v>14</v>
      </c>
      <c r="J54" t="s">
        <v>30</v>
      </c>
      <c r="K54" t="s">
        <v>46</v>
      </c>
      <c r="L54" t="s">
        <v>56</v>
      </c>
      <c r="M54" t="s">
        <v>81</v>
      </c>
      <c r="N54" t="s">
        <v>83</v>
      </c>
      <c r="P54" t="s">
        <v>14</v>
      </c>
      <c r="Q54" t="s">
        <v>14</v>
      </c>
      <c r="R54" t="s">
        <v>14</v>
      </c>
      <c r="S54" t="s">
        <v>697</v>
      </c>
      <c r="T54" t="s">
        <v>14</v>
      </c>
      <c r="U54" t="s">
        <v>698</v>
      </c>
      <c r="V54" t="s">
        <v>1209</v>
      </c>
    </row>
    <row r="55" spans="1:22" x14ac:dyDescent="0.25">
      <c r="A55">
        <v>17232520</v>
      </c>
      <c r="B55" t="s" cm="1">
        <v>430</v>
      </c>
      <c r="C55">
        <v>73</v>
      </c>
      <c r="D55" t="s">
        <v>452</v>
      </c>
      <c r="E55">
        <v>45272</v>
      </c>
      <c r="F55" t="s">
        <v>453</v>
      </c>
      <c r="G55" t="e" cm="1">
        <v>#N/A</v>
      </c>
      <c r="H55" t="s">
        <v>14</v>
      </c>
      <c r="I55" t="s">
        <v>14</v>
      </c>
      <c r="J55" t="s">
        <v>26</v>
      </c>
      <c r="K55" t="s">
        <v>46</v>
      </c>
      <c r="L55" t="s">
        <v>56</v>
      </c>
      <c r="M55" t="s">
        <v>81</v>
      </c>
      <c r="N55" t="s">
        <v>83</v>
      </c>
      <c r="P55" t="s">
        <v>14</v>
      </c>
      <c r="Q55" t="s">
        <v>14</v>
      </c>
      <c r="R55" t="s">
        <v>14</v>
      </c>
      <c r="S55" t="s">
        <v>888</v>
      </c>
      <c r="T55" t="s">
        <v>14</v>
      </c>
      <c r="U55" t="s">
        <v>889</v>
      </c>
      <c r="V55" t="s">
        <v>1212</v>
      </c>
    </row>
    <row r="56" spans="1:22" x14ac:dyDescent="0.25">
      <c r="A56">
        <v>17246139</v>
      </c>
      <c r="B56" t="s">
        <v>433</v>
      </c>
      <c r="C56">
        <v>69</v>
      </c>
      <c r="E56" s="6"/>
      <c r="G56" t="s" cm="1">
        <v>442</v>
      </c>
      <c r="H56" t="s">
        <v>14</v>
      </c>
      <c r="I56" t="s">
        <v>14</v>
      </c>
      <c r="J56" t="s">
        <v>84</v>
      </c>
      <c r="K56" t="s">
        <v>44</v>
      </c>
      <c r="L56" t="s">
        <v>1379</v>
      </c>
      <c r="M56" t="s">
        <v>76</v>
      </c>
      <c r="N56" t="s">
        <v>14</v>
      </c>
      <c r="P56" t="e">
        <v>#N/A</v>
      </c>
      <c r="Q56" t="e">
        <v>#N/A</v>
      </c>
      <c r="R56" t="e">
        <v>#N/A</v>
      </c>
      <c r="S56" t="e">
        <v>#N/A</v>
      </c>
      <c r="T56" t="e">
        <v>#N/A</v>
      </c>
      <c r="U56" t="e">
        <v>#N/A</v>
      </c>
      <c r="V56" t="e">
        <v>#N/A</v>
      </c>
    </row>
    <row r="57" spans="1:22" x14ac:dyDescent="0.25">
      <c r="A57">
        <v>12196087</v>
      </c>
      <c r="B57" t="s">
        <v>433</v>
      </c>
      <c r="C57">
        <v>69</v>
      </c>
      <c r="E57" s="6"/>
      <c r="G57" t="s" cm="1">
        <v>442</v>
      </c>
      <c r="H57">
        <v>45197</v>
      </c>
      <c r="I57" t="s">
        <v>15</v>
      </c>
      <c r="J57" t="s">
        <v>382</v>
      </c>
      <c r="K57" t="s">
        <v>44</v>
      </c>
      <c r="L57" t="s">
        <v>69</v>
      </c>
      <c r="M57" t="s">
        <v>91</v>
      </c>
      <c r="N57" t="s">
        <v>83</v>
      </c>
      <c r="O57" t="s">
        <v>431</v>
      </c>
      <c r="P57" t="s">
        <v>14</v>
      </c>
      <c r="Q57" t="s">
        <v>14</v>
      </c>
      <c r="R57" t="s">
        <v>14</v>
      </c>
      <c r="S57" t="s">
        <v>592</v>
      </c>
      <c r="T57" t="s">
        <v>14</v>
      </c>
      <c r="U57" t="s">
        <v>14</v>
      </c>
      <c r="V57" t="s">
        <v>1027</v>
      </c>
    </row>
    <row r="58" spans="1:22" x14ac:dyDescent="0.25">
      <c r="A58">
        <v>17247620</v>
      </c>
      <c r="B58" t="s">
        <v>433</v>
      </c>
      <c r="C58">
        <v>68</v>
      </c>
      <c r="G58" t="s" cm="1">
        <v>442</v>
      </c>
      <c r="H58">
        <v>45216</v>
      </c>
      <c r="I58" t="s">
        <v>15</v>
      </c>
      <c r="J58" t="s">
        <v>382</v>
      </c>
      <c r="K58" t="s">
        <v>44</v>
      </c>
      <c r="L58" t="s">
        <v>56</v>
      </c>
      <c r="M58" t="s">
        <v>82</v>
      </c>
      <c r="N58" t="s">
        <v>83</v>
      </c>
      <c r="O58" t="s">
        <v>431</v>
      </c>
      <c r="P58" t="s">
        <v>14</v>
      </c>
      <c r="Q58" t="s">
        <v>14</v>
      </c>
      <c r="R58" t="s">
        <v>14</v>
      </c>
      <c r="S58" t="s">
        <v>899</v>
      </c>
      <c r="T58" t="s">
        <v>14</v>
      </c>
      <c r="U58" t="s">
        <v>900</v>
      </c>
      <c r="V58" t="s">
        <v>1218</v>
      </c>
    </row>
    <row r="59" spans="1:22" x14ac:dyDescent="0.25">
      <c r="A59">
        <v>17252118</v>
      </c>
      <c r="B59" t="s">
        <v>433</v>
      </c>
      <c r="C59">
        <v>68</v>
      </c>
      <c r="G59" t="e" cm="1">
        <v>#N/A</v>
      </c>
      <c r="H59">
        <v>45197</v>
      </c>
      <c r="I59" t="s">
        <v>15</v>
      </c>
      <c r="J59" t="s">
        <v>25</v>
      </c>
      <c r="K59" t="s">
        <v>44</v>
      </c>
      <c r="L59" t="s">
        <v>1380</v>
      </c>
      <c r="M59" t="s">
        <v>76</v>
      </c>
      <c r="N59" t="s">
        <v>83</v>
      </c>
      <c r="O59" t="s">
        <v>431</v>
      </c>
      <c r="P59" t="s">
        <v>14</v>
      </c>
      <c r="Q59" t="s">
        <v>14</v>
      </c>
      <c r="R59" t="s">
        <v>14</v>
      </c>
      <c r="S59" t="s">
        <v>631</v>
      </c>
      <c r="T59" t="s">
        <v>14</v>
      </c>
      <c r="U59" t="s">
        <v>14</v>
      </c>
      <c r="V59" t="s">
        <v>1221</v>
      </c>
    </row>
    <row r="60" spans="1:22" x14ac:dyDescent="0.25">
      <c r="A60">
        <v>10995517</v>
      </c>
      <c r="B60" t="s">
        <v>433</v>
      </c>
      <c r="C60">
        <v>67</v>
      </c>
      <c r="E60" s="6"/>
      <c r="G60" t="s" cm="1">
        <v>442</v>
      </c>
      <c r="H60">
        <v>45201</v>
      </c>
      <c r="I60" t="s">
        <v>15</v>
      </c>
      <c r="J60" t="s">
        <v>382</v>
      </c>
      <c r="K60" t="s">
        <v>44</v>
      </c>
      <c r="L60" t="s">
        <v>377</v>
      </c>
      <c r="M60" t="s">
        <v>82</v>
      </c>
      <c r="N60" t="s">
        <v>83</v>
      </c>
      <c r="O60" t="s">
        <v>431</v>
      </c>
      <c r="P60" t="s">
        <v>753</v>
      </c>
      <c r="Q60">
        <v>0</v>
      </c>
      <c r="R60">
        <v>0</v>
      </c>
      <c r="S60">
        <v>0</v>
      </c>
      <c r="T60">
        <v>0</v>
      </c>
      <c r="U60">
        <v>0</v>
      </c>
      <c r="V60" t="s">
        <v>1021</v>
      </c>
    </row>
    <row r="61" spans="1:22" x14ac:dyDescent="0.25">
      <c r="A61">
        <v>15296326</v>
      </c>
      <c r="B61" t="s">
        <v>433</v>
      </c>
      <c r="C61">
        <v>67</v>
      </c>
      <c r="G61" t="e" cm="1">
        <v>#N/A</v>
      </c>
      <c r="H61">
        <v>45204</v>
      </c>
      <c r="I61" t="s">
        <v>15</v>
      </c>
      <c r="J61" t="s">
        <v>24</v>
      </c>
      <c r="K61" t="s">
        <v>44</v>
      </c>
      <c r="L61" t="s">
        <v>769</v>
      </c>
      <c r="M61" t="s">
        <v>76</v>
      </c>
      <c r="N61" t="s">
        <v>83</v>
      </c>
      <c r="O61" t="s">
        <v>431</v>
      </c>
      <c r="P61" t="s">
        <v>14</v>
      </c>
      <c r="Q61" t="s">
        <v>14</v>
      </c>
      <c r="R61" t="s">
        <v>14</v>
      </c>
      <c r="S61" t="s">
        <v>792</v>
      </c>
      <c r="T61" t="s">
        <v>14</v>
      </c>
      <c r="U61" t="s">
        <v>793</v>
      </c>
      <c r="V61" t="s">
        <v>1052</v>
      </c>
    </row>
    <row r="62" spans="1:22" x14ac:dyDescent="0.25">
      <c r="A62">
        <v>10389696</v>
      </c>
      <c r="B62" t="s">
        <v>433</v>
      </c>
      <c r="C62">
        <v>67</v>
      </c>
      <c r="G62" t="s" cm="1">
        <v>442</v>
      </c>
      <c r="H62" t="s">
        <v>14</v>
      </c>
      <c r="I62" t="s">
        <v>14</v>
      </c>
      <c r="J62" t="s">
        <v>29</v>
      </c>
      <c r="K62" t="s">
        <v>44</v>
      </c>
      <c r="L62" t="s">
        <v>1317</v>
      </c>
      <c r="M62" t="s">
        <v>410</v>
      </c>
      <c r="N62" t="s">
        <v>83</v>
      </c>
      <c r="P62">
        <v>0</v>
      </c>
      <c r="Q62">
        <v>0</v>
      </c>
      <c r="R62">
        <v>0</v>
      </c>
      <c r="S62" t="s">
        <v>552</v>
      </c>
      <c r="T62">
        <v>0</v>
      </c>
      <c r="U62" t="s">
        <v>553</v>
      </c>
      <c r="V62" t="s">
        <v>1016</v>
      </c>
    </row>
    <row r="63" spans="1:22" x14ac:dyDescent="0.25">
      <c r="A63">
        <v>17261519</v>
      </c>
      <c r="B63" t="s" cm="1">
        <v>430</v>
      </c>
      <c r="C63">
        <v>66</v>
      </c>
      <c r="D63" t="s">
        <v>452</v>
      </c>
      <c r="E63">
        <v>45272</v>
      </c>
      <c r="F63" t="s">
        <v>453</v>
      </c>
      <c r="G63" t="e" cm="1">
        <v>#N/A</v>
      </c>
      <c r="H63" t="s">
        <v>14</v>
      </c>
      <c r="I63" t="s">
        <v>14</v>
      </c>
      <c r="J63" t="s">
        <v>30</v>
      </c>
      <c r="K63" t="s">
        <v>44</v>
      </c>
      <c r="L63" t="s">
        <v>393</v>
      </c>
      <c r="M63" t="s">
        <v>78</v>
      </c>
      <c r="N63" t="s">
        <v>83</v>
      </c>
      <c r="P63" t="s">
        <v>14</v>
      </c>
      <c r="Q63" t="s">
        <v>14</v>
      </c>
      <c r="R63" t="s">
        <v>14</v>
      </c>
      <c r="S63" t="s">
        <v>907</v>
      </c>
      <c r="T63" t="s">
        <v>14</v>
      </c>
      <c r="U63" t="s">
        <v>14</v>
      </c>
      <c r="V63" t="s">
        <v>1223</v>
      </c>
    </row>
    <row r="64" spans="1:22" x14ac:dyDescent="0.25">
      <c r="A64">
        <v>17265013</v>
      </c>
      <c r="B64" t="s" cm="1">
        <v>430</v>
      </c>
      <c r="C64">
        <v>65</v>
      </c>
      <c r="D64" t="s">
        <v>452</v>
      </c>
      <c r="E64">
        <v>45272</v>
      </c>
      <c r="F64" t="s">
        <v>453</v>
      </c>
      <c r="G64" t="e" cm="1">
        <v>#N/A</v>
      </c>
      <c r="H64" t="s">
        <v>14</v>
      </c>
      <c r="I64" t="s">
        <v>14</v>
      </c>
      <c r="J64" t="s">
        <v>30</v>
      </c>
      <c r="K64" t="s">
        <v>44</v>
      </c>
      <c r="L64" t="s">
        <v>58</v>
      </c>
      <c r="M64" t="s">
        <v>76</v>
      </c>
      <c r="N64" t="s">
        <v>83</v>
      </c>
      <c r="P64" t="s">
        <v>912</v>
      </c>
      <c r="Q64" t="s">
        <v>14</v>
      </c>
      <c r="R64" t="s">
        <v>14</v>
      </c>
      <c r="S64" t="s">
        <v>912</v>
      </c>
      <c r="T64" t="s">
        <v>14</v>
      </c>
      <c r="U64" t="s">
        <v>913</v>
      </c>
      <c r="V64" t="s">
        <v>1227</v>
      </c>
    </row>
    <row r="65" spans="1:22" x14ac:dyDescent="0.25">
      <c r="A65">
        <v>17264749</v>
      </c>
      <c r="B65" t="s" cm="1">
        <v>430</v>
      </c>
      <c r="C65">
        <v>65</v>
      </c>
      <c r="D65" t="s">
        <v>452</v>
      </c>
      <c r="E65">
        <v>45272</v>
      </c>
      <c r="F65" t="s">
        <v>453</v>
      </c>
      <c r="G65" t="e" cm="1">
        <v>#N/A</v>
      </c>
      <c r="H65" t="s">
        <v>14</v>
      </c>
      <c r="I65" t="s">
        <v>14</v>
      </c>
      <c r="J65" t="s">
        <v>26</v>
      </c>
      <c r="K65" t="s">
        <v>51</v>
      </c>
      <c r="L65" t="s">
        <v>1381</v>
      </c>
      <c r="M65" t="s">
        <v>78</v>
      </c>
      <c r="N65" t="s">
        <v>83</v>
      </c>
      <c r="P65" t="s">
        <v>14</v>
      </c>
      <c r="Q65" t="s">
        <v>14</v>
      </c>
      <c r="R65" t="s">
        <v>14</v>
      </c>
      <c r="S65" t="s">
        <v>910</v>
      </c>
      <c r="T65" t="s">
        <v>14</v>
      </c>
      <c r="U65" t="s">
        <v>911</v>
      </c>
      <c r="V65" t="s">
        <v>1225</v>
      </c>
    </row>
    <row r="66" spans="1:22" x14ac:dyDescent="0.25">
      <c r="A66">
        <v>11002538</v>
      </c>
      <c r="B66" t="s">
        <v>433</v>
      </c>
      <c r="C66">
        <v>63</v>
      </c>
      <c r="G66" t="s" cm="1">
        <v>442</v>
      </c>
      <c r="H66">
        <v>45205</v>
      </c>
      <c r="I66" t="s">
        <v>15</v>
      </c>
      <c r="J66" t="s">
        <v>18</v>
      </c>
      <c r="K66" t="s">
        <v>44</v>
      </c>
      <c r="L66" t="s">
        <v>56</v>
      </c>
      <c r="M66" t="s">
        <v>77</v>
      </c>
      <c r="N66" t="s">
        <v>83</v>
      </c>
      <c r="O66" t="s">
        <v>431</v>
      </c>
      <c r="P66">
        <v>0</v>
      </c>
      <c r="Q66">
        <v>0</v>
      </c>
      <c r="R66">
        <v>0</v>
      </c>
      <c r="S66" t="s">
        <v>725</v>
      </c>
      <c r="T66">
        <v>0</v>
      </c>
      <c r="U66">
        <v>0</v>
      </c>
      <c r="V66" t="s">
        <v>1022</v>
      </c>
    </row>
    <row r="67" spans="1:22" x14ac:dyDescent="0.25">
      <c r="A67">
        <v>16010043</v>
      </c>
      <c r="B67" t="s" cm="1">
        <v>433</v>
      </c>
      <c r="C67">
        <v>62</v>
      </c>
      <c r="E67" s="6"/>
      <c r="G67" t="s" cm="1">
        <v>442</v>
      </c>
      <c r="H67" t="s">
        <v>14</v>
      </c>
      <c r="I67" t="s">
        <v>14</v>
      </c>
      <c r="J67" t="s">
        <v>30</v>
      </c>
      <c r="K67" t="s">
        <v>44</v>
      </c>
      <c r="L67" t="s">
        <v>394</v>
      </c>
      <c r="M67" t="s">
        <v>76</v>
      </c>
      <c r="N67" t="s">
        <v>83</v>
      </c>
      <c r="P67" t="s">
        <v>800</v>
      </c>
      <c r="Q67" t="s">
        <v>14</v>
      </c>
      <c r="R67" t="s">
        <v>14</v>
      </c>
      <c r="S67" t="s">
        <v>14</v>
      </c>
      <c r="T67" t="s">
        <v>14</v>
      </c>
      <c r="U67" t="s">
        <v>801</v>
      </c>
      <c r="V67" t="s">
        <v>1068</v>
      </c>
    </row>
    <row r="68" spans="1:22" x14ac:dyDescent="0.25">
      <c r="A68">
        <v>17240370</v>
      </c>
      <c r="B68" t="s">
        <v>433</v>
      </c>
      <c r="C68">
        <v>62</v>
      </c>
      <c r="E68" s="6"/>
      <c r="G68" t="s" cm="1">
        <v>442</v>
      </c>
      <c r="H68" t="s">
        <v>14</v>
      </c>
      <c r="I68" t="s">
        <v>14</v>
      </c>
      <c r="J68" t="s">
        <v>34</v>
      </c>
      <c r="K68" t="s">
        <v>44</v>
      </c>
      <c r="L68" t="s">
        <v>56</v>
      </c>
      <c r="M68" t="s">
        <v>1410</v>
      </c>
      <c r="N68" t="s">
        <v>14</v>
      </c>
      <c r="P68" t="e">
        <v>#N/A</v>
      </c>
      <c r="Q68" t="e">
        <v>#N/A</v>
      </c>
      <c r="R68" t="e">
        <v>#N/A</v>
      </c>
      <c r="S68" t="e">
        <v>#N/A</v>
      </c>
      <c r="T68" t="e">
        <v>#N/A</v>
      </c>
      <c r="U68" t="e">
        <v>#N/A</v>
      </c>
      <c r="V68" t="e">
        <v>#N/A</v>
      </c>
    </row>
    <row r="69" spans="1:22" x14ac:dyDescent="0.25">
      <c r="A69">
        <v>17240483</v>
      </c>
      <c r="B69" t="s">
        <v>433</v>
      </c>
      <c r="C69">
        <v>62</v>
      </c>
      <c r="G69" t="s" cm="1">
        <v>442</v>
      </c>
      <c r="H69" t="s">
        <v>14</v>
      </c>
      <c r="I69" t="s">
        <v>14</v>
      </c>
      <c r="J69" t="s">
        <v>34</v>
      </c>
      <c r="K69" t="s">
        <v>44</v>
      </c>
      <c r="L69" t="s">
        <v>56</v>
      </c>
      <c r="M69" t="s">
        <v>1410</v>
      </c>
      <c r="N69" t="s">
        <v>14</v>
      </c>
      <c r="P69" t="e">
        <v>#N/A</v>
      </c>
      <c r="Q69" t="e">
        <v>#N/A</v>
      </c>
      <c r="R69" t="e">
        <v>#N/A</v>
      </c>
      <c r="S69" t="e">
        <v>#N/A</v>
      </c>
      <c r="T69" t="e">
        <v>#N/A</v>
      </c>
      <c r="U69" t="e">
        <v>#N/A</v>
      </c>
      <c r="V69" t="e">
        <v>#N/A</v>
      </c>
    </row>
    <row r="70" spans="1:22" x14ac:dyDescent="0.25">
      <c r="A70">
        <v>17296723</v>
      </c>
      <c r="B70" t="s" cm="1">
        <v>430</v>
      </c>
      <c r="C70">
        <v>59</v>
      </c>
      <c r="D70" t="s">
        <v>452</v>
      </c>
      <c r="E70" s="6">
        <v>45272</v>
      </c>
      <c r="F70" t="s">
        <v>454</v>
      </c>
      <c r="G70" t="e" cm="1">
        <v>#N/A</v>
      </c>
      <c r="H70" t="s">
        <v>14</v>
      </c>
      <c r="I70" t="s">
        <v>14</v>
      </c>
      <c r="J70" t="s">
        <v>22</v>
      </c>
      <c r="K70" t="s">
        <v>44</v>
      </c>
      <c r="L70" t="s">
        <v>63</v>
      </c>
      <c r="M70" t="s">
        <v>76</v>
      </c>
      <c r="N70" t="s">
        <v>83</v>
      </c>
      <c r="P70" t="s">
        <v>14</v>
      </c>
      <c r="Q70" t="s">
        <v>14</v>
      </c>
      <c r="R70" t="s">
        <v>14</v>
      </c>
      <c r="S70" t="s">
        <v>925</v>
      </c>
      <c r="T70" t="s">
        <v>14</v>
      </c>
      <c r="U70" t="s">
        <v>14</v>
      </c>
      <c r="V70" t="s">
        <v>1241</v>
      </c>
    </row>
    <row r="71" spans="1:22" x14ac:dyDescent="0.25">
      <c r="A71">
        <v>16721585</v>
      </c>
      <c r="B71" t="s" cm="1">
        <v>433</v>
      </c>
      <c r="C71">
        <v>54</v>
      </c>
      <c r="G71" t="s" cm="1">
        <v>442</v>
      </c>
      <c r="H71" t="s">
        <v>14</v>
      </c>
      <c r="I71" t="s">
        <v>14</v>
      </c>
      <c r="J71" t="s">
        <v>30</v>
      </c>
      <c r="K71" t="s">
        <v>44</v>
      </c>
      <c r="L71" t="s">
        <v>1382</v>
      </c>
      <c r="M71" t="s">
        <v>76</v>
      </c>
      <c r="N71" t="s">
        <v>83</v>
      </c>
      <c r="P71" t="s">
        <v>14</v>
      </c>
      <c r="Q71" t="s">
        <v>14</v>
      </c>
      <c r="R71" t="s">
        <v>14</v>
      </c>
      <c r="S71" t="s">
        <v>488</v>
      </c>
      <c r="T71" t="s">
        <v>14</v>
      </c>
      <c r="U71" t="s">
        <v>14</v>
      </c>
      <c r="V71" t="s">
        <v>1107</v>
      </c>
    </row>
    <row r="72" spans="1:22" x14ac:dyDescent="0.25">
      <c r="A72">
        <v>16912122</v>
      </c>
      <c r="B72" t="s">
        <v>430</v>
      </c>
      <c r="C72">
        <v>53</v>
      </c>
      <c r="D72" t="s">
        <v>452</v>
      </c>
      <c r="E72">
        <v>45271</v>
      </c>
      <c r="F72" t="s">
        <v>1719</v>
      </c>
      <c r="G72" t="e" cm="1">
        <v>#N/A</v>
      </c>
      <c r="H72" t="s">
        <v>14</v>
      </c>
      <c r="I72" t="s">
        <v>14</v>
      </c>
      <c r="J72" t="s">
        <v>32</v>
      </c>
      <c r="K72" t="s">
        <v>43</v>
      </c>
      <c r="L72" t="s">
        <v>1383</v>
      </c>
      <c r="M72" t="s">
        <v>78</v>
      </c>
      <c r="N72" t="s">
        <v>83</v>
      </c>
      <c r="P72" t="s">
        <v>14</v>
      </c>
      <c r="Q72" t="s">
        <v>14</v>
      </c>
      <c r="R72" t="s">
        <v>14</v>
      </c>
      <c r="S72" t="s">
        <v>579</v>
      </c>
      <c r="T72" t="s">
        <v>14</v>
      </c>
      <c r="U72" t="s">
        <v>14</v>
      </c>
      <c r="V72" t="s">
        <v>1132</v>
      </c>
    </row>
    <row r="73" spans="1:22" x14ac:dyDescent="0.25">
      <c r="A73">
        <v>16381495</v>
      </c>
      <c r="B73" t="s">
        <v>430</v>
      </c>
      <c r="C73">
        <v>53</v>
      </c>
      <c r="D73" t="s">
        <v>452</v>
      </c>
      <c r="E73" s="6">
        <v>45271</v>
      </c>
      <c r="F73" t="s">
        <v>1719</v>
      </c>
      <c r="G73" t="e" cm="1">
        <v>#N/A</v>
      </c>
      <c r="H73" t="s">
        <v>14</v>
      </c>
      <c r="I73" t="s">
        <v>14</v>
      </c>
      <c r="J73" t="s">
        <v>31</v>
      </c>
      <c r="K73" t="s">
        <v>50</v>
      </c>
      <c r="L73" t="s">
        <v>59</v>
      </c>
      <c r="M73" t="s">
        <v>78</v>
      </c>
      <c r="N73" t="s">
        <v>83</v>
      </c>
      <c r="P73" t="s">
        <v>14</v>
      </c>
      <c r="Q73" t="s">
        <v>14</v>
      </c>
      <c r="R73" t="s">
        <v>14</v>
      </c>
      <c r="S73" t="s">
        <v>614</v>
      </c>
      <c r="T73" t="s">
        <v>14</v>
      </c>
      <c r="U73" t="s">
        <v>615</v>
      </c>
      <c r="V73" t="s">
        <v>1083</v>
      </c>
    </row>
    <row r="74" spans="1:22" x14ac:dyDescent="0.25">
      <c r="A74">
        <v>17323297</v>
      </c>
      <c r="B74" t="s" cm="1">
        <v>433</v>
      </c>
      <c r="C74">
        <v>52</v>
      </c>
      <c r="D74" t="s">
        <v>452</v>
      </c>
      <c r="E74" s="6">
        <v>45272</v>
      </c>
      <c r="F74" t="s">
        <v>453</v>
      </c>
      <c r="G74" t="e" cm="1">
        <v>#N/A</v>
      </c>
      <c r="H74" t="s">
        <v>14</v>
      </c>
      <c r="I74" t="s">
        <v>14</v>
      </c>
      <c r="J74" t="s">
        <v>30</v>
      </c>
      <c r="K74" t="s">
        <v>51</v>
      </c>
      <c r="L74" t="s">
        <v>394</v>
      </c>
      <c r="M74" t="s">
        <v>76</v>
      </c>
      <c r="N74" t="s">
        <v>83</v>
      </c>
      <c r="P74" t="s">
        <v>937</v>
      </c>
      <c r="Q74" t="s">
        <v>14</v>
      </c>
      <c r="R74" t="s">
        <v>14</v>
      </c>
      <c r="S74" t="s">
        <v>938</v>
      </c>
      <c r="T74" t="s">
        <v>14</v>
      </c>
      <c r="U74" t="s">
        <v>939</v>
      </c>
      <c r="V74" t="s">
        <v>1257</v>
      </c>
    </row>
    <row r="75" spans="1:22" x14ac:dyDescent="0.25">
      <c r="A75">
        <v>16014728</v>
      </c>
      <c r="B75" t="s">
        <v>433</v>
      </c>
      <c r="C75">
        <v>52</v>
      </c>
      <c r="G75" t="s" cm="1">
        <v>442</v>
      </c>
      <c r="H75" t="s">
        <v>14</v>
      </c>
      <c r="I75" t="s">
        <v>14</v>
      </c>
      <c r="J75" t="s">
        <v>84</v>
      </c>
      <c r="K75" t="s">
        <v>44</v>
      </c>
      <c r="L75" t="s">
        <v>1384</v>
      </c>
      <c r="M75" t="s">
        <v>82</v>
      </c>
      <c r="N75" t="s">
        <v>14</v>
      </c>
      <c r="P75" t="e">
        <v>#N/A</v>
      </c>
      <c r="Q75" t="e">
        <v>#N/A</v>
      </c>
      <c r="R75" t="e">
        <v>#N/A</v>
      </c>
      <c r="S75" t="e">
        <v>#N/A</v>
      </c>
      <c r="T75" t="e">
        <v>#N/A</v>
      </c>
      <c r="U75" t="e">
        <v>#N/A</v>
      </c>
      <c r="V75" t="e">
        <v>#N/A</v>
      </c>
    </row>
    <row r="76" spans="1:22" x14ac:dyDescent="0.25">
      <c r="A76">
        <v>17327968</v>
      </c>
      <c r="B76" t="s">
        <v>430</v>
      </c>
      <c r="C76">
        <v>51</v>
      </c>
      <c r="D76" t="s">
        <v>452</v>
      </c>
      <c r="E76">
        <v>45271</v>
      </c>
      <c r="F76" t="s">
        <v>1719</v>
      </c>
      <c r="G76" t="e" cm="1">
        <v>#N/A</v>
      </c>
      <c r="H76" t="s">
        <v>14</v>
      </c>
      <c r="I76" t="s">
        <v>14</v>
      </c>
      <c r="J76" t="s">
        <v>24</v>
      </c>
      <c r="K76" t="s">
        <v>44</v>
      </c>
      <c r="L76" t="s">
        <v>392</v>
      </c>
      <c r="M76" t="s">
        <v>76</v>
      </c>
      <c r="N76" t="s">
        <v>83</v>
      </c>
      <c r="P76" t="s">
        <v>14</v>
      </c>
      <c r="Q76" t="s">
        <v>14</v>
      </c>
      <c r="R76" t="s">
        <v>14</v>
      </c>
      <c r="S76" t="s">
        <v>14</v>
      </c>
      <c r="T76" t="s">
        <v>14</v>
      </c>
      <c r="U76" t="s">
        <v>685</v>
      </c>
      <c r="V76" t="s">
        <v>1259</v>
      </c>
    </row>
    <row r="77" spans="1:22" x14ac:dyDescent="0.25">
      <c r="A77">
        <v>17243460</v>
      </c>
      <c r="B77" t="s" cm="1">
        <v>430</v>
      </c>
      <c r="C77">
        <v>48</v>
      </c>
      <c r="D77" t="s">
        <v>452</v>
      </c>
      <c r="E77">
        <v>45272</v>
      </c>
      <c r="F77" t="s">
        <v>453</v>
      </c>
      <c r="G77" t="e" cm="1">
        <v>#N/A</v>
      </c>
      <c r="H77" t="s">
        <v>14</v>
      </c>
      <c r="I77" t="s">
        <v>14</v>
      </c>
      <c r="J77" t="s">
        <v>30</v>
      </c>
      <c r="K77" t="s">
        <v>48</v>
      </c>
      <c r="L77" t="s">
        <v>1339</v>
      </c>
      <c r="M77" t="s">
        <v>76</v>
      </c>
      <c r="N77" t="s">
        <v>83</v>
      </c>
      <c r="P77" t="s">
        <v>14</v>
      </c>
      <c r="Q77" t="s">
        <v>14</v>
      </c>
      <c r="R77" t="s">
        <v>14</v>
      </c>
      <c r="S77" t="s">
        <v>897</v>
      </c>
      <c r="T77" t="s">
        <v>14</v>
      </c>
      <c r="U77" t="s">
        <v>898</v>
      </c>
      <c r="V77" t="s">
        <v>1217</v>
      </c>
    </row>
    <row r="78" spans="1:22" x14ac:dyDescent="0.25">
      <c r="A78">
        <v>17352644</v>
      </c>
      <c r="B78" t="s" cm="1">
        <v>430</v>
      </c>
      <c r="C78">
        <v>46</v>
      </c>
      <c r="D78" t="s">
        <v>452</v>
      </c>
      <c r="E78">
        <v>45272</v>
      </c>
      <c r="F78" t="s">
        <v>453</v>
      </c>
      <c r="G78" t="e" cm="1">
        <v>#N/A</v>
      </c>
      <c r="H78" t="s">
        <v>14</v>
      </c>
      <c r="I78" t="s">
        <v>14</v>
      </c>
      <c r="J78" t="s">
        <v>30</v>
      </c>
      <c r="K78" t="s">
        <v>44</v>
      </c>
      <c r="L78" t="s">
        <v>74</v>
      </c>
      <c r="M78" t="s">
        <v>76</v>
      </c>
      <c r="N78" t="s">
        <v>83</v>
      </c>
      <c r="P78" t="s">
        <v>14</v>
      </c>
      <c r="Q78" t="s">
        <v>14</v>
      </c>
      <c r="R78" t="s">
        <v>14</v>
      </c>
      <c r="S78" t="s">
        <v>965</v>
      </c>
      <c r="T78" t="s">
        <v>14</v>
      </c>
      <c r="U78" t="s">
        <v>966</v>
      </c>
      <c r="V78" t="s">
        <v>1280</v>
      </c>
    </row>
    <row r="79" spans="1:22" x14ac:dyDescent="0.25">
      <c r="A79">
        <v>17351125</v>
      </c>
      <c r="B79" t="s" cm="1">
        <v>430</v>
      </c>
      <c r="C79">
        <v>46</v>
      </c>
      <c r="D79" t="s">
        <v>452</v>
      </c>
      <c r="E79">
        <v>45273</v>
      </c>
      <c r="F79" t="s">
        <v>453</v>
      </c>
      <c r="G79" t="e" cm="1">
        <v>#N/A</v>
      </c>
      <c r="H79" t="s">
        <v>14</v>
      </c>
      <c r="I79" t="s">
        <v>14</v>
      </c>
      <c r="J79" t="s">
        <v>30</v>
      </c>
      <c r="K79" t="s">
        <v>44</v>
      </c>
      <c r="L79" t="s">
        <v>74</v>
      </c>
      <c r="M79" t="s">
        <v>76</v>
      </c>
      <c r="N79" t="s">
        <v>83</v>
      </c>
      <c r="P79" t="s">
        <v>14</v>
      </c>
      <c r="Q79" t="s">
        <v>14</v>
      </c>
      <c r="R79" t="s">
        <v>14</v>
      </c>
      <c r="S79" t="s">
        <v>963</v>
      </c>
      <c r="T79" t="s">
        <v>14</v>
      </c>
      <c r="U79" t="s">
        <v>964</v>
      </c>
      <c r="V79" t="s">
        <v>1279</v>
      </c>
    </row>
    <row r="80" spans="1:22" x14ac:dyDescent="0.25">
      <c r="A80">
        <v>17351092</v>
      </c>
      <c r="B80" t="s" cm="1">
        <v>430</v>
      </c>
      <c r="C80">
        <v>46</v>
      </c>
      <c r="D80" t="s">
        <v>452</v>
      </c>
      <c r="E80" s="6">
        <v>45273</v>
      </c>
      <c r="F80" t="s">
        <v>453</v>
      </c>
      <c r="G80" t="e" cm="1">
        <v>#N/A</v>
      </c>
      <c r="H80" t="s">
        <v>14</v>
      </c>
      <c r="I80" t="s">
        <v>14</v>
      </c>
      <c r="J80" t="s">
        <v>30</v>
      </c>
      <c r="K80" t="s">
        <v>44</v>
      </c>
      <c r="L80" t="s">
        <v>63</v>
      </c>
      <c r="M80" t="s">
        <v>76</v>
      </c>
      <c r="N80" t="s">
        <v>83</v>
      </c>
      <c r="P80" t="s">
        <v>14</v>
      </c>
      <c r="Q80" t="s">
        <v>14</v>
      </c>
      <c r="R80" t="s">
        <v>14</v>
      </c>
      <c r="S80" t="s">
        <v>962</v>
      </c>
      <c r="T80" t="s">
        <v>14</v>
      </c>
      <c r="U80" t="s">
        <v>14</v>
      </c>
      <c r="V80" t="s">
        <v>1278</v>
      </c>
    </row>
    <row r="81" spans="1:22" x14ac:dyDescent="0.25">
      <c r="A81">
        <v>17349016</v>
      </c>
      <c r="B81" t="s">
        <v>430</v>
      </c>
      <c r="C81">
        <v>46</v>
      </c>
      <c r="D81" t="s">
        <v>452</v>
      </c>
      <c r="E81" s="6" t="s">
        <v>1720</v>
      </c>
      <c r="F81" t="s">
        <v>451</v>
      </c>
      <c r="G81" t="e" cm="1">
        <v>#N/A</v>
      </c>
      <c r="H81" t="s">
        <v>14</v>
      </c>
      <c r="I81" t="s">
        <v>14</v>
      </c>
      <c r="J81" t="s">
        <v>21</v>
      </c>
      <c r="K81" t="s">
        <v>49</v>
      </c>
      <c r="L81" t="s">
        <v>63</v>
      </c>
      <c r="M81" t="s">
        <v>76</v>
      </c>
      <c r="N81" t="s">
        <v>83</v>
      </c>
      <c r="P81" t="s">
        <v>14</v>
      </c>
      <c r="Q81" t="s">
        <v>14</v>
      </c>
      <c r="R81" t="s">
        <v>14</v>
      </c>
      <c r="S81" t="s">
        <v>14</v>
      </c>
      <c r="T81" t="s">
        <v>14</v>
      </c>
      <c r="U81" t="s">
        <v>958</v>
      </c>
      <c r="V81" t="s">
        <v>1276</v>
      </c>
    </row>
    <row r="82" spans="1:22" x14ac:dyDescent="0.25">
      <c r="A82">
        <v>17357106</v>
      </c>
      <c r="B82" t="s">
        <v>430</v>
      </c>
      <c r="C82">
        <v>45</v>
      </c>
      <c r="D82" t="s">
        <v>452</v>
      </c>
      <c r="E82" s="6" t="s">
        <v>1721</v>
      </c>
      <c r="F82" t="s">
        <v>451</v>
      </c>
      <c r="G82" t="e" cm="1">
        <v>#N/A</v>
      </c>
      <c r="H82" t="s">
        <v>14</v>
      </c>
      <c r="I82" t="s">
        <v>14</v>
      </c>
      <c r="J82" t="s">
        <v>38</v>
      </c>
      <c r="K82" t="s">
        <v>44</v>
      </c>
      <c r="L82" t="s">
        <v>1385</v>
      </c>
      <c r="M82" t="s">
        <v>76</v>
      </c>
      <c r="N82" t="s">
        <v>14</v>
      </c>
      <c r="P82" t="e">
        <v>#N/A</v>
      </c>
      <c r="Q82" t="e">
        <v>#N/A</v>
      </c>
      <c r="R82" t="e">
        <v>#N/A</v>
      </c>
      <c r="S82" t="e">
        <v>#N/A</v>
      </c>
      <c r="T82" t="e">
        <v>#N/A</v>
      </c>
      <c r="U82" t="e">
        <v>#N/A</v>
      </c>
      <c r="V82" t="e">
        <v>#N/A</v>
      </c>
    </row>
    <row r="83" spans="1:22" x14ac:dyDescent="0.25">
      <c r="A83">
        <v>15525773</v>
      </c>
      <c r="B83" t="s">
        <v>433</v>
      </c>
      <c r="C83">
        <v>45</v>
      </c>
      <c r="E83" s="6"/>
      <c r="G83" t="s" cm="1">
        <v>442</v>
      </c>
      <c r="H83">
        <v>45226</v>
      </c>
      <c r="I83" t="s">
        <v>15</v>
      </c>
      <c r="J83" t="s">
        <v>41</v>
      </c>
      <c r="K83" t="s">
        <v>44</v>
      </c>
      <c r="L83" t="s">
        <v>59</v>
      </c>
      <c r="M83" t="s">
        <v>76</v>
      </c>
      <c r="N83" t="s">
        <v>83</v>
      </c>
      <c r="O83" t="s">
        <v>431</v>
      </c>
      <c r="P83" t="s">
        <v>717</v>
      </c>
      <c r="Q83" t="s">
        <v>14</v>
      </c>
      <c r="R83" t="s">
        <v>14</v>
      </c>
      <c r="S83" t="s">
        <v>718</v>
      </c>
      <c r="T83" t="s">
        <v>14</v>
      </c>
      <c r="U83" t="s">
        <v>14</v>
      </c>
      <c r="V83" t="s">
        <v>1722</v>
      </c>
    </row>
    <row r="84" spans="1:22" x14ac:dyDescent="0.25">
      <c r="A84">
        <v>17360579</v>
      </c>
      <c r="B84" t="s" cm="1">
        <v>430</v>
      </c>
      <c r="C84">
        <v>44</v>
      </c>
      <c r="D84" t="s">
        <v>1723</v>
      </c>
      <c r="F84" t="s">
        <v>1724</v>
      </c>
      <c r="G84" t="e" cm="1">
        <v>#N/A</v>
      </c>
      <c r="H84" t="s">
        <v>14</v>
      </c>
      <c r="I84" t="s">
        <v>14</v>
      </c>
      <c r="J84" t="s">
        <v>30</v>
      </c>
      <c r="K84" t="s">
        <v>44</v>
      </c>
      <c r="L84" t="s">
        <v>58</v>
      </c>
      <c r="M84" t="s">
        <v>76</v>
      </c>
      <c r="N84" t="s">
        <v>83</v>
      </c>
      <c r="P84" t="e">
        <v>#N/A</v>
      </c>
      <c r="Q84" t="e">
        <v>#N/A</v>
      </c>
      <c r="R84" t="e">
        <v>#N/A</v>
      </c>
      <c r="S84" t="e">
        <v>#N/A</v>
      </c>
      <c r="T84" t="e">
        <v>#N/A</v>
      </c>
      <c r="U84" t="e">
        <v>#N/A</v>
      </c>
      <c r="V84" t="e">
        <v>#N/A</v>
      </c>
    </row>
    <row r="85" spans="1:22" x14ac:dyDescent="0.25">
      <c r="A85">
        <v>17370748</v>
      </c>
      <c r="B85" t="s">
        <v>430</v>
      </c>
      <c r="C85">
        <v>41</v>
      </c>
      <c r="D85" t="s">
        <v>452</v>
      </c>
      <c r="E85" s="6" t="s">
        <v>1721</v>
      </c>
      <c r="F85" t="s">
        <v>451</v>
      </c>
      <c r="G85" t="e" cm="1">
        <v>#N/A</v>
      </c>
      <c r="H85" t="s">
        <v>14</v>
      </c>
      <c r="I85" t="s">
        <v>14</v>
      </c>
      <c r="J85" t="s">
        <v>38</v>
      </c>
      <c r="K85" t="s">
        <v>48</v>
      </c>
      <c r="L85" t="s">
        <v>1386</v>
      </c>
      <c r="M85" t="s">
        <v>76</v>
      </c>
      <c r="N85" t="s">
        <v>14</v>
      </c>
      <c r="P85" t="e">
        <v>#N/A</v>
      </c>
      <c r="Q85" t="e">
        <v>#N/A</v>
      </c>
      <c r="R85" t="e">
        <v>#N/A</v>
      </c>
      <c r="S85" t="e">
        <v>#N/A</v>
      </c>
      <c r="T85" t="e">
        <v>#N/A</v>
      </c>
      <c r="U85" t="e">
        <v>#N/A</v>
      </c>
      <c r="V85" t="e">
        <v>#N/A</v>
      </c>
    </row>
    <row r="86" spans="1:22" x14ac:dyDescent="0.25">
      <c r="A86">
        <v>17368410</v>
      </c>
      <c r="B86" t="s">
        <v>433</v>
      </c>
      <c r="C86">
        <v>41</v>
      </c>
      <c r="G86" t="s" cm="1">
        <v>442</v>
      </c>
      <c r="H86" t="s">
        <v>14</v>
      </c>
      <c r="I86" t="s">
        <v>14</v>
      </c>
      <c r="J86" t="s">
        <v>84</v>
      </c>
      <c r="K86" t="s">
        <v>44</v>
      </c>
      <c r="L86" t="s">
        <v>401</v>
      </c>
      <c r="M86" t="s">
        <v>76</v>
      </c>
      <c r="N86" t="s">
        <v>14</v>
      </c>
      <c r="P86" t="e">
        <v>#N/A</v>
      </c>
      <c r="Q86" t="e">
        <v>#N/A</v>
      </c>
      <c r="R86" t="e">
        <v>#N/A</v>
      </c>
      <c r="S86" t="e">
        <v>#N/A</v>
      </c>
      <c r="T86" t="e">
        <v>#N/A</v>
      </c>
      <c r="U86" t="e">
        <v>#N/A</v>
      </c>
      <c r="V86" t="e">
        <v>#N/A</v>
      </c>
    </row>
    <row r="87" spans="1:22" x14ac:dyDescent="0.25">
      <c r="A87">
        <v>17389367</v>
      </c>
      <c r="B87" t="s" cm="1">
        <v>430</v>
      </c>
      <c r="C87">
        <v>38</v>
      </c>
      <c r="D87" t="s">
        <v>452</v>
      </c>
      <c r="E87" s="6">
        <v>45272</v>
      </c>
      <c r="F87" t="s">
        <v>454</v>
      </c>
      <c r="G87" t="e" cm="1">
        <v>#N/A</v>
      </c>
      <c r="H87" t="s">
        <v>14</v>
      </c>
      <c r="I87" t="s">
        <v>14</v>
      </c>
      <c r="J87" t="s">
        <v>22</v>
      </c>
      <c r="K87" t="s">
        <v>51</v>
      </c>
      <c r="L87" t="s">
        <v>60</v>
      </c>
      <c r="M87" t="s">
        <v>76</v>
      </c>
      <c r="N87" t="s">
        <v>83</v>
      </c>
      <c r="P87" t="s">
        <v>14</v>
      </c>
      <c r="Q87" t="s">
        <v>14</v>
      </c>
      <c r="R87" t="s">
        <v>989</v>
      </c>
      <c r="S87" t="s">
        <v>14</v>
      </c>
      <c r="T87" t="s">
        <v>989</v>
      </c>
      <c r="U87" t="s">
        <v>990</v>
      </c>
      <c r="V87" t="s">
        <v>1300</v>
      </c>
    </row>
    <row r="88" spans="1:22" x14ac:dyDescent="0.25">
      <c r="A88">
        <v>17396037</v>
      </c>
      <c r="B88" t="s" cm="1">
        <v>430</v>
      </c>
      <c r="C88">
        <v>37</v>
      </c>
      <c r="D88" t="s">
        <v>452</v>
      </c>
      <c r="E88" s="6">
        <v>45272</v>
      </c>
      <c r="F88" t="s">
        <v>454</v>
      </c>
      <c r="G88" t="e" cm="1">
        <v>#N/A</v>
      </c>
      <c r="H88" t="s">
        <v>14</v>
      </c>
      <c r="I88" t="s">
        <v>14</v>
      </c>
      <c r="J88" t="s">
        <v>22</v>
      </c>
      <c r="K88" t="s">
        <v>44</v>
      </c>
      <c r="L88" t="s">
        <v>63</v>
      </c>
      <c r="M88" t="s">
        <v>76</v>
      </c>
      <c r="N88" t="s">
        <v>83</v>
      </c>
      <c r="P88" t="s">
        <v>1004</v>
      </c>
      <c r="Q88" t="s">
        <v>14</v>
      </c>
      <c r="R88" t="s">
        <v>14</v>
      </c>
      <c r="S88" t="s">
        <v>1005</v>
      </c>
      <c r="T88" t="s">
        <v>14</v>
      </c>
      <c r="U88" t="s">
        <v>14</v>
      </c>
      <c r="V88" t="s">
        <v>1308</v>
      </c>
    </row>
    <row r="89" spans="1:22" x14ac:dyDescent="0.25">
      <c r="A89">
        <v>17406233</v>
      </c>
      <c r="B89" t="s" cm="1">
        <v>430</v>
      </c>
      <c r="C89">
        <v>34</v>
      </c>
      <c r="D89" t="s">
        <v>452</v>
      </c>
      <c r="E89">
        <v>45273</v>
      </c>
      <c r="F89" t="s">
        <v>453</v>
      </c>
      <c r="G89" t="e" cm="1">
        <v>#N/A</v>
      </c>
      <c r="H89" t="s">
        <v>14</v>
      </c>
      <c r="I89" t="s">
        <v>14</v>
      </c>
      <c r="J89" t="s">
        <v>20</v>
      </c>
      <c r="K89" t="s">
        <v>44</v>
      </c>
      <c r="L89" t="s">
        <v>59</v>
      </c>
      <c r="M89" t="s">
        <v>76</v>
      </c>
      <c r="N89" t="s">
        <v>14</v>
      </c>
      <c r="P89" t="e">
        <v>#N/A</v>
      </c>
      <c r="Q89" t="e">
        <v>#N/A</v>
      </c>
      <c r="R89" t="e">
        <v>#N/A</v>
      </c>
      <c r="S89" t="e">
        <v>#N/A</v>
      </c>
      <c r="T89" t="e">
        <v>#N/A</v>
      </c>
      <c r="U89" t="e">
        <v>#N/A</v>
      </c>
      <c r="V89" t="e">
        <v>#N/A</v>
      </c>
    </row>
    <row r="90" spans="1:22" x14ac:dyDescent="0.25">
      <c r="A90">
        <v>11093453</v>
      </c>
      <c r="B90" t="s">
        <v>433</v>
      </c>
      <c r="C90">
        <v>34</v>
      </c>
      <c r="E90" s="6"/>
      <c r="G90" t="s" cm="1">
        <v>442</v>
      </c>
      <c r="H90">
        <v>43733</v>
      </c>
      <c r="I90" t="s">
        <v>15</v>
      </c>
      <c r="J90" t="s">
        <v>27</v>
      </c>
      <c r="K90" t="s">
        <v>44</v>
      </c>
      <c r="L90" t="s">
        <v>1387</v>
      </c>
      <c r="M90" t="s">
        <v>91</v>
      </c>
      <c r="N90" t="s">
        <v>83</v>
      </c>
      <c r="O90" t="s">
        <v>431</v>
      </c>
      <c r="P90" t="s">
        <v>753</v>
      </c>
      <c r="Q90">
        <v>0</v>
      </c>
      <c r="R90">
        <v>0</v>
      </c>
      <c r="S90">
        <v>0</v>
      </c>
      <c r="T90">
        <v>0</v>
      </c>
      <c r="U90">
        <v>0</v>
      </c>
      <c r="V90" t="s">
        <v>1023</v>
      </c>
    </row>
    <row r="91" spans="1:22" x14ac:dyDescent="0.25">
      <c r="A91">
        <v>16985175</v>
      </c>
      <c r="B91" t="s">
        <v>433</v>
      </c>
      <c r="C91">
        <v>33</v>
      </c>
      <c r="E91" s="6"/>
      <c r="G91" t="s" cm="1">
        <v>442</v>
      </c>
      <c r="H91">
        <v>45149</v>
      </c>
      <c r="I91" t="s">
        <v>15</v>
      </c>
      <c r="J91" t="s">
        <v>18</v>
      </c>
      <c r="K91" t="s">
        <v>44</v>
      </c>
      <c r="L91" t="s">
        <v>734</v>
      </c>
      <c r="M91" t="s">
        <v>1411</v>
      </c>
      <c r="N91" t="s">
        <v>83</v>
      </c>
      <c r="O91" t="s">
        <v>431</v>
      </c>
      <c r="P91" t="s">
        <v>14</v>
      </c>
      <c r="Q91" t="s">
        <v>14</v>
      </c>
      <c r="R91" t="s">
        <v>14</v>
      </c>
      <c r="S91" t="s">
        <v>578</v>
      </c>
      <c r="T91" t="s">
        <v>14</v>
      </c>
      <c r="U91" t="s">
        <v>14</v>
      </c>
      <c r="V91" t="s">
        <v>1145</v>
      </c>
    </row>
    <row r="92" spans="1:22" x14ac:dyDescent="0.25">
      <c r="A92">
        <v>16798470</v>
      </c>
      <c r="B92" t="s">
        <v>430</v>
      </c>
      <c r="C92">
        <v>25</v>
      </c>
      <c r="D92" t="s">
        <v>452</v>
      </c>
      <c r="E92" s="6">
        <v>45272</v>
      </c>
      <c r="F92" t="s">
        <v>751</v>
      </c>
      <c r="G92" t="e" cm="1">
        <v>#N/A</v>
      </c>
      <c r="H92" t="s">
        <v>14</v>
      </c>
      <c r="I92" t="s">
        <v>14</v>
      </c>
      <c r="J92" t="s">
        <v>42</v>
      </c>
      <c r="K92" t="s">
        <v>44</v>
      </c>
      <c r="L92" t="s">
        <v>1388</v>
      </c>
      <c r="M92" t="s">
        <v>76</v>
      </c>
      <c r="N92" t="s">
        <v>83</v>
      </c>
      <c r="P92" t="s">
        <v>14</v>
      </c>
      <c r="Q92" t="s">
        <v>14</v>
      </c>
      <c r="R92" t="s">
        <v>14</v>
      </c>
      <c r="S92" t="s">
        <v>609</v>
      </c>
      <c r="T92" t="s">
        <v>14</v>
      </c>
      <c r="U92" t="s">
        <v>610</v>
      </c>
      <c r="V92" t="s">
        <v>1111</v>
      </c>
    </row>
    <row r="93" spans="1:22" x14ac:dyDescent="0.25">
      <c r="A93">
        <v>17195194</v>
      </c>
      <c r="B93" t="s">
        <v>430</v>
      </c>
      <c r="C93">
        <v>24</v>
      </c>
      <c r="D93" t="s">
        <v>452</v>
      </c>
      <c r="E93">
        <v>45272</v>
      </c>
      <c r="F93" t="s">
        <v>1719</v>
      </c>
      <c r="G93" t="e" cm="1">
        <v>#N/A</v>
      </c>
      <c r="H93" t="s">
        <v>14</v>
      </c>
      <c r="I93" t="s">
        <v>380</v>
      </c>
      <c r="J93" t="s">
        <v>32</v>
      </c>
      <c r="K93" t="s">
        <v>386</v>
      </c>
      <c r="L93" t="s">
        <v>742</v>
      </c>
      <c r="M93" t="s">
        <v>76</v>
      </c>
      <c r="N93" t="s">
        <v>83</v>
      </c>
      <c r="P93" t="s">
        <v>14</v>
      </c>
      <c r="Q93" t="s">
        <v>14</v>
      </c>
      <c r="R93" t="s">
        <v>14</v>
      </c>
      <c r="S93" t="s">
        <v>14</v>
      </c>
      <c r="T93" t="s">
        <v>14</v>
      </c>
      <c r="U93" t="s">
        <v>14</v>
      </c>
      <c r="V93" t="s">
        <v>1198</v>
      </c>
    </row>
    <row r="94" spans="1:22" x14ac:dyDescent="0.25">
      <c r="A94">
        <v>17290410</v>
      </c>
      <c r="B94" t="s">
        <v>430</v>
      </c>
      <c r="C94">
        <v>24</v>
      </c>
      <c r="D94" t="s">
        <v>452</v>
      </c>
      <c r="E94" s="6">
        <v>45271</v>
      </c>
      <c r="F94" t="s">
        <v>1719</v>
      </c>
      <c r="G94" t="e" cm="1">
        <v>#N/A</v>
      </c>
      <c r="H94" t="s">
        <v>14</v>
      </c>
      <c r="I94" t="s">
        <v>14</v>
      </c>
      <c r="J94" t="s">
        <v>27</v>
      </c>
      <c r="K94" t="s">
        <v>44</v>
      </c>
      <c r="L94" t="s">
        <v>395</v>
      </c>
      <c r="M94" t="s">
        <v>76</v>
      </c>
      <c r="N94" t="s">
        <v>83</v>
      </c>
      <c r="P94" t="s">
        <v>14</v>
      </c>
      <c r="Q94" t="s">
        <v>14</v>
      </c>
      <c r="R94" t="s">
        <v>14</v>
      </c>
      <c r="S94" t="s">
        <v>924</v>
      </c>
      <c r="T94" t="s">
        <v>14</v>
      </c>
      <c r="U94" t="s">
        <v>14</v>
      </c>
      <c r="V94" t="s">
        <v>1239</v>
      </c>
    </row>
    <row r="95" spans="1:22" x14ac:dyDescent="0.25">
      <c r="A95">
        <v>15684916</v>
      </c>
      <c r="B95" t="s">
        <v>433</v>
      </c>
      <c r="C95">
        <v>22</v>
      </c>
      <c r="G95" t="s" cm="1">
        <v>442</v>
      </c>
      <c r="H95">
        <v>44851</v>
      </c>
      <c r="I95" t="s">
        <v>15</v>
      </c>
      <c r="J95" t="s">
        <v>27</v>
      </c>
      <c r="K95" t="s">
        <v>44</v>
      </c>
      <c r="L95" t="s">
        <v>60</v>
      </c>
      <c r="M95" t="s">
        <v>76</v>
      </c>
      <c r="N95" t="s">
        <v>83</v>
      </c>
      <c r="O95" t="s">
        <v>431</v>
      </c>
      <c r="P95" t="s">
        <v>14</v>
      </c>
      <c r="Q95" t="s">
        <v>14</v>
      </c>
      <c r="R95" t="s">
        <v>14</v>
      </c>
      <c r="S95" t="s">
        <v>515</v>
      </c>
      <c r="T95" t="s">
        <v>14</v>
      </c>
      <c r="U95" t="s">
        <v>14</v>
      </c>
      <c r="V95" t="s">
        <v>1061</v>
      </c>
    </row>
    <row r="96" spans="1:22" x14ac:dyDescent="0.25">
      <c r="A96">
        <v>17486317</v>
      </c>
      <c r="B96" t="s">
        <v>430</v>
      </c>
      <c r="C96">
        <v>19</v>
      </c>
      <c r="D96" t="s">
        <v>452</v>
      </c>
      <c r="E96" t="s">
        <v>1721</v>
      </c>
      <c r="F96" t="s">
        <v>451</v>
      </c>
      <c r="G96" t="e" cm="1">
        <v>#N/A</v>
      </c>
      <c r="H96" t="s">
        <v>14</v>
      </c>
      <c r="I96" t="s">
        <v>14</v>
      </c>
      <c r="J96" t="s">
        <v>38</v>
      </c>
      <c r="K96" t="s">
        <v>44</v>
      </c>
      <c r="L96" t="s">
        <v>64</v>
      </c>
      <c r="M96" t="s">
        <v>76</v>
      </c>
      <c r="N96" t="s">
        <v>14</v>
      </c>
      <c r="P96" t="e">
        <v>#N/A</v>
      </c>
      <c r="Q96" t="e">
        <v>#N/A</v>
      </c>
      <c r="R96" t="e">
        <v>#N/A</v>
      </c>
      <c r="S96" t="e">
        <v>#N/A</v>
      </c>
      <c r="T96" t="e">
        <v>#N/A</v>
      </c>
      <c r="U96" t="e">
        <v>#N/A</v>
      </c>
      <c r="V96" t="e">
        <v>#N/A</v>
      </c>
    </row>
    <row r="97" spans="1:22" x14ac:dyDescent="0.25">
      <c r="A97">
        <v>17032154</v>
      </c>
      <c r="B97" t="s" cm="1">
        <v>430</v>
      </c>
      <c r="C97">
        <v>19</v>
      </c>
      <c r="G97" t="e" cm="1">
        <v>#N/A</v>
      </c>
      <c r="H97" t="s">
        <v>14</v>
      </c>
      <c r="I97" t="s">
        <v>14</v>
      </c>
      <c r="J97" t="s">
        <v>30</v>
      </c>
      <c r="K97" t="s">
        <v>49</v>
      </c>
      <c r="L97" t="s">
        <v>74</v>
      </c>
      <c r="M97" t="s">
        <v>76</v>
      </c>
      <c r="N97" t="s">
        <v>83</v>
      </c>
      <c r="P97" t="s">
        <v>14</v>
      </c>
      <c r="Q97" t="s">
        <v>14</v>
      </c>
      <c r="R97" t="s">
        <v>14</v>
      </c>
      <c r="S97" t="s">
        <v>846</v>
      </c>
      <c r="T97" t="s">
        <v>14</v>
      </c>
      <c r="U97" t="s">
        <v>847</v>
      </c>
      <c r="V97" t="s">
        <v>1151</v>
      </c>
    </row>
    <row r="98" spans="1:22" x14ac:dyDescent="0.25">
      <c r="A98">
        <v>16799076</v>
      </c>
      <c r="B98" t="s">
        <v>430</v>
      </c>
      <c r="C98">
        <v>19</v>
      </c>
      <c r="D98" t="s">
        <v>452</v>
      </c>
      <c r="E98" s="6">
        <v>45272</v>
      </c>
      <c r="F98" t="s">
        <v>751</v>
      </c>
      <c r="G98" t="e" cm="1">
        <v>#N/A</v>
      </c>
      <c r="H98" t="s">
        <v>14</v>
      </c>
      <c r="I98" t="s">
        <v>14</v>
      </c>
      <c r="J98" t="s">
        <v>42</v>
      </c>
      <c r="K98" t="s">
        <v>44</v>
      </c>
      <c r="L98" t="s">
        <v>401</v>
      </c>
      <c r="M98" t="s">
        <v>76</v>
      </c>
      <c r="N98" t="s">
        <v>83</v>
      </c>
      <c r="P98" t="s">
        <v>14</v>
      </c>
      <c r="Q98" t="s">
        <v>14</v>
      </c>
      <c r="R98" t="s">
        <v>14</v>
      </c>
      <c r="S98" t="s">
        <v>608</v>
      </c>
      <c r="T98" t="s">
        <v>14</v>
      </c>
      <c r="U98" t="s">
        <v>14</v>
      </c>
      <c r="V98" t="s">
        <v>1112</v>
      </c>
    </row>
    <row r="99" spans="1:22" x14ac:dyDescent="0.25">
      <c r="A99">
        <v>17491623</v>
      </c>
      <c r="B99" t="s">
        <v>430</v>
      </c>
      <c r="C99">
        <v>18</v>
      </c>
      <c r="D99" t="s">
        <v>452</v>
      </c>
      <c r="E99" s="6">
        <v>45271</v>
      </c>
      <c r="F99" t="s">
        <v>454</v>
      </c>
      <c r="G99" t="e" cm="1">
        <v>#N/A</v>
      </c>
      <c r="H99" t="s">
        <v>14</v>
      </c>
      <c r="I99" t="s">
        <v>14</v>
      </c>
      <c r="J99" t="s">
        <v>37</v>
      </c>
      <c r="K99" t="s">
        <v>44</v>
      </c>
      <c r="L99" t="s">
        <v>1389</v>
      </c>
      <c r="M99" t="s">
        <v>76</v>
      </c>
      <c r="N99" t="s">
        <v>14</v>
      </c>
      <c r="P99" t="e">
        <v>#N/A</v>
      </c>
      <c r="Q99" t="e">
        <v>#N/A</v>
      </c>
      <c r="R99" t="e">
        <v>#N/A</v>
      </c>
      <c r="S99" t="e">
        <v>#N/A</v>
      </c>
      <c r="T99" t="e">
        <v>#N/A</v>
      </c>
      <c r="U99" t="e">
        <v>#N/A</v>
      </c>
      <c r="V99" t="e">
        <v>#N/A</v>
      </c>
    </row>
    <row r="100" spans="1:22" x14ac:dyDescent="0.25">
      <c r="A100">
        <v>17512187</v>
      </c>
      <c r="B100" t="s">
        <v>430</v>
      </c>
      <c r="C100">
        <v>12</v>
      </c>
      <c r="D100" t="s">
        <v>452</v>
      </c>
      <c r="E100" t="s">
        <v>1721</v>
      </c>
      <c r="F100" t="s">
        <v>451</v>
      </c>
      <c r="G100" t="e" cm="1">
        <v>#N/A</v>
      </c>
      <c r="H100" t="s">
        <v>14</v>
      </c>
      <c r="I100" t="s">
        <v>14</v>
      </c>
      <c r="J100" t="s">
        <v>38</v>
      </c>
      <c r="K100" t="s">
        <v>43</v>
      </c>
      <c r="L100" t="s">
        <v>1390</v>
      </c>
      <c r="M100" t="s">
        <v>76</v>
      </c>
      <c r="N100" t="s">
        <v>14</v>
      </c>
      <c r="P100" t="e">
        <v>#N/A</v>
      </c>
      <c r="Q100" t="e">
        <v>#N/A</v>
      </c>
      <c r="R100" t="e">
        <v>#N/A</v>
      </c>
      <c r="S100" t="e">
        <v>#N/A</v>
      </c>
      <c r="T100" t="e">
        <v>#N/A</v>
      </c>
      <c r="U100" t="e">
        <v>#N/A</v>
      </c>
      <c r="V100" t="e">
        <v>#N/A</v>
      </c>
    </row>
    <row r="101" spans="1:22" x14ac:dyDescent="0.25">
      <c r="A101">
        <v>15633462</v>
      </c>
      <c r="B101" t="s" cm="1">
        <v>430</v>
      </c>
      <c r="C101">
        <v>11</v>
      </c>
      <c r="D101" t="s">
        <v>452</v>
      </c>
      <c r="E101" s="6">
        <v>45273</v>
      </c>
      <c r="F101" t="s">
        <v>453</v>
      </c>
      <c r="G101" t="e" cm="1">
        <v>#N/A</v>
      </c>
      <c r="H101" t="s">
        <v>14</v>
      </c>
      <c r="I101" t="s">
        <v>14</v>
      </c>
      <c r="J101" t="s">
        <v>30</v>
      </c>
      <c r="K101" t="s">
        <v>44</v>
      </c>
      <c r="L101" t="s">
        <v>55</v>
      </c>
      <c r="M101" t="s">
        <v>76</v>
      </c>
      <c r="N101" t="s">
        <v>83</v>
      </c>
      <c r="P101" t="s">
        <v>14</v>
      </c>
      <c r="Q101" t="s">
        <v>14</v>
      </c>
      <c r="R101" t="s">
        <v>14</v>
      </c>
      <c r="S101" t="s">
        <v>567</v>
      </c>
      <c r="T101" t="s">
        <v>14</v>
      </c>
      <c r="U101" t="s">
        <v>14</v>
      </c>
      <c r="V101" t="s">
        <v>1060</v>
      </c>
    </row>
    <row r="102" spans="1:22" x14ac:dyDescent="0.25">
      <c r="A102">
        <v>15011005</v>
      </c>
      <c r="B102" t="s" cm="1">
        <v>430</v>
      </c>
      <c r="C102">
        <v>11</v>
      </c>
      <c r="D102" t="s">
        <v>452</v>
      </c>
      <c r="E102">
        <v>45273</v>
      </c>
      <c r="F102" t="s">
        <v>453</v>
      </c>
      <c r="G102" t="s" cm="1">
        <v>442</v>
      </c>
      <c r="H102" t="s">
        <v>14</v>
      </c>
      <c r="I102" t="s">
        <v>14</v>
      </c>
      <c r="J102" t="s">
        <v>30</v>
      </c>
      <c r="K102" t="s">
        <v>44</v>
      </c>
      <c r="L102" t="s">
        <v>1391</v>
      </c>
      <c r="M102" t="s">
        <v>78</v>
      </c>
      <c r="N102" t="s">
        <v>83</v>
      </c>
      <c r="P102" t="s">
        <v>14</v>
      </c>
      <c r="Q102" t="s">
        <v>14</v>
      </c>
      <c r="R102" t="s">
        <v>14</v>
      </c>
      <c r="S102" t="s">
        <v>617</v>
      </c>
      <c r="T102" t="s">
        <v>14</v>
      </c>
      <c r="U102" t="s">
        <v>618</v>
      </c>
      <c r="V102" t="s">
        <v>1047</v>
      </c>
    </row>
    <row r="103" spans="1:22" x14ac:dyDescent="0.25">
      <c r="A103">
        <v>15042231</v>
      </c>
      <c r="B103" t="s" cm="1">
        <v>430</v>
      </c>
      <c r="C103">
        <v>11</v>
      </c>
      <c r="D103" t="s">
        <v>452</v>
      </c>
      <c r="E103" s="6">
        <v>45273</v>
      </c>
      <c r="F103" t="s">
        <v>1725</v>
      </c>
      <c r="G103" t="s" cm="1">
        <v>442</v>
      </c>
      <c r="H103" t="s">
        <v>14</v>
      </c>
      <c r="I103" t="s">
        <v>14</v>
      </c>
      <c r="J103" t="s">
        <v>26</v>
      </c>
      <c r="K103" t="s">
        <v>44</v>
      </c>
      <c r="L103" t="s">
        <v>1321</v>
      </c>
      <c r="M103" t="s">
        <v>78</v>
      </c>
      <c r="N103" t="s">
        <v>83</v>
      </c>
      <c r="P103" t="s">
        <v>14</v>
      </c>
      <c r="Q103" t="s">
        <v>14</v>
      </c>
      <c r="R103" t="s">
        <v>14</v>
      </c>
      <c r="S103" t="s">
        <v>788</v>
      </c>
      <c r="T103" t="s">
        <v>14</v>
      </c>
      <c r="U103" t="s">
        <v>14</v>
      </c>
      <c r="V103" t="s">
        <v>1048</v>
      </c>
    </row>
    <row r="104" spans="1:22" x14ac:dyDescent="0.25">
      <c r="A104">
        <v>17517067</v>
      </c>
      <c r="B104" t="s">
        <v>430</v>
      </c>
      <c r="C104">
        <v>11</v>
      </c>
      <c r="D104" t="s">
        <v>452</v>
      </c>
      <c r="E104" s="6" t="s">
        <v>1726</v>
      </c>
      <c r="F104" t="s">
        <v>451</v>
      </c>
      <c r="G104" t="e" cm="1">
        <v>#N/A</v>
      </c>
      <c r="H104" t="s">
        <v>14</v>
      </c>
      <c r="I104" t="s">
        <v>14</v>
      </c>
      <c r="J104" t="s">
        <v>38</v>
      </c>
      <c r="K104" t="s">
        <v>51</v>
      </c>
      <c r="L104" t="s">
        <v>70</v>
      </c>
      <c r="M104" t="s">
        <v>76</v>
      </c>
      <c r="N104" t="s">
        <v>14</v>
      </c>
      <c r="P104" t="e">
        <v>#N/A</v>
      </c>
      <c r="Q104" t="e">
        <v>#N/A</v>
      </c>
      <c r="R104" t="e">
        <v>#N/A</v>
      </c>
      <c r="S104" t="e">
        <v>#N/A</v>
      </c>
      <c r="T104" t="e">
        <v>#N/A</v>
      </c>
      <c r="U104" t="e">
        <v>#N/A</v>
      </c>
      <c r="V104" t="e">
        <v>#N/A</v>
      </c>
    </row>
    <row r="105" spans="1:22" x14ac:dyDescent="0.25">
      <c r="A105">
        <v>16610977</v>
      </c>
      <c r="B105" t="s" cm="1">
        <v>430</v>
      </c>
      <c r="C105">
        <v>10</v>
      </c>
      <c r="D105" t="s">
        <v>452</v>
      </c>
      <c r="E105" s="6">
        <v>45274</v>
      </c>
      <c r="F105" t="s">
        <v>453</v>
      </c>
      <c r="G105" t="s" cm="1">
        <v>442</v>
      </c>
      <c r="H105" t="s">
        <v>14</v>
      </c>
      <c r="I105" t="s">
        <v>14</v>
      </c>
      <c r="J105" t="s">
        <v>30</v>
      </c>
      <c r="K105" t="s">
        <v>51</v>
      </c>
      <c r="L105" t="s">
        <v>1392</v>
      </c>
      <c r="M105" t="s">
        <v>76</v>
      </c>
      <c r="N105" t="s">
        <v>83</v>
      </c>
      <c r="P105" t="s">
        <v>14</v>
      </c>
      <c r="Q105" t="s">
        <v>14</v>
      </c>
      <c r="R105" t="s">
        <v>14</v>
      </c>
      <c r="S105" t="s">
        <v>537</v>
      </c>
      <c r="T105" t="s">
        <v>14</v>
      </c>
      <c r="U105" t="s">
        <v>14</v>
      </c>
      <c r="V105" t="s">
        <v>1094</v>
      </c>
    </row>
    <row r="106" spans="1:22" x14ac:dyDescent="0.25">
      <c r="A106">
        <v>15192118</v>
      </c>
      <c r="B106" t="s" cm="1">
        <v>433</v>
      </c>
      <c r="C106">
        <v>10</v>
      </c>
      <c r="G106" t="e" cm="1">
        <v>#N/A</v>
      </c>
      <c r="H106" t="s">
        <v>14</v>
      </c>
      <c r="I106" t="s">
        <v>14</v>
      </c>
      <c r="J106" t="s">
        <v>30</v>
      </c>
      <c r="K106" t="s">
        <v>44</v>
      </c>
      <c r="L106" t="s">
        <v>1393</v>
      </c>
      <c r="M106" t="s">
        <v>78</v>
      </c>
      <c r="N106" t="s">
        <v>83</v>
      </c>
      <c r="P106" t="s">
        <v>14</v>
      </c>
      <c r="Q106" t="s">
        <v>14</v>
      </c>
      <c r="R106" t="s">
        <v>14</v>
      </c>
      <c r="S106" t="s">
        <v>14</v>
      </c>
      <c r="T106" t="s">
        <v>14</v>
      </c>
      <c r="U106" t="s">
        <v>789</v>
      </c>
      <c r="V106" t="s">
        <v>1049</v>
      </c>
    </row>
    <row r="107" spans="1:22" x14ac:dyDescent="0.25">
      <c r="A107">
        <v>14805501</v>
      </c>
      <c r="B107" t="s">
        <v>430</v>
      </c>
      <c r="C107">
        <v>7</v>
      </c>
      <c r="D107" t="s">
        <v>452</v>
      </c>
      <c r="E107">
        <v>45271</v>
      </c>
      <c r="F107" t="s">
        <v>454</v>
      </c>
      <c r="G107" t="e" cm="1">
        <v>#N/A</v>
      </c>
      <c r="H107" t="s">
        <v>14</v>
      </c>
      <c r="I107" t="s">
        <v>14</v>
      </c>
      <c r="J107" t="s">
        <v>37</v>
      </c>
      <c r="K107" t="s">
        <v>44</v>
      </c>
      <c r="L107" t="s">
        <v>1394</v>
      </c>
      <c r="M107" t="s">
        <v>76</v>
      </c>
      <c r="N107" t="s">
        <v>14</v>
      </c>
      <c r="P107" t="e">
        <v>#N/A</v>
      </c>
      <c r="Q107" t="e">
        <v>#N/A</v>
      </c>
      <c r="R107" t="e">
        <v>#N/A</v>
      </c>
      <c r="S107" t="e">
        <v>#N/A</v>
      </c>
      <c r="T107" t="e">
        <v>#N/A</v>
      </c>
      <c r="U107" t="e">
        <v>#N/A</v>
      </c>
      <c r="V107" t="e">
        <v>#N/A</v>
      </c>
    </row>
    <row r="108" spans="1:22" x14ac:dyDescent="0.25">
      <c r="A108">
        <v>16620642</v>
      </c>
      <c r="B108" t="s" cm="1">
        <v>430</v>
      </c>
      <c r="C108">
        <v>7</v>
      </c>
      <c r="D108" t="s">
        <v>452</v>
      </c>
      <c r="E108">
        <v>45272</v>
      </c>
      <c r="F108" t="s">
        <v>454</v>
      </c>
      <c r="G108" t="e" cm="1">
        <v>#N/A</v>
      </c>
      <c r="H108" t="s">
        <v>14</v>
      </c>
      <c r="I108" t="s">
        <v>14</v>
      </c>
      <c r="J108" t="s">
        <v>18</v>
      </c>
      <c r="K108" t="s">
        <v>44</v>
      </c>
      <c r="L108" t="s">
        <v>395</v>
      </c>
      <c r="M108" t="s">
        <v>76</v>
      </c>
      <c r="N108" t="s">
        <v>83</v>
      </c>
      <c r="P108" t="s">
        <v>650</v>
      </c>
      <c r="Q108" t="s">
        <v>14</v>
      </c>
      <c r="R108" t="s">
        <v>14</v>
      </c>
      <c r="S108" t="s">
        <v>651</v>
      </c>
      <c r="T108" t="s">
        <v>14</v>
      </c>
      <c r="U108" t="s">
        <v>652</v>
      </c>
      <c r="V108" t="s">
        <v>1096</v>
      </c>
    </row>
    <row r="109" spans="1:22" x14ac:dyDescent="0.25">
      <c r="A109">
        <v>12919894</v>
      </c>
      <c r="B109" t="s" cm="1">
        <v>430</v>
      </c>
      <c r="C109">
        <v>7</v>
      </c>
      <c r="D109" t="s">
        <v>452</v>
      </c>
      <c r="E109" s="6">
        <v>45273</v>
      </c>
      <c r="F109" t="s">
        <v>454</v>
      </c>
      <c r="G109" t="e" cm="1">
        <v>#N/A</v>
      </c>
      <c r="H109" t="s">
        <v>14</v>
      </c>
      <c r="I109" t="s">
        <v>14</v>
      </c>
      <c r="J109" t="s">
        <v>18</v>
      </c>
      <c r="K109" t="s">
        <v>44</v>
      </c>
      <c r="L109" t="s">
        <v>395</v>
      </c>
      <c r="M109" t="s">
        <v>76</v>
      </c>
      <c r="N109" t="s">
        <v>83</v>
      </c>
      <c r="P109" t="s">
        <v>14</v>
      </c>
      <c r="Q109" t="s">
        <v>14</v>
      </c>
      <c r="R109" t="s">
        <v>14</v>
      </c>
      <c r="S109" t="s">
        <v>667</v>
      </c>
      <c r="T109" t="s">
        <v>14</v>
      </c>
      <c r="U109" t="s">
        <v>668</v>
      </c>
      <c r="V109" t="s">
        <v>1030</v>
      </c>
    </row>
    <row r="110" spans="1:22" x14ac:dyDescent="0.25">
      <c r="A110">
        <v>17540900</v>
      </c>
      <c r="B110" t="s">
        <v>433</v>
      </c>
      <c r="C110">
        <v>6</v>
      </c>
      <c r="G110" t="e" cm="1">
        <v>#N/A</v>
      </c>
      <c r="H110" t="s">
        <v>14</v>
      </c>
      <c r="I110" t="s">
        <v>14</v>
      </c>
      <c r="J110" t="s">
        <v>381</v>
      </c>
      <c r="K110" t="s">
        <v>48</v>
      </c>
      <c r="L110" t="s">
        <v>755</v>
      </c>
      <c r="M110" t="s">
        <v>76</v>
      </c>
      <c r="N110" t="s">
        <v>14</v>
      </c>
      <c r="P110" t="e">
        <v>#N/A</v>
      </c>
      <c r="Q110" t="e">
        <v>#N/A</v>
      </c>
      <c r="R110" t="e">
        <v>#N/A</v>
      </c>
      <c r="S110" t="e">
        <v>#N/A</v>
      </c>
      <c r="T110" t="e">
        <v>#N/A</v>
      </c>
      <c r="U110" t="e">
        <v>#N/A</v>
      </c>
      <c r="V110" t="e">
        <v>#N/A</v>
      </c>
    </row>
    <row r="111" spans="1:22" x14ac:dyDescent="0.25">
      <c r="A111">
        <v>17539068</v>
      </c>
      <c r="B111" t="s">
        <v>430</v>
      </c>
      <c r="C111">
        <v>6</v>
      </c>
      <c r="D111" t="s">
        <v>452</v>
      </c>
      <c r="E111" t="s">
        <v>1726</v>
      </c>
      <c r="F111" t="s">
        <v>451</v>
      </c>
      <c r="G111" t="e" cm="1">
        <v>#N/A</v>
      </c>
      <c r="H111" t="s">
        <v>14</v>
      </c>
      <c r="I111" t="s">
        <v>14</v>
      </c>
      <c r="J111" t="s">
        <v>38</v>
      </c>
      <c r="K111" t="s">
        <v>48</v>
      </c>
      <c r="L111" t="s">
        <v>70</v>
      </c>
      <c r="M111" t="s">
        <v>76</v>
      </c>
      <c r="N111" t="s">
        <v>14</v>
      </c>
      <c r="P111" t="e">
        <v>#N/A</v>
      </c>
      <c r="Q111" t="e">
        <v>#N/A</v>
      </c>
      <c r="R111" t="e">
        <v>#N/A</v>
      </c>
      <c r="S111" t="e">
        <v>#N/A</v>
      </c>
      <c r="T111" t="e">
        <v>#N/A</v>
      </c>
      <c r="U111" t="e">
        <v>#N/A</v>
      </c>
      <c r="V111" t="e">
        <v>#N/A</v>
      </c>
    </row>
    <row r="112" spans="1:22" x14ac:dyDescent="0.25">
      <c r="A112">
        <v>17536817</v>
      </c>
      <c r="B112" t="s">
        <v>430</v>
      </c>
      <c r="C112">
        <v>6</v>
      </c>
      <c r="D112" t="s">
        <v>452</v>
      </c>
      <c r="E112" t="s">
        <v>1726</v>
      </c>
      <c r="F112" t="s">
        <v>451</v>
      </c>
      <c r="G112" t="e" cm="1">
        <v>#N/A</v>
      </c>
      <c r="H112" t="s">
        <v>14</v>
      </c>
      <c r="I112" t="s">
        <v>14</v>
      </c>
      <c r="J112" t="s">
        <v>38</v>
      </c>
      <c r="K112" t="s">
        <v>45</v>
      </c>
      <c r="L112" t="s">
        <v>71</v>
      </c>
      <c r="M112" t="s">
        <v>76</v>
      </c>
      <c r="N112" t="s">
        <v>14</v>
      </c>
      <c r="P112" t="e">
        <v>#N/A</v>
      </c>
      <c r="Q112" t="e">
        <v>#N/A</v>
      </c>
      <c r="R112" t="e">
        <v>#N/A</v>
      </c>
      <c r="S112" t="e">
        <v>#N/A</v>
      </c>
      <c r="T112" t="e">
        <v>#N/A</v>
      </c>
      <c r="U112" t="e">
        <v>#N/A</v>
      </c>
      <c r="V112" t="e">
        <v>#N/A</v>
      </c>
    </row>
    <row r="113" spans="1:22" x14ac:dyDescent="0.25">
      <c r="A113">
        <v>17215651</v>
      </c>
      <c r="B113" t="s" cm="1">
        <v>430</v>
      </c>
      <c r="C113">
        <v>5</v>
      </c>
      <c r="D113" t="s">
        <v>452</v>
      </c>
      <c r="E113" s="6">
        <v>45274</v>
      </c>
      <c r="F113" t="s">
        <v>453</v>
      </c>
      <c r="G113" t="e" cm="1">
        <v>#N/A</v>
      </c>
      <c r="H113" t="s">
        <v>14</v>
      </c>
      <c r="I113" t="s">
        <v>14</v>
      </c>
      <c r="J113" t="s">
        <v>30</v>
      </c>
      <c r="K113" t="s">
        <v>44</v>
      </c>
      <c r="L113" t="s">
        <v>58</v>
      </c>
      <c r="M113" t="s">
        <v>76</v>
      </c>
      <c r="N113" t="s">
        <v>83</v>
      </c>
      <c r="P113" t="s">
        <v>14</v>
      </c>
      <c r="Q113" t="s">
        <v>14</v>
      </c>
      <c r="R113" t="s">
        <v>14</v>
      </c>
      <c r="S113" t="s">
        <v>884</v>
      </c>
      <c r="T113" t="s">
        <v>14</v>
      </c>
      <c r="U113" t="s">
        <v>885</v>
      </c>
      <c r="V113" t="s">
        <v>1206</v>
      </c>
    </row>
    <row r="114" spans="1:22" x14ac:dyDescent="0.25">
      <c r="A114">
        <v>17546009</v>
      </c>
      <c r="B114" t="s">
        <v>430</v>
      </c>
      <c r="C114">
        <v>5</v>
      </c>
      <c r="D114" t="s">
        <v>452</v>
      </c>
      <c r="E114" s="6" t="s">
        <v>1726</v>
      </c>
      <c r="F114" t="s">
        <v>451</v>
      </c>
      <c r="G114" t="e" cm="1">
        <v>#N/A</v>
      </c>
      <c r="H114" t="s">
        <v>14</v>
      </c>
      <c r="I114" t="s">
        <v>14</v>
      </c>
      <c r="J114" t="s">
        <v>38</v>
      </c>
      <c r="K114" t="s">
        <v>48</v>
      </c>
      <c r="L114" t="s">
        <v>70</v>
      </c>
      <c r="M114" t="s">
        <v>76</v>
      </c>
      <c r="N114" t="s">
        <v>14</v>
      </c>
      <c r="P114" t="e">
        <v>#N/A</v>
      </c>
      <c r="Q114" t="e">
        <v>#N/A</v>
      </c>
      <c r="R114" t="e">
        <v>#N/A</v>
      </c>
      <c r="S114" t="e">
        <v>#N/A</v>
      </c>
      <c r="T114" t="e">
        <v>#N/A</v>
      </c>
      <c r="U114" t="e">
        <v>#N/A</v>
      </c>
      <c r="V114" t="e">
        <v>#N/A</v>
      </c>
    </row>
    <row r="115" spans="1:22" x14ac:dyDescent="0.25">
      <c r="A115">
        <v>17544202</v>
      </c>
      <c r="B115" t="s">
        <v>430</v>
      </c>
      <c r="C115">
        <v>5</v>
      </c>
      <c r="D115" t="s">
        <v>452</v>
      </c>
      <c r="E115" s="6" t="s">
        <v>1726</v>
      </c>
      <c r="F115" t="s">
        <v>451</v>
      </c>
      <c r="G115" t="e" cm="1">
        <v>#N/A</v>
      </c>
      <c r="H115" t="s">
        <v>14</v>
      </c>
      <c r="I115" t="s">
        <v>14</v>
      </c>
      <c r="J115" t="s">
        <v>38</v>
      </c>
      <c r="K115" t="s">
        <v>48</v>
      </c>
      <c r="L115" t="s">
        <v>672</v>
      </c>
      <c r="M115" t="s">
        <v>76</v>
      </c>
      <c r="N115" t="s">
        <v>14</v>
      </c>
      <c r="P115" t="e">
        <v>#N/A</v>
      </c>
      <c r="Q115" t="e">
        <v>#N/A</v>
      </c>
      <c r="R115" t="e">
        <v>#N/A</v>
      </c>
      <c r="S115" t="e">
        <v>#N/A</v>
      </c>
      <c r="T115" t="e">
        <v>#N/A</v>
      </c>
      <c r="U115" t="e">
        <v>#N/A</v>
      </c>
      <c r="V115" t="e">
        <v>#N/A</v>
      </c>
    </row>
    <row r="116" spans="1:22" x14ac:dyDescent="0.25">
      <c r="A116">
        <v>16298732</v>
      </c>
      <c r="B116" t="s">
        <v>430</v>
      </c>
      <c r="C116">
        <v>4</v>
      </c>
      <c r="D116" t="s">
        <v>452</v>
      </c>
      <c r="E116">
        <v>45271</v>
      </c>
      <c r="F116" t="s">
        <v>454</v>
      </c>
      <c r="G116" t="e" cm="1">
        <v>#N/A</v>
      </c>
      <c r="H116" t="s">
        <v>14</v>
      </c>
      <c r="I116" t="s">
        <v>14</v>
      </c>
      <c r="J116" t="s">
        <v>37</v>
      </c>
      <c r="K116" t="s">
        <v>44</v>
      </c>
      <c r="L116" t="s">
        <v>1395</v>
      </c>
      <c r="M116" t="s">
        <v>76</v>
      </c>
      <c r="N116" t="s">
        <v>14</v>
      </c>
      <c r="P116" t="e">
        <v>#N/A</v>
      </c>
      <c r="Q116" t="e">
        <v>#N/A</v>
      </c>
      <c r="R116" t="e">
        <v>#N/A</v>
      </c>
      <c r="S116" t="e">
        <v>#N/A</v>
      </c>
      <c r="T116" t="e">
        <v>#N/A</v>
      </c>
      <c r="U116" t="e">
        <v>#N/A</v>
      </c>
      <c r="V116" t="e">
        <v>#N/A</v>
      </c>
    </row>
    <row r="117" spans="1:22" x14ac:dyDescent="0.25">
      <c r="A117">
        <v>17161037</v>
      </c>
      <c r="B117" t="s">
        <v>430</v>
      </c>
      <c r="C117">
        <v>4</v>
      </c>
      <c r="D117" t="s">
        <v>452</v>
      </c>
      <c r="E117" s="6">
        <v>45271</v>
      </c>
      <c r="F117" t="s">
        <v>1719</v>
      </c>
      <c r="G117" t="e" cm="1">
        <v>#N/A</v>
      </c>
      <c r="H117" t="s">
        <v>14</v>
      </c>
      <c r="I117" t="s">
        <v>14</v>
      </c>
      <c r="J117" t="s">
        <v>31</v>
      </c>
      <c r="K117" t="s">
        <v>44</v>
      </c>
      <c r="L117" t="s">
        <v>1396</v>
      </c>
      <c r="M117" t="s">
        <v>78</v>
      </c>
      <c r="N117" t="s">
        <v>83</v>
      </c>
      <c r="P117" t="s">
        <v>14</v>
      </c>
      <c r="Q117" t="s">
        <v>14</v>
      </c>
      <c r="R117" t="s">
        <v>14</v>
      </c>
      <c r="S117" t="s">
        <v>636</v>
      </c>
      <c r="T117" t="s">
        <v>14</v>
      </c>
      <c r="U117" t="s">
        <v>14</v>
      </c>
      <c r="V117" t="s">
        <v>1189</v>
      </c>
    </row>
    <row r="118" spans="1:22" x14ac:dyDescent="0.25">
      <c r="A118">
        <v>15755543</v>
      </c>
      <c r="B118" t="s" cm="1">
        <v>430</v>
      </c>
      <c r="C118">
        <v>4</v>
      </c>
      <c r="D118" t="s">
        <v>452</v>
      </c>
      <c r="E118">
        <v>45272</v>
      </c>
      <c r="F118" t="s">
        <v>453</v>
      </c>
      <c r="G118" t="e" cm="1">
        <v>#N/A</v>
      </c>
      <c r="H118" t="s">
        <v>14</v>
      </c>
      <c r="I118" t="s">
        <v>14</v>
      </c>
      <c r="J118" t="s">
        <v>30</v>
      </c>
      <c r="K118" t="s">
        <v>44</v>
      </c>
      <c r="L118" t="s">
        <v>1397</v>
      </c>
      <c r="M118" t="s">
        <v>78</v>
      </c>
      <c r="N118" t="s">
        <v>83</v>
      </c>
      <c r="P118" t="s">
        <v>14</v>
      </c>
      <c r="Q118" t="s">
        <v>14</v>
      </c>
      <c r="R118" t="s">
        <v>14</v>
      </c>
      <c r="S118" t="s">
        <v>499</v>
      </c>
      <c r="T118" t="s">
        <v>14</v>
      </c>
      <c r="U118" t="s">
        <v>500</v>
      </c>
      <c r="V118" t="s">
        <v>1064</v>
      </c>
    </row>
    <row r="119" spans="1:22" x14ac:dyDescent="0.25">
      <c r="A119">
        <v>15777176</v>
      </c>
      <c r="B119" t="s" cm="1">
        <v>430</v>
      </c>
      <c r="C119">
        <v>4</v>
      </c>
      <c r="D119" t="s">
        <v>452</v>
      </c>
      <c r="E119">
        <v>45272</v>
      </c>
      <c r="F119" t="s">
        <v>453</v>
      </c>
      <c r="G119" t="e" cm="1">
        <v>#N/A</v>
      </c>
      <c r="H119" t="s">
        <v>14</v>
      </c>
      <c r="I119" t="s">
        <v>14</v>
      </c>
      <c r="J119" t="s">
        <v>28</v>
      </c>
      <c r="K119" t="s">
        <v>44</v>
      </c>
      <c r="L119" t="s">
        <v>393</v>
      </c>
      <c r="M119" t="s">
        <v>78</v>
      </c>
      <c r="N119" t="s">
        <v>83</v>
      </c>
      <c r="P119" t="s">
        <v>14</v>
      </c>
      <c r="Q119" t="s">
        <v>14</v>
      </c>
      <c r="R119" t="s">
        <v>14</v>
      </c>
      <c r="S119" t="s">
        <v>799</v>
      </c>
      <c r="T119" t="s">
        <v>14</v>
      </c>
      <c r="U119" t="s">
        <v>14</v>
      </c>
      <c r="V119" t="s">
        <v>1066</v>
      </c>
    </row>
    <row r="120" spans="1:22" x14ac:dyDescent="0.25">
      <c r="A120">
        <v>16997202</v>
      </c>
      <c r="B120" t="s">
        <v>433</v>
      </c>
      <c r="C120">
        <v>3</v>
      </c>
      <c r="G120" t="e" cm="1">
        <v>#N/A</v>
      </c>
      <c r="H120" t="s">
        <v>14</v>
      </c>
      <c r="I120" t="s">
        <v>14</v>
      </c>
      <c r="J120" t="s">
        <v>455</v>
      </c>
      <c r="K120" t="s">
        <v>44</v>
      </c>
      <c r="L120" t="s">
        <v>1398</v>
      </c>
      <c r="M120" t="s">
        <v>76</v>
      </c>
      <c r="N120" t="s">
        <v>83</v>
      </c>
      <c r="P120" t="e">
        <v>#N/A</v>
      </c>
      <c r="Q120" t="e">
        <v>#N/A</v>
      </c>
      <c r="R120" t="e">
        <v>#N/A</v>
      </c>
      <c r="S120" t="e">
        <v>#N/A</v>
      </c>
      <c r="T120" t="e">
        <v>#N/A</v>
      </c>
      <c r="U120" t="e">
        <v>#N/A</v>
      </c>
      <c r="V120" t="e">
        <v>#N/A</v>
      </c>
    </row>
    <row r="121" spans="1:22" x14ac:dyDescent="0.25">
      <c r="A121">
        <v>17413329</v>
      </c>
      <c r="B121" t="s" cm="1">
        <v>430</v>
      </c>
      <c r="C121">
        <v>3</v>
      </c>
      <c r="D121" t="s">
        <v>452</v>
      </c>
      <c r="E121" s="6">
        <v>45272</v>
      </c>
      <c r="F121" t="s">
        <v>453</v>
      </c>
      <c r="G121" t="e" cm="1">
        <v>#N/A</v>
      </c>
      <c r="H121" t="s">
        <v>14</v>
      </c>
      <c r="I121" t="s">
        <v>14</v>
      </c>
      <c r="J121" t="s">
        <v>30</v>
      </c>
      <c r="K121" t="s">
        <v>44</v>
      </c>
      <c r="L121" t="s">
        <v>1399</v>
      </c>
      <c r="M121" t="s">
        <v>76</v>
      </c>
      <c r="N121" t="s">
        <v>83</v>
      </c>
      <c r="P121" t="s">
        <v>14</v>
      </c>
      <c r="Q121" t="s">
        <v>14</v>
      </c>
      <c r="R121" t="s">
        <v>14</v>
      </c>
      <c r="S121" t="s">
        <v>14</v>
      </c>
      <c r="T121" t="s">
        <v>14</v>
      </c>
      <c r="U121" t="s">
        <v>585</v>
      </c>
      <c r="V121">
        <v>0</v>
      </c>
    </row>
    <row r="122" spans="1:22" x14ac:dyDescent="0.25">
      <c r="A122">
        <v>17438680</v>
      </c>
      <c r="B122" t="s" cm="1">
        <v>430</v>
      </c>
      <c r="C122">
        <v>3</v>
      </c>
      <c r="D122" t="s">
        <v>452</v>
      </c>
      <c r="E122" s="6">
        <v>45274</v>
      </c>
      <c r="F122" t="s">
        <v>453</v>
      </c>
      <c r="G122" t="e" cm="1">
        <v>#N/A</v>
      </c>
      <c r="H122" t="s">
        <v>14</v>
      </c>
      <c r="I122" t="s">
        <v>14</v>
      </c>
      <c r="J122" t="s">
        <v>26</v>
      </c>
      <c r="K122" t="s">
        <v>44</v>
      </c>
      <c r="L122" t="s">
        <v>1400</v>
      </c>
      <c r="M122" t="s">
        <v>76</v>
      </c>
      <c r="N122" t="s">
        <v>83</v>
      </c>
      <c r="P122" t="s">
        <v>14</v>
      </c>
      <c r="Q122" t="s">
        <v>14</v>
      </c>
      <c r="R122" t="s">
        <v>14</v>
      </c>
      <c r="S122" t="s">
        <v>565</v>
      </c>
      <c r="T122" t="s">
        <v>14</v>
      </c>
      <c r="U122" t="s">
        <v>14</v>
      </c>
      <c r="V122">
        <v>0</v>
      </c>
    </row>
    <row r="123" spans="1:22" x14ac:dyDescent="0.25">
      <c r="A123">
        <v>16811096</v>
      </c>
      <c r="B123" t="s">
        <v>430</v>
      </c>
      <c r="C123">
        <v>3</v>
      </c>
      <c r="D123" t="s">
        <v>452</v>
      </c>
      <c r="E123">
        <v>45272</v>
      </c>
      <c r="F123" t="s">
        <v>1719</v>
      </c>
      <c r="G123" t="e" cm="1">
        <v>#N/A</v>
      </c>
      <c r="H123" t="s">
        <v>14</v>
      </c>
      <c r="I123" t="s">
        <v>14</v>
      </c>
      <c r="J123" t="s">
        <v>32</v>
      </c>
      <c r="K123" t="s">
        <v>44</v>
      </c>
      <c r="L123" t="s">
        <v>1401</v>
      </c>
      <c r="M123" t="s">
        <v>76</v>
      </c>
      <c r="N123" t="s">
        <v>83</v>
      </c>
      <c r="P123" t="s">
        <v>14</v>
      </c>
      <c r="Q123" t="s">
        <v>14</v>
      </c>
      <c r="R123" t="s">
        <v>14</v>
      </c>
      <c r="S123" t="s">
        <v>607</v>
      </c>
      <c r="T123" t="s">
        <v>14</v>
      </c>
      <c r="U123" t="s">
        <v>14</v>
      </c>
      <c r="V123" t="s">
        <v>1115</v>
      </c>
    </row>
    <row r="124" spans="1:22" x14ac:dyDescent="0.25">
      <c r="A124">
        <v>16714040</v>
      </c>
      <c r="B124" t="s">
        <v>430</v>
      </c>
      <c r="C124">
        <v>3</v>
      </c>
      <c r="D124" t="s">
        <v>452</v>
      </c>
      <c r="E124" t="s">
        <v>1720</v>
      </c>
      <c r="F124" t="s">
        <v>1610</v>
      </c>
      <c r="G124" t="e" cm="1">
        <v>#N/A</v>
      </c>
      <c r="H124" t="s">
        <v>14</v>
      </c>
      <c r="I124" t="s">
        <v>14</v>
      </c>
      <c r="J124" t="s">
        <v>21</v>
      </c>
      <c r="K124" t="s">
        <v>44</v>
      </c>
      <c r="L124" t="s">
        <v>1402</v>
      </c>
      <c r="M124" t="s">
        <v>76</v>
      </c>
      <c r="N124" t="s">
        <v>83</v>
      </c>
      <c r="P124" t="e">
        <v>#N/A</v>
      </c>
      <c r="Q124" t="e">
        <v>#N/A</v>
      </c>
      <c r="R124" t="e">
        <v>#N/A</v>
      </c>
      <c r="S124" t="e">
        <v>#N/A</v>
      </c>
      <c r="T124" t="e">
        <v>#N/A</v>
      </c>
      <c r="U124" t="e">
        <v>#N/A</v>
      </c>
      <c r="V124" t="e">
        <v>#N/A</v>
      </c>
    </row>
    <row r="125" spans="1:22" x14ac:dyDescent="0.25">
      <c r="A125">
        <v>17157951</v>
      </c>
      <c r="B125" t="s">
        <v>430</v>
      </c>
      <c r="C125">
        <v>3</v>
      </c>
      <c r="D125" t="s">
        <v>452</v>
      </c>
      <c r="E125" t="s">
        <v>1720</v>
      </c>
      <c r="F125" t="s">
        <v>1610</v>
      </c>
      <c r="G125" t="e" cm="1">
        <v>#N/A</v>
      </c>
      <c r="H125" t="s">
        <v>14</v>
      </c>
      <c r="I125" t="s">
        <v>14</v>
      </c>
      <c r="J125" t="s">
        <v>21</v>
      </c>
      <c r="K125" t="s">
        <v>44</v>
      </c>
      <c r="L125" t="s">
        <v>1403</v>
      </c>
      <c r="M125" t="s">
        <v>76</v>
      </c>
      <c r="N125" t="s">
        <v>83</v>
      </c>
      <c r="P125" t="e">
        <v>#N/A</v>
      </c>
      <c r="Q125" t="e">
        <v>#N/A</v>
      </c>
      <c r="R125" t="e">
        <v>#N/A</v>
      </c>
      <c r="S125" t="e">
        <v>#N/A</v>
      </c>
      <c r="T125" t="e">
        <v>#N/A</v>
      </c>
      <c r="U125" t="e">
        <v>#N/A</v>
      </c>
      <c r="V125" t="e">
        <v>#N/A</v>
      </c>
    </row>
    <row r="126" spans="1:22" x14ac:dyDescent="0.25">
      <c r="A126">
        <v>17014874</v>
      </c>
      <c r="B126" t="s">
        <v>430</v>
      </c>
      <c r="C126">
        <v>2</v>
      </c>
      <c r="D126" t="s">
        <v>452</v>
      </c>
      <c r="E126" s="6" t="s">
        <v>1726</v>
      </c>
      <c r="F126" t="s">
        <v>451</v>
      </c>
      <c r="G126" t="e" cm="1">
        <v>#N/A</v>
      </c>
      <c r="H126" t="s">
        <v>14</v>
      </c>
      <c r="I126" t="s">
        <v>14</v>
      </c>
      <c r="J126" t="s">
        <v>38</v>
      </c>
      <c r="K126" t="s">
        <v>49</v>
      </c>
      <c r="L126" t="s">
        <v>1404</v>
      </c>
      <c r="M126" t="s">
        <v>76</v>
      </c>
      <c r="N126" t="s">
        <v>14</v>
      </c>
      <c r="P126" t="e">
        <v>#N/A</v>
      </c>
      <c r="Q126" t="e">
        <v>#N/A</v>
      </c>
      <c r="R126" t="e">
        <v>#N/A</v>
      </c>
      <c r="S126" t="e">
        <v>#N/A</v>
      </c>
      <c r="T126" t="e">
        <v>#N/A</v>
      </c>
      <c r="U126" t="e">
        <v>#N/A</v>
      </c>
      <c r="V126" t="e">
        <v>#N/A</v>
      </c>
    </row>
    <row r="127" spans="1:22" x14ac:dyDescent="0.25">
      <c r="A127">
        <v>15337084</v>
      </c>
      <c r="B127" t="s" cm="1">
        <v>430</v>
      </c>
      <c r="C127">
        <v>1</v>
      </c>
      <c r="D127" t="s">
        <v>452</v>
      </c>
      <c r="E127">
        <v>45273</v>
      </c>
      <c r="F127" t="s">
        <v>454</v>
      </c>
      <c r="G127" t="e">
        <v>#N/A</v>
      </c>
      <c r="H127" t="s">
        <v>14</v>
      </c>
      <c r="I127" t="s">
        <v>14</v>
      </c>
      <c r="J127" t="s">
        <v>18</v>
      </c>
      <c r="K127" t="s">
        <v>44</v>
      </c>
      <c r="L127" t="s">
        <v>55</v>
      </c>
      <c r="M127" t="s">
        <v>76</v>
      </c>
      <c r="N127" t="s">
        <v>83</v>
      </c>
      <c r="P127" t="s">
        <v>720</v>
      </c>
      <c r="Q127" t="s">
        <v>14</v>
      </c>
      <c r="R127" t="s">
        <v>14</v>
      </c>
      <c r="S127" t="s">
        <v>721</v>
      </c>
      <c r="T127" t="s">
        <v>14</v>
      </c>
      <c r="U127" t="s">
        <v>14</v>
      </c>
      <c r="V127" t="s">
        <v>1053</v>
      </c>
    </row>
    <row r="134" spans="5:5" x14ac:dyDescent="0.25">
      <c r="E134" s="6"/>
    </row>
    <row r="140" spans="5:5" x14ac:dyDescent="0.25">
      <c r="E140" s="6"/>
    </row>
    <row r="142" spans="5:5" x14ac:dyDescent="0.25">
      <c r="E142" s="6"/>
    </row>
    <row r="149" spans="5:5" x14ac:dyDescent="0.25">
      <c r="E149" s="6"/>
    </row>
    <row r="153" spans="5:5" x14ac:dyDescent="0.25">
      <c r="E153" s="6"/>
    </row>
    <row r="158" spans="5:5" x14ac:dyDescent="0.25">
      <c r="E158" s="6"/>
    </row>
    <row r="159" spans="5:5" x14ac:dyDescent="0.25">
      <c r="E159" s="6"/>
    </row>
    <row r="163" spans="5:5" x14ac:dyDescent="0.25">
      <c r="E163" s="6"/>
    </row>
    <row r="165" spans="5:5" x14ac:dyDescent="0.25">
      <c r="E165" s="6"/>
    </row>
    <row r="167" spans="5:5" x14ac:dyDescent="0.25">
      <c r="E167" s="6"/>
    </row>
    <row r="169" spans="5:5" x14ac:dyDescent="0.25">
      <c r="E169" s="6"/>
    </row>
    <row r="170" spans="5:5" x14ac:dyDescent="0.25">
      <c r="E170" s="6"/>
    </row>
    <row r="171" spans="5:5" x14ac:dyDescent="0.25">
      <c r="E171" s="6"/>
    </row>
    <row r="172" spans="5:5" x14ac:dyDescent="0.25">
      <c r="E172" s="6"/>
    </row>
    <row r="173" spans="5:5" x14ac:dyDescent="0.25">
      <c r="E173" s="6"/>
    </row>
    <row r="174" spans="5:5" x14ac:dyDescent="0.25">
      <c r="E174" s="6"/>
    </row>
    <row r="175" spans="5:5" x14ac:dyDescent="0.25">
      <c r="E175" s="6"/>
    </row>
    <row r="176" spans="5:5" x14ac:dyDescent="0.25">
      <c r="E176" s="6"/>
    </row>
    <row r="178" spans="5:5" x14ac:dyDescent="0.25">
      <c r="E178" s="6"/>
    </row>
    <row r="181" spans="5:5" x14ac:dyDescent="0.25">
      <c r="E181" s="6"/>
    </row>
    <row r="189" spans="5:5" x14ac:dyDescent="0.25">
      <c r="E189" s="6"/>
    </row>
    <row r="192" spans="5:5" x14ac:dyDescent="0.25">
      <c r="E192" s="6"/>
    </row>
    <row r="193" spans="5:5" x14ac:dyDescent="0.25">
      <c r="E193" s="6"/>
    </row>
    <row r="194" spans="5:5" x14ac:dyDescent="0.25">
      <c r="E194" s="6"/>
    </row>
    <row r="195" spans="5:5" x14ac:dyDescent="0.25">
      <c r="E195" s="6"/>
    </row>
    <row r="196" spans="5:5" x14ac:dyDescent="0.25">
      <c r="E196" s="6"/>
    </row>
    <row r="197" spans="5:5" x14ac:dyDescent="0.25">
      <c r="E197" s="6"/>
    </row>
    <row r="200" spans="5:5" x14ac:dyDescent="0.25">
      <c r="E200" s="6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94EEAA-354B-476A-A473-CC085131BCC3}">
  <sheetPr codeName="Sheet5"/>
  <dimension ref="A1:AA427"/>
  <sheetViews>
    <sheetView workbookViewId="0">
      <selection activeCell="H22" sqref="H22"/>
    </sheetView>
  </sheetViews>
  <sheetFormatPr defaultRowHeight="15" x14ac:dyDescent="0.25"/>
  <cols>
    <col min="1" max="1" width="14.5703125" customWidth="1"/>
    <col min="2" max="2" width="11" customWidth="1"/>
    <col min="6" max="6" width="12.7109375" customWidth="1"/>
    <col min="7" max="7" width="16.5703125" customWidth="1"/>
    <col min="8" max="8" width="15.85546875" customWidth="1"/>
    <col min="9" max="9" width="17" customWidth="1"/>
    <col min="10" max="10" width="16.28515625" customWidth="1"/>
    <col min="11" max="11" width="17.85546875" customWidth="1"/>
    <col min="12" max="12" width="18.140625" customWidth="1"/>
    <col min="13" max="13" width="18.5703125" customWidth="1"/>
    <col min="14" max="14" width="20.5703125" customWidth="1"/>
    <col min="15" max="15" width="15.85546875" customWidth="1"/>
  </cols>
  <sheetData>
    <row r="1" spans="1:27" x14ac:dyDescent="0.2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13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3" t="s">
        <v>92</v>
      </c>
      <c r="P1" s="5" t="s">
        <v>462</v>
      </c>
      <c r="Q1" s="5" t="s">
        <v>463</v>
      </c>
      <c r="R1" s="5" t="s">
        <v>464</v>
      </c>
      <c r="S1" s="5" t="s">
        <v>465</v>
      </c>
      <c r="T1" s="5" t="s">
        <v>466</v>
      </c>
      <c r="U1" s="5" t="s">
        <v>467</v>
      </c>
      <c r="V1" s="5" t="s">
        <v>1014</v>
      </c>
      <c r="AA1" cm="1">
        <f t="array" aca="1" ref="AA1" ca="1">SUMPRODUCT(SUBTOTAL(3,OFFSET(D2,ROW(D2:D10000)-ROW(D2),0)),(D2:D10000="Done")+0)</f>
        <v>49</v>
      </c>
    </row>
    <row r="2" spans="1:27" x14ac:dyDescent="0.25">
      <c r="A2">
        <v>15584073</v>
      </c>
      <c r="B2" t="s">
        <v>430</v>
      </c>
      <c r="C2">
        <v>464</v>
      </c>
      <c r="G2" t="s" cm="1">
        <v>442</v>
      </c>
      <c r="H2">
        <v>44908</v>
      </c>
      <c r="I2" t="s">
        <v>378</v>
      </c>
      <c r="J2" t="s">
        <v>24</v>
      </c>
      <c r="K2" t="s">
        <v>50</v>
      </c>
      <c r="L2" t="s">
        <v>392</v>
      </c>
      <c r="M2" t="s">
        <v>76</v>
      </c>
      <c r="N2" t="s">
        <v>1540</v>
      </c>
      <c r="O2" t="s">
        <v>431</v>
      </c>
      <c r="P2" t="e">
        <v>#N/A</v>
      </c>
      <c r="Q2" t="e">
        <v>#N/A</v>
      </c>
      <c r="R2" t="e">
        <v>#N/A</v>
      </c>
      <c r="S2" t="e">
        <v>#N/A</v>
      </c>
      <c r="T2" t="e">
        <v>#N/A</v>
      </c>
      <c r="U2" t="e">
        <v>#N/A</v>
      </c>
      <c r="V2" t="e">
        <v>#N/A</v>
      </c>
    </row>
    <row r="3" spans="1:27" x14ac:dyDescent="0.25">
      <c r="A3">
        <v>16062023</v>
      </c>
      <c r="B3" t="s">
        <v>430</v>
      </c>
      <c r="C3">
        <v>349</v>
      </c>
      <c r="G3" t="s" cm="1">
        <v>442</v>
      </c>
      <c r="H3">
        <v>44985</v>
      </c>
      <c r="I3" t="s">
        <v>15</v>
      </c>
      <c r="J3" t="s">
        <v>27</v>
      </c>
      <c r="K3" t="s">
        <v>44</v>
      </c>
      <c r="L3" t="s">
        <v>437</v>
      </c>
      <c r="M3" t="s">
        <v>76</v>
      </c>
      <c r="N3" t="s">
        <v>1541</v>
      </c>
      <c r="O3" t="s">
        <v>431</v>
      </c>
      <c r="P3" t="e">
        <v>#N/A</v>
      </c>
      <c r="Q3" t="e">
        <v>#N/A</v>
      </c>
      <c r="R3" t="e">
        <v>#N/A</v>
      </c>
      <c r="S3" t="e">
        <v>#N/A</v>
      </c>
      <c r="T3" t="e">
        <v>#N/A</v>
      </c>
      <c r="U3" t="e">
        <v>#N/A</v>
      </c>
      <c r="V3" t="e">
        <v>#N/A</v>
      </c>
    </row>
    <row r="4" spans="1:27" x14ac:dyDescent="0.25">
      <c r="A4">
        <v>16087444</v>
      </c>
      <c r="B4" t="s">
        <v>433</v>
      </c>
      <c r="C4">
        <v>340</v>
      </c>
      <c r="G4" t="s" cm="1">
        <v>1611</v>
      </c>
      <c r="H4">
        <v>44937</v>
      </c>
      <c r="I4" t="s">
        <v>378</v>
      </c>
      <c r="J4" t="s">
        <v>18</v>
      </c>
      <c r="K4" t="s">
        <v>44</v>
      </c>
      <c r="L4" t="s">
        <v>1416</v>
      </c>
      <c r="M4" t="s">
        <v>76</v>
      </c>
      <c r="N4" t="s">
        <v>1542</v>
      </c>
      <c r="O4" t="s">
        <v>431</v>
      </c>
      <c r="P4" t="e">
        <v>#N/A</v>
      </c>
      <c r="Q4" t="e">
        <v>#N/A</v>
      </c>
      <c r="R4" t="e">
        <v>#N/A</v>
      </c>
      <c r="S4" t="e">
        <v>#N/A</v>
      </c>
      <c r="T4" t="e">
        <v>#N/A</v>
      </c>
      <c r="U4" t="e">
        <v>#N/A</v>
      </c>
      <c r="V4" t="e">
        <v>#N/A</v>
      </c>
    </row>
    <row r="5" spans="1:27" x14ac:dyDescent="0.25">
      <c r="A5">
        <v>16101075</v>
      </c>
      <c r="B5" t="s">
        <v>430</v>
      </c>
      <c r="C5">
        <v>336</v>
      </c>
      <c r="G5" t="s" cm="1">
        <v>442</v>
      </c>
      <c r="H5">
        <v>45027</v>
      </c>
      <c r="I5" t="s">
        <v>17</v>
      </c>
      <c r="J5" t="s">
        <v>34</v>
      </c>
      <c r="K5" t="s">
        <v>53</v>
      </c>
      <c r="L5" t="s">
        <v>72</v>
      </c>
      <c r="M5" t="s">
        <v>76</v>
      </c>
      <c r="N5" t="s">
        <v>1543</v>
      </c>
      <c r="P5" t="e">
        <v>#N/A</v>
      </c>
      <c r="Q5" t="e">
        <v>#N/A</v>
      </c>
      <c r="R5" t="e">
        <v>#N/A</v>
      </c>
      <c r="S5" t="e">
        <v>#N/A</v>
      </c>
      <c r="T5" t="e">
        <v>#N/A</v>
      </c>
      <c r="U5" t="e">
        <v>#N/A</v>
      </c>
      <c r="V5" t="e">
        <v>#N/A</v>
      </c>
    </row>
    <row r="6" spans="1:27" x14ac:dyDescent="0.25">
      <c r="A6">
        <v>16105234</v>
      </c>
      <c r="B6" t="s">
        <v>433</v>
      </c>
      <c r="C6">
        <v>335</v>
      </c>
      <c r="G6" t="s" cm="1">
        <v>1611</v>
      </c>
      <c r="H6">
        <v>44973</v>
      </c>
      <c r="I6" t="s">
        <v>15</v>
      </c>
      <c r="J6" t="s">
        <v>22</v>
      </c>
      <c r="K6" t="s">
        <v>46</v>
      </c>
      <c r="L6" t="s">
        <v>1417</v>
      </c>
      <c r="M6" t="s">
        <v>76</v>
      </c>
      <c r="N6" t="s">
        <v>1544</v>
      </c>
      <c r="O6" t="s">
        <v>431</v>
      </c>
      <c r="P6" t="e">
        <v>#N/A</v>
      </c>
      <c r="Q6" t="e">
        <v>#N/A</v>
      </c>
      <c r="R6" t="e">
        <v>#N/A</v>
      </c>
      <c r="S6" t="e">
        <v>#N/A</v>
      </c>
      <c r="T6" t="e">
        <v>#N/A</v>
      </c>
      <c r="U6" t="e">
        <v>#N/A</v>
      </c>
      <c r="V6" t="e">
        <v>#N/A</v>
      </c>
    </row>
    <row r="7" spans="1:27" x14ac:dyDescent="0.25">
      <c r="A7">
        <v>13265144</v>
      </c>
      <c r="B7" t="s">
        <v>433</v>
      </c>
      <c r="C7">
        <v>325</v>
      </c>
      <c r="G7" t="s" cm="1">
        <v>1611</v>
      </c>
      <c r="H7">
        <v>44946</v>
      </c>
      <c r="I7" t="s">
        <v>15</v>
      </c>
      <c r="J7" t="s">
        <v>18</v>
      </c>
      <c r="K7" t="s">
        <v>44</v>
      </c>
      <c r="L7" t="s">
        <v>63</v>
      </c>
      <c r="M7" t="s">
        <v>76</v>
      </c>
      <c r="N7" t="s">
        <v>1545</v>
      </c>
      <c r="O7" t="s">
        <v>431</v>
      </c>
      <c r="P7" t="e">
        <v>#N/A</v>
      </c>
      <c r="Q7" t="e">
        <v>#N/A</v>
      </c>
      <c r="R7" t="e">
        <v>#N/A</v>
      </c>
      <c r="S7" t="e">
        <v>#N/A</v>
      </c>
      <c r="T7" t="e">
        <v>#N/A</v>
      </c>
      <c r="U7" t="e">
        <v>#N/A</v>
      </c>
      <c r="V7" t="e">
        <v>#N/A</v>
      </c>
    </row>
    <row r="8" spans="1:27" x14ac:dyDescent="0.25">
      <c r="A8">
        <v>16200141</v>
      </c>
      <c r="B8" t="s">
        <v>430</v>
      </c>
      <c r="C8">
        <v>313</v>
      </c>
      <c r="G8" t="s" cm="1">
        <v>442</v>
      </c>
      <c r="H8">
        <v>45084</v>
      </c>
      <c r="I8" t="s">
        <v>378</v>
      </c>
      <c r="J8" t="s">
        <v>24</v>
      </c>
      <c r="K8" t="s">
        <v>53</v>
      </c>
      <c r="L8" t="s">
        <v>391</v>
      </c>
      <c r="M8" t="s">
        <v>76</v>
      </c>
      <c r="N8" t="s">
        <v>1546</v>
      </c>
      <c r="O8" t="s">
        <v>431</v>
      </c>
      <c r="P8" t="e">
        <v>#N/A</v>
      </c>
      <c r="Q8" t="e">
        <v>#N/A</v>
      </c>
      <c r="R8" t="e">
        <v>#N/A</v>
      </c>
      <c r="S8" t="e">
        <v>#N/A</v>
      </c>
      <c r="T8" t="e">
        <v>#N/A</v>
      </c>
      <c r="U8" t="e">
        <v>#N/A</v>
      </c>
      <c r="V8" t="e">
        <v>#N/A</v>
      </c>
    </row>
    <row r="9" spans="1:27" x14ac:dyDescent="0.25">
      <c r="A9">
        <v>15381973</v>
      </c>
      <c r="B9" t="s">
        <v>430</v>
      </c>
      <c r="C9">
        <v>290</v>
      </c>
      <c r="G9" t="e" cm="1">
        <v>#N/A</v>
      </c>
      <c r="H9">
        <v>44981</v>
      </c>
      <c r="I9" t="s">
        <v>15</v>
      </c>
      <c r="J9" t="s">
        <v>30</v>
      </c>
      <c r="K9" t="s">
        <v>53</v>
      </c>
      <c r="L9" t="s">
        <v>1418</v>
      </c>
      <c r="M9" t="s">
        <v>76</v>
      </c>
      <c r="N9" t="s">
        <v>83</v>
      </c>
      <c r="O9" t="s">
        <v>431</v>
      </c>
      <c r="P9" t="s">
        <v>14</v>
      </c>
      <c r="Q9" t="s">
        <v>14</v>
      </c>
      <c r="R9" t="s">
        <v>14</v>
      </c>
      <c r="S9" t="s">
        <v>657</v>
      </c>
      <c r="T9" t="s">
        <v>14</v>
      </c>
      <c r="U9" t="s">
        <v>658</v>
      </c>
      <c r="V9" t="s">
        <v>1054</v>
      </c>
    </row>
    <row r="10" spans="1:27" x14ac:dyDescent="0.25">
      <c r="A10">
        <v>16327845</v>
      </c>
      <c r="B10" t="s">
        <v>433</v>
      </c>
      <c r="C10">
        <v>284</v>
      </c>
      <c r="G10" t="s" cm="1">
        <v>1611</v>
      </c>
      <c r="H10">
        <v>45033</v>
      </c>
      <c r="I10" t="s">
        <v>378</v>
      </c>
      <c r="J10" t="s">
        <v>18</v>
      </c>
      <c r="K10" t="s">
        <v>47</v>
      </c>
      <c r="L10" t="s">
        <v>63</v>
      </c>
      <c r="M10" t="s">
        <v>76</v>
      </c>
      <c r="N10" t="s">
        <v>1547</v>
      </c>
      <c r="O10" t="s">
        <v>431</v>
      </c>
      <c r="P10" t="e">
        <v>#N/A</v>
      </c>
      <c r="Q10" t="e">
        <v>#N/A</v>
      </c>
      <c r="R10" t="e">
        <v>#N/A</v>
      </c>
      <c r="S10" t="e">
        <v>#N/A</v>
      </c>
      <c r="T10" t="e">
        <v>#N/A</v>
      </c>
      <c r="U10" t="e">
        <v>#N/A</v>
      </c>
      <c r="V10" t="e">
        <v>#N/A</v>
      </c>
    </row>
    <row r="11" spans="1:27" x14ac:dyDescent="0.25">
      <c r="A11">
        <v>16409782</v>
      </c>
      <c r="B11" t="s">
        <v>433</v>
      </c>
      <c r="C11">
        <v>264</v>
      </c>
      <c r="G11" t="s" cm="1">
        <v>1611</v>
      </c>
      <c r="H11">
        <v>45012</v>
      </c>
      <c r="I11" t="s">
        <v>378</v>
      </c>
      <c r="J11" t="s">
        <v>18</v>
      </c>
      <c r="K11" t="s">
        <v>44</v>
      </c>
      <c r="L11" t="s">
        <v>63</v>
      </c>
      <c r="M11" t="s">
        <v>573</v>
      </c>
      <c r="N11" t="s">
        <v>1548</v>
      </c>
      <c r="O11" t="s">
        <v>431</v>
      </c>
      <c r="P11" t="e">
        <v>#N/A</v>
      </c>
      <c r="Q11" t="e">
        <v>#N/A</v>
      </c>
      <c r="R11" t="e">
        <v>#N/A</v>
      </c>
      <c r="S11" t="e">
        <v>#N/A</v>
      </c>
      <c r="T11" t="e">
        <v>#N/A</v>
      </c>
      <c r="U11" t="e">
        <v>#N/A</v>
      </c>
      <c r="V11" t="e">
        <v>#N/A</v>
      </c>
    </row>
    <row r="12" spans="1:27" x14ac:dyDescent="0.25">
      <c r="A12">
        <v>16494621</v>
      </c>
      <c r="B12" t="s">
        <v>430</v>
      </c>
      <c r="C12">
        <v>243</v>
      </c>
      <c r="G12" t="s" cm="1">
        <v>442</v>
      </c>
      <c r="H12" t="s">
        <v>14</v>
      </c>
      <c r="I12" t="s">
        <v>14</v>
      </c>
      <c r="J12" t="s">
        <v>39</v>
      </c>
      <c r="K12" t="s">
        <v>49</v>
      </c>
      <c r="L12" t="s">
        <v>68</v>
      </c>
      <c r="M12" t="s">
        <v>76</v>
      </c>
      <c r="N12" t="s">
        <v>83</v>
      </c>
      <c r="P12" t="s">
        <v>14</v>
      </c>
      <c r="Q12" t="s">
        <v>14</v>
      </c>
      <c r="R12" t="s">
        <v>14</v>
      </c>
      <c r="S12" t="s">
        <v>540</v>
      </c>
      <c r="T12" t="s">
        <v>14</v>
      </c>
      <c r="U12" t="s">
        <v>14</v>
      </c>
      <c r="V12" t="s">
        <v>1087</v>
      </c>
    </row>
    <row r="13" spans="1:27" x14ac:dyDescent="0.25">
      <c r="A13">
        <v>16495157</v>
      </c>
      <c r="B13" t="s">
        <v>430</v>
      </c>
      <c r="C13">
        <v>243</v>
      </c>
      <c r="D13" t="s">
        <v>452</v>
      </c>
      <c r="E13">
        <v>45274</v>
      </c>
      <c r="F13" t="s">
        <v>453</v>
      </c>
      <c r="G13" t="e" cm="1">
        <v>#N/A</v>
      </c>
      <c r="H13" t="s">
        <v>14</v>
      </c>
      <c r="I13" t="s">
        <v>14</v>
      </c>
      <c r="J13" t="s">
        <v>30</v>
      </c>
      <c r="K13" t="s">
        <v>53</v>
      </c>
      <c r="L13" t="s">
        <v>58</v>
      </c>
      <c r="M13" t="s">
        <v>76</v>
      </c>
      <c r="N13" t="s">
        <v>83</v>
      </c>
      <c r="P13" t="s">
        <v>14</v>
      </c>
      <c r="Q13" t="s">
        <v>14</v>
      </c>
      <c r="R13" t="s">
        <v>14</v>
      </c>
      <c r="S13" t="s">
        <v>491</v>
      </c>
      <c r="T13" t="s">
        <v>14</v>
      </c>
      <c r="U13" t="s">
        <v>14</v>
      </c>
      <c r="V13" t="s">
        <v>1727</v>
      </c>
    </row>
    <row r="14" spans="1:27" x14ac:dyDescent="0.25">
      <c r="A14">
        <v>15217898</v>
      </c>
      <c r="B14" t="s">
        <v>430</v>
      </c>
      <c r="C14">
        <v>236</v>
      </c>
      <c r="G14" t="s" cm="1">
        <v>442</v>
      </c>
      <c r="H14">
        <v>45139</v>
      </c>
      <c r="I14" t="s">
        <v>15</v>
      </c>
      <c r="J14" t="s">
        <v>29</v>
      </c>
      <c r="K14" t="s">
        <v>43</v>
      </c>
      <c r="L14" t="s">
        <v>1419</v>
      </c>
      <c r="M14" t="s">
        <v>76</v>
      </c>
      <c r="N14" t="s">
        <v>83</v>
      </c>
      <c r="O14" t="s">
        <v>431</v>
      </c>
      <c r="P14" t="s">
        <v>14</v>
      </c>
      <c r="Q14" t="s">
        <v>14</v>
      </c>
      <c r="R14" t="s">
        <v>14</v>
      </c>
      <c r="S14" t="s">
        <v>790</v>
      </c>
      <c r="T14" t="s">
        <v>14</v>
      </c>
      <c r="U14" t="s">
        <v>14</v>
      </c>
      <c r="V14" t="s">
        <v>1050</v>
      </c>
    </row>
    <row r="15" spans="1:27" x14ac:dyDescent="0.25">
      <c r="A15">
        <v>16534866</v>
      </c>
      <c r="B15" t="s">
        <v>430</v>
      </c>
      <c r="C15">
        <v>235</v>
      </c>
      <c r="D15" t="s">
        <v>452</v>
      </c>
      <c r="E15">
        <v>45275</v>
      </c>
      <c r="F15" t="s">
        <v>453</v>
      </c>
      <c r="G15" t="e" cm="1">
        <v>#N/A</v>
      </c>
      <c r="H15" t="s">
        <v>14</v>
      </c>
      <c r="I15" t="s">
        <v>14</v>
      </c>
      <c r="J15" t="s">
        <v>30</v>
      </c>
      <c r="K15" t="s">
        <v>53</v>
      </c>
      <c r="L15" t="s">
        <v>58</v>
      </c>
      <c r="M15" t="s">
        <v>76</v>
      </c>
      <c r="N15" t="s">
        <v>83</v>
      </c>
      <c r="P15" t="s">
        <v>14</v>
      </c>
      <c r="Q15" t="s">
        <v>14</v>
      </c>
      <c r="R15" t="s">
        <v>14</v>
      </c>
      <c r="S15" t="s">
        <v>538</v>
      </c>
      <c r="T15" t="s">
        <v>14</v>
      </c>
      <c r="U15" t="s">
        <v>539</v>
      </c>
      <c r="V15" t="s">
        <v>1090</v>
      </c>
    </row>
    <row r="16" spans="1:27" x14ac:dyDescent="0.25">
      <c r="A16">
        <v>16573153</v>
      </c>
      <c r="B16" t="s">
        <v>433</v>
      </c>
      <c r="C16">
        <v>224</v>
      </c>
      <c r="G16" t="s" cm="1">
        <v>1611</v>
      </c>
      <c r="H16">
        <v>45146</v>
      </c>
      <c r="I16" t="s">
        <v>15</v>
      </c>
      <c r="J16" t="s">
        <v>22</v>
      </c>
      <c r="K16" t="s">
        <v>387</v>
      </c>
      <c r="L16" t="s">
        <v>58</v>
      </c>
      <c r="M16" t="s">
        <v>76</v>
      </c>
      <c r="N16" t="s">
        <v>1549</v>
      </c>
      <c r="O16" t="s">
        <v>431</v>
      </c>
      <c r="P16" t="e">
        <v>#N/A</v>
      </c>
      <c r="Q16" t="e">
        <v>#N/A</v>
      </c>
      <c r="R16" t="e">
        <v>#N/A</v>
      </c>
      <c r="S16" t="e">
        <v>#N/A</v>
      </c>
      <c r="T16" t="e">
        <v>#N/A</v>
      </c>
      <c r="U16" t="e">
        <v>#N/A</v>
      </c>
      <c r="V16" t="e">
        <v>#N/A</v>
      </c>
    </row>
    <row r="17" spans="1:22" x14ac:dyDescent="0.25">
      <c r="A17">
        <v>16604349</v>
      </c>
      <c r="B17" t="s">
        <v>430</v>
      </c>
      <c r="C17">
        <v>217</v>
      </c>
      <c r="G17" t="s" cm="1">
        <v>442</v>
      </c>
      <c r="H17">
        <v>45105</v>
      </c>
      <c r="I17" t="s">
        <v>15</v>
      </c>
      <c r="J17" t="s">
        <v>32</v>
      </c>
      <c r="K17" t="s">
        <v>44</v>
      </c>
      <c r="L17" t="s">
        <v>621</v>
      </c>
      <c r="M17" t="s">
        <v>76</v>
      </c>
      <c r="N17" t="s">
        <v>1550</v>
      </c>
      <c r="O17" t="s">
        <v>431</v>
      </c>
      <c r="P17" t="e">
        <v>#N/A</v>
      </c>
      <c r="Q17" t="e">
        <v>#N/A</v>
      </c>
      <c r="R17" t="e">
        <v>#N/A</v>
      </c>
      <c r="S17" t="e">
        <v>#N/A</v>
      </c>
      <c r="T17" t="e">
        <v>#N/A</v>
      </c>
      <c r="U17" t="e">
        <v>#N/A</v>
      </c>
      <c r="V17" t="e">
        <v>#N/A</v>
      </c>
    </row>
    <row r="18" spans="1:22" x14ac:dyDescent="0.25">
      <c r="A18">
        <v>16610791</v>
      </c>
      <c r="B18" t="s">
        <v>433</v>
      </c>
      <c r="C18">
        <v>216</v>
      </c>
      <c r="G18" t="s" cm="1">
        <v>1611</v>
      </c>
      <c r="H18">
        <v>45089</v>
      </c>
      <c r="I18" t="s">
        <v>15</v>
      </c>
      <c r="J18" t="s">
        <v>22</v>
      </c>
      <c r="K18" t="s">
        <v>49</v>
      </c>
      <c r="L18" t="s">
        <v>63</v>
      </c>
      <c r="M18" t="s">
        <v>76</v>
      </c>
      <c r="N18" t="s">
        <v>1551</v>
      </c>
      <c r="O18" t="s">
        <v>431</v>
      </c>
      <c r="P18" t="e">
        <v>#N/A</v>
      </c>
      <c r="Q18" t="e">
        <v>#N/A</v>
      </c>
      <c r="R18" t="e">
        <v>#N/A</v>
      </c>
      <c r="S18" t="e">
        <v>#N/A</v>
      </c>
      <c r="T18" t="e">
        <v>#N/A</v>
      </c>
      <c r="U18" t="e">
        <v>#N/A</v>
      </c>
      <c r="V18" t="e">
        <v>#N/A</v>
      </c>
    </row>
    <row r="19" spans="1:22" x14ac:dyDescent="0.25">
      <c r="A19">
        <v>16375417</v>
      </c>
      <c r="B19" t="s">
        <v>430</v>
      </c>
      <c r="C19">
        <v>210</v>
      </c>
      <c r="G19" t="s" cm="1">
        <v>442</v>
      </c>
      <c r="H19">
        <v>45062</v>
      </c>
      <c r="I19" t="s">
        <v>15</v>
      </c>
      <c r="J19" t="s">
        <v>36</v>
      </c>
      <c r="K19" t="s">
        <v>44</v>
      </c>
      <c r="L19" t="s">
        <v>56</v>
      </c>
      <c r="M19" t="s">
        <v>76</v>
      </c>
      <c r="N19" t="s">
        <v>83</v>
      </c>
      <c r="O19" t="s">
        <v>431</v>
      </c>
      <c r="P19" t="s">
        <v>14</v>
      </c>
      <c r="Q19" t="s">
        <v>14</v>
      </c>
      <c r="R19" t="s">
        <v>14</v>
      </c>
      <c r="S19" t="s">
        <v>563</v>
      </c>
      <c r="T19" t="s">
        <v>14</v>
      </c>
      <c r="U19" t="s">
        <v>564</v>
      </c>
      <c r="V19" t="s">
        <v>1082</v>
      </c>
    </row>
    <row r="20" spans="1:22" x14ac:dyDescent="0.25">
      <c r="A20">
        <v>13953468</v>
      </c>
      <c r="B20" t="s">
        <v>433</v>
      </c>
      <c r="C20">
        <v>203</v>
      </c>
      <c r="G20" t="s" cm="1">
        <v>1611</v>
      </c>
      <c r="H20">
        <v>45068</v>
      </c>
      <c r="I20" t="s">
        <v>15</v>
      </c>
      <c r="J20" t="s">
        <v>33</v>
      </c>
      <c r="K20" t="s">
        <v>44</v>
      </c>
      <c r="L20" t="s">
        <v>758</v>
      </c>
      <c r="M20" t="s">
        <v>80</v>
      </c>
      <c r="N20" t="s">
        <v>1552</v>
      </c>
      <c r="O20" t="s">
        <v>431</v>
      </c>
      <c r="P20" t="e">
        <v>#N/A</v>
      </c>
      <c r="Q20" t="e">
        <v>#N/A</v>
      </c>
      <c r="R20" t="e">
        <v>#N/A</v>
      </c>
      <c r="S20" t="e">
        <v>#N/A</v>
      </c>
      <c r="T20" t="e">
        <v>#N/A</v>
      </c>
      <c r="U20" t="e">
        <v>#N/A</v>
      </c>
      <c r="V20" t="e">
        <v>#N/A</v>
      </c>
    </row>
    <row r="21" spans="1:22" x14ac:dyDescent="0.25">
      <c r="A21">
        <v>15100348</v>
      </c>
      <c r="B21" t="s">
        <v>430</v>
      </c>
      <c r="C21">
        <v>201</v>
      </c>
      <c r="G21" t="s" cm="1">
        <v>442</v>
      </c>
      <c r="H21">
        <v>45089</v>
      </c>
      <c r="I21" t="s">
        <v>15</v>
      </c>
      <c r="J21" t="s">
        <v>32</v>
      </c>
      <c r="K21" t="s">
        <v>389</v>
      </c>
      <c r="L21" t="s">
        <v>55</v>
      </c>
      <c r="M21" t="s">
        <v>76</v>
      </c>
      <c r="N21" t="s">
        <v>1553</v>
      </c>
      <c r="O21" t="s">
        <v>431</v>
      </c>
      <c r="P21" t="e">
        <v>#N/A</v>
      </c>
      <c r="Q21" t="e">
        <v>#N/A</v>
      </c>
      <c r="R21" t="e">
        <v>#N/A</v>
      </c>
      <c r="S21" t="e">
        <v>#N/A</v>
      </c>
      <c r="T21" t="e">
        <v>#N/A</v>
      </c>
      <c r="U21" t="e">
        <v>#N/A</v>
      </c>
      <c r="V21" t="e">
        <v>#N/A</v>
      </c>
    </row>
    <row r="22" spans="1:22" x14ac:dyDescent="0.25">
      <c r="A22">
        <v>16701523</v>
      </c>
      <c r="B22" t="s">
        <v>430</v>
      </c>
      <c r="C22">
        <v>195</v>
      </c>
      <c r="D22" t="s">
        <v>452</v>
      </c>
      <c r="E22">
        <v>45275</v>
      </c>
      <c r="F22" t="s">
        <v>453</v>
      </c>
      <c r="G22" t="s" cm="1">
        <v>442</v>
      </c>
      <c r="H22" t="s">
        <v>14</v>
      </c>
      <c r="I22" t="s">
        <v>14</v>
      </c>
      <c r="J22" t="s">
        <v>30</v>
      </c>
      <c r="K22" t="s">
        <v>43</v>
      </c>
      <c r="L22" t="s">
        <v>55</v>
      </c>
      <c r="M22" t="s">
        <v>76</v>
      </c>
      <c r="N22" t="s">
        <v>83</v>
      </c>
      <c r="P22" t="s">
        <v>14</v>
      </c>
      <c r="Q22" t="s">
        <v>14</v>
      </c>
      <c r="R22" t="s">
        <v>14</v>
      </c>
      <c r="S22" t="s">
        <v>581</v>
      </c>
      <c r="T22" t="s">
        <v>14</v>
      </c>
      <c r="U22" t="s">
        <v>14</v>
      </c>
      <c r="V22" t="s">
        <v>1104</v>
      </c>
    </row>
    <row r="23" spans="1:22" x14ac:dyDescent="0.25">
      <c r="A23">
        <v>16768322</v>
      </c>
      <c r="B23" t="s">
        <v>433</v>
      </c>
      <c r="C23">
        <v>181</v>
      </c>
      <c r="G23" t="s" cm="1">
        <v>1611</v>
      </c>
      <c r="H23">
        <v>45131</v>
      </c>
      <c r="I23" t="s">
        <v>378</v>
      </c>
      <c r="J23" t="s">
        <v>18</v>
      </c>
      <c r="K23" t="s">
        <v>44</v>
      </c>
      <c r="L23" t="s">
        <v>86</v>
      </c>
      <c r="M23" t="s">
        <v>76</v>
      </c>
      <c r="N23" t="s">
        <v>1554</v>
      </c>
      <c r="O23" t="s">
        <v>431</v>
      </c>
      <c r="P23" t="e">
        <v>#N/A</v>
      </c>
      <c r="Q23" t="e">
        <v>#N/A</v>
      </c>
      <c r="R23" t="e">
        <v>#N/A</v>
      </c>
      <c r="S23" t="e">
        <v>#N/A</v>
      </c>
      <c r="T23" t="e">
        <v>#N/A</v>
      </c>
      <c r="U23" t="e">
        <v>#N/A</v>
      </c>
      <c r="V23" t="e">
        <v>#N/A</v>
      </c>
    </row>
    <row r="24" spans="1:22" x14ac:dyDescent="0.25">
      <c r="A24">
        <v>14300880</v>
      </c>
      <c r="B24" t="s">
        <v>433</v>
      </c>
      <c r="C24">
        <v>180</v>
      </c>
      <c r="G24" t="s" cm="1">
        <v>1611</v>
      </c>
      <c r="H24">
        <v>45090</v>
      </c>
      <c r="I24" t="s">
        <v>15</v>
      </c>
      <c r="J24" t="s">
        <v>18</v>
      </c>
      <c r="K24" t="s">
        <v>44</v>
      </c>
      <c r="L24" t="s">
        <v>1420</v>
      </c>
      <c r="M24" t="s">
        <v>76</v>
      </c>
      <c r="N24" t="s">
        <v>83</v>
      </c>
      <c r="O24" t="s">
        <v>431</v>
      </c>
      <c r="P24" t="s">
        <v>14</v>
      </c>
      <c r="Q24" t="s">
        <v>14</v>
      </c>
      <c r="R24" t="s">
        <v>14</v>
      </c>
      <c r="S24" t="s">
        <v>14</v>
      </c>
      <c r="T24" t="s">
        <v>14</v>
      </c>
      <c r="U24" t="s">
        <v>722</v>
      </c>
      <c r="V24" t="s">
        <v>1040</v>
      </c>
    </row>
    <row r="25" spans="1:22" x14ac:dyDescent="0.25">
      <c r="A25">
        <v>16436200</v>
      </c>
      <c r="B25" t="s">
        <v>430</v>
      </c>
      <c r="C25">
        <v>178</v>
      </c>
      <c r="G25" t="s" cm="1">
        <v>442</v>
      </c>
      <c r="H25">
        <v>45098</v>
      </c>
      <c r="I25" t="s">
        <v>378</v>
      </c>
      <c r="J25" t="s">
        <v>24</v>
      </c>
      <c r="K25" t="s">
        <v>44</v>
      </c>
      <c r="L25" t="s">
        <v>397</v>
      </c>
      <c r="M25" t="s">
        <v>76</v>
      </c>
      <c r="N25" t="s">
        <v>1555</v>
      </c>
      <c r="O25" t="s">
        <v>431</v>
      </c>
      <c r="P25" t="e">
        <v>#N/A</v>
      </c>
      <c r="Q25" t="e">
        <v>#N/A</v>
      </c>
      <c r="R25" t="e">
        <v>#N/A</v>
      </c>
      <c r="S25" t="e">
        <v>#N/A</v>
      </c>
      <c r="T25" t="e">
        <v>#N/A</v>
      </c>
      <c r="U25" t="e">
        <v>#N/A</v>
      </c>
      <c r="V25" t="e">
        <v>#N/A</v>
      </c>
    </row>
    <row r="26" spans="1:22" x14ac:dyDescent="0.25">
      <c r="A26">
        <v>16824634</v>
      </c>
      <c r="B26" t="s">
        <v>430</v>
      </c>
      <c r="C26">
        <v>167</v>
      </c>
      <c r="G26" t="s" cm="1">
        <v>442</v>
      </c>
      <c r="H26">
        <v>45126</v>
      </c>
      <c r="I26" t="s">
        <v>15</v>
      </c>
      <c r="J26" t="s">
        <v>24</v>
      </c>
      <c r="K26" t="s">
        <v>49</v>
      </c>
      <c r="L26" t="s">
        <v>394</v>
      </c>
      <c r="M26" t="s">
        <v>76</v>
      </c>
      <c r="N26" t="s">
        <v>1556</v>
      </c>
      <c r="O26" t="s">
        <v>431</v>
      </c>
      <c r="P26" t="e">
        <v>#N/A</v>
      </c>
      <c r="Q26" t="e">
        <v>#N/A</v>
      </c>
      <c r="R26" t="e">
        <v>#N/A</v>
      </c>
      <c r="S26" t="e">
        <v>#N/A</v>
      </c>
      <c r="T26" t="e">
        <v>#N/A</v>
      </c>
      <c r="U26" t="e">
        <v>#N/A</v>
      </c>
      <c r="V26" t="e">
        <v>#N/A</v>
      </c>
    </row>
    <row r="27" spans="1:22" x14ac:dyDescent="0.25">
      <c r="A27">
        <v>16836473</v>
      </c>
      <c r="B27" t="s">
        <v>430</v>
      </c>
      <c r="C27">
        <v>165</v>
      </c>
      <c r="G27" t="s" cm="1">
        <v>442</v>
      </c>
      <c r="H27" t="s">
        <v>14</v>
      </c>
      <c r="I27" t="s">
        <v>380</v>
      </c>
      <c r="J27" t="s">
        <v>41</v>
      </c>
      <c r="K27" t="s">
        <v>47</v>
      </c>
      <c r="L27" t="s">
        <v>1421</v>
      </c>
      <c r="M27" t="s">
        <v>78</v>
      </c>
      <c r="N27" t="s">
        <v>83</v>
      </c>
      <c r="P27" t="s">
        <v>14</v>
      </c>
      <c r="Q27" t="s">
        <v>14</v>
      </c>
      <c r="R27" t="s">
        <v>14</v>
      </c>
      <c r="S27" t="s">
        <v>513</v>
      </c>
      <c r="T27" t="s">
        <v>14</v>
      </c>
      <c r="U27" t="s">
        <v>487</v>
      </c>
      <c r="V27" t="s">
        <v>1119</v>
      </c>
    </row>
    <row r="28" spans="1:22" x14ac:dyDescent="0.25">
      <c r="A28">
        <v>16842098</v>
      </c>
      <c r="B28" t="s">
        <v>430</v>
      </c>
      <c r="C28">
        <v>165</v>
      </c>
      <c r="G28" t="s" cm="1">
        <v>442</v>
      </c>
      <c r="H28" t="s">
        <v>14</v>
      </c>
      <c r="I28" t="s">
        <v>14</v>
      </c>
      <c r="J28" t="s">
        <v>27</v>
      </c>
      <c r="K28" t="s">
        <v>44</v>
      </c>
      <c r="L28" t="s">
        <v>1422</v>
      </c>
      <c r="M28" t="s">
        <v>444</v>
      </c>
      <c r="N28" t="s">
        <v>83</v>
      </c>
      <c r="P28" t="s">
        <v>14</v>
      </c>
      <c r="Q28" t="s">
        <v>14</v>
      </c>
      <c r="R28" t="s">
        <v>14</v>
      </c>
      <c r="S28" t="s">
        <v>830</v>
      </c>
      <c r="T28" t="s">
        <v>14</v>
      </c>
      <c r="U28" t="s">
        <v>831</v>
      </c>
      <c r="V28" t="s">
        <v>1121</v>
      </c>
    </row>
    <row r="29" spans="1:22" x14ac:dyDescent="0.25">
      <c r="A29">
        <v>16230645</v>
      </c>
      <c r="B29" t="s">
        <v>433</v>
      </c>
      <c r="C29">
        <v>159</v>
      </c>
      <c r="G29" t="s" cm="1">
        <v>1611</v>
      </c>
      <c r="H29">
        <v>45112</v>
      </c>
      <c r="I29" t="s">
        <v>378</v>
      </c>
      <c r="J29" t="s">
        <v>18</v>
      </c>
      <c r="K29" t="s">
        <v>48</v>
      </c>
      <c r="L29" t="s">
        <v>63</v>
      </c>
      <c r="M29" t="s">
        <v>76</v>
      </c>
      <c r="N29" t="s">
        <v>83</v>
      </c>
      <c r="O29" t="s">
        <v>431</v>
      </c>
      <c r="P29" t="s">
        <v>14</v>
      </c>
      <c r="Q29" t="s">
        <v>14</v>
      </c>
      <c r="R29" t="s">
        <v>14</v>
      </c>
      <c r="S29" t="s">
        <v>807</v>
      </c>
      <c r="T29" t="s">
        <v>14</v>
      </c>
      <c r="U29" t="s">
        <v>808</v>
      </c>
      <c r="V29" t="s">
        <v>1076</v>
      </c>
    </row>
    <row r="30" spans="1:22" x14ac:dyDescent="0.25">
      <c r="A30">
        <v>16872078</v>
      </c>
      <c r="B30" t="s">
        <v>430</v>
      </c>
      <c r="C30">
        <v>157</v>
      </c>
      <c r="G30" t="s" cm="1">
        <v>442</v>
      </c>
      <c r="H30">
        <v>45145</v>
      </c>
      <c r="I30" t="s">
        <v>15</v>
      </c>
      <c r="J30" t="s">
        <v>32</v>
      </c>
      <c r="K30" t="s">
        <v>44</v>
      </c>
      <c r="L30" t="s">
        <v>1423</v>
      </c>
      <c r="M30" t="s">
        <v>76</v>
      </c>
      <c r="N30" t="s">
        <v>1557</v>
      </c>
      <c r="O30" t="s">
        <v>431</v>
      </c>
      <c r="P30" t="e">
        <v>#N/A</v>
      </c>
      <c r="Q30" t="e">
        <v>#N/A</v>
      </c>
      <c r="R30" t="e">
        <v>#N/A</v>
      </c>
      <c r="S30" t="e">
        <v>#N/A</v>
      </c>
      <c r="T30" t="e">
        <v>#N/A</v>
      </c>
      <c r="U30" t="e">
        <v>#N/A</v>
      </c>
      <c r="V30" t="e">
        <v>#N/A</v>
      </c>
    </row>
    <row r="31" spans="1:22" x14ac:dyDescent="0.25">
      <c r="A31">
        <v>16876513</v>
      </c>
      <c r="B31" t="s">
        <v>430</v>
      </c>
      <c r="C31">
        <v>154</v>
      </c>
      <c r="G31" t="s" cm="1">
        <v>442</v>
      </c>
      <c r="H31" t="s">
        <v>14</v>
      </c>
      <c r="I31" t="s">
        <v>380</v>
      </c>
      <c r="J31" t="s">
        <v>23</v>
      </c>
      <c r="K31" t="s">
        <v>43</v>
      </c>
      <c r="L31" t="s">
        <v>1424</v>
      </c>
      <c r="M31" t="s">
        <v>78</v>
      </c>
      <c r="N31" t="s">
        <v>83</v>
      </c>
      <c r="P31" t="s">
        <v>836</v>
      </c>
      <c r="Q31" t="s">
        <v>14</v>
      </c>
      <c r="R31" t="s">
        <v>14</v>
      </c>
      <c r="S31" t="s">
        <v>837</v>
      </c>
      <c r="T31" t="s">
        <v>14</v>
      </c>
      <c r="U31" t="s">
        <v>838</v>
      </c>
      <c r="V31" t="s">
        <v>1126</v>
      </c>
    </row>
    <row r="32" spans="1:22" x14ac:dyDescent="0.25">
      <c r="A32">
        <v>16894007</v>
      </c>
      <c r="B32" t="s">
        <v>433</v>
      </c>
      <c r="C32">
        <v>151</v>
      </c>
      <c r="G32" t="s" cm="1">
        <v>1611</v>
      </c>
      <c r="H32">
        <v>45174</v>
      </c>
      <c r="I32" t="s">
        <v>15</v>
      </c>
      <c r="J32" t="s">
        <v>22</v>
      </c>
      <c r="K32" t="s">
        <v>50</v>
      </c>
      <c r="L32" t="s">
        <v>395</v>
      </c>
      <c r="M32" t="s">
        <v>76</v>
      </c>
      <c r="N32" t="s">
        <v>1354</v>
      </c>
      <c r="O32" t="s">
        <v>431</v>
      </c>
      <c r="P32" t="e">
        <v>#N/A</v>
      </c>
      <c r="Q32" t="e">
        <v>#N/A</v>
      </c>
      <c r="R32" t="e">
        <v>#N/A</v>
      </c>
      <c r="S32" t="e">
        <v>#N/A</v>
      </c>
      <c r="T32" t="e">
        <v>#N/A</v>
      </c>
      <c r="U32" t="e">
        <v>#N/A</v>
      </c>
      <c r="V32" t="e">
        <v>#N/A</v>
      </c>
    </row>
    <row r="33" spans="1:22" x14ac:dyDescent="0.25">
      <c r="A33">
        <v>16894635</v>
      </c>
      <c r="B33" t="s">
        <v>430</v>
      </c>
      <c r="C33">
        <v>151</v>
      </c>
      <c r="G33" t="s" cm="1">
        <v>442</v>
      </c>
      <c r="H33" t="s">
        <v>14</v>
      </c>
      <c r="I33" t="s">
        <v>380</v>
      </c>
      <c r="J33" t="s">
        <v>29</v>
      </c>
      <c r="K33" t="s">
        <v>45</v>
      </c>
      <c r="L33" t="s">
        <v>75</v>
      </c>
      <c r="M33" t="s">
        <v>78</v>
      </c>
      <c r="N33" t="s">
        <v>83</v>
      </c>
      <c r="P33" t="s">
        <v>14</v>
      </c>
      <c r="Q33" t="s">
        <v>14</v>
      </c>
      <c r="R33" t="s">
        <v>14</v>
      </c>
      <c r="S33" t="s">
        <v>486</v>
      </c>
      <c r="T33" t="s">
        <v>14</v>
      </c>
      <c r="U33" t="s">
        <v>14</v>
      </c>
      <c r="V33" t="s">
        <v>1128</v>
      </c>
    </row>
    <row r="34" spans="1:22" x14ac:dyDescent="0.25">
      <c r="A34">
        <v>16899077</v>
      </c>
      <c r="B34" t="s">
        <v>430</v>
      </c>
      <c r="C34">
        <v>150</v>
      </c>
      <c r="G34" t="s" cm="1">
        <v>442</v>
      </c>
      <c r="H34">
        <v>45169</v>
      </c>
      <c r="I34" t="s">
        <v>15</v>
      </c>
      <c r="J34" t="s">
        <v>32</v>
      </c>
      <c r="K34" t="s">
        <v>49</v>
      </c>
      <c r="L34" t="s">
        <v>392</v>
      </c>
      <c r="M34" t="s">
        <v>76</v>
      </c>
      <c r="N34" t="s">
        <v>1558</v>
      </c>
      <c r="O34" t="s">
        <v>431</v>
      </c>
      <c r="P34" t="e">
        <v>#N/A</v>
      </c>
      <c r="Q34" t="e">
        <v>#N/A</v>
      </c>
      <c r="R34" t="e">
        <v>#N/A</v>
      </c>
      <c r="S34" t="e">
        <v>#N/A</v>
      </c>
      <c r="T34" t="e">
        <v>#N/A</v>
      </c>
      <c r="U34" t="e">
        <v>#N/A</v>
      </c>
      <c r="V34" t="e">
        <v>#N/A</v>
      </c>
    </row>
    <row r="35" spans="1:22" x14ac:dyDescent="0.25">
      <c r="A35">
        <v>16903983</v>
      </c>
      <c r="B35" t="s">
        <v>433</v>
      </c>
      <c r="C35">
        <v>149</v>
      </c>
      <c r="G35" t="s" cm="1">
        <v>1611</v>
      </c>
      <c r="H35">
        <v>45183</v>
      </c>
      <c r="I35" t="s">
        <v>15</v>
      </c>
      <c r="J35" t="s">
        <v>18</v>
      </c>
      <c r="K35" t="s">
        <v>50</v>
      </c>
      <c r="L35" t="s">
        <v>74</v>
      </c>
      <c r="M35" t="s">
        <v>76</v>
      </c>
      <c r="N35" t="s">
        <v>83</v>
      </c>
      <c r="O35" t="s">
        <v>431</v>
      </c>
      <c r="P35" t="s">
        <v>14</v>
      </c>
      <c r="Q35" t="s">
        <v>14</v>
      </c>
      <c r="R35" t="s">
        <v>14</v>
      </c>
      <c r="S35" t="s">
        <v>550</v>
      </c>
      <c r="T35" t="s">
        <v>14</v>
      </c>
      <c r="U35" t="s">
        <v>14</v>
      </c>
      <c r="V35" t="s">
        <v>1131</v>
      </c>
    </row>
    <row r="36" spans="1:22" x14ac:dyDescent="0.25">
      <c r="A36">
        <v>10181305</v>
      </c>
      <c r="B36" t="s">
        <v>433</v>
      </c>
      <c r="C36">
        <v>147</v>
      </c>
      <c r="G36" t="s" cm="1">
        <v>1611</v>
      </c>
      <c r="H36">
        <v>45124</v>
      </c>
      <c r="I36" t="s">
        <v>15</v>
      </c>
      <c r="J36" t="s">
        <v>22</v>
      </c>
      <c r="K36" t="s">
        <v>44</v>
      </c>
      <c r="L36" t="s">
        <v>1425</v>
      </c>
      <c r="M36" t="s">
        <v>91</v>
      </c>
      <c r="N36" t="s">
        <v>83</v>
      </c>
      <c r="O36" t="s">
        <v>431</v>
      </c>
      <c r="P36">
        <v>0</v>
      </c>
      <c r="Q36">
        <v>0</v>
      </c>
      <c r="R36">
        <v>0</v>
      </c>
      <c r="S36" t="s">
        <v>775</v>
      </c>
      <c r="T36">
        <v>0</v>
      </c>
      <c r="U36">
        <v>0</v>
      </c>
      <c r="V36" t="s">
        <v>1015</v>
      </c>
    </row>
    <row r="37" spans="1:22" x14ac:dyDescent="0.25">
      <c r="A37">
        <v>16916224</v>
      </c>
      <c r="B37" t="s">
        <v>430</v>
      </c>
      <c r="C37">
        <v>146</v>
      </c>
      <c r="G37" t="s" cm="1">
        <v>442</v>
      </c>
      <c r="H37" t="s">
        <v>14</v>
      </c>
      <c r="I37" t="s">
        <v>380</v>
      </c>
      <c r="J37" t="s">
        <v>383</v>
      </c>
      <c r="K37" t="s">
        <v>48</v>
      </c>
      <c r="L37" t="s">
        <v>623</v>
      </c>
      <c r="M37" t="s">
        <v>76</v>
      </c>
      <c r="N37" t="s">
        <v>83</v>
      </c>
      <c r="P37" t="s">
        <v>606</v>
      </c>
      <c r="Q37" t="s">
        <v>14</v>
      </c>
      <c r="R37" t="s">
        <v>14</v>
      </c>
      <c r="S37" t="s">
        <v>14</v>
      </c>
      <c r="T37" t="s">
        <v>14</v>
      </c>
      <c r="U37" t="s">
        <v>14</v>
      </c>
      <c r="V37" t="s">
        <v>1133</v>
      </c>
    </row>
    <row r="38" spans="1:22" x14ac:dyDescent="0.25">
      <c r="A38">
        <v>16510730</v>
      </c>
      <c r="B38" t="s">
        <v>430</v>
      </c>
      <c r="C38">
        <v>145</v>
      </c>
      <c r="G38" t="s" cm="1">
        <v>442</v>
      </c>
      <c r="H38">
        <v>45131</v>
      </c>
      <c r="I38" t="s">
        <v>15</v>
      </c>
      <c r="J38" t="s">
        <v>24</v>
      </c>
      <c r="K38" t="s">
        <v>44</v>
      </c>
      <c r="L38" t="s">
        <v>392</v>
      </c>
      <c r="M38" t="s">
        <v>76</v>
      </c>
      <c r="N38" t="s">
        <v>1559</v>
      </c>
      <c r="O38" t="s">
        <v>431</v>
      </c>
      <c r="P38" t="e">
        <v>#N/A</v>
      </c>
      <c r="Q38" t="e">
        <v>#N/A</v>
      </c>
      <c r="R38" t="e">
        <v>#N/A</v>
      </c>
      <c r="S38" t="e">
        <v>#N/A</v>
      </c>
      <c r="T38" t="e">
        <v>#N/A</v>
      </c>
      <c r="U38" t="e">
        <v>#N/A</v>
      </c>
      <c r="V38" t="e">
        <v>#N/A</v>
      </c>
    </row>
    <row r="39" spans="1:22" x14ac:dyDescent="0.25">
      <c r="A39">
        <v>16930288</v>
      </c>
      <c r="B39" t="s">
        <v>430</v>
      </c>
      <c r="C39">
        <v>143</v>
      </c>
      <c r="G39" t="s" cm="1">
        <v>442</v>
      </c>
      <c r="H39" t="s">
        <v>14</v>
      </c>
      <c r="I39" t="s">
        <v>14</v>
      </c>
      <c r="J39" t="s">
        <v>30</v>
      </c>
      <c r="K39" t="s">
        <v>45</v>
      </c>
      <c r="L39" t="s">
        <v>673</v>
      </c>
      <c r="M39" t="s">
        <v>76</v>
      </c>
      <c r="N39" t="s">
        <v>83</v>
      </c>
      <c r="P39" t="s">
        <v>14</v>
      </c>
      <c r="Q39" t="s">
        <v>484</v>
      </c>
      <c r="R39" t="s">
        <v>484</v>
      </c>
      <c r="S39" t="s">
        <v>14</v>
      </c>
      <c r="T39" t="s">
        <v>485</v>
      </c>
      <c r="U39" t="s">
        <v>14</v>
      </c>
      <c r="V39" t="s">
        <v>1135</v>
      </c>
    </row>
    <row r="40" spans="1:22" x14ac:dyDescent="0.25">
      <c r="A40">
        <v>16935464</v>
      </c>
      <c r="B40" t="s">
        <v>430</v>
      </c>
      <c r="C40">
        <v>142</v>
      </c>
      <c r="G40" t="s" cm="1">
        <v>442</v>
      </c>
      <c r="H40" t="s">
        <v>14</v>
      </c>
      <c r="I40" t="s">
        <v>380</v>
      </c>
      <c r="J40" t="s">
        <v>27</v>
      </c>
      <c r="K40" t="s">
        <v>43</v>
      </c>
      <c r="L40" t="s">
        <v>87</v>
      </c>
      <c r="M40" t="s">
        <v>76</v>
      </c>
      <c r="N40" t="s">
        <v>83</v>
      </c>
      <c r="P40" t="s">
        <v>14</v>
      </c>
      <c r="Q40" t="s">
        <v>14</v>
      </c>
      <c r="R40" t="s">
        <v>14</v>
      </c>
      <c r="S40" t="s">
        <v>14</v>
      </c>
      <c r="T40" t="s">
        <v>14</v>
      </c>
      <c r="U40" t="s">
        <v>14</v>
      </c>
      <c r="V40" t="s">
        <v>1136</v>
      </c>
    </row>
    <row r="41" spans="1:22" x14ac:dyDescent="0.25">
      <c r="A41">
        <v>16944283</v>
      </c>
      <c r="B41" t="s">
        <v>430</v>
      </c>
      <c r="C41">
        <v>139</v>
      </c>
      <c r="G41" t="s" cm="1">
        <v>442</v>
      </c>
      <c r="H41">
        <v>45166</v>
      </c>
      <c r="I41" t="s">
        <v>15</v>
      </c>
      <c r="J41" t="s">
        <v>24</v>
      </c>
      <c r="K41" t="s">
        <v>44</v>
      </c>
      <c r="L41" t="s">
        <v>391</v>
      </c>
      <c r="M41" t="s">
        <v>76</v>
      </c>
      <c r="N41" t="s">
        <v>1560</v>
      </c>
      <c r="O41" t="s">
        <v>431</v>
      </c>
      <c r="P41" t="e">
        <v>#N/A</v>
      </c>
      <c r="Q41" t="e">
        <v>#N/A</v>
      </c>
      <c r="R41" t="e">
        <v>#N/A</v>
      </c>
      <c r="S41" t="e">
        <v>#N/A</v>
      </c>
      <c r="T41" t="e">
        <v>#N/A</v>
      </c>
      <c r="U41" t="e">
        <v>#N/A</v>
      </c>
      <c r="V41" t="e">
        <v>#N/A</v>
      </c>
    </row>
    <row r="42" spans="1:22" x14ac:dyDescent="0.25">
      <c r="A42">
        <v>16948402</v>
      </c>
      <c r="B42" t="s">
        <v>430</v>
      </c>
      <c r="C42">
        <v>138</v>
      </c>
      <c r="G42" t="s" cm="1">
        <v>442</v>
      </c>
      <c r="H42">
        <v>45146</v>
      </c>
      <c r="I42" t="s">
        <v>15</v>
      </c>
      <c r="J42" t="s">
        <v>32</v>
      </c>
      <c r="K42" t="s">
        <v>44</v>
      </c>
      <c r="L42" t="s">
        <v>86</v>
      </c>
      <c r="M42" t="s">
        <v>76</v>
      </c>
      <c r="N42" t="s">
        <v>746</v>
      </c>
      <c r="O42" t="s">
        <v>431</v>
      </c>
      <c r="P42" t="e">
        <v>#N/A</v>
      </c>
      <c r="Q42" t="e">
        <v>#N/A</v>
      </c>
      <c r="R42" t="e">
        <v>#N/A</v>
      </c>
      <c r="S42" t="e">
        <v>#N/A</v>
      </c>
      <c r="T42" t="e">
        <v>#N/A</v>
      </c>
      <c r="U42" t="e">
        <v>#N/A</v>
      </c>
      <c r="V42" t="e">
        <v>#N/A</v>
      </c>
    </row>
    <row r="43" spans="1:22" x14ac:dyDescent="0.25">
      <c r="A43">
        <v>16964372</v>
      </c>
      <c r="B43" t="s">
        <v>430</v>
      </c>
      <c r="C43">
        <v>136</v>
      </c>
      <c r="G43" t="s" cm="1">
        <v>442</v>
      </c>
      <c r="H43">
        <v>45236</v>
      </c>
      <c r="I43" t="s">
        <v>15</v>
      </c>
      <c r="J43" t="s">
        <v>30</v>
      </c>
      <c r="K43" t="s">
        <v>44</v>
      </c>
      <c r="L43" t="s">
        <v>1426</v>
      </c>
      <c r="M43" t="s">
        <v>574</v>
      </c>
      <c r="N43" t="s">
        <v>419</v>
      </c>
      <c r="O43" t="s">
        <v>431</v>
      </c>
      <c r="P43" t="e">
        <v>#N/A</v>
      </c>
      <c r="Q43" t="e">
        <v>#N/A</v>
      </c>
      <c r="R43" t="e">
        <v>#N/A</v>
      </c>
      <c r="S43" t="e">
        <v>#N/A</v>
      </c>
      <c r="T43" t="e">
        <v>#N/A</v>
      </c>
      <c r="U43" t="e">
        <v>#N/A</v>
      </c>
      <c r="V43" t="e">
        <v>#N/A</v>
      </c>
    </row>
    <row r="44" spans="1:22" x14ac:dyDescent="0.25">
      <c r="A44">
        <v>16964790</v>
      </c>
      <c r="B44" t="s">
        <v>430</v>
      </c>
      <c r="C44">
        <v>136</v>
      </c>
      <c r="G44" t="s" cm="1">
        <v>442</v>
      </c>
      <c r="H44" t="s">
        <v>14</v>
      </c>
      <c r="I44" t="s">
        <v>380</v>
      </c>
      <c r="J44" t="s">
        <v>384</v>
      </c>
      <c r="K44" t="s">
        <v>43</v>
      </c>
      <c r="L44" t="s">
        <v>627</v>
      </c>
      <c r="M44" t="s">
        <v>76</v>
      </c>
      <c r="N44" t="s">
        <v>83</v>
      </c>
      <c r="P44" t="s">
        <v>479</v>
      </c>
      <c r="Q44" t="s">
        <v>14</v>
      </c>
      <c r="R44" t="s">
        <v>14</v>
      </c>
      <c r="S44" t="s">
        <v>14</v>
      </c>
      <c r="T44" t="s">
        <v>14</v>
      </c>
      <c r="U44" t="s">
        <v>480</v>
      </c>
      <c r="V44" t="s">
        <v>1142</v>
      </c>
    </row>
    <row r="45" spans="1:22" x14ac:dyDescent="0.25">
      <c r="A45">
        <v>11207992</v>
      </c>
      <c r="B45" t="s">
        <v>430</v>
      </c>
      <c r="C45">
        <v>132</v>
      </c>
      <c r="G45" t="s" cm="1">
        <v>442</v>
      </c>
      <c r="H45">
        <v>45139</v>
      </c>
      <c r="I45" t="s">
        <v>15</v>
      </c>
      <c r="J45" t="s">
        <v>31</v>
      </c>
      <c r="K45" t="s">
        <v>44</v>
      </c>
      <c r="L45" t="s">
        <v>404</v>
      </c>
      <c r="M45" t="s">
        <v>78</v>
      </c>
      <c r="N45" t="s">
        <v>1561</v>
      </c>
      <c r="O45" t="s">
        <v>431</v>
      </c>
      <c r="P45" t="e">
        <v>#N/A</v>
      </c>
      <c r="Q45" t="e">
        <v>#N/A</v>
      </c>
      <c r="R45" t="e">
        <v>#N/A</v>
      </c>
      <c r="S45" t="e">
        <v>#N/A</v>
      </c>
      <c r="T45" t="e">
        <v>#N/A</v>
      </c>
      <c r="U45" t="e">
        <v>#N/A</v>
      </c>
      <c r="V45" t="e">
        <v>#N/A</v>
      </c>
    </row>
    <row r="46" spans="1:22" x14ac:dyDescent="0.25">
      <c r="A46">
        <v>16978972</v>
      </c>
      <c r="B46" t="s">
        <v>430</v>
      </c>
      <c r="C46">
        <v>132</v>
      </c>
      <c r="G46" t="s" cm="1">
        <v>442</v>
      </c>
      <c r="H46" t="s">
        <v>14</v>
      </c>
      <c r="I46" t="s">
        <v>380</v>
      </c>
      <c r="J46" t="s">
        <v>383</v>
      </c>
      <c r="K46" t="s">
        <v>53</v>
      </c>
      <c r="L46" t="s">
        <v>457</v>
      </c>
      <c r="M46" t="s">
        <v>459</v>
      </c>
      <c r="N46" t="s">
        <v>83</v>
      </c>
      <c r="P46" t="s">
        <v>14</v>
      </c>
      <c r="Q46" t="s">
        <v>14</v>
      </c>
      <c r="R46" t="s">
        <v>14</v>
      </c>
      <c r="S46" t="s">
        <v>844</v>
      </c>
      <c r="T46" t="s">
        <v>14</v>
      </c>
      <c r="U46" t="s">
        <v>14</v>
      </c>
      <c r="V46" t="s">
        <v>1144</v>
      </c>
    </row>
    <row r="47" spans="1:22" x14ac:dyDescent="0.25">
      <c r="A47">
        <v>16454431</v>
      </c>
      <c r="B47" t="s">
        <v>433</v>
      </c>
      <c r="C47">
        <v>131</v>
      </c>
      <c r="G47" t="s" cm="1">
        <v>1611</v>
      </c>
      <c r="H47">
        <v>45140</v>
      </c>
      <c r="I47" t="s">
        <v>378</v>
      </c>
      <c r="J47" t="s">
        <v>18</v>
      </c>
      <c r="K47" t="s">
        <v>44</v>
      </c>
      <c r="L47" t="s">
        <v>1427</v>
      </c>
      <c r="M47" t="s">
        <v>76</v>
      </c>
      <c r="N47" t="s">
        <v>1562</v>
      </c>
      <c r="O47" t="s">
        <v>431</v>
      </c>
      <c r="P47" t="e">
        <v>#N/A</v>
      </c>
      <c r="Q47" t="e">
        <v>#N/A</v>
      </c>
      <c r="R47" t="e">
        <v>#N/A</v>
      </c>
      <c r="S47" t="e">
        <v>#N/A</v>
      </c>
      <c r="T47" t="e">
        <v>#N/A</v>
      </c>
      <c r="U47" t="e">
        <v>#N/A</v>
      </c>
      <c r="V47" t="e">
        <v>#N/A</v>
      </c>
    </row>
    <row r="48" spans="1:22" x14ac:dyDescent="0.25">
      <c r="A48">
        <v>16681817</v>
      </c>
      <c r="B48" t="s">
        <v>430</v>
      </c>
      <c r="C48">
        <v>131</v>
      </c>
      <c r="G48" t="s" cm="1">
        <v>442</v>
      </c>
      <c r="H48" t="s">
        <v>14</v>
      </c>
      <c r="I48" t="s">
        <v>14</v>
      </c>
      <c r="J48" t="s">
        <v>384</v>
      </c>
      <c r="K48" t="s">
        <v>43</v>
      </c>
      <c r="L48" t="s">
        <v>1428</v>
      </c>
      <c r="M48" t="s">
        <v>76</v>
      </c>
      <c r="N48" t="s">
        <v>83</v>
      </c>
      <c r="P48" t="s">
        <v>14</v>
      </c>
      <c r="Q48" t="s">
        <v>14</v>
      </c>
      <c r="R48" t="s">
        <v>14</v>
      </c>
      <c r="S48" t="s">
        <v>818</v>
      </c>
      <c r="T48" t="s">
        <v>14</v>
      </c>
      <c r="U48" t="s">
        <v>819</v>
      </c>
      <c r="V48" t="s">
        <v>1102</v>
      </c>
    </row>
    <row r="49" spans="1:22" x14ac:dyDescent="0.25">
      <c r="A49">
        <v>16991307</v>
      </c>
      <c r="B49" t="s">
        <v>430</v>
      </c>
      <c r="C49">
        <v>129</v>
      </c>
      <c r="G49" t="s" cm="1">
        <v>442</v>
      </c>
      <c r="H49">
        <v>45161</v>
      </c>
      <c r="I49" t="s">
        <v>15</v>
      </c>
      <c r="J49" t="s">
        <v>30</v>
      </c>
      <c r="K49" t="s">
        <v>44</v>
      </c>
      <c r="L49" t="s">
        <v>60</v>
      </c>
      <c r="M49" t="s">
        <v>76</v>
      </c>
      <c r="N49" t="s">
        <v>1563</v>
      </c>
      <c r="O49" t="s">
        <v>431</v>
      </c>
      <c r="P49" t="e">
        <v>#N/A</v>
      </c>
      <c r="Q49" t="e">
        <v>#N/A</v>
      </c>
      <c r="R49" t="e">
        <v>#N/A</v>
      </c>
      <c r="S49" t="e">
        <v>#N/A</v>
      </c>
      <c r="T49" t="e">
        <v>#N/A</v>
      </c>
      <c r="U49" t="e">
        <v>#N/A</v>
      </c>
      <c r="V49" t="e">
        <v>#N/A</v>
      </c>
    </row>
    <row r="50" spans="1:22" x14ac:dyDescent="0.25">
      <c r="A50">
        <v>17001756</v>
      </c>
      <c r="B50" t="s">
        <v>430</v>
      </c>
      <c r="C50">
        <v>126</v>
      </c>
      <c r="G50" t="e" cm="1">
        <v>#N/A</v>
      </c>
      <c r="H50">
        <v>45154</v>
      </c>
      <c r="I50" t="s">
        <v>16</v>
      </c>
      <c r="J50" t="s">
        <v>21</v>
      </c>
      <c r="K50" t="s">
        <v>44</v>
      </c>
      <c r="L50" t="s">
        <v>396</v>
      </c>
      <c r="M50" t="s">
        <v>76</v>
      </c>
      <c r="N50" t="s">
        <v>1564</v>
      </c>
      <c r="O50" t="s">
        <v>431</v>
      </c>
      <c r="P50" t="e">
        <v>#N/A</v>
      </c>
      <c r="Q50" t="e">
        <v>#N/A</v>
      </c>
      <c r="R50" t="e">
        <v>#N/A</v>
      </c>
      <c r="S50" t="e">
        <v>#N/A</v>
      </c>
      <c r="T50" t="e">
        <v>#N/A</v>
      </c>
      <c r="U50" t="e">
        <v>#N/A</v>
      </c>
      <c r="V50" t="e">
        <v>#N/A</v>
      </c>
    </row>
    <row r="51" spans="1:22" x14ac:dyDescent="0.25">
      <c r="A51">
        <v>14390244</v>
      </c>
      <c r="B51" t="s">
        <v>433</v>
      </c>
      <c r="C51">
        <v>125</v>
      </c>
      <c r="G51" t="s" cm="1">
        <v>442</v>
      </c>
      <c r="H51">
        <v>45219</v>
      </c>
      <c r="I51" t="s">
        <v>15</v>
      </c>
      <c r="J51" t="s">
        <v>30</v>
      </c>
      <c r="K51" t="s">
        <v>52</v>
      </c>
      <c r="L51" t="s">
        <v>1429</v>
      </c>
      <c r="M51" t="s">
        <v>76</v>
      </c>
      <c r="N51" t="s">
        <v>1565</v>
      </c>
      <c r="O51" t="s">
        <v>431</v>
      </c>
      <c r="P51" t="s">
        <v>502</v>
      </c>
      <c r="Q51" t="s">
        <v>14</v>
      </c>
      <c r="R51" t="s">
        <v>14</v>
      </c>
      <c r="S51" t="s">
        <v>502</v>
      </c>
      <c r="T51" t="s">
        <v>14</v>
      </c>
      <c r="U51" t="s">
        <v>14</v>
      </c>
      <c r="V51">
        <v>0</v>
      </c>
    </row>
    <row r="52" spans="1:22" x14ac:dyDescent="0.25">
      <c r="A52">
        <v>17007601</v>
      </c>
      <c r="B52" t="s">
        <v>430</v>
      </c>
      <c r="C52">
        <v>125</v>
      </c>
      <c r="D52" t="s">
        <v>452</v>
      </c>
      <c r="E52" t="s">
        <v>1728</v>
      </c>
      <c r="F52" t="s">
        <v>451</v>
      </c>
      <c r="G52" t="e" cm="1">
        <v>#N/A</v>
      </c>
      <c r="H52" t="s">
        <v>14</v>
      </c>
      <c r="I52" t="s">
        <v>14</v>
      </c>
      <c r="J52" t="s">
        <v>24</v>
      </c>
      <c r="K52" t="s">
        <v>730</v>
      </c>
      <c r="L52" t="s">
        <v>1430</v>
      </c>
      <c r="M52" t="s">
        <v>76</v>
      </c>
      <c r="N52" t="s">
        <v>83</v>
      </c>
      <c r="P52" t="s">
        <v>14</v>
      </c>
      <c r="Q52" t="s">
        <v>14</v>
      </c>
      <c r="R52" t="s">
        <v>14</v>
      </c>
      <c r="S52" t="s">
        <v>577</v>
      </c>
      <c r="T52" t="s">
        <v>14</v>
      </c>
      <c r="U52" t="s">
        <v>14</v>
      </c>
      <c r="V52" t="s">
        <v>1147</v>
      </c>
    </row>
    <row r="53" spans="1:22" x14ac:dyDescent="0.25">
      <c r="A53">
        <v>17009448</v>
      </c>
      <c r="B53" t="s">
        <v>433</v>
      </c>
      <c r="C53">
        <v>124</v>
      </c>
      <c r="G53" t="s" cm="1">
        <v>442</v>
      </c>
      <c r="H53">
        <v>45266</v>
      </c>
      <c r="I53" t="s">
        <v>15</v>
      </c>
      <c r="J53" t="s">
        <v>30</v>
      </c>
      <c r="K53" t="s">
        <v>49</v>
      </c>
      <c r="L53" t="s">
        <v>74</v>
      </c>
      <c r="M53" t="s">
        <v>76</v>
      </c>
      <c r="N53" t="s">
        <v>461</v>
      </c>
      <c r="O53" t="s">
        <v>431</v>
      </c>
      <c r="P53" t="e">
        <v>#N/A</v>
      </c>
      <c r="Q53" t="e">
        <v>#N/A</v>
      </c>
      <c r="R53" t="e">
        <v>#N/A</v>
      </c>
      <c r="S53" t="e">
        <v>#N/A</v>
      </c>
      <c r="T53" t="e">
        <v>#N/A</v>
      </c>
      <c r="U53" t="e">
        <v>#N/A</v>
      </c>
      <c r="V53" t="e">
        <v>#N/A</v>
      </c>
    </row>
    <row r="54" spans="1:22" x14ac:dyDescent="0.25">
      <c r="A54">
        <v>17016721</v>
      </c>
      <c r="B54" t="s">
        <v>433</v>
      </c>
      <c r="C54">
        <v>123</v>
      </c>
      <c r="G54" t="s" cm="1">
        <v>442</v>
      </c>
      <c r="H54">
        <v>45236</v>
      </c>
      <c r="I54" t="s">
        <v>15</v>
      </c>
      <c r="J54" t="s">
        <v>24</v>
      </c>
      <c r="K54" t="s">
        <v>43</v>
      </c>
      <c r="L54" t="s">
        <v>86</v>
      </c>
      <c r="M54" t="s">
        <v>76</v>
      </c>
      <c r="N54" t="s">
        <v>419</v>
      </c>
      <c r="O54" t="s">
        <v>431</v>
      </c>
      <c r="P54" t="e">
        <v>#N/A</v>
      </c>
      <c r="Q54" t="e">
        <v>#N/A</v>
      </c>
      <c r="R54" t="e">
        <v>#N/A</v>
      </c>
      <c r="S54" t="e">
        <v>#N/A</v>
      </c>
      <c r="T54" t="e">
        <v>#N/A</v>
      </c>
      <c r="U54" t="e">
        <v>#N/A</v>
      </c>
      <c r="V54" t="e">
        <v>#N/A</v>
      </c>
    </row>
    <row r="55" spans="1:22" x14ac:dyDescent="0.25">
      <c r="A55">
        <v>17019271</v>
      </c>
      <c r="B55" t="s">
        <v>430</v>
      </c>
      <c r="C55">
        <v>123</v>
      </c>
      <c r="D55" t="s">
        <v>452</v>
      </c>
      <c r="E55">
        <v>45272</v>
      </c>
      <c r="F55" t="s">
        <v>751</v>
      </c>
      <c r="G55" t="s" cm="1">
        <v>442</v>
      </c>
      <c r="H55" t="s">
        <v>14</v>
      </c>
      <c r="I55" t="s">
        <v>14</v>
      </c>
      <c r="J55" t="s">
        <v>25</v>
      </c>
      <c r="K55" t="s">
        <v>44</v>
      </c>
      <c r="L55" t="s">
        <v>1431</v>
      </c>
      <c r="M55" t="s">
        <v>76</v>
      </c>
      <c r="N55" t="s">
        <v>83</v>
      </c>
      <c r="P55" t="s">
        <v>845</v>
      </c>
      <c r="Q55" t="s">
        <v>14</v>
      </c>
      <c r="R55" t="s">
        <v>14</v>
      </c>
      <c r="S55" t="s">
        <v>14</v>
      </c>
      <c r="T55" t="s">
        <v>14</v>
      </c>
      <c r="U55" t="s">
        <v>14</v>
      </c>
      <c r="V55" t="s">
        <v>1150</v>
      </c>
    </row>
    <row r="56" spans="1:22" x14ac:dyDescent="0.25">
      <c r="A56">
        <v>17026534</v>
      </c>
      <c r="B56" t="s">
        <v>433</v>
      </c>
      <c r="C56">
        <v>121</v>
      </c>
      <c r="G56" t="s" cm="1">
        <v>442</v>
      </c>
      <c r="H56">
        <v>45169</v>
      </c>
      <c r="I56" t="s">
        <v>15</v>
      </c>
      <c r="J56" t="s">
        <v>24</v>
      </c>
      <c r="K56" t="s">
        <v>44</v>
      </c>
      <c r="L56" t="s">
        <v>756</v>
      </c>
      <c r="M56" t="s">
        <v>76</v>
      </c>
      <c r="N56" t="s">
        <v>1558</v>
      </c>
      <c r="O56" t="s">
        <v>431</v>
      </c>
      <c r="P56" t="e">
        <v>#N/A</v>
      </c>
      <c r="Q56" t="e">
        <v>#N/A</v>
      </c>
      <c r="R56" t="e">
        <v>#N/A</v>
      </c>
      <c r="S56" t="e">
        <v>#N/A</v>
      </c>
      <c r="T56" t="e">
        <v>#N/A</v>
      </c>
      <c r="U56" t="e">
        <v>#N/A</v>
      </c>
      <c r="V56" t="e">
        <v>#N/A</v>
      </c>
    </row>
    <row r="57" spans="1:22" x14ac:dyDescent="0.25">
      <c r="A57">
        <v>16947598</v>
      </c>
      <c r="B57" t="s">
        <v>433</v>
      </c>
      <c r="C57">
        <v>118</v>
      </c>
      <c r="G57" t="s" cm="1">
        <v>442</v>
      </c>
      <c r="H57">
        <v>45210</v>
      </c>
      <c r="I57" t="s">
        <v>15</v>
      </c>
      <c r="J57" t="s">
        <v>30</v>
      </c>
      <c r="K57" t="s">
        <v>44</v>
      </c>
      <c r="L57" t="s">
        <v>507</v>
      </c>
      <c r="M57" t="s">
        <v>78</v>
      </c>
      <c r="N57" t="s">
        <v>424</v>
      </c>
      <c r="O57" t="s">
        <v>431</v>
      </c>
      <c r="P57" t="e">
        <v>#N/A</v>
      </c>
      <c r="Q57" t="e">
        <v>#N/A</v>
      </c>
      <c r="R57" t="e">
        <v>#N/A</v>
      </c>
      <c r="S57" t="e">
        <v>#N/A</v>
      </c>
      <c r="T57" t="e">
        <v>#N/A</v>
      </c>
      <c r="U57" t="e">
        <v>#N/A</v>
      </c>
      <c r="V57" t="e">
        <v>#N/A</v>
      </c>
    </row>
    <row r="58" spans="1:22" x14ac:dyDescent="0.25">
      <c r="A58">
        <v>17032827</v>
      </c>
      <c r="B58" t="s">
        <v>433</v>
      </c>
      <c r="C58">
        <v>118</v>
      </c>
      <c r="G58" t="s" cm="1">
        <v>442</v>
      </c>
      <c r="H58" t="s">
        <v>14</v>
      </c>
      <c r="I58" t="s">
        <v>380</v>
      </c>
      <c r="J58" t="s">
        <v>29</v>
      </c>
      <c r="K58" t="s">
        <v>52</v>
      </c>
      <c r="L58" t="s">
        <v>57</v>
      </c>
      <c r="M58" t="s">
        <v>76</v>
      </c>
      <c r="N58" t="s">
        <v>83</v>
      </c>
      <c r="P58" t="s">
        <v>14</v>
      </c>
      <c r="Q58" t="s">
        <v>14</v>
      </c>
      <c r="R58" t="s">
        <v>14</v>
      </c>
      <c r="S58" t="s">
        <v>510</v>
      </c>
      <c r="T58" t="s">
        <v>14</v>
      </c>
      <c r="U58" t="s">
        <v>14</v>
      </c>
      <c r="V58" t="s">
        <v>1152</v>
      </c>
    </row>
    <row r="59" spans="1:22" x14ac:dyDescent="0.25">
      <c r="A59">
        <v>17050202</v>
      </c>
      <c r="B59" t="s">
        <v>433</v>
      </c>
      <c r="C59">
        <v>115</v>
      </c>
      <c r="G59" t="s" cm="1">
        <v>442</v>
      </c>
      <c r="H59">
        <v>45182</v>
      </c>
      <c r="I59" t="s">
        <v>15</v>
      </c>
      <c r="J59" t="s">
        <v>30</v>
      </c>
      <c r="K59" t="s">
        <v>44</v>
      </c>
      <c r="L59" t="s">
        <v>525</v>
      </c>
      <c r="M59" t="s">
        <v>76</v>
      </c>
      <c r="N59" t="s">
        <v>1566</v>
      </c>
      <c r="O59" t="s">
        <v>431</v>
      </c>
      <c r="P59" t="e">
        <v>#N/A</v>
      </c>
      <c r="Q59" t="e">
        <v>#N/A</v>
      </c>
      <c r="R59" t="e">
        <v>#N/A</v>
      </c>
      <c r="S59" t="e">
        <v>#N/A</v>
      </c>
      <c r="T59" t="e">
        <v>#N/A</v>
      </c>
      <c r="U59" t="e">
        <v>#N/A</v>
      </c>
      <c r="V59" t="e">
        <v>#N/A</v>
      </c>
    </row>
    <row r="60" spans="1:22" x14ac:dyDescent="0.25">
      <c r="A60">
        <v>17055650</v>
      </c>
      <c r="B60" t="s">
        <v>433</v>
      </c>
      <c r="C60">
        <v>115</v>
      </c>
      <c r="G60" t="e" cm="1">
        <v>#N/A</v>
      </c>
      <c r="H60" t="s">
        <v>14</v>
      </c>
      <c r="I60" t="s">
        <v>14</v>
      </c>
      <c r="J60" t="s">
        <v>29</v>
      </c>
      <c r="K60" t="s">
        <v>43</v>
      </c>
      <c r="L60" t="s">
        <v>1432</v>
      </c>
      <c r="M60" t="s">
        <v>78</v>
      </c>
      <c r="N60" t="s">
        <v>83</v>
      </c>
      <c r="P60" t="s">
        <v>14</v>
      </c>
      <c r="Q60" t="s">
        <v>14</v>
      </c>
      <c r="R60" t="s">
        <v>14</v>
      </c>
      <c r="S60" t="s">
        <v>848</v>
      </c>
      <c r="T60" t="s">
        <v>14</v>
      </c>
      <c r="U60" t="s">
        <v>14</v>
      </c>
      <c r="V60" t="s">
        <v>1155</v>
      </c>
    </row>
    <row r="61" spans="1:22" x14ac:dyDescent="0.25">
      <c r="A61">
        <v>17056554</v>
      </c>
      <c r="B61" t="s">
        <v>430</v>
      </c>
      <c r="C61">
        <v>114</v>
      </c>
      <c r="G61" t="s" cm="1">
        <v>442</v>
      </c>
      <c r="H61" t="s">
        <v>14</v>
      </c>
      <c r="I61" t="s">
        <v>380</v>
      </c>
      <c r="J61" t="s">
        <v>27</v>
      </c>
      <c r="K61" t="s">
        <v>43</v>
      </c>
      <c r="L61" t="s">
        <v>392</v>
      </c>
      <c r="M61" t="s">
        <v>76</v>
      </c>
      <c r="N61" t="s">
        <v>83</v>
      </c>
      <c r="P61" t="s">
        <v>473</v>
      </c>
      <c r="Q61" t="s">
        <v>14</v>
      </c>
      <c r="R61" t="s">
        <v>14</v>
      </c>
      <c r="S61" t="s">
        <v>533</v>
      </c>
      <c r="T61" t="s">
        <v>14</v>
      </c>
      <c r="U61" t="s">
        <v>14</v>
      </c>
      <c r="V61" t="s">
        <v>1156</v>
      </c>
    </row>
    <row r="62" spans="1:22" x14ac:dyDescent="0.25">
      <c r="A62">
        <v>17056564</v>
      </c>
      <c r="B62" t="s" cm="1">
        <v>430</v>
      </c>
      <c r="C62">
        <v>114</v>
      </c>
      <c r="D62" t="s">
        <v>452</v>
      </c>
      <c r="E62">
        <v>45275</v>
      </c>
      <c r="F62" t="s">
        <v>453</v>
      </c>
      <c r="G62" t="e" cm="1">
        <v>#N/A</v>
      </c>
      <c r="H62" t="s">
        <v>14</v>
      </c>
      <c r="I62" t="s">
        <v>14</v>
      </c>
      <c r="J62" t="s">
        <v>30</v>
      </c>
      <c r="K62" t="s">
        <v>432</v>
      </c>
      <c r="L62" t="s">
        <v>1433</v>
      </c>
      <c r="M62" t="s">
        <v>76</v>
      </c>
      <c r="N62" t="s">
        <v>83</v>
      </c>
      <c r="P62" t="s">
        <v>14</v>
      </c>
      <c r="Q62" t="s">
        <v>14</v>
      </c>
      <c r="R62" t="s">
        <v>14</v>
      </c>
      <c r="S62" t="s">
        <v>14</v>
      </c>
      <c r="T62" t="s">
        <v>14</v>
      </c>
      <c r="U62" t="s">
        <v>644</v>
      </c>
      <c r="V62" t="s">
        <v>1157</v>
      </c>
    </row>
    <row r="63" spans="1:22" x14ac:dyDescent="0.25">
      <c r="A63">
        <v>17057500</v>
      </c>
      <c r="B63" t="s" cm="1">
        <v>430</v>
      </c>
      <c r="C63">
        <v>112</v>
      </c>
      <c r="D63" t="s">
        <v>452</v>
      </c>
      <c r="E63">
        <v>45278</v>
      </c>
      <c r="F63" t="s">
        <v>453</v>
      </c>
      <c r="G63" t="s" cm="1">
        <v>442</v>
      </c>
      <c r="H63" t="s">
        <v>14</v>
      </c>
      <c r="I63" t="s">
        <v>14</v>
      </c>
      <c r="J63" t="s">
        <v>30</v>
      </c>
      <c r="K63" t="s">
        <v>51</v>
      </c>
      <c r="L63" t="s">
        <v>58</v>
      </c>
      <c r="M63" t="s">
        <v>76</v>
      </c>
      <c r="N63" t="s">
        <v>83</v>
      </c>
      <c r="P63" t="s">
        <v>850</v>
      </c>
      <c r="Q63" t="s">
        <v>14</v>
      </c>
      <c r="R63" t="s">
        <v>14</v>
      </c>
      <c r="S63" t="s">
        <v>14</v>
      </c>
      <c r="T63" t="s">
        <v>14</v>
      </c>
      <c r="U63" t="s">
        <v>14</v>
      </c>
      <c r="V63" t="s">
        <v>1161</v>
      </c>
    </row>
    <row r="64" spans="1:22" x14ac:dyDescent="0.25">
      <c r="A64">
        <v>17074239</v>
      </c>
      <c r="B64" t="s">
        <v>430</v>
      </c>
      <c r="C64">
        <v>110</v>
      </c>
      <c r="G64" t="s" cm="1">
        <v>442</v>
      </c>
      <c r="H64" t="s">
        <v>14</v>
      </c>
      <c r="I64" t="s">
        <v>14</v>
      </c>
      <c r="J64" t="s">
        <v>24</v>
      </c>
      <c r="K64" t="s">
        <v>46</v>
      </c>
      <c r="L64" t="s">
        <v>403</v>
      </c>
      <c r="M64" t="s">
        <v>76</v>
      </c>
      <c r="N64" t="s">
        <v>83</v>
      </c>
      <c r="P64" t="s">
        <v>14</v>
      </c>
      <c r="Q64" t="s">
        <v>14</v>
      </c>
      <c r="R64" t="s">
        <v>14</v>
      </c>
      <c r="S64" t="s">
        <v>851</v>
      </c>
      <c r="T64" t="s">
        <v>14</v>
      </c>
      <c r="U64" t="s">
        <v>14</v>
      </c>
      <c r="V64" t="s">
        <v>1163</v>
      </c>
    </row>
    <row r="65" spans="1:22" x14ac:dyDescent="0.25">
      <c r="A65">
        <v>17081476</v>
      </c>
      <c r="B65" t="s">
        <v>433</v>
      </c>
      <c r="C65">
        <v>108</v>
      </c>
      <c r="G65" t="s" cm="1">
        <v>1611</v>
      </c>
      <c r="H65">
        <v>45223</v>
      </c>
      <c r="I65" t="s">
        <v>15</v>
      </c>
      <c r="J65" t="s">
        <v>22</v>
      </c>
      <c r="K65" t="s">
        <v>49</v>
      </c>
      <c r="L65" t="s">
        <v>55</v>
      </c>
      <c r="M65" t="s">
        <v>76</v>
      </c>
      <c r="N65" t="s">
        <v>439</v>
      </c>
      <c r="O65" t="s">
        <v>431</v>
      </c>
      <c r="P65" t="e">
        <v>#N/A</v>
      </c>
      <c r="Q65" t="e">
        <v>#N/A</v>
      </c>
      <c r="R65" t="e">
        <v>#N/A</v>
      </c>
      <c r="S65" t="e">
        <v>#N/A</v>
      </c>
      <c r="T65" t="e">
        <v>#N/A</v>
      </c>
      <c r="U65" t="e">
        <v>#N/A</v>
      </c>
      <c r="V65" t="e">
        <v>#N/A</v>
      </c>
    </row>
    <row r="66" spans="1:22" x14ac:dyDescent="0.25">
      <c r="A66">
        <v>17086669</v>
      </c>
      <c r="B66" t="s">
        <v>433</v>
      </c>
      <c r="C66">
        <v>106</v>
      </c>
      <c r="G66" t="s" cm="1">
        <v>1611</v>
      </c>
      <c r="H66">
        <v>45204</v>
      </c>
      <c r="I66" t="s">
        <v>15</v>
      </c>
      <c r="J66" t="s">
        <v>18</v>
      </c>
      <c r="K66" t="s">
        <v>44</v>
      </c>
      <c r="L66" t="s">
        <v>63</v>
      </c>
      <c r="M66" t="s">
        <v>76</v>
      </c>
      <c r="N66" t="s">
        <v>1567</v>
      </c>
      <c r="O66" t="s">
        <v>431</v>
      </c>
      <c r="P66" t="e">
        <v>#N/A</v>
      </c>
      <c r="Q66" t="e">
        <v>#N/A</v>
      </c>
      <c r="R66" t="e">
        <v>#N/A</v>
      </c>
      <c r="S66" t="e">
        <v>#N/A</v>
      </c>
      <c r="T66" t="e">
        <v>#N/A</v>
      </c>
      <c r="U66" t="e">
        <v>#N/A</v>
      </c>
      <c r="V66" t="e">
        <v>#N/A</v>
      </c>
    </row>
    <row r="67" spans="1:22" x14ac:dyDescent="0.25">
      <c r="A67">
        <v>17087482</v>
      </c>
      <c r="B67" t="s">
        <v>433</v>
      </c>
      <c r="C67">
        <v>105</v>
      </c>
      <c r="G67" t="s" cm="1">
        <v>1611</v>
      </c>
      <c r="H67">
        <v>45229</v>
      </c>
      <c r="I67" t="s">
        <v>15</v>
      </c>
      <c r="J67" t="s">
        <v>22</v>
      </c>
      <c r="K67" t="s">
        <v>51</v>
      </c>
      <c r="L67" t="s">
        <v>1326</v>
      </c>
      <c r="M67" t="s">
        <v>545</v>
      </c>
      <c r="N67" t="s">
        <v>417</v>
      </c>
      <c r="O67" t="s">
        <v>431</v>
      </c>
      <c r="P67" t="e">
        <v>#N/A</v>
      </c>
      <c r="Q67" t="e">
        <v>#N/A</v>
      </c>
      <c r="R67" t="e">
        <v>#N/A</v>
      </c>
      <c r="S67" t="e">
        <v>#N/A</v>
      </c>
      <c r="T67" t="e">
        <v>#N/A</v>
      </c>
      <c r="U67" t="e">
        <v>#N/A</v>
      </c>
      <c r="V67" t="e">
        <v>#N/A</v>
      </c>
    </row>
    <row r="68" spans="1:22" x14ac:dyDescent="0.25">
      <c r="A68">
        <v>10909919</v>
      </c>
      <c r="B68" t="s">
        <v>433</v>
      </c>
      <c r="C68">
        <v>104</v>
      </c>
      <c r="G68" t="s" cm="1">
        <v>1611</v>
      </c>
      <c r="H68">
        <v>45167</v>
      </c>
      <c r="I68" t="s">
        <v>15</v>
      </c>
      <c r="J68" t="s">
        <v>33</v>
      </c>
      <c r="K68" t="s">
        <v>44</v>
      </c>
      <c r="L68" t="s">
        <v>90</v>
      </c>
      <c r="M68" t="s">
        <v>76</v>
      </c>
      <c r="N68" t="s">
        <v>1568</v>
      </c>
      <c r="O68" t="s">
        <v>431</v>
      </c>
      <c r="P68" t="e">
        <v>#N/A</v>
      </c>
      <c r="Q68" t="e">
        <v>#N/A</v>
      </c>
      <c r="R68" t="e">
        <v>#N/A</v>
      </c>
      <c r="S68" t="e">
        <v>#N/A</v>
      </c>
      <c r="T68" t="e">
        <v>#N/A</v>
      </c>
      <c r="U68" t="e">
        <v>#N/A</v>
      </c>
      <c r="V68" t="e">
        <v>#N/A</v>
      </c>
    </row>
    <row r="69" spans="1:22" x14ac:dyDescent="0.25">
      <c r="A69">
        <v>14632579</v>
      </c>
      <c r="B69" t="s">
        <v>433</v>
      </c>
      <c r="C69">
        <v>103</v>
      </c>
      <c r="G69" t="s" cm="1">
        <v>442</v>
      </c>
      <c r="H69">
        <v>45167</v>
      </c>
      <c r="I69" t="s">
        <v>15</v>
      </c>
      <c r="J69" t="s">
        <v>32</v>
      </c>
      <c r="K69" t="s">
        <v>44</v>
      </c>
      <c r="L69" t="s">
        <v>395</v>
      </c>
      <c r="M69" t="s">
        <v>76</v>
      </c>
      <c r="N69" t="s">
        <v>1569</v>
      </c>
      <c r="O69" t="s">
        <v>431</v>
      </c>
      <c r="P69" t="e">
        <v>#N/A</v>
      </c>
      <c r="Q69" t="e">
        <v>#N/A</v>
      </c>
      <c r="R69" t="e">
        <v>#N/A</v>
      </c>
      <c r="S69" t="e">
        <v>#N/A</v>
      </c>
      <c r="T69" t="e">
        <v>#N/A</v>
      </c>
      <c r="U69" t="e">
        <v>#N/A</v>
      </c>
      <c r="V69" t="e">
        <v>#N/A</v>
      </c>
    </row>
    <row r="70" spans="1:22" x14ac:dyDescent="0.25">
      <c r="A70">
        <v>17103847</v>
      </c>
      <c r="B70" t="s">
        <v>433</v>
      </c>
      <c r="C70">
        <v>103</v>
      </c>
      <c r="G70" t="e" cm="1">
        <v>#N/A</v>
      </c>
      <c r="H70">
        <v>45210</v>
      </c>
      <c r="I70" t="s">
        <v>15</v>
      </c>
      <c r="J70" t="s">
        <v>18</v>
      </c>
      <c r="K70" t="s">
        <v>44</v>
      </c>
      <c r="L70" t="s">
        <v>69</v>
      </c>
      <c r="M70" t="s">
        <v>76</v>
      </c>
      <c r="N70" t="s">
        <v>83</v>
      </c>
      <c r="O70" t="s">
        <v>431</v>
      </c>
      <c r="P70" t="s">
        <v>14</v>
      </c>
      <c r="Q70" t="s">
        <v>14</v>
      </c>
      <c r="R70" t="s">
        <v>14</v>
      </c>
      <c r="S70" t="s">
        <v>642</v>
      </c>
      <c r="T70" t="s">
        <v>14</v>
      </c>
      <c r="U70" t="s">
        <v>14</v>
      </c>
      <c r="V70" t="s">
        <v>1170</v>
      </c>
    </row>
    <row r="71" spans="1:22" x14ac:dyDescent="0.25">
      <c r="A71">
        <v>13900137</v>
      </c>
      <c r="B71" t="s">
        <v>433</v>
      </c>
      <c r="C71">
        <v>102</v>
      </c>
      <c r="G71" t="s" cm="1">
        <v>442</v>
      </c>
      <c r="H71">
        <v>45216</v>
      </c>
      <c r="I71" t="s">
        <v>15</v>
      </c>
      <c r="J71" t="s">
        <v>30</v>
      </c>
      <c r="K71" t="s">
        <v>44</v>
      </c>
      <c r="L71" t="s">
        <v>1327</v>
      </c>
      <c r="M71" t="s">
        <v>76</v>
      </c>
      <c r="N71" t="s">
        <v>422</v>
      </c>
      <c r="O71" t="s">
        <v>431</v>
      </c>
      <c r="P71" t="e">
        <v>#N/A</v>
      </c>
      <c r="Q71" t="e">
        <v>#N/A</v>
      </c>
      <c r="R71" t="e">
        <v>#N/A</v>
      </c>
      <c r="S71" t="e">
        <v>#N/A</v>
      </c>
      <c r="T71" t="e">
        <v>#N/A</v>
      </c>
      <c r="U71" t="e">
        <v>#N/A</v>
      </c>
      <c r="V71" t="e">
        <v>#N/A</v>
      </c>
    </row>
    <row r="72" spans="1:22" x14ac:dyDescent="0.25">
      <c r="A72">
        <v>17108405</v>
      </c>
      <c r="B72" t="s" cm="1">
        <v>430</v>
      </c>
      <c r="C72">
        <v>102</v>
      </c>
      <c r="D72" t="s">
        <v>452</v>
      </c>
      <c r="E72">
        <v>45278</v>
      </c>
      <c r="F72" t="s">
        <v>453</v>
      </c>
      <c r="G72" t="s" cm="1">
        <v>442</v>
      </c>
      <c r="H72" t="s">
        <v>14</v>
      </c>
      <c r="I72" t="s">
        <v>14</v>
      </c>
      <c r="J72" t="s">
        <v>30</v>
      </c>
      <c r="K72" t="s">
        <v>48</v>
      </c>
      <c r="L72" t="s">
        <v>74</v>
      </c>
      <c r="M72" t="s">
        <v>76</v>
      </c>
      <c r="N72" t="s">
        <v>83</v>
      </c>
      <c r="P72" t="s">
        <v>856</v>
      </c>
      <c r="Q72" t="s">
        <v>14</v>
      </c>
      <c r="R72" t="s">
        <v>14</v>
      </c>
      <c r="S72" t="s">
        <v>856</v>
      </c>
      <c r="T72" t="s">
        <v>14</v>
      </c>
      <c r="U72" t="s">
        <v>14</v>
      </c>
      <c r="V72" t="s">
        <v>1172</v>
      </c>
    </row>
    <row r="73" spans="1:22" x14ac:dyDescent="0.25">
      <c r="A73">
        <v>17108687</v>
      </c>
      <c r="B73" t="s">
        <v>433</v>
      </c>
      <c r="C73">
        <v>102</v>
      </c>
      <c r="G73" t="s" cm="1">
        <v>442</v>
      </c>
      <c r="H73">
        <v>45204</v>
      </c>
      <c r="I73" t="s">
        <v>15</v>
      </c>
      <c r="J73" t="s">
        <v>30</v>
      </c>
      <c r="K73" t="s">
        <v>44</v>
      </c>
      <c r="L73" t="s">
        <v>1328</v>
      </c>
      <c r="M73" t="s">
        <v>556</v>
      </c>
      <c r="N73" t="s">
        <v>1570</v>
      </c>
      <c r="O73" t="s">
        <v>431</v>
      </c>
      <c r="P73" t="e">
        <v>#N/A</v>
      </c>
      <c r="Q73" t="e">
        <v>#N/A</v>
      </c>
      <c r="R73" t="e">
        <v>#N/A</v>
      </c>
      <c r="S73" t="e">
        <v>#N/A</v>
      </c>
      <c r="T73" t="e">
        <v>#N/A</v>
      </c>
      <c r="U73" t="e">
        <v>#N/A</v>
      </c>
      <c r="V73" t="e">
        <v>#N/A</v>
      </c>
    </row>
    <row r="74" spans="1:22" x14ac:dyDescent="0.25">
      <c r="A74">
        <v>17110253</v>
      </c>
      <c r="B74" t="s" cm="1">
        <v>433</v>
      </c>
      <c r="C74">
        <v>101</v>
      </c>
      <c r="G74" t="s" cm="1">
        <v>442</v>
      </c>
      <c r="H74" t="s">
        <v>14</v>
      </c>
      <c r="I74" t="s">
        <v>379</v>
      </c>
      <c r="J74" t="s">
        <v>30</v>
      </c>
      <c r="K74" t="s">
        <v>52</v>
      </c>
      <c r="L74" t="s">
        <v>625</v>
      </c>
      <c r="M74" t="s">
        <v>76</v>
      </c>
      <c r="N74" t="s">
        <v>83</v>
      </c>
      <c r="P74" t="s">
        <v>14</v>
      </c>
      <c r="Q74" t="s">
        <v>14</v>
      </c>
      <c r="R74" t="s">
        <v>14</v>
      </c>
      <c r="S74" t="s">
        <v>605</v>
      </c>
      <c r="T74" t="s">
        <v>14</v>
      </c>
      <c r="U74" t="s">
        <v>14</v>
      </c>
      <c r="V74" t="s">
        <v>1173</v>
      </c>
    </row>
    <row r="75" spans="1:22" x14ac:dyDescent="0.25">
      <c r="A75">
        <v>17115925</v>
      </c>
      <c r="B75" t="s">
        <v>430</v>
      </c>
      <c r="C75">
        <v>100</v>
      </c>
      <c r="G75" t="e" cm="1">
        <v>#N/A</v>
      </c>
      <c r="H75" t="s">
        <v>14</v>
      </c>
      <c r="I75" t="s">
        <v>380</v>
      </c>
      <c r="J75" t="s">
        <v>24</v>
      </c>
      <c r="K75" t="s">
        <v>571</v>
      </c>
      <c r="L75" t="s">
        <v>621</v>
      </c>
      <c r="M75" t="s">
        <v>76</v>
      </c>
      <c r="N75" t="s">
        <v>83</v>
      </c>
      <c r="P75" t="s">
        <v>14</v>
      </c>
      <c r="Q75" t="s">
        <v>14</v>
      </c>
      <c r="R75" t="s">
        <v>14</v>
      </c>
      <c r="S75" t="s">
        <v>14</v>
      </c>
      <c r="T75" t="s">
        <v>14</v>
      </c>
      <c r="U75" t="s">
        <v>641</v>
      </c>
      <c r="V75" t="s">
        <v>1175</v>
      </c>
    </row>
    <row r="76" spans="1:22" x14ac:dyDescent="0.25">
      <c r="A76">
        <v>17118164</v>
      </c>
      <c r="B76" t="s" cm="1">
        <v>430</v>
      </c>
      <c r="C76">
        <v>98</v>
      </c>
      <c r="D76" t="s">
        <v>452</v>
      </c>
      <c r="E76">
        <v>45278</v>
      </c>
      <c r="F76" t="s">
        <v>453</v>
      </c>
      <c r="G76" t="s" cm="1">
        <v>442</v>
      </c>
      <c r="H76" t="s">
        <v>14</v>
      </c>
      <c r="I76" t="s">
        <v>14</v>
      </c>
      <c r="J76" t="s">
        <v>30</v>
      </c>
      <c r="K76" t="s">
        <v>48</v>
      </c>
      <c r="L76" t="s">
        <v>55</v>
      </c>
      <c r="M76" t="s">
        <v>76</v>
      </c>
      <c r="N76" t="s">
        <v>83</v>
      </c>
      <c r="P76" t="s">
        <v>14</v>
      </c>
      <c r="Q76" t="s">
        <v>14</v>
      </c>
      <c r="R76" t="s">
        <v>14</v>
      </c>
      <c r="S76" t="s">
        <v>857</v>
      </c>
      <c r="T76" t="s">
        <v>14</v>
      </c>
      <c r="U76" t="s">
        <v>14</v>
      </c>
      <c r="V76" t="s">
        <v>1176</v>
      </c>
    </row>
    <row r="77" spans="1:22" x14ac:dyDescent="0.25">
      <c r="A77">
        <v>17120681</v>
      </c>
      <c r="B77" t="s" cm="1">
        <v>430</v>
      </c>
      <c r="C77">
        <v>97</v>
      </c>
      <c r="D77" t="s">
        <v>452</v>
      </c>
      <c r="E77">
        <v>45278</v>
      </c>
      <c r="F77" t="s">
        <v>453</v>
      </c>
      <c r="G77" t="e" cm="1">
        <v>#N/A</v>
      </c>
      <c r="H77" t="s">
        <v>14</v>
      </c>
      <c r="I77" t="s">
        <v>14</v>
      </c>
      <c r="J77" t="s">
        <v>30</v>
      </c>
      <c r="K77" t="s">
        <v>390</v>
      </c>
      <c r="L77" t="s">
        <v>58</v>
      </c>
      <c r="M77" t="s">
        <v>76</v>
      </c>
      <c r="N77" t="s">
        <v>83</v>
      </c>
      <c r="P77" t="s">
        <v>14</v>
      </c>
      <c r="Q77" t="s">
        <v>639</v>
      </c>
      <c r="R77" t="s">
        <v>640</v>
      </c>
      <c r="S77" t="s">
        <v>639</v>
      </c>
      <c r="T77" t="s">
        <v>639</v>
      </c>
      <c r="U77" t="s">
        <v>859</v>
      </c>
      <c r="V77" t="s">
        <v>1178</v>
      </c>
    </row>
    <row r="78" spans="1:22" x14ac:dyDescent="0.25">
      <c r="A78">
        <v>17120686</v>
      </c>
      <c r="B78" t="s">
        <v>433</v>
      </c>
      <c r="C78">
        <v>97</v>
      </c>
      <c r="G78" t="s" cm="1">
        <v>442</v>
      </c>
      <c r="H78">
        <v>45250</v>
      </c>
      <c r="I78" t="s">
        <v>15</v>
      </c>
      <c r="J78" t="s">
        <v>18</v>
      </c>
      <c r="K78" t="s">
        <v>571</v>
      </c>
      <c r="L78" t="s">
        <v>86</v>
      </c>
      <c r="M78" t="s">
        <v>76</v>
      </c>
      <c r="N78" t="s">
        <v>1571</v>
      </c>
      <c r="O78" t="s">
        <v>431</v>
      </c>
      <c r="P78" t="e">
        <v>#N/A</v>
      </c>
      <c r="Q78" t="e">
        <v>#N/A</v>
      </c>
      <c r="R78" t="e">
        <v>#N/A</v>
      </c>
      <c r="S78" t="e">
        <v>#N/A</v>
      </c>
      <c r="T78" t="e">
        <v>#N/A</v>
      </c>
      <c r="U78" t="e">
        <v>#N/A</v>
      </c>
      <c r="V78" t="e">
        <v>#N/A</v>
      </c>
    </row>
    <row r="79" spans="1:22" x14ac:dyDescent="0.25">
      <c r="A79">
        <v>16696443</v>
      </c>
      <c r="B79" t="s">
        <v>433</v>
      </c>
      <c r="C79">
        <v>96</v>
      </c>
      <c r="G79" t="s" cm="1">
        <v>442</v>
      </c>
      <c r="H79">
        <v>45175</v>
      </c>
      <c r="I79" t="s">
        <v>15</v>
      </c>
      <c r="J79" t="s">
        <v>30</v>
      </c>
      <c r="K79" t="s">
        <v>44</v>
      </c>
      <c r="L79" t="s">
        <v>1329</v>
      </c>
      <c r="M79" t="s">
        <v>76</v>
      </c>
      <c r="N79" t="s">
        <v>83</v>
      </c>
      <c r="O79" t="s">
        <v>431</v>
      </c>
      <c r="P79" t="s">
        <v>14</v>
      </c>
      <c r="Q79" t="s">
        <v>14</v>
      </c>
      <c r="R79" t="s">
        <v>14</v>
      </c>
      <c r="S79" t="s">
        <v>820</v>
      </c>
      <c r="T79" t="s">
        <v>14</v>
      </c>
      <c r="U79" t="s">
        <v>14</v>
      </c>
      <c r="V79" t="s">
        <v>1103</v>
      </c>
    </row>
    <row r="80" spans="1:22" x14ac:dyDescent="0.25">
      <c r="A80">
        <v>15715276</v>
      </c>
      <c r="B80" t="s">
        <v>433</v>
      </c>
      <c r="C80">
        <v>95</v>
      </c>
      <c r="G80" t="s" cm="1">
        <v>442</v>
      </c>
      <c r="H80">
        <v>45176</v>
      </c>
      <c r="I80" t="s">
        <v>15</v>
      </c>
      <c r="J80" t="s">
        <v>20</v>
      </c>
      <c r="K80" t="s">
        <v>43</v>
      </c>
      <c r="L80" t="s">
        <v>434</v>
      </c>
      <c r="M80" t="s">
        <v>78</v>
      </c>
      <c r="N80" t="s">
        <v>83</v>
      </c>
      <c r="O80" t="s">
        <v>431</v>
      </c>
      <c r="P80" t="s">
        <v>14</v>
      </c>
      <c r="Q80" t="s">
        <v>14</v>
      </c>
      <c r="R80" t="s">
        <v>14</v>
      </c>
      <c r="S80" t="s">
        <v>713</v>
      </c>
      <c r="T80" t="s">
        <v>14</v>
      </c>
      <c r="U80" t="s">
        <v>714</v>
      </c>
      <c r="V80" t="s">
        <v>1063</v>
      </c>
    </row>
    <row r="81" spans="1:22" x14ac:dyDescent="0.25">
      <c r="A81">
        <v>17135334</v>
      </c>
      <c r="B81" t="s">
        <v>433</v>
      </c>
      <c r="C81">
        <v>95</v>
      </c>
      <c r="G81" t="s" cm="1">
        <v>442</v>
      </c>
      <c r="H81">
        <v>45195</v>
      </c>
      <c r="I81" t="s">
        <v>15</v>
      </c>
      <c r="J81" t="s">
        <v>32</v>
      </c>
      <c r="K81" t="s">
        <v>506</v>
      </c>
      <c r="L81" t="s">
        <v>437</v>
      </c>
      <c r="M81" t="s">
        <v>76</v>
      </c>
      <c r="N81" t="s">
        <v>676</v>
      </c>
      <c r="O81" t="s">
        <v>431</v>
      </c>
      <c r="P81" t="e">
        <v>#N/A</v>
      </c>
      <c r="Q81" t="e">
        <v>#N/A</v>
      </c>
      <c r="R81" t="e">
        <v>#N/A</v>
      </c>
      <c r="S81" t="e">
        <v>#N/A</v>
      </c>
      <c r="T81" t="e">
        <v>#N/A</v>
      </c>
      <c r="U81" t="e">
        <v>#N/A</v>
      </c>
      <c r="V81" t="e">
        <v>#N/A</v>
      </c>
    </row>
    <row r="82" spans="1:22" x14ac:dyDescent="0.25">
      <c r="A82">
        <v>17142520</v>
      </c>
      <c r="B82" t="s" cm="1">
        <v>430</v>
      </c>
      <c r="C82">
        <v>93</v>
      </c>
      <c r="D82" t="s">
        <v>452</v>
      </c>
      <c r="E82">
        <v>45278</v>
      </c>
      <c r="F82" t="s">
        <v>453</v>
      </c>
      <c r="G82" t="s" cm="1">
        <v>442</v>
      </c>
      <c r="H82" t="s">
        <v>14</v>
      </c>
      <c r="I82" t="s">
        <v>14</v>
      </c>
      <c r="J82" t="s">
        <v>30</v>
      </c>
      <c r="K82" t="s">
        <v>52</v>
      </c>
      <c r="L82" t="s">
        <v>74</v>
      </c>
      <c r="M82" t="s">
        <v>76</v>
      </c>
      <c r="N82" t="s">
        <v>83</v>
      </c>
      <c r="P82" t="s">
        <v>862</v>
      </c>
      <c r="Q82" t="s">
        <v>14</v>
      </c>
      <c r="R82" t="s">
        <v>14</v>
      </c>
      <c r="S82" t="s">
        <v>14</v>
      </c>
      <c r="T82" t="s">
        <v>14</v>
      </c>
      <c r="U82" t="s">
        <v>14</v>
      </c>
      <c r="V82" t="s">
        <v>1181</v>
      </c>
    </row>
    <row r="83" spans="1:22" x14ac:dyDescent="0.25">
      <c r="A83">
        <v>15520094</v>
      </c>
      <c r="B83" t="s">
        <v>433</v>
      </c>
      <c r="C83">
        <v>91</v>
      </c>
      <c r="G83" t="s" cm="1">
        <v>442</v>
      </c>
      <c r="H83">
        <v>45188</v>
      </c>
      <c r="I83" t="s">
        <v>15</v>
      </c>
      <c r="J83" t="s">
        <v>30</v>
      </c>
      <c r="K83" t="s">
        <v>44</v>
      </c>
      <c r="L83" t="s">
        <v>394</v>
      </c>
      <c r="M83" t="s">
        <v>76</v>
      </c>
      <c r="N83" t="s">
        <v>748</v>
      </c>
      <c r="O83" t="s">
        <v>431</v>
      </c>
      <c r="P83" t="e">
        <v>#N/A</v>
      </c>
      <c r="Q83" t="e">
        <v>#N/A</v>
      </c>
      <c r="R83" t="e">
        <v>#N/A</v>
      </c>
      <c r="S83" t="e">
        <v>#N/A</v>
      </c>
      <c r="T83" t="e">
        <v>#N/A</v>
      </c>
      <c r="U83" t="e">
        <v>#N/A</v>
      </c>
      <c r="V83" t="e">
        <v>#N/A</v>
      </c>
    </row>
    <row r="84" spans="1:22" x14ac:dyDescent="0.25">
      <c r="A84">
        <v>16975937</v>
      </c>
      <c r="B84" t="s">
        <v>433</v>
      </c>
      <c r="C84">
        <v>90</v>
      </c>
      <c r="G84" t="s" cm="1">
        <v>442</v>
      </c>
      <c r="H84">
        <v>45181</v>
      </c>
      <c r="I84" t="s">
        <v>15</v>
      </c>
      <c r="J84" t="s">
        <v>22</v>
      </c>
      <c r="K84" t="s">
        <v>44</v>
      </c>
      <c r="L84" t="s">
        <v>63</v>
      </c>
      <c r="M84" t="s">
        <v>76</v>
      </c>
      <c r="N84" t="s">
        <v>773</v>
      </c>
      <c r="O84" t="s">
        <v>431</v>
      </c>
      <c r="P84" t="e">
        <v>#N/A</v>
      </c>
      <c r="Q84" t="e">
        <v>#N/A</v>
      </c>
      <c r="R84" t="e">
        <v>#N/A</v>
      </c>
      <c r="S84" t="e">
        <v>#N/A</v>
      </c>
      <c r="T84" t="e">
        <v>#N/A</v>
      </c>
      <c r="U84" t="e">
        <v>#N/A</v>
      </c>
      <c r="V84" t="e">
        <v>#N/A</v>
      </c>
    </row>
    <row r="85" spans="1:22" x14ac:dyDescent="0.25">
      <c r="A85">
        <v>17150534</v>
      </c>
      <c r="B85" t="s">
        <v>433</v>
      </c>
      <c r="C85">
        <v>90</v>
      </c>
      <c r="G85" t="s" cm="1">
        <v>442</v>
      </c>
      <c r="H85">
        <v>45211</v>
      </c>
      <c r="I85" t="s">
        <v>15</v>
      </c>
      <c r="J85" t="s">
        <v>42</v>
      </c>
      <c r="K85" t="s">
        <v>54</v>
      </c>
      <c r="L85" t="s">
        <v>72</v>
      </c>
      <c r="M85" t="s">
        <v>76</v>
      </c>
      <c r="N85" t="s">
        <v>83</v>
      </c>
      <c r="O85" t="s">
        <v>431</v>
      </c>
      <c r="P85" t="s">
        <v>521</v>
      </c>
      <c r="Q85" t="s">
        <v>14</v>
      </c>
      <c r="R85" t="s">
        <v>14</v>
      </c>
      <c r="S85" t="s">
        <v>521</v>
      </c>
      <c r="T85" t="s">
        <v>14</v>
      </c>
      <c r="U85" t="s">
        <v>14</v>
      </c>
      <c r="V85" t="s">
        <v>1185</v>
      </c>
    </row>
    <row r="86" spans="1:22" x14ac:dyDescent="0.25">
      <c r="A86">
        <v>17153390</v>
      </c>
      <c r="B86" t="s" cm="1">
        <v>433</v>
      </c>
      <c r="C86">
        <v>90</v>
      </c>
      <c r="G86" t="s" cm="1">
        <v>442</v>
      </c>
      <c r="H86" t="s">
        <v>14</v>
      </c>
      <c r="I86" t="s">
        <v>14</v>
      </c>
      <c r="J86" t="s">
        <v>26</v>
      </c>
      <c r="K86" t="s">
        <v>45</v>
      </c>
      <c r="L86" t="s">
        <v>1434</v>
      </c>
      <c r="M86" t="s">
        <v>743</v>
      </c>
      <c r="N86" t="s">
        <v>83</v>
      </c>
      <c r="P86" t="s">
        <v>14</v>
      </c>
      <c r="Q86" t="s">
        <v>14</v>
      </c>
      <c r="R86" t="s">
        <v>14</v>
      </c>
      <c r="S86" t="s">
        <v>519</v>
      </c>
      <c r="T86" t="s">
        <v>14</v>
      </c>
      <c r="U86" t="s">
        <v>520</v>
      </c>
      <c r="V86" t="s">
        <v>1187</v>
      </c>
    </row>
    <row r="87" spans="1:22" x14ac:dyDescent="0.25">
      <c r="A87">
        <v>14855447</v>
      </c>
      <c r="B87" t="s">
        <v>433</v>
      </c>
      <c r="C87">
        <v>89</v>
      </c>
      <c r="G87" t="s" cm="1">
        <v>442</v>
      </c>
      <c r="H87">
        <v>45182</v>
      </c>
      <c r="I87" t="s">
        <v>15</v>
      </c>
      <c r="J87" t="s">
        <v>30</v>
      </c>
      <c r="K87" t="s">
        <v>44</v>
      </c>
      <c r="L87" t="s">
        <v>1435</v>
      </c>
      <c r="M87" t="s">
        <v>78</v>
      </c>
      <c r="N87" t="s">
        <v>83</v>
      </c>
      <c r="O87" t="s">
        <v>431</v>
      </c>
      <c r="P87" t="s">
        <v>14</v>
      </c>
      <c r="Q87" t="s">
        <v>14</v>
      </c>
      <c r="R87" t="s">
        <v>14</v>
      </c>
      <c r="S87" t="s">
        <v>784</v>
      </c>
      <c r="T87" t="s">
        <v>14</v>
      </c>
      <c r="U87" t="s">
        <v>785</v>
      </c>
      <c r="V87" t="s">
        <v>1044</v>
      </c>
    </row>
    <row r="88" spans="1:22" x14ac:dyDescent="0.25">
      <c r="A88">
        <v>17159452</v>
      </c>
      <c r="B88" t="s">
        <v>433</v>
      </c>
      <c r="C88">
        <v>89</v>
      </c>
      <c r="G88" t="s" cm="1">
        <v>442</v>
      </c>
      <c r="H88">
        <v>45208</v>
      </c>
      <c r="I88" t="s">
        <v>15</v>
      </c>
      <c r="J88" t="s">
        <v>24</v>
      </c>
      <c r="K88" t="s">
        <v>44</v>
      </c>
      <c r="L88" t="s">
        <v>392</v>
      </c>
      <c r="M88" t="s">
        <v>76</v>
      </c>
      <c r="N88" t="s">
        <v>772</v>
      </c>
      <c r="O88" t="s">
        <v>431</v>
      </c>
      <c r="P88" t="e">
        <v>#N/A</v>
      </c>
      <c r="Q88" t="e">
        <v>#N/A</v>
      </c>
      <c r="R88" t="e">
        <v>#N/A</v>
      </c>
      <c r="S88" t="e">
        <v>#N/A</v>
      </c>
      <c r="T88" t="e">
        <v>#N/A</v>
      </c>
      <c r="U88" t="e">
        <v>#N/A</v>
      </c>
      <c r="V88" t="e">
        <v>#N/A</v>
      </c>
    </row>
    <row r="89" spans="1:22" x14ac:dyDescent="0.25">
      <c r="A89">
        <v>17161458</v>
      </c>
      <c r="B89" t="s">
        <v>433</v>
      </c>
      <c r="C89">
        <v>88</v>
      </c>
      <c r="G89" t="s" cm="1">
        <v>442</v>
      </c>
      <c r="H89">
        <v>45267</v>
      </c>
      <c r="I89" t="s">
        <v>15</v>
      </c>
      <c r="J89" t="s">
        <v>30</v>
      </c>
      <c r="K89" t="s">
        <v>432</v>
      </c>
      <c r="L89" t="s">
        <v>1436</v>
      </c>
      <c r="M89" t="s">
        <v>78</v>
      </c>
      <c r="N89" t="s">
        <v>750</v>
      </c>
      <c r="O89" t="s">
        <v>431</v>
      </c>
      <c r="P89" t="e">
        <v>#N/A</v>
      </c>
      <c r="Q89" t="e">
        <v>#N/A</v>
      </c>
      <c r="R89" t="e">
        <v>#N/A</v>
      </c>
      <c r="S89" t="e">
        <v>#N/A</v>
      </c>
      <c r="T89" t="e">
        <v>#N/A</v>
      </c>
      <c r="U89" t="e">
        <v>#N/A</v>
      </c>
      <c r="V89" t="e">
        <v>#N/A</v>
      </c>
    </row>
    <row r="90" spans="1:22" x14ac:dyDescent="0.25">
      <c r="A90">
        <v>17165655</v>
      </c>
      <c r="B90" t="s">
        <v>430</v>
      </c>
      <c r="C90">
        <v>88</v>
      </c>
      <c r="D90" t="s">
        <v>452</v>
      </c>
      <c r="E90">
        <v>45272</v>
      </c>
      <c r="F90" t="s">
        <v>751</v>
      </c>
      <c r="G90" t="s" cm="1">
        <v>442</v>
      </c>
      <c r="H90" t="s">
        <v>14</v>
      </c>
      <c r="I90" t="s">
        <v>14</v>
      </c>
      <c r="J90" t="s">
        <v>42</v>
      </c>
      <c r="K90" t="s">
        <v>432</v>
      </c>
      <c r="L90" t="s">
        <v>727</v>
      </c>
      <c r="M90" t="s">
        <v>770</v>
      </c>
      <c r="N90" t="s">
        <v>83</v>
      </c>
      <c r="P90" t="s">
        <v>14</v>
      </c>
      <c r="Q90" t="s">
        <v>14</v>
      </c>
      <c r="R90" t="s">
        <v>14</v>
      </c>
      <c r="S90" t="s">
        <v>867</v>
      </c>
      <c r="T90" t="s">
        <v>14</v>
      </c>
      <c r="U90" t="s">
        <v>868</v>
      </c>
      <c r="V90" t="s">
        <v>1190</v>
      </c>
    </row>
    <row r="91" spans="1:22" x14ac:dyDescent="0.25">
      <c r="A91">
        <v>14944018</v>
      </c>
      <c r="B91" t="s">
        <v>433</v>
      </c>
      <c r="C91">
        <v>87</v>
      </c>
      <c r="G91" t="s" cm="1">
        <v>442</v>
      </c>
      <c r="H91">
        <v>45196</v>
      </c>
      <c r="I91" t="s">
        <v>15</v>
      </c>
      <c r="J91" t="s">
        <v>24</v>
      </c>
      <c r="K91" t="s">
        <v>44</v>
      </c>
      <c r="L91" t="s">
        <v>1437</v>
      </c>
      <c r="M91" t="s">
        <v>76</v>
      </c>
      <c r="N91" t="s">
        <v>1572</v>
      </c>
      <c r="O91" t="s">
        <v>431</v>
      </c>
      <c r="P91" t="e">
        <v>#N/A</v>
      </c>
      <c r="Q91" t="e">
        <v>#N/A</v>
      </c>
      <c r="R91" t="e">
        <v>#N/A</v>
      </c>
      <c r="S91" t="e">
        <v>#N/A</v>
      </c>
      <c r="T91" t="e">
        <v>#N/A</v>
      </c>
      <c r="U91" t="e">
        <v>#N/A</v>
      </c>
      <c r="V91" t="e">
        <v>#N/A</v>
      </c>
    </row>
    <row r="92" spans="1:22" x14ac:dyDescent="0.25">
      <c r="A92">
        <v>17167032</v>
      </c>
      <c r="B92" t="s">
        <v>433</v>
      </c>
      <c r="C92">
        <v>87</v>
      </c>
      <c r="G92" t="s" cm="1">
        <v>442</v>
      </c>
      <c r="H92">
        <v>45191</v>
      </c>
      <c r="I92" t="s">
        <v>15</v>
      </c>
      <c r="J92" t="s">
        <v>30</v>
      </c>
      <c r="K92" t="s">
        <v>44</v>
      </c>
      <c r="L92" t="s">
        <v>527</v>
      </c>
      <c r="M92" t="s">
        <v>444</v>
      </c>
      <c r="N92" t="s">
        <v>1573</v>
      </c>
      <c r="O92" t="s">
        <v>431</v>
      </c>
      <c r="P92" t="e">
        <v>#N/A</v>
      </c>
      <c r="Q92" t="e">
        <v>#N/A</v>
      </c>
      <c r="R92" t="e">
        <v>#N/A</v>
      </c>
      <c r="S92" t="e">
        <v>#N/A</v>
      </c>
      <c r="T92" t="e">
        <v>#N/A</v>
      </c>
      <c r="U92" t="e">
        <v>#N/A</v>
      </c>
      <c r="V92" t="e">
        <v>#N/A</v>
      </c>
    </row>
    <row r="93" spans="1:22" x14ac:dyDescent="0.25">
      <c r="A93">
        <v>15425247</v>
      </c>
      <c r="B93" t="s">
        <v>433</v>
      </c>
      <c r="C93">
        <v>86</v>
      </c>
      <c r="G93" t="s" cm="1">
        <v>442</v>
      </c>
      <c r="H93">
        <v>45244</v>
      </c>
      <c r="I93" t="s">
        <v>15</v>
      </c>
      <c r="J93" t="s">
        <v>24</v>
      </c>
      <c r="K93" t="s">
        <v>44</v>
      </c>
      <c r="L93" t="s">
        <v>1438</v>
      </c>
      <c r="M93" t="s">
        <v>76</v>
      </c>
      <c r="N93" t="s">
        <v>429</v>
      </c>
      <c r="O93" t="s">
        <v>431</v>
      </c>
      <c r="P93" t="s">
        <v>14</v>
      </c>
      <c r="Q93" t="s">
        <v>14</v>
      </c>
      <c r="R93" t="s">
        <v>14</v>
      </c>
      <c r="S93" t="s">
        <v>591</v>
      </c>
      <c r="T93" t="s">
        <v>14</v>
      </c>
      <c r="U93" t="s">
        <v>514</v>
      </c>
      <c r="V93">
        <v>0</v>
      </c>
    </row>
    <row r="94" spans="1:22" x14ac:dyDescent="0.25">
      <c r="A94">
        <v>17172387</v>
      </c>
      <c r="B94" t="s">
        <v>433</v>
      </c>
      <c r="C94">
        <v>86</v>
      </c>
      <c r="G94" t="s" cm="1">
        <v>442</v>
      </c>
      <c r="H94">
        <v>45202</v>
      </c>
      <c r="I94" t="s">
        <v>15</v>
      </c>
      <c r="J94" t="s">
        <v>32</v>
      </c>
      <c r="K94" t="s">
        <v>44</v>
      </c>
      <c r="L94" t="s">
        <v>505</v>
      </c>
      <c r="M94" t="s">
        <v>76</v>
      </c>
      <c r="N94" t="s">
        <v>83</v>
      </c>
      <c r="O94" t="s">
        <v>431</v>
      </c>
      <c r="P94" t="s">
        <v>14</v>
      </c>
      <c r="Q94" t="s">
        <v>517</v>
      </c>
      <c r="R94" t="s">
        <v>517</v>
      </c>
      <c r="S94" t="s">
        <v>14</v>
      </c>
      <c r="T94" t="s">
        <v>518</v>
      </c>
      <c r="U94" t="s">
        <v>14</v>
      </c>
      <c r="V94" t="s">
        <v>1192</v>
      </c>
    </row>
    <row r="95" spans="1:22" x14ac:dyDescent="0.25">
      <c r="A95">
        <v>17172550</v>
      </c>
      <c r="B95" t="s">
        <v>430</v>
      </c>
      <c r="C95">
        <v>86</v>
      </c>
      <c r="G95" t="e" cm="1">
        <v>#N/A</v>
      </c>
      <c r="H95" t="s">
        <v>14</v>
      </c>
      <c r="I95" t="s">
        <v>380</v>
      </c>
      <c r="J95" t="s">
        <v>32</v>
      </c>
      <c r="K95" t="s">
        <v>48</v>
      </c>
      <c r="L95" t="s">
        <v>740</v>
      </c>
      <c r="M95" t="s">
        <v>76</v>
      </c>
      <c r="N95" t="s">
        <v>83</v>
      </c>
      <c r="P95" t="s">
        <v>14</v>
      </c>
      <c r="Q95" t="s">
        <v>14</v>
      </c>
      <c r="R95" t="s">
        <v>14</v>
      </c>
      <c r="S95" t="s">
        <v>871</v>
      </c>
      <c r="T95" t="s">
        <v>14</v>
      </c>
      <c r="U95" t="s">
        <v>872</v>
      </c>
      <c r="V95" t="s">
        <v>1193</v>
      </c>
    </row>
    <row r="96" spans="1:22" x14ac:dyDescent="0.25">
      <c r="A96">
        <v>16900000</v>
      </c>
      <c r="B96" t="s" cm="1">
        <v>433</v>
      </c>
      <c r="C96">
        <v>84</v>
      </c>
      <c r="G96" t="s" cm="1">
        <v>442</v>
      </c>
      <c r="H96" t="s">
        <v>14</v>
      </c>
      <c r="I96" t="s">
        <v>14</v>
      </c>
      <c r="J96" t="s">
        <v>30</v>
      </c>
      <c r="K96" t="s">
        <v>44</v>
      </c>
      <c r="L96" t="s">
        <v>1439</v>
      </c>
      <c r="M96" t="s">
        <v>78</v>
      </c>
      <c r="N96" t="s">
        <v>83</v>
      </c>
      <c r="P96" t="s">
        <v>14</v>
      </c>
      <c r="Q96" t="s">
        <v>14</v>
      </c>
      <c r="R96" t="s">
        <v>14</v>
      </c>
      <c r="S96" t="s">
        <v>839</v>
      </c>
      <c r="T96" t="s">
        <v>14</v>
      </c>
      <c r="U96" t="s">
        <v>14</v>
      </c>
      <c r="V96" t="s">
        <v>1129</v>
      </c>
    </row>
    <row r="97" spans="1:22" x14ac:dyDescent="0.25">
      <c r="A97">
        <v>16721448</v>
      </c>
      <c r="B97" t="s" cm="1">
        <v>430</v>
      </c>
      <c r="C97">
        <v>83</v>
      </c>
      <c r="D97" t="s">
        <v>452</v>
      </c>
      <c r="E97">
        <v>45274</v>
      </c>
      <c r="F97" t="s">
        <v>1608</v>
      </c>
      <c r="G97" t="e" cm="1">
        <v>#N/A</v>
      </c>
      <c r="H97" t="s">
        <v>14</v>
      </c>
      <c r="I97" t="s">
        <v>14</v>
      </c>
      <c r="J97" t="s">
        <v>18</v>
      </c>
      <c r="K97" t="s">
        <v>46</v>
      </c>
      <c r="L97" t="s">
        <v>395</v>
      </c>
      <c r="M97" t="s">
        <v>76</v>
      </c>
      <c r="N97" t="s">
        <v>83</v>
      </c>
      <c r="P97" t="s">
        <v>14</v>
      </c>
      <c r="Q97" t="s">
        <v>14</v>
      </c>
      <c r="R97" t="s">
        <v>14</v>
      </c>
      <c r="S97" t="s">
        <v>489</v>
      </c>
      <c r="T97" t="s">
        <v>14</v>
      </c>
      <c r="U97" t="s">
        <v>14</v>
      </c>
      <c r="V97" t="s">
        <v>1106</v>
      </c>
    </row>
    <row r="98" spans="1:22" x14ac:dyDescent="0.25">
      <c r="A98">
        <v>16888230</v>
      </c>
      <c r="B98" t="s">
        <v>433</v>
      </c>
      <c r="C98">
        <v>83</v>
      </c>
      <c r="G98" t="s" cm="1">
        <v>442</v>
      </c>
      <c r="H98">
        <v>45203</v>
      </c>
      <c r="I98" t="s">
        <v>15</v>
      </c>
      <c r="J98" t="s">
        <v>32</v>
      </c>
      <c r="K98" t="s">
        <v>44</v>
      </c>
      <c r="L98" t="s">
        <v>392</v>
      </c>
      <c r="M98" t="s">
        <v>76</v>
      </c>
      <c r="N98" t="s">
        <v>414</v>
      </c>
      <c r="O98" t="s">
        <v>431</v>
      </c>
      <c r="P98" t="e">
        <v>#N/A</v>
      </c>
      <c r="Q98" t="e">
        <v>#N/A</v>
      </c>
      <c r="R98" t="e">
        <v>#N/A</v>
      </c>
      <c r="S98" t="e">
        <v>#N/A</v>
      </c>
      <c r="T98" t="e">
        <v>#N/A</v>
      </c>
      <c r="U98" t="e">
        <v>#N/A</v>
      </c>
      <c r="V98" t="e">
        <v>#N/A</v>
      </c>
    </row>
    <row r="99" spans="1:22" x14ac:dyDescent="0.25">
      <c r="A99">
        <v>16313577</v>
      </c>
      <c r="B99" t="s">
        <v>433</v>
      </c>
      <c r="C99">
        <v>82</v>
      </c>
      <c r="G99" t="s" cm="1">
        <v>442</v>
      </c>
      <c r="H99" t="s">
        <v>14</v>
      </c>
      <c r="I99" t="s">
        <v>14</v>
      </c>
      <c r="J99" t="s">
        <v>29</v>
      </c>
      <c r="K99" t="s">
        <v>43</v>
      </c>
      <c r="L99" t="s">
        <v>1440</v>
      </c>
      <c r="M99" t="s">
        <v>76</v>
      </c>
      <c r="N99" t="s">
        <v>83</v>
      </c>
      <c r="P99" t="s">
        <v>14</v>
      </c>
      <c r="Q99" t="s">
        <v>14</v>
      </c>
      <c r="R99" t="s">
        <v>14</v>
      </c>
      <c r="S99" t="s">
        <v>14</v>
      </c>
      <c r="T99" t="s">
        <v>14</v>
      </c>
      <c r="U99" t="s">
        <v>616</v>
      </c>
      <c r="V99" t="s">
        <v>1080</v>
      </c>
    </row>
    <row r="100" spans="1:22" x14ac:dyDescent="0.25">
      <c r="A100">
        <v>17185610</v>
      </c>
      <c r="B100" t="s">
        <v>433</v>
      </c>
      <c r="C100">
        <v>82</v>
      </c>
      <c r="G100" t="s" cm="1">
        <v>442</v>
      </c>
      <c r="H100" t="s">
        <v>14</v>
      </c>
      <c r="I100" t="s">
        <v>380</v>
      </c>
      <c r="J100" t="s">
        <v>383</v>
      </c>
      <c r="K100" t="s">
        <v>53</v>
      </c>
      <c r="L100" t="s">
        <v>89</v>
      </c>
      <c r="M100" t="s">
        <v>76</v>
      </c>
      <c r="N100" t="s">
        <v>83</v>
      </c>
      <c r="P100" t="s">
        <v>14</v>
      </c>
      <c r="Q100" t="s">
        <v>14</v>
      </c>
      <c r="R100" t="s">
        <v>14</v>
      </c>
      <c r="S100" t="s">
        <v>873</v>
      </c>
      <c r="T100" t="s">
        <v>14</v>
      </c>
      <c r="U100" t="s">
        <v>530</v>
      </c>
      <c r="V100" t="s">
        <v>1194</v>
      </c>
    </row>
    <row r="101" spans="1:22" x14ac:dyDescent="0.25">
      <c r="A101">
        <v>17192566</v>
      </c>
      <c r="B101" t="s">
        <v>433</v>
      </c>
      <c r="C101">
        <v>81</v>
      </c>
      <c r="G101" t="s" cm="1">
        <v>442</v>
      </c>
      <c r="H101">
        <v>45239</v>
      </c>
      <c r="I101" t="s">
        <v>15</v>
      </c>
      <c r="J101" t="s">
        <v>22</v>
      </c>
      <c r="K101" t="s">
        <v>388</v>
      </c>
      <c r="L101" t="s">
        <v>1441</v>
      </c>
      <c r="M101" t="s">
        <v>79</v>
      </c>
      <c r="N101" t="s">
        <v>416</v>
      </c>
      <c r="O101" t="s">
        <v>431</v>
      </c>
      <c r="P101" t="e">
        <v>#N/A</v>
      </c>
      <c r="Q101" t="e">
        <v>#N/A</v>
      </c>
      <c r="R101" t="e">
        <v>#N/A</v>
      </c>
      <c r="S101" t="e">
        <v>#N/A</v>
      </c>
      <c r="T101" t="e">
        <v>#N/A</v>
      </c>
      <c r="U101" t="e">
        <v>#N/A</v>
      </c>
      <c r="V101" t="e">
        <v>#N/A</v>
      </c>
    </row>
    <row r="102" spans="1:22" x14ac:dyDescent="0.25">
      <c r="A102">
        <v>17193938</v>
      </c>
      <c r="B102" t="s">
        <v>430</v>
      </c>
      <c r="C102">
        <v>81</v>
      </c>
      <c r="D102" t="s">
        <v>452</v>
      </c>
      <c r="E102">
        <v>45272</v>
      </c>
      <c r="F102" t="s">
        <v>751</v>
      </c>
      <c r="G102" t="e" cm="1">
        <v>#N/A</v>
      </c>
      <c r="H102" t="s">
        <v>14</v>
      </c>
      <c r="I102" t="s">
        <v>14</v>
      </c>
      <c r="J102" t="s">
        <v>25</v>
      </c>
      <c r="K102" t="s">
        <v>387</v>
      </c>
      <c r="L102" t="s">
        <v>1442</v>
      </c>
      <c r="M102" t="s">
        <v>76</v>
      </c>
      <c r="N102" t="s">
        <v>83</v>
      </c>
      <c r="P102" t="s">
        <v>14</v>
      </c>
      <c r="Q102" t="s">
        <v>14</v>
      </c>
      <c r="R102" t="s">
        <v>14</v>
      </c>
      <c r="S102" t="s">
        <v>701</v>
      </c>
      <c r="T102" t="s">
        <v>14</v>
      </c>
      <c r="U102" t="s">
        <v>634</v>
      </c>
      <c r="V102" t="s">
        <v>1197</v>
      </c>
    </row>
    <row r="103" spans="1:22" x14ac:dyDescent="0.25">
      <c r="A103">
        <v>17195431</v>
      </c>
      <c r="B103" t="s">
        <v>433</v>
      </c>
      <c r="C103">
        <v>81</v>
      </c>
      <c r="G103" t="e" cm="1">
        <v>#N/A</v>
      </c>
      <c r="H103">
        <v>45230</v>
      </c>
      <c r="I103" t="s">
        <v>15</v>
      </c>
      <c r="J103" t="s">
        <v>30</v>
      </c>
      <c r="K103" t="s">
        <v>52</v>
      </c>
      <c r="L103" t="s">
        <v>394</v>
      </c>
      <c r="M103" t="s">
        <v>76</v>
      </c>
      <c r="N103" t="s">
        <v>1574</v>
      </c>
      <c r="O103" t="s">
        <v>431</v>
      </c>
      <c r="P103" t="e">
        <v>#N/A</v>
      </c>
      <c r="Q103" t="e">
        <v>#N/A</v>
      </c>
      <c r="R103" t="e">
        <v>#N/A</v>
      </c>
      <c r="S103" t="e">
        <v>#N/A</v>
      </c>
      <c r="T103" t="e">
        <v>#N/A</v>
      </c>
      <c r="U103" t="e">
        <v>#N/A</v>
      </c>
      <c r="V103" t="e">
        <v>#N/A</v>
      </c>
    </row>
    <row r="104" spans="1:22" x14ac:dyDescent="0.25">
      <c r="A104">
        <v>12017303</v>
      </c>
      <c r="B104" t="s">
        <v>433</v>
      </c>
      <c r="C104">
        <v>80</v>
      </c>
      <c r="G104" t="s" cm="1">
        <v>442</v>
      </c>
      <c r="H104">
        <v>45191</v>
      </c>
      <c r="I104" t="s">
        <v>15</v>
      </c>
      <c r="J104" t="s">
        <v>24</v>
      </c>
      <c r="K104" t="s">
        <v>44</v>
      </c>
      <c r="L104" t="s">
        <v>60</v>
      </c>
      <c r="M104" t="s">
        <v>76</v>
      </c>
      <c r="N104" t="s">
        <v>1573</v>
      </c>
      <c r="O104" t="s">
        <v>431</v>
      </c>
      <c r="P104" t="e">
        <v>#N/A</v>
      </c>
      <c r="Q104" t="e">
        <v>#N/A</v>
      </c>
      <c r="R104" t="e">
        <v>#N/A</v>
      </c>
      <c r="S104" t="e">
        <v>#N/A</v>
      </c>
      <c r="T104" t="e">
        <v>#N/A</v>
      </c>
      <c r="U104" t="e">
        <v>#N/A</v>
      </c>
      <c r="V104" t="e">
        <v>#N/A</v>
      </c>
    </row>
    <row r="105" spans="1:22" x14ac:dyDescent="0.25">
      <c r="A105">
        <v>16423713</v>
      </c>
      <c r="B105" t="s">
        <v>433</v>
      </c>
      <c r="C105">
        <v>80</v>
      </c>
      <c r="G105" t="e" cm="1">
        <v>#N/A</v>
      </c>
      <c r="H105">
        <v>45191</v>
      </c>
      <c r="I105" t="s">
        <v>15</v>
      </c>
      <c r="J105" t="s">
        <v>30</v>
      </c>
      <c r="K105" t="s">
        <v>44</v>
      </c>
      <c r="L105" t="s">
        <v>1319</v>
      </c>
      <c r="M105" t="s">
        <v>76</v>
      </c>
      <c r="N105" t="s">
        <v>83</v>
      </c>
      <c r="O105" t="s">
        <v>431</v>
      </c>
      <c r="P105" t="s">
        <v>14</v>
      </c>
      <c r="Q105" t="s">
        <v>14</v>
      </c>
      <c r="R105" t="s">
        <v>14</v>
      </c>
      <c r="S105" t="s">
        <v>812</v>
      </c>
      <c r="T105" t="s">
        <v>14</v>
      </c>
      <c r="U105" t="s">
        <v>14</v>
      </c>
      <c r="V105" t="s">
        <v>1086</v>
      </c>
    </row>
    <row r="106" spans="1:22" x14ac:dyDescent="0.25">
      <c r="A106">
        <v>17200617</v>
      </c>
      <c r="B106" t="s">
        <v>433</v>
      </c>
      <c r="C106">
        <v>80</v>
      </c>
      <c r="G106" t="s" cm="1">
        <v>442</v>
      </c>
      <c r="H106">
        <v>45224</v>
      </c>
      <c r="I106" t="s">
        <v>15</v>
      </c>
      <c r="J106" t="s">
        <v>18</v>
      </c>
      <c r="K106" t="s">
        <v>44</v>
      </c>
      <c r="L106" t="s">
        <v>1443</v>
      </c>
      <c r="M106" t="s">
        <v>76</v>
      </c>
      <c r="N106" t="s">
        <v>1575</v>
      </c>
      <c r="O106" t="s">
        <v>431</v>
      </c>
      <c r="P106" t="e">
        <v>#N/A</v>
      </c>
      <c r="Q106" t="e">
        <v>#N/A</v>
      </c>
      <c r="R106" t="e">
        <v>#N/A</v>
      </c>
      <c r="S106" t="e">
        <v>#N/A</v>
      </c>
      <c r="T106" t="e">
        <v>#N/A</v>
      </c>
      <c r="U106" t="e">
        <v>#N/A</v>
      </c>
      <c r="V106" t="e">
        <v>#N/A</v>
      </c>
    </row>
    <row r="107" spans="1:22" x14ac:dyDescent="0.25">
      <c r="A107">
        <v>16736697</v>
      </c>
      <c r="B107" t="s">
        <v>433</v>
      </c>
      <c r="C107">
        <v>77</v>
      </c>
      <c r="G107" t="e" cm="1">
        <v>#N/A</v>
      </c>
      <c r="H107">
        <v>45211</v>
      </c>
      <c r="I107" t="s">
        <v>15</v>
      </c>
      <c r="J107" t="s">
        <v>30</v>
      </c>
      <c r="K107" t="s">
        <v>44</v>
      </c>
      <c r="L107" t="s">
        <v>1444</v>
      </c>
      <c r="M107" t="s">
        <v>76</v>
      </c>
      <c r="N107" t="s">
        <v>1355</v>
      </c>
      <c r="O107" t="s">
        <v>431</v>
      </c>
      <c r="P107" t="e">
        <v>#N/A</v>
      </c>
      <c r="Q107" t="e">
        <v>#N/A</v>
      </c>
      <c r="R107" t="e">
        <v>#N/A</v>
      </c>
      <c r="S107" t="e">
        <v>#N/A</v>
      </c>
      <c r="T107" t="e">
        <v>#N/A</v>
      </c>
      <c r="U107" t="e">
        <v>#N/A</v>
      </c>
      <c r="V107" t="e">
        <v>#N/A</v>
      </c>
    </row>
    <row r="108" spans="1:22" x14ac:dyDescent="0.25">
      <c r="A108">
        <v>17204555</v>
      </c>
      <c r="B108" t="s" cm="1">
        <v>430</v>
      </c>
      <c r="C108">
        <v>77</v>
      </c>
      <c r="G108" t="s" cm="1">
        <v>442</v>
      </c>
      <c r="H108" t="s">
        <v>14</v>
      </c>
      <c r="I108" t="s">
        <v>14</v>
      </c>
      <c r="J108" t="s">
        <v>30</v>
      </c>
      <c r="K108" t="s">
        <v>43</v>
      </c>
      <c r="L108" t="s">
        <v>86</v>
      </c>
      <c r="M108" t="s">
        <v>76</v>
      </c>
      <c r="N108" t="s">
        <v>83</v>
      </c>
      <c r="P108" t="s">
        <v>14</v>
      </c>
      <c r="Q108" t="s">
        <v>14</v>
      </c>
      <c r="R108" t="s">
        <v>14</v>
      </c>
      <c r="S108" t="s">
        <v>876</v>
      </c>
      <c r="T108" t="s">
        <v>14</v>
      </c>
      <c r="U108" t="s">
        <v>877</v>
      </c>
      <c r="V108" t="s">
        <v>1199</v>
      </c>
    </row>
    <row r="109" spans="1:22" x14ac:dyDescent="0.25">
      <c r="A109">
        <v>17207211</v>
      </c>
      <c r="B109" t="s" cm="1">
        <v>430</v>
      </c>
      <c r="C109">
        <v>77</v>
      </c>
      <c r="D109" t="s">
        <v>452</v>
      </c>
      <c r="E109">
        <v>45274</v>
      </c>
      <c r="F109" t="s">
        <v>1608</v>
      </c>
      <c r="G109" t="e" cm="1">
        <v>#N/A</v>
      </c>
      <c r="H109" t="s">
        <v>14</v>
      </c>
      <c r="I109" t="s">
        <v>14</v>
      </c>
      <c r="J109" t="s">
        <v>22</v>
      </c>
      <c r="K109" t="s">
        <v>45</v>
      </c>
      <c r="L109" t="s">
        <v>63</v>
      </c>
      <c r="M109" t="s">
        <v>76</v>
      </c>
      <c r="N109" t="s">
        <v>83</v>
      </c>
      <c r="P109" t="s">
        <v>878</v>
      </c>
      <c r="Q109" t="s">
        <v>14</v>
      </c>
      <c r="R109" t="s">
        <v>14</v>
      </c>
      <c r="S109" t="s">
        <v>878</v>
      </c>
      <c r="T109" t="s">
        <v>14</v>
      </c>
      <c r="U109" t="s">
        <v>14</v>
      </c>
      <c r="V109" t="s">
        <v>1200</v>
      </c>
    </row>
    <row r="110" spans="1:22" x14ac:dyDescent="0.25">
      <c r="A110">
        <v>10489552</v>
      </c>
      <c r="B110" t="s" cm="1">
        <v>430</v>
      </c>
      <c r="C110">
        <v>76</v>
      </c>
      <c r="G110" t="s" cm="1">
        <v>442</v>
      </c>
      <c r="H110" t="s">
        <v>14</v>
      </c>
      <c r="I110" t="s">
        <v>14</v>
      </c>
      <c r="J110" t="s">
        <v>30</v>
      </c>
      <c r="K110" t="s">
        <v>44</v>
      </c>
      <c r="L110" t="s">
        <v>1445</v>
      </c>
      <c r="M110" t="s">
        <v>1533</v>
      </c>
      <c r="N110" t="s">
        <v>83</v>
      </c>
      <c r="P110">
        <v>0</v>
      </c>
      <c r="Q110">
        <v>0</v>
      </c>
      <c r="R110">
        <v>0</v>
      </c>
      <c r="S110" t="s">
        <v>1358</v>
      </c>
      <c r="T110">
        <v>0</v>
      </c>
      <c r="U110">
        <v>0</v>
      </c>
      <c r="V110" t="s">
        <v>1017</v>
      </c>
    </row>
    <row r="111" spans="1:22" x14ac:dyDescent="0.25">
      <c r="A111">
        <v>17210198</v>
      </c>
      <c r="B111" t="s" cm="1">
        <v>430</v>
      </c>
      <c r="C111">
        <v>76</v>
      </c>
      <c r="G111" t="s" cm="1">
        <v>442</v>
      </c>
      <c r="H111" t="s">
        <v>14</v>
      </c>
      <c r="I111" t="s">
        <v>14</v>
      </c>
      <c r="J111" t="s">
        <v>30</v>
      </c>
      <c r="K111" t="s">
        <v>53</v>
      </c>
      <c r="L111" t="s">
        <v>74</v>
      </c>
      <c r="M111" t="s">
        <v>76</v>
      </c>
      <c r="N111" t="s">
        <v>83</v>
      </c>
      <c r="P111" t="s">
        <v>14</v>
      </c>
      <c r="Q111" t="s">
        <v>14</v>
      </c>
      <c r="R111" t="s">
        <v>14</v>
      </c>
      <c r="S111" t="s">
        <v>879</v>
      </c>
      <c r="T111" t="s">
        <v>14</v>
      </c>
      <c r="U111" t="s">
        <v>14</v>
      </c>
      <c r="V111" t="s">
        <v>1201</v>
      </c>
    </row>
    <row r="112" spans="1:22" x14ac:dyDescent="0.25">
      <c r="A112">
        <v>17210947</v>
      </c>
      <c r="B112" t="s" cm="1">
        <v>430</v>
      </c>
      <c r="C112">
        <v>76</v>
      </c>
      <c r="G112" t="s" cm="1">
        <v>442</v>
      </c>
      <c r="H112" t="s">
        <v>14</v>
      </c>
      <c r="I112" t="s">
        <v>14</v>
      </c>
      <c r="J112" t="s">
        <v>30</v>
      </c>
      <c r="K112" t="s">
        <v>53</v>
      </c>
      <c r="L112" t="s">
        <v>74</v>
      </c>
      <c r="M112" t="s">
        <v>76</v>
      </c>
      <c r="N112" t="s">
        <v>83</v>
      </c>
      <c r="P112" t="s">
        <v>632</v>
      </c>
      <c r="Q112" t="s">
        <v>14</v>
      </c>
      <c r="R112" t="s">
        <v>14</v>
      </c>
      <c r="S112" t="s">
        <v>632</v>
      </c>
      <c r="T112" t="s">
        <v>14</v>
      </c>
      <c r="U112" t="s">
        <v>633</v>
      </c>
      <c r="V112" t="s">
        <v>1202</v>
      </c>
    </row>
    <row r="113" spans="1:22" x14ac:dyDescent="0.25">
      <c r="A113">
        <v>17212599</v>
      </c>
      <c r="B113" t="s">
        <v>430</v>
      </c>
      <c r="C113">
        <v>76</v>
      </c>
      <c r="D113" t="s">
        <v>452</v>
      </c>
      <c r="E113">
        <v>45272</v>
      </c>
      <c r="F113" t="s">
        <v>751</v>
      </c>
      <c r="G113" t="s" cm="1">
        <v>442</v>
      </c>
      <c r="H113" t="s">
        <v>14</v>
      </c>
      <c r="I113" t="s">
        <v>14</v>
      </c>
      <c r="J113" t="s">
        <v>25</v>
      </c>
      <c r="K113" t="s">
        <v>44</v>
      </c>
      <c r="L113" t="s">
        <v>1446</v>
      </c>
      <c r="M113" t="s">
        <v>599</v>
      </c>
      <c r="N113" t="s">
        <v>83</v>
      </c>
      <c r="P113" t="s">
        <v>14</v>
      </c>
      <c r="Q113" t="s">
        <v>14</v>
      </c>
      <c r="R113" t="s">
        <v>14</v>
      </c>
      <c r="S113" t="s">
        <v>699</v>
      </c>
      <c r="T113" t="s">
        <v>14</v>
      </c>
      <c r="U113" t="s">
        <v>700</v>
      </c>
      <c r="V113" t="s">
        <v>1203</v>
      </c>
    </row>
    <row r="114" spans="1:22" x14ac:dyDescent="0.25">
      <c r="A114">
        <v>17214221</v>
      </c>
      <c r="B114" t="s">
        <v>433</v>
      </c>
      <c r="C114">
        <v>76</v>
      </c>
      <c r="G114" t="s" cm="1">
        <v>442</v>
      </c>
      <c r="H114" t="s">
        <v>14</v>
      </c>
      <c r="I114" t="s">
        <v>380</v>
      </c>
      <c r="J114" t="s">
        <v>23</v>
      </c>
      <c r="K114" t="s">
        <v>389</v>
      </c>
      <c r="L114" t="s">
        <v>1330</v>
      </c>
      <c r="M114" t="s">
        <v>76</v>
      </c>
      <c r="N114" t="s">
        <v>83</v>
      </c>
      <c r="P114" t="s">
        <v>14</v>
      </c>
      <c r="Q114" t="s">
        <v>14</v>
      </c>
      <c r="R114" t="s">
        <v>14</v>
      </c>
      <c r="S114" t="s">
        <v>880</v>
      </c>
      <c r="T114" t="s">
        <v>14</v>
      </c>
      <c r="U114" t="s">
        <v>881</v>
      </c>
      <c r="V114" t="s">
        <v>1204</v>
      </c>
    </row>
    <row r="115" spans="1:22" x14ac:dyDescent="0.25">
      <c r="A115">
        <v>17215674</v>
      </c>
      <c r="B115" t="s">
        <v>433</v>
      </c>
      <c r="C115">
        <v>76</v>
      </c>
      <c r="G115" t="s" cm="1">
        <v>442</v>
      </c>
      <c r="H115">
        <v>45266</v>
      </c>
      <c r="I115" t="s">
        <v>15</v>
      </c>
      <c r="J115" t="s">
        <v>30</v>
      </c>
      <c r="K115" t="s">
        <v>46</v>
      </c>
      <c r="L115" t="s">
        <v>74</v>
      </c>
      <c r="M115" t="s">
        <v>76</v>
      </c>
      <c r="N115" t="s">
        <v>461</v>
      </c>
      <c r="O115" t="s">
        <v>431</v>
      </c>
      <c r="P115" t="e">
        <v>#N/A</v>
      </c>
      <c r="Q115" t="e">
        <v>#N/A</v>
      </c>
      <c r="R115" t="e">
        <v>#N/A</v>
      </c>
      <c r="S115" t="e">
        <v>#N/A</v>
      </c>
      <c r="T115" t="e">
        <v>#N/A</v>
      </c>
      <c r="U115" t="e">
        <v>#N/A</v>
      </c>
      <c r="V115" t="e">
        <v>#N/A</v>
      </c>
    </row>
    <row r="116" spans="1:22" x14ac:dyDescent="0.25">
      <c r="A116">
        <v>17215909</v>
      </c>
      <c r="B116" t="s">
        <v>433</v>
      </c>
      <c r="C116">
        <v>76</v>
      </c>
      <c r="G116" t="s" cm="1">
        <v>442</v>
      </c>
      <c r="H116">
        <v>45267</v>
      </c>
      <c r="I116" t="s">
        <v>15</v>
      </c>
      <c r="J116" t="s">
        <v>26</v>
      </c>
      <c r="K116" t="s">
        <v>432</v>
      </c>
      <c r="L116" t="s">
        <v>1447</v>
      </c>
      <c r="M116" t="s">
        <v>78</v>
      </c>
      <c r="N116" t="s">
        <v>750</v>
      </c>
      <c r="O116" t="s">
        <v>431</v>
      </c>
      <c r="P116" t="e">
        <v>#N/A</v>
      </c>
      <c r="Q116" t="e">
        <v>#N/A</v>
      </c>
      <c r="R116" t="e">
        <v>#N/A</v>
      </c>
      <c r="S116" t="e">
        <v>#N/A</v>
      </c>
      <c r="T116" t="e">
        <v>#N/A</v>
      </c>
      <c r="U116" t="e">
        <v>#N/A</v>
      </c>
      <c r="V116" t="e">
        <v>#N/A</v>
      </c>
    </row>
    <row r="117" spans="1:22" x14ac:dyDescent="0.25">
      <c r="A117">
        <v>10628459</v>
      </c>
      <c r="B117" t="s">
        <v>433</v>
      </c>
      <c r="C117">
        <v>75</v>
      </c>
      <c r="G117" t="e" cm="1">
        <v>#N/A</v>
      </c>
      <c r="H117">
        <v>45196</v>
      </c>
      <c r="I117" t="s">
        <v>15</v>
      </c>
      <c r="J117" t="s">
        <v>30</v>
      </c>
      <c r="K117" t="s">
        <v>44</v>
      </c>
      <c r="L117" t="s">
        <v>1448</v>
      </c>
      <c r="M117" t="s">
        <v>78</v>
      </c>
      <c r="N117" t="s">
        <v>83</v>
      </c>
      <c r="O117" t="s">
        <v>431</v>
      </c>
      <c r="P117">
        <v>0</v>
      </c>
      <c r="Q117">
        <v>0</v>
      </c>
      <c r="R117">
        <v>0</v>
      </c>
      <c r="S117" t="s">
        <v>1612</v>
      </c>
      <c r="T117">
        <v>0</v>
      </c>
      <c r="U117" t="s">
        <v>1613</v>
      </c>
      <c r="V117" t="s">
        <v>1018</v>
      </c>
    </row>
    <row r="118" spans="1:22" x14ac:dyDescent="0.25">
      <c r="A118">
        <v>17222262</v>
      </c>
      <c r="B118" t="s" cm="1">
        <v>430</v>
      </c>
      <c r="C118">
        <v>75</v>
      </c>
      <c r="D118" t="s">
        <v>452</v>
      </c>
      <c r="E118">
        <v>45274</v>
      </c>
      <c r="F118" t="s">
        <v>1608</v>
      </c>
      <c r="G118" t="e" cm="1">
        <v>#N/A</v>
      </c>
      <c r="H118" t="s">
        <v>14</v>
      </c>
      <c r="I118" t="s">
        <v>14</v>
      </c>
      <c r="J118" t="s">
        <v>18</v>
      </c>
      <c r="K118" t="s">
        <v>44</v>
      </c>
      <c r="L118" t="s">
        <v>86</v>
      </c>
      <c r="M118" t="s">
        <v>76</v>
      </c>
      <c r="N118" t="s">
        <v>83</v>
      </c>
      <c r="P118" t="s">
        <v>14</v>
      </c>
      <c r="Q118" t="s">
        <v>14</v>
      </c>
      <c r="R118" t="s">
        <v>14</v>
      </c>
      <c r="S118" t="s">
        <v>546</v>
      </c>
      <c r="T118" t="s">
        <v>14</v>
      </c>
      <c r="U118" t="s">
        <v>14</v>
      </c>
      <c r="V118" t="s">
        <v>1208</v>
      </c>
    </row>
    <row r="119" spans="1:22" x14ac:dyDescent="0.25">
      <c r="A119">
        <v>17229893</v>
      </c>
      <c r="B119" t="s" cm="1">
        <v>430</v>
      </c>
      <c r="C119">
        <v>73</v>
      </c>
      <c r="G119" t="s" cm="1">
        <v>442</v>
      </c>
      <c r="H119" t="s">
        <v>14</v>
      </c>
      <c r="I119" t="s">
        <v>14</v>
      </c>
      <c r="J119" t="s">
        <v>30</v>
      </c>
      <c r="K119" t="s">
        <v>43</v>
      </c>
      <c r="L119" t="s">
        <v>58</v>
      </c>
      <c r="M119" t="s">
        <v>76</v>
      </c>
      <c r="N119" t="s">
        <v>83</v>
      </c>
      <c r="P119" t="s">
        <v>14</v>
      </c>
      <c r="Q119" t="s">
        <v>14</v>
      </c>
      <c r="R119" t="s">
        <v>14</v>
      </c>
      <c r="S119" t="s">
        <v>886</v>
      </c>
      <c r="T119" t="s">
        <v>14</v>
      </c>
      <c r="U119" t="s">
        <v>887</v>
      </c>
      <c r="V119" t="s">
        <v>1211</v>
      </c>
    </row>
    <row r="120" spans="1:22" x14ac:dyDescent="0.25">
      <c r="A120">
        <v>17234227</v>
      </c>
      <c r="B120" t="s">
        <v>433</v>
      </c>
      <c r="C120">
        <v>72</v>
      </c>
      <c r="G120" t="s" cm="1">
        <v>442</v>
      </c>
      <c r="H120">
        <v>45219</v>
      </c>
      <c r="I120" t="s">
        <v>15</v>
      </c>
      <c r="J120" t="s">
        <v>27</v>
      </c>
      <c r="K120" t="s">
        <v>44</v>
      </c>
      <c r="L120" t="s">
        <v>397</v>
      </c>
      <c r="M120" t="s">
        <v>76</v>
      </c>
      <c r="N120" t="s">
        <v>1356</v>
      </c>
      <c r="O120" t="s">
        <v>431</v>
      </c>
      <c r="P120" t="e">
        <v>#N/A</v>
      </c>
      <c r="Q120" t="e">
        <v>#N/A</v>
      </c>
      <c r="R120" t="e">
        <v>#N/A</v>
      </c>
      <c r="S120" t="e">
        <v>#N/A</v>
      </c>
      <c r="T120" t="e">
        <v>#N/A</v>
      </c>
      <c r="U120" t="e">
        <v>#N/A</v>
      </c>
      <c r="V120" t="e">
        <v>#N/A</v>
      </c>
    </row>
    <row r="121" spans="1:22" x14ac:dyDescent="0.25">
      <c r="A121">
        <v>17234502</v>
      </c>
      <c r="B121" t="s">
        <v>433</v>
      </c>
      <c r="C121">
        <v>71</v>
      </c>
      <c r="G121" t="e" cm="1">
        <v>#N/A</v>
      </c>
      <c r="H121" t="s">
        <v>14</v>
      </c>
      <c r="I121" t="s">
        <v>380</v>
      </c>
      <c r="J121" t="s">
        <v>376</v>
      </c>
      <c r="K121" t="s">
        <v>386</v>
      </c>
      <c r="L121" t="s">
        <v>596</v>
      </c>
      <c r="M121" t="s">
        <v>76</v>
      </c>
      <c r="N121" t="s">
        <v>83</v>
      </c>
      <c r="P121" t="s">
        <v>14</v>
      </c>
      <c r="Q121" t="s">
        <v>14</v>
      </c>
      <c r="R121" t="s">
        <v>14</v>
      </c>
      <c r="S121" t="s">
        <v>890</v>
      </c>
      <c r="T121" t="s">
        <v>14</v>
      </c>
      <c r="U121" t="s">
        <v>14</v>
      </c>
      <c r="V121" t="s">
        <v>1213</v>
      </c>
    </row>
    <row r="122" spans="1:22" x14ac:dyDescent="0.25">
      <c r="A122">
        <v>17241504</v>
      </c>
      <c r="B122" t="s" cm="1">
        <v>430</v>
      </c>
      <c r="C122">
        <v>69</v>
      </c>
      <c r="G122" t="s" cm="1">
        <v>442</v>
      </c>
      <c r="H122" t="s">
        <v>14</v>
      </c>
      <c r="I122" t="s">
        <v>14</v>
      </c>
      <c r="J122" t="s">
        <v>30</v>
      </c>
      <c r="K122" t="s">
        <v>389</v>
      </c>
      <c r="L122" t="s">
        <v>1449</v>
      </c>
      <c r="M122" t="s">
        <v>76</v>
      </c>
      <c r="N122" t="s">
        <v>83</v>
      </c>
      <c r="P122" t="s">
        <v>14</v>
      </c>
      <c r="Q122" t="s">
        <v>14</v>
      </c>
      <c r="R122" t="s">
        <v>14</v>
      </c>
      <c r="S122" t="s">
        <v>891</v>
      </c>
      <c r="T122" t="s">
        <v>14</v>
      </c>
      <c r="U122" t="s">
        <v>892</v>
      </c>
      <c r="V122" t="s">
        <v>1214</v>
      </c>
    </row>
    <row r="123" spans="1:22" x14ac:dyDescent="0.25">
      <c r="A123">
        <v>17241961</v>
      </c>
      <c r="B123" t="s" cm="1">
        <v>433</v>
      </c>
      <c r="C123">
        <v>69</v>
      </c>
      <c r="G123" t="s" cm="1">
        <v>442</v>
      </c>
      <c r="H123" t="s">
        <v>14</v>
      </c>
      <c r="I123" t="s">
        <v>14</v>
      </c>
      <c r="J123" t="s">
        <v>26</v>
      </c>
      <c r="K123" t="s">
        <v>43</v>
      </c>
      <c r="L123" t="s">
        <v>1450</v>
      </c>
      <c r="M123" t="s">
        <v>78</v>
      </c>
      <c r="N123" t="s">
        <v>83</v>
      </c>
      <c r="P123" t="s">
        <v>895</v>
      </c>
      <c r="Q123" t="s">
        <v>14</v>
      </c>
      <c r="R123" t="s">
        <v>14</v>
      </c>
      <c r="S123" t="s">
        <v>14</v>
      </c>
      <c r="T123" t="s">
        <v>14</v>
      </c>
      <c r="U123" t="s">
        <v>896</v>
      </c>
      <c r="V123" t="s">
        <v>1216</v>
      </c>
    </row>
    <row r="124" spans="1:22" x14ac:dyDescent="0.25">
      <c r="A124">
        <v>17244625</v>
      </c>
      <c r="B124" t="s">
        <v>433</v>
      </c>
      <c r="C124">
        <v>69</v>
      </c>
      <c r="G124" t="s" cm="1">
        <v>442</v>
      </c>
      <c r="H124">
        <v>45212</v>
      </c>
      <c r="I124" t="s">
        <v>15</v>
      </c>
      <c r="J124" t="s">
        <v>24</v>
      </c>
      <c r="K124" t="s">
        <v>44</v>
      </c>
      <c r="L124" t="s">
        <v>63</v>
      </c>
      <c r="M124" t="s">
        <v>1349</v>
      </c>
      <c r="N124" t="s">
        <v>1576</v>
      </c>
      <c r="O124" t="s">
        <v>431</v>
      </c>
      <c r="P124" t="e">
        <v>#N/A</v>
      </c>
      <c r="Q124" t="e">
        <v>#N/A</v>
      </c>
      <c r="R124" t="e">
        <v>#N/A</v>
      </c>
      <c r="S124" t="e">
        <v>#N/A</v>
      </c>
      <c r="T124" t="e">
        <v>#N/A</v>
      </c>
      <c r="U124" t="e">
        <v>#N/A</v>
      </c>
      <c r="V124" t="e">
        <v>#N/A</v>
      </c>
    </row>
    <row r="125" spans="1:22" x14ac:dyDescent="0.25">
      <c r="A125">
        <v>13566527</v>
      </c>
      <c r="B125" t="s">
        <v>433</v>
      </c>
      <c r="C125">
        <v>68</v>
      </c>
      <c r="G125" t="s" cm="1">
        <v>442</v>
      </c>
      <c r="H125">
        <v>45201</v>
      </c>
      <c r="I125" t="s">
        <v>15</v>
      </c>
      <c r="J125" t="s">
        <v>30</v>
      </c>
      <c r="K125" t="s">
        <v>44</v>
      </c>
      <c r="L125" t="s">
        <v>1451</v>
      </c>
      <c r="M125" t="s">
        <v>77</v>
      </c>
      <c r="N125" t="s">
        <v>1577</v>
      </c>
      <c r="O125" t="s">
        <v>431</v>
      </c>
      <c r="P125" t="e">
        <v>#N/A</v>
      </c>
      <c r="Q125" t="e">
        <v>#N/A</v>
      </c>
      <c r="R125" t="e">
        <v>#N/A</v>
      </c>
      <c r="S125" t="e">
        <v>#N/A</v>
      </c>
      <c r="T125" t="e">
        <v>#N/A</v>
      </c>
      <c r="U125" t="e">
        <v>#N/A</v>
      </c>
      <c r="V125" t="e">
        <v>#N/A</v>
      </c>
    </row>
    <row r="126" spans="1:22" x14ac:dyDescent="0.25">
      <c r="A126">
        <v>16155527</v>
      </c>
      <c r="B126" t="s">
        <v>433</v>
      </c>
      <c r="C126">
        <v>68</v>
      </c>
      <c r="G126" t="s" cm="1">
        <v>442</v>
      </c>
      <c r="H126">
        <v>45244</v>
      </c>
      <c r="I126" t="s">
        <v>15</v>
      </c>
      <c r="J126" t="s">
        <v>381</v>
      </c>
      <c r="K126" t="s">
        <v>52</v>
      </c>
      <c r="L126" t="s">
        <v>69</v>
      </c>
      <c r="M126" t="s">
        <v>76</v>
      </c>
      <c r="N126" t="s">
        <v>1578</v>
      </c>
      <c r="O126" t="s">
        <v>431</v>
      </c>
      <c r="P126" t="e">
        <v>#N/A</v>
      </c>
      <c r="Q126" t="e">
        <v>#N/A</v>
      </c>
      <c r="R126" t="e">
        <v>#N/A</v>
      </c>
      <c r="S126" t="e">
        <v>#N/A</v>
      </c>
      <c r="T126" t="e">
        <v>#N/A</v>
      </c>
      <c r="U126" t="e">
        <v>#N/A</v>
      </c>
      <c r="V126" t="e">
        <v>#N/A</v>
      </c>
    </row>
    <row r="127" spans="1:22" x14ac:dyDescent="0.25">
      <c r="A127">
        <v>16394148</v>
      </c>
      <c r="B127" t="s">
        <v>433</v>
      </c>
      <c r="C127">
        <v>68</v>
      </c>
      <c r="G127" t="e" cm="1">
        <v>#N/A</v>
      </c>
      <c r="H127">
        <v>45203</v>
      </c>
      <c r="I127" t="s">
        <v>15</v>
      </c>
      <c r="J127" t="s">
        <v>27</v>
      </c>
      <c r="K127" t="s">
        <v>44</v>
      </c>
      <c r="L127" t="s">
        <v>86</v>
      </c>
      <c r="M127" t="s">
        <v>76</v>
      </c>
      <c r="N127" t="s">
        <v>83</v>
      </c>
      <c r="O127" t="s">
        <v>431</v>
      </c>
      <c r="P127" t="s">
        <v>14</v>
      </c>
      <c r="Q127" t="s">
        <v>14</v>
      </c>
      <c r="R127" t="s">
        <v>14</v>
      </c>
      <c r="S127" t="s">
        <v>612</v>
      </c>
      <c r="T127" t="s">
        <v>14</v>
      </c>
      <c r="U127" t="s">
        <v>613</v>
      </c>
      <c r="V127" t="s">
        <v>1085</v>
      </c>
    </row>
    <row r="128" spans="1:22" x14ac:dyDescent="0.25">
      <c r="A128">
        <v>16837931</v>
      </c>
      <c r="B128" t="s">
        <v>433</v>
      </c>
      <c r="C128">
        <v>68</v>
      </c>
      <c r="G128" t="s" cm="1">
        <v>442</v>
      </c>
      <c r="H128">
        <v>45217</v>
      </c>
      <c r="I128" t="s">
        <v>15</v>
      </c>
      <c r="J128" t="s">
        <v>30</v>
      </c>
      <c r="K128" t="s">
        <v>44</v>
      </c>
      <c r="L128" t="s">
        <v>1452</v>
      </c>
      <c r="M128" t="s">
        <v>544</v>
      </c>
      <c r="N128" t="s">
        <v>415</v>
      </c>
      <c r="O128" t="s">
        <v>431</v>
      </c>
      <c r="P128" t="e">
        <v>#N/A</v>
      </c>
      <c r="Q128" t="e">
        <v>#N/A</v>
      </c>
      <c r="R128" t="e">
        <v>#N/A</v>
      </c>
      <c r="S128" t="e">
        <v>#N/A</v>
      </c>
      <c r="T128" t="e">
        <v>#N/A</v>
      </c>
      <c r="U128" t="e">
        <v>#N/A</v>
      </c>
      <c r="V128" t="e">
        <v>#N/A</v>
      </c>
    </row>
    <row r="129" spans="1:22" x14ac:dyDescent="0.25">
      <c r="A129">
        <v>17241579</v>
      </c>
      <c r="B129" t="s">
        <v>430</v>
      </c>
      <c r="C129">
        <v>68</v>
      </c>
      <c r="G129" t="s" cm="1">
        <v>442</v>
      </c>
      <c r="H129" t="s">
        <v>14</v>
      </c>
      <c r="I129" t="s">
        <v>380</v>
      </c>
      <c r="J129" t="s">
        <v>24</v>
      </c>
      <c r="K129" t="s">
        <v>43</v>
      </c>
      <c r="L129" t="s">
        <v>59</v>
      </c>
      <c r="M129" t="s">
        <v>76</v>
      </c>
      <c r="N129" t="s">
        <v>83</v>
      </c>
      <c r="P129" t="s">
        <v>893</v>
      </c>
      <c r="Q129" t="s">
        <v>14</v>
      </c>
      <c r="R129" t="s">
        <v>14</v>
      </c>
      <c r="S129" t="s">
        <v>894</v>
      </c>
      <c r="T129" t="s">
        <v>14</v>
      </c>
      <c r="U129" t="s">
        <v>14</v>
      </c>
      <c r="V129" t="s">
        <v>1215</v>
      </c>
    </row>
    <row r="130" spans="1:22" x14ac:dyDescent="0.25">
      <c r="A130">
        <v>17247646</v>
      </c>
      <c r="B130" t="s" cm="1">
        <v>430</v>
      </c>
      <c r="C130">
        <v>68</v>
      </c>
      <c r="G130" t="s" cm="1">
        <v>442</v>
      </c>
      <c r="H130" t="s">
        <v>14</v>
      </c>
      <c r="I130" t="s">
        <v>14</v>
      </c>
      <c r="J130" t="s">
        <v>30</v>
      </c>
      <c r="K130" t="s">
        <v>45</v>
      </c>
      <c r="L130" t="s">
        <v>55</v>
      </c>
      <c r="M130" t="s">
        <v>76</v>
      </c>
      <c r="N130" t="s">
        <v>83</v>
      </c>
      <c r="P130" t="s">
        <v>14</v>
      </c>
      <c r="Q130" t="s">
        <v>14</v>
      </c>
      <c r="R130" t="s">
        <v>14</v>
      </c>
      <c r="S130" t="s">
        <v>901</v>
      </c>
      <c r="T130" t="s">
        <v>14</v>
      </c>
      <c r="U130" t="s">
        <v>902</v>
      </c>
      <c r="V130" t="s">
        <v>1219</v>
      </c>
    </row>
    <row r="131" spans="1:22" x14ac:dyDescent="0.25">
      <c r="A131">
        <v>17250678</v>
      </c>
      <c r="B131" t="s">
        <v>430</v>
      </c>
      <c r="C131">
        <v>68</v>
      </c>
      <c r="D131" t="s">
        <v>452</v>
      </c>
      <c r="E131">
        <v>45273</v>
      </c>
      <c r="F131" t="s">
        <v>774</v>
      </c>
      <c r="G131" t="e" cm="1">
        <v>#N/A</v>
      </c>
      <c r="H131" t="s">
        <v>14</v>
      </c>
      <c r="I131" t="s">
        <v>14</v>
      </c>
      <c r="J131" t="s">
        <v>31</v>
      </c>
      <c r="K131" t="s">
        <v>45</v>
      </c>
      <c r="L131" t="s">
        <v>63</v>
      </c>
      <c r="M131" t="s">
        <v>76</v>
      </c>
      <c r="N131" t="s">
        <v>83</v>
      </c>
      <c r="P131" t="s">
        <v>14</v>
      </c>
      <c r="Q131" t="s">
        <v>14</v>
      </c>
      <c r="R131" t="s">
        <v>14</v>
      </c>
      <c r="S131" t="s">
        <v>903</v>
      </c>
      <c r="T131" t="s">
        <v>14</v>
      </c>
      <c r="U131" t="s">
        <v>904</v>
      </c>
      <c r="V131" t="s">
        <v>1220</v>
      </c>
    </row>
    <row r="132" spans="1:22" x14ac:dyDescent="0.25">
      <c r="A132">
        <v>17251788</v>
      </c>
      <c r="B132" t="s">
        <v>433</v>
      </c>
      <c r="C132">
        <v>68</v>
      </c>
      <c r="G132" t="s" cm="1">
        <v>442</v>
      </c>
      <c r="H132">
        <v>45208</v>
      </c>
      <c r="I132" t="s">
        <v>15</v>
      </c>
      <c r="J132" t="s">
        <v>22</v>
      </c>
      <c r="K132" t="s">
        <v>44</v>
      </c>
      <c r="L132" t="s">
        <v>63</v>
      </c>
      <c r="M132" t="s">
        <v>76</v>
      </c>
      <c r="N132" t="s">
        <v>772</v>
      </c>
      <c r="O132" t="s">
        <v>431</v>
      </c>
      <c r="P132" t="e">
        <v>#N/A</v>
      </c>
      <c r="Q132" t="e">
        <v>#N/A</v>
      </c>
      <c r="R132" t="e">
        <v>#N/A</v>
      </c>
      <c r="S132" t="e">
        <v>#N/A</v>
      </c>
      <c r="T132" t="e">
        <v>#N/A</v>
      </c>
      <c r="U132" t="e">
        <v>#N/A</v>
      </c>
      <c r="V132" t="e">
        <v>#N/A</v>
      </c>
    </row>
    <row r="133" spans="1:22" x14ac:dyDescent="0.25">
      <c r="A133">
        <v>16917859</v>
      </c>
      <c r="B133" t="s">
        <v>433</v>
      </c>
      <c r="C133">
        <v>67</v>
      </c>
      <c r="G133" t="s" cm="1">
        <v>442</v>
      </c>
      <c r="H133">
        <v>45204</v>
      </c>
      <c r="I133" t="s">
        <v>15</v>
      </c>
      <c r="J133" t="s">
        <v>18</v>
      </c>
      <c r="K133" t="s">
        <v>44</v>
      </c>
      <c r="L133" t="s">
        <v>1332</v>
      </c>
      <c r="M133" t="s">
        <v>79</v>
      </c>
      <c r="N133" t="s">
        <v>1579</v>
      </c>
      <c r="O133" t="s">
        <v>431</v>
      </c>
      <c r="P133" t="e">
        <v>#N/A</v>
      </c>
      <c r="Q133" t="e">
        <v>#N/A</v>
      </c>
      <c r="R133" t="e">
        <v>#N/A</v>
      </c>
      <c r="S133" t="e">
        <v>#N/A</v>
      </c>
      <c r="T133" t="e">
        <v>#N/A</v>
      </c>
      <c r="U133" t="e">
        <v>#N/A</v>
      </c>
      <c r="V133" t="e">
        <v>#N/A</v>
      </c>
    </row>
    <row r="134" spans="1:22" x14ac:dyDescent="0.25">
      <c r="A134">
        <v>16935165</v>
      </c>
      <c r="B134" t="s">
        <v>433</v>
      </c>
      <c r="C134">
        <v>66</v>
      </c>
      <c r="G134" t="s" cm="1">
        <v>442</v>
      </c>
      <c r="H134">
        <v>45219</v>
      </c>
      <c r="I134" t="s">
        <v>15</v>
      </c>
      <c r="J134" t="s">
        <v>22</v>
      </c>
      <c r="K134" t="s">
        <v>49</v>
      </c>
      <c r="L134" t="s">
        <v>55</v>
      </c>
      <c r="M134" t="s">
        <v>76</v>
      </c>
      <c r="N134" t="s">
        <v>1356</v>
      </c>
      <c r="O134" t="s">
        <v>431</v>
      </c>
      <c r="P134" t="e">
        <v>#N/A</v>
      </c>
      <c r="Q134" t="e">
        <v>#N/A</v>
      </c>
      <c r="R134" t="e">
        <v>#N/A</v>
      </c>
      <c r="S134" t="e">
        <v>#N/A</v>
      </c>
      <c r="T134" t="e">
        <v>#N/A</v>
      </c>
      <c r="U134" t="e">
        <v>#N/A</v>
      </c>
      <c r="V134" t="e">
        <v>#N/A</v>
      </c>
    </row>
    <row r="135" spans="1:22" x14ac:dyDescent="0.25">
      <c r="A135">
        <v>17259608</v>
      </c>
      <c r="B135" t="s">
        <v>433</v>
      </c>
      <c r="C135">
        <v>66</v>
      </c>
      <c r="G135" t="e" cm="1">
        <v>#N/A</v>
      </c>
      <c r="H135" t="s">
        <v>14</v>
      </c>
      <c r="I135" t="s">
        <v>380</v>
      </c>
      <c r="J135" t="s">
        <v>23</v>
      </c>
      <c r="K135" t="s">
        <v>48</v>
      </c>
      <c r="L135" t="s">
        <v>399</v>
      </c>
      <c r="M135" t="s">
        <v>76</v>
      </c>
      <c r="N135" t="s">
        <v>83</v>
      </c>
      <c r="P135" t="s">
        <v>14</v>
      </c>
      <c r="Q135" t="s">
        <v>14</v>
      </c>
      <c r="R135" t="s">
        <v>14</v>
      </c>
      <c r="S135" t="s">
        <v>905</v>
      </c>
      <c r="T135" t="s">
        <v>14</v>
      </c>
      <c r="U135" t="s">
        <v>906</v>
      </c>
      <c r="V135" t="s">
        <v>1222</v>
      </c>
    </row>
    <row r="136" spans="1:22" x14ac:dyDescent="0.25">
      <c r="A136">
        <v>17261825</v>
      </c>
      <c r="B136" t="s" cm="1">
        <v>430</v>
      </c>
      <c r="C136">
        <v>66</v>
      </c>
      <c r="G136" t="s" cm="1">
        <v>442</v>
      </c>
      <c r="H136" t="s">
        <v>14</v>
      </c>
      <c r="I136" t="s">
        <v>14</v>
      </c>
      <c r="J136" t="s">
        <v>26</v>
      </c>
      <c r="K136" t="s">
        <v>44</v>
      </c>
      <c r="L136" t="s">
        <v>626</v>
      </c>
      <c r="M136" t="s">
        <v>1350</v>
      </c>
      <c r="N136" t="s">
        <v>83</v>
      </c>
      <c r="P136" t="s">
        <v>14</v>
      </c>
      <c r="Q136" t="s">
        <v>14</v>
      </c>
      <c r="R136" t="s">
        <v>14</v>
      </c>
      <c r="S136" t="s">
        <v>908</v>
      </c>
      <c r="T136" t="s">
        <v>14</v>
      </c>
      <c r="U136" t="s">
        <v>909</v>
      </c>
      <c r="V136" t="s">
        <v>1224</v>
      </c>
    </row>
    <row r="137" spans="1:22" x14ac:dyDescent="0.25">
      <c r="A137">
        <v>17264772</v>
      </c>
      <c r="B137" t="s">
        <v>433</v>
      </c>
      <c r="C137">
        <v>65</v>
      </c>
      <c r="G137" t="e" cm="1">
        <v>#N/A</v>
      </c>
      <c r="H137">
        <v>45217</v>
      </c>
      <c r="I137" t="s">
        <v>15</v>
      </c>
      <c r="J137" t="s">
        <v>42</v>
      </c>
      <c r="K137" t="s">
        <v>44</v>
      </c>
      <c r="L137" t="s">
        <v>1453</v>
      </c>
      <c r="M137" t="s">
        <v>76</v>
      </c>
      <c r="N137" t="s">
        <v>83</v>
      </c>
      <c r="O137" t="s">
        <v>431</v>
      </c>
      <c r="P137" t="e">
        <v>#N/A</v>
      </c>
      <c r="Q137" t="e">
        <v>#N/A</v>
      </c>
      <c r="R137" t="e">
        <v>#N/A</v>
      </c>
      <c r="S137" t="e">
        <v>#N/A</v>
      </c>
      <c r="T137" t="e">
        <v>#N/A</v>
      </c>
      <c r="U137" t="e">
        <v>#N/A</v>
      </c>
      <c r="V137" t="e">
        <v>#N/A</v>
      </c>
    </row>
    <row r="138" spans="1:22" x14ac:dyDescent="0.25">
      <c r="A138">
        <v>17264844</v>
      </c>
      <c r="B138" t="s" cm="1">
        <v>430</v>
      </c>
      <c r="C138">
        <v>65</v>
      </c>
      <c r="G138" t="e" cm="1">
        <v>#N/A</v>
      </c>
      <c r="H138" t="s">
        <v>14</v>
      </c>
      <c r="I138" t="s">
        <v>14</v>
      </c>
      <c r="J138" t="s">
        <v>30</v>
      </c>
      <c r="K138" t="s">
        <v>53</v>
      </c>
      <c r="L138" t="s">
        <v>58</v>
      </c>
      <c r="M138" t="s">
        <v>76</v>
      </c>
      <c r="N138" t="s">
        <v>83</v>
      </c>
      <c r="P138" t="s">
        <v>14</v>
      </c>
      <c r="Q138" t="s">
        <v>14</v>
      </c>
      <c r="R138" t="s">
        <v>14</v>
      </c>
      <c r="S138" t="s">
        <v>694</v>
      </c>
      <c r="T138" t="s">
        <v>14</v>
      </c>
      <c r="U138" t="s">
        <v>695</v>
      </c>
      <c r="V138" t="s">
        <v>1226</v>
      </c>
    </row>
    <row r="139" spans="1:22" x14ac:dyDescent="0.25">
      <c r="A139">
        <v>17266835</v>
      </c>
      <c r="B139" t="s">
        <v>433</v>
      </c>
      <c r="C139">
        <v>63</v>
      </c>
      <c r="G139" t="e" cm="1">
        <v>#N/A</v>
      </c>
      <c r="H139">
        <v>45211</v>
      </c>
      <c r="I139" t="s">
        <v>15</v>
      </c>
      <c r="J139" t="s">
        <v>25</v>
      </c>
      <c r="K139" t="s">
        <v>44</v>
      </c>
      <c r="L139" t="s">
        <v>56</v>
      </c>
      <c r="M139" t="s">
        <v>1534</v>
      </c>
      <c r="N139" t="s">
        <v>83</v>
      </c>
      <c r="O139" t="s">
        <v>431</v>
      </c>
      <c r="P139" t="s">
        <v>14</v>
      </c>
      <c r="Q139" t="s">
        <v>14</v>
      </c>
      <c r="R139" t="s">
        <v>14</v>
      </c>
      <c r="S139" t="s">
        <v>914</v>
      </c>
      <c r="T139" t="s">
        <v>14</v>
      </c>
      <c r="U139" t="s">
        <v>14</v>
      </c>
      <c r="V139" t="s">
        <v>1228</v>
      </c>
    </row>
    <row r="140" spans="1:22" x14ac:dyDescent="0.25">
      <c r="A140">
        <v>11610482</v>
      </c>
      <c r="B140" t="s">
        <v>433</v>
      </c>
      <c r="C140">
        <v>62</v>
      </c>
      <c r="G140" t="s" cm="1">
        <v>442</v>
      </c>
      <c r="H140">
        <v>45209</v>
      </c>
      <c r="I140" t="s">
        <v>15</v>
      </c>
      <c r="J140" t="s">
        <v>22</v>
      </c>
      <c r="K140" t="s">
        <v>44</v>
      </c>
      <c r="L140" t="s">
        <v>572</v>
      </c>
      <c r="M140" t="s">
        <v>77</v>
      </c>
      <c r="N140" t="s">
        <v>1580</v>
      </c>
      <c r="O140" t="s">
        <v>431</v>
      </c>
      <c r="P140" t="e">
        <v>#N/A</v>
      </c>
      <c r="Q140" t="e">
        <v>#N/A</v>
      </c>
      <c r="R140" t="e">
        <v>#N/A</v>
      </c>
      <c r="S140" t="e">
        <v>#N/A</v>
      </c>
      <c r="T140" t="e">
        <v>#N/A</v>
      </c>
      <c r="U140" t="e">
        <v>#N/A</v>
      </c>
      <c r="V140" t="e">
        <v>#N/A</v>
      </c>
    </row>
    <row r="141" spans="1:22" x14ac:dyDescent="0.25">
      <c r="A141">
        <v>16272241</v>
      </c>
      <c r="B141" t="s">
        <v>433</v>
      </c>
      <c r="C141">
        <v>62</v>
      </c>
      <c r="G141" t="s" cm="1">
        <v>442</v>
      </c>
      <c r="H141">
        <v>45223</v>
      </c>
      <c r="I141" t="s">
        <v>15</v>
      </c>
      <c r="J141" t="s">
        <v>30</v>
      </c>
      <c r="K141" t="s">
        <v>43</v>
      </c>
      <c r="L141" t="s">
        <v>63</v>
      </c>
      <c r="M141" t="s">
        <v>76</v>
      </c>
      <c r="N141" t="s">
        <v>439</v>
      </c>
      <c r="O141" t="s">
        <v>431</v>
      </c>
      <c r="P141" t="e">
        <v>#N/A</v>
      </c>
      <c r="Q141" t="e">
        <v>#N/A</v>
      </c>
      <c r="R141" t="e">
        <v>#N/A</v>
      </c>
      <c r="S141" t="e">
        <v>#N/A</v>
      </c>
      <c r="T141" t="e">
        <v>#N/A</v>
      </c>
      <c r="U141" t="e">
        <v>#N/A</v>
      </c>
      <c r="V141" t="e">
        <v>#N/A</v>
      </c>
    </row>
    <row r="142" spans="1:22" x14ac:dyDescent="0.25">
      <c r="A142">
        <v>17272965</v>
      </c>
      <c r="B142" t="s" cm="1">
        <v>430</v>
      </c>
      <c r="C142">
        <v>62</v>
      </c>
      <c r="G142" t="s" cm="1">
        <v>442</v>
      </c>
      <c r="H142" t="s">
        <v>14</v>
      </c>
      <c r="I142" t="s">
        <v>14</v>
      </c>
      <c r="J142" t="s">
        <v>30</v>
      </c>
      <c r="K142" t="s">
        <v>50</v>
      </c>
      <c r="L142" t="s">
        <v>58</v>
      </c>
      <c r="M142" t="s">
        <v>76</v>
      </c>
      <c r="N142" t="s">
        <v>83</v>
      </c>
      <c r="P142" t="s">
        <v>14</v>
      </c>
      <c r="Q142" t="s">
        <v>14</v>
      </c>
      <c r="R142" t="s">
        <v>14</v>
      </c>
      <c r="S142" t="s">
        <v>557</v>
      </c>
      <c r="T142" t="s">
        <v>14</v>
      </c>
      <c r="U142" t="s">
        <v>14</v>
      </c>
      <c r="V142" t="s">
        <v>1229</v>
      </c>
    </row>
    <row r="143" spans="1:22" x14ac:dyDescent="0.25">
      <c r="A143">
        <v>17273016</v>
      </c>
      <c r="B143" t="s" cm="1">
        <v>430</v>
      </c>
      <c r="C143">
        <v>62</v>
      </c>
      <c r="G143" t="s" cm="1">
        <v>442</v>
      </c>
      <c r="H143" t="s">
        <v>14</v>
      </c>
      <c r="I143" t="s">
        <v>14</v>
      </c>
      <c r="J143" t="s">
        <v>30</v>
      </c>
      <c r="K143" t="s">
        <v>50</v>
      </c>
      <c r="L143" t="s">
        <v>55</v>
      </c>
      <c r="M143" t="s">
        <v>76</v>
      </c>
      <c r="N143" t="s">
        <v>83</v>
      </c>
      <c r="P143" t="s">
        <v>14</v>
      </c>
      <c r="Q143" t="s">
        <v>14</v>
      </c>
      <c r="R143" t="s">
        <v>14</v>
      </c>
      <c r="S143" t="s">
        <v>603</v>
      </c>
      <c r="T143" t="s">
        <v>14</v>
      </c>
      <c r="U143" t="s">
        <v>604</v>
      </c>
      <c r="V143" t="s">
        <v>1230</v>
      </c>
    </row>
    <row r="144" spans="1:22" x14ac:dyDescent="0.25">
      <c r="A144">
        <v>17276797</v>
      </c>
      <c r="B144" t="s">
        <v>433</v>
      </c>
      <c r="C144">
        <v>62</v>
      </c>
      <c r="G144" t="e" cm="1">
        <v>#N/A</v>
      </c>
      <c r="H144">
        <v>45212</v>
      </c>
      <c r="I144" t="s">
        <v>15</v>
      </c>
      <c r="J144" t="s">
        <v>32</v>
      </c>
      <c r="K144" t="s">
        <v>44</v>
      </c>
      <c r="L144" t="s">
        <v>1454</v>
      </c>
      <c r="M144" t="s">
        <v>78</v>
      </c>
      <c r="N144" t="s">
        <v>1581</v>
      </c>
      <c r="O144" t="s">
        <v>431</v>
      </c>
      <c r="P144" t="e">
        <v>#N/A</v>
      </c>
      <c r="Q144" t="e">
        <v>#N/A</v>
      </c>
      <c r="R144" t="e">
        <v>#N/A</v>
      </c>
      <c r="S144" t="e">
        <v>#N/A</v>
      </c>
      <c r="T144" t="e">
        <v>#N/A</v>
      </c>
      <c r="U144" t="e">
        <v>#N/A</v>
      </c>
      <c r="V144" t="e">
        <v>#N/A</v>
      </c>
    </row>
    <row r="145" spans="1:22" x14ac:dyDescent="0.25">
      <c r="A145">
        <v>17277754</v>
      </c>
      <c r="B145" t="s">
        <v>433</v>
      </c>
      <c r="C145">
        <v>62</v>
      </c>
      <c r="G145" t="s" cm="1">
        <v>442</v>
      </c>
      <c r="H145">
        <v>45219</v>
      </c>
      <c r="I145" t="s">
        <v>15</v>
      </c>
      <c r="J145" t="s">
        <v>20</v>
      </c>
      <c r="K145" t="s">
        <v>44</v>
      </c>
      <c r="L145" t="s">
        <v>69</v>
      </c>
      <c r="M145" t="s">
        <v>81</v>
      </c>
      <c r="N145" t="s">
        <v>1356</v>
      </c>
      <c r="O145" t="s">
        <v>431</v>
      </c>
      <c r="P145" t="e">
        <v>#N/A</v>
      </c>
      <c r="Q145" t="e">
        <v>#N/A</v>
      </c>
      <c r="R145" t="e">
        <v>#N/A</v>
      </c>
      <c r="S145" t="e">
        <v>#N/A</v>
      </c>
      <c r="T145" t="e">
        <v>#N/A</v>
      </c>
      <c r="U145" t="e">
        <v>#N/A</v>
      </c>
      <c r="V145" t="e">
        <v>#N/A</v>
      </c>
    </row>
    <row r="146" spans="1:22" x14ac:dyDescent="0.25">
      <c r="A146">
        <v>11516175</v>
      </c>
      <c r="B146" t="s">
        <v>430</v>
      </c>
      <c r="C146">
        <v>61</v>
      </c>
      <c r="D146" t="s">
        <v>452</v>
      </c>
      <c r="E146">
        <v>45273</v>
      </c>
      <c r="F146" t="s">
        <v>1729</v>
      </c>
      <c r="G146" t="s" cm="1">
        <v>442</v>
      </c>
      <c r="H146" t="s">
        <v>14</v>
      </c>
      <c r="I146" t="s">
        <v>14</v>
      </c>
      <c r="J146" t="s">
        <v>31</v>
      </c>
      <c r="K146" t="s">
        <v>43</v>
      </c>
      <c r="L146" t="s">
        <v>59</v>
      </c>
      <c r="M146" t="s">
        <v>78</v>
      </c>
      <c r="N146" t="s">
        <v>83</v>
      </c>
      <c r="P146" t="s">
        <v>776</v>
      </c>
      <c r="Q146" t="s">
        <v>14</v>
      </c>
      <c r="R146" t="s">
        <v>14</v>
      </c>
      <c r="S146" t="s">
        <v>14</v>
      </c>
      <c r="T146" t="s">
        <v>14</v>
      </c>
      <c r="U146" t="s">
        <v>14</v>
      </c>
      <c r="V146" t="s">
        <v>1024</v>
      </c>
    </row>
    <row r="147" spans="1:22" x14ac:dyDescent="0.25">
      <c r="A147">
        <v>11573463</v>
      </c>
      <c r="B147" t="s">
        <v>433</v>
      </c>
      <c r="C147">
        <v>61</v>
      </c>
      <c r="G147" t="s" cm="1">
        <v>442</v>
      </c>
      <c r="H147">
        <v>45209</v>
      </c>
      <c r="I147" t="s">
        <v>15</v>
      </c>
      <c r="J147" t="s">
        <v>30</v>
      </c>
      <c r="K147" t="s">
        <v>44</v>
      </c>
      <c r="L147" t="s">
        <v>1455</v>
      </c>
      <c r="M147" t="s">
        <v>574</v>
      </c>
      <c r="N147" t="s">
        <v>1580</v>
      </c>
      <c r="O147" t="s">
        <v>431</v>
      </c>
      <c r="P147" t="e">
        <v>#N/A</v>
      </c>
      <c r="Q147" t="e">
        <v>#N/A</v>
      </c>
      <c r="R147" t="e">
        <v>#N/A</v>
      </c>
      <c r="S147" t="e">
        <v>#N/A</v>
      </c>
      <c r="T147" t="e">
        <v>#N/A</v>
      </c>
      <c r="U147" t="e">
        <v>#N/A</v>
      </c>
      <c r="V147" t="e">
        <v>#N/A</v>
      </c>
    </row>
    <row r="148" spans="1:22" x14ac:dyDescent="0.25">
      <c r="A148">
        <v>16817522</v>
      </c>
      <c r="B148" t="s">
        <v>433</v>
      </c>
      <c r="C148">
        <v>61</v>
      </c>
      <c r="G148" t="e" cm="1">
        <v>#N/A</v>
      </c>
      <c r="H148">
        <v>45210</v>
      </c>
      <c r="I148" t="s">
        <v>15</v>
      </c>
      <c r="J148" t="s">
        <v>18</v>
      </c>
      <c r="K148" t="s">
        <v>44</v>
      </c>
      <c r="L148" t="s">
        <v>56</v>
      </c>
      <c r="M148" t="s">
        <v>76</v>
      </c>
      <c r="N148" t="s">
        <v>83</v>
      </c>
      <c r="O148" t="s">
        <v>431</v>
      </c>
      <c r="P148" t="s">
        <v>14</v>
      </c>
      <c r="Q148" t="s">
        <v>14</v>
      </c>
      <c r="R148" t="s">
        <v>14</v>
      </c>
      <c r="S148" t="s">
        <v>14</v>
      </c>
      <c r="T148" t="s">
        <v>14</v>
      </c>
      <c r="U148" t="s">
        <v>828</v>
      </c>
      <c r="V148" t="s">
        <v>1116</v>
      </c>
    </row>
    <row r="149" spans="1:22" x14ac:dyDescent="0.25">
      <c r="A149">
        <v>17141109</v>
      </c>
      <c r="B149" t="s">
        <v>433</v>
      </c>
      <c r="C149">
        <v>61</v>
      </c>
      <c r="G149" t="s" cm="1">
        <v>442</v>
      </c>
      <c r="H149">
        <v>45210</v>
      </c>
      <c r="I149" t="s">
        <v>15</v>
      </c>
      <c r="J149" t="s">
        <v>24</v>
      </c>
      <c r="K149" t="s">
        <v>44</v>
      </c>
      <c r="L149" t="s">
        <v>86</v>
      </c>
      <c r="M149" t="s">
        <v>76</v>
      </c>
      <c r="N149" t="s">
        <v>424</v>
      </c>
      <c r="O149" t="s">
        <v>431</v>
      </c>
      <c r="P149" t="e">
        <v>#N/A</v>
      </c>
      <c r="Q149" t="e">
        <v>#N/A</v>
      </c>
      <c r="R149" t="e">
        <v>#N/A</v>
      </c>
      <c r="S149" t="e">
        <v>#N/A</v>
      </c>
      <c r="T149" t="e">
        <v>#N/A</v>
      </c>
      <c r="U149" t="e">
        <v>#N/A</v>
      </c>
      <c r="V149" t="e">
        <v>#N/A</v>
      </c>
    </row>
    <row r="150" spans="1:22" x14ac:dyDescent="0.25">
      <c r="A150">
        <v>17279474</v>
      </c>
      <c r="B150" t="s" cm="1">
        <v>430</v>
      </c>
      <c r="C150">
        <v>61</v>
      </c>
      <c r="G150" t="s" cm="1">
        <v>442</v>
      </c>
      <c r="H150" t="s">
        <v>14</v>
      </c>
      <c r="I150" t="s">
        <v>14</v>
      </c>
      <c r="J150" t="s">
        <v>30</v>
      </c>
      <c r="K150" t="s">
        <v>49</v>
      </c>
      <c r="L150" t="s">
        <v>63</v>
      </c>
      <c r="M150" t="s">
        <v>76</v>
      </c>
      <c r="N150" t="s">
        <v>83</v>
      </c>
      <c r="P150" t="s">
        <v>915</v>
      </c>
      <c r="Q150" t="s">
        <v>14</v>
      </c>
      <c r="R150" t="s">
        <v>14</v>
      </c>
      <c r="S150" t="s">
        <v>14</v>
      </c>
      <c r="T150" t="s">
        <v>14</v>
      </c>
      <c r="U150" t="s">
        <v>14</v>
      </c>
      <c r="V150" t="s">
        <v>1231</v>
      </c>
    </row>
    <row r="151" spans="1:22" x14ac:dyDescent="0.25">
      <c r="A151">
        <v>17279778</v>
      </c>
      <c r="B151" t="s">
        <v>433</v>
      </c>
      <c r="C151">
        <v>61</v>
      </c>
      <c r="G151" t="s" cm="1">
        <v>442</v>
      </c>
      <c r="H151">
        <v>45224</v>
      </c>
      <c r="I151" t="s">
        <v>15</v>
      </c>
      <c r="J151" t="s">
        <v>25</v>
      </c>
      <c r="K151" t="s">
        <v>44</v>
      </c>
      <c r="L151" t="s">
        <v>56</v>
      </c>
      <c r="M151" t="s">
        <v>76</v>
      </c>
      <c r="N151" t="s">
        <v>83</v>
      </c>
      <c r="O151" t="s">
        <v>431</v>
      </c>
      <c r="P151" t="s">
        <v>14</v>
      </c>
      <c r="Q151" t="s">
        <v>14</v>
      </c>
      <c r="R151" t="s">
        <v>14</v>
      </c>
      <c r="S151" t="s">
        <v>916</v>
      </c>
      <c r="T151" t="s">
        <v>14</v>
      </c>
      <c r="U151" t="s">
        <v>917</v>
      </c>
      <c r="V151" t="s">
        <v>1232</v>
      </c>
    </row>
    <row r="152" spans="1:22" x14ac:dyDescent="0.25">
      <c r="A152">
        <v>17282100</v>
      </c>
      <c r="B152" t="s">
        <v>433</v>
      </c>
      <c r="C152">
        <v>61</v>
      </c>
      <c r="G152" t="e" cm="1">
        <v>#N/A</v>
      </c>
      <c r="H152">
        <v>45265</v>
      </c>
      <c r="I152" t="s">
        <v>15</v>
      </c>
      <c r="J152" t="s">
        <v>30</v>
      </c>
      <c r="K152" t="s">
        <v>46</v>
      </c>
      <c r="L152" t="s">
        <v>1456</v>
      </c>
      <c r="M152" t="s">
        <v>76</v>
      </c>
      <c r="N152" t="s">
        <v>427</v>
      </c>
      <c r="O152" t="s">
        <v>431</v>
      </c>
      <c r="P152" t="e">
        <v>#N/A</v>
      </c>
      <c r="Q152" t="e">
        <v>#N/A</v>
      </c>
      <c r="R152" t="e">
        <v>#N/A</v>
      </c>
      <c r="S152" t="e">
        <v>#N/A</v>
      </c>
      <c r="T152" t="e">
        <v>#N/A</v>
      </c>
      <c r="U152" t="e">
        <v>#N/A</v>
      </c>
      <c r="V152" t="e">
        <v>#N/A</v>
      </c>
    </row>
    <row r="153" spans="1:22" x14ac:dyDescent="0.25">
      <c r="A153">
        <v>17282179</v>
      </c>
      <c r="B153" t="s" cm="1">
        <v>430</v>
      </c>
      <c r="C153">
        <v>61</v>
      </c>
      <c r="G153" t="s" cm="1">
        <v>442</v>
      </c>
      <c r="H153" t="s">
        <v>14</v>
      </c>
      <c r="I153" t="s">
        <v>14</v>
      </c>
      <c r="J153" t="s">
        <v>30</v>
      </c>
      <c r="K153" t="s">
        <v>43</v>
      </c>
      <c r="L153" t="s">
        <v>436</v>
      </c>
      <c r="M153" t="s">
        <v>76</v>
      </c>
      <c r="N153" t="s">
        <v>83</v>
      </c>
      <c r="P153" t="s">
        <v>14</v>
      </c>
      <c r="Q153" t="s">
        <v>14</v>
      </c>
      <c r="R153" t="s">
        <v>14</v>
      </c>
      <c r="S153" t="s">
        <v>918</v>
      </c>
      <c r="T153" t="s">
        <v>14</v>
      </c>
      <c r="U153" t="s">
        <v>919</v>
      </c>
      <c r="V153" t="s">
        <v>1233</v>
      </c>
    </row>
    <row r="154" spans="1:22" x14ac:dyDescent="0.25">
      <c r="A154">
        <v>17282244</v>
      </c>
      <c r="B154" t="s" cm="1">
        <v>430</v>
      </c>
      <c r="C154">
        <v>61</v>
      </c>
      <c r="G154" t="s" cm="1">
        <v>442</v>
      </c>
      <c r="H154" t="s">
        <v>14</v>
      </c>
      <c r="I154" t="s">
        <v>379</v>
      </c>
      <c r="J154" t="s">
        <v>30</v>
      </c>
      <c r="K154" t="s">
        <v>389</v>
      </c>
      <c r="L154" t="s">
        <v>448</v>
      </c>
      <c r="M154" t="s">
        <v>76</v>
      </c>
      <c r="N154" t="s">
        <v>83</v>
      </c>
      <c r="P154" t="s">
        <v>14</v>
      </c>
      <c r="Q154" t="s">
        <v>14</v>
      </c>
      <c r="R154" t="s">
        <v>14</v>
      </c>
      <c r="S154" t="s">
        <v>920</v>
      </c>
      <c r="T154" t="s">
        <v>14</v>
      </c>
      <c r="U154" t="s">
        <v>921</v>
      </c>
      <c r="V154" t="s">
        <v>1234</v>
      </c>
    </row>
    <row r="155" spans="1:22" x14ac:dyDescent="0.25">
      <c r="A155">
        <v>17283691</v>
      </c>
      <c r="B155" t="s">
        <v>430</v>
      </c>
      <c r="C155">
        <v>61</v>
      </c>
      <c r="G155" t="e" cm="1">
        <v>#N/A</v>
      </c>
      <c r="H155" t="s">
        <v>14</v>
      </c>
      <c r="I155" t="s">
        <v>380</v>
      </c>
      <c r="J155" t="s">
        <v>32</v>
      </c>
      <c r="K155" t="s">
        <v>48</v>
      </c>
      <c r="L155" t="s">
        <v>87</v>
      </c>
      <c r="M155" t="s">
        <v>76</v>
      </c>
      <c r="N155" t="s">
        <v>83</v>
      </c>
      <c r="P155" t="s">
        <v>14</v>
      </c>
      <c r="Q155" t="s">
        <v>14</v>
      </c>
      <c r="R155" t="s">
        <v>14</v>
      </c>
      <c r="S155" t="s">
        <v>601</v>
      </c>
      <c r="T155" t="s">
        <v>14</v>
      </c>
      <c r="U155" t="s">
        <v>602</v>
      </c>
      <c r="V155" t="s">
        <v>1235</v>
      </c>
    </row>
    <row r="156" spans="1:22" x14ac:dyDescent="0.25">
      <c r="A156">
        <v>17284177</v>
      </c>
      <c r="B156" t="s">
        <v>430</v>
      </c>
      <c r="C156">
        <v>61</v>
      </c>
      <c r="D156" t="s">
        <v>452</v>
      </c>
      <c r="E156">
        <v>45273</v>
      </c>
      <c r="F156" t="s">
        <v>1729</v>
      </c>
      <c r="G156" t="s" cm="1">
        <v>442</v>
      </c>
      <c r="H156" t="s">
        <v>14</v>
      </c>
      <c r="I156" t="s">
        <v>14</v>
      </c>
      <c r="J156" t="s">
        <v>32</v>
      </c>
      <c r="K156" t="s">
        <v>44</v>
      </c>
      <c r="L156" t="s">
        <v>1457</v>
      </c>
      <c r="M156" t="s">
        <v>78</v>
      </c>
      <c r="N156" t="s">
        <v>83</v>
      </c>
      <c r="P156" t="s">
        <v>922</v>
      </c>
      <c r="Q156" t="s">
        <v>14</v>
      </c>
      <c r="R156" t="s">
        <v>14</v>
      </c>
      <c r="S156" t="s">
        <v>14</v>
      </c>
      <c r="T156" t="s">
        <v>14</v>
      </c>
      <c r="U156" t="s">
        <v>14</v>
      </c>
      <c r="V156" t="s">
        <v>1236</v>
      </c>
    </row>
    <row r="157" spans="1:22" x14ac:dyDescent="0.25">
      <c r="A157">
        <v>17284715</v>
      </c>
      <c r="B157" t="s" cm="1">
        <v>430</v>
      </c>
      <c r="C157">
        <v>61</v>
      </c>
      <c r="G157" t="e" cm="1">
        <v>#N/A</v>
      </c>
      <c r="H157" t="s">
        <v>14</v>
      </c>
      <c r="I157" t="s">
        <v>14</v>
      </c>
      <c r="J157" t="s">
        <v>30</v>
      </c>
      <c r="K157" t="s">
        <v>44</v>
      </c>
      <c r="L157" t="s">
        <v>59</v>
      </c>
      <c r="M157" t="s">
        <v>76</v>
      </c>
      <c r="N157" t="s">
        <v>83</v>
      </c>
      <c r="P157" t="s">
        <v>14</v>
      </c>
      <c r="Q157" t="s">
        <v>14</v>
      </c>
      <c r="R157" t="s">
        <v>14</v>
      </c>
      <c r="S157" t="s">
        <v>923</v>
      </c>
      <c r="T157" t="s">
        <v>14</v>
      </c>
      <c r="U157" t="s">
        <v>14</v>
      </c>
      <c r="V157" t="s">
        <v>1237</v>
      </c>
    </row>
    <row r="158" spans="1:22" x14ac:dyDescent="0.25">
      <c r="A158">
        <v>17284797</v>
      </c>
      <c r="B158" t="s" cm="1">
        <v>430</v>
      </c>
      <c r="C158">
        <v>61</v>
      </c>
      <c r="G158" t="e" cm="1">
        <v>#N/A</v>
      </c>
      <c r="H158" t="s">
        <v>14</v>
      </c>
      <c r="I158" t="s">
        <v>14</v>
      </c>
      <c r="J158" t="s">
        <v>30</v>
      </c>
      <c r="K158" t="s">
        <v>44</v>
      </c>
      <c r="L158" t="s">
        <v>1458</v>
      </c>
      <c r="M158" t="s">
        <v>78</v>
      </c>
      <c r="N158" t="s">
        <v>83</v>
      </c>
      <c r="P158" t="s">
        <v>14</v>
      </c>
      <c r="Q158" t="s">
        <v>14</v>
      </c>
      <c r="R158" t="s">
        <v>14</v>
      </c>
      <c r="S158" t="s">
        <v>14</v>
      </c>
      <c r="T158" t="s">
        <v>14</v>
      </c>
      <c r="U158" t="s">
        <v>630</v>
      </c>
      <c r="V158" t="s">
        <v>1238</v>
      </c>
    </row>
    <row r="159" spans="1:22" x14ac:dyDescent="0.25">
      <c r="A159">
        <v>16797310</v>
      </c>
      <c r="B159" t="s">
        <v>433</v>
      </c>
      <c r="C159">
        <v>60</v>
      </c>
      <c r="G159" t="s" cm="1">
        <v>442</v>
      </c>
      <c r="H159">
        <v>45211</v>
      </c>
      <c r="I159" t="s">
        <v>15</v>
      </c>
      <c r="J159" t="s">
        <v>22</v>
      </c>
      <c r="K159" t="s">
        <v>554</v>
      </c>
      <c r="L159" t="s">
        <v>395</v>
      </c>
      <c r="M159" t="s">
        <v>76</v>
      </c>
      <c r="N159" t="s">
        <v>1355</v>
      </c>
      <c r="O159" t="s">
        <v>431</v>
      </c>
      <c r="P159" t="e">
        <v>#N/A</v>
      </c>
      <c r="Q159" t="e">
        <v>#N/A</v>
      </c>
      <c r="R159" t="e">
        <v>#N/A</v>
      </c>
      <c r="S159" t="e">
        <v>#N/A</v>
      </c>
      <c r="T159" t="e">
        <v>#N/A</v>
      </c>
      <c r="U159" t="e">
        <v>#N/A</v>
      </c>
      <c r="V159" t="e">
        <v>#N/A</v>
      </c>
    </row>
    <row r="160" spans="1:22" x14ac:dyDescent="0.25">
      <c r="A160">
        <v>17077524</v>
      </c>
      <c r="B160" t="s">
        <v>433</v>
      </c>
      <c r="C160">
        <v>60</v>
      </c>
      <c r="G160" t="s" cm="1">
        <v>442</v>
      </c>
      <c r="H160">
        <v>45215</v>
      </c>
      <c r="I160" t="s">
        <v>15</v>
      </c>
      <c r="J160" t="s">
        <v>32</v>
      </c>
      <c r="K160" t="s">
        <v>44</v>
      </c>
      <c r="L160" t="s">
        <v>392</v>
      </c>
      <c r="M160" t="s">
        <v>76</v>
      </c>
      <c r="N160" t="s">
        <v>421</v>
      </c>
      <c r="O160" t="s">
        <v>431</v>
      </c>
      <c r="P160" t="e">
        <v>#N/A</v>
      </c>
      <c r="Q160" t="e">
        <v>#N/A</v>
      </c>
      <c r="R160" t="e">
        <v>#N/A</v>
      </c>
      <c r="S160" t="e">
        <v>#N/A</v>
      </c>
      <c r="T160" t="e">
        <v>#N/A</v>
      </c>
      <c r="U160" t="e">
        <v>#N/A</v>
      </c>
      <c r="V160" t="e">
        <v>#N/A</v>
      </c>
    </row>
    <row r="161" spans="1:22" x14ac:dyDescent="0.25">
      <c r="A161">
        <v>17285201</v>
      </c>
      <c r="B161" t="s">
        <v>433</v>
      </c>
      <c r="C161">
        <v>60</v>
      </c>
      <c r="G161" t="s" cm="1">
        <v>442</v>
      </c>
      <c r="H161">
        <v>45247</v>
      </c>
      <c r="I161" t="s">
        <v>15</v>
      </c>
      <c r="J161" t="s">
        <v>24</v>
      </c>
      <c r="K161" t="s">
        <v>44</v>
      </c>
      <c r="L161" t="s">
        <v>1459</v>
      </c>
      <c r="M161" t="s">
        <v>76</v>
      </c>
      <c r="N161" t="s">
        <v>1582</v>
      </c>
      <c r="O161" t="s">
        <v>431</v>
      </c>
      <c r="P161" t="e">
        <v>#N/A</v>
      </c>
      <c r="Q161" t="e">
        <v>#N/A</v>
      </c>
      <c r="R161" t="e">
        <v>#N/A</v>
      </c>
      <c r="S161" t="e">
        <v>#N/A</v>
      </c>
      <c r="T161" t="e">
        <v>#N/A</v>
      </c>
      <c r="U161" t="e">
        <v>#N/A</v>
      </c>
      <c r="V161" t="e">
        <v>#N/A</v>
      </c>
    </row>
    <row r="162" spans="1:22" x14ac:dyDescent="0.25">
      <c r="A162">
        <v>17289880</v>
      </c>
      <c r="B162" t="s">
        <v>433</v>
      </c>
      <c r="C162">
        <v>60</v>
      </c>
      <c r="G162" t="e" cm="1">
        <v>#N/A</v>
      </c>
      <c r="H162">
        <v>45264</v>
      </c>
      <c r="I162" t="s">
        <v>15</v>
      </c>
      <c r="J162" t="s">
        <v>30</v>
      </c>
      <c r="K162" t="s">
        <v>44</v>
      </c>
      <c r="L162" t="s">
        <v>58</v>
      </c>
      <c r="M162" t="s">
        <v>76</v>
      </c>
      <c r="N162" t="s">
        <v>420</v>
      </c>
      <c r="O162" t="s">
        <v>431</v>
      </c>
      <c r="P162" t="e">
        <v>#N/A</v>
      </c>
      <c r="Q162" t="e">
        <v>#N/A</v>
      </c>
      <c r="R162" t="e">
        <v>#N/A</v>
      </c>
      <c r="S162" t="e">
        <v>#N/A</v>
      </c>
      <c r="T162" t="e">
        <v>#N/A</v>
      </c>
      <c r="U162" t="e">
        <v>#N/A</v>
      </c>
      <c r="V162" t="e">
        <v>#N/A</v>
      </c>
    </row>
    <row r="163" spans="1:22" x14ac:dyDescent="0.25">
      <c r="A163">
        <v>12463344</v>
      </c>
      <c r="B163" t="s">
        <v>433</v>
      </c>
      <c r="C163">
        <v>59</v>
      </c>
      <c r="G163" t="s" cm="1">
        <v>442</v>
      </c>
      <c r="H163">
        <v>45211</v>
      </c>
      <c r="I163" t="s">
        <v>15</v>
      </c>
      <c r="J163" t="s">
        <v>30</v>
      </c>
      <c r="K163" t="s">
        <v>44</v>
      </c>
      <c r="L163" t="s">
        <v>1333</v>
      </c>
      <c r="M163" t="s">
        <v>78</v>
      </c>
      <c r="N163" t="s">
        <v>1355</v>
      </c>
      <c r="O163" t="s">
        <v>431</v>
      </c>
      <c r="P163" t="e">
        <v>#N/A</v>
      </c>
      <c r="Q163" t="e">
        <v>#N/A</v>
      </c>
      <c r="R163" t="e">
        <v>#N/A</v>
      </c>
      <c r="S163" t="e">
        <v>#N/A</v>
      </c>
      <c r="T163" t="e">
        <v>#N/A</v>
      </c>
      <c r="U163" t="e">
        <v>#N/A</v>
      </c>
      <c r="V163" t="e">
        <v>#N/A</v>
      </c>
    </row>
    <row r="164" spans="1:22" x14ac:dyDescent="0.25">
      <c r="A164">
        <v>17292881</v>
      </c>
      <c r="B164" t="s" cm="1">
        <v>430</v>
      </c>
      <c r="C164">
        <v>59</v>
      </c>
      <c r="G164" t="s" cm="1">
        <v>442</v>
      </c>
      <c r="H164" t="s">
        <v>14</v>
      </c>
      <c r="I164" t="s">
        <v>14</v>
      </c>
      <c r="J164" t="s">
        <v>30</v>
      </c>
      <c r="K164" t="s">
        <v>48</v>
      </c>
      <c r="L164" t="s">
        <v>1335</v>
      </c>
      <c r="M164" t="s">
        <v>76</v>
      </c>
      <c r="N164" t="s">
        <v>83</v>
      </c>
      <c r="P164" t="s">
        <v>14</v>
      </c>
      <c r="Q164" t="s">
        <v>14</v>
      </c>
      <c r="R164" t="s">
        <v>14</v>
      </c>
      <c r="S164" t="s">
        <v>692</v>
      </c>
      <c r="T164" t="s">
        <v>14</v>
      </c>
      <c r="U164" t="s">
        <v>693</v>
      </c>
      <c r="V164" t="s">
        <v>1240</v>
      </c>
    </row>
    <row r="165" spans="1:22" x14ac:dyDescent="0.25">
      <c r="A165">
        <v>17296189</v>
      </c>
      <c r="B165" t="s">
        <v>433</v>
      </c>
      <c r="C165">
        <v>59</v>
      </c>
      <c r="G165" t="e" cm="1">
        <v>#N/A</v>
      </c>
      <c r="H165">
        <v>45243</v>
      </c>
      <c r="I165" t="s">
        <v>15</v>
      </c>
      <c r="J165" t="s">
        <v>24</v>
      </c>
      <c r="K165" t="s">
        <v>44</v>
      </c>
      <c r="L165" t="s">
        <v>86</v>
      </c>
      <c r="M165" t="s">
        <v>76</v>
      </c>
      <c r="N165" t="s">
        <v>423</v>
      </c>
      <c r="O165" t="s">
        <v>431</v>
      </c>
      <c r="P165" t="e">
        <v>#N/A</v>
      </c>
      <c r="Q165" t="e">
        <v>#N/A</v>
      </c>
      <c r="R165" t="e">
        <v>#N/A</v>
      </c>
      <c r="S165" t="e">
        <v>#N/A</v>
      </c>
      <c r="T165" t="e">
        <v>#N/A</v>
      </c>
      <c r="U165" t="e">
        <v>#N/A</v>
      </c>
      <c r="V165" t="e">
        <v>#N/A</v>
      </c>
    </row>
    <row r="166" spans="1:22" x14ac:dyDescent="0.25">
      <c r="A166">
        <v>17297359</v>
      </c>
      <c r="B166" t="s">
        <v>433</v>
      </c>
      <c r="C166">
        <v>58</v>
      </c>
      <c r="G166" t="s" cm="1">
        <v>442</v>
      </c>
      <c r="H166">
        <v>45050</v>
      </c>
      <c r="I166" t="s">
        <v>15</v>
      </c>
      <c r="J166" t="s">
        <v>25</v>
      </c>
      <c r="K166" t="s">
        <v>44</v>
      </c>
      <c r="L166" t="s">
        <v>57</v>
      </c>
      <c r="M166" t="s">
        <v>76</v>
      </c>
      <c r="N166" t="s">
        <v>83</v>
      </c>
      <c r="O166" t="s">
        <v>431</v>
      </c>
      <c r="P166" t="s">
        <v>926</v>
      </c>
      <c r="Q166" t="s">
        <v>14</v>
      </c>
      <c r="R166" t="s">
        <v>14</v>
      </c>
      <c r="S166" t="s">
        <v>926</v>
      </c>
      <c r="T166" t="s">
        <v>14</v>
      </c>
      <c r="U166" t="s">
        <v>927</v>
      </c>
      <c r="V166" t="s">
        <v>1242</v>
      </c>
    </row>
    <row r="167" spans="1:22" x14ac:dyDescent="0.25">
      <c r="A167">
        <v>17297496</v>
      </c>
      <c r="B167" t="s">
        <v>433</v>
      </c>
      <c r="C167">
        <v>58</v>
      </c>
      <c r="G167" t="s" cm="1">
        <v>442</v>
      </c>
      <c r="H167">
        <v>45257</v>
      </c>
      <c r="I167" t="s">
        <v>15</v>
      </c>
      <c r="J167" t="s">
        <v>30</v>
      </c>
      <c r="K167" t="s">
        <v>44</v>
      </c>
      <c r="L167" t="s">
        <v>394</v>
      </c>
      <c r="M167" t="s">
        <v>76</v>
      </c>
      <c r="N167" t="s">
        <v>747</v>
      </c>
      <c r="O167" t="s">
        <v>431</v>
      </c>
      <c r="P167" t="e">
        <v>#N/A</v>
      </c>
      <c r="Q167" t="e">
        <v>#N/A</v>
      </c>
      <c r="R167" t="e">
        <v>#N/A</v>
      </c>
      <c r="S167" t="e">
        <v>#N/A</v>
      </c>
      <c r="T167" t="e">
        <v>#N/A</v>
      </c>
      <c r="U167" t="e">
        <v>#N/A</v>
      </c>
      <c r="V167" t="e">
        <v>#N/A</v>
      </c>
    </row>
    <row r="168" spans="1:22" x14ac:dyDescent="0.25">
      <c r="A168">
        <v>11962883</v>
      </c>
      <c r="B168" t="s" cm="1">
        <v>433</v>
      </c>
      <c r="C168">
        <v>56</v>
      </c>
      <c r="G168" t="s" cm="1">
        <v>442</v>
      </c>
      <c r="H168" t="s">
        <v>14</v>
      </c>
      <c r="I168" t="s">
        <v>14</v>
      </c>
      <c r="J168" t="s">
        <v>20</v>
      </c>
      <c r="K168" t="s">
        <v>44</v>
      </c>
      <c r="L168" t="s">
        <v>1460</v>
      </c>
      <c r="M168" t="s">
        <v>574</v>
      </c>
      <c r="N168" t="s">
        <v>83</v>
      </c>
      <c r="P168" t="s">
        <v>14</v>
      </c>
      <c r="Q168" t="s">
        <v>14</v>
      </c>
      <c r="R168" t="s">
        <v>14</v>
      </c>
      <c r="S168" t="s">
        <v>14</v>
      </c>
      <c r="T168" t="s">
        <v>14</v>
      </c>
      <c r="U168" t="s">
        <v>669</v>
      </c>
      <c r="V168" t="s">
        <v>1026</v>
      </c>
    </row>
    <row r="169" spans="1:22" x14ac:dyDescent="0.25">
      <c r="A169">
        <v>17298463</v>
      </c>
      <c r="B169" t="s" cm="1">
        <v>430</v>
      </c>
      <c r="C169">
        <v>56</v>
      </c>
      <c r="G169" t="s" cm="1">
        <v>442</v>
      </c>
      <c r="H169" t="s">
        <v>14</v>
      </c>
      <c r="I169" t="s">
        <v>14</v>
      </c>
      <c r="J169" t="s">
        <v>30</v>
      </c>
      <c r="K169" t="s">
        <v>43</v>
      </c>
      <c r="L169" t="s">
        <v>1336</v>
      </c>
      <c r="M169" t="s">
        <v>78</v>
      </c>
      <c r="N169" t="s">
        <v>83</v>
      </c>
      <c r="P169" t="s">
        <v>14</v>
      </c>
      <c r="Q169" t="s">
        <v>14</v>
      </c>
      <c r="R169" t="s">
        <v>14</v>
      </c>
      <c r="S169" t="s">
        <v>691</v>
      </c>
      <c r="T169" t="s">
        <v>14</v>
      </c>
      <c r="U169" t="s">
        <v>600</v>
      </c>
      <c r="V169" t="s">
        <v>1243</v>
      </c>
    </row>
    <row r="170" spans="1:22" x14ac:dyDescent="0.25">
      <c r="A170">
        <v>17299041</v>
      </c>
      <c r="B170" t="s" cm="1">
        <v>430</v>
      </c>
      <c r="C170">
        <v>56</v>
      </c>
      <c r="G170" t="e" cm="1">
        <v>#N/A</v>
      </c>
      <c r="H170" t="s">
        <v>14</v>
      </c>
      <c r="I170" t="s">
        <v>14</v>
      </c>
      <c r="J170" t="s">
        <v>20</v>
      </c>
      <c r="K170" t="s">
        <v>44</v>
      </c>
      <c r="L170" t="s">
        <v>1461</v>
      </c>
      <c r="M170" t="s">
        <v>78</v>
      </c>
      <c r="N170" t="s">
        <v>83</v>
      </c>
      <c r="P170" t="s">
        <v>14</v>
      </c>
      <c r="Q170" t="s">
        <v>14</v>
      </c>
      <c r="R170" t="s">
        <v>14</v>
      </c>
      <c r="S170" t="s">
        <v>928</v>
      </c>
      <c r="T170" t="s">
        <v>14</v>
      </c>
      <c r="U170" t="s">
        <v>929</v>
      </c>
      <c r="V170" t="s">
        <v>1244</v>
      </c>
    </row>
    <row r="171" spans="1:22" x14ac:dyDescent="0.25">
      <c r="A171">
        <v>17300183</v>
      </c>
      <c r="B171" t="s">
        <v>433</v>
      </c>
      <c r="C171">
        <v>56</v>
      </c>
      <c r="G171" t="e" cm="1">
        <v>#N/A</v>
      </c>
      <c r="H171">
        <v>45212</v>
      </c>
      <c r="I171" t="s">
        <v>15</v>
      </c>
      <c r="J171" t="s">
        <v>23</v>
      </c>
      <c r="K171" t="s">
        <v>44</v>
      </c>
      <c r="L171" t="s">
        <v>1454</v>
      </c>
      <c r="M171" t="s">
        <v>78</v>
      </c>
      <c r="N171" t="s">
        <v>83</v>
      </c>
      <c r="O171" t="s">
        <v>431</v>
      </c>
      <c r="P171" t="s">
        <v>14</v>
      </c>
      <c r="Q171" t="s">
        <v>14</v>
      </c>
      <c r="R171" t="s">
        <v>14</v>
      </c>
      <c r="S171" t="s">
        <v>689</v>
      </c>
      <c r="T171" t="s">
        <v>14</v>
      </c>
      <c r="U171" t="s">
        <v>690</v>
      </c>
      <c r="V171" t="s">
        <v>1245</v>
      </c>
    </row>
    <row r="172" spans="1:22" x14ac:dyDescent="0.25">
      <c r="A172">
        <v>17300347</v>
      </c>
      <c r="B172" t="s">
        <v>433</v>
      </c>
      <c r="C172">
        <v>56</v>
      </c>
      <c r="G172" t="e" cm="1">
        <v>#N/A</v>
      </c>
      <c r="H172">
        <v>45212</v>
      </c>
      <c r="I172" t="s">
        <v>15</v>
      </c>
      <c r="J172" t="s">
        <v>25</v>
      </c>
      <c r="K172" t="s">
        <v>44</v>
      </c>
      <c r="L172" t="s">
        <v>1462</v>
      </c>
      <c r="M172" t="s">
        <v>78</v>
      </c>
      <c r="N172" t="s">
        <v>83</v>
      </c>
      <c r="O172" t="s">
        <v>431</v>
      </c>
      <c r="P172" t="s">
        <v>14</v>
      </c>
      <c r="Q172" t="s">
        <v>14</v>
      </c>
      <c r="R172" t="s">
        <v>14</v>
      </c>
      <c r="S172" t="s">
        <v>629</v>
      </c>
      <c r="T172" t="s">
        <v>14</v>
      </c>
      <c r="U172" t="s">
        <v>14</v>
      </c>
      <c r="V172" t="s">
        <v>1246</v>
      </c>
    </row>
    <row r="173" spans="1:22" x14ac:dyDescent="0.25">
      <c r="A173">
        <v>11970112</v>
      </c>
      <c r="B173" t="s">
        <v>433</v>
      </c>
      <c r="C173">
        <v>55</v>
      </c>
      <c r="G173" t="s" cm="1">
        <v>442</v>
      </c>
      <c r="H173">
        <v>45215</v>
      </c>
      <c r="I173" t="s">
        <v>15</v>
      </c>
      <c r="J173" t="s">
        <v>18</v>
      </c>
      <c r="K173" t="s">
        <v>44</v>
      </c>
      <c r="L173" t="s">
        <v>90</v>
      </c>
      <c r="M173" t="s">
        <v>409</v>
      </c>
      <c r="N173" t="s">
        <v>421</v>
      </c>
      <c r="O173" t="s">
        <v>431</v>
      </c>
      <c r="P173" t="e">
        <v>#N/A</v>
      </c>
      <c r="Q173" t="e">
        <v>#N/A</v>
      </c>
      <c r="R173" t="e">
        <v>#N/A</v>
      </c>
      <c r="S173" t="e">
        <v>#N/A</v>
      </c>
      <c r="T173" t="e">
        <v>#N/A</v>
      </c>
      <c r="U173" t="e">
        <v>#N/A</v>
      </c>
      <c r="V173" t="e">
        <v>#N/A</v>
      </c>
    </row>
    <row r="174" spans="1:22" x14ac:dyDescent="0.25">
      <c r="A174">
        <v>17007560</v>
      </c>
      <c r="B174" t="s">
        <v>433</v>
      </c>
      <c r="C174">
        <v>55</v>
      </c>
      <c r="G174" t="s" cm="1">
        <v>442</v>
      </c>
      <c r="H174">
        <v>45222</v>
      </c>
      <c r="I174" t="s">
        <v>15</v>
      </c>
      <c r="J174" t="s">
        <v>30</v>
      </c>
      <c r="K174" t="s">
        <v>44</v>
      </c>
      <c r="L174" t="s">
        <v>1463</v>
      </c>
      <c r="M174" t="s">
        <v>76</v>
      </c>
      <c r="N174" t="s">
        <v>749</v>
      </c>
      <c r="O174" t="s">
        <v>431</v>
      </c>
      <c r="P174" t="e">
        <v>#N/A</v>
      </c>
      <c r="Q174" t="e">
        <v>#N/A</v>
      </c>
      <c r="R174" t="e">
        <v>#N/A</v>
      </c>
      <c r="S174" t="e">
        <v>#N/A</v>
      </c>
      <c r="T174" t="e">
        <v>#N/A</v>
      </c>
      <c r="U174" t="e">
        <v>#N/A</v>
      </c>
      <c r="V174" t="e">
        <v>#N/A</v>
      </c>
    </row>
    <row r="175" spans="1:22" x14ac:dyDescent="0.25">
      <c r="A175">
        <v>17305137</v>
      </c>
      <c r="B175" t="s" cm="1">
        <v>430</v>
      </c>
      <c r="C175">
        <v>55</v>
      </c>
      <c r="G175" t="e" cm="1">
        <v>#N/A</v>
      </c>
      <c r="H175" t="s">
        <v>14</v>
      </c>
      <c r="I175" t="s">
        <v>14</v>
      </c>
      <c r="J175" t="s">
        <v>30</v>
      </c>
      <c r="K175" t="s">
        <v>45</v>
      </c>
      <c r="L175" t="s">
        <v>58</v>
      </c>
      <c r="M175" t="s">
        <v>76</v>
      </c>
      <c r="N175" t="s">
        <v>83</v>
      </c>
      <c r="P175" t="s">
        <v>14</v>
      </c>
      <c r="Q175" t="s">
        <v>14</v>
      </c>
      <c r="R175" t="s">
        <v>14</v>
      </c>
      <c r="S175" t="s">
        <v>628</v>
      </c>
      <c r="T175" t="s">
        <v>14</v>
      </c>
      <c r="U175" t="s">
        <v>14</v>
      </c>
      <c r="V175" t="s">
        <v>1247</v>
      </c>
    </row>
    <row r="176" spans="1:22" x14ac:dyDescent="0.25">
      <c r="A176">
        <v>17308194</v>
      </c>
      <c r="B176" t="s">
        <v>433</v>
      </c>
      <c r="C176">
        <v>55</v>
      </c>
      <c r="G176" t="s" cm="1">
        <v>442</v>
      </c>
      <c r="H176">
        <v>45237</v>
      </c>
      <c r="I176" t="s">
        <v>15</v>
      </c>
      <c r="J176" t="s">
        <v>22</v>
      </c>
      <c r="K176" t="s">
        <v>44</v>
      </c>
      <c r="L176" t="s">
        <v>397</v>
      </c>
      <c r="M176" t="s">
        <v>771</v>
      </c>
      <c r="N176" t="s">
        <v>1583</v>
      </c>
      <c r="O176" t="s">
        <v>431</v>
      </c>
      <c r="P176" t="e">
        <v>#N/A</v>
      </c>
      <c r="Q176" t="e">
        <v>#N/A</v>
      </c>
      <c r="R176" t="e">
        <v>#N/A</v>
      </c>
      <c r="S176" t="e">
        <v>#N/A</v>
      </c>
      <c r="T176" t="e">
        <v>#N/A</v>
      </c>
      <c r="U176" t="e">
        <v>#N/A</v>
      </c>
      <c r="V176" t="e">
        <v>#N/A</v>
      </c>
    </row>
    <row r="177" spans="1:22" x14ac:dyDescent="0.25">
      <c r="A177">
        <v>17308564</v>
      </c>
      <c r="B177" t="s" cm="1">
        <v>430</v>
      </c>
      <c r="C177">
        <v>55</v>
      </c>
      <c r="D177" t="s">
        <v>1609</v>
      </c>
      <c r="E177">
        <v>45274</v>
      </c>
      <c r="F177" t="s">
        <v>1608</v>
      </c>
      <c r="G177" t="e" cm="1">
        <v>#N/A</v>
      </c>
      <c r="H177" t="s">
        <v>14</v>
      </c>
      <c r="I177" t="s">
        <v>14</v>
      </c>
      <c r="J177" t="s">
        <v>18</v>
      </c>
      <c r="K177" t="s">
        <v>44</v>
      </c>
      <c r="L177" t="s">
        <v>391</v>
      </c>
      <c r="M177" t="s">
        <v>76</v>
      </c>
      <c r="N177" t="s">
        <v>83</v>
      </c>
      <c r="P177" t="s">
        <v>14</v>
      </c>
      <c r="Q177" t="s">
        <v>14</v>
      </c>
      <c r="R177" t="s">
        <v>14</v>
      </c>
      <c r="S177" t="s">
        <v>14</v>
      </c>
      <c r="T177" t="s">
        <v>14</v>
      </c>
      <c r="U177" t="s">
        <v>930</v>
      </c>
      <c r="V177" t="s">
        <v>1248</v>
      </c>
    </row>
    <row r="178" spans="1:22" x14ac:dyDescent="0.25">
      <c r="A178">
        <v>17309291</v>
      </c>
      <c r="B178" t="s" cm="1">
        <v>430</v>
      </c>
      <c r="C178">
        <v>55</v>
      </c>
      <c r="G178" t="e" cm="1">
        <v>#N/A</v>
      </c>
      <c r="H178" t="s">
        <v>14</v>
      </c>
      <c r="I178" t="s">
        <v>14</v>
      </c>
      <c r="J178" t="s">
        <v>28</v>
      </c>
      <c r="K178" t="s">
        <v>44</v>
      </c>
      <c r="L178" t="s">
        <v>59</v>
      </c>
      <c r="M178" t="s">
        <v>76</v>
      </c>
      <c r="N178" t="s">
        <v>14</v>
      </c>
      <c r="P178" t="e">
        <v>#N/A</v>
      </c>
      <c r="Q178" t="e">
        <v>#N/A</v>
      </c>
      <c r="R178" t="e">
        <v>#N/A</v>
      </c>
      <c r="S178" t="e">
        <v>#N/A</v>
      </c>
      <c r="T178" t="e">
        <v>#N/A</v>
      </c>
      <c r="U178" t="e">
        <v>#N/A</v>
      </c>
      <c r="V178" t="e">
        <v>#N/A</v>
      </c>
    </row>
    <row r="179" spans="1:22" x14ac:dyDescent="0.25">
      <c r="A179">
        <v>17310443</v>
      </c>
      <c r="B179" t="s">
        <v>430</v>
      </c>
      <c r="C179">
        <v>54</v>
      </c>
      <c r="D179" t="s">
        <v>452</v>
      </c>
      <c r="E179">
        <v>45273</v>
      </c>
      <c r="F179" t="s">
        <v>1729</v>
      </c>
      <c r="G179" t="s" cm="1">
        <v>442</v>
      </c>
      <c r="H179" t="s">
        <v>14</v>
      </c>
      <c r="I179" t="s">
        <v>14</v>
      </c>
      <c r="J179" t="s">
        <v>24</v>
      </c>
      <c r="K179" t="s">
        <v>51</v>
      </c>
      <c r="L179" t="s">
        <v>391</v>
      </c>
      <c r="M179" t="s">
        <v>76</v>
      </c>
      <c r="N179" t="s">
        <v>83</v>
      </c>
      <c r="P179" t="s">
        <v>14</v>
      </c>
      <c r="Q179" t="s">
        <v>14</v>
      </c>
      <c r="R179" t="s">
        <v>14</v>
      </c>
      <c r="S179" t="s">
        <v>14</v>
      </c>
      <c r="T179" t="s">
        <v>14</v>
      </c>
      <c r="U179" t="s">
        <v>14</v>
      </c>
      <c r="V179" t="s">
        <v>1249</v>
      </c>
    </row>
    <row r="180" spans="1:22" x14ac:dyDescent="0.25">
      <c r="A180">
        <v>17310712</v>
      </c>
      <c r="B180" t="s" cm="1">
        <v>430</v>
      </c>
      <c r="C180">
        <v>54</v>
      </c>
      <c r="G180" t="s" cm="1">
        <v>442</v>
      </c>
      <c r="H180" t="s">
        <v>14</v>
      </c>
      <c r="I180" t="s">
        <v>14</v>
      </c>
      <c r="J180" t="s">
        <v>30</v>
      </c>
      <c r="K180" t="s">
        <v>45</v>
      </c>
      <c r="L180" t="s">
        <v>74</v>
      </c>
      <c r="M180" t="s">
        <v>76</v>
      </c>
      <c r="N180" t="s">
        <v>83</v>
      </c>
      <c r="P180" t="s">
        <v>14</v>
      </c>
      <c r="Q180" t="s">
        <v>14</v>
      </c>
      <c r="R180" t="s">
        <v>14</v>
      </c>
      <c r="S180" t="s">
        <v>931</v>
      </c>
      <c r="T180" t="s">
        <v>14</v>
      </c>
      <c r="U180" t="s">
        <v>932</v>
      </c>
      <c r="V180" t="s">
        <v>1250</v>
      </c>
    </row>
    <row r="181" spans="1:22" x14ac:dyDescent="0.25">
      <c r="A181">
        <v>17310713</v>
      </c>
      <c r="B181" t="s" cm="1">
        <v>430</v>
      </c>
      <c r="C181">
        <v>54</v>
      </c>
      <c r="G181" t="s" cm="1">
        <v>442</v>
      </c>
      <c r="H181" t="s">
        <v>14</v>
      </c>
      <c r="I181" t="s">
        <v>14</v>
      </c>
      <c r="J181" t="s">
        <v>30</v>
      </c>
      <c r="K181" t="s">
        <v>48</v>
      </c>
      <c r="L181" t="s">
        <v>1337</v>
      </c>
      <c r="M181" t="s">
        <v>76</v>
      </c>
      <c r="N181" t="s">
        <v>83</v>
      </c>
      <c r="P181" t="s">
        <v>14</v>
      </c>
      <c r="Q181" t="s">
        <v>14</v>
      </c>
      <c r="R181" t="s">
        <v>14</v>
      </c>
      <c r="S181" t="s">
        <v>14</v>
      </c>
      <c r="T181" t="s">
        <v>14</v>
      </c>
      <c r="U181" t="s">
        <v>933</v>
      </c>
      <c r="V181" t="s">
        <v>1251</v>
      </c>
    </row>
    <row r="182" spans="1:22" x14ac:dyDescent="0.25">
      <c r="A182">
        <v>17314359</v>
      </c>
      <c r="B182" t="s">
        <v>430</v>
      </c>
      <c r="C182">
        <v>54</v>
      </c>
      <c r="G182" t="s" cm="1">
        <v>442</v>
      </c>
      <c r="H182" t="s">
        <v>14</v>
      </c>
      <c r="I182" t="s">
        <v>380</v>
      </c>
      <c r="J182" t="s">
        <v>27</v>
      </c>
      <c r="K182" t="s">
        <v>48</v>
      </c>
      <c r="L182" t="s">
        <v>1338</v>
      </c>
      <c r="M182" t="s">
        <v>78</v>
      </c>
      <c r="N182" t="s">
        <v>83</v>
      </c>
      <c r="P182" t="s">
        <v>14</v>
      </c>
      <c r="Q182" t="s">
        <v>14</v>
      </c>
      <c r="R182" t="s">
        <v>14</v>
      </c>
      <c r="S182" t="s">
        <v>934</v>
      </c>
      <c r="T182" t="s">
        <v>14</v>
      </c>
      <c r="U182" t="s">
        <v>14</v>
      </c>
      <c r="V182" t="s">
        <v>1252</v>
      </c>
    </row>
    <row r="183" spans="1:22" x14ac:dyDescent="0.25">
      <c r="A183">
        <v>17315496</v>
      </c>
      <c r="B183" t="s">
        <v>433</v>
      </c>
      <c r="C183">
        <v>54</v>
      </c>
      <c r="G183" t="s" cm="1">
        <v>442</v>
      </c>
      <c r="H183">
        <v>45259</v>
      </c>
      <c r="I183" t="s">
        <v>15</v>
      </c>
      <c r="J183" t="s">
        <v>22</v>
      </c>
      <c r="K183" t="s">
        <v>44</v>
      </c>
      <c r="L183" t="s">
        <v>63</v>
      </c>
      <c r="M183" t="s">
        <v>76</v>
      </c>
      <c r="N183" t="s">
        <v>425</v>
      </c>
      <c r="O183" t="s">
        <v>431</v>
      </c>
      <c r="P183" t="e">
        <v>#N/A</v>
      </c>
      <c r="Q183" t="e">
        <v>#N/A</v>
      </c>
      <c r="R183" t="e">
        <v>#N/A</v>
      </c>
      <c r="S183" t="e">
        <v>#N/A</v>
      </c>
      <c r="T183" t="e">
        <v>#N/A</v>
      </c>
      <c r="U183" t="e">
        <v>#N/A</v>
      </c>
      <c r="V183" t="e">
        <v>#N/A</v>
      </c>
    </row>
    <row r="184" spans="1:22" x14ac:dyDescent="0.25">
      <c r="A184">
        <v>17315539</v>
      </c>
      <c r="B184" t="s">
        <v>433</v>
      </c>
      <c r="C184">
        <v>54</v>
      </c>
      <c r="G184" t="s" cm="1">
        <v>442</v>
      </c>
      <c r="H184">
        <v>45223</v>
      </c>
      <c r="I184" t="s">
        <v>15</v>
      </c>
      <c r="J184" t="s">
        <v>382</v>
      </c>
      <c r="K184" t="s">
        <v>44</v>
      </c>
      <c r="L184" t="s">
        <v>623</v>
      </c>
      <c r="M184" t="s">
        <v>76</v>
      </c>
      <c r="N184" t="s">
        <v>83</v>
      </c>
      <c r="O184" t="s">
        <v>431</v>
      </c>
      <c r="P184" t="s">
        <v>14</v>
      </c>
      <c r="Q184" t="s">
        <v>14</v>
      </c>
      <c r="R184" t="s">
        <v>14</v>
      </c>
      <c r="S184" t="s">
        <v>688</v>
      </c>
      <c r="T184" t="s">
        <v>14</v>
      </c>
      <c r="U184" t="s">
        <v>935</v>
      </c>
      <c r="V184" t="s">
        <v>1253</v>
      </c>
    </row>
    <row r="185" spans="1:22" x14ac:dyDescent="0.25">
      <c r="A185">
        <v>16709711</v>
      </c>
      <c r="B185" t="s">
        <v>433</v>
      </c>
      <c r="C185">
        <v>53</v>
      </c>
      <c r="G185" t="s" cm="1">
        <v>442</v>
      </c>
      <c r="H185">
        <v>45229</v>
      </c>
      <c r="I185" t="s">
        <v>15</v>
      </c>
      <c r="J185" t="s">
        <v>30</v>
      </c>
      <c r="K185" t="s">
        <v>44</v>
      </c>
      <c r="L185" t="s">
        <v>89</v>
      </c>
      <c r="M185" t="s">
        <v>76</v>
      </c>
      <c r="N185" t="s">
        <v>417</v>
      </c>
      <c r="O185" t="s">
        <v>431</v>
      </c>
      <c r="P185" t="e">
        <v>#N/A</v>
      </c>
      <c r="Q185" t="e">
        <v>#N/A</v>
      </c>
      <c r="R185" t="e">
        <v>#N/A</v>
      </c>
      <c r="S185" t="e">
        <v>#N/A</v>
      </c>
      <c r="T185" t="e">
        <v>#N/A</v>
      </c>
      <c r="U185" t="e">
        <v>#N/A</v>
      </c>
      <c r="V185" t="e">
        <v>#N/A</v>
      </c>
    </row>
    <row r="186" spans="1:22" x14ac:dyDescent="0.25">
      <c r="A186">
        <v>16837369</v>
      </c>
      <c r="B186" t="s">
        <v>433</v>
      </c>
      <c r="C186">
        <v>53</v>
      </c>
      <c r="G186" t="s" cm="1">
        <v>442</v>
      </c>
      <c r="H186" t="s">
        <v>14</v>
      </c>
      <c r="I186" t="s">
        <v>380</v>
      </c>
      <c r="J186" t="s">
        <v>23</v>
      </c>
      <c r="K186" t="s">
        <v>43</v>
      </c>
      <c r="L186" t="s">
        <v>598</v>
      </c>
      <c r="M186" t="s">
        <v>1535</v>
      </c>
      <c r="N186" t="s">
        <v>83</v>
      </c>
      <c r="P186" t="s">
        <v>14</v>
      </c>
      <c r="Q186" t="s">
        <v>14</v>
      </c>
      <c r="R186" t="s">
        <v>14</v>
      </c>
      <c r="S186" t="s">
        <v>535</v>
      </c>
      <c r="T186" t="s">
        <v>14</v>
      </c>
      <c r="U186" t="s">
        <v>536</v>
      </c>
      <c r="V186" t="s">
        <v>1120</v>
      </c>
    </row>
    <row r="187" spans="1:22" x14ac:dyDescent="0.25">
      <c r="A187">
        <v>17316621</v>
      </c>
      <c r="B187" t="s" cm="1">
        <v>430</v>
      </c>
      <c r="C187">
        <v>53</v>
      </c>
      <c r="G187" t="e" cm="1">
        <v>#N/A</v>
      </c>
      <c r="H187" t="s">
        <v>14</v>
      </c>
      <c r="I187" t="s">
        <v>14</v>
      </c>
      <c r="J187" t="s">
        <v>30</v>
      </c>
      <c r="K187" t="s">
        <v>1414</v>
      </c>
      <c r="L187" t="s">
        <v>55</v>
      </c>
      <c r="M187" t="s">
        <v>76</v>
      </c>
      <c r="N187" t="s">
        <v>83</v>
      </c>
      <c r="P187" t="s">
        <v>14</v>
      </c>
      <c r="Q187" t="s">
        <v>14</v>
      </c>
      <c r="R187" t="s">
        <v>14</v>
      </c>
      <c r="S187" t="s">
        <v>687</v>
      </c>
      <c r="T187" t="s">
        <v>14</v>
      </c>
      <c r="U187" t="s">
        <v>14</v>
      </c>
      <c r="V187" t="s">
        <v>1254</v>
      </c>
    </row>
    <row r="188" spans="1:22" x14ac:dyDescent="0.25">
      <c r="A188">
        <v>17317001</v>
      </c>
      <c r="B188" t="s" cm="1">
        <v>433</v>
      </c>
      <c r="C188">
        <v>53</v>
      </c>
      <c r="G188" t="s" cm="1">
        <v>442</v>
      </c>
      <c r="H188" t="s">
        <v>14</v>
      </c>
      <c r="I188" t="s">
        <v>14</v>
      </c>
      <c r="J188" t="s">
        <v>30</v>
      </c>
      <c r="K188" t="s">
        <v>53</v>
      </c>
      <c r="L188" t="s">
        <v>1464</v>
      </c>
      <c r="M188" t="s">
        <v>76</v>
      </c>
      <c r="N188" t="s">
        <v>83</v>
      </c>
      <c r="P188" t="s">
        <v>936</v>
      </c>
      <c r="Q188" t="s">
        <v>14</v>
      </c>
      <c r="R188" t="s">
        <v>14</v>
      </c>
      <c r="S188" t="s">
        <v>14</v>
      </c>
      <c r="T188" t="s">
        <v>14</v>
      </c>
      <c r="U188" t="s">
        <v>14</v>
      </c>
      <c r="V188" t="s">
        <v>1255</v>
      </c>
    </row>
    <row r="189" spans="1:22" x14ac:dyDescent="0.25">
      <c r="A189">
        <v>17318438</v>
      </c>
      <c r="B189" t="s" cm="1">
        <v>430</v>
      </c>
      <c r="C189">
        <v>53</v>
      </c>
      <c r="G189" t="s" cm="1">
        <v>442</v>
      </c>
      <c r="H189" t="s">
        <v>14</v>
      </c>
      <c r="I189" t="s">
        <v>14</v>
      </c>
      <c r="J189" t="s">
        <v>26</v>
      </c>
      <c r="K189" t="s">
        <v>53</v>
      </c>
      <c r="L189" t="s">
        <v>507</v>
      </c>
      <c r="M189" t="s">
        <v>78</v>
      </c>
      <c r="N189" t="s">
        <v>83</v>
      </c>
      <c r="P189" t="s">
        <v>14</v>
      </c>
      <c r="Q189" t="s">
        <v>14</v>
      </c>
      <c r="R189" t="s">
        <v>14</v>
      </c>
      <c r="S189" t="s">
        <v>686</v>
      </c>
      <c r="T189" t="s">
        <v>14</v>
      </c>
      <c r="U189" t="s">
        <v>14</v>
      </c>
      <c r="V189" t="s">
        <v>1256</v>
      </c>
    </row>
    <row r="190" spans="1:22" x14ac:dyDescent="0.25">
      <c r="A190">
        <v>17321895</v>
      </c>
      <c r="B190" t="s">
        <v>433</v>
      </c>
      <c r="C190">
        <v>53</v>
      </c>
      <c r="G190" t="s" cm="1">
        <v>1611</v>
      </c>
      <c r="H190">
        <v>45265</v>
      </c>
      <c r="I190" t="s">
        <v>15</v>
      </c>
      <c r="J190" t="s">
        <v>18</v>
      </c>
      <c r="K190" t="s">
        <v>44</v>
      </c>
      <c r="L190" t="s">
        <v>86</v>
      </c>
      <c r="M190" t="s">
        <v>76</v>
      </c>
      <c r="N190" t="s">
        <v>427</v>
      </c>
      <c r="O190" t="s">
        <v>431</v>
      </c>
      <c r="P190" t="e">
        <v>#N/A</v>
      </c>
      <c r="Q190" t="e">
        <v>#N/A</v>
      </c>
      <c r="R190" t="e">
        <v>#N/A</v>
      </c>
      <c r="S190" t="e">
        <v>#N/A</v>
      </c>
      <c r="T190" t="e">
        <v>#N/A</v>
      </c>
      <c r="U190" t="e">
        <v>#N/A</v>
      </c>
      <c r="V190" t="e">
        <v>#N/A</v>
      </c>
    </row>
    <row r="191" spans="1:22" x14ac:dyDescent="0.25">
      <c r="A191">
        <v>13342510</v>
      </c>
      <c r="B191" t="s">
        <v>433</v>
      </c>
      <c r="C191">
        <v>52</v>
      </c>
      <c r="G191" t="s" cm="1">
        <v>442</v>
      </c>
      <c r="H191">
        <v>45219</v>
      </c>
      <c r="I191" t="s">
        <v>15</v>
      </c>
      <c r="J191" t="s">
        <v>18</v>
      </c>
      <c r="K191" t="s">
        <v>44</v>
      </c>
      <c r="L191" t="s">
        <v>56</v>
      </c>
      <c r="M191" t="s">
        <v>1536</v>
      </c>
      <c r="N191" t="s">
        <v>1356</v>
      </c>
      <c r="O191" t="s">
        <v>431</v>
      </c>
      <c r="P191" t="e">
        <v>#N/A</v>
      </c>
      <c r="Q191" t="e">
        <v>#N/A</v>
      </c>
      <c r="R191" t="e">
        <v>#N/A</v>
      </c>
      <c r="S191" t="e">
        <v>#N/A</v>
      </c>
      <c r="T191" t="e">
        <v>#N/A</v>
      </c>
      <c r="U191" t="e">
        <v>#N/A</v>
      </c>
      <c r="V191" t="e">
        <v>#N/A</v>
      </c>
    </row>
    <row r="192" spans="1:22" x14ac:dyDescent="0.25">
      <c r="A192">
        <v>16555640</v>
      </c>
      <c r="B192" t="s" cm="1">
        <v>433</v>
      </c>
      <c r="C192">
        <v>52</v>
      </c>
      <c r="G192" t="s" cm="1">
        <v>442</v>
      </c>
      <c r="H192" t="s">
        <v>14</v>
      </c>
      <c r="I192" t="s">
        <v>14</v>
      </c>
      <c r="J192" t="s">
        <v>30</v>
      </c>
      <c r="K192" t="s">
        <v>48</v>
      </c>
      <c r="L192" t="s">
        <v>1465</v>
      </c>
      <c r="M192" t="s">
        <v>76</v>
      </c>
      <c r="N192" t="s">
        <v>83</v>
      </c>
      <c r="P192" t="s">
        <v>14</v>
      </c>
      <c r="Q192" t="s">
        <v>14</v>
      </c>
      <c r="R192" t="s">
        <v>14</v>
      </c>
      <c r="S192" t="s">
        <v>814</v>
      </c>
      <c r="T192" t="s">
        <v>14</v>
      </c>
      <c r="U192" t="s">
        <v>815</v>
      </c>
      <c r="V192" t="s">
        <v>1092</v>
      </c>
    </row>
    <row r="193" spans="1:22" x14ac:dyDescent="0.25">
      <c r="A193">
        <v>17327448</v>
      </c>
      <c r="B193" t="s" cm="1">
        <v>430</v>
      </c>
      <c r="C193">
        <v>52</v>
      </c>
      <c r="D193" t="s">
        <v>452</v>
      </c>
      <c r="E193">
        <v>45274</v>
      </c>
      <c r="F193" t="s">
        <v>1608</v>
      </c>
      <c r="G193" t="e" cm="1">
        <v>#N/A</v>
      </c>
      <c r="H193" t="s">
        <v>14</v>
      </c>
      <c r="I193" t="s">
        <v>14</v>
      </c>
      <c r="J193" t="s">
        <v>22</v>
      </c>
      <c r="K193" t="s">
        <v>43</v>
      </c>
      <c r="L193" t="s">
        <v>63</v>
      </c>
      <c r="M193" t="s">
        <v>76</v>
      </c>
      <c r="N193" t="s">
        <v>83</v>
      </c>
      <c r="P193" t="s">
        <v>940</v>
      </c>
      <c r="Q193" t="s">
        <v>14</v>
      </c>
      <c r="R193" t="s">
        <v>14</v>
      </c>
      <c r="S193" t="s">
        <v>941</v>
      </c>
      <c r="T193" t="s">
        <v>14</v>
      </c>
      <c r="U193" t="s">
        <v>942</v>
      </c>
      <c r="V193" t="s">
        <v>1258</v>
      </c>
    </row>
    <row r="194" spans="1:22" x14ac:dyDescent="0.25">
      <c r="A194">
        <v>17328450</v>
      </c>
      <c r="B194" t="s">
        <v>433</v>
      </c>
      <c r="C194">
        <v>51</v>
      </c>
      <c r="G194" t="e" cm="1">
        <v>#N/A</v>
      </c>
      <c r="H194">
        <v>45222</v>
      </c>
      <c r="I194" t="s">
        <v>15</v>
      </c>
      <c r="J194" t="s">
        <v>25</v>
      </c>
      <c r="K194" t="s">
        <v>44</v>
      </c>
      <c r="L194" t="s">
        <v>69</v>
      </c>
      <c r="M194" t="s">
        <v>1537</v>
      </c>
      <c r="N194" t="s">
        <v>83</v>
      </c>
      <c r="O194" t="s">
        <v>431</v>
      </c>
      <c r="P194" t="s">
        <v>14</v>
      </c>
      <c r="Q194" t="s">
        <v>14</v>
      </c>
      <c r="R194" t="s">
        <v>14</v>
      </c>
      <c r="S194" t="s">
        <v>14</v>
      </c>
      <c r="T194" t="s">
        <v>14</v>
      </c>
      <c r="U194" t="s">
        <v>684</v>
      </c>
      <c r="V194" t="s">
        <v>1260</v>
      </c>
    </row>
    <row r="195" spans="1:22" x14ac:dyDescent="0.25">
      <c r="A195">
        <v>13939387</v>
      </c>
      <c r="B195" t="s" cm="1">
        <v>430</v>
      </c>
      <c r="C195">
        <v>49</v>
      </c>
      <c r="G195" t="s" cm="1">
        <v>442</v>
      </c>
      <c r="H195" t="s">
        <v>14</v>
      </c>
      <c r="I195" t="s">
        <v>14</v>
      </c>
      <c r="J195" t="s">
        <v>30</v>
      </c>
      <c r="K195" t="s">
        <v>53</v>
      </c>
      <c r="L195" t="s">
        <v>1466</v>
      </c>
      <c r="M195" t="s">
        <v>78</v>
      </c>
      <c r="N195" t="s">
        <v>83</v>
      </c>
      <c r="P195" t="s">
        <v>780</v>
      </c>
      <c r="Q195" t="s">
        <v>14</v>
      </c>
      <c r="R195" t="s">
        <v>14</v>
      </c>
      <c r="S195" t="s">
        <v>14</v>
      </c>
      <c r="T195" t="s">
        <v>14</v>
      </c>
      <c r="U195" t="s">
        <v>14</v>
      </c>
      <c r="V195" t="s">
        <v>1037</v>
      </c>
    </row>
    <row r="196" spans="1:22" x14ac:dyDescent="0.25">
      <c r="A196">
        <v>14603225</v>
      </c>
      <c r="B196" t="s">
        <v>433</v>
      </c>
      <c r="C196">
        <v>49</v>
      </c>
      <c r="G196" t="s" cm="1">
        <v>442</v>
      </c>
      <c r="H196">
        <v>45244</v>
      </c>
      <c r="I196" t="s">
        <v>15</v>
      </c>
      <c r="J196" t="s">
        <v>31</v>
      </c>
      <c r="K196" t="s">
        <v>44</v>
      </c>
      <c r="L196" t="s">
        <v>59</v>
      </c>
      <c r="M196" t="s">
        <v>76</v>
      </c>
      <c r="N196" t="s">
        <v>429</v>
      </c>
      <c r="O196" t="s">
        <v>431</v>
      </c>
      <c r="P196" t="e">
        <v>#N/A</v>
      </c>
      <c r="Q196" t="e">
        <v>#N/A</v>
      </c>
      <c r="R196" t="e">
        <v>#N/A</v>
      </c>
      <c r="S196" t="e">
        <v>#N/A</v>
      </c>
      <c r="T196" t="e">
        <v>#N/A</v>
      </c>
      <c r="U196" t="e">
        <v>#N/A</v>
      </c>
      <c r="V196" t="e">
        <v>#N/A</v>
      </c>
    </row>
    <row r="197" spans="1:22" x14ac:dyDescent="0.25">
      <c r="A197">
        <v>16774259</v>
      </c>
      <c r="B197" t="s">
        <v>433</v>
      </c>
      <c r="C197">
        <v>49</v>
      </c>
      <c r="G197" t="e" cm="1">
        <v>#N/A</v>
      </c>
      <c r="H197">
        <v>45222</v>
      </c>
      <c r="I197" t="s">
        <v>15</v>
      </c>
      <c r="J197" t="s">
        <v>31</v>
      </c>
      <c r="K197" t="s">
        <v>44</v>
      </c>
      <c r="L197" t="s">
        <v>395</v>
      </c>
      <c r="M197" t="s">
        <v>76</v>
      </c>
      <c r="N197" t="s">
        <v>83</v>
      </c>
      <c r="O197" t="s">
        <v>431</v>
      </c>
      <c r="P197" t="s">
        <v>14</v>
      </c>
      <c r="Q197" t="s">
        <v>14</v>
      </c>
      <c r="R197" t="s">
        <v>14</v>
      </c>
      <c r="S197" t="s">
        <v>823</v>
      </c>
      <c r="T197" t="s">
        <v>14</v>
      </c>
      <c r="U197" t="s">
        <v>14</v>
      </c>
      <c r="V197" t="s">
        <v>1108</v>
      </c>
    </row>
    <row r="198" spans="1:22" x14ac:dyDescent="0.25">
      <c r="A198">
        <v>17331276</v>
      </c>
      <c r="B198" t="s">
        <v>433</v>
      </c>
      <c r="C198">
        <v>49</v>
      </c>
      <c r="G198" t="s" cm="1">
        <v>442</v>
      </c>
      <c r="H198">
        <v>45258</v>
      </c>
      <c r="I198" t="s">
        <v>15</v>
      </c>
      <c r="J198" t="s">
        <v>18</v>
      </c>
      <c r="K198" t="s">
        <v>53</v>
      </c>
      <c r="L198" t="s">
        <v>55</v>
      </c>
      <c r="M198" t="s">
        <v>76</v>
      </c>
      <c r="N198" t="s">
        <v>413</v>
      </c>
      <c r="O198" t="s">
        <v>431</v>
      </c>
      <c r="P198" t="e">
        <v>#N/A</v>
      </c>
      <c r="Q198" t="e">
        <v>#N/A</v>
      </c>
      <c r="R198" t="e">
        <v>#N/A</v>
      </c>
      <c r="S198" t="e">
        <v>#N/A</v>
      </c>
      <c r="T198" t="e">
        <v>#N/A</v>
      </c>
      <c r="U198" t="e">
        <v>#N/A</v>
      </c>
      <c r="V198" t="e">
        <v>#N/A</v>
      </c>
    </row>
    <row r="199" spans="1:22" x14ac:dyDescent="0.25">
      <c r="A199">
        <v>17332413</v>
      </c>
      <c r="B199" t="s" cm="1">
        <v>430</v>
      </c>
      <c r="C199">
        <v>49</v>
      </c>
      <c r="G199" t="s" cm="1">
        <v>442</v>
      </c>
      <c r="H199" t="s">
        <v>14</v>
      </c>
      <c r="I199" t="s">
        <v>14</v>
      </c>
      <c r="J199" t="s">
        <v>30</v>
      </c>
      <c r="K199" t="s">
        <v>52</v>
      </c>
      <c r="L199" t="s">
        <v>58</v>
      </c>
      <c r="M199" t="s">
        <v>76</v>
      </c>
      <c r="N199" t="s">
        <v>83</v>
      </c>
      <c r="P199" t="s">
        <v>14</v>
      </c>
      <c r="Q199" t="s">
        <v>14</v>
      </c>
      <c r="R199" t="s">
        <v>14</v>
      </c>
      <c r="S199" t="s">
        <v>943</v>
      </c>
      <c r="T199" t="s">
        <v>14</v>
      </c>
      <c r="U199" t="s">
        <v>683</v>
      </c>
      <c r="V199" t="s">
        <v>1261</v>
      </c>
    </row>
    <row r="200" spans="1:22" x14ac:dyDescent="0.25">
      <c r="A200">
        <v>17334306</v>
      </c>
      <c r="B200" t="s" cm="1">
        <v>430</v>
      </c>
      <c r="C200">
        <v>49</v>
      </c>
      <c r="G200" t="s" cm="1">
        <v>442</v>
      </c>
      <c r="H200" t="s">
        <v>14</v>
      </c>
      <c r="I200" t="s">
        <v>14</v>
      </c>
      <c r="J200" t="s">
        <v>30</v>
      </c>
      <c r="K200" t="s">
        <v>45</v>
      </c>
      <c r="L200" t="s">
        <v>63</v>
      </c>
      <c r="M200" t="s">
        <v>76</v>
      </c>
      <c r="N200" t="s">
        <v>83</v>
      </c>
      <c r="P200" t="s">
        <v>14</v>
      </c>
      <c r="Q200" t="s">
        <v>14</v>
      </c>
      <c r="R200" t="s">
        <v>14</v>
      </c>
      <c r="S200" t="s">
        <v>944</v>
      </c>
      <c r="T200" t="s">
        <v>14</v>
      </c>
      <c r="U200" t="s">
        <v>945</v>
      </c>
      <c r="V200" t="s">
        <v>1262</v>
      </c>
    </row>
    <row r="201" spans="1:22" x14ac:dyDescent="0.25">
      <c r="A201">
        <v>17334983</v>
      </c>
      <c r="B201" t="s" cm="1">
        <v>430</v>
      </c>
      <c r="C201">
        <v>48</v>
      </c>
      <c r="G201" t="s" cm="1">
        <v>442</v>
      </c>
      <c r="H201" t="s">
        <v>14</v>
      </c>
      <c r="I201" t="s">
        <v>14</v>
      </c>
      <c r="J201" t="s">
        <v>30</v>
      </c>
      <c r="K201" t="s">
        <v>49</v>
      </c>
      <c r="L201" t="s">
        <v>63</v>
      </c>
      <c r="M201" t="s">
        <v>76</v>
      </c>
      <c r="N201" t="s">
        <v>83</v>
      </c>
      <c r="P201" t="s">
        <v>14</v>
      </c>
      <c r="Q201" t="s">
        <v>14</v>
      </c>
      <c r="R201" t="s">
        <v>14</v>
      </c>
      <c r="S201" t="s">
        <v>681</v>
      </c>
      <c r="T201" t="s">
        <v>14</v>
      </c>
      <c r="U201" t="s">
        <v>682</v>
      </c>
      <c r="V201" t="s">
        <v>1263</v>
      </c>
    </row>
    <row r="202" spans="1:22" x14ac:dyDescent="0.25">
      <c r="A202">
        <v>17335945</v>
      </c>
      <c r="B202" t="s" cm="1">
        <v>430</v>
      </c>
      <c r="C202">
        <v>48</v>
      </c>
      <c r="G202" t="s" cm="1">
        <v>442</v>
      </c>
      <c r="H202" t="s">
        <v>14</v>
      </c>
      <c r="I202" t="s">
        <v>14</v>
      </c>
      <c r="J202" t="s">
        <v>30</v>
      </c>
      <c r="K202" t="s">
        <v>53</v>
      </c>
      <c r="L202" t="s">
        <v>1467</v>
      </c>
      <c r="M202" t="s">
        <v>76</v>
      </c>
      <c r="N202" t="s">
        <v>83</v>
      </c>
      <c r="P202" t="s">
        <v>14</v>
      </c>
      <c r="Q202" t="s">
        <v>14</v>
      </c>
      <c r="R202" t="s">
        <v>14</v>
      </c>
      <c r="S202" t="s">
        <v>946</v>
      </c>
      <c r="T202" t="s">
        <v>14</v>
      </c>
      <c r="U202" t="s">
        <v>14</v>
      </c>
      <c r="V202" t="s">
        <v>1264</v>
      </c>
    </row>
    <row r="203" spans="1:22" x14ac:dyDescent="0.25">
      <c r="A203">
        <v>17338244</v>
      </c>
      <c r="B203" t="s" cm="1">
        <v>430</v>
      </c>
      <c r="C203">
        <v>48</v>
      </c>
      <c r="G203" t="s" cm="1">
        <v>442</v>
      </c>
      <c r="H203" t="s">
        <v>14</v>
      </c>
      <c r="I203" t="s">
        <v>14</v>
      </c>
      <c r="J203" t="s">
        <v>30</v>
      </c>
      <c r="K203" t="s">
        <v>44</v>
      </c>
      <c r="L203" t="s">
        <v>1324</v>
      </c>
      <c r="M203" t="s">
        <v>76</v>
      </c>
      <c r="N203" t="s">
        <v>83</v>
      </c>
      <c r="P203" t="s">
        <v>14</v>
      </c>
      <c r="Q203" t="s">
        <v>14</v>
      </c>
      <c r="R203" t="s">
        <v>14</v>
      </c>
      <c r="S203" t="s">
        <v>947</v>
      </c>
      <c r="T203" t="s">
        <v>14</v>
      </c>
      <c r="U203" t="s">
        <v>948</v>
      </c>
      <c r="V203" t="s">
        <v>1265</v>
      </c>
    </row>
    <row r="204" spans="1:22" x14ac:dyDescent="0.25">
      <c r="A204">
        <v>17338262</v>
      </c>
      <c r="B204" t="s">
        <v>430</v>
      </c>
      <c r="C204">
        <v>48</v>
      </c>
      <c r="D204" t="s">
        <v>452</v>
      </c>
      <c r="E204">
        <v>45274</v>
      </c>
      <c r="F204" t="s">
        <v>774</v>
      </c>
      <c r="G204" t="s" cm="1">
        <v>442</v>
      </c>
      <c r="H204" t="s">
        <v>14</v>
      </c>
      <c r="I204" t="s">
        <v>14</v>
      </c>
      <c r="J204" t="s">
        <v>24</v>
      </c>
      <c r="K204" t="s">
        <v>44</v>
      </c>
      <c r="L204" t="s">
        <v>1468</v>
      </c>
      <c r="M204" t="s">
        <v>76</v>
      </c>
      <c r="N204" t="s">
        <v>83</v>
      </c>
      <c r="P204" t="s">
        <v>14</v>
      </c>
      <c r="Q204" t="s">
        <v>14</v>
      </c>
      <c r="R204" t="s">
        <v>14</v>
      </c>
      <c r="S204" t="s">
        <v>14</v>
      </c>
      <c r="T204" t="s">
        <v>14</v>
      </c>
      <c r="U204" t="s">
        <v>680</v>
      </c>
      <c r="V204" t="s">
        <v>1266</v>
      </c>
    </row>
    <row r="205" spans="1:22" x14ac:dyDescent="0.25">
      <c r="A205">
        <v>17338475</v>
      </c>
      <c r="B205" t="s" cm="1">
        <v>430</v>
      </c>
      <c r="C205">
        <v>48</v>
      </c>
      <c r="G205" t="s" cm="1">
        <v>442</v>
      </c>
      <c r="H205" t="s">
        <v>14</v>
      </c>
      <c r="I205" t="s">
        <v>14</v>
      </c>
      <c r="J205" t="s">
        <v>30</v>
      </c>
      <c r="K205" t="s">
        <v>44</v>
      </c>
      <c r="L205" t="s">
        <v>63</v>
      </c>
      <c r="M205" t="s">
        <v>76</v>
      </c>
      <c r="N205" t="s">
        <v>83</v>
      </c>
      <c r="P205" t="s">
        <v>14</v>
      </c>
      <c r="Q205" t="s">
        <v>14</v>
      </c>
      <c r="R205" t="s">
        <v>14</v>
      </c>
      <c r="S205" t="s">
        <v>949</v>
      </c>
      <c r="T205" t="s">
        <v>14</v>
      </c>
      <c r="U205" t="s">
        <v>14</v>
      </c>
      <c r="V205" t="s">
        <v>1267</v>
      </c>
    </row>
    <row r="206" spans="1:22" x14ac:dyDescent="0.25">
      <c r="A206">
        <v>16053854</v>
      </c>
      <c r="B206" t="s" cm="1">
        <v>430</v>
      </c>
      <c r="C206">
        <v>47</v>
      </c>
      <c r="G206" t="s" cm="1">
        <v>442</v>
      </c>
      <c r="H206" t="s">
        <v>14</v>
      </c>
      <c r="I206" t="s">
        <v>14</v>
      </c>
      <c r="J206" t="s">
        <v>30</v>
      </c>
      <c r="K206" t="s">
        <v>44</v>
      </c>
      <c r="L206" t="s">
        <v>1469</v>
      </c>
      <c r="M206" t="s">
        <v>78</v>
      </c>
      <c r="N206" t="s">
        <v>83</v>
      </c>
      <c r="P206" t="s">
        <v>14</v>
      </c>
      <c r="Q206" t="s">
        <v>14</v>
      </c>
      <c r="R206" t="s">
        <v>14</v>
      </c>
      <c r="S206" t="s">
        <v>804</v>
      </c>
      <c r="T206" t="s">
        <v>14</v>
      </c>
      <c r="U206" t="s">
        <v>14</v>
      </c>
      <c r="V206" t="s">
        <v>1070</v>
      </c>
    </row>
    <row r="207" spans="1:22" x14ac:dyDescent="0.25">
      <c r="A207">
        <v>16076419</v>
      </c>
      <c r="B207" t="s" cm="1">
        <v>433</v>
      </c>
      <c r="C207">
        <v>47</v>
      </c>
      <c r="G207" t="s" cm="1">
        <v>442</v>
      </c>
      <c r="H207" t="s">
        <v>14</v>
      </c>
      <c r="I207" t="s">
        <v>14</v>
      </c>
      <c r="J207" t="s">
        <v>26</v>
      </c>
      <c r="K207" t="s">
        <v>44</v>
      </c>
      <c r="L207" t="s">
        <v>1470</v>
      </c>
      <c r="M207" t="s">
        <v>78</v>
      </c>
      <c r="N207" t="s">
        <v>83</v>
      </c>
      <c r="P207" t="s">
        <v>14</v>
      </c>
      <c r="Q207" t="s">
        <v>14</v>
      </c>
      <c r="R207" t="s">
        <v>14</v>
      </c>
      <c r="S207" t="s">
        <v>498</v>
      </c>
      <c r="T207" t="s">
        <v>14</v>
      </c>
      <c r="U207" t="s">
        <v>14</v>
      </c>
      <c r="V207" t="s">
        <v>1072</v>
      </c>
    </row>
    <row r="208" spans="1:22" x14ac:dyDescent="0.25">
      <c r="A208">
        <v>16555232</v>
      </c>
      <c r="B208" t="s" cm="1">
        <v>430</v>
      </c>
      <c r="C208">
        <v>47</v>
      </c>
      <c r="G208" t="s" cm="1">
        <v>442</v>
      </c>
      <c r="H208" t="s">
        <v>14</v>
      </c>
      <c r="I208" t="s">
        <v>14</v>
      </c>
      <c r="J208" t="s">
        <v>30</v>
      </c>
      <c r="K208" t="s">
        <v>53</v>
      </c>
      <c r="L208" t="s">
        <v>393</v>
      </c>
      <c r="M208" t="s">
        <v>78</v>
      </c>
      <c r="N208" t="s">
        <v>83</v>
      </c>
      <c r="P208" t="s">
        <v>14</v>
      </c>
      <c r="Q208" t="s">
        <v>14</v>
      </c>
      <c r="R208" t="s">
        <v>14</v>
      </c>
      <c r="S208" t="s">
        <v>813</v>
      </c>
      <c r="T208" t="s">
        <v>14</v>
      </c>
      <c r="U208" t="s">
        <v>708</v>
      </c>
      <c r="V208" t="s">
        <v>1091</v>
      </c>
    </row>
    <row r="209" spans="1:22" x14ac:dyDescent="0.25">
      <c r="A209">
        <v>17010384</v>
      </c>
      <c r="B209" t="s">
        <v>430</v>
      </c>
      <c r="C209">
        <v>47</v>
      </c>
      <c r="D209" t="s">
        <v>452</v>
      </c>
      <c r="E209">
        <v>45274</v>
      </c>
      <c r="F209" t="s">
        <v>774</v>
      </c>
      <c r="G209" t="s" cm="1">
        <v>442</v>
      </c>
      <c r="H209" t="s">
        <v>14</v>
      </c>
      <c r="I209" t="s">
        <v>14</v>
      </c>
      <c r="J209" t="s">
        <v>27</v>
      </c>
      <c r="K209" t="s">
        <v>44</v>
      </c>
      <c r="L209" t="s">
        <v>1471</v>
      </c>
      <c r="M209" t="s">
        <v>79</v>
      </c>
      <c r="N209" t="s">
        <v>83</v>
      </c>
      <c r="P209" t="s">
        <v>14</v>
      </c>
      <c r="Q209" t="s">
        <v>14</v>
      </c>
      <c r="R209" t="s">
        <v>14</v>
      </c>
      <c r="S209" t="s">
        <v>476</v>
      </c>
      <c r="T209" t="s">
        <v>14</v>
      </c>
      <c r="U209" t="s">
        <v>14</v>
      </c>
      <c r="V209" t="s">
        <v>1149</v>
      </c>
    </row>
    <row r="210" spans="1:22" x14ac:dyDescent="0.25">
      <c r="A210">
        <v>17343607</v>
      </c>
      <c r="B210" t="s" cm="1">
        <v>430</v>
      </c>
      <c r="C210">
        <v>47</v>
      </c>
      <c r="G210" t="s" cm="1">
        <v>442</v>
      </c>
      <c r="H210" t="s">
        <v>14</v>
      </c>
      <c r="I210" t="s">
        <v>14</v>
      </c>
      <c r="J210" t="s">
        <v>30</v>
      </c>
      <c r="K210" t="s">
        <v>52</v>
      </c>
      <c r="L210" t="s">
        <v>58</v>
      </c>
      <c r="M210" t="s">
        <v>76</v>
      </c>
      <c r="N210" t="s">
        <v>83</v>
      </c>
      <c r="P210" t="s">
        <v>14</v>
      </c>
      <c r="Q210" t="s">
        <v>14</v>
      </c>
      <c r="R210" t="s">
        <v>14</v>
      </c>
      <c r="S210" t="s">
        <v>14</v>
      </c>
      <c r="T210" t="s">
        <v>14</v>
      </c>
      <c r="U210" t="s">
        <v>14</v>
      </c>
      <c r="V210" t="s">
        <v>1269</v>
      </c>
    </row>
    <row r="211" spans="1:22" x14ac:dyDescent="0.25">
      <c r="A211">
        <v>17344297</v>
      </c>
      <c r="B211" t="s" cm="1">
        <v>430</v>
      </c>
      <c r="C211">
        <v>47</v>
      </c>
      <c r="G211" t="s" cm="1">
        <v>442</v>
      </c>
      <c r="H211" t="s">
        <v>14</v>
      </c>
      <c r="I211" t="s">
        <v>14</v>
      </c>
      <c r="J211" t="s">
        <v>30</v>
      </c>
      <c r="K211" t="s">
        <v>52</v>
      </c>
      <c r="L211" t="s">
        <v>1324</v>
      </c>
      <c r="M211" t="s">
        <v>76</v>
      </c>
      <c r="N211" t="s">
        <v>83</v>
      </c>
      <c r="P211" t="s">
        <v>14</v>
      </c>
      <c r="Q211" t="s">
        <v>14</v>
      </c>
      <c r="R211" t="s">
        <v>14</v>
      </c>
      <c r="S211" t="s">
        <v>951</v>
      </c>
      <c r="T211" t="s">
        <v>14</v>
      </c>
      <c r="U211" t="s">
        <v>14</v>
      </c>
      <c r="V211" t="s">
        <v>1270</v>
      </c>
    </row>
    <row r="212" spans="1:22" x14ac:dyDescent="0.25">
      <c r="A212">
        <v>17346701</v>
      </c>
      <c r="B212" t="s" cm="1">
        <v>430</v>
      </c>
      <c r="C212">
        <v>47</v>
      </c>
      <c r="G212" t="s" cm="1">
        <v>442</v>
      </c>
      <c r="H212" t="s">
        <v>14</v>
      </c>
      <c r="I212" t="s">
        <v>14</v>
      </c>
      <c r="J212" t="s">
        <v>30</v>
      </c>
      <c r="K212" t="s">
        <v>44</v>
      </c>
      <c r="L212" t="s">
        <v>1333</v>
      </c>
      <c r="M212" t="s">
        <v>78</v>
      </c>
      <c r="N212" t="s">
        <v>83</v>
      </c>
      <c r="P212" t="s">
        <v>14</v>
      </c>
      <c r="Q212" t="s">
        <v>14</v>
      </c>
      <c r="R212" t="s">
        <v>14</v>
      </c>
      <c r="S212" t="s">
        <v>14</v>
      </c>
      <c r="T212" t="s">
        <v>14</v>
      </c>
      <c r="U212" t="s">
        <v>952</v>
      </c>
      <c r="V212" t="s">
        <v>1271</v>
      </c>
    </row>
    <row r="213" spans="1:22" x14ac:dyDescent="0.25">
      <c r="A213">
        <v>17346768</v>
      </c>
      <c r="B213" t="s" cm="1">
        <v>433</v>
      </c>
      <c r="C213">
        <v>47</v>
      </c>
      <c r="G213" t="s" cm="1">
        <v>442</v>
      </c>
      <c r="H213" t="s">
        <v>14</v>
      </c>
      <c r="I213" t="s">
        <v>14</v>
      </c>
      <c r="J213" t="s">
        <v>30</v>
      </c>
      <c r="K213" t="s">
        <v>44</v>
      </c>
      <c r="L213" t="s">
        <v>1340</v>
      </c>
      <c r="M213" t="s">
        <v>76</v>
      </c>
      <c r="N213" t="s">
        <v>83</v>
      </c>
      <c r="P213" t="s">
        <v>14</v>
      </c>
      <c r="Q213" t="s">
        <v>14</v>
      </c>
      <c r="R213" t="s">
        <v>14</v>
      </c>
      <c r="S213" t="s">
        <v>953</v>
      </c>
      <c r="T213" t="s">
        <v>14</v>
      </c>
      <c r="U213" t="s">
        <v>14</v>
      </c>
      <c r="V213" t="s">
        <v>1272</v>
      </c>
    </row>
    <row r="214" spans="1:22" x14ac:dyDescent="0.25">
      <c r="A214">
        <v>17347694</v>
      </c>
      <c r="B214" t="s" cm="1">
        <v>430</v>
      </c>
      <c r="C214">
        <v>47</v>
      </c>
      <c r="G214" t="s" cm="1">
        <v>442</v>
      </c>
      <c r="H214" t="s">
        <v>14</v>
      </c>
      <c r="I214" t="s">
        <v>14</v>
      </c>
      <c r="J214" t="s">
        <v>30</v>
      </c>
      <c r="K214" t="s">
        <v>52</v>
      </c>
      <c r="L214" t="s">
        <v>63</v>
      </c>
      <c r="M214" t="s">
        <v>76</v>
      </c>
      <c r="N214" t="s">
        <v>83</v>
      </c>
      <c r="P214" t="s">
        <v>14</v>
      </c>
      <c r="Q214" t="s">
        <v>14</v>
      </c>
      <c r="R214" t="s">
        <v>14</v>
      </c>
      <c r="S214" t="s">
        <v>954</v>
      </c>
      <c r="T214" t="s">
        <v>14</v>
      </c>
      <c r="U214" t="s">
        <v>955</v>
      </c>
      <c r="V214" t="s">
        <v>1273</v>
      </c>
    </row>
    <row r="215" spans="1:22" x14ac:dyDescent="0.25">
      <c r="A215">
        <v>17347967</v>
      </c>
      <c r="B215" t="s">
        <v>430</v>
      </c>
      <c r="C215">
        <v>47</v>
      </c>
      <c r="D215" t="s">
        <v>452</v>
      </c>
      <c r="E215">
        <v>45274</v>
      </c>
      <c r="F215" t="s">
        <v>774</v>
      </c>
      <c r="G215" t="e" cm="1">
        <v>#N/A</v>
      </c>
      <c r="H215" t="s">
        <v>14</v>
      </c>
      <c r="I215" t="s">
        <v>14</v>
      </c>
      <c r="J215" t="s">
        <v>32</v>
      </c>
      <c r="K215" t="s">
        <v>44</v>
      </c>
      <c r="L215" t="s">
        <v>1472</v>
      </c>
      <c r="M215" t="s">
        <v>76</v>
      </c>
      <c r="N215" t="s">
        <v>83</v>
      </c>
      <c r="P215" t="s">
        <v>14</v>
      </c>
      <c r="Q215" t="s">
        <v>14</v>
      </c>
      <c r="R215" t="s">
        <v>14</v>
      </c>
      <c r="S215" t="s">
        <v>14</v>
      </c>
      <c r="T215" t="s">
        <v>14</v>
      </c>
      <c r="U215" t="s">
        <v>956</v>
      </c>
      <c r="V215" t="s">
        <v>1274</v>
      </c>
    </row>
    <row r="216" spans="1:22" x14ac:dyDescent="0.25">
      <c r="A216">
        <v>17348384</v>
      </c>
      <c r="B216" t="s" cm="1">
        <v>433</v>
      </c>
      <c r="C216">
        <v>46</v>
      </c>
      <c r="G216" t="s" cm="1">
        <v>442</v>
      </c>
      <c r="H216" t="s">
        <v>14</v>
      </c>
      <c r="I216" t="s">
        <v>14</v>
      </c>
      <c r="J216" t="s">
        <v>30</v>
      </c>
      <c r="K216" t="s">
        <v>46</v>
      </c>
      <c r="L216" t="s">
        <v>449</v>
      </c>
      <c r="M216" t="s">
        <v>76</v>
      </c>
      <c r="N216" t="s">
        <v>83</v>
      </c>
      <c r="P216" t="s">
        <v>14</v>
      </c>
      <c r="Q216" t="s">
        <v>14</v>
      </c>
      <c r="R216" t="s">
        <v>14</v>
      </c>
      <c r="S216" t="s">
        <v>957</v>
      </c>
      <c r="T216" t="s">
        <v>14</v>
      </c>
      <c r="U216" t="s">
        <v>14</v>
      </c>
      <c r="V216" t="s">
        <v>1275</v>
      </c>
    </row>
    <row r="217" spans="1:22" x14ac:dyDescent="0.25">
      <c r="A217">
        <v>17349238</v>
      </c>
      <c r="B217" t="s" cm="1">
        <v>430</v>
      </c>
      <c r="C217">
        <v>46</v>
      </c>
      <c r="G217" t="e" cm="1">
        <v>#N/A</v>
      </c>
      <c r="H217" t="s">
        <v>14</v>
      </c>
      <c r="I217" t="s">
        <v>14</v>
      </c>
      <c r="J217" t="s">
        <v>30</v>
      </c>
      <c r="K217" t="s">
        <v>43</v>
      </c>
      <c r="L217" t="s">
        <v>74</v>
      </c>
      <c r="M217" t="s">
        <v>76</v>
      </c>
      <c r="N217" t="s">
        <v>83</v>
      </c>
      <c r="P217" t="s">
        <v>14</v>
      </c>
      <c r="Q217" t="s">
        <v>959</v>
      </c>
      <c r="R217" t="s">
        <v>959</v>
      </c>
      <c r="S217" t="s">
        <v>960</v>
      </c>
      <c r="T217" t="s">
        <v>961</v>
      </c>
      <c r="U217" t="s">
        <v>14</v>
      </c>
      <c r="V217" t="s">
        <v>1277</v>
      </c>
    </row>
    <row r="218" spans="1:22" x14ac:dyDescent="0.25">
      <c r="A218">
        <v>17349604</v>
      </c>
      <c r="B218" t="s" cm="1">
        <v>430</v>
      </c>
      <c r="C218">
        <v>46</v>
      </c>
      <c r="G218" t="e" cm="1">
        <v>#N/A</v>
      </c>
      <c r="H218" t="s">
        <v>14</v>
      </c>
      <c r="I218" t="s">
        <v>14</v>
      </c>
      <c r="J218" t="s">
        <v>30</v>
      </c>
      <c r="K218" t="s">
        <v>45</v>
      </c>
      <c r="L218" t="s">
        <v>1473</v>
      </c>
      <c r="M218" t="s">
        <v>76</v>
      </c>
      <c r="N218" t="s">
        <v>83</v>
      </c>
      <c r="P218" t="e">
        <v>#N/A</v>
      </c>
      <c r="Q218" t="e">
        <v>#N/A</v>
      </c>
      <c r="R218" t="e">
        <v>#N/A</v>
      </c>
      <c r="S218" t="e">
        <v>#N/A</v>
      </c>
      <c r="T218" t="e">
        <v>#N/A</v>
      </c>
      <c r="U218" t="e">
        <v>#N/A</v>
      </c>
      <c r="V218" t="e">
        <v>#N/A</v>
      </c>
    </row>
    <row r="219" spans="1:22" x14ac:dyDescent="0.25">
      <c r="A219">
        <v>17354077</v>
      </c>
      <c r="B219" t="s" cm="1">
        <v>433</v>
      </c>
      <c r="C219">
        <v>46</v>
      </c>
      <c r="G219" t="s" cm="1">
        <v>442</v>
      </c>
      <c r="H219" t="s">
        <v>14</v>
      </c>
      <c r="I219" t="s">
        <v>14</v>
      </c>
      <c r="J219" t="s">
        <v>26</v>
      </c>
      <c r="K219" t="s">
        <v>53</v>
      </c>
      <c r="L219" t="s">
        <v>736</v>
      </c>
      <c r="M219" t="s">
        <v>76</v>
      </c>
      <c r="N219" t="s">
        <v>83</v>
      </c>
      <c r="P219" t="s">
        <v>14</v>
      </c>
      <c r="Q219" t="s">
        <v>14</v>
      </c>
      <c r="R219" t="s">
        <v>14</v>
      </c>
      <c r="S219" t="s">
        <v>14</v>
      </c>
      <c r="T219" t="s">
        <v>14</v>
      </c>
      <c r="U219" t="s">
        <v>967</v>
      </c>
      <c r="V219" t="s">
        <v>1281</v>
      </c>
    </row>
    <row r="220" spans="1:22" x14ac:dyDescent="0.25">
      <c r="A220">
        <v>16605713</v>
      </c>
      <c r="B220" t="s">
        <v>433</v>
      </c>
      <c r="C220">
        <v>45</v>
      </c>
      <c r="G220" t="s" cm="1">
        <v>442</v>
      </c>
      <c r="H220">
        <v>45245</v>
      </c>
      <c r="I220" t="s">
        <v>15</v>
      </c>
      <c r="J220" t="s">
        <v>30</v>
      </c>
      <c r="K220" t="s">
        <v>52</v>
      </c>
      <c r="L220" t="s">
        <v>394</v>
      </c>
      <c r="M220" t="s">
        <v>76</v>
      </c>
      <c r="N220" t="s">
        <v>1584</v>
      </c>
      <c r="O220" t="s">
        <v>431</v>
      </c>
      <c r="P220" t="e">
        <v>#N/A</v>
      </c>
      <c r="Q220" t="e">
        <v>#N/A</v>
      </c>
      <c r="R220" t="e">
        <v>#N/A</v>
      </c>
      <c r="S220" t="e">
        <v>#N/A</v>
      </c>
      <c r="T220" t="e">
        <v>#N/A</v>
      </c>
      <c r="U220" t="e">
        <v>#N/A</v>
      </c>
      <c r="V220" t="e">
        <v>#N/A</v>
      </c>
    </row>
    <row r="221" spans="1:22" x14ac:dyDescent="0.25">
      <c r="A221">
        <v>17131675</v>
      </c>
      <c r="B221" t="s">
        <v>433</v>
      </c>
      <c r="C221">
        <v>45</v>
      </c>
      <c r="G221" t="s" cm="1">
        <v>442</v>
      </c>
      <c r="H221">
        <v>45239</v>
      </c>
      <c r="I221" t="s">
        <v>15</v>
      </c>
      <c r="J221" t="s">
        <v>38</v>
      </c>
      <c r="K221" t="s">
        <v>49</v>
      </c>
      <c r="L221" t="s">
        <v>763</v>
      </c>
      <c r="M221" t="s">
        <v>76</v>
      </c>
      <c r="N221" t="s">
        <v>1585</v>
      </c>
      <c r="O221" t="s">
        <v>431</v>
      </c>
      <c r="P221" t="e">
        <v>#N/A</v>
      </c>
      <c r="Q221" t="e">
        <v>#N/A</v>
      </c>
      <c r="R221" t="e">
        <v>#N/A</v>
      </c>
      <c r="S221" t="e">
        <v>#N/A</v>
      </c>
      <c r="T221" t="e">
        <v>#N/A</v>
      </c>
      <c r="U221" t="e">
        <v>#N/A</v>
      </c>
      <c r="V221" t="e">
        <v>#N/A</v>
      </c>
    </row>
    <row r="222" spans="1:22" x14ac:dyDescent="0.25">
      <c r="A222">
        <v>17355213</v>
      </c>
      <c r="B222" t="s" cm="1">
        <v>430</v>
      </c>
      <c r="C222">
        <v>45</v>
      </c>
      <c r="G222" t="s" cm="1">
        <v>442</v>
      </c>
      <c r="H222" t="s">
        <v>14</v>
      </c>
      <c r="I222" t="s">
        <v>14</v>
      </c>
      <c r="J222" t="s">
        <v>26</v>
      </c>
      <c r="K222" t="s">
        <v>46</v>
      </c>
      <c r="L222" t="s">
        <v>56</v>
      </c>
      <c r="M222" t="s">
        <v>81</v>
      </c>
      <c r="N222" t="s">
        <v>83</v>
      </c>
      <c r="P222" t="s">
        <v>14</v>
      </c>
      <c r="Q222" t="s">
        <v>14</v>
      </c>
      <c r="R222" t="s">
        <v>14</v>
      </c>
      <c r="S222" t="s">
        <v>14</v>
      </c>
      <c r="T222" t="s">
        <v>14</v>
      </c>
      <c r="U222" t="s">
        <v>968</v>
      </c>
      <c r="V222" t="s">
        <v>1282</v>
      </c>
    </row>
    <row r="223" spans="1:22" x14ac:dyDescent="0.25">
      <c r="A223">
        <v>17357121</v>
      </c>
      <c r="B223" t="s">
        <v>430</v>
      </c>
      <c r="C223">
        <v>45</v>
      </c>
      <c r="D223" t="s">
        <v>452</v>
      </c>
      <c r="E223">
        <v>45274</v>
      </c>
      <c r="F223" t="s">
        <v>774</v>
      </c>
      <c r="G223" t="e" cm="1">
        <v>#N/A</v>
      </c>
      <c r="H223" t="s">
        <v>14</v>
      </c>
      <c r="I223" t="s">
        <v>14</v>
      </c>
      <c r="J223" t="s">
        <v>32</v>
      </c>
      <c r="K223" t="s">
        <v>44</v>
      </c>
      <c r="L223" t="s">
        <v>769</v>
      </c>
      <c r="M223" t="s">
        <v>76</v>
      </c>
      <c r="N223" t="s">
        <v>83</v>
      </c>
      <c r="P223" t="s">
        <v>14</v>
      </c>
      <c r="Q223" t="s">
        <v>14</v>
      </c>
      <c r="R223" t="s">
        <v>14</v>
      </c>
      <c r="S223" t="s">
        <v>969</v>
      </c>
      <c r="T223" t="s">
        <v>14</v>
      </c>
      <c r="U223" t="s">
        <v>14</v>
      </c>
      <c r="V223" t="s">
        <v>1283</v>
      </c>
    </row>
    <row r="224" spans="1:22" x14ac:dyDescent="0.25">
      <c r="A224">
        <v>17357217</v>
      </c>
      <c r="B224" t="s" cm="1">
        <v>430</v>
      </c>
      <c r="C224">
        <v>45</v>
      </c>
      <c r="D224" t="s">
        <v>452</v>
      </c>
      <c r="E224">
        <v>45274</v>
      </c>
      <c r="F224" t="s">
        <v>1608</v>
      </c>
      <c r="G224" t="s" cm="1">
        <v>442</v>
      </c>
      <c r="H224" t="s">
        <v>14</v>
      </c>
      <c r="I224" t="s">
        <v>14</v>
      </c>
      <c r="J224" t="s">
        <v>22</v>
      </c>
      <c r="K224" t="s">
        <v>45</v>
      </c>
      <c r="L224" t="s">
        <v>63</v>
      </c>
      <c r="M224" t="s">
        <v>76</v>
      </c>
      <c r="N224" t="s">
        <v>83</v>
      </c>
      <c r="P224" t="s">
        <v>14</v>
      </c>
      <c r="Q224" t="s">
        <v>14</v>
      </c>
      <c r="R224" t="s">
        <v>14</v>
      </c>
      <c r="S224" t="s">
        <v>679</v>
      </c>
      <c r="T224" t="s">
        <v>14</v>
      </c>
      <c r="U224" t="s">
        <v>970</v>
      </c>
      <c r="V224" t="s">
        <v>1284</v>
      </c>
    </row>
    <row r="225" spans="1:22" x14ac:dyDescent="0.25">
      <c r="A225">
        <v>17358593</v>
      </c>
      <c r="B225" t="s" cm="1">
        <v>430</v>
      </c>
      <c r="C225">
        <v>45</v>
      </c>
      <c r="G225" t="s" cm="1">
        <v>442</v>
      </c>
      <c r="H225" t="s">
        <v>14</v>
      </c>
      <c r="I225" t="s">
        <v>14</v>
      </c>
      <c r="J225" t="s">
        <v>30</v>
      </c>
      <c r="K225" t="s">
        <v>43</v>
      </c>
      <c r="L225" t="s">
        <v>1342</v>
      </c>
      <c r="M225" t="s">
        <v>544</v>
      </c>
      <c r="N225" t="s">
        <v>83</v>
      </c>
      <c r="P225" t="s">
        <v>971</v>
      </c>
      <c r="Q225" t="s">
        <v>14</v>
      </c>
      <c r="R225" t="s">
        <v>14</v>
      </c>
      <c r="S225" t="s">
        <v>14</v>
      </c>
      <c r="T225" t="s">
        <v>14</v>
      </c>
      <c r="U225" t="s">
        <v>972</v>
      </c>
      <c r="V225" t="s">
        <v>1285</v>
      </c>
    </row>
    <row r="226" spans="1:22" x14ac:dyDescent="0.25">
      <c r="A226">
        <v>17360515</v>
      </c>
      <c r="B226" t="s" cm="1">
        <v>430</v>
      </c>
      <c r="C226">
        <v>44</v>
      </c>
      <c r="G226" t="e" cm="1">
        <v>#N/A</v>
      </c>
      <c r="H226" t="s">
        <v>14</v>
      </c>
      <c r="I226" t="s">
        <v>14</v>
      </c>
      <c r="J226" t="s">
        <v>30</v>
      </c>
      <c r="K226" t="s">
        <v>48</v>
      </c>
      <c r="L226" t="s">
        <v>1337</v>
      </c>
      <c r="M226" t="s">
        <v>76</v>
      </c>
      <c r="N226" t="s">
        <v>83</v>
      </c>
      <c r="P226" t="s">
        <v>14</v>
      </c>
      <c r="Q226" t="s">
        <v>14</v>
      </c>
      <c r="R226" t="s">
        <v>14</v>
      </c>
      <c r="S226" t="s">
        <v>14</v>
      </c>
      <c r="T226" t="s">
        <v>14</v>
      </c>
      <c r="U226" t="s">
        <v>973</v>
      </c>
      <c r="V226" t="s">
        <v>1286</v>
      </c>
    </row>
    <row r="227" spans="1:22" x14ac:dyDescent="0.25">
      <c r="A227">
        <v>17360599</v>
      </c>
      <c r="B227" t="s">
        <v>433</v>
      </c>
      <c r="C227">
        <v>44</v>
      </c>
      <c r="G227" t="s" cm="1">
        <v>442</v>
      </c>
      <c r="H227">
        <v>45259</v>
      </c>
      <c r="I227" t="s">
        <v>15</v>
      </c>
      <c r="J227" t="s">
        <v>24</v>
      </c>
      <c r="K227" t="s">
        <v>44</v>
      </c>
      <c r="L227" t="s">
        <v>392</v>
      </c>
      <c r="M227" t="s">
        <v>76</v>
      </c>
      <c r="N227" t="s">
        <v>425</v>
      </c>
      <c r="O227" t="s">
        <v>431</v>
      </c>
      <c r="P227" t="e">
        <v>#N/A</v>
      </c>
      <c r="Q227" t="e">
        <v>#N/A</v>
      </c>
      <c r="R227" t="e">
        <v>#N/A</v>
      </c>
      <c r="S227" t="e">
        <v>#N/A</v>
      </c>
      <c r="T227" t="e">
        <v>#N/A</v>
      </c>
      <c r="U227" t="e">
        <v>#N/A</v>
      </c>
      <c r="V227" t="e">
        <v>#N/A</v>
      </c>
    </row>
    <row r="228" spans="1:22" x14ac:dyDescent="0.25">
      <c r="A228">
        <v>17360810</v>
      </c>
      <c r="B228" t="s">
        <v>433</v>
      </c>
      <c r="C228">
        <v>44</v>
      </c>
      <c r="G228" t="s" cm="1">
        <v>442</v>
      </c>
      <c r="H228">
        <v>45247</v>
      </c>
      <c r="I228" t="s">
        <v>15</v>
      </c>
      <c r="J228" t="s">
        <v>22</v>
      </c>
      <c r="K228" t="s">
        <v>44</v>
      </c>
      <c r="L228" t="s">
        <v>1474</v>
      </c>
      <c r="M228" t="s">
        <v>76</v>
      </c>
      <c r="N228" t="s">
        <v>1582</v>
      </c>
      <c r="O228" t="s">
        <v>431</v>
      </c>
      <c r="P228" t="e">
        <v>#N/A</v>
      </c>
      <c r="Q228" t="e">
        <v>#N/A</v>
      </c>
      <c r="R228" t="e">
        <v>#N/A</v>
      </c>
      <c r="S228" t="e">
        <v>#N/A</v>
      </c>
      <c r="T228" t="e">
        <v>#N/A</v>
      </c>
      <c r="U228" t="e">
        <v>#N/A</v>
      </c>
      <c r="V228" t="e">
        <v>#N/A</v>
      </c>
    </row>
    <row r="229" spans="1:22" x14ac:dyDescent="0.25">
      <c r="A229">
        <v>12306077</v>
      </c>
      <c r="B229" t="s" cm="1">
        <v>430</v>
      </c>
      <c r="C229">
        <v>42</v>
      </c>
      <c r="G229" t="s" cm="1">
        <v>442</v>
      </c>
      <c r="H229" t="s">
        <v>14</v>
      </c>
      <c r="I229" t="s">
        <v>14</v>
      </c>
      <c r="J229" t="s">
        <v>30</v>
      </c>
      <c r="K229" t="s">
        <v>44</v>
      </c>
      <c r="L229" t="s">
        <v>1318</v>
      </c>
      <c r="M229" t="s">
        <v>78</v>
      </c>
      <c r="N229" t="s">
        <v>83</v>
      </c>
      <c r="P229" t="s">
        <v>777</v>
      </c>
      <c r="Q229" t="s">
        <v>14</v>
      </c>
      <c r="R229" t="s">
        <v>14</v>
      </c>
      <c r="S229" t="s">
        <v>14</v>
      </c>
      <c r="T229" t="s">
        <v>14</v>
      </c>
      <c r="U229" t="s">
        <v>14</v>
      </c>
      <c r="V229" t="s">
        <v>1028</v>
      </c>
    </row>
    <row r="230" spans="1:22" x14ac:dyDescent="0.25">
      <c r="A230">
        <v>12315383</v>
      </c>
      <c r="B230" t="s" cm="1">
        <v>430</v>
      </c>
      <c r="C230">
        <v>42</v>
      </c>
      <c r="G230" t="s" cm="1">
        <v>442</v>
      </c>
      <c r="H230" t="s">
        <v>14</v>
      </c>
      <c r="I230" t="s">
        <v>14</v>
      </c>
      <c r="J230" t="s">
        <v>26</v>
      </c>
      <c r="K230" t="s">
        <v>44</v>
      </c>
      <c r="L230" t="s">
        <v>1343</v>
      </c>
      <c r="M230" t="s">
        <v>78</v>
      </c>
      <c r="N230" t="s">
        <v>83</v>
      </c>
      <c r="P230" t="s">
        <v>14</v>
      </c>
      <c r="Q230" t="s">
        <v>14</v>
      </c>
      <c r="R230" t="s">
        <v>14</v>
      </c>
      <c r="S230" t="s">
        <v>724</v>
      </c>
      <c r="T230" t="s">
        <v>14</v>
      </c>
      <c r="U230" t="s">
        <v>14</v>
      </c>
      <c r="V230" t="s">
        <v>1029</v>
      </c>
    </row>
    <row r="231" spans="1:22" x14ac:dyDescent="0.25">
      <c r="A231">
        <v>14323481</v>
      </c>
      <c r="B231" t="s">
        <v>433</v>
      </c>
      <c r="C231">
        <v>42</v>
      </c>
      <c r="G231" t="s" cm="1">
        <v>442</v>
      </c>
      <c r="H231">
        <v>45236</v>
      </c>
      <c r="I231" t="s">
        <v>15</v>
      </c>
      <c r="J231" t="s">
        <v>18</v>
      </c>
      <c r="K231" t="s">
        <v>44</v>
      </c>
      <c r="L231" t="s">
        <v>395</v>
      </c>
      <c r="M231" t="s">
        <v>76</v>
      </c>
      <c r="N231" t="s">
        <v>419</v>
      </c>
      <c r="O231" t="s">
        <v>431</v>
      </c>
      <c r="P231" t="e">
        <v>#N/A</v>
      </c>
      <c r="Q231" t="e">
        <v>#N/A</v>
      </c>
      <c r="R231" t="e">
        <v>#N/A</v>
      </c>
      <c r="S231" t="e">
        <v>#N/A</v>
      </c>
      <c r="T231" t="e">
        <v>#N/A</v>
      </c>
      <c r="U231" t="e">
        <v>#N/A</v>
      </c>
      <c r="V231" t="e">
        <v>#N/A</v>
      </c>
    </row>
    <row r="232" spans="1:22" x14ac:dyDescent="0.25">
      <c r="A232">
        <v>16788017</v>
      </c>
      <c r="B232" t="s" cm="1">
        <v>430</v>
      </c>
      <c r="C232">
        <v>42</v>
      </c>
      <c r="G232" t="s" cm="1">
        <v>442</v>
      </c>
      <c r="H232" t="s">
        <v>14</v>
      </c>
      <c r="I232" t="s">
        <v>14</v>
      </c>
      <c r="J232" t="s">
        <v>30</v>
      </c>
      <c r="K232" t="s">
        <v>50</v>
      </c>
      <c r="L232" t="s">
        <v>402</v>
      </c>
      <c r="M232" t="s">
        <v>78</v>
      </c>
      <c r="N232" t="s">
        <v>83</v>
      </c>
      <c r="P232" t="s">
        <v>824</v>
      </c>
      <c r="Q232" t="s">
        <v>14</v>
      </c>
      <c r="R232" t="s">
        <v>14</v>
      </c>
      <c r="S232" t="s">
        <v>825</v>
      </c>
      <c r="T232" t="s">
        <v>14</v>
      </c>
      <c r="U232" t="s">
        <v>580</v>
      </c>
      <c r="V232" t="s">
        <v>1110</v>
      </c>
    </row>
    <row r="233" spans="1:22" x14ac:dyDescent="0.25">
      <c r="A233">
        <v>17365871</v>
      </c>
      <c r="B233" t="s" cm="1">
        <v>430</v>
      </c>
      <c r="C233">
        <v>42</v>
      </c>
      <c r="G233" t="s" cm="1">
        <v>442</v>
      </c>
      <c r="H233" t="s">
        <v>14</v>
      </c>
      <c r="I233" t="s">
        <v>14</v>
      </c>
      <c r="J233" t="s">
        <v>30</v>
      </c>
      <c r="K233" t="s">
        <v>52</v>
      </c>
      <c r="L233" t="s">
        <v>1475</v>
      </c>
      <c r="M233" t="s">
        <v>78</v>
      </c>
      <c r="N233" t="s">
        <v>83</v>
      </c>
      <c r="P233" t="s">
        <v>14</v>
      </c>
      <c r="Q233" t="s">
        <v>14</v>
      </c>
      <c r="R233" t="s">
        <v>14</v>
      </c>
      <c r="S233" t="s">
        <v>14</v>
      </c>
      <c r="T233" t="s">
        <v>14</v>
      </c>
      <c r="U233" t="s">
        <v>974</v>
      </c>
      <c r="V233" t="s">
        <v>1287</v>
      </c>
    </row>
    <row r="234" spans="1:22" x14ac:dyDescent="0.25">
      <c r="A234">
        <v>13891499</v>
      </c>
      <c r="B234" t="s" cm="1">
        <v>430</v>
      </c>
      <c r="C234">
        <v>41</v>
      </c>
      <c r="G234" t="s" cm="1">
        <v>442</v>
      </c>
      <c r="H234" t="s">
        <v>14</v>
      </c>
      <c r="I234" t="s">
        <v>14</v>
      </c>
      <c r="J234" t="s">
        <v>30</v>
      </c>
      <c r="K234" t="s">
        <v>49</v>
      </c>
      <c r="L234" t="s">
        <v>1333</v>
      </c>
      <c r="M234" t="s">
        <v>78</v>
      </c>
      <c r="N234" t="s">
        <v>83</v>
      </c>
      <c r="P234" t="s">
        <v>14</v>
      </c>
      <c r="Q234" t="s">
        <v>14</v>
      </c>
      <c r="R234" t="s">
        <v>14</v>
      </c>
      <c r="S234" t="s">
        <v>663</v>
      </c>
      <c r="T234" t="s">
        <v>14</v>
      </c>
      <c r="U234" t="s">
        <v>664</v>
      </c>
      <c r="V234" t="s">
        <v>1036</v>
      </c>
    </row>
    <row r="235" spans="1:22" x14ac:dyDescent="0.25">
      <c r="A235">
        <v>17097007</v>
      </c>
      <c r="B235" t="s">
        <v>433</v>
      </c>
      <c r="C235">
        <v>41</v>
      </c>
      <c r="G235" t="s" cm="1">
        <v>442</v>
      </c>
      <c r="H235">
        <v>45230</v>
      </c>
      <c r="I235" t="s">
        <v>15</v>
      </c>
      <c r="J235" t="s">
        <v>32</v>
      </c>
      <c r="K235" t="s">
        <v>44</v>
      </c>
      <c r="L235" t="s">
        <v>398</v>
      </c>
      <c r="M235" t="s">
        <v>76</v>
      </c>
      <c r="N235" t="s">
        <v>1586</v>
      </c>
      <c r="O235" t="s">
        <v>431</v>
      </c>
      <c r="P235" t="e">
        <v>#N/A</v>
      </c>
      <c r="Q235" t="e">
        <v>#N/A</v>
      </c>
      <c r="R235" t="e">
        <v>#N/A</v>
      </c>
      <c r="S235" t="e">
        <v>#N/A</v>
      </c>
      <c r="T235" t="e">
        <v>#N/A</v>
      </c>
      <c r="U235" t="e">
        <v>#N/A</v>
      </c>
      <c r="V235" t="e">
        <v>#N/A</v>
      </c>
    </row>
    <row r="236" spans="1:22" x14ac:dyDescent="0.25">
      <c r="A236">
        <v>17367550</v>
      </c>
      <c r="B236" t="s" cm="1">
        <v>430</v>
      </c>
      <c r="C236">
        <v>41</v>
      </c>
      <c r="G236" t="s" cm="1">
        <v>442</v>
      </c>
      <c r="H236" t="s">
        <v>14</v>
      </c>
      <c r="I236" t="s">
        <v>14</v>
      </c>
      <c r="J236" t="s">
        <v>26</v>
      </c>
      <c r="K236" t="s">
        <v>44</v>
      </c>
      <c r="L236" t="s">
        <v>1476</v>
      </c>
      <c r="M236" t="s">
        <v>78</v>
      </c>
      <c r="N236" t="s">
        <v>83</v>
      </c>
      <c r="P236" t="s">
        <v>14</v>
      </c>
      <c r="Q236" t="s">
        <v>14</v>
      </c>
      <c r="R236" t="s">
        <v>14</v>
      </c>
      <c r="S236" t="s">
        <v>975</v>
      </c>
      <c r="T236" t="s">
        <v>14</v>
      </c>
      <c r="U236" t="s">
        <v>976</v>
      </c>
      <c r="V236" t="s">
        <v>1288</v>
      </c>
    </row>
    <row r="237" spans="1:22" x14ac:dyDescent="0.25">
      <c r="A237">
        <v>17369184</v>
      </c>
      <c r="B237" t="s" cm="1">
        <v>430</v>
      </c>
      <c r="C237">
        <v>41</v>
      </c>
      <c r="G237" t="s" cm="1">
        <v>442</v>
      </c>
      <c r="H237" t="s">
        <v>14</v>
      </c>
      <c r="I237" t="s">
        <v>14</v>
      </c>
      <c r="J237" t="s">
        <v>30</v>
      </c>
      <c r="K237" t="s">
        <v>47</v>
      </c>
      <c r="L237" t="s">
        <v>58</v>
      </c>
      <c r="M237" t="s">
        <v>76</v>
      </c>
      <c r="N237" t="s">
        <v>83</v>
      </c>
      <c r="P237" t="s">
        <v>14</v>
      </c>
      <c r="Q237" t="s">
        <v>14</v>
      </c>
      <c r="R237" t="s">
        <v>14</v>
      </c>
      <c r="S237" t="s">
        <v>14</v>
      </c>
      <c r="T237" t="s">
        <v>14</v>
      </c>
      <c r="U237" t="s">
        <v>678</v>
      </c>
      <c r="V237" t="s">
        <v>1289</v>
      </c>
    </row>
    <row r="238" spans="1:22" x14ac:dyDescent="0.25">
      <c r="A238">
        <v>17369202</v>
      </c>
      <c r="B238" t="s" cm="1">
        <v>430</v>
      </c>
      <c r="C238">
        <v>41</v>
      </c>
      <c r="G238" t="s" cm="1">
        <v>442</v>
      </c>
      <c r="H238" t="s">
        <v>14</v>
      </c>
      <c r="I238" t="s">
        <v>14</v>
      </c>
      <c r="J238" t="s">
        <v>30</v>
      </c>
      <c r="K238" t="s">
        <v>45</v>
      </c>
      <c r="L238" t="s">
        <v>74</v>
      </c>
      <c r="M238" t="s">
        <v>76</v>
      </c>
      <c r="N238" t="s">
        <v>83</v>
      </c>
      <c r="P238" t="s">
        <v>14</v>
      </c>
      <c r="Q238" t="s">
        <v>14</v>
      </c>
      <c r="R238" t="s">
        <v>14</v>
      </c>
      <c r="S238" t="s">
        <v>14</v>
      </c>
      <c r="T238" t="s">
        <v>14</v>
      </c>
      <c r="U238" t="s">
        <v>977</v>
      </c>
      <c r="V238" t="s">
        <v>1290</v>
      </c>
    </row>
    <row r="239" spans="1:22" x14ac:dyDescent="0.25">
      <c r="A239">
        <v>17370101</v>
      </c>
      <c r="B239" t="s" cm="1">
        <v>430</v>
      </c>
      <c r="C239">
        <v>41</v>
      </c>
      <c r="G239" t="s" cm="1">
        <v>442</v>
      </c>
      <c r="H239" t="s">
        <v>14</v>
      </c>
      <c r="I239" t="s">
        <v>14</v>
      </c>
      <c r="J239" t="s">
        <v>30</v>
      </c>
      <c r="K239" t="s">
        <v>43</v>
      </c>
      <c r="L239" t="s">
        <v>395</v>
      </c>
      <c r="M239" t="s">
        <v>76</v>
      </c>
      <c r="N239" t="s">
        <v>83</v>
      </c>
      <c r="P239" t="s">
        <v>14</v>
      </c>
      <c r="Q239" t="s">
        <v>14</v>
      </c>
      <c r="R239" t="s">
        <v>14</v>
      </c>
      <c r="S239" t="s">
        <v>978</v>
      </c>
      <c r="T239" t="s">
        <v>14</v>
      </c>
      <c r="U239" t="s">
        <v>979</v>
      </c>
      <c r="V239" t="s">
        <v>1291</v>
      </c>
    </row>
    <row r="240" spans="1:22" x14ac:dyDescent="0.25">
      <c r="A240">
        <v>17373182</v>
      </c>
      <c r="B240" t="s" cm="1">
        <v>430</v>
      </c>
      <c r="C240">
        <v>41</v>
      </c>
      <c r="G240" t="s" cm="1">
        <v>442</v>
      </c>
      <c r="H240" t="s">
        <v>14</v>
      </c>
      <c r="I240" t="s">
        <v>14</v>
      </c>
      <c r="J240" t="s">
        <v>30</v>
      </c>
      <c r="K240" t="s">
        <v>432</v>
      </c>
      <c r="L240" t="s">
        <v>63</v>
      </c>
      <c r="M240" t="s">
        <v>76</v>
      </c>
      <c r="N240" t="s">
        <v>83</v>
      </c>
      <c r="P240" t="s">
        <v>14</v>
      </c>
      <c r="Q240" t="s">
        <v>14</v>
      </c>
      <c r="R240" t="s">
        <v>14</v>
      </c>
      <c r="S240" t="s">
        <v>980</v>
      </c>
      <c r="T240" t="s">
        <v>14</v>
      </c>
      <c r="U240" t="s">
        <v>14</v>
      </c>
      <c r="V240" t="s">
        <v>1292</v>
      </c>
    </row>
    <row r="241" spans="1:22" x14ac:dyDescent="0.25">
      <c r="A241">
        <v>11012307</v>
      </c>
      <c r="B241" t="s">
        <v>433</v>
      </c>
      <c r="C241">
        <v>40</v>
      </c>
      <c r="G241" t="s" cm="1">
        <v>442</v>
      </c>
      <c r="H241">
        <v>45244</v>
      </c>
      <c r="I241" t="s">
        <v>15</v>
      </c>
      <c r="J241" t="s">
        <v>30</v>
      </c>
      <c r="K241" t="s">
        <v>44</v>
      </c>
      <c r="L241" t="s">
        <v>402</v>
      </c>
      <c r="M241" t="s">
        <v>78</v>
      </c>
      <c r="N241" t="s">
        <v>429</v>
      </c>
      <c r="O241" t="s">
        <v>431</v>
      </c>
      <c r="P241" t="e">
        <v>#N/A</v>
      </c>
      <c r="Q241" t="e">
        <v>#N/A</v>
      </c>
      <c r="R241" t="e">
        <v>#N/A</v>
      </c>
      <c r="S241" t="e">
        <v>#N/A</v>
      </c>
      <c r="T241" t="e">
        <v>#N/A</v>
      </c>
      <c r="U241" t="e">
        <v>#N/A</v>
      </c>
      <c r="V241" t="e">
        <v>#N/A</v>
      </c>
    </row>
    <row r="242" spans="1:22" x14ac:dyDescent="0.25">
      <c r="A242">
        <v>13760081</v>
      </c>
      <c r="B242" t="s">
        <v>433</v>
      </c>
      <c r="C242">
        <v>40</v>
      </c>
      <c r="G242" t="s" cm="1">
        <v>442</v>
      </c>
      <c r="H242">
        <v>45244</v>
      </c>
      <c r="I242" t="s">
        <v>15</v>
      </c>
      <c r="J242" t="s">
        <v>28</v>
      </c>
      <c r="K242" t="s">
        <v>44</v>
      </c>
      <c r="L242" t="s">
        <v>1397</v>
      </c>
      <c r="M242" t="s">
        <v>78</v>
      </c>
      <c r="N242" t="s">
        <v>1587</v>
      </c>
      <c r="O242" t="s">
        <v>431</v>
      </c>
      <c r="P242" t="e">
        <v>#N/A</v>
      </c>
      <c r="Q242" t="e">
        <v>#N/A</v>
      </c>
      <c r="R242" t="e">
        <v>#N/A</v>
      </c>
      <c r="S242" t="e">
        <v>#N/A</v>
      </c>
      <c r="T242" t="e">
        <v>#N/A</v>
      </c>
      <c r="U242" t="e">
        <v>#N/A</v>
      </c>
      <c r="V242" t="e">
        <v>#N/A</v>
      </c>
    </row>
    <row r="243" spans="1:22" x14ac:dyDescent="0.25">
      <c r="A243">
        <v>14613587</v>
      </c>
      <c r="B243" t="s" cm="1">
        <v>430</v>
      </c>
      <c r="C243">
        <v>40</v>
      </c>
      <c r="G243" t="s" cm="1">
        <v>442</v>
      </c>
      <c r="H243" t="s">
        <v>14</v>
      </c>
      <c r="I243" t="s">
        <v>14</v>
      </c>
      <c r="J243" t="s">
        <v>30</v>
      </c>
      <c r="K243" t="s">
        <v>44</v>
      </c>
      <c r="L243" t="s">
        <v>1477</v>
      </c>
      <c r="M243" t="s">
        <v>78</v>
      </c>
      <c r="N243" t="s">
        <v>83</v>
      </c>
      <c r="P243" t="s">
        <v>14</v>
      </c>
      <c r="Q243" t="s">
        <v>14</v>
      </c>
      <c r="R243" t="s">
        <v>14</v>
      </c>
      <c r="S243" t="s">
        <v>551</v>
      </c>
      <c r="T243" t="s">
        <v>14</v>
      </c>
      <c r="U243" t="s">
        <v>14</v>
      </c>
      <c r="V243" t="s">
        <v>1042</v>
      </c>
    </row>
    <row r="244" spans="1:22" x14ac:dyDescent="0.25">
      <c r="A244">
        <v>17189922</v>
      </c>
      <c r="B244" t="s">
        <v>433</v>
      </c>
      <c r="C244">
        <v>40</v>
      </c>
      <c r="G244" t="s" cm="1">
        <v>442</v>
      </c>
      <c r="H244">
        <v>45243</v>
      </c>
      <c r="I244" t="s">
        <v>15</v>
      </c>
      <c r="J244" t="s">
        <v>30</v>
      </c>
      <c r="K244" t="s">
        <v>44</v>
      </c>
      <c r="L244" t="s">
        <v>1344</v>
      </c>
      <c r="M244" t="s">
        <v>544</v>
      </c>
      <c r="N244" t="s">
        <v>1588</v>
      </c>
      <c r="O244" t="s">
        <v>431</v>
      </c>
      <c r="P244" t="e">
        <v>#N/A</v>
      </c>
      <c r="Q244" t="e">
        <v>#N/A</v>
      </c>
      <c r="R244" t="e">
        <v>#N/A</v>
      </c>
      <c r="S244" t="e">
        <v>#N/A</v>
      </c>
      <c r="T244" t="e">
        <v>#N/A</v>
      </c>
      <c r="U244" t="e">
        <v>#N/A</v>
      </c>
      <c r="V244" t="e">
        <v>#N/A</v>
      </c>
    </row>
    <row r="245" spans="1:22" x14ac:dyDescent="0.25">
      <c r="A245">
        <v>17374542</v>
      </c>
      <c r="B245" t="s" cm="1">
        <v>430</v>
      </c>
      <c r="C245">
        <v>40</v>
      </c>
      <c r="D245" t="s">
        <v>452</v>
      </c>
      <c r="E245">
        <v>45274</v>
      </c>
      <c r="F245" t="s">
        <v>1608</v>
      </c>
      <c r="G245" t="e" cm="1">
        <v>#N/A</v>
      </c>
      <c r="H245" t="s">
        <v>14</v>
      </c>
      <c r="I245" t="s">
        <v>14</v>
      </c>
      <c r="J245" t="s">
        <v>18</v>
      </c>
      <c r="K245" t="s">
        <v>44</v>
      </c>
      <c r="L245" t="s">
        <v>55</v>
      </c>
      <c r="M245" t="s">
        <v>76</v>
      </c>
      <c r="N245" t="s">
        <v>83</v>
      </c>
      <c r="P245" t="s">
        <v>14</v>
      </c>
      <c r="Q245" t="s">
        <v>14</v>
      </c>
      <c r="R245" t="s">
        <v>14</v>
      </c>
      <c r="S245" t="s">
        <v>14</v>
      </c>
      <c r="T245" t="s">
        <v>14</v>
      </c>
      <c r="U245" t="s">
        <v>981</v>
      </c>
      <c r="V245" t="s">
        <v>1293</v>
      </c>
    </row>
    <row r="246" spans="1:22" x14ac:dyDescent="0.25">
      <c r="A246">
        <v>17376561</v>
      </c>
      <c r="B246" t="s" cm="1">
        <v>430</v>
      </c>
      <c r="C246">
        <v>40</v>
      </c>
      <c r="G246" t="s" cm="1">
        <v>442</v>
      </c>
      <c r="H246" t="s">
        <v>14</v>
      </c>
      <c r="I246" t="s">
        <v>14</v>
      </c>
      <c r="J246" t="s">
        <v>26</v>
      </c>
      <c r="K246" t="s">
        <v>51</v>
      </c>
      <c r="L246" t="s">
        <v>1478</v>
      </c>
      <c r="M246" t="s">
        <v>78</v>
      </c>
      <c r="N246" t="s">
        <v>83</v>
      </c>
      <c r="P246" t="s">
        <v>14</v>
      </c>
      <c r="Q246" t="s">
        <v>14</v>
      </c>
      <c r="R246" t="s">
        <v>14</v>
      </c>
      <c r="S246" t="s">
        <v>14</v>
      </c>
      <c r="T246" t="s">
        <v>14</v>
      </c>
      <c r="U246" t="s">
        <v>982</v>
      </c>
      <c r="V246" t="s">
        <v>1294</v>
      </c>
    </row>
    <row r="247" spans="1:22" x14ac:dyDescent="0.25">
      <c r="A247">
        <v>17377356</v>
      </c>
      <c r="B247" t="s" cm="1">
        <v>430</v>
      </c>
      <c r="C247">
        <v>40</v>
      </c>
      <c r="G247" t="s" cm="1">
        <v>442</v>
      </c>
      <c r="H247" t="s">
        <v>14</v>
      </c>
      <c r="I247" t="s">
        <v>14</v>
      </c>
      <c r="J247" t="s">
        <v>30</v>
      </c>
      <c r="K247" t="s">
        <v>52</v>
      </c>
      <c r="L247" t="s">
        <v>1479</v>
      </c>
      <c r="M247" t="s">
        <v>78</v>
      </c>
      <c r="N247" t="s">
        <v>83</v>
      </c>
      <c r="P247" t="s">
        <v>14</v>
      </c>
      <c r="Q247" t="s">
        <v>14</v>
      </c>
      <c r="R247" t="s">
        <v>14</v>
      </c>
      <c r="S247" t="s">
        <v>14</v>
      </c>
      <c r="T247" t="s">
        <v>14</v>
      </c>
      <c r="U247" t="s">
        <v>983</v>
      </c>
      <c r="V247" t="s">
        <v>1295</v>
      </c>
    </row>
    <row r="248" spans="1:22" x14ac:dyDescent="0.25">
      <c r="A248">
        <v>17380459</v>
      </c>
      <c r="B248" t="s">
        <v>433</v>
      </c>
      <c r="C248">
        <v>40</v>
      </c>
      <c r="G248" t="s" cm="1">
        <v>442</v>
      </c>
      <c r="H248">
        <v>45233</v>
      </c>
      <c r="I248" t="s">
        <v>15</v>
      </c>
      <c r="J248" t="s">
        <v>18</v>
      </c>
      <c r="K248" t="s">
        <v>44</v>
      </c>
      <c r="L248" t="s">
        <v>458</v>
      </c>
      <c r="M248" t="s">
        <v>76</v>
      </c>
      <c r="N248" t="s">
        <v>1589</v>
      </c>
      <c r="O248" t="s">
        <v>431</v>
      </c>
      <c r="P248" t="e">
        <v>#N/A</v>
      </c>
      <c r="Q248" t="e">
        <v>#N/A</v>
      </c>
      <c r="R248" t="e">
        <v>#N/A</v>
      </c>
      <c r="S248" t="e">
        <v>#N/A</v>
      </c>
      <c r="T248" t="e">
        <v>#N/A</v>
      </c>
      <c r="U248" t="e">
        <v>#N/A</v>
      </c>
      <c r="V248" t="e">
        <v>#N/A</v>
      </c>
    </row>
    <row r="249" spans="1:22" x14ac:dyDescent="0.25">
      <c r="A249">
        <v>17381267</v>
      </c>
      <c r="B249" t="s" cm="1">
        <v>433</v>
      </c>
      <c r="C249">
        <v>40</v>
      </c>
      <c r="G249" t="s" cm="1">
        <v>442</v>
      </c>
      <c r="H249" t="s">
        <v>14</v>
      </c>
      <c r="I249" t="s">
        <v>14</v>
      </c>
      <c r="J249" t="s">
        <v>30</v>
      </c>
      <c r="K249" t="s">
        <v>46</v>
      </c>
      <c r="L249" t="s">
        <v>88</v>
      </c>
      <c r="M249" t="s">
        <v>76</v>
      </c>
      <c r="N249" t="s">
        <v>83</v>
      </c>
      <c r="P249" t="s">
        <v>14</v>
      </c>
      <c r="Q249" t="s">
        <v>14</v>
      </c>
      <c r="R249" t="s">
        <v>14</v>
      </c>
      <c r="S249" t="s">
        <v>14</v>
      </c>
      <c r="T249" t="s">
        <v>14</v>
      </c>
      <c r="U249" t="s">
        <v>984</v>
      </c>
      <c r="V249" t="s">
        <v>1296</v>
      </c>
    </row>
    <row r="250" spans="1:22" x14ac:dyDescent="0.25">
      <c r="A250">
        <v>12863025</v>
      </c>
      <c r="B250" t="s">
        <v>433</v>
      </c>
      <c r="C250">
        <v>39</v>
      </c>
      <c r="G250" t="s" cm="1">
        <v>442</v>
      </c>
      <c r="H250">
        <v>45232</v>
      </c>
      <c r="I250" t="s">
        <v>15</v>
      </c>
      <c r="J250" t="s">
        <v>22</v>
      </c>
      <c r="K250" t="s">
        <v>44</v>
      </c>
      <c r="L250" t="s">
        <v>56</v>
      </c>
      <c r="M250" t="s">
        <v>1538</v>
      </c>
      <c r="N250" t="s">
        <v>1590</v>
      </c>
      <c r="O250" t="s">
        <v>431</v>
      </c>
      <c r="P250" t="e">
        <v>#N/A</v>
      </c>
      <c r="Q250" t="e">
        <v>#N/A</v>
      </c>
      <c r="R250" t="e">
        <v>#N/A</v>
      </c>
      <c r="S250" t="e">
        <v>#N/A</v>
      </c>
      <c r="T250" t="e">
        <v>#N/A</v>
      </c>
      <c r="U250" t="e">
        <v>#N/A</v>
      </c>
      <c r="V250" t="e">
        <v>#N/A</v>
      </c>
    </row>
    <row r="251" spans="1:22" x14ac:dyDescent="0.25">
      <c r="A251">
        <v>15282060</v>
      </c>
      <c r="B251" t="s">
        <v>433</v>
      </c>
      <c r="C251">
        <v>39</v>
      </c>
      <c r="G251" t="s" cm="1">
        <v>442</v>
      </c>
      <c r="H251">
        <v>45245</v>
      </c>
      <c r="I251" t="s">
        <v>15</v>
      </c>
      <c r="J251" t="s">
        <v>30</v>
      </c>
      <c r="K251" t="s">
        <v>44</v>
      </c>
      <c r="L251" t="s">
        <v>1480</v>
      </c>
      <c r="M251" t="s">
        <v>78</v>
      </c>
      <c r="N251" t="s">
        <v>1591</v>
      </c>
      <c r="O251" t="s">
        <v>431</v>
      </c>
      <c r="P251" t="e">
        <v>#N/A</v>
      </c>
      <c r="Q251" t="e">
        <v>#N/A</v>
      </c>
      <c r="R251" t="e">
        <v>#N/A</v>
      </c>
      <c r="S251" t="e">
        <v>#N/A</v>
      </c>
      <c r="T251" t="e">
        <v>#N/A</v>
      </c>
      <c r="U251" t="e">
        <v>#N/A</v>
      </c>
      <c r="V251" t="e">
        <v>#N/A</v>
      </c>
    </row>
    <row r="252" spans="1:22" x14ac:dyDescent="0.25">
      <c r="A252">
        <v>15312995</v>
      </c>
      <c r="B252" t="s">
        <v>433</v>
      </c>
      <c r="C252">
        <v>39</v>
      </c>
      <c r="G252" t="s" cm="1">
        <v>442</v>
      </c>
      <c r="H252">
        <v>45245</v>
      </c>
      <c r="I252" t="s">
        <v>15</v>
      </c>
      <c r="J252" t="s">
        <v>20</v>
      </c>
      <c r="K252" t="s">
        <v>44</v>
      </c>
      <c r="L252" t="s">
        <v>735</v>
      </c>
      <c r="M252" t="s">
        <v>78</v>
      </c>
      <c r="N252" t="s">
        <v>1592</v>
      </c>
      <c r="O252" t="s">
        <v>431</v>
      </c>
      <c r="P252" t="e">
        <v>#N/A</v>
      </c>
      <c r="Q252" t="e">
        <v>#N/A</v>
      </c>
      <c r="R252" t="e">
        <v>#N/A</v>
      </c>
      <c r="S252" t="e">
        <v>#N/A</v>
      </c>
      <c r="T252" t="e">
        <v>#N/A</v>
      </c>
      <c r="U252" t="e">
        <v>#N/A</v>
      </c>
      <c r="V252" t="e">
        <v>#N/A</v>
      </c>
    </row>
    <row r="253" spans="1:22" x14ac:dyDescent="0.25">
      <c r="A253">
        <v>17384222</v>
      </c>
      <c r="B253" t="s" cm="1">
        <v>430</v>
      </c>
      <c r="C253">
        <v>39</v>
      </c>
      <c r="G253" t="s" cm="1">
        <v>442</v>
      </c>
      <c r="H253" t="s">
        <v>14</v>
      </c>
      <c r="I253" t="s">
        <v>14</v>
      </c>
      <c r="J253" t="s">
        <v>30</v>
      </c>
      <c r="K253" t="s">
        <v>48</v>
      </c>
      <c r="L253" t="s">
        <v>761</v>
      </c>
      <c r="M253" t="s">
        <v>78</v>
      </c>
      <c r="N253" t="s">
        <v>83</v>
      </c>
      <c r="P253" t="s">
        <v>14</v>
      </c>
      <c r="Q253" t="s">
        <v>14</v>
      </c>
      <c r="R253" t="s">
        <v>14</v>
      </c>
      <c r="S253" t="s">
        <v>14</v>
      </c>
      <c r="T253" t="s">
        <v>14</v>
      </c>
      <c r="U253" t="s">
        <v>985</v>
      </c>
      <c r="V253" t="s">
        <v>1297</v>
      </c>
    </row>
    <row r="254" spans="1:22" x14ac:dyDescent="0.25">
      <c r="A254">
        <v>17385433</v>
      </c>
      <c r="B254" t="s" cm="1">
        <v>430</v>
      </c>
      <c r="C254">
        <v>39</v>
      </c>
      <c r="G254" t="s" cm="1">
        <v>442</v>
      </c>
      <c r="H254" t="s">
        <v>14</v>
      </c>
      <c r="I254" t="s">
        <v>14</v>
      </c>
      <c r="J254" t="s">
        <v>30</v>
      </c>
      <c r="K254" t="s">
        <v>44</v>
      </c>
      <c r="L254" t="s">
        <v>63</v>
      </c>
      <c r="M254" t="s">
        <v>76</v>
      </c>
      <c r="N254" t="s">
        <v>83</v>
      </c>
      <c r="P254" t="s">
        <v>14</v>
      </c>
      <c r="Q254" t="s">
        <v>14</v>
      </c>
      <c r="R254" t="s">
        <v>14</v>
      </c>
      <c r="S254" t="s">
        <v>986</v>
      </c>
      <c r="T254" t="s">
        <v>14</v>
      </c>
      <c r="U254" t="s">
        <v>987</v>
      </c>
      <c r="V254" t="s">
        <v>1298</v>
      </c>
    </row>
    <row r="255" spans="1:22" x14ac:dyDescent="0.25">
      <c r="A255">
        <v>17387310</v>
      </c>
      <c r="B255" t="s" cm="1">
        <v>430</v>
      </c>
      <c r="C255">
        <v>39</v>
      </c>
      <c r="G255" t="s" cm="1">
        <v>442</v>
      </c>
      <c r="H255" t="s">
        <v>14</v>
      </c>
      <c r="I255" t="s">
        <v>14</v>
      </c>
      <c r="J255" t="s">
        <v>30</v>
      </c>
      <c r="K255" t="s">
        <v>46</v>
      </c>
      <c r="L255" t="s">
        <v>1481</v>
      </c>
      <c r="M255" t="s">
        <v>78</v>
      </c>
      <c r="N255" t="s">
        <v>83</v>
      </c>
      <c r="P255" t="s">
        <v>14</v>
      </c>
      <c r="Q255" t="s">
        <v>14</v>
      </c>
      <c r="R255" t="s">
        <v>14</v>
      </c>
      <c r="S255" t="s">
        <v>988</v>
      </c>
      <c r="T255" t="s">
        <v>14</v>
      </c>
      <c r="U255" t="s">
        <v>14</v>
      </c>
      <c r="V255" t="s">
        <v>1299</v>
      </c>
    </row>
    <row r="256" spans="1:22" x14ac:dyDescent="0.25">
      <c r="A256">
        <v>10518017</v>
      </c>
      <c r="B256" t="s">
        <v>433</v>
      </c>
      <c r="C256">
        <v>38</v>
      </c>
      <c r="G256" t="s" cm="1">
        <v>442</v>
      </c>
      <c r="H256">
        <v>45232</v>
      </c>
      <c r="I256" t="s">
        <v>15</v>
      </c>
      <c r="J256" t="s">
        <v>30</v>
      </c>
      <c r="K256" t="s">
        <v>44</v>
      </c>
      <c r="L256" t="s">
        <v>1345</v>
      </c>
      <c r="M256" t="s">
        <v>76</v>
      </c>
      <c r="N256" t="s">
        <v>1593</v>
      </c>
      <c r="O256" t="s">
        <v>431</v>
      </c>
      <c r="P256" t="e">
        <v>#N/A</v>
      </c>
      <c r="Q256" t="e">
        <v>#N/A</v>
      </c>
      <c r="R256" t="e">
        <v>#N/A</v>
      </c>
      <c r="S256" t="e">
        <v>#N/A</v>
      </c>
      <c r="T256" t="e">
        <v>#N/A</v>
      </c>
      <c r="U256" t="e">
        <v>#N/A</v>
      </c>
      <c r="V256" t="e">
        <v>#N/A</v>
      </c>
    </row>
    <row r="257" spans="1:22" x14ac:dyDescent="0.25">
      <c r="A257">
        <v>16524844</v>
      </c>
      <c r="B257" t="s" cm="1">
        <v>433</v>
      </c>
      <c r="C257">
        <v>38</v>
      </c>
      <c r="G257" t="s" cm="1">
        <v>442</v>
      </c>
      <c r="H257" t="s">
        <v>14</v>
      </c>
      <c r="I257" t="s">
        <v>14</v>
      </c>
      <c r="J257" t="s">
        <v>26</v>
      </c>
      <c r="K257" t="s">
        <v>48</v>
      </c>
      <c r="L257" t="s">
        <v>1482</v>
      </c>
      <c r="M257" t="s">
        <v>78</v>
      </c>
      <c r="N257" t="s">
        <v>83</v>
      </c>
      <c r="P257" t="s">
        <v>14</v>
      </c>
      <c r="Q257" t="s">
        <v>14</v>
      </c>
      <c r="R257" t="s">
        <v>14</v>
      </c>
      <c r="S257" t="s">
        <v>523</v>
      </c>
      <c r="T257" t="s">
        <v>14</v>
      </c>
      <c r="U257" t="s">
        <v>524</v>
      </c>
      <c r="V257" t="s">
        <v>1089</v>
      </c>
    </row>
    <row r="258" spans="1:22" x14ac:dyDescent="0.25">
      <c r="A258">
        <v>16672660</v>
      </c>
      <c r="B258" t="s">
        <v>433</v>
      </c>
      <c r="C258">
        <v>38</v>
      </c>
      <c r="G258" t="s" cm="1">
        <v>442</v>
      </c>
      <c r="H258">
        <v>45233</v>
      </c>
      <c r="I258" t="s">
        <v>15</v>
      </c>
      <c r="J258" t="s">
        <v>22</v>
      </c>
      <c r="K258" t="s">
        <v>44</v>
      </c>
      <c r="L258" t="s">
        <v>55</v>
      </c>
      <c r="M258" t="s">
        <v>76</v>
      </c>
      <c r="N258" t="s">
        <v>1589</v>
      </c>
      <c r="O258" t="s">
        <v>431</v>
      </c>
      <c r="P258" t="e">
        <v>#N/A</v>
      </c>
      <c r="Q258" t="e">
        <v>#N/A</v>
      </c>
      <c r="R258" t="e">
        <v>#N/A</v>
      </c>
      <c r="S258" t="e">
        <v>#N/A</v>
      </c>
      <c r="T258" t="e">
        <v>#N/A</v>
      </c>
      <c r="U258" t="e">
        <v>#N/A</v>
      </c>
      <c r="V258" t="e">
        <v>#N/A</v>
      </c>
    </row>
    <row r="259" spans="1:22" x14ac:dyDescent="0.25">
      <c r="A259">
        <v>16834202</v>
      </c>
      <c r="B259" t="s" cm="1">
        <v>430</v>
      </c>
      <c r="C259">
        <v>38</v>
      </c>
      <c r="G259" t="s" cm="1">
        <v>442</v>
      </c>
      <c r="H259" t="s">
        <v>14</v>
      </c>
      <c r="I259" t="s">
        <v>14</v>
      </c>
      <c r="J259" t="s">
        <v>26</v>
      </c>
      <c r="K259" t="s">
        <v>43</v>
      </c>
      <c r="L259" t="s">
        <v>1483</v>
      </c>
      <c r="M259" t="s">
        <v>78</v>
      </c>
      <c r="N259" t="s">
        <v>83</v>
      </c>
      <c r="P259" t="s">
        <v>14</v>
      </c>
      <c r="Q259" t="s">
        <v>14</v>
      </c>
      <c r="R259" t="s">
        <v>14</v>
      </c>
      <c r="S259" t="s">
        <v>14</v>
      </c>
      <c r="T259" t="s">
        <v>14</v>
      </c>
      <c r="U259" t="s">
        <v>829</v>
      </c>
      <c r="V259" t="s">
        <v>1118</v>
      </c>
    </row>
    <row r="260" spans="1:22" x14ac:dyDescent="0.25">
      <c r="A260">
        <v>17391605</v>
      </c>
      <c r="B260" t="s">
        <v>430</v>
      </c>
      <c r="C260">
        <v>38</v>
      </c>
      <c r="D260" t="s">
        <v>452</v>
      </c>
      <c r="E260" t="s">
        <v>1720</v>
      </c>
      <c r="F260" t="s">
        <v>451</v>
      </c>
      <c r="G260" t="e" cm="1">
        <v>#N/A</v>
      </c>
      <c r="H260" t="s">
        <v>14</v>
      </c>
      <c r="I260" t="s">
        <v>14</v>
      </c>
      <c r="J260" t="s">
        <v>21</v>
      </c>
      <c r="K260" t="s">
        <v>43</v>
      </c>
      <c r="L260" t="s">
        <v>396</v>
      </c>
      <c r="M260" t="s">
        <v>76</v>
      </c>
      <c r="N260" t="s">
        <v>83</v>
      </c>
      <c r="P260" t="s">
        <v>14</v>
      </c>
      <c r="Q260" t="s">
        <v>14</v>
      </c>
      <c r="R260" t="s">
        <v>14</v>
      </c>
      <c r="S260" t="s">
        <v>991</v>
      </c>
      <c r="T260" t="s">
        <v>14</v>
      </c>
      <c r="U260" t="s">
        <v>992</v>
      </c>
      <c r="V260" t="s">
        <v>1301</v>
      </c>
    </row>
    <row r="261" spans="1:22" x14ac:dyDescent="0.25">
      <c r="A261">
        <v>17392443</v>
      </c>
      <c r="B261" t="s">
        <v>430</v>
      </c>
      <c r="C261">
        <v>38</v>
      </c>
      <c r="D261" t="s">
        <v>452</v>
      </c>
      <c r="E261" t="s">
        <v>1720</v>
      </c>
      <c r="F261" t="s">
        <v>451</v>
      </c>
      <c r="G261" t="e" cm="1">
        <v>#N/A</v>
      </c>
      <c r="H261" t="s">
        <v>14</v>
      </c>
      <c r="I261" t="s">
        <v>14</v>
      </c>
      <c r="J261" t="s">
        <v>21</v>
      </c>
      <c r="K261" t="s">
        <v>44</v>
      </c>
      <c r="L261" t="s">
        <v>396</v>
      </c>
      <c r="M261" t="s">
        <v>76</v>
      </c>
      <c r="N261" t="s">
        <v>83</v>
      </c>
      <c r="P261" t="s">
        <v>993</v>
      </c>
      <c r="Q261" t="s">
        <v>14</v>
      </c>
      <c r="R261" t="s">
        <v>14</v>
      </c>
      <c r="S261" t="s">
        <v>994</v>
      </c>
      <c r="T261" t="s">
        <v>14</v>
      </c>
      <c r="U261" t="s">
        <v>995</v>
      </c>
      <c r="V261" t="s">
        <v>1302</v>
      </c>
    </row>
    <row r="262" spans="1:22" x14ac:dyDescent="0.25">
      <c r="A262">
        <v>17392560</v>
      </c>
      <c r="B262" t="s">
        <v>430</v>
      </c>
      <c r="C262">
        <v>38</v>
      </c>
      <c r="D262" t="s">
        <v>452</v>
      </c>
      <c r="E262">
        <v>45274</v>
      </c>
      <c r="F262" t="s">
        <v>774</v>
      </c>
      <c r="G262" t="e" cm="1">
        <v>#N/A</v>
      </c>
      <c r="H262" t="s">
        <v>14</v>
      </c>
      <c r="I262" t="s">
        <v>14</v>
      </c>
      <c r="J262" t="s">
        <v>24</v>
      </c>
      <c r="K262" t="s">
        <v>44</v>
      </c>
      <c r="L262" t="s">
        <v>1484</v>
      </c>
      <c r="M262" t="s">
        <v>1351</v>
      </c>
      <c r="N262" t="s">
        <v>83</v>
      </c>
      <c r="P262" t="s">
        <v>14</v>
      </c>
      <c r="Q262" t="s">
        <v>14</v>
      </c>
      <c r="R262" t="s">
        <v>14</v>
      </c>
      <c r="S262" t="s">
        <v>996</v>
      </c>
      <c r="T262" t="s">
        <v>14</v>
      </c>
      <c r="U262" t="s">
        <v>14</v>
      </c>
      <c r="V262" t="s">
        <v>1303</v>
      </c>
    </row>
    <row r="263" spans="1:22" x14ac:dyDescent="0.25">
      <c r="A263">
        <v>17394069</v>
      </c>
      <c r="B263" t="s" cm="1">
        <v>433</v>
      </c>
      <c r="C263">
        <v>38</v>
      </c>
      <c r="G263" t="s" cm="1">
        <v>442</v>
      </c>
      <c r="H263" t="s">
        <v>14</v>
      </c>
      <c r="I263" t="s">
        <v>14</v>
      </c>
      <c r="J263" t="s">
        <v>26</v>
      </c>
      <c r="K263" t="s">
        <v>48</v>
      </c>
      <c r="L263" t="s">
        <v>1485</v>
      </c>
      <c r="M263" t="s">
        <v>78</v>
      </c>
      <c r="N263" t="s">
        <v>83</v>
      </c>
      <c r="P263" t="s">
        <v>997</v>
      </c>
      <c r="Q263" t="s">
        <v>14</v>
      </c>
      <c r="R263" t="s">
        <v>14</v>
      </c>
      <c r="S263" t="s">
        <v>14</v>
      </c>
      <c r="T263" t="s">
        <v>14</v>
      </c>
      <c r="U263" t="s">
        <v>998</v>
      </c>
      <c r="V263" t="s">
        <v>1304</v>
      </c>
    </row>
    <row r="264" spans="1:22" x14ac:dyDescent="0.25">
      <c r="A264">
        <v>17394293</v>
      </c>
      <c r="B264" t="s" cm="1">
        <v>430</v>
      </c>
      <c r="C264">
        <v>38</v>
      </c>
      <c r="G264" t="e" cm="1">
        <v>#N/A</v>
      </c>
      <c r="H264" t="s">
        <v>14</v>
      </c>
      <c r="I264" t="s">
        <v>14</v>
      </c>
      <c r="J264" t="s">
        <v>30</v>
      </c>
      <c r="K264" t="s">
        <v>44</v>
      </c>
      <c r="L264" t="s">
        <v>58</v>
      </c>
      <c r="M264" t="s">
        <v>76</v>
      </c>
      <c r="N264" t="s">
        <v>83</v>
      </c>
      <c r="P264" t="s">
        <v>999</v>
      </c>
      <c r="Q264" t="s">
        <v>14</v>
      </c>
      <c r="R264" t="s">
        <v>14</v>
      </c>
      <c r="S264" t="s">
        <v>999</v>
      </c>
      <c r="T264" t="s">
        <v>14</v>
      </c>
      <c r="U264" t="s">
        <v>1000</v>
      </c>
      <c r="V264" t="s">
        <v>1305</v>
      </c>
    </row>
    <row r="265" spans="1:22" x14ac:dyDescent="0.25">
      <c r="A265">
        <v>17394851</v>
      </c>
      <c r="B265" t="s">
        <v>433</v>
      </c>
      <c r="C265">
        <v>38</v>
      </c>
      <c r="G265" t="s" cm="1">
        <v>442</v>
      </c>
      <c r="H265">
        <v>45244</v>
      </c>
      <c r="I265" t="s">
        <v>15</v>
      </c>
      <c r="J265" t="s">
        <v>36</v>
      </c>
      <c r="K265" t="s">
        <v>44</v>
      </c>
      <c r="L265" t="s">
        <v>56</v>
      </c>
      <c r="M265" t="s">
        <v>745</v>
      </c>
      <c r="N265" t="s">
        <v>429</v>
      </c>
      <c r="O265" t="s">
        <v>431</v>
      </c>
      <c r="P265" t="e">
        <v>#N/A</v>
      </c>
      <c r="Q265" t="e">
        <v>#N/A</v>
      </c>
      <c r="R265" t="e">
        <v>#N/A</v>
      </c>
      <c r="S265" t="e">
        <v>#N/A</v>
      </c>
      <c r="T265" t="e">
        <v>#N/A</v>
      </c>
      <c r="U265" t="e">
        <v>#N/A</v>
      </c>
      <c r="V265" t="e">
        <v>#N/A</v>
      </c>
    </row>
    <row r="266" spans="1:22" x14ac:dyDescent="0.25">
      <c r="A266">
        <v>17395791</v>
      </c>
      <c r="B266" t="s">
        <v>430</v>
      </c>
      <c r="C266">
        <v>37</v>
      </c>
      <c r="D266" t="s">
        <v>452</v>
      </c>
      <c r="E266">
        <v>45274</v>
      </c>
      <c r="F266" t="s">
        <v>774</v>
      </c>
      <c r="G266" t="e" cm="1">
        <v>#N/A</v>
      </c>
      <c r="H266" t="s">
        <v>14</v>
      </c>
      <c r="I266" t="s">
        <v>14</v>
      </c>
      <c r="J266" t="s">
        <v>27</v>
      </c>
      <c r="K266" t="s">
        <v>571</v>
      </c>
      <c r="L266" t="s">
        <v>89</v>
      </c>
      <c r="M266" t="s">
        <v>76</v>
      </c>
      <c r="N266" t="s">
        <v>83</v>
      </c>
      <c r="P266" t="s">
        <v>14</v>
      </c>
      <c r="Q266" t="s">
        <v>14</v>
      </c>
      <c r="R266" t="s">
        <v>14</v>
      </c>
      <c r="S266" t="s">
        <v>1001</v>
      </c>
      <c r="T266" t="s">
        <v>14</v>
      </c>
      <c r="U266" t="s">
        <v>14</v>
      </c>
      <c r="V266" t="s">
        <v>1306</v>
      </c>
    </row>
    <row r="267" spans="1:22" x14ac:dyDescent="0.25">
      <c r="A267">
        <v>17395798</v>
      </c>
      <c r="B267" t="s" cm="1">
        <v>430</v>
      </c>
      <c r="C267">
        <v>37</v>
      </c>
      <c r="G267" t="s" cm="1">
        <v>442</v>
      </c>
      <c r="H267" t="s">
        <v>14</v>
      </c>
      <c r="I267" t="s">
        <v>14</v>
      </c>
      <c r="J267" t="s">
        <v>30</v>
      </c>
      <c r="K267" t="s">
        <v>52</v>
      </c>
      <c r="L267" t="s">
        <v>74</v>
      </c>
      <c r="M267" t="s">
        <v>76</v>
      </c>
      <c r="N267" t="s">
        <v>83</v>
      </c>
      <c r="P267" t="s">
        <v>1002</v>
      </c>
      <c r="Q267" t="s">
        <v>14</v>
      </c>
      <c r="R267" t="s">
        <v>14</v>
      </c>
      <c r="S267" t="s">
        <v>14</v>
      </c>
      <c r="T267" t="s">
        <v>14</v>
      </c>
      <c r="U267" t="s">
        <v>1003</v>
      </c>
      <c r="V267" t="s">
        <v>1307</v>
      </c>
    </row>
    <row r="268" spans="1:22" x14ac:dyDescent="0.25">
      <c r="A268">
        <v>17396068</v>
      </c>
      <c r="B268" t="s" cm="1">
        <v>433</v>
      </c>
      <c r="C268">
        <v>37</v>
      </c>
      <c r="G268" t="s" cm="1">
        <v>442</v>
      </c>
      <c r="H268" t="s">
        <v>14</v>
      </c>
      <c r="I268" t="s">
        <v>14</v>
      </c>
      <c r="J268" t="s">
        <v>26</v>
      </c>
      <c r="K268" t="s">
        <v>43</v>
      </c>
      <c r="L268" t="s">
        <v>762</v>
      </c>
      <c r="M268" t="s">
        <v>544</v>
      </c>
      <c r="N268" t="s">
        <v>83</v>
      </c>
      <c r="P268" t="s">
        <v>14</v>
      </c>
      <c r="Q268" t="s">
        <v>14</v>
      </c>
      <c r="R268" t="s">
        <v>14</v>
      </c>
      <c r="S268" t="s">
        <v>1006</v>
      </c>
      <c r="T268" t="s">
        <v>14</v>
      </c>
      <c r="U268" t="s">
        <v>1007</v>
      </c>
      <c r="V268" t="s">
        <v>1309</v>
      </c>
    </row>
    <row r="269" spans="1:22" x14ac:dyDescent="0.25">
      <c r="A269">
        <v>17396096</v>
      </c>
      <c r="B269" t="s">
        <v>430</v>
      </c>
      <c r="C269">
        <v>37</v>
      </c>
      <c r="D269" t="s">
        <v>452</v>
      </c>
      <c r="E269" t="s">
        <v>1720</v>
      </c>
      <c r="F269" t="s">
        <v>451</v>
      </c>
      <c r="G269" t="e" cm="1">
        <v>#N/A</v>
      </c>
      <c r="H269" t="s">
        <v>14</v>
      </c>
      <c r="I269" t="s">
        <v>14</v>
      </c>
      <c r="J269" t="s">
        <v>21</v>
      </c>
      <c r="K269" t="s">
        <v>44</v>
      </c>
      <c r="L269" t="s">
        <v>1486</v>
      </c>
      <c r="M269" t="s">
        <v>76</v>
      </c>
      <c r="N269" t="s">
        <v>83</v>
      </c>
      <c r="P269" t="s">
        <v>14</v>
      </c>
      <c r="Q269" t="s">
        <v>14</v>
      </c>
      <c r="R269" t="s">
        <v>14</v>
      </c>
      <c r="S269" t="s">
        <v>1008</v>
      </c>
      <c r="T269" t="s">
        <v>14</v>
      </c>
      <c r="U269" t="s">
        <v>1009</v>
      </c>
      <c r="V269" t="s">
        <v>1310</v>
      </c>
    </row>
    <row r="270" spans="1:22" x14ac:dyDescent="0.25">
      <c r="A270">
        <v>14900087</v>
      </c>
      <c r="B270" t="s" cm="1">
        <v>430</v>
      </c>
      <c r="C270">
        <v>35</v>
      </c>
      <c r="G270" t="s" cm="1">
        <v>442</v>
      </c>
      <c r="H270" t="s">
        <v>14</v>
      </c>
      <c r="I270" t="s">
        <v>14</v>
      </c>
      <c r="J270" t="s">
        <v>30</v>
      </c>
      <c r="K270" t="s">
        <v>389</v>
      </c>
      <c r="L270" t="s">
        <v>1487</v>
      </c>
      <c r="M270" t="s">
        <v>78</v>
      </c>
      <c r="N270" t="s">
        <v>83</v>
      </c>
      <c r="P270" t="s">
        <v>14</v>
      </c>
      <c r="Q270" t="s">
        <v>14</v>
      </c>
      <c r="R270" t="s">
        <v>14</v>
      </c>
      <c r="S270" t="s">
        <v>786</v>
      </c>
      <c r="T270" t="s">
        <v>14</v>
      </c>
      <c r="U270" t="s">
        <v>787</v>
      </c>
      <c r="V270" t="s">
        <v>1045</v>
      </c>
    </row>
    <row r="271" spans="1:22" x14ac:dyDescent="0.25">
      <c r="A271">
        <v>14905042</v>
      </c>
      <c r="B271" t="s" cm="1">
        <v>433</v>
      </c>
      <c r="C271">
        <v>35</v>
      </c>
      <c r="G271" t="s" cm="1">
        <v>442</v>
      </c>
      <c r="H271" t="s">
        <v>14</v>
      </c>
      <c r="I271" t="s">
        <v>14</v>
      </c>
      <c r="J271" t="s">
        <v>26</v>
      </c>
      <c r="K271" t="s">
        <v>389</v>
      </c>
      <c r="L271" t="s">
        <v>1488</v>
      </c>
      <c r="M271" t="s">
        <v>78</v>
      </c>
      <c r="N271" t="s">
        <v>83</v>
      </c>
      <c r="P271" t="s">
        <v>14</v>
      </c>
      <c r="Q271" t="s">
        <v>14</v>
      </c>
      <c r="R271" t="s">
        <v>14</v>
      </c>
      <c r="S271" t="s">
        <v>659</v>
      </c>
      <c r="T271" t="s">
        <v>14</v>
      </c>
      <c r="U271" t="s">
        <v>660</v>
      </c>
      <c r="V271" t="s">
        <v>1046</v>
      </c>
    </row>
    <row r="272" spans="1:22" x14ac:dyDescent="0.25">
      <c r="A272">
        <v>17186621</v>
      </c>
      <c r="B272" t="s">
        <v>433</v>
      </c>
      <c r="C272">
        <v>35</v>
      </c>
      <c r="G272" t="s" cm="1">
        <v>442</v>
      </c>
      <c r="H272">
        <v>45225</v>
      </c>
      <c r="I272" t="s">
        <v>15</v>
      </c>
      <c r="J272" t="s">
        <v>18</v>
      </c>
      <c r="K272" t="s">
        <v>54</v>
      </c>
      <c r="L272" t="s">
        <v>56</v>
      </c>
      <c r="M272" t="s">
        <v>76</v>
      </c>
      <c r="N272" t="s">
        <v>1583</v>
      </c>
      <c r="O272" t="s">
        <v>431</v>
      </c>
      <c r="P272" t="e">
        <v>#N/A</v>
      </c>
      <c r="Q272" t="e">
        <v>#N/A</v>
      </c>
      <c r="R272" t="e">
        <v>#N/A</v>
      </c>
      <c r="S272" t="e">
        <v>#N/A</v>
      </c>
      <c r="T272" t="e">
        <v>#N/A</v>
      </c>
      <c r="U272" t="e">
        <v>#N/A</v>
      </c>
      <c r="V272" t="e">
        <v>#N/A</v>
      </c>
    </row>
    <row r="273" spans="1:22" x14ac:dyDescent="0.25">
      <c r="A273">
        <v>17396896</v>
      </c>
      <c r="B273" t="s" cm="1">
        <v>430</v>
      </c>
      <c r="C273">
        <v>35</v>
      </c>
      <c r="G273" t="s" cm="1">
        <v>442</v>
      </c>
      <c r="H273" t="s">
        <v>14</v>
      </c>
      <c r="I273" t="s">
        <v>14</v>
      </c>
      <c r="J273" t="s">
        <v>30</v>
      </c>
      <c r="K273" t="s">
        <v>52</v>
      </c>
      <c r="L273" t="s">
        <v>74</v>
      </c>
      <c r="M273" t="s">
        <v>76</v>
      </c>
      <c r="N273" t="s">
        <v>83</v>
      </c>
      <c r="P273" t="s">
        <v>1010</v>
      </c>
      <c r="Q273" t="s">
        <v>14</v>
      </c>
      <c r="R273" t="s">
        <v>14</v>
      </c>
      <c r="S273" t="s">
        <v>1011</v>
      </c>
      <c r="T273" t="s">
        <v>14</v>
      </c>
      <c r="U273" t="s">
        <v>1012</v>
      </c>
      <c r="V273" t="s">
        <v>1311</v>
      </c>
    </row>
    <row r="274" spans="1:22" x14ac:dyDescent="0.25">
      <c r="A274">
        <v>17403454</v>
      </c>
      <c r="B274" t="s" cm="1">
        <v>430</v>
      </c>
      <c r="C274">
        <v>34</v>
      </c>
      <c r="G274" t="e" cm="1">
        <v>#N/A</v>
      </c>
      <c r="H274" t="s">
        <v>14</v>
      </c>
      <c r="I274" t="s">
        <v>14</v>
      </c>
      <c r="J274" t="s">
        <v>30</v>
      </c>
      <c r="K274" t="s">
        <v>45</v>
      </c>
      <c r="L274" t="s">
        <v>1489</v>
      </c>
      <c r="M274" t="s">
        <v>78</v>
      </c>
      <c r="N274" t="s">
        <v>83</v>
      </c>
      <c r="P274" t="s">
        <v>14</v>
      </c>
      <c r="Q274" t="s">
        <v>14</v>
      </c>
      <c r="R274" t="s">
        <v>14</v>
      </c>
      <c r="S274" t="s">
        <v>1013</v>
      </c>
      <c r="T274" t="s">
        <v>14</v>
      </c>
      <c r="U274" t="s">
        <v>14</v>
      </c>
      <c r="V274" t="s">
        <v>1312</v>
      </c>
    </row>
    <row r="275" spans="1:22" x14ac:dyDescent="0.25">
      <c r="A275">
        <v>17406356</v>
      </c>
      <c r="B275" t="s" cm="1">
        <v>430</v>
      </c>
      <c r="C275">
        <v>34</v>
      </c>
      <c r="G275" t="s" cm="1">
        <v>442</v>
      </c>
      <c r="H275" t="s">
        <v>14</v>
      </c>
      <c r="I275" t="s">
        <v>14</v>
      </c>
      <c r="J275" t="s">
        <v>30</v>
      </c>
      <c r="K275" t="s">
        <v>44</v>
      </c>
      <c r="L275" t="s">
        <v>63</v>
      </c>
      <c r="M275" t="s">
        <v>76</v>
      </c>
      <c r="N275" t="s">
        <v>83</v>
      </c>
      <c r="P275" t="s">
        <v>14</v>
      </c>
      <c r="Q275" t="s">
        <v>14</v>
      </c>
      <c r="R275" t="s">
        <v>14</v>
      </c>
      <c r="S275" t="s">
        <v>541</v>
      </c>
      <c r="T275" t="s">
        <v>14</v>
      </c>
      <c r="U275" t="s">
        <v>542</v>
      </c>
      <c r="V275">
        <v>0</v>
      </c>
    </row>
    <row r="276" spans="1:22" x14ac:dyDescent="0.25">
      <c r="A276">
        <v>17406374</v>
      </c>
      <c r="B276" t="s">
        <v>433</v>
      </c>
      <c r="C276">
        <v>34</v>
      </c>
      <c r="G276" t="s" cm="1">
        <v>442</v>
      </c>
      <c r="H276">
        <v>45251</v>
      </c>
      <c r="I276" t="s">
        <v>15</v>
      </c>
      <c r="J276" t="s">
        <v>22</v>
      </c>
      <c r="K276" t="s">
        <v>44</v>
      </c>
      <c r="L276" t="s">
        <v>63</v>
      </c>
      <c r="M276" t="s">
        <v>76</v>
      </c>
      <c r="N276" t="s">
        <v>412</v>
      </c>
      <c r="O276" t="s">
        <v>431</v>
      </c>
      <c r="P276" t="e">
        <v>#N/A</v>
      </c>
      <c r="Q276" t="e">
        <v>#N/A</v>
      </c>
      <c r="R276" t="e">
        <v>#N/A</v>
      </c>
      <c r="S276" t="e">
        <v>#N/A</v>
      </c>
      <c r="T276" t="e">
        <v>#N/A</v>
      </c>
      <c r="U276" t="e">
        <v>#N/A</v>
      </c>
      <c r="V276" t="e">
        <v>#N/A</v>
      </c>
    </row>
    <row r="277" spans="1:22" x14ac:dyDescent="0.25">
      <c r="A277">
        <v>17409181</v>
      </c>
      <c r="B277" t="s">
        <v>433</v>
      </c>
      <c r="C277">
        <v>34</v>
      </c>
      <c r="G277" t="s" cm="1">
        <v>442</v>
      </c>
      <c r="H277">
        <v>45266</v>
      </c>
      <c r="I277" t="s">
        <v>15</v>
      </c>
      <c r="J277" t="s">
        <v>30</v>
      </c>
      <c r="K277" t="s">
        <v>44</v>
      </c>
      <c r="L277" t="s">
        <v>408</v>
      </c>
      <c r="M277" t="s">
        <v>78</v>
      </c>
      <c r="N277" t="s">
        <v>461</v>
      </c>
      <c r="O277" t="s">
        <v>431</v>
      </c>
      <c r="P277" t="e">
        <v>#N/A</v>
      </c>
      <c r="Q277" t="e">
        <v>#N/A</v>
      </c>
      <c r="R277" t="e">
        <v>#N/A</v>
      </c>
      <c r="S277" t="e">
        <v>#N/A</v>
      </c>
      <c r="T277" t="e">
        <v>#N/A</v>
      </c>
      <c r="U277" t="e">
        <v>#N/A</v>
      </c>
      <c r="V277" t="e">
        <v>#N/A</v>
      </c>
    </row>
    <row r="278" spans="1:22" x14ac:dyDescent="0.25">
      <c r="A278">
        <v>16303902</v>
      </c>
      <c r="B278" t="s">
        <v>433</v>
      </c>
      <c r="C278">
        <v>33</v>
      </c>
      <c r="G278" t="s" cm="1">
        <v>442</v>
      </c>
      <c r="H278">
        <v>45258</v>
      </c>
      <c r="I278" t="s">
        <v>15</v>
      </c>
      <c r="J278" t="s">
        <v>32</v>
      </c>
      <c r="K278" t="s">
        <v>44</v>
      </c>
      <c r="L278" t="s">
        <v>1490</v>
      </c>
      <c r="M278" t="s">
        <v>78</v>
      </c>
      <c r="N278" t="s">
        <v>413</v>
      </c>
      <c r="O278" t="s">
        <v>431</v>
      </c>
      <c r="P278" t="e">
        <v>#N/A</v>
      </c>
      <c r="Q278" t="e">
        <v>#N/A</v>
      </c>
      <c r="R278" t="e">
        <v>#N/A</v>
      </c>
      <c r="S278" t="e">
        <v>#N/A</v>
      </c>
      <c r="T278" t="e">
        <v>#N/A</v>
      </c>
      <c r="U278" t="e">
        <v>#N/A</v>
      </c>
      <c r="V278" t="e">
        <v>#N/A</v>
      </c>
    </row>
    <row r="279" spans="1:22" x14ac:dyDescent="0.25">
      <c r="A279">
        <v>16681476</v>
      </c>
      <c r="B279" t="s" cm="1">
        <v>430</v>
      </c>
      <c r="C279">
        <v>33</v>
      </c>
      <c r="G279" t="s" cm="1">
        <v>442</v>
      </c>
      <c r="H279" t="s">
        <v>14</v>
      </c>
      <c r="I279" t="s">
        <v>14</v>
      </c>
      <c r="J279" t="s">
        <v>30</v>
      </c>
      <c r="K279" t="s">
        <v>44</v>
      </c>
      <c r="L279" t="s">
        <v>1397</v>
      </c>
      <c r="M279" t="s">
        <v>78</v>
      </c>
      <c r="N279" t="s">
        <v>83</v>
      </c>
      <c r="P279" t="s">
        <v>14</v>
      </c>
      <c r="Q279" t="s">
        <v>14</v>
      </c>
      <c r="R279" t="s">
        <v>14</v>
      </c>
      <c r="S279" t="s">
        <v>582</v>
      </c>
      <c r="T279" t="s">
        <v>14</v>
      </c>
      <c r="U279" t="s">
        <v>583</v>
      </c>
      <c r="V279" t="s">
        <v>1101</v>
      </c>
    </row>
    <row r="280" spans="1:22" x14ac:dyDescent="0.25">
      <c r="A280">
        <v>16740646</v>
      </c>
      <c r="B280" t="s" cm="1">
        <v>430</v>
      </c>
      <c r="C280">
        <v>33</v>
      </c>
      <c r="G280" t="s" cm="1">
        <v>442</v>
      </c>
      <c r="H280" t="s">
        <v>14</v>
      </c>
      <c r="I280" t="s">
        <v>14</v>
      </c>
      <c r="J280" t="s">
        <v>26</v>
      </c>
      <c r="K280" t="s">
        <v>44</v>
      </c>
      <c r="L280" t="s">
        <v>1346</v>
      </c>
      <c r="M280" t="s">
        <v>78</v>
      </c>
      <c r="N280" t="s">
        <v>83</v>
      </c>
      <c r="P280" t="s">
        <v>14</v>
      </c>
      <c r="Q280" t="s">
        <v>14</v>
      </c>
      <c r="R280" t="s">
        <v>14</v>
      </c>
      <c r="S280" t="s">
        <v>1730</v>
      </c>
      <c r="T280" t="s">
        <v>14</v>
      </c>
      <c r="U280" t="s">
        <v>1731</v>
      </c>
      <c r="V280" t="s">
        <v>1732</v>
      </c>
    </row>
    <row r="281" spans="1:22" x14ac:dyDescent="0.25">
      <c r="A281">
        <v>17088420</v>
      </c>
      <c r="B281" t="s">
        <v>433</v>
      </c>
      <c r="C281">
        <v>33</v>
      </c>
      <c r="G281" t="e" cm="1">
        <v>#N/A</v>
      </c>
      <c r="H281">
        <v>45264</v>
      </c>
      <c r="I281" t="s">
        <v>15</v>
      </c>
      <c r="J281" t="s">
        <v>30</v>
      </c>
      <c r="K281" t="s">
        <v>44</v>
      </c>
      <c r="L281" t="s">
        <v>1491</v>
      </c>
      <c r="M281" t="s">
        <v>76</v>
      </c>
      <c r="N281" t="s">
        <v>420</v>
      </c>
      <c r="O281" t="s">
        <v>431</v>
      </c>
      <c r="P281" t="e">
        <v>#N/A</v>
      </c>
      <c r="Q281" t="e">
        <v>#N/A</v>
      </c>
      <c r="R281" t="e">
        <v>#N/A</v>
      </c>
      <c r="S281" t="e">
        <v>#N/A</v>
      </c>
      <c r="T281" t="e">
        <v>#N/A</v>
      </c>
      <c r="U281" t="e">
        <v>#N/A</v>
      </c>
      <c r="V281" t="e">
        <v>#N/A</v>
      </c>
    </row>
    <row r="282" spans="1:22" x14ac:dyDescent="0.25">
      <c r="A282">
        <v>17409621</v>
      </c>
      <c r="B282" t="s" cm="1">
        <v>430</v>
      </c>
      <c r="C282">
        <v>33</v>
      </c>
      <c r="G282" t="e" cm="1">
        <v>#N/A</v>
      </c>
      <c r="H282" t="s">
        <v>14</v>
      </c>
      <c r="I282" t="s">
        <v>14</v>
      </c>
      <c r="J282" t="s">
        <v>30</v>
      </c>
      <c r="K282" t="s">
        <v>44</v>
      </c>
      <c r="L282" t="s">
        <v>1492</v>
      </c>
      <c r="M282" t="s">
        <v>78</v>
      </c>
      <c r="N282" t="s">
        <v>83</v>
      </c>
      <c r="P282" t="s">
        <v>14</v>
      </c>
      <c r="Q282" t="s">
        <v>14</v>
      </c>
      <c r="R282" t="s">
        <v>14</v>
      </c>
      <c r="S282" t="s">
        <v>492</v>
      </c>
      <c r="T282" t="s">
        <v>14</v>
      </c>
      <c r="U282" t="s">
        <v>14</v>
      </c>
      <c r="V282">
        <v>0</v>
      </c>
    </row>
    <row r="283" spans="1:22" x14ac:dyDescent="0.25">
      <c r="A283">
        <v>17413389</v>
      </c>
      <c r="B283" t="s">
        <v>433</v>
      </c>
      <c r="C283">
        <v>33</v>
      </c>
      <c r="G283" t="s" cm="1">
        <v>442</v>
      </c>
      <c r="H283" t="s">
        <v>14</v>
      </c>
      <c r="I283" t="s">
        <v>14</v>
      </c>
      <c r="J283" t="s">
        <v>39</v>
      </c>
      <c r="K283" t="s">
        <v>44</v>
      </c>
      <c r="L283" t="s">
        <v>68</v>
      </c>
      <c r="M283" t="s">
        <v>76</v>
      </c>
      <c r="N283" t="s">
        <v>14</v>
      </c>
      <c r="P283" t="e">
        <v>#N/A</v>
      </c>
      <c r="Q283" t="e">
        <v>#N/A</v>
      </c>
      <c r="R283" t="e">
        <v>#N/A</v>
      </c>
      <c r="S283" t="e">
        <v>#N/A</v>
      </c>
      <c r="T283" t="e">
        <v>#N/A</v>
      </c>
      <c r="U283" t="e">
        <v>#N/A</v>
      </c>
      <c r="V283" t="e">
        <v>#N/A</v>
      </c>
    </row>
    <row r="284" spans="1:22" x14ac:dyDescent="0.25">
      <c r="A284">
        <v>15514342</v>
      </c>
      <c r="B284" t="s">
        <v>433</v>
      </c>
      <c r="C284">
        <v>32</v>
      </c>
      <c r="G284" t="s" cm="1">
        <v>442</v>
      </c>
      <c r="H284">
        <v>45244</v>
      </c>
      <c r="I284" t="s">
        <v>15</v>
      </c>
      <c r="J284" t="s">
        <v>33</v>
      </c>
      <c r="K284" t="s">
        <v>44</v>
      </c>
      <c r="L284" t="s">
        <v>60</v>
      </c>
      <c r="M284" t="s">
        <v>76</v>
      </c>
      <c r="N284" t="s">
        <v>429</v>
      </c>
      <c r="O284" t="s">
        <v>431</v>
      </c>
      <c r="P284" t="e">
        <v>#N/A</v>
      </c>
      <c r="Q284" t="e">
        <v>#N/A</v>
      </c>
      <c r="R284" t="e">
        <v>#N/A</v>
      </c>
      <c r="S284" t="e">
        <v>#N/A</v>
      </c>
      <c r="T284" t="e">
        <v>#N/A</v>
      </c>
      <c r="U284" t="e">
        <v>#N/A</v>
      </c>
      <c r="V284" t="e">
        <v>#N/A</v>
      </c>
    </row>
    <row r="285" spans="1:22" x14ac:dyDescent="0.25">
      <c r="A285">
        <v>15555845</v>
      </c>
      <c r="B285" t="s">
        <v>430</v>
      </c>
      <c r="C285">
        <v>32</v>
      </c>
      <c r="D285" t="s">
        <v>452</v>
      </c>
      <c r="E285">
        <v>45272</v>
      </c>
      <c r="F285" t="s">
        <v>751</v>
      </c>
      <c r="G285" t="s" cm="1">
        <v>442</v>
      </c>
      <c r="H285" t="s">
        <v>14</v>
      </c>
      <c r="I285" t="s">
        <v>14</v>
      </c>
      <c r="J285" t="s">
        <v>25</v>
      </c>
      <c r="K285" t="s">
        <v>44</v>
      </c>
      <c r="L285" t="s">
        <v>1493</v>
      </c>
      <c r="M285" t="s">
        <v>76</v>
      </c>
      <c r="N285" t="s">
        <v>83</v>
      </c>
      <c r="P285" t="s">
        <v>14</v>
      </c>
      <c r="Q285" t="s">
        <v>14</v>
      </c>
      <c r="R285" t="s">
        <v>14</v>
      </c>
      <c r="S285" t="s">
        <v>796</v>
      </c>
      <c r="T285" t="s">
        <v>14</v>
      </c>
      <c r="U285" t="s">
        <v>14</v>
      </c>
      <c r="V285" t="s">
        <v>1059</v>
      </c>
    </row>
    <row r="286" spans="1:22" x14ac:dyDescent="0.25">
      <c r="A286">
        <v>16886589</v>
      </c>
      <c r="B286" t="s">
        <v>433</v>
      </c>
      <c r="C286">
        <v>32</v>
      </c>
      <c r="G286" t="e" cm="1">
        <v>#N/A</v>
      </c>
      <c r="H286">
        <v>45264</v>
      </c>
      <c r="I286" t="s">
        <v>15</v>
      </c>
      <c r="J286" t="s">
        <v>30</v>
      </c>
      <c r="K286" t="s">
        <v>44</v>
      </c>
      <c r="L286" t="s">
        <v>1494</v>
      </c>
      <c r="M286" t="s">
        <v>76</v>
      </c>
      <c r="N286" t="s">
        <v>1594</v>
      </c>
      <c r="O286" t="s">
        <v>431</v>
      </c>
      <c r="P286" t="e">
        <v>#N/A</v>
      </c>
      <c r="Q286" t="e">
        <v>#N/A</v>
      </c>
      <c r="R286" t="e">
        <v>#N/A</v>
      </c>
      <c r="S286" t="e">
        <v>#N/A</v>
      </c>
      <c r="T286" t="e">
        <v>#N/A</v>
      </c>
      <c r="U286" t="e">
        <v>#N/A</v>
      </c>
      <c r="V286" t="e">
        <v>#N/A</v>
      </c>
    </row>
    <row r="287" spans="1:22" x14ac:dyDescent="0.25">
      <c r="A287">
        <v>17417021</v>
      </c>
      <c r="B287" t="s">
        <v>433</v>
      </c>
      <c r="C287">
        <v>32</v>
      </c>
      <c r="G287" t="e" cm="1">
        <v>#N/A</v>
      </c>
      <c r="H287">
        <v>45266</v>
      </c>
      <c r="I287" t="s">
        <v>15</v>
      </c>
      <c r="J287" t="s">
        <v>38</v>
      </c>
      <c r="K287" t="s">
        <v>49</v>
      </c>
      <c r="L287" t="s">
        <v>71</v>
      </c>
      <c r="M287" t="s">
        <v>76</v>
      </c>
      <c r="N287" t="s">
        <v>1595</v>
      </c>
      <c r="O287" t="s">
        <v>431</v>
      </c>
      <c r="P287" t="e">
        <v>#N/A</v>
      </c>
      <c r="Q287" t="e">
        <v>#N/A</v>
      </c>
      <c r="R287" t="e">
        <v>#N/A</v>
      </c>
      <c r="S287" t="e">
        <v>#N/A</v>
      </c>
      <c r="T287" t="e">
        <v>#N/A</v>
      </c>
      <c r="U287" t="e">
        <v>#N/A</v>
      </c>
      <c r="V287" t="e">
        <v>#N/A</v>
      </c>
    </row>
    <row r="288" spans="1:22" x14ac:dyDescent="0.25">
      <c r="A288">
        <v>17417250</v>
      </c>
      <c r="B288" t="s" cm="1">
        <v>433</v>
      </c>
      <c r="C288">
        <v>32</v>
      </c>
      <c r="G288" t="e" cm="1">
        <v>#N/A</v>
      </c>
      <c r="H288" t="s">
        <v>14</v>
      </c>
      <c r="I288" t="s">
        <v>14</v>
      </c>
      <c r="J288" t="s">
        <v>26</v>
      </c>
      <c r="K288" t="s">
        <v>48</v>
      </c>
      <c r="L288" t="s">
        <v>1495</v>
      </c>
      <c r="M288" t="s">
        <v>78</v>
      </c>
      <c r="N288" t="s">
        <v>83</v>
      </c>
      <c r="P288" t="s">
        <v>559</v>
      </c>
      <c r="Q288" t="s">
        <v>14</v>
      </c>
      <c r="R288" t="s">
        <v>14</v>
      </c>
      <c r="S288" t="s">
        <v>559</v>
      </c>
      <c r="T288" t="s">
        <v>14</v>
      </c>
      <c r="U288" t="s">
        <v>560</v>
      </c>
      <c r="V288">
        <v>0</v>
      </c>
    </row>
    <row r="289" spans="1:22" x14ac:dyDescent="0.25">
      <c r="A289">
        <v>17419909</v>
      </c>
      <c r="B289" t="s" cm="1">
        <v>433</v>
      </c>
      <c r="C289">
        <v>32</v>
      </c>
      <c r="G289" t="e" cm="1">
        <v>#N/A</v>
      </c>
      <c r="H289" t="s">
        <v>14</v>
      </c>
      <c r="I289" t="s">
        <v>14</v>
      </c>
      <c r="J289" t="s">
        <v>30</v>
      </c>
      <c r="K289" t="s">
        <v>44</v>
      </c>
      <c r="L289" t="s">
        <v>760</v>
      </c>
      <c r="M289" t="s">
        <v>76</v>
      </c>
      <c r="N289" t="s">
        <v>83</v>
      </c>
      <c r="P289" t="s">
        <v>14</v>
      </c>
      <c r="Q289" t="s">
        <v>14</v>
      </c>
      <c r="R289" t="s">
        <v>14</v>
      </c>
      <c r="S289" t="s">
        <v>14</v>
      </c>
      <c r="T289" t="s">
        <v>14</v>
      </c>
      <c r="U289" t="s">
        <v>493</v>
      </c>
      <c r="V289">
        <v>0</v>
      </c>
    </row>
    <row r="290" spans="1:22" x14ac:dyDescent="0.25">
      <c r="A290">
        <v>17420040</v>
      </c>
      <c r="B290" t="s" cm="1">
        <v>430</v>
      </c>
      <c r="C290">
        <v>32</v>
      </c>
      <c r="G290" t="e" cm="1">
        <v>#N/A</v>
      </c>
      <c r="H290" t="s">
        <v>14</v>
      </c>
      <c r="I290" t="s">
        <v>14</v>
      </c>
      <c r="J290" t="s">
        <v>30</v>
      </c>
      <c r="K290" t="s">
        <v>44</v>
      </c>
      <c r="L290" t="s">
        <v>443</v>
      </c>
      <c r="M290" t="s">
        <v>76</v>
      </c>
      <c r="N290" t="s">
        <v>83</v>
      </c>
      <c r="P290" t="s">
        <v>14</v>
      </c>
      <c r="Q290" t="s">
        <v>14</v>
      </c>
      <c r="R290" t="s">
        <v>14</v>
      </c>
      <c r="S290" t="s">
        <v>586</v>
      </c>
      <c r="T290" t="s">
        <v>14</v>
      </c>
      <c r="U290" t="s">
        <v>587</v>
      </c>
      <c r="V290">
        <v>0</v>
      </c>
    </row>
    <row r="291" spans="1:22" x14ac:dyDescent="0.25">
      <c r="A291">
        <v>17421196</v>
      </c>
      <c r="B291" t="s">
        <v>433</v>
      </c>
      <c r="C291">
        <v>32</v>
      </c>
      <c r="G291" t="s" cm="1">
        <v>442</v>
      </c>
      <c r="H291">
        <v>45265</v>
      </c>
      <c r="I291" t="s">
        <v>15</v>
      </c>
      <c r="J291" t="s">
        <v>30</v>
      </c>
      <c r="K291" t="s">
        <v>44</v>
      </c>
      <c r="L291" t="s">
        <v>1496</v>
      </c>
      <c r="M291" t="s">
        <v>544</v>
      </c>
      <c r="N291" t="s">
        <v>427</v>
      </c>
      <c r="O291" t="s">
        <v>431</v>
      </c>
      <c r="P291" t="e">
        <v>#N/A</v>
      </c>
      <c r="Q291" t="e">
        <v>#N/A</v>
      </c>
      <c r="R291" t="e">
        <v>#N/A</v>
      </c>
      <c r="S291" t="e">
        <v>#N/A</v>
      </c>
      <c r="T291" t="e">
        <v>#N/A</v>
      </c>
      <c r="U291" t="e">
        <v>#N/A</v>
      </c>
      <c r="V291" t="e">
        <v>#N/A</v>
      </c>
    </row>
    <row r="292" spans="1:22" x14ac:dyDescent="0.25">
      <c r="A292">
        <v>14501201</v>
      </c>
      <c r="B292" t="s">
        <v>433</v>
      </c>
      <c r="C292">
        <v>31</v>
      </c>
      <c r="G292" t="s" cm="1">
        <v>442</v>
      </c>
      <c r="H292">
        <v>45266</v>
      </c>
      <c r="I292" t="s">
        <v>15</v>
      </c>
      <c r="J292" t="s">
        <v>30</v>
      </c>
      <c r="K292" t="s">
        <v>43</v>
      </c>
      <c r="L292" t="s">
        <v>449</v>
      </c>
      <c r="M292" t="s">
        <v>76</v>
      </c>
      <c r="N292" t="s">
        <v>461</v>
      </c>
      <c r="O292" t="s">
        <v>431</v>
      </c>
      <c r="P292" t="e">
        <v>#N/A</v>
      </c>
      <c r="Q292" t="e">
        <v>#N/A</v>
      </c>
      <c r="R292" t="e">
        <v>#N/A</v>
      </c>
      <c r="S292" t="e">
        <v>#N/A</v>
      </c>
      <c r="T292" t="e">
        <v>#N/A</v>
      </c>
      <c r="U292" t="e">
        <v>#N/A</v>
      </c>
      <c r="V292" t="e">
        <v>#N/A</v>
      </c>
    </row>
    <row r="293" spans="1:22" x14ac:dyDescent="0.25">
      <c r="A293">
        <v>16491567</v>
      </c>
      <c r="B293" t="s">
        <v>433</v>
      </c>
      <c r="C293">
        <v>31</v>
      </c>
      <c r="G293" t="s" cm="1">
        <v>442</v>
      </c>
      <c r="H293">
        <v>45250</v>
      </c>
      <c r="I293" t="s">
        <v>15</v>
      </c>
      <c r="J293" t="s">
        <v>24</v>
      </c>
      <c r="K293" t="s">
        <v>44</v>
      </c>
      <c r="L293" t="s">
        <v>622</v>
      </c>
      <c r="M293" t="s">
        <v>76</v>
      </c>
      <c r="N293" t="s">
        <v>1571</v>
      </c>
      <c r="O293" t="s">
        <v>431</v>
      </c>
      <c r="P293" t="e">
        <v>#N/A</v>
      </c>
      <c r="Q293" t="e">
        <v>#N/A</v>
      </c>
      <c r="R293" t="e">
        <v>#N/A</v>
      </c>
      <c r="S293" t="e">
        <v>#N/A</v>
      </c>
      <c r="T293" t="e">
        <v>#N/A</v>
      </c>
      <c r="U293" t="e">
        <v>#N/A</v>
      </c>
      <c r="V293" t="e">
        <v>#N/A</v>
      </c>
    </row>
    <row r="294" spans="1:22" x14ac:dyDescent="0.25">
      <c r="A294">
        <v>17423589</v>
      </c>
      <c r="B294" t="s">
        <v>433</v>
      </c>
      <c r="C294">
        <v>31</v>
      </c>
      <c r="G294" t="e" cm="1">
        <v>#N/A</v>
      </c>
      <c r="H294">
        <v>45266</v>
      </c>
      <c r="I294" t="s">
        <v>15</v>
      </c>
      <c r="J294" t="s">
        <v>38</v>
      </c>
      <c r="K294" t="s">
        <v>49</v>
      </c>
      <c r="L294" t="s">
        <v>620</v>
      </c>
      <c r="M294" t="s">
        <v>76</v>
      </c>
      <c r="N294" t="s">
        <v>1595</v>
      </c>
      <c r="O294" t="s">
        <v>431</v>
      </c>
      <c r="P294" t="e">
        <v>#N/A</v>
      </c>
      <c r="Q294" t="e">
        <v>#N/A</v>
      </c>
      <c r="R294" t="e">
        <v>#N/A</v>
      </c>
      <c r="S294" t="e">
        <v>#N/A</v>
      </c>
      <c r="T294" t="e">
        <v>#N/A</v>
      </c>
      <c r="U294" t="e">
        <v>#N/A</v>
      </c>
      <c r="V294" t="e">
        <v>#N/A</v>
      </c>
    </row>
    <row r="295" spans="1:22" x14ac:dyDescent="0.25">
      <c r="A295">
        <v>17424020</v>
      </c>
      <c r="B295" t="s">
        <v>433</v>
      </c>
      <c r="C295">
        <v>31</v>
      </c>
      <c r="G295" t="e" cm="1">
        <v>#N/A</v>
      </c>
      <c r="H295">
        <v>45265</v>
      </c>
      <c r="I295" t="s">
        <v>15</v>
      </c>
      <c r="J295" t="s">
        <v>30</v>
      </c>
      <c r="K295" t="s">
        <v>43</v>
      </c>
      <c r="L295" t="s">
        <v>406</v>
      </c>
      <c r="M295" t="s">
        <v>76</v>
      </c>
      <c r="N295" t="s">
        <v>1596</v>
      </c>
      <c r="O295" t="s">
        <v>431</v>
      </c>
      <c r="P295" t="e">
        <v>#N/A</v>
      </c>
      <c r="Q295" t="e">
        <v>#N/A</v>
      </c>
      <c r="R295" t="e">
        <v>#N/A</v>
      </c>
      <c r="S295" t="e">
        <v>#N/A</v>
      </c>
      <c r="T295" t="e">
        <v>#N/A</v>
      </c>
      <c r="U295" t="e">
        <v>#N/A</v>
      </c>
      <c r="V295" t="e">
        <v>#N/A</v>
      </c>
    </row>
    <row r="296" spans="1:22" x14ac:dyDescent="0.25">
      <c r="A296">
        <v>17424479</v>
      </c>
      <c r="B296" t="s">
        <v>430</v>
      </c>
      <c r="C296">
        <v>31</v>
      </c>
      <c r="G296" t="e" cm="1">
        <v>#N/A</v>
      </c>
      <c r="H296" t="s">
        <v>14</v>
      </c>
      <c r="I296" t="s">
        <v>14</v>
      </c>
      <c r="J296" t="s">
        <v>32</v>
      </c>
      <c r="K296" t="s">
        <v>44</v>
      </c>
      <c r="L296" t="s">
        <v>59</v>
      </c>
      <c r="M296" t="s">
        <v>76</v>
      </c>
      <c r="N296" t="s">
        <v>83</v>
      </c>
      <c r="P296" t="s">
        <v>14</v>
      </c>
      <c r="Q296" t="s">
        <v>14</v>
      </c>
      <c r="R296" t="s">
        <v>14</v>
      </c>
      <c r="S296" t="s">
        <v>494</v>
      </c>
      <c r="T296" t="s">
        <v>14</v>
      </c>
      <c r="U296" t="s">
        <v>14</v>
      </c>
      <c r="V296">
        <v>0</v>
      </c>
    </row>
    <row r="297" spans="1:22" x14ac:dyDescent="0.25">
      <c r="A297">
        <v>17425787</v>
      </c>
      <c r="B297" t="s" cm="1">
        <v>433</v>
      </c>
      <c r="C297">
        <v>31</v>
      </c>
      <c r="G297" t="e" cm="1">
        <v>#N/A</v>
      </c>
      <c r="H297" t="s">
        <v>14</v>
      </c>
      <c r="I297" t="s">
        <v>14</v>
      </c>
      <c r="J297" t="s">
        <v>30</v>
      </c>
      <c r="K297" t="s">
        <v>52</v>
      </c>
      <c r="L297" t="s">
        <v>394</v>
      </c>
      <c r="M297" t="s">
        <v>76</v>
      </c>
      <c r="N297" t="s">
        <v>83</v>
      </c>
      <c r="P297" t="s">
        <v>14</v>
      </c>
      <c r="Q297" t="s">
        <v>14</v>
      </c>
      <c r="R297" t="s">
        <v>14</v>
      </c>
      <c r="S297" t="s">
        <v>14</v>
      </c>
      <c r="T297" t="s">
        <v>14</v>
      </c>
      <c r="U297" t="s">
        <v>543</v>
      </c>
      <c r="V297">
        <v>0</v>
      </c>
    </row>
    <row r="298" spans="1:22" x14ac:dyDescent="0.25">
      <c r="A298">
        <v>17427157</v>
      </c>
      <c r="B298" t="s" cm="1">
        <v>430</v>
      </c>
      <c r="C298">
        <v>31</v>
      </c>
      <c r="G298" t="s" cm="1">
        <v>442</v>
      </c>
      <c r="H298" t="s">
        <v>14</v>
      </c>
      <c r="I298" t="s">
        <v>14</v>
      </c>
      <c r="J298" t="s">
        <v>30</v>
      </c>
      <c r="K298" t="s">
        <v>44</v>
      </c>
      <c r="L298" t="s">
        <v>1497</v>
      </c>
      <c r="M298" t="s">
        <v>76</v>
      </c>
      <c r="N298" t="s">
        <v>83</v>
      </c>
      <c r="P298" t="s">
        <v>14</v>
      </c>
      <c r="Q298" t="s">
        <v>14</v>
      </c>
      <c r="R298" t="s">
        <v>14</v>
      </c>
      <c r="S298" t="s">
        <v>588</v>
      </c>
      <c r="T298" t="s">
        <v>14</v>
      </c>
      <c r="U298" t="s">
        <v>589</v>
      </c>
      <c r="V298">
        <v>0</v>
      </c>
    </row>
    <row r="299" spans="1:22" x14ac:dyDescent="0.25">
      <c r="A299">
        <v>17427684</v>
      </c>
      <c r="B299" t="s" cm="1">
        <v>430</v>
      </c>
      <c r="C299">
        <v>31</v>
      </c>
      <c r="G299" t="e" cm="1">
        <v>#N/A</v>
      </c>
      <c r="H299" t="s">
        <v>14</v>
      </c>
      <c r="I299" t="s">
        <v>14</v>
      </c>
      <c r="J299" t="s">
        <v>30</v>
      </c>
      <c r="K299" t="s">
        <v>44</v>
      </c>
      <c r="L299" t="s">
        <v>63</v>
      </c>
      <c r="M299" t="s">
        <v>76</v>
      </c>
      <c r="N299" t="s">
        <v>83</v>
      </c>
      <c r="P299" t="s">
        <v>14</v>
      </c>
      <c r="Q299" t="s">
        <v>14</v>
      </c>
      <c r="R299" t="s">
        <v>14</v>
      </c>
      <c r="S299" t="s">
        <v>590</v>
      </c>
      <c r="T299" t="s">
        <v>14</v>
      </c>
      <c r="U299" t="s">
        <v>561</v>
      </c>
      <c r="V299">
        <v>0</v>
      </c>
    </row>
    <row r="300" spans="1:22" x14ac:dyDescent="0.25">
      <c r="A300">
        <v>17429644</v>
      </c>
      <c r="B300" t="s">
        <v>430</v>
      </c>
      <c r="C300">
        <v>29</v>
      </c>
      <c r="G300" t="e" cm="1">
        <v>#N/A</v>
      </c>
      <c r="H300" t="s">
        <v>14</v>
      </c>
      <c r="I300" t="s">
        <v>14</v>
      </c>
      <c r="J300" t="s">
        <v>24</v>
      </c>
      <c r="K300" t="s">
        <v>44</v>
      </c>
      <c r="L300" t="s">
        <v>1498</v>
      </c>
      <c r="M300" t="s">
        <v>78</v>
      </c>
      <c r="N300" t="s">
        <v>83</v>
      </c>
      <c r="P300" t="s">
        <v>562</v>
      </c>
      <c r="Q300" t="s">
        <v>14</v>
      </c>
      <c r="R300" t="s">
        <v>14</v>
      </c>
      <c r="S300" t="s">
        <v>14</v>
      </c>
      <c r="T300" t="s">
        <v>14</v>
      </c>
      <c r="U300" t="s">
        <v>14</v>
      </c>
      <c r="V300">
        <v>0</v>
      </c>
    </row>
    <row r="301" spans="1:22" x14ac:dyDescent="0.25">
      <c r="A301">
        <v>13114065</v>
      </c>
      <c r="B301" t="s">
        <v>433</v>
      </c>
      <c r="C301">
        <v>28</v>
      </c>
      <c r="G301" t="e" cm="1">
        <v>#N/A</v>
      </c>
      <c r="H301">
        <v>45243</v>
      </c>
      <c r="I301" t="s">
        <v>15</v>
      </c>
      <c r="J301" t="s">
        <v>18</v>
      </c>
      <c r="K301" t="s">
        <v>44</v>
      </c>
      <c r="L301" t="s">
        <v>1341</v>
      </c>
      <c r="M301" t="s">
        <v>76</v>
      </c>
      <c r="N301" t="s">
        <v>423</v>
      </c>
      <c r="O301" t="s">
        <v>431</v>
      </c>
      <c r="P301" t="e">
        <v>#N/A</v>
      </c>
      <c r="Q301" t="e">
        <v>#N/A</v>
      </c>
      <c r="R301" t="e">
        <v>#N/A</v>
      </c>
      <c r="S301" t="e">
        <v>#N/A</v>
      </c>
      <c r="T301" t="e">
        <v>#N/A</v>
      </c>
      <c r="U301" t="e">
        <v>#N/A</v>
      </c>
      <c r="V301" t="e">
        <v>#N/A</v>
      </c>
    </row>
    <row r="302" spans="1:22" x14ac:dyDescent="0.25">
      <c r="A302">
        <v>15248489</v>
      </c>
      <c r="B302" t="s" cm="1">
        <v>430</v>
      </c>
      <c r="C302">
        <v>28</v>
      </c>
      <c r="G302" t="s" cm="1">
        <v>442</v>
      </c>
      <c r="H302" t="s">
        <v>14</v>
      </c>
      <c r="I302" t="s">
        <v>14</v>
      </c>
      <c r="J302" t="s">
        <v>30</v>
      </c>
      <c r="K302" t="s">
        <v>52</v>
      </c>
      <c r="L302" t="s">
        <v>395</v>
      </c>
      <c r="M302" t="s">
        <v>76</v>
      </c>
      <c r="N302" t="s">
        <v>83</v>
      </c>
      <c r="P302" t="s">
        <v>14</v>
      </c>
      <c r="Q302" t="s">
        <v>14</v>
      </c>
      <c r="R302" t="s">
        <v>14</v>
      </c>
      <c r="S302" t="s">
        <v>14</v>
      </c>
      <c r="T302" t="s">
        <v>14</v>
      </c>
      <c r="U302" t="s">
        <v>791</v>
      </c>
      <c r="V302" t="s">
        <v>1051</v>
      </c>
    </row>
    <row r="303" spans="1:22" x14ac:dyDescent="0.25">
      <c r="A303">
        <v>16189331</v>
      </c>
      <c r="B303" t="s">
        <v>430</v>
      </c>
      <c r="C303">
        <v>28</v>
      </c>
      <c r="G303" t="e" cm="1">
        <v>#N/A</v>
      </c>
      <c r="H303" t="s">
        <v>14</v>
      </c>
      <c r="I303" t="s">
        <v>14</v>
      </c>
      <c r="J303" t="s">
        <v>27</v>
      </c>
      <c r="K303" t="s">
        <v>43</v>
      </c>
      <c r="L303" t="s">
        <v>1499</v>
      </c>
      <c r="M303" t="s">
        <v>76</v>
      </c>
      <c r="N303" t="s">
        <v>83</v>
      </c>
      <c r="P303" t="s">
        <v>14</v>
      </c>
      <c r="Q303" t="s">
        <v>14</v>
      </c>
      <c r="R303" t="s">
        <v>14</v>
      </c>
      <c r="S303" t="s">
        <v>653</v>
      </c>
      <c r="T303" t="s">
        <v>14</v>
      </c>
      <c r="U303" t="s">
        <v>654</v>
      </c>
      <c r="V303" t="s">
        <v>1074</v>
      </c>
    </row>
    <row r="304" spans="1:22" x14ac:dyDescent="0.25">
      <c r="A304">
        <v>16247382</v>
      </c>
      <c r="B304" t="s">
        <v>433</v>
      </c>
      <c r="C304">
        <v>28</v>
      </c>
      <c r="G304" t="e" cm="1">
        <v>#N/A</v>
      </c>
      <c r="H304" t="s">
        <v>14</v>
      </c>
      <c r="I304" t="s">
        <v>380</v>
      </c>
      <c r="J304" t="s">
        <v>384</v>
      </c>
      <c r="K304" t="s">
        <v>43</v>
      </c>
      <c r="L304" t="s">
        <v>1500</v>
      </c>
      <c r="M304" t="s">
        <v>76</v>
      </c>
      <c r="N304" t="s">
        <v>83</v>
      </c>
      <c r="P304" t="s">
        <v>14</v>
      </c>
      <c r="Q304" t="s">
        <v>14</v>
      </c>
      <c r="R304" t="s">
        <v>14</v>
      </c>
      <c r="S304" t="s">
        <v>711</v>
      </c>
      <c r="T304" t="s">
        <v>14</v>
      </c>
      <c r="U304" t="s">
        <v>14</v>
      </c>
      <c r="V304" t="s">
        <v>1077</v>
      </c>
    </row>
    <row r="305" spans="1:22" x14ac:dyDescent="0.25">
      <c r="A305">
        <v>16247398</v>
      </c>
      <c r="B305" t="s">
        <v>433</v>
      </c>
      <c r="C305">
        <v>28</v>
      </c>
      <c r="G305" t="e" cm="1">
        <v>#N/A</v>
      </c>
      <c r="H305" t="s">
        <v>14</v>
      </c>
      <c r="I305" t="s">
        <v>380</v>
      </c>
      <c r="J305" t="s">
        <v>1412</v>
      </c>
      <c r="K305" t="s">
        <v>43</v>
      </c>
      <c r="L305" t="s">
        <v>1501</v>
      </c>
      <c r="M305" t="s">
        <v>76</v>
      </c>
      <c r="N305" t="s">
        <v>83</v>
      </c>
      <c r="P305" t="s">
        <v>14</v>
      </c>
      <c r="Q305" t="s">
        <v>14</v>
      </c>
      <c r="R305" t="s">
        <v>14</v>
      </c>
      <c r="S305" t="s">
        <v>565</v>
      </c>
      <c r="T305" t="s">
        <v>14</v>
      </c>
      <c r="U305" t="s">
        <v>14</v>
      </c>
      <c r="V305" t="s">
        <v>1078</v>
      </c>
    </row>
    <row r="306" spans="1:22" x14ac:dyDescent="0.25">
      <c r="A306">
        <v>16380244</v>
      </c>
      <c r="B306" t="s">
        <v>433</v>
      </c>
      <c r="C306">
        <v>28</v>
      </c>
      <c r="G306" t="s" cm="1">
        <v>442</v>
      </c>
      <c r="H306">
        <v>45266</v>
      </c>
      <c r="I306" t="s">
        <v>15</v>
      </c>
      <c r="J306" t="s">
        <v>26</v>
      </c>
      <c r="K306" t="s">
        <v>44</v>
      </c>
      <c r="L306" t="s">
        <v>1502</v>
      </c>
      <c r="M306" t="s">
        <v>78</v>
      </c>
      <c r="N306" t="s">
        <v>1597</v>
      </c>
      <c r="O306" t="s">
        <v>431</v>
      </c>
      <c r="P306" t="e">
        <v>#N/A</v>
      </c>
      <c r="Q306" t="e">
        <v>#N/A</v>
      </c>
      <c r="R306" t="e">
        <v>#N/A</v>
      </c>
      <c r="S306" t="e">
        <v>#N/A</v>
      </c>
      <c r="T306" t="e">
        <v>#N/A</v>
      </c>
      <c r="U306" t="e">
        <v>#N/A</v>
      </c>
      <c r="V306" t="e">
        <v>#N/A</v>
      </c>
    </row>
    <row r="307" spans="1:22" x14ac:dyDescent="0.25">
      <c r="A307">
        <v>16935601</v>
      </c>
      <c r="B307" t="s" cm="1">
        <v>430</v>
      </c>
      <c r="C307">
        <v>28</v>
      </c>
      <c r="G307" t="s" cm="1">
        <v>442</v>
      </c>
      <c r="H307" t="s">
        <v>14</v>
      </c>
      <c r="I307" t="s">
        <v>14</v>
      </c>
      <c r="J307" t="s">
        <v>30</v>
      </c>
      <c r="K307" t="s">
        <v>44</v>
      </c>
      <c r="L307" t="s">
        <v>1503</v>
      </c>
      <c r="M307" t="s">
        <v>78</v>
      </c>
      <c r="N307" t="s">
        <v>83</v>
      </c>
      <c r="P307" t="s">
        <v>14</v>
      </c>
      <c r="Q307" t="s">
        <v>14</v>
      </c>
      <c r="R307" t="s">
        <v>14</v>
      </c>
      <c r="S307" t="s">
        <v>483</v>
      </c>
      <c r="T307" t="s">
        <v>14</v>
      </c>
      <c r="U307" t="s">
        <v>14</v>
      </c>
      <c r="V307" t="s">
        <v>1137</v>
      </c>
    </row>
    <row r="308" spans="1:22" x14ac:dyDescent="0.25">
      <c r="A308">
        <v>17154667</v>
      </c>
      <c r="B308" t="s">
        <v>430</v>
      </c>
      <c r="C308">
        <v>28</v>
      </c>
      <c r="G308" t="s" cm="1">
        <v>442</v>
      </c>
      <c r="H308" t="s">
        <v>14</v>
      </c>
      <c r="I308" t="s">
        <v>14</v>
      </c>
      <c r="J308" t="s">
        <v>32</v>
      </c>
      <c r="K308" t="s">
        <v>44</v>
      </c>
      <c r="L308" t="s">
        <v>733</v>
      </c>
      <c r="M308" t="s">
        <v>78</v>
      </c>
      <c r="N308" t="s">
        <v>83</v>
      </c>
      <c r="P308" t="s">
        <v>14</v>
      </c>
      <c r="Q308" t="s">
        <v>14</v>
      </c>
      <c r="R308" t="s">
        <v>14</v>
      </c>
      <c r="S308" t="s">
        <v>14</v>
      </c>
      <c r="T308" t="s">
        <v>14</v>
      </c>
      <c r="U308" t="s">
        <v>637</v>
      </c>
      <c r="V308" t="s">
        <v>1188</v>
      </c>
    </row>
    <row r="309" spans="1:22" x14ac:dyDescent="0.25">
      <c r="A309">
        <v>17432052</v>
      </c>
      <c r="B309" t="s">
        <v>430</v>
      </c>
      <c r="C309">
        <v>28</v>
      </c>
      <c r="D309" t="s">
        <v>452</v>
      </c>
      <c r="E309" t="s">
        <v>1728</v>
      </c>
      <c r="F309" t="s">
        <v>451</v>
      </c>
      <c r="G309" t="e" cm="1">
        <v>#N/A</v>
      </c>
      <c r="H309" t="s">
        <v>14</v>
      </c>
      <c r="I309" t="s">
        <v>14</v>
      </c>
      <c r="J309" t="s">
        <v>21</v>
      </c>
      <c r="K309" t="s">
        <v>52</v>
      </c>
      <c r="L309" t="s">
        <v>396</v>
      </c>
      <c r="M309" t="s">
        <v>76</v>
      </c>
      <c r="N309" t="s">
        <v>83</v>
      </c>
      <c r="P309" t="s">
        <v>14</v>
      </c>
      <c r="Q309" t="s">
        <v>14</v>
      </c>
      <c r="R309" t="s">
        <v>14</v>
      </c>
      <c r="S309" t="s">
        <v>563</v>
      </c>
      <c r="T309" t="s">
        <v>14</v>
      </c>
      <c r="U309" t="s">
        <v>564</v>
      </c>
      <c r="V309">
        <v>0</v>
      </c>
    </row>
    <row r="310" spans="1:22" x14ac:dyDescent="0.25">
      <c r="A310">
        <v>10647900</v>
      </c>
      <c r="B310" t="s">
        <v>433</v>
      </c>
      <c r="C310">
        <v>27</v>
      </c>
      <c r="G310" t="s" cm="1">
        <v>442</v>
      </c>
      <c r="H310">
        <v>45244</v>
      </c>
      <c r="I310" t="s">
        <v>15</v>
      </c>
      <c r="J310" t="s">
        <v>18</v>
      </c>
      <c r="K310" t="s">
        <v>44</v>
      </c>
      <c r="L310" t="s">
        <v>737</v>
      </c>
      <c r="M310" t="s">
        <v>1539</v>
      </c>
      <c r="N310" t="s">
        <v>429</v>
      </c>
      <c r="O310" t="s">
        <v>431</v>
      </c>
      <c r="P310" t="e">
        <v>#N/A</v>
      </c>
      <c r="Q310" t="e">
        <v>#N/A</v>
      </c>
      <c r="R310" t="e">
        <v>#N/A</v>
      </c>
      <c r="S310" t="e">
        <v>#N/A</v>
      </c>
      <c r="T310" t="e">
        <v>#N/A</v>
      </c>
      <c r="U310" t="e">
        <v>#N/A</v>
      </c>
      <c r="V310" t="e">
        <v>#N/A</v>
      </c>
    </row>
    <row r="311" spans="1:22" x14ac:dyDescent="0.25">
      <c r="A311">
        <v>17067968</v>
      </c>
      <c r="B311" t="s">
        <v>433</v>
      </c>
      <c r="C311">
        <v>27</v>
      </c>
      <c r="G311" t="e" cm="1">
        <v>#N/A</v>
      </c>
      <c r="H311">
        <v>45244</v>
      </c>
      <c r="I311" t="s">
        <v>15</v>
      </c>
      <c r="J311" t="s">
        <v>31</v>
      </c>
      <c r="K311" t="s">
        <v>44</v>
      </c>
      <c r="L311" t="s">
        <v>1504</v>
      </c>
      <c r="M311" t="s">
        <v>76</v>
      </c>
      <c r="N311" t="s">
        <v>1598</v>
      </c>
      <c r="O311" t="s">
        <v>431</v>
      </c>
      <c r="P311" t="e">
        <v>#N/A</v>
      </c>
      <c r="Q311" t="e">
        <v>#N/A</v>
      </c>
      <c r="R311" t="e">
        <v>#N/A</v>
      </c>
      <c r="S311" t="e">
        <v>#N/A</v>
      </c>
      <c r="T311" t="e">
        <v>#N/A</v>
      </c>
      <c r="U311" t="e">
        <v>#N/A</v>
      </c>
      <c r="V311" t="e">
        <v>#N/A</v>
      </c>
    </row>
    <row r="312" spans="1:22" x14ac:dyDescent="0.25">
      <c r="A312">
        <v>17436808</v>
      </c>
      <c r="B312" t="s" cm="1">
        <v>430</v>
      </c>
      <c r="C312">
        <v>27</v>
      </c>
      <c r="G312" t="s" cm="1">
        <v>442</v>
      </c>
      <c r="H312" t="s">
        <v>14</v>
      </c>
      <c r="I312" t="s">
        <v>14</v>
      </c>
      <c r="J312" t="s">
        <v>26</v>
      </c>
      <c r="K312" t="s">
        <v>43</v>
      </c>
      <c r="L312" t="s">
        <v>1336</v>
      </c>
      <c r="M312" t="s">
        <v>78</v>
      </c>
      <c r="N312" t="s">
        <v>83</v>
      </c>
      <c r="P312" t="s">
        <v>14</v>
      </c>
      <c r="Q312" t="s">
        <v>14</v>
      </c>
      <c r="R312" t="s">
        <v>14</v>
      </c>
      <c r="S312" t="s">
        <v>495</v>
      </c>
      <c r="T312" t="s">
        <v>14</v>
      </c>
      <c r="U312" t="s">
        <v>14</v>
      </c>
      <c r="V312">
        <v>0</v>
      </c>
    </row>
    <row r="313" spans="1:22" x14ac:dyDescent="0.25">
      <c r="A313">
        <v>17442226</v>
      </c>
      <c r="B313" t="s" cm="1">
        <v>430</v>
      </c>
      <c r="C313">
        <v>27</v>
      </c>
      <c r="D313" t="s">
        <v>452</v>
      </c>
      <c r="E313">
        <v>45274</v>
      </c>
      <c r="F313" t="s">
        <v>1608</v>
      </c>
      <c r="G313" t="e" cm="1">
        <v>#N/A</v>
      </c>
      <c r="H313" t="s">
        <v>14</v>
      </c>
      <c r="I313" t="s">
        <v>14</v>
      </c>
      <c r="J313" t="s">
        <v>18</v>
      </c>
      <c r="K313" t="s">
        <v>44</v>
      </c>
      <c r="L313" t="s">
        <v>55</v>
      </c>
      <c r="M313" t="s">
        <v>76</v>
      </c>
      <c r="N313" t="s">
        <v>83</v>
      </c>
      <c r="P313" t="s">
        <v>14</v>
      </c>
      <c r="Q313" t="s">
        <v>14</v>
      </c>
      <c r="R313" t="s">
        <v>14</v>
      </c>
      <c r="S313" t="s">
        <v>496</v>
      </c>
      <c r="T313" t="s">
        <v>14</v>
      </c>
      <c r="U313" t="s">
        <v>14</v>
      </c>
      <c r="V313">
        <v>0</v>
      </c>
    </row>
    <row r="314" spans="1:22" x14ac:dyDescent="0.25">
      <c r="A314">
        <v>16193614</v>
      </c>
      <c r="B314" t="s" cm="1">
        <v>430</v>
      </c>
      <c r="C314">
        <v>26</v>
      </c>
      <c r="D314" t="s">
        <v>452</v>
      </c>
      <c r="E314">
        <v>45274</v>
      </c>
      <c r="F314" t="s">
        <v>1608</v>
      </c>
      <c r="G314" t="e" cm="1">
        <v>#N/A</v>
      </c>
      <c r="H314" t="s">
        <v>14</v>
      </c>
      <c r="I314" t="s">
        <v>14</v>
      </c>
      <c r="J314" t="s">
        <v>18</v>
      </c>
      <c r="K314" t="s">
        <v>44</v>
      </c>
      <c r="L314" t="s">
        <v>1505</v>
      </c>
      <c r="M314" t="s">
        <v>76</v>
      </c>
      <c r="N314" t="s">
        <v>83</v>
      </c>
      <c r="P314" t="s">
        <v>14</v>
      </c>
      <c r="Q314" t="s">
        <v>14</v>
      </c>
      <c r="R314" t="s">
        <v>14</v>
      </c>
      <c r="S314" t="s">
        <v>806</v>
      </c>
      <c r="T314" t="s">
        <v>14</v>
      </c>
      <c r="U314" t="s">
        <v>14</v>
      </c>
      <c r="V314" t="s">
        <v>1075</v>
      </c>
    </row>
    <row r="315" spans="1:22" x14ac:dyDescent="0.25">
      <c r="A315">
        <v>16976031</v>
      </c>
      <c r="B315" t="s" cm="1">
        <v>430</v>
      </c>
      <c r="C315">
        <v>26</v>
      </c>
      <c r="G315" t="s" cm="1">
        <v>442</v>
      </c>
      <c r="H315" t="s">
        <v>14</v>
      </c>
      <c r="I315" t="s">
        <v>14</v>
      </c>
      <c r="J315" t="s">
        <v>30</v>
      </c>
      <c r="K315" t="s">
        <v>48</v>
      </c>
      <c r="L315" t="s">
        <v>74</v>
      </c>
      <c r="M315" t="s">
        <v>76</v>
      </c>
      <c r="N315" t="s">
        <v>83</v>
      </c>
      <c r="P315" t="s">
        <v>14</v>
      </c>
      <c r="Q315" t="s">
        <v>14</v>
      </c>
      <c r="R315" t="s">
        <v>14</v>
      </c>
      <c r="S315" t="s">
        <v>511</v>
      </c>
      <c r="T315" t="s">
        <v>14</v>
      </c>
      <c r="U315" t="s">
        <v>512</v>
      </c>
      <c r="V315" t="s">
        <v>1143</v>
      </c>
    </row>
    <row r="316" spans="1:22" x14ac:dyDescent="0.25">
      <c r="A316">
        <v>16992541</v>
      </c>
      <c r="B316" t="s" cm="1">
        <v>430</v>
      </c>
      <c r="C316">
        <v>26</v>
      </c>
      <c r="G316" t="s" cm="1">
        <v>442</v>
      </c>
      <c r="H316" t="s">
        <v>14</v>
      </c>
      <c r="I316" t="s">
        <v>14</v>
      </c>
      <c r="J316" t="s">
        <v>30</v>
      </c>
      <c r="K316" t="s">
        <v>506</v>
      </c>
      <c r="L316" t="s">
        <v>740</v>
      </c>
      <c r="M316" t="s">
        <v>76</v>
      </c>
      <c r="N316" t="s">
        <v>83</v>
      </c>
      <c r="P316" t="s">
        <v>14</v>
      </c>
      <c r="Q316" t="s">
        <v>477</v>
      </c>
      <c r="R316" t="s">
        <v>477</v>
      </c>
      <c r="S316" t="s">
        <v>14</v>
      </c>
      <c r="T316" t="s">
        <v>478</v>
      </c>
      <c r="U316" t="s">
        <v>14</v>
      </c>
      <c r="V316" t="s">
        <v>1146</v>
      </c>
    </row>
    <row r="317" spans="1:22" x14ac:dyDescent="0.25">
      <c r="A317">
        <v>17142899</v>
      </c>
      <c r="B317" t="s">
        <v>433</v>
      </c>
      <c r="C317">
        <v>26</v>
      </c>
      <c r="G317" t="s" cm="1">
        <v>442</v>
      </c>
      <c r="H317">
        <v>45245</v>
      </c>
      <c r="I317" t="s">
        <v>15</v>
      </c>
      <c r="J317" t="s">
        <v>22</v>
      </c>
      <c r="K317" t="s">
        <v>44</v>
      </c>
      <c r="L317" t="s">
        <v>764</v>
      </c>
      <c r="M317" t="s">
        <v>76</v>
      </c>
      <c r="N317" t="s">
        <v>1591</v>
      </c>
      <c r="O317" t="s">
        <v>431</v>
      </c>
      <c r="P317" t="e">
        <v>#N/A</v>
      </c>
      <c r="Q317" t="e">
        <v>#N/A</v>
      </c>
      <c r="R317" t="e">
        <v>#N/A</v>
      </c>
      <c r="S317" t="e">
        <v>#N/A</v>
      </c>
      <c r="T317" t="e">
        <v>#N/A</v>
      </c>
      <c r="U317" t="e">
        <v>#N/A</v>
      </c>
      <c r="V317" t="e">
        <v>#N/A</v>
      </c>
    </row>
    <row r="318" spans="1:22" x14ac:dyDescent="0.25">
      <c r="A318">
        <v>17150360</v>
      </c>
      <c r="B318" t="s">
        <v>433</v>
      </c>
      <c r="C318">
        <v>26</v>
      </c>
      <c r="G318" t="s" cm="1">
        <v>442</v>
      </c>
      <c r="H318">
        <v>45251</v>
      </c>
      <c r="I318" t="s">
        <v>15</v>
      </c>
      <c r="J318" t="s">
        <v>20</v>
      </c>
      <c r="K318" t="s">
        <v>44</v>
      </c>
      <c r="L318" t="s">
        <v>765</v>
      </c>
      <c r="M318" t="s">
        <v>78</v>
      </c>
      <c r="N318" t="s">
        <v>1357</v>
      </c>
      <c r="O318" t="s">
        <v>431</v>
      </c>
      <c r="P318" t="e">
        <v>#N/A</v>
      </c>
      <c r="Q318" t="e">
        <v>#N/A</v>
      </c>
      <c r="R318" t="e">
        <v>#N/A</v>
      </c>
      <c r="S318" t="e">
        <v>#N/A</v>
      </c>
      <c r="T318" t="e">
        <v>#N/A</v>
      </c>
      <c r="U318" t="e">
        <v>#N/A</v>
      </c>
      <c r="V318" t="e">
        <v>#N/A</v>
      </c>
    </row>
    <row r="319" spans="1:22" x14ac:dyDescent="0.25">
      <c r="A319">
        <v>17444588</v>
      </c>
      <c r="B319" t="s">
        <v>430</v>
      </c>
      <c r="C319">
        <v>26</v>
      </c>
      <c r="D319" t="s">
        <v>452</v>
      </c>
      <c r="E319" t="s">
        <v>1728</v>
      </c>
      <c r="F319" t="s">
        <v>451</v>
      </c>
      <c r="G319" t="e" cm="1">
        <v>#N/A</v>
      </c>
      <c r="H319" t="s">
        <v>14</v>
      </c>
      <c r="I319" t="s">
        <v>14</v>
      </c>
      <c r="J319" t="s">
        <v>21</v>
      </c>
      <c r="K319" t="s">
        <v>44</v>
      </c>
      <c r="L319" t="s">
        <v>396</v>
      </c>
      <c r="M319" t="s">
        <v>76</v>
      </c>
      <c r="N319" t="s">
        <v>83</v>
      </c>
      <c r="P319" t="s">
        <v>14</v>
      </c>
      <c r="Q319" t="s">
        <v>14</v>
      </c>
      <c r="R319" t="s">
        <v>14</v>
      </c>
      <c r="S319" t="s">
        <v>566</v>
      </c>
      <c r="T319" t="s">
        <v>14</v>
      </c>
      <c r="U319" t="s">
        <v>14</v>
      </c>
      <c r="V319">
        <v>0</v>
      </c>
    </row>
    <row r="320" spans="1:22" x14ac:dyDescent="0.25">
      <c r="A320">
        <v>17446104</v>
      </c>
      <c r="B320" t="s">
        <v>430</v>
      </c>
      <c r="C320">
        <v>26</v>
      </c>
      <c r="D320" t="s">
        <v>452</v>
      </c>
      <c r="E320" t="s">
        <v>1728</v>
      </c>
      <c r="F320" t="s">
        <v>451</v>
      </c>
      <c r="G320" t="e" cm="1">
        <v>#N/A</v>
      </c>
      <c r="H320" t="s">
        <v>14</v>
      </c>
      <c r="I320" t="s">
        <v>14</v>
      </c>
      <c r="J320" t="s">
        <v>21</v>
      </c>
      <c r="K320" t="s">
        <v>43</v>
      </c>
      <c r="L320" t="s">
        <v>396</v>
      </c>
      <c r="M320" t="s">
        <v>76</v>
      </c>
      <c r="N320" t="s">
        <v>83</v>
      </c>
      <c r="P320" t="s">
        <v>14</v>
      </c>
      <c r="Q320" t="s">
        <v>14</v>
      </c>
      <c r="R320" t="s">
        <v>14</v>
      </c>
      <c r="S320" t="s">
        <v>1733</v>
      </c>
      <c r="T320" t="s">
        <v>14</v>
      </c>
      <c r="U320" t="s">
        <v>14</v>
      </c>
      <c r="V320">
        <v>0</v>
      </c>
    </row>
    <row r="321" spans="1:22" x14ac:dyDescent="0.25">
      <c r="A321">
        <v>17448260</v>
      </c>
      <c r="B321" t="s" cm="1">
        <v>430</v>
      </c>
      <c r="C321">
        <v>26</v>
      </c>
      <c r="G321" t="e" cm="1">
        <v>#N/A</v>
      </c>
      <c r="H321" t="s">
        <v>14</v>
      </c>
      <c r="I321" t="s">
        <v>14</v>
      </c>
      <c r="J321" t="s">
        <v>30</v>
      </c>
      <c r="K321" t="s">
        <v>48</v>
      </c>
      <c r="L321" t="s">
        <v>393</v>
      </c>
      <c r="M321" t="s">
        <v>78</v>
      </c>
      <c r="N321" t="s">
        <v>83</v>
      </c>
      <c r="P321" t="s">
        <v>14</v>
      </c>
      <c r="Q321" t="s">
        <v>14</v>
      </c>
      <c r="R321" t="s">
        <v>14</v>
      </c>
      <c r="S321" t="s">
        <v>1734</v>
      </c>
      <c r="T321" t="s">
        <v>14</v>
      </c>
      <c r="U321" t="s">
        <v>14</v>
      </c>
      <c r="V321">
        <v>0</v>
      </c>
    </row>
    <row r="322" spans="1:22" x14ac:dyDescent="0.25">
      <c r="A322">
        <v>17448814</v>
      </c>
      <c r="B322" t="s" cm="1">
        <v>430</v>
      </c>
      <c r="C322">
        <v>26</v>
      </c>
      <c r="G322" t="e" cm="1">
        <v>#N/A</v>
      </c>
      <c r="H322" t="s">
        <v>14</v>
      </c>
      <c r="I322" t="s">
        <v>14</v>
      </c>
      <c r="J322" t="s">
        <v>30</v>
      </c>
      <c r="K322" t="s">
        <v>52</v>
      </c>
      <c r="L322" t="s">
        <v>74</v>
      </c>
      <c r="M322" t="s">
        <v>76</v>
      </c>
      <c r="N322" t="s">
        <v>83</v>
      </c>
      <c r="P322" t="s">
        <v>1735</v>
      </c>
      <c r="Q322" t="s">
        <v>14</v>
      </c>
      <c r="R322" t="s">
        <v>14</v>
      </c>
      <c r="S322" t="s">
        <v>1736</v>
      </c>
      <c r="T322" t="s">
        <v>14</v>
      </c>
      <c r="U322" t="s">
        <v>14</v>
      </c>
      <c r="V322">
        <v>0</v>
      </c>
    </row>
    <row r="323" spans="1:22" x14ac:dyDescent="0.25">
      <c r="A323">
        <v>17449036</v>
      </c>
      <c r="B323" t="s" cm="1">
        <v>430</v>
      </c>
      <c r="C323">
        <v>26</v>
      </c>
      <c r="D323" t="s">
        <v>452</v>
      </c>
      <c r="E323">
        <v>45274</v>
      </c>
      <c r="F323" t="s">
        <v>1608</v>
      </c>
      <c r="G323" t="e" cm="1">
        <v>#N/A</v>
      </c>
      <c r="H323" t="s">
        <v>14</v>
      </c>
      <c r="I323" t="s">
        <v>14</v>
      </c>
      <c r="J323" t="s">
        <v>22</v>
      </c>
      <c r="K323" t="s">
        <v>506</v>
      </c>
      <c r="L323" t="s">
        <v>63</v>
      </c>
      <c r="M323" t="s">
        <v>76</v>
      </c>
      <c r="N323" t="s">
        <v>83</v>
      </c>
      <c r="P323" t="s">
        <v>14</v>
      </c>
      <c r="Q323" t="s">
        <v>14</v>
      </c>
      <c r="R323" t="s">
        <v>14</v>
      </c>
      <c r="S323" t="s">
        <v>14</v>
      </c>
      <c r="T323" t="s">
        <v>14</v>
      </c>
      <c r="U323" t="s">
        <v>1737</v>
      </c>
      <c r="V323">
        <v>0</v>
      </c>
    </row>
    <row r="324" spans="1:22" x14ac:dyDescent="0.25">
      <c r="A324">
        <v>17449911</v>
      </c>
      <c r="B324" t="s" cm="1">
        <v>430</v>
      </c>
      <c r="C324">
        <v>26</v>
      </c>
      <c r="G324" t="e" cm="1">
        <v>#N/A</v>
      </c>
      <c r="H324" t="s">
        <v>14</v>
      </c>
      <c r="I324" t="s">
        <v>14</v>
      </c>
      <c r="J324" t="s">
        <v>30</v>
      </c>
      <c r="K324" t="s">
        <v>44</v>
      </c>
      <c r="L324" t="s">
        <v>58</v>
      </c>
      <c r="M324" t="s">
        <v>76</v>
      </c>
      <c r="N324" t="s">
        <v>83</v>
      </c>
      <c r="P324" t="s">
        <v>14</v>
      </c>
      <c r="Q324" t="s">
        <v>14</v>
      </c>
      <c r="R324" t="s">
        <v>14</v>
      </c>
      <c r="S324" t="s">
        <v>14</v>
      </c>
      <c r="T324" t="s">
        <v>14</v>
      </c>
      <c r="U324" t="s">
        <v>1738</v>
      </c>
      <c r="V324">
        <v>0</v>
      </c>
    </row>
    <row r="325" spans="1:22" x14ac:dyDescent="0.25">
      <c r="A325">
        <v>17450163</v>
      </c>
      <c r="B325" t="s">
        <v>433</v>
      </c>
      <c r="C325">
        <v>26</v>
      </c>
      <c r="G325" t="e" cm="1">
        <v>#N/A</v>
      </c>
      <c r="H325">
        <v>45268</v>
      </c>
      <c r="I325" t="s">
        <v>15</v>
      </c>
      <c r="J325" t="s">
        <v>27</v>
      </c>
      <c r="K325" t="s">
        <v>44</v>
      </c>
      <c r="L325" t="s">
        <v>86</v>
      </c>
      <c r="M325" t="s">
        <v>76</v>
      </c>
      <c r="N325" t="s">
        <v>1599</v>
      </c>
      <c r="O325" t="s">
        <v>431</v>
      </c>
      <c r="P325" t="e">
        <v>#N/A</v>
      </c>
      <c r="Q325" t="e">
        <v>#N/A</v>
      </c>
      <c r="R325" t="e">
        <v>#N/A</v>
      </c>
      <c r="S325" t="e">
        <v>#N/A</v>
      </c>
      <c r="T325" t="e">
        <v>#N/A</v>
      </c>
      <c r="U325" t="e">
        <v>#N/A</v>
      </c>
      <c r="V325" t="e">
        <v>#N/A</v>
      </c>
    </row>
    <row r="326" spans="1:22" x14ac:dyDescent="0.25">
      <c r="A326">
        <v>11152416</v>
      </c>
      <c r="B326" t="s">
        <v>433</v>
      </c>
      <c r="C326">
        <v>25</v>
      </c>
      <c r="G326" t="s" cm="1">
        <v>442</v>
      </c>
      <c r="H326">
        <v>45246</v>
      </c>
      <c r="I326" t="s">
        <v>15</v>
      </c>
      <c r="J326" t="s">
        <v>22</v>
      </c>
      <c r="K326" t="s">
        <v>44</v>
      </c>
      <c r="L326" t="s">
        <v>449</v>
      </c>
      <c r="M326" t="s">
        <v>76</v>
      </c>
      <c r="N326" t="s">
        <v>438</v>
      </c>
      <c r="O326" t="s">
        <v>431</v>
      </c>
      <c r="P326" t="e">
        <v>#N/A</v>
      </c>
      <c r="Q326" t="e">
        <v>#N/A</v>
      </c>
      <c r="R326" t="e">
        <v>#N/A</v>
      </c>
      <c r="S326" t="e">
        <v>#N/A</v>
      </c>
      <c r="T326" t="e">
        <v>#N/A</v>
      </c>
      <c r="U326" t="e">
        <v>#N/A</v>
      </c>
      <c r="V326" t="e">
        <v>#N/A</v>
      </c>
    </row>
    <row r="327" spans="1:22" x14ac:dyDescent="0.25">
      <c r="A327">
        <v>13449915</v>
      </c>
      <c r="B327" t="s">
        <v>433</v>
      </c>
      <c r="C327">
        <v>25</v>
      </c>
      <c r="G327" t="s" cm="1">
        <v>442</v>
      </c>
      <c r="H327">
        <v>45259</v>
      </c>
      <c r="I327" t="s">
        <v>15</v>
      </c>
      <c r="J327" t="s">
        <v>30</v>
      </c>
      <c r="K327" t="s">
        <v>44</v>
      </c>
      <c r="L327" t="s">
        <v>1506</v>
      </c>
      <c r="M327" t="s">
        <v>76</v>
      </c>
      <c r="N327" t="s">
        <v>425</v>
      </c>
      <c r="O327" t="s">
        <v>431</v>
      </c>
      <c r="P327" t="e">
        <v>#N/A</v>
      </c>
      <c r="Q327" t="e">
        <v>#N/A</v>
      </c>
      <c r="R327" t="e">
        <v>#N/A</v>
      </c>
      <c r="S327" t="e">
        <v>#N/A</v>
      </c>
      <c r="T327" t="e">
        <v>#N/A</v>
      </c>
      <c r="U327" t="e">
        <v>#N/A</v>
      </c>
      <c r="V327" t="e">
        <v>#N/A</v>
      </c>
    </row>
    <row r="328" spans="1:22" x14ac:dyDescent="0.25">
      <c r="A328">
        <v>16015473</v>
      </c>
      <c r="B328" t="s" cm="1">
        <v>430</v>
      </c>
      <c r="C328">
        <v>25</v>
      </c>
      <c r="G328" t="s" cm="1">
        <v>442</v>
      </c>
      <c r="H328" t="s">
        <v>14</v>
      </c>
      <c r="I328" t="s">
        <v>14</v>
      </c>
      <c r="J328" t="s">
        <v>30</v>
      </c>
      <c r="K328" t="s">
        <v>44</v>
      </c>
      <c r="L328" t="s">
        <v>1507</v>
      </c>
      <c r="M328" t="s">
        <v>78</v>
      </c>
      <c r="N328" t="s">
        <v>83</v>
      </c>
      <c r="P328" t="s">
        <v>14</v>
      </c>
      <c r="Q328" t="s">
        <v>14</v>
      </c>
      <c r="R328" t="s">
        <v>14</v>
      </c>
      <c r="S328" t="s">
        <v>802</v>
      </c>
      <c r="T328" t="s">
        <v>14</v>
      </c>
      <c r="U328" t="s">
        <v>803</v>
      </c>
      <c r="V328" t="s">
        <v>1069</v>
      </c>
    </row>
    <row r="329" spans="1:22" x14ac:dyDescent="0.25">
      <c r="A329">
        <v>16617212</v>
      </c>
      <c r="B329" t="s" cm="1">
        <v>430</v>
      </c>
      <c r="C329">
        <v>25</v>
      </c>
      <c r="G329" t="s" cm="1">
        <v>442</v>
      </c>
      <c r="H329" t="s">
        <v>14</v>
      </c>
      <c r="I329" t="s">
        <v>14</v>
      </c>
      <c r="J329" t="s">
        <v>30</v>
      </c>
      <c r="K329" t="s">
        <v>44</v>
      </c>
      <c r="L329" t="s">
        <v>1508</v>
      </c>
      <c r="M329" t="s">
        <v>78</v>
      </c>
      <c r="N329" t="s">
        <v>83</v>
      </c>
      <c r="P329" t="s">
        <v>14</v>
      </c>
      <c r="Q329" t="s">
        <v>14</v>
      </c>
      <c r="R329" t="s">
        <v>14</v>
      </c>
      <c r="S329" t="s">
        <v>14</v>
      </c>
      <c r="T329" t="s">
        <v>14</v>
      </c>
      <c r="U329" t="s">
        <v>14</v>
      </c>
      <c r="V329" t="s">
        <v>1095</v>
      </c>
    </row>
    <row r="330" spans="1:22" x14ac:dyDescent="0.25">
      <c r="A330">
        <v>16665867</v>
      </c>
      <c r="B330" t="s">
        <v>433</v>
      </c>
      <c r="C330">
        <v>25</v>
      </c>
      <c r="G330" t="s" cm="1">
        <v>442</v>
      </c>
      <c r="H330">
        <v>45265</v>
      </c>
      <c r="I330" t="s">
        <v>15</v>
      </c>
      <c r="J330" t="s">
        <v>30</v>
      </c>
      <c r="K330" t="s">
        <v>732</v>
      </c>
      <c r="L330" t="s">
        <v>1433</v>
      </c>
      <c r="M330" t="s">
        <v>76</v>
      </c>
      <c r="N330" t="s">
        <v>1596</v>
      </c>
      <c r="O330" t="s">
        <v>431</v>
      </c>
      <c r="P330" t="e">
        <v>#N/A</v>
      </c>
      <c r="Q330" t="e">
        <v>#N/A</v>
      </c>
      <c r="R330" t="e">
        <v>#N/A</v>
      </c>
      <c r="S330" t="e">
        <v>#N/A</v>
      </c>
      <c r="T330" t="e">
        <v>#N/A</v>
      </c>
      <c r="U330" t="e">
        <v>#N/A</v>
      </c>
      <c r="V330" t="e">
        <v>#N/A</v>
      </c>
    </row>
    <row r="331" spans="1:22" x14ac:dyDescent="0.25">
      <c r="A331">
        <v>16756201</v>
      </c>
      <c r="B331" t="s">
        <v>433</v>
      </c>
      <c r="C331">
        <v>25</v>
      </c>
      <c r="G331" t="s" cm="1">
        <v>442</v>
      </c>
      <c r="H331">
        <v>45246</v>
      </c>
      <c r="I331" t="s">
        <v>15</v>
      </c>
      <c r="J331" t="s">
        <v>33</v>
      </c>
      <c r="K331" t="s">
        <v>44</v>
      </c>
      <c r="L331" t="s">
        <v>60</v>
      </c>
      <c r="M331" t="s">
        <v>76</v>
      </c>
      <c r="N331" t="s">
        <v>438</v>
      </c>
      <c r="O331" t="s">
        <v>431</v>
      </c>
      <c r="P331" t="e">
        <v>#N/A</v>
      </c>
      <c r="Q331" t="e">
        <v>#N/A</v>
      </c>
      <c r="R331" t="e">
        <v>#N/A</v>
      </c>
      <c r="S331" t="e">
        <v>#N/A</v>
      </c>
      <c r="T331" t="e">
        <v>#N/A</v>
      </c>
      <c r="U331" t="e">
        <v>#N/A</v>
      </c>
      <c r="V331" t="e">
        <v>#N/A</v>
      </c>
    </row>
    <row r="332" spans="1:22" x14ac:dyDescent="0.25">
      <c r="A332">
        <v>17452870</v>
      </c>
      <c r="B332" t="s">
        <v>433</v>
      </c>
      <c r="C332">
        <v>25</v>
      </c>
      <c r="G332" t="e" cm="1">
        <v>#N/A</v>
      </c>
      <c r="H332">
        <v>45092</v>
      </c>
      <c r="I332" t="s">
        <v>15</v>
      </c>
      <c r="J332" t="s">
        <v>25</v>
      </c>
      <c r="K332" t="s">
        <v>44</v>
      </c>
      <c r="L332" t="s">
        <v>73</v>
      </c>
      <c r="M332" t="s">
        <v>76</v>
      </c>
      <c r="N332" t="s">
        <v>1600</v>
      </c>
      <c r="O332" t="s">
        <v>431</v>
      </c>
      <c r="P332" t="e">
        <v>#N/A</v>
      </c>
      <c r="Q332" t="e">
        <v>#N/A</v>
      </c>
      <c r="R332" t="e">
        <v>#N/A</v>
      </c>
      <c r="S332" t="e">
        <v>#N/A</v>
      </c>
      <c r="T332" t="e">
        <v>#N/A</v>
      </c>
      <c r="U332" t="e">
        <v>#N/A</v>
      </c>
      <c r="V332" t="e">
        <v>#N/A</v>
      </c>
    </row>
    <row r="333" spans="1:22" x14ac:dyDescent="0.25">
      <c r="A333">
        <v>17452883</v>
      </c>
      <c r="B333" t="s">
        <v>433</v>
      </c>
      <c r="C333">
        <v>25</v>
      </c>
      <c r="G333" t="s" cm="1">
        <v>442</v>
      </c>
      <c r="H333">
        <v>45250</v>
      </c>
      <c r="I333" t="s">
        <v>15</v>
      </c>
      <c r="J333" t="s">
        <v>18</v>
      </c>
      <c r="K333" t="s">
        <v>44</v>
      </c>
      <c r="L333" t="s">
        <v>69</v>
      </c>
      <c r="M333" t="s">
        <v>76</v>
      </c>
      <c r="N333" t="s">
        <v>1571</v>
      </c>
      <c r="O333" t="s">
        <v>431</v>
      </c>
      <c r="P333" t="e">
        <v>#N/A</v>
      </c>
      <c r="Q333" t="e">
        <v>#N/A</v>
      </c>
      <c r="R333" t="e">
        <v>#N/A</v>
      </c>
      <c r="S333" t="e">
        <v>#N/A</v>
      </c>
      <c r="T333" t="e">
        <v>#N/A</v>
      </c>
      <c r="U333" t="e">
        <v>#N/A</v>
      </c>
      <c r="V333" t="e">
        <v>#N/A</v>
      </c>
    </row>
    <row r="334" spans="1:22" x14ac:dyDescent="0.25">
      <c r="A334">
        <v>17453337</v>
      </c>
      <c r="B334" t="s" cm="1">
        <v>433</v>
      </c>
      <c r="C334">
        <v>25</v>
      </c>
      <c r="G334" t="s" cm="1">
        <v>442</v>
      </c>
      <c r="H334" t="s">
        <v>14</v>
      </c>
      <c r="I334" t="s">
        <v>14</v>
      </c>
      <c r="J334" t="s">
        <v>20</v>
      </c>
      <c r="K334" t="s">
        <v>44</v>
      </c>
      <c r="L334" t="s">
        <v>1509</v>
      </c>
      <c r="M334" t="s">
        <v>76</v>
      </c>
      <c r="N334" t="s">
        <v>83</v>
      </c>
      <c r="P334" t="s">
        <v>14</v>
      </c>
      <c r="Q334" t="s">
        <v>14</v>
      </c>
      <c r="R334" t="s">
        <v>14</v>
      </c>
      <c r="S334" t="s">
        <v>1739</v>
      </c>
      <c r="T334" t="s">
        <v>14</v>
      </c>
      <c r="U334" t="s">
        <v>1740</v>
      </c>
      <c r="V334">
        <v>0</v>
      </c>
    </row>
    <row r="335" spans="1:22" x14ac:dyDescent="0.25">
      <c r="A335">
        <v>17455416</v>
      </c>
      <c r="B335" t="s" cm="1">
        <v>430</v>
      </c>
      <c r="C335">
        <v>25</v>
      </c>
      <c r="D335" t="s">
        <v>1609</v>
      </c>
      <c r="E335">
        <v>45274</v>
      </c>
      <c r="F335" t="s">
        <v>1608</v>
      </c>
      <c r="G335" t="e" cm="1">
        <v>#N/A</v>
      </c>
      <c r="H335" t="s">
        <v>14</v>
      </c>
      <c r="I335" t="s">
        <v>14</v>
      </c>
      <c r="J335" t="s">
        <v>18</v>
      </c>
      <c r="K335" t="s">
        <v>44</v>
      </c>
      <c r="L335" t="s">
        <v>63</v>
      </c>
      <c r="M335" t="s">
        <v>411</v>
      </c>
      <c r="N335" t="s">
        <v>83</v>
      </c>
      <c r="P335" t="e">
        <v>#N/A</v>
      </c>
      <c r="Q335" t="e">
        <v>#N/A</v>
      </c>
      <c r="R335" t="e">
        <v>#N/A</v>
      </c>
      <c r="S335" t="e">
        <v>#N/A</v>
      </c>
      <c r="T335" t="e">
        <v>#N/A</v>
      </c>
      <c r="U335" t="e">
        <v>#N/A</v>
      </c>
      <c r="V335" t="e">
        <v>#N/A</v>
      </c>
    </row>
    <row r="336" spans="1:22" x14ac:dyDescent="0.25">
      <c r="A336">
        <v>17457623</v>
      </c>
      <c r="B336" t="s" cm="1">
        <v>430</v>
      </c>
      <c r="C336">
        <v>25</v>
      </c>
      <c r="D336" t="s">
        <v>452</v>
      </c>
      <c r="E336">
        <v>45271</v>
      </c>
      <c r="F336" t="s">
        <v>1741</v>
      </c>
      <c r="G336" t="e" cm="1">
        <v>#N/A</v>
      </c>
      <c r="H336" t="s">
        <v>14</v>
      </c>
      <c r="I336" t="s">
        <v>14</v>
      </c>
      <c r="J336" t="s">
        <v>18</v>
      </c>
      <c r="K336" t="s">
        <v>44</v>
      </c>
      <c r="L336" t="s">
        <v>1510</v>
      </c>
      <c r="M336" t="s">
        <v>599</v>
      </c>
      <c r="N336" t="s">
        <v>1601</v>
      </c>
      <c r="P336" t="e">
        <v>#N/A</v>
      </c>
      <c r="Q336" t="e">
        <v>#N/A</v>
      </c>
      <c r="R336" t="e">
        <v>#N/A</v>
      </c>
      <c r="S336" t="e">
        <v>#N/A</v>
      </c>
      <c r="T336" t="e">
        <v>#N/A</v>
      </c>
      <c r="U336" t="e">
        <v>#N/A</v>
      </c>
      <c r="V336" t="e">
        <v>#N/A</v>
      </c>
    </row>
    <row r="337" spans="1:22" x14ac:dyDescent="0.25">
      <c r="A337">
        <v>13733756</v>
      </c>
      <c r="B337" t="s" cm="1">
        <v>433</v>
      </c>
      <c r="C337">
        <v>24</v>
      </c>
      <c r="G337" t="s" cm="1">
        <v>442</v>
      </c>
      <c r="H337" t="s">
        <v>14</v>
      </c>
      <c r="I337" t="s">
        <v>14</v>
      </c>
      <c r="J337" t="s">
        <v>30</v>
      </c>
      <c r="K337" t="s">
        <v>44</v>
      </c>
      <c r="L337" t="s">
        <v>766</v>
      </c>
      <c r="M337" t="s">
        <v>78</v>
      </c>
      <c r="N337" t="s">
        <v>83</v>
      </c>
      <c r="P337" t="s">
        <v>14</v>
      </c>
      <c r="Q337" t="s">
        <v>14</v>
      </c>
      <c r="R337" t="s">
        <v>14</v>
      </c>
      <c r="S337" t="s">
        <v>619</v>
      </c>
      <c r="T337" t="s">
        <v>14</v>
      </c>
      <c r="U337" t="s">
        <v>14</v>
      </c>
      <c r="V337" t="s">
        <v>1034</v>
      </c>
    </row>
    <row r="338" spans="1:22" x14ac:dyDescent="0.25">
      <c r="A338">
        <v>13825590</v>
      </c>
      <c r="B338" t="s" cm="1">
        <v>433</v>
      </c>
      <c r="C338">
        <v>24</v>
      </c>
      <c r="G338" t="s" cm="1">
        <v>442</v>
      </c>
      <c r="H338" t="s">
        <v>14</v>
      </c>
      <c r="I338" t="s">
        <v>14</v>
      </c>
      <c r="J338" t="s">
        <v>26</v>
      </c>
      <c r="K338" t="s">
        <v>44</v>
      </c>
      <c r="L338" t="s">
        <v>1511</v>
      </c>
      <c r="M338" t="s">
        <v>78</v>
      </c>
      <c r="N338" t="s">
        <v>83</v>
      </c>
      <c r="P338" t="s">
        <v>14</v>
      </c>
      <c r="Q338" t="s">
        <v>14</v>
      </c>
      <c r="R338" t="s">
        <v>14</v>
      </c>
      <c r="S338" t="s">
        <v>14</v>
      </c>
      <c r="T338" t="s">
        <v>14</v>
      </c>
      <c r="U338" t="s">
        <v>723</v>
      </c>
      <c r="V338" t="s">
        <v>1035</v>
      </c>
    </row>
    <row r="339" spans="1:22" x14ac:dyDescent="0.25">
      <c r="A339">
        <v>14418466</v>
      </c>
      <c r="B339" t="s">
        <v>430</v>
      </c>
      <c r="C339">
        <v>24</v>
      </c>
      <c r="G339" t="s" cm="1">
        <v>442</v>
      </c>
      <c r="H339" t="s">
        <v>14</v>
      </c>
      <c r="I339" t="s">
        <v>14</v>
      </c>
      <c r="J339" t="s">
        <v>32</v>
      </c>
      <c r="K339" t="s">
        <v>48</v>
      </c>
      <c r="L339" t="s">
        <v>1512</v>
      </c>
      <c r="M339" t="s">
        <v>76</v>
      </c>
      <c r="N339" t="s">
        <v>83</v>
      </c>
      <c r="P339" t="s">
        <v>14</v>
      </c>
      <c r="Q339" t="s">
        <v>14</v>
      </c>
      <c r="R339" t="s">
        <v>14</v>
      </c>
      <c r="S339" t="s">
        <v>783</v>
      </c>
      <c r="T339" t="s">
        <v>14</v>
      </c>
      <c r="U339" t="s">
        <v>14</v>
      </c>
      <c r="V339" t="s">
        <v>1041</v>
      </c>
    </row>
    <row r="340" spans="1:22" x14ac:dyDescent="0.25">
      <c r="A340">
        <v>17460392</v>
      </c>
      <c r="B340" t="s" cm="1">
        <v>430</v>
      </c>
      <c r="C340">
        <v>24</v>
      </c>
      <c r="G340" t="e" cm="1">
        <v>#N/A</v>
      </c>
      <c r="H340" t="s">
        <v>14</v>
      </c>
      <c r="I340" t="s">
        <v>14</v>
      </c>
      <c r="J340" t="s">
        <v>30</v>
      </c>
      <c r="K340" t="s">
        <v>50</v>
      </c>
      <c r="L340" t="s">
        <v>55</v>
      </c>
      <c r="M340" t="s">
        <v>76</v>
      </c>
      <c r="N340" t="s">
        <v>83</v>
      </c>
      <c r="P340" t="s">
        <v>14</v>
      </c>
      <c r="Q340" t="s">
        <v>14</v>
      </c>
      <c r="R340" t="s">
        <v>14</v>
      </c>
      <c r="S340" t="s">
        <v>14</v>
      </c>
      <c r="T340" t="s">
        <v>14</v>
      </c>
      <c r="U340" t="s">
        <v>1742</v>
      </c>
      <c r="V340">
        <v>0</v>
      </c>
    </row>
    <row r="341" spans="1:22" x14ac:dyDescent="0.25">
      <c r="A341">
        <v>17462320</v>
      </c>
      <c r="B341" t="s" cm="1">
        <v>430</v>
      </c>
      <c r="C341">
        <v>24</v>
      </c>
      <c r="G341" t="e" cm="1">
        <v>#N/A</v>
      </c>
      <c r="H341" t="s">
        <v>14</v>
      </c>
      <c r="I341" t="s">
        <v>14</v>
      </c>
      <c r="J341" t="s">
        <v>30</v>
      </c>
      <c r="K341" t="s">
        <v>43</v>
      </c>
      <c r="L341" t="s">
        <v>1513</v>
      </c>
      <c r="M341" t="s">
        <v>78</v>
      </c>
      <c r="N341" t="s">
        <v>1602</v>
      </c>
      <c r="P341" t="e">
        <v>#N/A</v>
      </c>
      <c r="Q341" t="e">
        <v>#N/A</v>
      </c>
      <c r="R341" t="e">
        <v>#N/A</v>
      </c>
      <c r="S341" t="e">
        <v>#N/A</v>
      </c>
      <c r="T341" t="e">
        <v>#N/A</v>
      </c>
      <c r="U341" t="e">
        <v>#N/A</v>
      </c>
      <c r="V341" t="e">
        <v>#N/A</v>
      </c>
    </row>
    <row r="342" spans="1:22" x14ac:dyDescent="0.25">
      <c r="A342">
        <v>17465133</v>
      </c>
      <c r="B342" t="s" cm="1">
        <v>430</v>
      </c>
      <c r="C342">
        <v>23</v>
      </c>
      <c r="D342" t="s">
        <v>452</v>
      </c>
      <c r="E342">
        <v>45274</v>
      </c>
      <c r="F342" t="s">
        <v>1608</v>
      </c>
      <c r="G342" t="e" cm="1">
        <v>#N/A</v>
      </c>
      <c r="H342" t="s">
        <v>14</v>
      </c>
      <c r="I342" t="s">
        <v>14</v>
      </c>
      <c r="J342" t="s">
        <v>18</v>
      </c>
      <c r="K342" t="s">
        <v>387</v>
      </c>
      <c r="L342" t="s">
        <v>395</v>
      </c>
      <c r="M342" t="s">
        <v>76</v>
      </c>
      <c r="N342" t="s">
        <v>83</v>
      </c>
      <c r="P342" t="s">
        <v>14</v>
      </c>
      <c r="Q342" t="s">
        <v>14</v>
      </c>
      <c r="R342" t="s">
        <v>14</v>
      </c>
      <c r="S342" t="s">
        <v>497</v>
      </c>
      <c r="T342" t="s">
        <v>14</v>
      </c>
      <c r="U342" t="s">
        <v>14</v>
      </c>
      <c r="V342">
        <v>0</v>
      </c>
    </row>
    <row r="343" spans="1:22" x14ac:dyDescent="0.25">
      <c r="A343">
        <v>17465360</v>
      </c>
      <c r="B343" t="s">
        <v>433</v>
      </c>
      <c r="C343">
        <v>23</v>
      </c>
      <c r="G343" t="e" cm="1">
        <v>#N/A</v>
      </c>
      <c r="H343">
        <v>45264</v>
      </c>
      <c r="I343" t="s">
        <v>15</v>
      </c>
      <c r="J343" t="s">
        <v>32</v>
      </c>
      <c r="K343" t="s">
        <v>44</v>
      </c>
      <c r="L343" t="s">
        <v>391</v>
      </c>
      <c r="M343" t="s">
        <v>76</v>
      </c>
      <c r="N343" t="s">
        <v>420</v>
      </c>
      <c r="O343" t="s">
        <v>431</v>
      </c>
      <c r="P343" t="e">
        <v>#N/A</v>
      </c>
      <c r="Q343" t="e">
        <v>#N/A</v>
      </c>
      <c r="R343" t="e">
        <v>#N/A</v>
      </c>
      <c r="S343" t="e">
        <v>#N/A</v>
      </c>
      <c r="T343" t="e">
        <v>#N/A</v>
      </c>
      <c r="U343" t="e">
        <v>#N/A</v>
      </c>
      <c r="V343" t="e">
        <v>#N/A</v>
      </c>
    </row>
    <row r="344" spans="1:22" x14ac:dyDescent="0.25">
      <c r="A344">
        <v>13601167</v>
      </c>
      <c r="B344" t="s" cm="1">
        <v>430</v>
      </c>
      <c r="C344">
        <v>21</v>
      </c>
      <c r="G344" t="s" cm="1">
        <v>442</v>
      </c>
      <c r="H344" t="s">
        <v>14</v>
      </c>
      <c r="I344" t="s">
        <v>14</v>
      </c>
      <c r="J344" t="s">
        <v>26</v>
      </c>
      <c r="K344" t="s">
        <v>44</v>
      </c>
      <c r="L344" t="s">
        <v>1514</v>
      </c>
      <c r="M344" t="s">
        <v>78</v>
      </c>
      <c r="N344" t="s">
        <v>83</v>
      </c>
      <c r="P344" t="s">
        <v>779</v>
      </c>
      <c r="Q344" t="s">
        <v>14</v>
      </c>
      <c r="R344" t="s">
        <v>14</v>
      </c>
      <c r="S344" t="s">
        <v>14</v>
      </c>
      <c r="T344" t="s">
        <v>14</v>
      </c>
      <c r="U344" t="s">
        <v>14</v>
      </c>
      <c r="V344" t="s">
        <v>1033</v>
      </c>
    </row>
    <row r="345" spans="1:22" x14ac:dyDescent="0.25">
      <c r="A345">
        <v>17216286</v>
      </c>
      <c r="B345" t="s">
        <v>433</v>
      </c>
      <c r="C345">
        <v>21</v>
      </c>
      <c r="G345" t="s" cm="1">
        <v>442</v>
      </c>
      <c r="H345">
        <v>45250</v>
      </c>
      <c r="I345" t="s">
        <v>15</v>
      </c>
      <c r="J345" t="s">
        <v>38</v>
      </c>
      <c r="K345" t="s">
        <v>44</v>
      </c>
      <c r="L345" t="s">
        <v>64</v>
      </c>
      <c r="M345" t="s">
        <v>76</v>
      </c>
      <c r="N345" t="s">
        <v>1603</v>
      </c>
      <c r="O345" t="s">
        <v>431</v>
      </c>
      <c r="P345" t="e">
        <v>#N/A</v>
      </c>
      <c r="Q345" t="e">
        <v>#N/A</v>
      </c>
      <c r="R345" t="e">
        <v>#N/A</v>
      </c>
      <c r="S345" t="e">
        <v>#N/A</v>
      </c>
      <c r="T345" t="e">
        <v>#N/A</v>
      </c>
      <c r="U345" t="e">
        <v>#N/A</v>
      </c>
      <c r="V345" t="e">
        <v>#N/A</v>
      </c>
    </row>
    <row r="346" spans="1:22" x14ac:dyDescent="0.25">
      <c r="A346">
        <v>17467258</v>
      </c>
      <c r="B346" t="s" cm="1">
        <v>430</v>
      </c>
      <c r="C346">
        <v>21</v>
      </c>
      <c r="G346" t="e" cm="1">
        <v>#N/A</v>
      </c>
      <c r="H346" t="s">
        <v>14</v>
      </c>
      <c r="I346" t="s">
        <v>14</v>
      </c>
      <c r="J346" t="s">
        <v>30</v>
      </c>
      <c r="K346" t="s">
        <v>44</v>
      </c>
      <c r="L346" t="s">
        <v>87</v>
      </c>
      <c r="M346" t="s">
        <v>76</v>
      </c>
      <c r="N346" t="s">
        <v>83</v>
      </c>
      <c r="P346" t="s">
        <v>14</v>
      </c>
      <c r="Q346" t="s">
        <v>14</v>
      </c>
      <c r="R346" t="s">
        <v>14</v>
      </c>
      <c r="S346" t="s">
        <v>14</v>
      </c>
      <c r="T346" t="s">
        <v>14</v>
      </c>
      <c r="U346" t="s">
        <v>1743</v>
      </c>
      <c r="V346">
        <v>0</v>
      </c>
    </row>
    <row r="347" spans="1:22" x14ac:dyDescent="0.25">
      <c r="A347">
        <v>17471544</v>
      </c>
      <c r="B347" t="s" cm="1">
        <v>430</v>
      </c>
      <c r="C347">
        <v>21</v>
      </c>
      <c r="G347" t="e" cm="1">
        <v>#N/A</v>
      </c>
      <c r="H347" t="s">
        <v>14</v>
      </c>
      <c r="I347" t="s">
        <v>14</v>
      </c>
      <c r="J347" t="s">
        <v>26</v>
      </c>
      <c r="K347" t="s">
        <v>44</v>
      </c>
      <c r="L347" t="s">
        <v>1515</v>
      </c>
      <c r="M347" t="s">
        <v>78</v>
      </c>
      <c r="N347" t="s">
        <v>83</v>
      </c>
      <c r="P347" t="s">
        <v>14</v>
      </c>
      <c r="Q347" t="s">
        <v>14</v>
      </c>
      <c r="R347" t="s">
        <v>14</v>
      </c>
      <c r="S347" t="s">
        <v>1744</v>
      </c>
      <c r="T347" t="s">
        <v>14</v>
      </c>
      <c r="U347" t="s">
        <v>14</v>
      </c>
      <c r="V347">
        <v>0</v>
      </c>
    </row>
    <row r="348" spans="1:22" x14ac:dyDescent="0.25">
      <c r="A348">
        <v>10974791</v>
      </c>
      <c r="B348" t="s">
        <v>433</v>
      </c>
      <c r="C348">
        <v>20</v>
      </c>
      <c r="G348" t="s" cm="1">
        <v>442</v>
      </c>
      <c r="H348">
        <v>45251</v>
      </c>
      <c r="I348" t="s">
        <v>15</v>
      </c>
      <c r="J348" t="s">
        <v>18</v>
      </c>
      <c r="K348" t="s">
        <v>44</v>
      </c>
      <c r="L348" t="s">
        <v>572</v>
      </c>
      <c r="M348" t="s">
        <v>76</v>
      </c>
      <c r="N348" t="s">
        <v>412</v>
      </c>
      <c r="O348" t="s">
        <v>431</v>
      </c>
      <c r="P348" t="e">
        <v>#N/A</v>
      </c>
      <c r="Q348" t="e">
        <v>#N/A</v>
      </c>
      <c r="R348" t="e">
        <v>#N/A</v>
      </c>
      <c r="S348" t="e">
        <v>#N/A</v>
      </c>
      <c r="T348" t="e">
        <v>#N/A</v>
      </c>
      <c r="U348" t="e">
        <v>#N/A</v>
      </c>
      <c r="V348" t="e">
        <v>#N/A</v>
      </c>
    </row>
    <row r="349" spans="1:22" x14ac:dyDescent="0.25">
      <c r="A349">
        <v>14270824</v>
      </c>
      <c r="B349" t="s">
        <v>430</v>
      </c>
      <c r="C349">
        <v>20</v>
      </c>
      <c r="G349" t="s" cm="1">
        <v>442</v>
      </c>
      <c r="H349" t="s">
        <v>14</v>
      </c>
      <c r="I349" t="s">
        <v>14</v>
      </c>
      <c r="J349" t="s">
        <v>27</v>
      </c>
      <c r="K349" t="s">
        <v>44</v>
      </c>
      <c r="L349" t="s">
        <v>1516</v>
      </c>
      <c r="M349" t="s">
        <v>76</v>
      </c>
      <c r="N349" t="s">
        <v>83</v>
      </c>
      <c r="P349" t="s">
        <v>14</v>
      </c>
      <c r="Q349" t="s">
        <v>14</v>
      </c>
      <c r="R349" t="s">
        <v>14</v>
      </c>
      <c r="S349" t="s">
        <v>781</v>
      </c>
      <c r="T349" t="s">
        <v>14</v>
      </c>
      <c r="U349" t="s">
        <v>782</v>
      </c>
      <c r="V349" t="s">
        <v>1039</v>
      </c>
    </row>
    <row r="350" spans="1:22" x14ac:dyDescent="0.25">
      <c r="A350">
        <v>15910356</v>
      </c>
      <c r="B350" t="s" cm="1">
        <v>430</v>
      </c>
      <c r="C350">
        <v>20</v>
      </c>
      <c r="G350" t="s" cm="1">
        <v>442</v>
      </c>
      <c r="H350" t="s">
        <v>14</v>
      </c>
      <c r="I350" t="s">
        <v>14</v>
      </c>
      <c r="J350" t="s">
        <v>30</v>
      </c>
      <c r="K350" t="s">
        <v>46</v>
      </c>
      <c r="L350" t="s">
        <v>1517</v>
      </c>
      <c r="M350" t="s">
        <v>76</v>
      </c>
      <c r="N350" t="s">
        <v>83</v>
      </c>
      <c r="P350" t="s">
        <v>14</v>
      </c>
      <c r="Q350" t="s">
        <v>14</v>
      </c>
      <c r="R350" t="s">
        <v>14</v>
      </c>
      <c r="S350" t="s">
        <v>14</v>
      </c>
      <c r="T350" t="s">
        <v>14</v>
      </c>
      <c r="U350" t="s">
        <v>14</v>
      </c>
      <c r="V350" t="s">
        <v>1067</v>
      </c>
    </row>
    <row r="351" spans="1:22" x14ac:dyDescent="0.25">
      <c r="A351">
        <v>16068727</v>
      </c>
      <c r="B351" t="s">
        <v>430</v>
      </c>
      <c r="C351">
        <v>20</v>
      </c>
      <c r="G351" t="s" cm="1">
        <v>442</v>
      </c>
      <c r="H351" t="s">
        <v>14</v>
      </c>
      <c r="I351" t="s">
        <v>14</v>
      </c>
      <c r="J351" t="s">
        <v>32</v>
      </c>
      <c r="K351" t="s">
        <v>44</v>
      </c>
      <c r="L351" t="s">
        <v>769</v>
      </c>
      <c r="M351" t="s">
        <v>76</v>
      </c>
      <c r="N351" t="s">
        <v>83</v>
      </c>
      <c r="P351" t="s">
        <v>14</v>
      </c>
      <c r="Q351" t="s">
        <v>14</v>
      </c>
      <c r="R351" t="s">
        <v>14</v>
      </c>
      <c r="S351" t="s">
        <v>14</v>
      </c>
      <c r="T351" t="s">
        <v>14</v>
      </c>
      <c r="U351" t="s">
        <v>805</v>
      </c>
      <c r="V351" t="s">
        <v>1071</v>
      </c>
    </row>
    <row r="352" spans="1:22" x14ac:dyDescent="0.25">
      <c r="A352">
        <v>16572079</v>
      </c>
      <c r="B352" t="s" cm="1">
        <v>430</v>
      </c>
      <c r="C352">
        <v>20</v>
      </c>
      <c r="G352" t="s" cm="1">
        <v>442</v>
      </c>
      <c r="H352" t="s">
        <v>14</v>
      </c>
      <c r="I352" t="s">
        <v>14</v>
      </c>
      <c r="J352" t="s">
        <v>30</v>
      </c>
      <c r="K352" t="s">
        <v>48</v>
      </c>
      <c r="L352" t="s">
        <v>55</v>
      </c>
      <c r="M352" t="s">
        <v>76</v>
      </c>
      <c r="N352" t="s">
        <v>83</v>
      </c>
      <c r="P352" t="s">
        <v>14</v>
      </c>
      <c r="Q352" t="s">
        <v>14</v>
      </c>
      <c r="R352" t="s">
        <v>14</v>
      </c>
      <c r="S352" t="s">
        <v>584</v>
      </c>
      <c r="T352" t="s">
        <v>14</v>
      </c>
      <c r="U352" t="s">
        <v>14</v>
      </c>
      <c r="V352" t="s">
        <v>1093</v>
      </c>
    </row>
    <row r="353" spans="1:22" x14ac:dyDescent="0.25">
      <c r="A353">
        <v>16902532</v>
      </c>
      <c r="B353" t="s" cm="1">
        <v>430</v>
      </c>
      <c r="C353">
        <v>20</v>
      </c>
      <c r="G353" t="s" cm="1">
        <v>442</v>
      </c>
      <c r="H353" t="s">
        <v>14</v>
      </c>
      <c r="I353" t="s">
        <v>14</v>
      </c>
      <c r="J353" t="s">
        <v>30</v>
      </c>
      <c r="K353" t="s">
        <v>53</v>
      </c>
      <c r="L353" t="s">
        <v>1518</v>
      </c>
      <c r="M353" t="s">
        <v>78</v>
      </c>
      <c r="N353" t="s">
        <v>83</v>
      </c>
      <c r="P353" t="s">
        <v>14</v>
      </c>
      <c r="Q353" t="s">
        <v>14</v>
      </c>
      <c r="R353" t="s">
        <v>14</v>
      </c>
      <c r="S353" t="s">
        <v>645</v>
      </c>
      <c r="T353" t="s">
        <v>14</v>
      </c>
      <c r="U353" t="s">
        <v>646</v>
      </c>
      <c r="V353" t="s">
        <v>1130</v>
      </c>
    </row>
    <row r="354" spans="1:22" x14ac:dyDescent="0.25">
      <c r="A354">
        <v>17051414</v>
      </c>
      <c r="B354" t="s" cm="1">
        <v>430</v>
      </c>
      <c r="C354">
        <v>20</v>
      </c>
      <c r="G354" t="s" cm="1">
        <v>442</v>
      </c>
      <c r="H354" t="s">
        <v>14</v>
      </c>
      <c r="I354" t="s">
        <v>14</v>
      </c>
      <c r="J354" t="s">
        <v>30</v>
      </c>
      <c r="K354" t="s">
        <v>48</v>
      </c>
      <c r="L354" t="s">
        <v>86</v>
      </c>
      <c r="M354" t="s">
        <v>76</v>
      </c>
      <c r="N354" t="s">
        <v>83</v>
      </c>
      <c r="P354" t="s">
        <v>14</v>
      </c>
      <c r="Q354" t="s">
        <v>14</v>
      </c>
      <c r="R354" t="s">
        <v>14</v>
      </c>
      <c r="S354" t="s">
        <v>474</v>
      </c>
      <c r="T354" t="s">
        <v>14</v>
      </c>
      <c r="U354" t="s">
        <v>14</v>
      </c>
      <c r="V354" t="s">
        <v>1154</v>
      </c>
    </row>
    <row r="355" spans="1:22" x14ac:dyDescent="0.25">
      <c r="A355">
        <v>17104608</v>
      </c>
      <c r="B355" t="s" cm="1">
        <v>430</v>
      </c>
      <c r="C355">
        <v>20</v>
      </c>
      <c r="G355" t="s" cm="1">
        <v>442</v>
      </c>
      <c r="H355" t="s">
        <v>14</v>
      </c>
      <c r="I355" t="s">
        <v>14</v>
      </c>
      <c r="J355" t="s">
        <v>30</v>
      </c>
      <c r="K355" t="s">
        <v>49</v>
      </c>
      <c r="L355" t="s">
        <v>58</v>
      </c>
      <c r="M355" t="s">
        <v>76</v>
      </c>
      <c r="N355" t="s">
        <v>83</v>
      </c>
      <c r="P355" t="s">
        <v>14</v>
      </c>
      <c r="Q355" t="s">
        <v>14</v>
      </c>
      <c r="R355" t="s">
        <v>14</v>
      </c>
      <c r="S355" t="s">
        <v>558</v>
      </c>
      <c r="T355" t="s">
        <v>14</v>
      </c>
      <c r="U355" t="s">
        <v>14</v>
      </c>
      <c r="V355" t="s">
        <v>1171</v>
      </c>
    </row>
    <row r="356" spans="1:22" x14ac:dyDescent="0.25">
      <c r="A356">
        <v>13380611</v>
      </c>
      <c r="B356" t="s">
        <v>433</v>
      </c>
      <c r="C356">
        <v>19</v>
      </c>
      <c r="G356" t="e" cm="1">
        <v>#N/A</v>
      </c>
      <c r="H356">
        <v>45252</v>
      </c>
      <c r="I356" t="s">
        <v>15</v>
      </c>
      <c r="J356" t="s">
        <v>18</v>
      </c>
      <c r="K356" t="s">
        <v>44</v>
      </c>
      <c r="L356" t="s">
        <v>450</v>
      </c>
      <c r="M356" t="s">
        <v>77</v>
      </c>
      <c r="N356" t="s">
        <v>418</v>
      </c>
      <c r="O356" t="s">
        <v>431</v>
      </c>
      <c r="P356" t="e">
        <v>#N/A</v>
      </c>
      <c r="Q356" t="e">
        <v>#N/A</v>
      </c>
      <c r="R356" t="e">
        <v>#N/A</v>
      </c>
      <c r="S356" t="e">
        <v>#N/A</v>
      </c>
      <c r="T356" t="e">
        <v>#N/A</v>
      </c>
      <c r="U356" t="e">
        <v>#N/A</v>
      </c>
      <c r="V356" t="e">
        <v>#N/A</v>
      </c>
    </row>
    <row r="357" spans="1:22" x14ac:dyDescent="0.25">
      <c r="A357">
        <v>14736972</v>
      </c>
      <c r="B357" t="s" cm="1">
        <v>430</v>
      </c>
      <c r="C357">
        <v>19</v>
      </c>
      <c r="G357" t="s" cm="1">
        <v>442</v>
      </c>
      <c r="H357" t="s">
        <v>14</v>
      </c>
      <c r="I357" t="s">
        <v>14</v>
      </c>
      <c r="J357" t="s">
        <v>30</v>
      </c>
      <c r="K357" t="s">
        <v>44</v>
      </c>
      <c r="L357" t="s">
        <v>1520</v>
      </c>
      <c r="M357" t="s">
        <v>78</v>
      </c>
      <c r="N357" t="s">
        <v>83</v>
      </c>
      <c r="P357" t="s">
        <v>14</v>
      </c>
      <c r="Q357" t="s">
        <v>14</v>
      </c>
      <c r="R357" t="s">
        <v>14</v>
      </c>
      <c r="S357" t="s">
        <v>516</v>
      </c>
      <c r="T357" t="s">
        <v>14</v>
      </c>
      <c r="U357" t="s">
        <v>14</v>
      </c>
      <c r="V357" t="s">
        <v>1043</v>
      </c>
    </row>
    <row r="358" spans="1:22" x14ac:dyDescent="0.25">
      <c r="A358">
        <v>15688568</v>
      </c>
      <c r="B358" t="s" cm="1">
        <v>430</v>
      </c>
      <c r="C358">
        <v>19</v>
      </c>
      <c r="G358" t="s" cm="1">
        <v>442</v>
      </c>
      <c r="H358" t="s">
        <v>14</v>
      </c>
      <c r="I358" t="s">
        <v>14</v>
      </c>
      <c r="J358" t="s">
        <v>30</v>
      </c>
      <c r="K358" t="s">
        <v>52</v>
      </c>
      <c r="L358" t="s">
        <v>60</v>
      </c>
      <c r="M358" t="s">
        <v>76</v>
      </c>
      <c r="N358" t="s">
        <v>83</v>
      </c>
      <c r="P358" t="s">
        <v>14</v>
      </c>
      <c r="Q358" t="s">
        <v>14</v>
      </c>
      <c r="R358" t="s">
        <v>14</v>
      </c>
      <c r="S358" t="s">
        <v>797</v>
      </c>
      <c r="T358" t="s">
        <v>14</v>
      </c>
      <c r="U358" t="s">
        <v>798</v>
      </c>
      <c r="V358" t="s">
        <v>1062</v>
      </c>
    </row>
    <row r="359" spans="1:22" x14ac:dyDescent="0.25">
      <c r="A359">
        <v>17081102</v>
      </c>
      <c r="B359" t="s" cm="1">
        <v>430</v>
      </c>
      <c r="C359">
        <v>19</v>
      </c>
      <c r="G359" t="s" cm="1">
        <v>442</v>
      </c>
      <c r="H359" t="s">
        <v>14</v>
      </c>
      <c r="I359" t="s">
        <v>14</v>
      </c>
      <c r="J359" t="s">
        <v>30</v>
      </c>
      <c r="K359" t="s">
        <v>49</v>
      </c>
      <c r="L359" t="s">
        <v>395</v>
      </c>
      <c r="M359" t="s">
        <v>76</v>
      </c>
      <c r="N359" t="s">
        <v>83</v>
      </c>
      <c r="P359" t="s">
        <v>14</v>
      </c>
      <c r="Q359" t="s">
        <v>14</v>
      </c>
      <c r="R359" t="s">
        <v>14</v>
      </c>
      <c r="S359" t="s">
        <v>469</v>
      </c>
      <c r="T359" t="s">
        <v>14</v>
      </c>
      <c r="U359" t="s">
        <v>14</v>
      </c>
      <c r="V359" t="s">
        <v>1164</v>
      </c>
    </row>
    <row r="360" spans="1:22" x14ac:dyDescent="0.25">
      <c r="A360">
        <v>17149925</v>
      </c>
      <c r="B360" t="s" cm="1">
        <v>430</v>
      </c>
      <c r="C360">
        <v>19</v>
      </c>
      <c r="G360" t="s" cm="1">
        <v>442</v>
      </c>
      <c r="H360" t="s">
        <v>14</v>
      </c>
      <c r="I360" t="s">
        <v>14</v>
      </c>
      <c r="J360" t="s">
        <v>30</v>
      </c>
      <c r="K360" t="s">
        <v>45</v>
      </c>
      <c r="L360" t="s">
        <v>74</v>
      </c>
      <c r="M360" t="s">
        <v>76</v>
      </c>
      <c r="N360" t="s">
        <v>83</v>
      </c>
      <c r="P360" t="s">
        <v>14</v>
      </c>
      <c r="Q360" t="s">
        <v>14</v>
      </c>
      <c r="R360" t="s">
        <v>14</v>
      </c>
      <c r="S360" t="s">
        <v>865</v>
      </c>
      <c r="T360" t="s">
        <v>14</v>
      </c>
      <c r="U360" t="s">
        <v>866</v>
      </c>
      <c r="V360" t="s">
        <v>1184</v>
      </c>
    </row>
    <row r="361" spans="1:22" x14ac:dyDescent="0.25">
      <c r="A361">
        <v>17481871</v>
      </c>
      <c r="B361" t="s">
        <v>433</v>
      </c>
      <c r="C361">
        <v>19</v>
      </c>
      <c r="G361" t="e" cm="1">
        <v>#N/A</v>
      </c>
      <c r="H361">
        <v>45264</v>
      </c>
      <c r="I361" t="s">
        <v>15</v>
      </c>
      <c r="J361" t="s">
        <v>24</v>
      </c>
      <c r="K361" t="s">
        <v>44</v>
      </c>
      <c r="L361" t="s">
        <v>56</v>
      </c>
      <c r="M361" t="s">
        <v>1352</v>
      </c>
      <c r="N361" t="s">
        <v>420</v>
      </c>
      <c r="O361" t="s">
        <v>431</v>
      </c>
      <c r="P361" t="e">
        <v>#N/A</v>
      </c>
      <c r="Q361" t="e">
        <v>#N/A</v>
      </c>
      <c r="R361" t="e">
        <v>#N/A</v>
      </c>
      <c r="S361" t="e">
        <v>#N/A</v>
      </c>
      <c r="T361" t="e">
        <v>#N/A</v>
      </c>
      <c r="U361" t="e">
        <v>#N/A</v>
      </c>
      <c r="V361" t="e">
        <v>#N/A</v>
      </c>
    </row>
    <row r="362" spans="1:22" x14ac:dyDescent="0.25">
      <c r="A362">
        <v>17486364</v>
      </c>
      <c r="B362" t="s">
        <v>433</v>
      </c>
      <c r="C362">
        <v>19</v>
      </c>
      <c r="D362" t="s">
        <v>452</v>
      </c>
      <c r="E362" t="s">
        <v>1726</v>
      </c>
      <c r="F362" t="s">
        <v>451</v>
      </c>
      <c r="G362" t="e" cm="1">
        <v>#N/A</v>
      </c>
      <c r="H362" t="s">
        <v>14</v>
      </c>
      <c r="I362" t="s">
        <v>14</v>
      </c>
      <c r="J362" t="s">
        <v>38</v>
      </c>
      <c r="K362" t="s">
        <v>44</v>
      </c>
      <c r="L362" t="s">
        <v>1386</v>
      </c>
      <c r="M362" t="s">
        <v>76</v>
      </c>
      <c r="N362" t="s">
        <v>14</v>
      </c>
      <c r="P362" t="e">
        <v>#N/A</v>
      </c>
      <c r="Q362" t="e">
        <v>#N/A</v>
      </c>
      <c r="R362" t="e">
        <v>#N/A</v>
      </c>
      <c r="S362" t="e">
        <v>#N/A</v>
      </c>
      <c r="T362" t="e">
        <v>#N/A</v>
      </c>
      <c r="U362" t="e">
        <v>#N/A</v>
      </c>
      <c r="V362" t="e">
        <v>#N/A</v>
      </c>
    </row>
    <row r="363" spans="1:22" x14ac:dyDescent="0.25">
      <c r="A363">
        <v>14993523</v>
      </c>
      <c r="B363" t="s">
        <v>433</v>
      </c>
      <c r="C363">
        <v>18</v>
      </c>
      <c r="G363" t="s" cm="1">
        <v>442</v>
      </c>
      <c r="H363">
        <v>45265</v>
      </c>
      <c r="I363" t="s">
        <v>15</v>
      </c>
      <c r="J363" t="s">
        <v>32</v>
      </c>
      <c r="K363" t="s">
        <v>44</v>
      </c>
      <c r="L363" t="s">
        <v>671</v>
      </c>
      <c r="M363" t="s">
        <v>76</v>
      </c>
      <c r="N363" t="s">
        <v>427</v>
      </c>
      <c r="O363" t="s">
        <v>431</v>
      </c>
      <c r="P363" t="e">
        <v>#N/A</v>
      </c>
      <c r="Q363" t="e">
        <v>#N/A</v>
      </c>
      <c r="R363" t="e">
        <v>#N/A</v>
      </c>
      <c r="S363" t="e">
        <v>#N/A</v>
      </c>
      <c r="T363" t="e">
        <v>#N/A</v>
      </c>
      <c r="U363" t="e">
        <v>#N/A</v>
      </c>
      <c r="V363" t="e">
        <v>#N/A</v>
      </c>
    </row>
    <row r="364" spans="1:22" x14ac:dyDescent="0.25">
      <c r="A364">
        <v>17492828</v>
      </c>
      <c r="B364" t="s">
        <v>433</v>
      </c>
      <c r="C364">
        <v>18</v>
      </c>
      <c r="G364" t="e" cm="1">
        <v>#N/A</v>
      </c>
      <c r="H364" t="s">
        <v>14</v>
      </c>
      <c r="I364" t="s">
        <v>14</v>
      </c>
      <c r="J364" t="s">
        <v>38</v>
      </c>
      <c r="K364" t="s">
        <v>44</v>
      </c>
      <c r="L364" t="s">
        <v>64</v>
      </c>
      <c r="M364" t="s">
        <v>76</v>
      </c>
      <c r="N364" t="s">
        <v>14</v>
      </c>
      <c r="P364" t="e">
        <v>#N/A</v>
      </c>
      <c r="Q364" t="e">
        <v>#N/A</v>
      </c>
      <c r="R364" t="e">
        <v>#N/A</v>
      </c>
      <c r="S364" t="e">
        <v>#N/A</v>
      </c>
      <c r="T364" t="e">
        <v>#N/A</v>
      </c>
      <c r="U364" t="e">
        <v>#N/A</v>
      </c>
      <c r="V364" t="e">
        <v>#N/A</v>
      </c>
    </row>
    <row r="365" spans="1:22" x14ac:dyDescent="0.25">
      <c r="A365">
        <v>10373514</v>
      </c>
      <c r="B365" t="s">
        <v>433</v>
      </c>
      <c r="C365">
        <v>14</v>
      </c>
      <c r="G365" t="s" cm="1">
        <v>442</v>
      </c>
      <c r="H365">
        <v>45257</v>
      </c>
      <c r="I365" t="s">
        <v>15</v>
      </c>
      <c r="J365" t="s">
        <v>27</v>
      </c>
      <c r="K365" t="s">
        <v>44</v>
      </c>
      <c r="L365" t="s">
        <v>450</v>
      </c>
      <c r="M365" t="s">
        <v>77</v>
      </c>
      <c r="N365" t="s">
        <v>747</v>
      </c>
      <c r="O365" t="s">
        <v>431</v>
      </c>
      <c r="P365" t="e">
        <v>#N/A</v>
      </c>
      <c r="Q365" t="e">
        <v>#N/A</v>
      </c>
      <c r="R365" t="e">
        <v>#N/A</v>
      </c>
      <c r="S365" t="e">
        <v>#N/A</v>
      </c>
      <c r="T365" t="e">
        <v>#N/A</v>
      </c>
      <c r="U365" t="e">
        <v>#N/A</v>
      </c>
      <c r="V365" t="e">
        <v>#N/A</v>
      </c>
    </row>
    <row r="366" spans="1:22" x14ac:dyDescent="0.25">
      <c r="A366">
        <v>16520651</v>
      </c>
      <c r="B366" t="s">
        <v>430</v>
      </c>
      <c r="C366">
        <v>14</v>
      </c>
      <c r="G366" t="s" cm="1">
        <v>442</v>
      </c>
      <c r="H366" t="s">
        <v>14</v>
      </c>
      <c r="I366" t="s">
        <v>14</v>
      </c>
      <c r="J366" t="s">
        <v>24</v>
      </c>
      <c r="K366" t="s">
        <v>48</v>
      </c>
      <c r="L366" t="s">
        <v>63</v>
      </c>
      <c r="M366" t="s">
        <v>76</v>
      </c>
      <c r="N366" t="s">
        <v>83</v>
      </c>
      <c r="P366" t="s">
        <v>14</v>
      </c>
      <c r="Q366" t="s">
        <v>14</v>
      </c>
      <c r="R366" t="s">
        <v>14</v>
      </c>
      <c r="S366" t="s">
        <v>709</v>
      </c>
      <c r="T366" t="s">
        <v>14</v>
      </c>
      <c r="U366" t="s">
        <v>14</v>
      </c>
      <c r="V366" t="s">
        <v>1088</v>
      </c>
    </row>
    <row r="367" spans="1:22" x14ac:dyDescent="0.25">
      <c r="A367">
        <v>16720781</v>
      </c>
      <c r="B367" t="s" cm="1">
        <v>430</v>
      </c>
      <c r="C367">
        <v>14</v>
      </c>
      <c r="G367" t="s" cm="1">
        <v>442</v>
      </c>
      <c r="H367" t="s">
        <v>14</v>
      </c>
      <c r="I367" t="s">
        <v>14</v>
      </c>
      <c r="J367" t="s">
        <v>30</v>
      </c>
      <c r="K367" t="s">
        <v>48</v>
      </c>
      <c r="L367" t="s">
        <v>56</v>
      </c>
      <c r="M367" t="s">
        <v>1353</v>
      </c>
      <c r="N367" t="s">
        <v>83</v>
      </c>
      <c r="P367" t="s">
        <v>821</v>
      </c>
      <c r="Q367" t="s">
        <v>14</v>
      </c>
      <c r="R367" t="s">
        <v>14</v>
      </c>
      <c r="S367" t="s">
        <v>821</v>
      </c>
      <c r="T367" t="s">
        <v>14</v>
      </c>
      <c r="U367" t="s">
        <v>822</v>
      </c>
      <c r="V367" t="s">
        <v>1105</v>
      </c>
    </row>
    <row r="368" spans="1:22" x14ac:dyDescent="0.25">
      <c r="A368">
        <v>17499461</v>
      </c>
      <c r="B368" t="s">
        <v>430</v>
      </c>
      <c r="C368">
        <v>14</v>
      </c>
      <c r="D368" t="s">
        <v>1745</v>
      </c>
      <c r="E368">
        <v>45272</v>
      </c>
      <c r="F368" t="s">
        <v>454</v>
      </c>
      <c r="G368" t="e" cm="1">
        <v>#N/A</v>
      </c>
      <c r="H368" t="s">
        <v>14</v>
      </c>
      <c r="I368" t="s">
        <v>14</v>
      </c>
      <c r="J368" t="s">
        <v>385</v>
      </c>
      <c r="K368" t="s">
        <v>44</v>
      </c>
      <c r="L368" t="s">
        <v>14</v>
      </c>
      <c r="M368" t="s">
        <v>14</v>
      </c>
      <c r="N368" t="s">
        <v>1604</v>
      </c>
      <c r="P368" t="e">
        <v>#N/A</v>
      </c>
      <c r="Q368" t="e">
        <v>#N/A</v>
      </c>
      <c r="R368" t="e">
        <v>#N/A</v>
      </c>
      <c r="S368" t="e">
        <v>#N/A</v>
      </c>
      <c r="T368" t="e">
        <v>#N/A</v>
      </c>
      <c r="U368" t="e">
        <v>#N/A</v>
      </c>
      <c r="V368" t="e">
        <v>#N/A</v>
      </c>
    </row>
    <row r="369" spans="1:22" x14ac:dyDescent="0.25">
      <c r="A369">
        <v>17500239</v>
      </c>
      <c r="B369" t="s">
        <v>433</v>
      </c>
      <c r="C369">
        <v>14</v>
      </c>
      <c r="G369" t="s" cm="1">
        <v>442</v>
      </c>
      <c r="H369" t="s">
        <v>14</v>
      </c>
      <c r="I369" t="s">
        <v>14</v>
      </c>
      <c r="J369" t="s">
        <v>1323</v>
      </c>
      <c r="K369" t="s">
        <v>46</v>
      </c>
      <c r="L369" t="s">
        <v>1347</v>
      </c>
      <c r="M369" t="s">
        <v>76</v>
      </c>
      <c r="N369" t="s">
        <v>14</v>
      </c>
      <c r="P369" t="e">
        <v>#N/A</v>
      </c>
      <c r="Q369" t="e">
        <v>#N/A</v>
      </c>
      <c r="R369" t="e">
        <v>#N/A</v>
      </c>
      <c r="S369" t="e">
        <v>#N/A</v>
      </c>
      <c r="T369" t="e">
        <v>#N/A</v>
      </c>
      <c r="U369" t="e">
        <v>#N/A</v>
      </c>
      <c r="V369" t="e">
        <v>#N/A</v>
      </c>
    </row>
    <row r="370" spans="1:22" x14ac:dyDescent="0.25">
      <c r="A370">
        <v>11425782</v>
      </c>
      <c r="B370" t="s">
        <v>433</v>
      </c>
      <c r="C370">
        <v>13</v>
      </c>
      <c r="G370" t="s" cm="1">
        <v>442</v>
      </c>
      <c r="H370">
        <v>45258</v>
      </c>
      <c r="I370" t="s">
        <v>15</v>
      </c>
      <c r="J370" t="s">
        <v>27</v>
      </c>
      <c r="K370" t="s">
        <v>44</v>
      </c>
      <c r="L370" t="s">
        <v>87</v>
      </c>
      <c r="M370" t="s">
        <v>77</v>
      </c>
      <c r="N370" t="s">
        <v>413</v>
      </c>
      <c r="O370" t="s">
        <v>431</v>
      </c>
      <c r="P370" t="e">
        <v>#N/A</v>
      </c>
      <c r="Q370" t="e">
        <v>#N/A</v>
      </c>
      <c r="R370" t="e">
        <v>#N/A</v>
      </c>
      <c r="S370" t="e">
        <v>#N/A</v>
      </c>
      <c r="T370" t="e">
        <v>#N/A</v>
      </c>
      <c r="U370" t="e">
        <v>#N/A</v>
      </c>
      <c r="V370" t="e">
        <v>#N/A</v>
      </c>
    </row>
    <row r="371" spans="1:22" x14ac:dyDescent="0.25">
      <c r="A371">
        <v>13117963</v>
      </c>
      <c r="B371" t="s">
        <v>433</v>
      </c>
      <c r="C371">
        <v>13</v>
      </c>
      <c r="G371" t="s" cm="1">
        <v>442</v>
      </c>
      <c r="H371">
        <v>45257</v>
      </c>
      <c r="I371" t="s">
        <v>15</v>
      </c>
      <c r="J371" t="s">
        <v>31</v>
      </c>
      <c r="K371" t="s">
        <v>44</v>
      </c>
      <c r="L371" t="s">
        <v>56</v>
      </c>
      <c r="M371" t="s">
        <v>77</v>
      </c>
      <c r="N371" t="s">
        <v>747</v>
      </c>
      <c r="O371" t="s">
        <v>431</v>
      </c>
      <c r="P371" t="e">
        <v>#N/A</v>
      </c>
      <c r="Q371" t="e">
        <v>#N/A</v>
      </c>
      <c r="R371" t="e">
        <v>#N/A</v>
      </c>
      <c r="S371" t="e">
        <v>#N/A</v>
      </c>
      <c r="T371" t="e">
        <v>#N/A</v>
      </c>
      <c r="U371" t="e">
        <v>#N/A</v>
      </c>
      <c r="V371" t="e">
        <v>#N/A</v>
      </c>
    </row>
    <row r="372" spans="1:22" x14ac:dyDescent="0.25">
      <c r="A372">
        <v>15500024</v>
      </c>
      <c r="B372" t="s" cm="1">
        <v>430</v>
      </c>
      <c r="C372">
        <v>13</v>
      </c>
      <c r="G372" t="s" cm="1">
        <v>442</v>
      </c>
      <c r="H372" t="s">
        <v>14</v>
      </c>
      <c r="I372" t="s">
        <v>14</v>
      </c>
      <c r="J372" t="s">
        <v>30</v>
      </c>
      <c r="K372" t="s">
        <v>46</v>
      </c>
      <c r="L372" t="s">
        <v>434</v>
      </c>
      <c r="M372" t="s">
        <v>78</v>
      </c>
      <c r="N372" t="s">
        <v>83</v>
      </c>
      <c r="P372" t="s">
        <v>14</v>
      </c>
      <c r="Q372" t="s">
        <v>14</v>
      </c>
      <c r="R372" t="s">
        <v>14</v>
      </c>
      <c r="S372" t="s">
        <v>501</v>
      </c>
      <c r="T372" t="s">
        <v>14</v>
      </c>
      <c r="U372" t="s">
        <v>14</v>
      </c>
      <c r="V372" t="s">
        <v>1056</v>
      </c>
    </row>
    <row r="373" spans="1:22" x14ac:dyDescent="0.25">
      <c r="A373">
        <v>16541992</v>
      </c>
      <c r="B373" t="s">
        <v>433</v>
      </c>
      <c r="C373">
        <v>13</v>
      </c>
      <c r="G373" t="e" cm="1">
        <v>#N/A</v>
      </c>
      <c r="H373">
        <v>45258</v>
      </c>
      <c r="I373" t="s">
        <v>15</v>
      </c>
      <c r="J373" t="s">
        <v>18</v>
      </c>
      <c r="K373" t="s">
        <v>44</v>
      </c>
      <c r="L373" t="s">
        <v>1521</v>
      </c>
      <c r="M373" t="s">
        <v>76</v>
      </c>
      <c r="N373" t="s">
        <v>413</v>
      </c>
      <c r="O373" t="s">
        <v>431</v>
      </c>
      <c r="P373" t="e">
        <v>#N/A</v>
      </c>
      <c r="Q373" t="e">
        <v>#N/A</v>
      </c>
      <c r="R373" t="e">
        <v>#N/A</v>
      </c>
      <c r="S373" t="e">
        <v>#N/A</v>
      </c>
      <c r="T373" t="e">
        <v>#N/A</v>
      </c>
      <c r="U373" t="e">
        <v>#N/A</v>
      </c>
      <c r="V373" t="e">
        <v>#N/A</v>
      </c>
    </row>
    <row r="374" spans="1:22" x14ac:dyDescent="0.25">
      <c r="A374">
        <v>16952555</v>
      </c>
      <c r="B374" t="s" cm="1">
        <v>430</v>
      </c>
      <c r="C374">
        <v>13</v>
      </c>
      <c r="G374" t="s" cm="1">
        <v>442</v>
      </c>
      <c r="H374" t="s">
        <v>14</v>
      </c>
      <c r="I374" t="s">
        <v>14</v>
      </c>
      <c r="J374" t="s">
        <v>30</v>
      </c>
      <c r="K374" t="s">
        <v>45</v>
      </c>
      <c r="L374" t="s">
        <v>55</v>
      </c>
      <c r="M374" t="s">
        <v>76</v>
      </c>
      <c r="N374" t="s">
        <v>83</v>
      </c>
      <c r="P374" t="s">
        <v>14</v>
      </c>
      <c r="Q374" t="s">
        <v>14</v>
      </c>
      <c r="R374" t="s">
        <v>14</v>
      </c>
      <c r="S374" t="s">
        <v>481</v>
      </c>
      <c r="T374" t="s">
        <v>14</v>
      </c>
      <c r="U374" t="s">
        <v>482</v>
      </c>
      <c r="V374" t="s">
        <v>1141</v>
      </c>
    </row>
    <row r="375" spans="1:22" x14ac:dyDescent="0.25">
      <c r="A375">
        <v>17503862</v>
      </c>
      <c r="B375" t="s">
        <v>433</v>
      </c>
      <c r="C375">
        <v>13</v>
      </c>
      <c r="G375" t="s" cm="1">
        <v>442</v>
      </c>
      <c r="H375" t="s">
        <v>14</v>
      </c>
      <c r="I375" t="s">
        <v>14</v>
      </c>
      <c r="J375" t="s">
        <v>38</v>
      </c>
      <c r="K375" t="s">
        <v>49</v>
      </c>
      <c r="L375" t="s">
        <v>1522</v>
      </c>
      <c r="M375" t="s">
        <v>76</v>
      </c>
      <c r="N375" t="s">
        <v>14</v>
      </c>
      <c r="P375" t="e">
        <v>#N/A</v>
      </c>
      <c r="Q375" t="e">
        <v>#N/A</v>
      </c>
      <c r="R375" t="e">
        <v>#N/A</v>
      </c>
      <c r="S375" t="e">
        <v>#N/A</v>
      </c>
      <c r="T375" t="e">
        <v>#N/A</v>
      </c>
      <c r="U375" t="e">
        <v>#N/A</v>
      </c>
      <c r="V375" t="e">
        <v>#N/A</v>
      </c>
    </row>
    <row r="376" spans="1:22" x14ac:dyDescent="0.25">
      <c r="A376">
        <v>12631646</v>
      </c>
      <c r="B376" t="s">
        <v>433</v>
      </c>
      <c r="C376">
        <v>12</v>
      </c>
      <c r="G376" t="e" cm="1">
        <v>#N/A</v>
      </c>
      <c r="H376">
        <v>45259</v>
      </c>
      <c r="I376" t="s">
        <v>15</v>
      </c>
      <c r="J376" t="s">
        <v>18</v>
      </c>
      <c r="K376" t="s">
        <v>44</v>
      </c>
      <c r="L376" t="s">
        <v>398</v>
      </c>
      <c r="M376" t="s">
        <v>77</v>
      </c>
      <c r="N376" t="s">
        <v>425</v>
      </c>
      <c r="O376" t="s">
        <v>431</v>
      </c>
      <c r="P376" t="e">
        <v>#N/A</v>
      </c>
      <c r="Q376" t="e">
        <v>#N/A</v>
      </c>
      <c r="R376" t="e">
        <v>#N/A</v>
      </c>
      <c r="S376" t="e">
        <v>#N/A</v>
      </c>
      <c r="T376" t="e">
        <v>#N/A</v>
      </c>
      <c r="U376" t="e">
        <v>#N/A</v>
      </c>
      <c r="V376" t="e">
        <v>#N/A</v>
      </c>
    </row>
    <row r="377" spans="1:22" x14ac:dyDescent="0.25">
      <c r="A377">
        <v>15551165</v>
      </c>
      <c r="B377" t="s">
        <v>430</v>
      </c>
      <c r="C377">
        <v>12</v>
      </c>
      <c r="G377" t="s" cm="1">
        <v>442</v>
      </c>
      <c r="H377" t="s">
        <v>14</v>
      </c>
      <c r="I377" t="s">
        <v>14</v>
      </c>
      <c r="J377" t="s">
        <v>24</v>
      </c>
      <c r="K377" t="s">
        <v>43</v>
      </c>
      <c r="L377" t="s">
        <v>1523</v>
      </c>
      <c r="M377" t="s">
        <v>78</v>
      </c>
      <c r="N377" t="s">
        <v>83</v>
      </c>
      <c r="P377" t="s">
        <v>14</v>
      </c>
      <c r="Q377" t="s">
        <v>14</v>
      </c>
      <c r="R377" t="s">
        <v>14</v>
      </c>
      <c r="S377" t="s">
        <v>715</v>
      </c>
      <c r="T377" t="s">
        <v>14</v>
      </c>
      <c r="U377" t="s">
        <v>716</v>
      </c>
      <c r="V377" t="s">
        <v>1058</v>
      </c>
    </row>
    <row r="378" spans="1:22" x14ac:dyDescent="0.25">
      <c r="A378">
        <v>15553212</v>
      </c>
      <c r="B378" t="s">
        <v>433</v>
      </c>
      <c r="C378">
        <v>12</v>
      </c>
      <c r="G378" t="s" cm="1">
        <v>442</v>
      </c>
      <c r="H378" t="s">
        <v>14</v>
      </c>
      <c r="I378" t="s">
        <v>380</v>
      </c>
      <c r="J378" t="s">
        <v>23</v>
      </c>
      <c r="K378" t="s">
        <v>43</v>
      </c>
      <c r="L378" t="s">
        <v>1348</v>
      </c>
      <c r="M378" t="s">
        <v>78</v>
      </c>
      <c r="N378" t="s">
        <v>83</v>
      </c>
      <c r="P378" t="s">
        <v>14</v>
      </c>
      <c r="Q378" t="s">
        <v>14</v>
      </c>
      <c r="R378" t="s">
        <v>14</v>
      </c>
      <c r="S378" t="s">
        <v>1746</v>
      </c>
      <c r="T378" t="s">
        <v>14</v>
      </c>
      <c r="U378" t="s">
        <v>1747</v>
      </c>
      <c r="V378" t="s">
        <v>1748</v>
      </c>
    </row>
    <row r="379" spans="1:22" x14ac:dyDescent="0.25">
      <c r="A379">
        <v>16673803</v>
      </c>
      <c r="B379" t="s" cm="1">
        <v>430</v>
      </c>
      <c r="C379">
        <v>12</v>
      </c>
      <c r="G379" t="s" cm="1">
        <v>442</v>
      </c>
      <c r="H379" t="s">
        <v>14</v>
      </c>
      <c r="I379" t="s">
        <v>14</v>
      </c>
      <c r="J379" t="s">
        <v>30</v>
      </c>
      <c r="K379" t="s">
        <v>45</v>
      </c>
      <c r="L379" t="s">
        <v>55</v>
      </c>
      <c r="M379" t="s">
        <v>76</v>
      </c>
      <c r="N379" t="s">
        <v>83</v>
      </c>
      <c r="P379" t="s">
        <v>14</v>
      </c>
      <c r="Q379" t="s">
        <v>14</v>
      </c>
      <c r="R379" t="s">
        <v>14</v>
      </c>
      <c r="S379" t="s">
        <v>14</v>
      </c>
      <c r="T379" t="s">
        <v>14</v>
      </c>
      <c r="U379" t="s">
        <v>649</v>
      </c>
      <c r="V379" t="s">
        <v>1099</v>
      </c>
    </row>
    <row r="380" spans="1:22" x14ac:dyDescent="0.25">
      <c r="A380">
        <v>17511460</v>
      </c>
      <c r="B380" t="s">
        <v>433</v>
      </c>
      <c r="C380">
        <v>12</v>
      </c>
      <c r="G380" t="s" cm="1">
        <v>442</v>
      </c>
      <c r="H380">
        <v>45251</v>
      </c>
      <c r="I380" t="s">
        <v>15</v>
      </c>
      <c r="J380" t="s">
        <v>18</v>
      </c>
      <c r="K380" t="s">
        <v>44</v>
      </c>
      <c r="L380" t="s">
        <v>56</v>
      </c>
      <c r="M380" t="s">
        <v>81</v>
      </c>
      <c r="N380" t="s">
        <v>412</v>
      </c>
      <c r="O380" t="s">
        <v>431</v>
      </c>
      <c r="P380" t="e">
        <v>#N/A</v>
      </c>
      <c r="Q380" t="e">
        <v>#N/A</v>
      </c>
      <c r="R380" t="e">
        <v>#N/A</v>
      </c>
      <c r="S380" t="e">
        <v>#N/A</v>
      </c>
      <c r="T380" t="e">
        <v>#N/A</v>
      </c>
      <c r="U380" t="e">
        <v>#N/A</v>
      </c>
      <c r="V380" t="e">
        <v>#N/A</v>
      </c>
    </row>
    <row r="381" spans="1:22" x14ac:dyDescent="0.25">
      <c r="A381">
        <v>17514443</v>
      </c>
      <c r="B381" t="s">
        <v>433</v>
      </c>
      <c r="C381">
        <v>12</v>
      </c>
      <c r="G381" t="e" cm="1">
        <v>#N/A</v>
      </c>
      <c r="H381">
        <v>45268</v>
      </c>
      <c r="I381" t="s">
        <v>15</v>
      </c>
      <c r="J381" t="s">
        <v>42</v>
      </c>
      <c r="K381" t="s">
        <v>44</v>
      </c>
      <c r="L381" t="s">
        <v>1519</v>
      </c>
      <c r="M381" t="s">
        <v>76</v>
      </c>
      <c r="N381" t="s">
        <v>441</v>
      </c>
      <c r="O381" t="s">
        <v>431</v>
      </c>
      <c r="P381" t="e">
        <v>#N/A</v>
      </c>
      <c r="Q381" t="e">
        <v>#N/A</v>
      </c>
      <c r="R381" t="e">
        <v>#N/A</v>
      </c>
      <c r="S381" t="e">
        <v>#N/A</v>
      </c>
      <c r="T381" t="e">
        <v>#N/A</v>
      </c>
      <c r="U381" t="e">
        <v>#N/A</v>
      </c>
      <c r="V381" t="e">
        <v>#N/A</v>
      </c>
    </row>
    <row r="382" spans="1:22" x14ac:dyDescent="0.25">
      <c r="A382">
        <v>17153261</v>
      </c>
      <c r="B382" t="s" cm="1">
        <v>430</v>
      </c>
      <c r="C382">
        <v>11</v>
      </c>
      <c r="D382" t="s">
        <v>452</v>
      </c>
      <c r="E382">
        <v>45274</v>
      </c>
      <c r="F382" t="s">
        <v>454</v>
      </c>
      <c r="G382" t="s" cm="1">
        <v>442</v>
      </c>
      <c r="H382" t="s">
        <v>14</v>
      </c>
      <c r="I382" t="s">
        <v>570</v>
      </c>
      <c r="J382" t="s">
        <v>22</v>
      </c>
      <c r="K382" t="s">
        <v>49</v>
      </c>
      <c r="L382" t="s">
        <v>86</v>
      </c>
      <c r="M382" t="s">
        <v>76</v>
      </c>
      <c r="N382" t="s">
        <v>83</v>
      </c>
      <c r="P382" t="s">
        <v>14</v>
      </c>
      <c r="Q382" t="s">
        <v>14</v>
      </c>
      <c r="R382" t="s">
        <v>14</v>
      </c>
      <c r="S382" t="s">
        <v>509</v>
      </c>
      <c r="T382" t="s">
        <v>14</v>
      </c>
      <c r="U382" t="s">
        <v>14</v>
      </c>
      <c r="V382" t="s">
        <v>1186</v>
      </c>
    </row>
    <row r="383" spans="1:22" x14ac:dyDescent="0.25">
      <c r="A383">
        <v>17343601</v>
      </c>
      <c r="B383" t="s" cm="1">
        <v>430</v>
      </c>
      <c r="C383">
        <v>11</v>
      </c>
      <c r="D383" t="s">
        <v>452</v>
      </c>
      <c r="E383">
        <v>45274</v>
      </c>
      <c r="F383" t="s">
        <v>454</v>
      </c>
      <c r="G383" t="s" cm="1">
        <v>442</v>
      </c>
      <c r="H383" t="s">
        <v>14</v>
      </c>
      <c r="I383" t="s">
        <v>14</v>
      </c>
      <c r="J383" t="s">
        <v>22</v>
      </c>
      <c r="K383" t="s">
        <v>43</v>
      </c>
      <c r="L383" t="s">
        <v>1327</v>
      </c>
      <c r="M383" t="s">
        <v>76</v>
      </c>
      <c r="N383" t="s">
        <v>83</v>
      </c>
      <c r="P383" t="s">
        <v>14</v>
      </c>
      <c r="Q383" t="s">
        <v>14</v>
      </c>
      <c r="R383" t="s">
        <v>14</v>
      </c>
      <c r="S383" t="s">
        <v>14</v>
      </c>
      <c r="T383" t="s">
        <v>14</v>
      </c>
      <c r="U383" t="s">
        <v>950</v>
      </c>
      <c r="V383" t="s">
        <v>1268</v>
      </c>
    </row>
    <row r="384" spans="1:22" x14ac:dyDescent="0.25">
      <c r="A384">
        <v>17516618</v>
      </c>
      <c r="B384" t="s">
        <v>433</v>
      </c>
      <c r="C384">
        <v>11</v>
      </c>
      <c r="G384" t="e" cm="1">
        <v>#N/A</v>
      </c>
      <c r="H384" t="s">
        <v>14</v>
      </c>
      <c r="I384" t="s">
        <v>14</v>
      </c>
      <c r="J384" t="s">
        <v>38</v>
      </c>
      <c r="K384" t="s">
        <v>49</v>
      </c>
      <c r="L384" t="s">
        <v>71</v>
      </c>
      <c r="M384" t="s">
        <v>76</v>
      </c>
      <c r="N384" t="s">
        <v>14</v>
      </c>
      <c r="P384" t="e">
        <v>#N/A</v>
      </c>
      <c r="Q384" t="e">
        <v>#N/A</v>
      </c>
      <c r="R384" t="e">
        <v>#N/A</v>
      </c>
      <c r="S384" t="e">
        <v>#N/A</v>
      </c>
      <c r="T384" t="e">
        <v>#N/A</v>
      </c>
      <c r="U384" t="e">
        <v>#N/A</v>
      </c>
      <c r="V384" t="e">
        <v>#N/A</v>
      </c>
    </row>
    <row r="385" spans="1:22" x14ac:dyDescent="0.25">
      <c r="A385">
        <v>17517033</v>
      </c>
      <c r="B385" t="s">
        <v>433</v>
      </c>
      <c r="C385">
        <v>11</v>
      </c>
      <c r="G385" t="e" cm="1">
        <v>#N/A</v>
      </c>
      <c r="H385">
        <v>45268</v>
      </c>
      <c r="I385" t="s">
        <v>15</v>
      </c>
      <c r="J385" t="s">
        <v>42</v>
      </c>
      <c r="K385" t="s">
        <v>44</v>
      </c>
      <c r="L385" t="s">
        <v>1320</v>
      </c>
      <c r="M385" t="s">
        <v>76</v>
      </c>
      <c r="N385" t="s">
        <v>441</v>
      </c>
      <c r="O385" t="s">
        <v>431</v>
      </c>
      <c r="P385" t="e">
        <v>#N/A</v>
      </c>
      <c r="Q385" t="e">
        <v>#N/A</v>
      </c>
      <c r="R385" t="e">
        <v>#N/A</v>
      </c>
      <c r="S385" t="e">
        <v>#N/A</v>
      </c>
      <c r="T385" t="e">
        <v>#N/A</v>
      </c>
      <c r="U385" t="e">
        <v>#N/A</v>
      </c>
      <c r="V385" t="e">
        <v>#N/A</v>
      </c>
    </row>
    <row r="386" spans="1:22" x14ac:dyDescent="0.25">
      <c r="A386">
        <v>17517083</v>
      </c>
      <c r="B386" t="s">
        <v>433</v>
      </c>
      <c r="C386">
        <v>11</v>
      </c>
      <c r="G386" t="e" cm="1">
        <v>#N/A</v>
      </c>
      <c r="H386" t="s">
        <v>14</v>
      </c>
      <c r="I386" t="s">
        <v>14</v>
      </c>
      <c r="J386" t="s">
        <v>38</v>
      </c>
      <c r="K386" t="s">
        <v>49</v>
      </c>
      <c r="L386" t="s">
        <v>1524</v>
      </c>
      <c r="M386" t="s">
        <v>76</v>
      </c>
      <c r="N386" t="s">
        <v>14</v>
      </c>
      <c r="P386" t="e">
        <v>#N/A</v>
      </c>
      <c r="Q386" t="e">
        <v>#N/A</v>
      </c>
      <c r="R386" t="e">
        <v>#N/A</v>
      </c>
      <c r="S386" t="e">
        <v>#N/A</v>
      </c>
      <c r="T386" t="e">
        <v>#N/A</v>
      </c>
      <c r="U386" t="e">
        <v>#N/A</v>
      </c>
      <c r="V386" t="e">
        <v>#N/A</v>
      </c>
    </row>
    <row r="387" spans="1:22" x14ac:dyDescent="0.25">
      <c r="A387">
        <v>14031037</v>
      </c>
      <c r="B387" t="s" cm="1">
        <v>430</v>
      </c>
      <c r="C387">
        <v>10</v>
      </c>
      <c r="G387" t="s" cm="1">
        <v>442</v>
      </c>
      <c r="H387" t="s">
        <v>14</v>
      </c>
      <c r="I387" t="s">
        <v>14</v>
      </c>
      <c r="J387" t="s">
        <v>18</v>
      </c>
      <c r="K387" t="s">
        <v>44</v>
      </c>
      <c r="L387" t="s">
        <v>1525</v>
      </c>
      <c r="M387" t="s">
        <v>76</v>
      </c>
      <c r="N387" t="s">
        <v>83</v>
      </c>
      <c r="P387" t="s">
        <v>14</v>
      </c>
      <c r="Q387" t="s">
        <v>14</v>
      </c>
      <c r="R387" t="s">
        <v>14</v>
      </c>
      <c r="S387" t="s">
        <v>661</v>
      </c>
      <c r="T387" t="s">
        <v>14</v>
      </c>
      <c r="U387" t="s">
        <v>662</v>
      </c>
      <c r="V387" t="s">
        <v>1038</v>
      </c>
    </row>
    <row r="388" spans="1:22" x14ac:dyDescent="0.25">
      <c r="A388">
        <v>16176417</v>
      </c>
      <c r="B388" t="s">
        <v>433</v>
      </c>
      <c r="C388">
        <v>10</v>
      </c>
      <c r="G388" t="e" cm="1">
        <v>#N/A</v>
      </c>
      <c r="H388">
        <v>45265</v>
      </c>
      <c r="I388" t="s">
        <v>15</v>
      </c>
      <c r="J388" t="s">
        <v>18</v>
      </c>
      <c r="K388" t="s">
        <v>44</v>
      </c>
      <c r="L388" t="s">
        <v>395</v>
      </c>
      <c r="M388" t="s">
        <v>76</v>
      </c>
      <c r="N388" t="s">
        <v>427</v>
      </c>
      <c r="O388" t="s">
        <v>431</v>
      </c>
      <c r="P388" t="e">
        <v>#N/A</v>
      </c>
      <c r="Q388" t="e">
        <v>#N/A</v>
      </c>
      <c r="R388" t="e">
        <v>#N/A</v>
      </c>
      <c r="S388" t="e">
        <v>#N/A</v>
      </c>
      <c r="T388" t="e">
        <v>#N/A</v>
      </c>
      <c r="U388" t="e">
        <v>#N/A</v>
      </c>
      <c r="V388" t="e">
        <v>#N/A</v>
      </c>
    </row>
    <row r="389" spans="1:22" x14ac:dyDescent="0.25">
      <c r="A389">
        <v>17084940</v>
      </c>
      <c r="B389" t="s">
        <v>430</v>
      </c>
      <c r="C389">
        <v>10</v>
      </c>
      <c r="G389" t="s" cm="1">
        <v>442</v>
      </c>
      <c r="H389" t="s">
        <v>14</v>
      </c>
      <c r="I389" t="s">
        <v>593</v>
      </c>
      <c r="J389" t="s">
        <v>19</v>
      </c>
      <c r="K389" t="s">
        <v>47</v>
      </c>
      <c r="L389" t="s">
        <v>757</v>
      </c>
      <c r="M389" t="s">
        <v>76</v>
      </c>
      <c r="N389" t="s">
        <v>1605</v>
      </c>
      <c r="P389" t="e">
        <v>#N/A</v>
      </c>
      <c r="Q389" t="e">
        <v>#N/A</v>
      </c>
      <c r="R389" t="e">
        <v>#N/A</v>
      </c>
      <c r="S389" t="e">
        <v>#N/A</v>
      </c>
      <c r="T389" t="e">
        <v>#N/A</v>
      </c>
      <c r="U389" t="e">
        <v>#N/A</v>
      </c>
      <c r="V389" t="e">
        <v>#N/A</v>
      </c>
    </row>
    <row r="390" spans="1:22" x14ac:dyDescent="0.25">
      <c r="A390">
        <v>17524121</v>
      </c>
      <c r="B390" t="s">
        <v>433</v>
      </c>
      <c r="C390">
        <v>10</v>
      </c>
      <c r="G390" t="e" cm="1">
        <v>#N/A</v>
      </c>
      <c r="H390" t="s">
        <v>14</v>
      </c>
      <c r="I390" t="s">
        <v>14</v>
      </c>
      <c r="J390" t="s">
        <v>38</v>
      </c>
      <c r="K390" t="s">
        <v>49</v>
      </c>
      <c r="L390" t="s">
        <v>71</v>
      </c>
      <c r="M390" t="s">
        <v>76</v>
      </c>
      <c r="N390" t="s">
        <v>14</v>
      </c>
      <c r="P390" t="e">
        <v>#N/A</v>
      </c>
      <c r="Q390" t="e">
        <v>#N/A</v>
      </c>
      <c r="R390" t="e">
        <v>#N/A</v>
      </c>
      <c r="S390" t="e">
        <v>#N/A</v>
      </c>
      <c r="T390" t="e">
        <v>#N/A</v>
      </c>
      <c r="U390" t="e">
        <v>#N/A</v>
      </c>
      <c r="V390" t="e">
        <v>#N/A</v>
      </c>
    </row>
    <row r="391" spans="1:22" x14ac:dyDescent="0.25">
      <c r="A391">
        <v>17524493</v>
      </c>
      <c r="B391" t="s">
        <v>433</v>
      </c>
      <c r="C391">
        <v>10</v>
      </c>
      <c r="G391" t="e" cm="1">
        <v>#N/A</v>
      </c>
      <c r="H391">
        <v>45267</v>
      </c>
      <c r="I391" t="s">
        <v>15</v>
      </c>
      <c r="J391" t="s">
        <v>32</v>
      </c>
      <c r="K391" t="s">
        <v>44</v>
      </c>
      <c r="L391" t="s">
        <v>1526</v>
      </c>
      <c r="M391" t="s">
        <v>81</v>
      </c>
      <c r="N391" t="s">
        <v>1606</v>
      </c>
      <c r="O391" t="s">
        <v>431</v>
      </c>
      <c r="P391" t="e">
        <v>#N/A</v>
      </c>
      <c r="Q391" t="e">
        <v>#N/A</v>
      </c>
      <c r="R391" t="e">
        <v>#N/A</v>
      </c>
      <c r="S391" t="e">
        <v>#N/A</v>
      </c>
      <c r="T391" t="e">
        <v>#N/A</v>
      </c>
      <c r="U391" t="e">
        <v>#N/A</v>
      </c>
      <c r="V391" t="e">
        <v>#N/A</v>
      </c>
    </row>
    <row r="392" spans="1:22" x14ac:dyDescent="0.25">
      <c r="A392">
        <v>17529018</v>
      </c>
      <c r="B392" t="s">
        <v>433</v>
      </c>
      <c r="C392">
        <v>9</v>
      </c>
      <c r="G392" t="e" cm="1">
        <v>#N/A</v>
      </c>
      <c r="H392" t="s">
        <v>14</v>
      </c>
      <c r="I392" t="s">
        <v>14</v>
      </c>
      <c r="J392" t="s">
        <v>38</v>
      </c>
      <c r="K392" t="s">
        <v>49</v>
      </c>
      <c r="L392" t="s">
        <v>70</v>
      </c>
      <c r="M392" t="s">
        <v>76</v>
      </c>
      <c r="N392" t="s">
        <v>14</v>
      </c>
      <c r="P392" t="e">
        <v>#N/A</v>
      </c>
      <c r="Q392" t="e">
        <v>#N/A</v>
      </c>
      <c r="R392" t="e">
        <v>#N/A</v>
      </c>
      <c r="S392" t="e">
        <v>#N/A</v>
      </c>
      <c r="T392" t="e">
        <v>#N/A</v>
      </c>
      <c r="U392" t="e">
        <v>#N/A</v>
      </c>
      <c r="V392" t="e">
        <v>#N/A</v>
      </c>
    </row>
    <row r="393" spans="1:22" x14ac:dyDescent="0.25">
      <c r="A393">
        <v>17529104</v>
      </c>
      <c r="B393" t="s">
        <v>433</v>
      </c>
      <c r="C393">
        <v>9</v>
      </c>
      <c r="G393" t="e" cm="1">
        <v>#N/A</v>
      </c>
      <c r="H393" t="s">
        <v>14</v>
      </c>
      <c r="I393" t="s">
        <v>14</v>
      </c>
      <c r="J393" t="s">
        <v>38</v>
      </c>
      <c r="K393" t="s">
        <v>53</v>
      </c>
      <c r="L393" t="s">
        <v>71</v>
      </c>
      <c r="M393" t="s">
        <v>76</v>
      </c>
      <c r="N393" t="s">
        <v>14</v>
      </c>
      <c r="P393" t="e">
        <v>#N/A</v>
      </c>
      <c r="Q393" t="e">
        <v>#N/A</v>
      </c>
      <c r="R393" t="e">
        <v>#N/A</v>
      </c>
      <c r="S393" t="e">
        <v>#N/A</v>
      </c>
      <c r="T393" t="e">
        <v>#N/A</v>
      </c>
      <c r="U393" t="e">
        <v>#N/A</v>
      </c>
      <c r="V393" t="e">
        <v>#N/A</v>
      </c>
    </row>
    <row r="394" spans="1:22" x14ac:dyDescent="0.25">
      <c r="A394">
        <v>17043980</v>
      </c>
      <c r="B394" t="s">
        <v>433</v>
      </c>
      <c r="C394">
        <v>7</v>
      </c>
      <c r="G394" t="e" cm="1">
        <v>#N/A</v>
      </c>
      <c r="H394" t="s">
        <v>14</v>
      </c>
      <c r="I394" t="s">
        <v>14</v>
      </c>
      <c r="J394" t="s">
        <v>30</v>
      </c>
      <c r="K394" t="s">
        <v>45</v>
      </c>
      <c r="L394" t="s">
        <v>56</v>
      </c>
      <c r="M394" t="s">
        <v>81</v>
      </c>
      <c r="N394" t="s">
        <v>83</v>
      </c>
      <c r="P394" t="s">
        <v>14</v>
      </c>
      <c r="Q394" t="s">
        <v>14</v>
      </c>
      <c r="R394" t="s">
        <v>14</v>
      </c>
      <c r="S394" t="s">
        <v>475</v>
      </c>
      <c r="T394" t="s">
        <v>14</v>
      </c>
      <c r="U394" t="s">
        <v>14</v>
      </c>
      <c r="V394" t="s">
        <v>1153</v>
      </c>
    </row>
    <row r="395" spans="1:22" x14ac:dyDescent="0.25">
      <c r="A395">
        <v>17057113</v>
      </c>
      <c r="B395" t="s">
        <v>433</v>
      </c>
      <c r="C395">
        <v>7</v>
      </c>
      <c r="D395" t="s">
        <v>452</v>
      </c>
      <c r="E395" t="s">
        <v>1721</v>
      </c>
      <c r="F395" t="s">
        <v>451</v>
      </c>
      <c r="G395" t="e" cm="1">
        <v>#N/A</v>
      </c>
      <c r="H395" t="s">
        <v>14</v>
      </c>
      <c r="I395" t="s">
        <v>14</v>
      </c>
      <c r="J395" t="s">
        <v>24</v>
      </c>
      <c r="K395" t="s">
        <v>44</v>
      </c>
      <c r="L395" t="s">
        <v>392</v>
      </c>
      <c r="M395" t="s">
        <v>76</v>
      </c>
      <c r="N395" t="s">
        <v>83</v>
      </c>
      <c r="P395" t="s">
        <v>14</v>
      </c>
      <c r="Q395" t="s">
        <v>471</v>
      </c>
      <c r="R395" t="s">
        <v>471</v>
      </c>
      <c r="S395" t="s">
        <v>472</v>
      </c>
      <c r="T395" t="s">
        <v>14</v>
      </c>
      <c r="U395" t="s">
        <v>14</v>
      </c>
      <c r="V395" t="s">
        <v>1160</v>
      </c>
    </row>
    <row r="396" spans="1:22" x14ac:dyDescent="0.25">
      <c r="A396">
        <v>17090304</v>
      </c>
      <c r="B396" t="s">
        <v>433</v>
      </c>
      <c r="C396">
        <v>7</v>
      </c>
      <c r="G396" t="e" cm="1">
        <v>#N/A</v>
      </c>
      <c r="H396" t="s">
        <v>14</v>
      </c>
      <c r="I396" t="s">
        <v>14</v>
      </c>
      <c r="J396" t="s">
        <v>26</v>
      </c>
      <c r="K396" t="s">
        <v>45</v>
      </c>
      <c r="L396" t="s">
        <v>56</v>
      </c>
      <c r="M396" t="s">
        <v>81</v>
      </c>
      <c r="N396" t="s">
        <v>83</v>
      </c>
      <c r="P396" t="s">
        <v>643</v>
      </c>
      <c r="Q396" t="s">
        <v>14</v>
      </c>
      <c r="R396" t="s">
        <v>14</v>
      </c>
      <c r="S396" t="s">
        <v>643</v>
      </c>
      <c r="T396" t="s">
        <v>14</v>
      </c>
      <c r="U396" t="s">
        <v>14</v>
      </c>
      <c r="V396" t="s">
        <v>1169</v>
      </c>
    </row>
    <row r="397" spans="1:22" x14ac:dyDescent="0.25">
      <c r="A397">
        <v>17135426</v>
      </c>
      <c r="B397" t="s">
        <v>433</v>
      </c>
      <c r="C397">
        <v>7</v>
      </c>
      <c r="D397" t="s">
        <v>452</v>
      </c>
      <c r="E397">
        <v>45275</v>
      </c>
      <c r="F397" t="s">
        <v>454</v>
      </c>
      <c r="G397" t="e" cm="1">
        <v>#N/A</v>
      </c>
      <c r="H397" t="s">
        <v>14</v>
      </c>
      <c r="I397" t="s">
        <v>14</v>
      </c>
      <c r="J397" t="s">
        <v>18</v>
      </c>
      <c r="K397" t="s">
        <v>44</v>
      </c>
      <c r="L397" t="s">
        <v>63</v>
      </c>
      <c r="M397" t="s">
        <v>76</v>
      </c>
      <c r="N397" t="s">
        <v>83</v>
      </c>
      <c r="P397" t="s">
        <v>14</v>
      </c>
      <c r="Q397" t="s">
        <v>14</v>
      </c>
      <c r="R397" t="s">
        <v>14</v>
      </c>
      <c r="S397" t="s">
        <v>860</v>
      </c>
      <c r="T397" t="s">
        <v>14</v>
      </c>
      <c r="U397" t="s">
        <v>861</v>
      </c>
      <c r="V397" t="e">
        <v>#N/A</v>
      </c>
    </row>
    <row r="398" spans="1:22" x14ac:dyDescent="0.25">
      <c r="A398">
        <v>17183455</v>
      </c>
      <c r="B398" t="s">
        <v>433</v>
      </c>
      <c r="C398">
        <v>7</v>
      </c>
      <c r="G398" t="e" cm="1">
        <v>#N/A</v>
      </c>
      <c r="H398">
        <v>45264</v>
      </c>
      <c r="I398" t="s">
        <v>15</v>
      </c>
      <c r="J398" t="s">
        <v>18</v>
      </c>
      <c r="K398" t="s">
        <v>44</v>
      </c>
      <c r="L398" t="s">
        <v>395</v>
      </c>
      <c r="M398" t="s">
        <v>76</v>
      </c>
      <c r="N398" t="s">
        <v>420</v>
      </c>
      <c r="O398" t="s">
        <v>431</v>
      </c>
      <c r="P398" t="e">
        <v>#N/A</v>
      </c>
      <c r="Q398" t="e">
        <v>#N/A</v>
      </c>
      <c r="R398" t="e">
        <v>#N/A</v>
      </c>
      <c r="S398" t="e">
        <v>#N/A</v>
      </c>
      <c r="T398" t="e">
        <v>#N/A</v>
      </c>
      <c r="U398" t="e">
        <v>#N/A</v>
      </c>
      <c r="V398" t="e">
        <v>#N/A</v>
      </c>
    </row>
    <row r="399" spans="1:22" x14ac:dyDescent="0.25">
      <c r="A399">
        <v>17197591</v>
      </c>
      <c r="B399" t="s">
        <v>433</v>
      </c>
      <c r="C399">
        <v>7</v>
      </c>
      <c r="G399" t="e" cm="1">
        <v>#N/A</v>
      </c>
      <c r="H399" t="s">
        <v>14</v>
      </c>
      <c r="I399" t="s">
        <v>14</v>
      </c>
      <c r="J399" t="s">
        <v>30</v>
      </c>
      <c r="K399" t="s">
        <v>51</v>
      </c>
      <c r="L399" t="s">
        <v>406</v>
      </c>
      <c r="M399" t="s">
        <v>76</v>
      </c>
      <c r="N399" t="s">
        <v>83</v>
      </c>
      <c r="P399" t="e">
        <v>#N/A</v>
      </c>
      <c r="Q399" t="e">
        <v>#N/A</v>
      </c>
      <c r="R399" t="e">
        <v>#N/A</v>
      </c>
      <c r="S399" t="e">
        <v>#N/A</v>
      </c>
      <c r="T399" t="e">
        <v>#N/A</v>
      </c>
      <c r="U399" t="e">
        <v>#N/A</v>
      </c>
      <c r="V399" t="e">
        <v>#N/A</v>
      </c>
    </row>
    <row r="400" spans="1:22" x14ac:dyDescent="0.25">
      <c r="A400">
        <v>17533931</v>
      </c>
      <c r="B400" t="s">
        <v>433</v>
      </c>
      <c r="C400">
        <v>7</v>
      </c>
      <c r="G400" t="e" cm="1">
        <v>#N/A</v>
      </c>
      <c r="H400" t="s">
        <v>14</v>
      </c>
      <c r="I400" t="s">
        <v>14</v>
      </c>
      <c r="J400" t="s">
        <v>1413</v>
      </c>
      <c r="K400" t="s">
        <v>730</v>
      </c>
      <c r="L400" t="s">
        <v>1527</v>
      </c>
      <c r="M400" t="s">
        <v>76</v>
      </c>
      <c r="N400" t="s">
        <v>14</v>
      </c>
      <c r="P400" t="e">
        <v>#N/A</v>
      </c>
      <c r="Q400" t="e">
        <v>#N/A</v>
      </c>
      <c r="R400" t="e">
        <v>#N/A</v>
      </c>
      <c r="S400" t="e">
        <v>#N/A</v>
      </c>
      <c r="T400" t="e">
        <v>#N/A</v>
      </c>
      <c r="U400" t="e">
        <v>#N/A</v>
      </c>
      <c r="V400" t="e">
        <v>#N/A</v>
      </c>
    </row>
    <row r="401" spans="1:22" x14ac:dyDescent="0.25">
      <c r="A401">
        <v>13302752</v>
      </c>
      <c r="B401" t="s">
        <v>433</v>
      </c>
      <c r="C401">
        <v>6</v>
      </c>
      <c r="G401" t="e" cm="1">
        <v>#N/A</v>
      </c>
      <c r="H401">
        <v>45265</v>
      </c>
      <c r="I401" t="s">
        <v>15</v>
      </c>
      <c r="J401" t="s">
        <v>24</v>
      </c>
      <c r="K401" t="s">
        <v>44</v>
      </c>
      <c r="L401" t="s">
        <v>1528</v>
      </c>
      <c r="M401" t="s">
        <v>77</v>
      </c>
      <c r="N401" t="s">
        <v>427</v>
      </c>
      <c r="O401" t="s">
        <v>431</v>
      </c>
      <c r="P401" t="e">
        <v>#N/A</v>
      </c>
      <c r="Q401" t="e">
        <v>#N/A</v>
      </c>
      <c r="R401" t="e">
        <v>#N/A</v>
      </c>
      <c r="S401" t="e">
        <v>#N/A</v>
      </c>
      <c r="T401" t="e">
        <v>#N/A</v>
      </c>
      <c r="U401" t="e">
        <v>#N/A</v>
      </c>
      <c r="V401" t="e">
        <v>#N/A</v>
      </c>
    </row>
    <row r="402" spans="1:22" x14ac:dyDescent="0.25">
      <c r="A402">
        <v>16617052</v>
      </c>
      <c r="B402" t="s">
        <v>433</v>
      </c>
      <c r="C402">
        <v>6</v>
      </c>
      <c r="D402" t="s">
        <v>677</v>
      </c>
      <c r="E402">
        <v>45275</v>
      </c>
      <c r="F402" t="s">
        <v>454</v>
      </c>
      <c r="G402" t="e" cm="1">
        <v>#N/A</v>
      </c>
      <c r="H402" t="s">
        <v>14</v>
      </c>
      <c r="I402" t="s">
        <v>14</v>
      </c>
      <c r="J402" t="s">
        <v>18</v>
      </c>
      <c r="K402" t="s">
        <v>1415</v>
      </c>
      <c r="L402" t="s">
        <v>395</v>
      </c>
      <c r="M402" t="s">
        <v>76</v>
      </c>
      <c r="N402" t="s">
        <v>83</v>
      </c>
      <c r="P402" t="e">
        <v>#N/A</v>
      </c>
      <c r="Q402" t="e">
        <v>#N/A</v>
      </c>
      <c r="R402" t="e">
        <v>#N/A</v>
      </c>
      <c r="S402" t="e">
        <v>#N/A</v>
      </c>
      <c r="T402" t="e">
        <v>#N/A</v>
      </c>
      <c r="U402" t="e">
        <v>#N/A</v>
      </c>
      <c r="V402" t="e">
        <v>#N/A</v>
      </c>
    </row>
    <row r="403" spans="1:22" x14ac:dyDescent="0.25">
      <c r="A403">
        <v>17207662</v>
      </c>
      <c r="B403" t="s">
        <v>433</v>
      </c>
      <c r="C403">
        <v>6</v>
      </c>
      <c r="G403" t="e" cm="1">
        <v>#N/A</v>
      </c>
      <c r="H403" t="s">
        <v>14</v>
      </c>
      <c r="I403" t="s">
        <v>14</v>
      </c>
      <c r="J403" t="s">
        <v>30</v>
      </c>
      <c r="K403" t="s">
        <v>45</v>
      </c>
      <c r="L403" t="s">
        <v>74</v>
      </c>
      <c r="M403" t="s">
        <v>76</v>
      </c>
      <c r="N403" t="s">
        <v>83</v>
      </c>
      <c r="P403" t="e">
        <v>#N/A</v>
      </c>
      <c r="Q403" t="e">
        <v>#N/A</v>
      </c>
      <c r="R403" t="e">
        <v>#N/A</v>
      </c>
      <c r="S403" t="e">
        <v>#N/A</v>
      </c>
      <c r="T403" t="e">
        <v>#N/A</v>
      </c>
      <c r="U403" t="e">
        <v>#N/A</v>
      </c>
      <c r="V403" t="e">
        <v>#N/A</v>
      </c>
    </row>
    <row r="404" spans="1:22" x14ac:dyDescent="0.25">
      <c r="A404">
        <v>17536108</v>
      </c>
      <c r="B404" t="s">
        <v>433</v>
      </c>
      <c r="C404">
        <v>6</v>
      </c>
      <c r="G404" t="e" cm="1">
        <v>#N/A</v>
      </c>
      <c r="H404" t="s">
        <v>14</v>
      </c>
      <c r="I404" t="s">
        <v>14</v>
      </c>
      <c r="J404" t="s">
        <v>38</v>
      </c>
      <c r="K404" t="s">
        <v>49</v>
      </c>
      <c r="L404" t="s">
        <v>62</v>
      </c>
      <c r="M404" t="s">
        <v>76</v>
      </c>
      <c r="N404" t="s">
        <v>14</v>
      </c>
      <c r="P404" t="e">
        <v>#N/A</v>
      </c>
      <c r="Q404" t="e">
        <v>#N/A</v>
      </c>
      <c r="R404" t="e">
        <v>#N/A</v>
      </c>
      <c r="S404" t="e">
        <v>#N/A</v>
      </c>
      <c r="T404" t="e">
        <v>#N/A</v>
      </c>
      <c r="U404" t="e">
        <v>#N/A</v>
      </c>
      <c r="V404" t="e">
        <v>#N/A</v>
      </c>
    </row>
    <row r="405" spans="1:22" x14ac:dyDescent="0.25">
      <c r="A405">
        <v>17536113</v>
      </c>
      <c r="B405" t="s">
        <v>433</v>
      </c>
      <c r="C405">
        <v>6</v>
      </c>
      <c r="G405" t="e" cm="1">
        <v>#N/A</v>
      </c>
      <c r="H405" t="s">
        <v>14</v>
      </c>
      <c r="I405" t="s">
        <v>14</v>
      </c>
      <c r="J405" t="s">
        <v>38</v>
      </c>
      <c r="K405" t="s">
        <v>49</v>
      </c>
      <c r="L405" t="s">
        <v>1529</v>
      </c>
      <c r="M405" t="s">
        <v>76</v>
      </c>
      <c r="N405" t="s">
        <v>14</v>
      </c>
      <c r="P405" t="e">
        <v>#N/A</v>
      </c>
      <c r="Q405" t="e">
        <v>#N/A</v>
      </c>
      <c r="R405" t="e">
        <v>#N/A</v>
      </c>
      <c r="S405" t="e">
        <v>#N/A</v>
      </c>
      <c r="T405" t="e">
        <v>#N/A</v>
      </c>
      <c r="U405" t="e">
        <v>#N/A</v>
      </c>
      <c r="V405" t="e">
        <v>#N/A</v>
      </c>
    </row>
    <row r="406" spans="1:22" x14ac:dyDescent="0.25">
      <c r="A406">
        <v>17536119</v>
      </c>
      <c r="B406" t="s">
        <v>433</v>
      </c>
      <c r="C406">
        <v>6</v>
      </c>
      <c r="G406" t="e" cm="1">
        <v>#N/A</v>
      </c>
      <c r="H406" t="s">
        <v>14</v>
      </c>
      <c r="I406" t="s">
        <v>14</v>
      </c>
      <c r="J406" t="s">
        <v>38</v>
      </c>
      <c r="K406" t="s">
        <v>49</v>
      </c>
      <c r="L406" t="s">
        <v>71</v>
      </c>
      <c r="M406" t="s">
        <v>76</v>
      </c>
      <c r="N406" t="s">
        <v>14</v>
      </c>
      <c r="P406" t="e">
        <v>#N/A</v>
      </c>
      <c r="Q406" t="e">
        <v>#N/A</v>
      </c>
      <c r="R406" t="e">
        <v>#N/A</v>
      </c>
      <c r="S406" t="e">
        <v>#N/A</v>
      </c>
      <c r="T406" t="e">
        <v>#N/A</v>
      </c>
      <c r="U406" t="e">
        <v>#N/A</v>
      </c>
      <c r="V406" t="e">
        <v>#N/A</v>
      </c>
    </row>
    <row r="407" spans="1:22" x14ac:dyDescent="0.25">
      <c r="A407">
        <v>17539282</v>
      </c>
      <c r="B407" t="s">
        <v>433</v>
      </c>
      <c r="C407">
        <v>6</v>
      </c>
      <c r="G407" t="e" cm="1">
        <v>#N/A</v>
      </c>
      <c r="H407" t="s">
        <v>14</v>
      </c>
      <c r="I407" t="s">
        <v>14</v>
      </c>
      <c r="J407" t="s">
        <v>19</v>
      </c>
      <c r="K407" t="s">
        <v>53</v>
      </c>
      <c r="L407" t="s">
        <v>63</v>
      </c>
      <c r="M407" t="s">
        <v>76</v>
      </c>
      <c r="N407" t="s">
        <v>14</v>
      </c>
      <c r="P407" t="e">
        <v>#N/A</v>
      </c>
      <c r="Q407" t="e">
        <v>#N/A</v>
      </c>
      <c r="R407" t="e">
        <v>#N/A</v>
      </c>
      <c r="S407" t="e">
        <v>#N/A</v>
      </c>
      <c r="T407" t="e">
        <v>#N/A</v>
      </c>
      <c r="U407" t="e">
        <v>#N/A</v>
      </c>
      <c r="V407" t="e">
        <v>#N/A</v>
      </c>
    </row>
    <row r="408" spans="1:22" x14ac:dyDescent="0.25">
      <c r="A408">
        <v>10416914</v>
      </c>
      <c r="B408" t="s">
        <v>433</v>
      </c>
      <c r="C408">
        <v>5</v>
      </c>
      <c r="G408" t="e" cm="1">
        <v>#N/A</v>
      </c>
      <c r="H408">
        <v>45266</v>
      </c>
      <c r="I408" t="s">
        <v>15</v>
      </c>
      <c r="J408" t="s">
        <v>24</v>
      </c>
      <c r="K408" t="s">
        <v>44</v>
      </c>
      <c r="L408" t="s">
        <v>1316</v>
      </c>
      <c r="M408" t="s">
        <v>460</v>
      </c>
      <c r="N408" t="s">
        <v>461</v>
      </c>
      <c r="O408" t="s">
        <v>431</v>
      </c>
      <c r="P408" t="e">
        <v>#N/A</v>
      </c>
      <c r="Q408" t="e">
        <v>#N/A</v>
      </c>
      <c r="R408" t="e">
        <v>#N/A</v>
      </c>
      <c r="S408" t="e">
        <v>#N/A</v>
      </c>
      <c r="T408" t="e">
        <v>#N/A</v>
      </c>
      <c r="U408" t="e">
        <v>#N/A</v>
      </c>
      <c r="V408" t="e">
        <v>#N/A</v>
      </c>
    </row>
    <row r="409" spans="1:22" x14ac:dyDescent="0.25">
      <c r="A409">
        <v>15446927</v>
      </c>
      <c r="B409" t="s">
        <v>433</v>
      </c>
      <c r="C409">
        <v>5</v>
      </c>
      <c r="G409" t="e" cm="1">
        <v>#N/A</v>
      </c>
      <c r="H409">
        <v>45266</v>
      </c>
      <c r="I409" t="s">
        <v>15</v>
      </c>
      <c r="J409" t="s">
        <v>22</v>
      </c>
      <c r="K409" t="s">
        <v>43</v>
      </c>
      <c r="L409" t="s">
        <v>63</v>
      </c>
      <c r="M409" t="s">
        <v>76</v>
      </c>
      <c r="N409" t="s">
        <v>461</v>
      </c>
      <c r="O409" t="s">
        <v>431</v>
      </c>
      <c r="P409" t="e">
        <v>#N/A</v>
      </c>
      <c r="Q409" t="e">
        <v>#N/A</v>
      </c>
      <c r="R409" t="e">
        <v>#N/A</v>
      </c>
      <c r="S409" t="e">
        <v>#N/A</v>
      </c>
      <c r="T409" t="e">
        <v>#N/A</v>
      </c>
      <c r="U409" t="e">
        <v>#N/A</v>
      </c>
      <c r="V409" t="e">
        <v>#N/A</v>
      </c>
    </row>
    <row r="410" spans="1:22" x14ac:dyDescent="0.25">
      <c r="A410">
        <v>15458551</v>
      </c>
      <c r="B410" t="s">
        <v>433</v>
      </c>
      <c r="C410">
        <v>5</v>
      </c>
      <c r="G410" t="e" cm="1">
        <v>#N/A</v>
      </c>
      <c r="H410" t="s">
        <v>14</v>
      </c>
      <c r="I410" t="s">
        <v>14</v>
      </c>
      <c r="J410" t="s">
        <v>30</v>
      </c>
      <c r="K410" t="s">
        <v>44</v>
      </c>
      <c r="L410" t="s">
        <v>67</v>
      </c>
      <c r="M410" t="s">
        <v>76</v>
      </c>
      <c r="N410" t="s">
        <v>83</v>
      </c>
      <c r="P410" t="e">
        <v>#N/A</v>
      </c>
      <c r="Q410" t="e">
        <v>#N/A</v>
      </c>
      <c r="R410" t="e">
        <v>#N/A</v>
      </c>
      <c r="S410" t="e">
        <v>#N/A</v>
      </c>
      <c r="T410" t="e">
        <v>#N/A</v>
      </c>
      <c r="U410" t="e">
        <v>#N/A</v>
      </c>
      <c r="V410" t="e">
        <v>#N/A</v>
      </c>
    </row>
    <row r="411" spans="1:22" x14ac:dyDescent="0.25">
      <c r="A411">
        <v>16013312</v>
      </c>
      <c r="B411" t="s">
        <v>433</v>
      </c>
      <c r="C411">
        <v>5</v>
      </c>
      <c r="G411" t="e" cm="1">
        <v>#N/A</v>
      </c>
      <c r="H411">
        <v>45266</v>
      </c>
      <c r="I411" t="s">
        <v>15</v>
      </c>
      <c r="J411" t="s">
        <v>18</v>
      </c>
      <c r="K411" t="s">
        <v>44</v>
      </c>
      <c r="L411" t="s">
        <v>395</v>
      </c>
      <c r="M411" t="s">
        <v>76</v>
      </c>
      <c r="N411" t="s">
        <v>461</v>
      </c>
      <c r="O411" t="s">
        <v>431</v>
      </c>
      <c r="P411" t="e">
        <v>#N/A</v>
      </c>
      <c r="Q411" t="e">
        <v>#N/A</v>
      </c>
      <c r="R411" t="e">
        <v>#N/A</v>
      </c>
      <c r="S411" t="e">
        <v>#N/A</v>
      </c>
      <c r="T411" t="e">
        <v>#N/A</v>
      </c>
      <c r="U411" t="e">
        <v>#N/A</v>
      </c>
      <c r="V411" t="e">
        <v>#N/A</v>
      </c>
    </row>
    <row r="412" spans="1:22" x14ac:dyDescent="0.25">
      <c r="A412">
        <v>16157678</v>
      </c>
      <c r="B412" t="s">
        <v>433</v>
      </c>
      <c r="C412">
        <v>5</v>
      </c>
      <c r="D412" t="s">
        <v>452</v>
      </c>
      <c r="E412">
        <v>45275</v>
      </c>
      <c r="F412" t="s">
        <v>454</v>
      </c>
      <c r="G412" t="e" cm="1">
        <v>#N/A</v>
      </c>
      <c r="H412" t="s">
        <v>14</v>
      </c>
      <c r="I412" t="s">
        <v>14</v>
      </c>
      <c r="J412" t="s">
        <v>18</v>
      </c>
      <c r="K412" t="s">
        <v>387</v>
      </c>
      <c r="L412" t="s">
        <v>55</v>
      </c>
      <c r="M412" t="s">
        <v>76</v>
      </c>
      <c r="N412" t="s">
        <v>83</v>
      </c>
      <c r="P412" t="e">
        <v>#N/A</v>
      </c>
      <c r="Q412" t="e">
        <v>#N/A</v>
      </c>
      <c r="R412" t="e">
        <v>#N/A</v>
      </c>
      <c r="S412" t="e">
        <v>#N/A</v>
      </c>
      <c r="T412" t="e">
        <v>#N/A</v>
      </c>
      <c r="U412" t="e">
        <v>#N/A</v>
      </c>
      <c r="V412" t="e">
        <v>#N/A</v>
      </c>
    </row>
    <row r="413" spans="1:22" x14ac:dyDescent="0.25">
      <c r="A413">
        <v>16862202</v>
      </c>
      <c r="B413" t="s">
        <v>433</v>
      </c>
      <c r="C413">
        <v>5</v>
      </c>
      <c r="G413" t="e" cm="1">
        <v>#N/A</v>
      </c>
      <c r="H413" t="s">
        <v>14</v>
      </c>
      <c r="I413" t="s">
        <v>14</v>
      </c>
      <c r="J413" t="s">
        <v>30</v>
      </c>
      <c r="K413" t="s">
        <v>45</v>
      </c>
      <c r="L413" t="s">
        <v>74</v>
      </c>
      <c r="M413" t="s">
        <v>76</v>
      </c>
      <c r="N413" t="s">
        <v>83</v>
      </c>
      <c r="P413" t="e">
        <v>#N/A</v>
      </c>
      <c r="Q413" t="e">
        <v>#N/A</v>
      </c>
      <c r="R413" t="e">
        <v>#N/A</v>
      </c>
      <c r="S413" t="e">
        <v>#N/A</v>
      </c>
      <c r="T413" t="e">
        <v>#N/A</v>
      </c>
      <c r="U413" t="e">
        <v>#N/A</v>
      </c>
      <c r="V413" t="e">
        <v>#N/A</v>
      </c>
    </row>
    <row r="414" spans="1:22" x14ac:dyDescent="0.25">
      <c r="A414">
        <v>17037289</v>
      </c>
      <c r="B414" t="s">
        <v>433</v>
      </c>
      <c r="C414">
        <v>5</v>
      </c>
      <c r="G414" t="e" cm="1">
        <v>#N/A</v>
      </c>
      <c r="H414">
        <v>45266</v>
      </c>
      <c r="I414" t="s">
        <v>15</v>
      </c>
      <c r="J414" t="s">
        <v>42</v>
      </c>
      <c r="K414" t="s">
        <v>1313</v>
      </c>
      <c r="L414" t="s">
        <v>672</v>
      </c>
      <c r="M414" t="s">
        <v>76</v>
      </c>
      <c r="N414" t="s">
        <v>1595</v>
      </c>
      <c r="O414" t="s">
        <v>431</v>
      </c>
      <c r="P414" t="e">
        <v>#N/A</v>
      </c>
      <c r="Q414" t="e">
        <v>#N/A</v>
      </c>
      <c r="R414" t="e">
        <v>#N/A</v>
      </c>
      <c r="S414" t="e">
        <v>#N/A</v>
      </c>
      <c r="T414" t="e">
        <v>#N/A</v>
      </c>
      <c r="U414" t="e">
        <v>#N/A</v>
      </c>
      <c r="V414" t="e">
        <v>#N/A</v>
      </c>
    </row>
    <row r="415" spans="1:22" x14ac:dyDescent="0.25">
      <c r="A415">
        <v>17276792</v>
      </c>
      <c r="B415" t="s">
        <v>433</v>
      </c>
      <c r="C415">
        <v>5</v>
      </c>
      <c r="G415" t="e" cm="1">
        <v>#N/A</v>
      </c>
      <c r="H415">
        <v>45266</v>
      </c>
      <c r="I415" t="s">
        <v>15</v>
      </c>
      <c r="J415" t="s">
        <v>22</v>
      </c>
      <c r="K415" t="s">
        <v>44</v>
      </c>
      <c r="L415" t="s">
        <v>55</v>
      </c>
      <c r="M415" t="s">
        <v>76</v>
      </c>
      <c r="N415" t="s">
        <v>461</v>
      </c>
      <c r="O415" t="s">
        <v>431</v>
      </c>
      <c r="P415" t="e">
        <v>#N/A</v>
      </c>
      <c r="Q415" t="e">
        <v>#N/A</v>
      </c>
      <c r="R415" t="e">
        <v>#N/A</v>
      </c>
      <c r="S415" t="e">
        <v>#N/A</v>
      </c>
      <c r="T415" t="e">
        <v>#N/A</v>
      </c>
      <c r="U415" t="e">
        <v>#N/A</v>
      </c>
      <c r="V415" t="e">
        <v>#N/A</v>
      </c>
    </row>
    <row r="416" spans="1:22" x14ac:dyDescent="0.25">
      <c r="A416">
        <v>17542425</v>
      </c>
      <c r="B416" t="s">
        <v>433</v>
      </c>
      <c r="C416">
        <v>5</v>
      </c>
      <c r="G416" t="e" cm="1">
        <v>#N/A</v>
      </c>
      <c r="H416" t="s">
        <v>14</v>
      </c>
      <c r="I416" t="s">
        <v>14</v>
      </c>
      <c r="J416" t="s">
        <v>38</v>
      </c>
      <c r="K416" t="s">
        <v>49</v>
      </c>
      <c r="L416" t="s">
        <v>71</v>
      </c>
      <c r="M416" t="s">
        <v>76</v>
      </c>
      <c r="N416" t="s">
        <v>14</v>
      </c>
      <c r="P416" t="e">
        <v>#N/A</v>
      </c>
      <c r="Q416" t="e">
        <v>#N/A</v>
      </c>
      <c r="R416" t="e">
        <v>#N/A</v>
      </c>
      <c r="S416" t="e">
        <v>#N/A</v>
      </c>
      <c r="T416" t="e">
        <v>#N/A</v>
      </c>
      <c r="U416" t="e">
        <v>#N/A</v>
      </c>
      <c r="V416" t="e">
        <v>#N/A</v>
      </c>
    </row>
    <row r="417" spans="1:22" x14ac:dyDescent="0.25">
      <c r="A417">
        <v>17542798</v>
      </c>
      <c r="B417" t="s">
        <v>433</v>
      </c>
      <c r="C417">
        <v>5</v>
      </c>
      <c r="G417" t="e" cm="1">
        <v>#N/A</v>
      </c>
      <c r="H417" t="s">
        <v>14</v>
      </c>
      <c r="I417" t="s">
        <v>14</v>
      </c>
      <c r="J417" t="s">
        <v>38</v>
      </c>
      <c r="K417" t="s">
        <v>49</v>
      </c>
      <c r="L417" t="s">
        <v>405</v>
      </c>
      <c r="M417" t="s">
        <v>76</v>
      </c>
      <c r="N417" t="s">
        <v>14</v>
      </c>
      <c r="P417" t="e">
        <v>#N/A</v>
      </c>
      <c r="Q417" t="e">
        <v>#N/A</v>
      </c>
      <c r="R417" t="e">
        <v>#N/A</v>
      </c>
      <c r="S417" t="e">
        <v>#N/A</v>
      </c>
      <c r="T417" t="e">
        <v>#N/A</v>
      </c>
      <c r="U417" t="e">
        <v>#N/A</v>
      </c>
      <c r="V417" t="e">
        <v>#N/A</v>
      </c>
    </row>
    <row r="418" spans="1:22" x14ac:dyDescent="0.25">
      <c r="A418">
        <v>15765932</v>
      </c>
      <c r="B418" t="s">
        <v>433</v>
      </c>
      <c r="C418">
        <v>4</v>
      </c>
      <c r="G418" t="e" cm="1">
        <v>#N/A</v>
      </c>
      <c r="H418">
        <v>45267</v>
      </c>
      <c r="I418" t="s">
        <v>15</v>
      </c>
      <c r="J418" t="s">
        <v>22</v>
      </c>
      <c r="K418" t="s">
        <v>731</v>
      </c>
      <c r="L418" t="s">
        <v>63</v>
      </c>
      <c r="M418" t="s">
        <v>76</v>
      </c>
      <c r="N418" t="s">
        <v>1607</v>
      </c>
      <c r="O418" t="s">
        <v>431</v>
      </c>
      <c r="P418" t="e">
        <v>#N/A</v>
      </c>
      <c r="Q418" t="e">
        <v>#N/A</v>
      </c>
      <c r="R418" t="e">
        <v>#N/A</v>
      </c>
      <c r="S418" t="e">
        <v>#N/A</v>
      </c>
      <c r="T418" t="e">
        <v>#N/A</v>
      </c>
      <c r="U418" t="e">
        <v>#N/A</v>
      </c>
      <c r="V418" t="e">
        <v>#N/A</v>
      </c>
    </row>
    <row r="419" spans="1:22" x14ac:dyDescent="0.25">
      <c r="A419">
        <v>16412326</v>
      </c>
      <c r="B419" t="s">
        <v>433</v>
      </c>
      <c r="C419">
        <v>4</v>
      </c>
      <c r="G419" t="e" cm="1">
        <v>#N/A</v>
      </c>
      <c r="H419" t="s">
        <v>14</v>
      </c>
      <c r="I419" t="s">
        <v>14</v>
      </c>
      <c r="J419" t="s">
        <v>30</v>
      </c>
      <c r="K419" t="s">
        <v>44</v>
      </c>
      <c r="L419" t="s">
        <v>1489</v>
      </c>
      <c r="M419" t="s">
        <v>78</v>
      </c>
      <c r="N419" t="s">
        <v>83</v>
      </c>
      <c r="P419" t="e">
        <v>#N/A</v>
      </c>
      <c r="Q419" t="e">
        <v>#N/A</v>
      </c>
      <c r="R419" t="e">
        <v>#N/A</v>
      </c>
      <c r="S419" t="e">
        <v>#N/A</v>
      </c>
      <c r="T419" t="e">
        <v>#N/A</v>
      </c>
      <c r="U419" t="e">
        <v>#N/A</v>
      </c>
      <c r="V419" t="e">
        <v>#N/A</v>
      </c>
    </row>
    <row r="420" spans="1:22" x14ac:dyDescent="0.25">
      <c r="A420">
        <v>16423606</v>
      </c>
      <c r="B420" t="s">
        <v>433</v>
      </c>
      <c r="C420">
        <v>4</v>
      </c>
      <c r="G420" t="e" cm="1">
        <v>#N/A</v>
      </c>
      <c r="H420" t="s">
        <v>14</v>
      </c>
      <c r="I420" t="s">
        <v>14</v>
      </c>
      <c r="J420" t="s">
        <v>26</v>
      </c>
      <c r="K420" t="s">
        <v>44</v>
      </c>
      <c r="L420" t="s">
        <v>1530</v>
      </c>
      <c r="M420" t="s">
        <v>78</v>
      </c>
      <c r="N420" t="s">
        <v>83</v>
      </c>
      <c r="P420" t="e">
        <v>#N/A</v>
      </c>
      <c r="Q420" t="e">
        <v>#N/A</v>
      </c>
      <c r="R420" t="e">
        <v>#N/A</v>
      </c>
      <c r="S420" t="e">
        <v>#N/A</v>
      </c>
      <c r="T420" t="e">
        <v>#N/A</v>
      </c>
      <c r="U420" t="e">
        <v>#N/A</v>
      </c>
      <c r="V420" t="e">
        <v>#N/A</v>
      </c>
    </row>
    <row r="421" spans="1:22" x14ac:dyDescent="0.25">
      <c r="A421">
        <v>16695815</v>
      </c>
      <c r="B421" t="s">
        <v>433</v>
      </c>
      <c r="C421">
        <v>4</v>
      </c>
      <c r="G421" t="e" cm="1">
        <v>#N/A</v>
      </c>
      <c r="H421" t="s">
        <v>14</v>
      </c>
      <c r="I421" t="s">
        <v>14</v>
      </c>
      <c r="J421" t="s">
        <v>30</v>
      </c>
      <c r="K421" t="s">
        <v>44</v>
      </c>
      <c r="L421" t="s">
        <v>74</v>
      </c>
      <c r="M421" t="s">
        <v>76</v>
      </c>
      <c r="N421" t="s">
        <v>83</v>
      </c>
      <c r="P421" t="e">
        <v>#N/A</v>
      </c>
      <c r="Q421" t="e">
        <v>#N/A</v>
      </c>
      <c r="R421" t="e">
        <v>#N/A</v>
      </c>
      <c r="S421" t="e">
        <v>#N/A</v>
      </c>
      <c r="T421" t="e">
        <v>#N/A</v>
      </c>
      <c r="U421" t="e">
        <v>#N/A</v>
      </c>
      <c r="V421" t="e">
        <v>#N/A</v>
      </c>
    </row>
    <row r="422" spans="1:22" x14ac:dyDescent="0.25">
      <c r="A422">
        <v>16794354</v>
      </c>
      <c r="B422" t="s">
        <v>433</v>
      </c>
      <c r="C422">
        <v>4</v>
      </c>
      <c r="D422" t="s">
        <v>452</v>
      </c>
      <c r="E422">
        <v>45275</v>
      </c>
      <c r="F422" t="s">
        <v>454</v>
      </c>
      <c r="G422" t="e" cm="1">
        <v>#N/A</v>
      </c>
      <c r="H422" t="s">
        <v>14</v>
      </c>
      <c r="I422" t="s">
        <v>14</v>
      </c>
      <c r="J422" t="s">
        <v>18</v>
      </c>
      <c r="K422" t="s">
        <v>48</v>
      </c>
      <c r="L422" t="s">
        <v>55</v>
      </c>
      <c r="M422" t="s">
        <v>76</v>
      </c>
      <c r="N422" t="s">
        <v>83</v>
      </c>
      <c r="P422" t="e">
        <v>#N/A</v>
      </c>
      <c r="Q422" t="e">
        <v>#N/A</v>
      </c>
      <c r="R422" t="e">
        <v>#N/A</v>
      </c>
      <c r="S422" t="e">
        <v>#N/A</v>
      </c>
      <c r="T422" t="e">
        <v>#N/A</v>
      </c>
      <c r="U422" t="e">
        <v>#N/A</v>
      </c>
      <c r="V422" t="e">
        <v>#N/A</v>
      </c>
    </row>
    <row r="423" spans="1:22" x14ac:dyDescent="0.25">
      <c r="A423">
        <v>16982638</v>
      </c>
      <c r="B423" t="s">
        <v>433</v>
      </c>
      <c r="C423">
        <v>4</v>
      </c>
      <c r="G423" t="e" cm="1">
        <v>#N/A</v>
      </c>
      <c r="H423" t="s">
        <v>14</v>
      </c>
      <c r="I423" t="s">
        <v>14</v>
      </c>
      <c r="J423" t="s">
        <v>30</v>
      </c>
      <c r="K423" t="s">
        <v>50</v>
      </c>
      <c r="L423" t="s">
        <v>1531</v>
      </c>
      <c r="M423" t="s">
        <v>76</v>
      </c>
      <c r="N423" t="s">
        <v>83</v>
      </c>
      <c r="P423" t="e">
        <v>#N/A</v>
      </c>
      <c r="Q423" t="e">
        <v>#N/A</v>
      </c>
      <c r="R423" t="e">
        <v>#N/A</v>
      </c>
      <c r="S423" t="e">
        <v>#N/A</v>
      </c>
      <c r="T423" t="e">
        <v>#N/A</v>
      </c>
      <c r="U423" t="e">
        <v>#N/A</v>
      </c>
      <c r="V423" t="e">
        <v>#N/A</v>
      </c>
    </row>
    <row r="424" spans="1:22" x14ac:dyDescent="0.25">
      <c r="A424">
        <v>17142791</v>
      </c>
      <c r="B424" t="s">
        <v>433</v>
      </c>
      <c r="C424">
        <v>4</v>
      </c>
      <c r="G424" t="e" cm="1">
        <v>#N/A</v>
      </c>
      <c r="H424" t="s">
        <v>14</v>
      </c>
      <c r="I424" t="s">
        <v>14</v>
      </c>
      <c r="J424" t="s">
        <v>30</v>
      </c>
      <c r="K424" t="s">
        <v>44</v>
      </c>
      <c r="L424" t="s">
        <v>58</v>
      </c>
      <c r="M424" t="s">
        <v>76</v>
      </c>
      <c r="N424" t="s">
        <v>83</v>
      </c>
      <c r="P424" t="e">
        <v>#N/A</v>
      </c>
      <c r="Q424" t="e">
        <v>#N/A</v>
      </c>
      <c r="R424" t="e">
        <v>#N/A</v>
      </c>
      <c r="S424" t="e">
        <v>#N/A</v>
      </c>
      <c r="T424" t="e">
        <v>#N/A</v>
      </c>
      <c r="U424" t="e">
        <v>#N/A</v>
      </c>
      <c r="V424" t="e">
        <v>#N/A</v>
      </c>
    </row>
    <row r="425" spans="1:22" x14ac:dyDescent="0.25">
      <c r="A425">
        <v>17481962</v>
      </c>
      <c r="B425" t="s">
        <v>433</v>
      </c>
      <c r="C425">
        <v>4</v>
      </c>
      <c r="G425" t="e" cm="1">
        <v>#N/A</v>
      </c>
      <c r="H425">
        <v>45267</v>
      </c>
      <c r="I425" t="s">
        <v>15</v>
      </c>
      <c r="J425" t="s">
        <v>25</v>
      </c>
      <c r="K425" t="s">
        <v>44</v>
      </c>
      <c r="L425" t="s">
        <v>1532</v>
      </c>
      <c r="M425" t="s">
        <v>76</v>
      </c>
      <c r="N425" t="s">
        <v>1606</v>
      </c>
      <c r="O425" t="s">
        <v>431</v>
      </c>
      <c r="P425" t="e">
        <v>#N/A</v>
      </c>
      <c r="Q425" t="e">
        <v>#N/A</v>
      </c>
      <c r="R425" t="e">
        <v>#N/A</v>
      </c>
      <c r="S425" t="e">
        <v>#N/A</v>
      </c>
      <c r="T425" t="e">
        <v>#N/A</v>
      </c>
      <c r="U425" t="e">
        <v>#N/A</v>
      </c>
      <c r="V425" t="e">
        <v>#N/A</v>
      </c>
    </row>
    <row r="426" spans="1:22" x14ac:dyDescent="0.25">
      <c r="A426">
        <v>10806353</v>
      </c>
      <c r="B426" t="s">
        <v>433</v>
      </c>
      <c r="C426">
        <v>3</v>
      </c>
      <c r="G426" t="e" cm="1">
        <v>#N/A</v>
      </c>
      <c r="H426">
        <v>45268</v>
      </c>
      <c r="I426" t="s">
        <v>15</v>
      </c>
      <c r="J426" t="s">
        <v>18</v>
      </c>
      <c r="K426" t="s">
        <v>44</v>
      </c>
      <c r="L426" t="s">
        <v>56</v>
      </c>
      <c r="M426" t="s">
        <v>77</v>
      </c>
      <c r="N426" t="s">
        <v>441</v>
      </c>
      <c r="O426" t="s">
        <v>431</v>
      </c>
      <c r="P426" t="e">
        <v>#N/A</v>
      </c>
      <c r="Q426" t="e">
        <v>#N/A</v>
      </c>
      <c r="R426" t="e">
        <v>#N/A</v>
      </c>
      <c r="S426" t="e">
        <v>#N/A</v>
      </c>
      <c r="T426" t="e">
        <v>#N/A</v>
      </c>
      <c r="U426" t="e">
        <v>#N/A</v>
      </c>
      <c r="V426" t="e">
        <v>#N/A</v>
      </c>
    </row>
    <row r="427" spans="1:22" x14ac:dyDescent="0.25">
      <c r="A427">
        <v>11177613</v>
      </c>
      <c r="B427" t="s">
        <v>433</v>
      </c>
      <c r="C427">
        <v>3</v>
      </c>
      <c r="G427" t="e" cm="1">
        <v>#N/A</v>
      </c>
      <c r="H427">
        <v>45268</v>
      </c>
      <c r="I427" t="s">
        <v>15</v>
      </c>
      <c r="J427" t="s">
        <v>24</v>
      </c>
      <c r="K427" t="s">
        <v>44</v>
      </c>
      <c r="L427" t="s">
        <v>737</v>
      </c>
      <c r="M427" t="s">
        <v>77</v>
      </c>
      <c r="N427" t="s">
        <v>441</v>
      </c>
      <c r="O427" t="s">
        <v>431</v>
      </c>
      <c r="P427" t="e">
        <v>#N/A</v>
      </c>
      <c r="Q427" t="e">
        <v>#N/A</v>
      </c>
      <c r="R427" t="e">
        <v>#N/A</v>
      </c>
      <c r="S427" t="e">
        <v>#N/A</v>
      </c>
      <c r="T427" t="e">
        <v>#N/A</v>
      </c>
      <c r="U427" t="e">
        <v>#N/A</v>
      </c>
      <c r="V427" t="e">
        <v>#N/A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B9C707-5285-4DF9-9EE9-B50E88C35DA8}">
  <sheetPr codeName="Sheet4"/>
  <dimension ref="A1:C264"/>
  <sheetViews>
    <sheetView workbookViewId="0">
      <selection activeCell="I26" sqref="I26"/>
    </sheetView>
  </sheetViews>
  <sheetFormatPr defaultRowHeight="15" x14ac:dyDescent="0.25"/>
  <cols>
    <col min="1" max="2" width="66.28515625" bestFit="1" customWidth="1"/>
    <col min="3" max="3" width="13.85546875" bestFit="1" customWidth="1"/>
    <col min="4" max="4" width="13.140625" bestFit="1" customWidth="1"/>
  </cols>
  <sheetData>
    <row r="1" spans="1:3" x14ac:dyDescent="0.25">
      <c r="A1" t="s">
        <v>117</v>
      </c>
      <c r="B1" t="s">
        <v>118</v>
      </c>
      <c r="C1" t="s">
        <v>119</v>
      </c>
    </row>
    <row r="2" spans="1:3" x14ac:dyDescent="0.25">
      <c r="A2" t="s">
        <v>120</v>
      </c>
      <c r="B2" t="s">
        <v>120</v>
      </c>
      <c r="C2" t="s">
        <v>120</v>
      </c>
    </row>
    <row r="3" spans="1:3" x14ac:dyDescent="0.25">
      <c r="A3" t="s">
        <v>122</v>
      </c>
      <c r="B3" t="s">
        <v>121</v>
      </c>
      <c r="C3" t="s">
        <v>121</v>
      </c>
    </row>
    <row r="4" spans="1:3" x14ac:dyDescent="0.25">
      <c r="A4" t="s">
        <v>123</v>
      </c>
      <c r="B4" t="s">
        <v>122</v>
      </c>
      <c r="C4" t="s">
        <v>122</v>
      </c>
    </row>
    <row r="5" spans="1:3" x14ac:dyDescent="0.25">
      <c r="A5" t="s">
        <v>124</v>
      </c>
      <c r="B5" t="s">
        <v>123</v>
      </c>
      <c r="C5" t="s">
        <v>123</v>
      </c>
    </row>
    <row r="6" spans="1:3" x14ac:dyDescent="0.25">
      <c r="A6" t="s">
        <v>125</v>
      </c>
      <c r="B6" t="s">
        <v>124</v>
      </c>
      <c r="C6" t="s">
        <v>124</v>
      </c>
    </row>
    <row r="7" spans="1:3" x14ac:dyDescent="0.25">
      <c r="A7" t="s">
        <v>126</v>
      </c>
      <c r="B7" t="s">
        <v>125</v>
      </c>
      <c r="C7" t="s">
        <v>125</v>
      </c>
    </row>
    <row r="8" spans="1:3" x14ac:dyDescent="0.25">
      <c r="A8" t="s">
        <v>127</v>
      </c>
      <c r="B8" t="s">
        <v>126</v>
      </c>
      <c r="C8" t="s">
        <v>374</v>
      </c>
    </row>
    <row r="9" spans="1:3" x14ac:dyDescent="0.25">
      <c r="A9" t="s">
        <v>128</v>
      </c>
      <c r="B9" t="s">
        <v>127</v>
      </c>
      <c r="C9" t="s">
        <v>126</v>
      </c>
    </row>
    <row r="10" spans="1:3" x14ac:dyDescent="0.25">
      <c r="A10" t="s">
        <v>353</v>
      </c>
      <c r="B10" t="s">
        <v>128</v>
      </c>
      <c r="C10" t="s">
        <v>127</v>
      </c>
    </row>
    <row r="11" spans="1:3" x14ac:dyDescent="0.25">
      <c r="A11" t="s">
        <v>129</v>
      </c>
      <c r="B11" t="s">
        <v>129</v>
      </c>
      <c r="C11" t="s">
        <v>128</v>
      </c>
    </row>
    <row r="12" spans="1:3" x14ac:dyDescent="0.25">
      <c r="A12" t="s">
        <v>130</v>
      </c>
      <c r="B12" t="s">
        <v>130</v>
      </c>
      <c r="C12" t="s">
        <v>129</v>
      </c>
    </row>
    <row r="13" spans="1:3" x14ac:dyDescent="0.25">
      <c r="A13" t="s">
        <v>131</v>
      </c>
      <c r="B13" t="s">
        <v>131</v>
      </c>
      <c r="C13" t="s">
        <v>130</v>
      </c>
    </row>
    <row r="14" spans="1:3" x14ac:dyDescent="0.25">
      <c r="A14" t="s">
        <v>132</v>
      </c>
      <c r="B14" t="s">
        <v>132</v>
      </c>
      <c r="C14" t="s">
        <v>131</v>
      </c>
    </row>
    <row r="15" spans="1:3" x14ac:dyDescent="0.25">
      <c r="A15" t="s">
        <v>133</v>
      </c>
      <c r="B15" t="s">
        <v>133</v>
      </c>
      <c r="C15" t="s">
        <v>132</v>
      </c>
    </row>
    <row r="16" spans="1:3" x14ac:dyDescent="0.25">
      <c r="A16" t="s">
        <v>134</v>
      </c>
      <c r="B16" t="s">
        <v>134</v>
      </c>
      <c r="C16" t="s">
        <v>133</v>
      </c>
    </row>
    <row r="17" spans="1:3" x14ac:dyDescent="0.25">
      <c r="A17" t="s">
        <v>135</v>
      </c>
      <c r="B17" t="s">
        <v>135</v>
      </c>
      <c r="C17" t="s">
        <v>134</v>
      </c>
    </row>
    <row r="18" spans="1:3" x14ac:dyDescent="0.25">
      <c r="A18" t="s">
        <v>136</v>
      </c>
      <c r="B18" t="s">
        <v>136</v>
      </c>
      <c r="C18" t="s">
        <v>135</v>
      </c>
    </row>
    <row r="19" spans="1:3" x14ac:dyDescent="0.25">
      <c r="A19" t="s">
        <v>137</v>
      </c>
      <c r="B19" t="s">
        <v>137</v>
      </c>
      <c r="C19" t="s">
        <v>136</v>
      </c>
    </row>
    <row r="20" spans="1:3" x14ac:dyDescent="0.25">
      <c r="A20" t="s">
        <v>138</v>
      </c>
      <c r="B20" t="s">
        <v>138</v>
      </c>
      <c r="C20" t="s">
        <v>137</v>
      </c>
    </row>
    <row r="21" spans="1:3" x14ac:dyDescent="0.25">
      <c r="A21" t="s">
        <v>139</v>
      </c>
      <c r="B21" t="s">
        <v>139</v>
      </c>
      <c r="C21" t="s">
        <v>138</v>
      </c>
    </row>
    <row r="22" spans="1:3" x14ac:dyDescent="0.25">
      <c r="A22" t="s">
        <v>354</v>
      </c>
      <c r="B22" t="s">
        <v>98</v>
      </c>
      <c r="C22" t="s">
        <v>139</v>
      </c>
    </row>
    <row r="23" spans="1:3" x14ac:dyDescent="0.25">
      <c r="A23" t="s">
        <v>140</v>
      </c>
      <c r="B23" t="s">
        <v>99</v>
      </c>
      <c r="C23" t="s">
        <v>98</v>
      </c>
    </row>
    <row r="24" spans="1:3" x14ac:dyDescent="0.25">
      <c r="A24" t="s">
        <v>355</v>
      </c>
      <c r="B24" t="s">
        <v>100</v>
      </c>
      <c r="C24" t="s">
        <v>99</v>
      </c>
    </row>
    <row r="25" spans="1:3" x14ac:dyDescent="0.25">
      <c r="A25" t="s">
        <v>356</v>
      </c>
      <c r="B25" t="s">
        <v>101</v>
      </c>
      <c r="C25" t="s">
        <v>100</v>
      </c>
    </row>
    <row r="26" spans="1:3" x14ac:dyDescent="0.25">
      <c r="A26" t="s">
        <v>357</v>
      </c>
      <c r="B26" t="s">
        <v>102</v>
      </c>
      <c r="C26" t="s">
        <v>101</v>
      </c>
    </row>
    <row r="27" spans="1:3" x14ac:dyDescent="0.25">
      <c r="A27" t="s">
        <v>358</v>
      </c>
      <c r="B27" t="s">
        <v>103</v>
      </c>
      <c r="C27" t="s">
        <v>102</v>
      </c>
    </row>
    <row r="28" spans="1:3" x14ac:dyDescent="0.25">
      <c r="A28" t="s">
        <v>359</v>
      </c>
      <c r="B28" t="s">
        <v>140</v>
      </c>
      <c r="C28" t="s">
        <v>103</v>
      </c>
    </row>
    <row r="29" spans="1:3" x14ac:dyDescent="0.25">
      <c r="A29" t="s">
        <v>360</v>
      </c>
      <c r="B29" t="s">
        <v>141</v>
      </c>
      <c r="C29" t="s">
        <v>140</v>
      </c>
    </row>
    <row r="30" spans="1:3" x14ac:dyDescent="0.25">
      <c r="A30" t="s">
        <v>141</v>
      </c>
      <c r="B30" t="s">
        <v>142</v>
      </c>
      <c r="C30" t="s">
        <v>141</v>
      </c>
    </row>
    <row r="31" spans="1:3" x14ac:dyDescent="0.25">
      <c r="A31" t="s">
        <v>142</v>
      </c>
      <c r="B31" t="s">
        <v>143</v>
      </c>
      <c r="C31" t="s">
        <v>142</v>
      </c>
    </row>
    <row r="32" spans="1:3" x14ac:dyDescent="0.25">
      <c r="A32" t="s">
        <v>361</v>
      </c>
      <c r="B32" t="s">
        <v>144</v>
      </c>
      <c r="C32" t="s">
        <v>143</v>
      </c>
    </row>
    <row r="33" spans="1:3" x14ac:dyDescent="0.25">
      <c r="A33" t="s">
        <v>143</v>
      </c>
      <c r="B33" t="s">
        <v>145</v>
      </c>
      <c r="C33" t="s">
        <v>144</v>
      </c>
    </row>
    <row r="34" spans="1:3" x14ac:dyDescent="0.25">
      <c r="A34" t="s">
        <v>144</v>
      </c>
      <c r="B34" t="s">
        <v>146</v>
      </c>
      <c r="C34" t="s">
        <v>145</v>
      </c>
    </row>
    <row r="35" spans="1:3" x14ac:dyDescent="0.25">
      <c r="A35" t="s">
        <v>145</v>
      </c>
      <c r="B35" t="s">
        <v>147</v>
      </c>
      <c r="C35" t="s">
        <v>146</v>
      </c>
    </row>
    <row r="36" spans="1:3" x14ac:dyDescent="0.25">
      <c r="A36" t="s">
        <v>146</v>
      </c>
      <c r="B36" t="s">
        <v>148</v>
      </c>
      <c r="C36" t="s">
        <v>147</v>
      </c>
    </row>
    <row r="37" spans="1:3" x14ac:dyDescent="0.25">
      <c r="A37" t="s">
        <v>147</v>
      </c>
      <c r="B37" t="s">
        <v>149</v>
      </c>
      <c r="C37" t="s">
        <v>148</v>
      </c>
    </row>
    <row r="38" spans="1:3" x14ac:dyDescent="0.25">
      <c r="A38" t="s">
        <v>148</v>
      </c>
      <c r="B38" t="s">
        <v>150</v>
      </c>
      <c r="C38" t="s">
        <v>149</v>
      </c>
    </row>
    <row r="39" spans="1:3" x14ac:dyDescent="0.25">
      <c r="A39" t="s">
        <v>149</v>
      </c>
      <c r="B39" t="s">
        <v>151</v>
      </c>
      <c r="C39" t="s">
        <v>150</v>
      </c>
    </row>
    <row r="40" spans="1:3" x14ac:dyDescent="0.25">
      <c r="A40" t="s">
        <v>150</v>
      </c>
      <c r="B40" t="s">
        <v>152</v>
      </c>
      <c r="C40" t="s">
        <v>151</v>
      </c>
    </row>
    <row r="41" spans="1:3" x14ac:dyDescent="0.25">
      <c r="A41" t="s">
        <v>151</v>
      </c>
      <c r="B41" t="s">
        <v>153</v>
      </c>
      <c r="C41" t="s">
        <v>152</v>
      </c>
    </row>
    <row r="42" spans="1:3" x14ac:dyDescent="0.25">
      <c r="A42" t="s">
        <v>152</v>
      </c>
      <c r="B42" t="s">
        <v>154</v>
      </c>
      <c r="C42" t="s">
        <v>153</v>
      </c>
    </row>
    <row r="43" spans="1:3" x14ac:dyDescent="0.25">
      <c r="A43" t="s">
        <v>153</v>
      </c>
      <c r="B43" t="s">
        <v>155</v>
      </c>
      <c r="C43" t="s">
        <v>154</v>
      </c>
    </row>
    <row r="44" spans="1:3" x14ac:dyDescent="0.25">
      <c r="A44" t="s">
        <v>154</v>
      </c>
      <c r="B44" t="s">
        <v>156</v>
      </c>
      <c r="C44" t="s">
        <v>155</v>
      </c>
    </row>
    <row r="45" spans="1:3" x14ac:dyDescent="0.25">
      <c r="A45" t="s">
        <v>155</v>
      </c>
      <c r="B45" t="s">
        <v>157</v>
      </c>
      <c r="C45" t="s">
        <v>156</v>
      </c>
    </row>
    <row r="46" spans="1:3" x14ac:dyDescent="0.25">
      <c r="A46" t="s">
        <v>156</v>
      </c>
      <c r="B46" t="s">
        <v>158</v>
      </c>
      <c r="C46" t="s">
        <v>157</v>
      </c>
    </row>
    <row r="47" spans="1:3" x14ac:dyDescent="0.25">
      <c r="A47" t="s">
        <v>157</v>
      </c>
      <c r="B47" t="s">
        <v>159</v>
      </c>
      <c r="C47" t="s">
        <v>158</v>
      </c>
    </row>
    <row r="48" spans="1:3" x14ac:dyDescent="0.25">
      <c r="A48" t="s">
        <v>160</v>
      </c>
      <c r="B48" t="s">
        <v>160</v>
      </c>
      <c r="C48" t="s">
        <v>159</v>
      </c>
    </row>
    <row r="49" spans="1:3" x14ac:dyDescent="0.25">
      <c r="A49" t="s">
        <v>161</v>
      </c>
      <c r="B49" t="s">
        <v>161</v>
      </c>
      <c r="C49" t="s">
        <v>160</v>
      </c>
    </row>
    <row r="50" spans="1:3" x14ac:dyDescent="0.25">
      <c r="A50" t="s">
        <v>162</v>
      </c>
      <c r="B50" t="s">
        <v>162</v>
      </c>
      <c r="C50" t="s">
        <v>161</v>
      </c>
    </row>
    <row r="51" spans="1:3" x14ac:dyDescent="0.25">
      <c r="A51" t="s">
        <v>163</v>
      </c>
      <c r="B51" t="s">
        <v>163</v>
      </c>
      <c r="C51" t="s">
        <v>162</v>
      </c>
    </row>
    <row r="52" spans="1:3" x14ac:dyDescent="0.25">
      <c r="A52" t="s">
        <v>164</v>
      </c>
      <c r="B52" t="s">
        <v>164</v>
      </c>
      <c r="C52" t="s">
        <v>163</v>
      </c>
    </row>
    <row r="53" spans="1:3" x14ac:dyDescent="0.25">
      <c r="A53" t="s">
        <v>165</v>
      </c>
      <c r="B53" t="s">
        <v>165</v>
      </c>
      <c r="C53" t="s">
        <v>164</v>
      </c>
    </row>
    <row r="54" spans="1:3" x14ac:dyDescent="0.25">
      <c r="A54" t="s">
        <v>166</v>
      </c>
      <c r="B54" t="s">
        <v>166</v>
      </c>
      <c r="C54" t="s">
        <v>165</v>
      </c>
    </row>
    <row r="55" spans="1:3" x14ac:dyDescent="0.25">
      <c r="A55" t="s">
        <v>167</v>
      </c>
      <c r="B55" t="s">
        <v>167</v>
      </c>
      <c r="C55" t="s">
        <v>166</v>
      </c>
    </row>
    <row r="56" spans="1:3" x14ac:dyDescent="0.25">
      <c r="A56" t="s">
        <v>168</v>
      </c>
      <c r="B56" t="s">
        <v>168</v>
      </c>
      <c r="C56" t="s">
        <v>167</v>
      </c>
    </row>
    <row r="57" spans="1:3" x14ac:dyDescent="0.25">
      <c r="A57" t="s">
        <v>169</v>
      </c>
      <c r="B57" t="s">
        <v>169</v>
      </c>
      <c r="C57" t="s">
        <v>168</v>
      </c>
    </row>
    <row r="58" spans="1:3" x14ac:dyDescent="0.25">
      <c r="A58" t="s">
        <v>170</v>
      </c>
      <c r="B58" t="s">
        <v>170</v>
      </c>
      <c r="C58" t="s">
        <v>96</v>
      </c>
    </row>
    <row r="59" spans="1:3" x14ac:dyDescent="0.25">
      <c r="A59" t="s">
        <v>171</v>
      </c>
      <c r="B59" t="s">
        <v>171</v>
      </c>
      <c r="C59" t="s">
        <v>169</v>
      </c>
    </row>
    <row r="60" spans="1:3" x14ac:dyDescent="0.25">
      <c r="A60" t="s">
        <v>172</v>
      </c>
      <c r="B60" t="s">
        <v>172</v>
      </c>
      <c r="C60" t="s">
        <v>170</v>
      </c>
    </row>
    <row r="61" spans="1:3" x14ac:dyDescent="0.25">
      <c r="A61" t="s">
        <v>173</v>
      </c>
      <c r="B61" t="s">
        <v>173</v>
      </c>
      <c r="C61" t="s">
        <v>171</v>
      </c>
    </row>
    <row r="62" spans="1:3" x14ac:dyDescent="0.25">
      <c r="A62" t="s">
        <v>174</v>
      </c>
      <c r="B62" t="s">
        <v>174</v>
      </c>
      <c r="C62" t="s">
        <v>172</v>
      </c>
    </row>
    <row r="63" spans="1:3" x14ac:dyDescent="0.25">
      <c r="A63" t="s">
        <v>175</v>
      </c>
      <c r="B63" t="s">
        <v>175</v>
      </c>
      <c r="C63" t="s">
        <v>173</v>
      </c>
    </row>
    <row r="64" spans="1:3" x14ac:dyDescent="0.25">
      <c r="A64" t="s">
        <v>176</v>
      </c>
      <c r="B64" t="s">
        <v>176</v>
      </c>
      <c r="C64" t="s">
        <v>174</v>
      </c>
    </row>
    <row r="65" spans="1:3" x14ac:dyDescent="0.25">
      <c r="A65" t="s">
        <v>177</v>
      </c>
      <c r="B65" t="s">
        <v>177</v>
      </c>
      <c r="C65" t="s">
        <v>175</v>
      </c>
    </row>
    <row r="66" spans="1:3" x14ac:dyDescent="0.25">
      <c r="A66" t="s">
        <v>178</v>
      </c>
      <c r="B66" t="s">
        <v>178</v>
      </c>
      <c r="C66" t="s">
        <v>176</v>
      </c>
    </row>
    <row r="67" spans="1:3" x14ac:dyDescent="0.25">
      <c r="A67" t="s">
        <v>179</v>
      </c>
      <c r="B67" t="s">
        <v>179</v>
      </c>
      <c r="C67" t="s">
        <v>177</v>
      </c>
    </row>
    <row r="68" spans="1:3" x14ac:dyDescent="0.25">
      <c r="A68" t="s">
        <v>180</v>
      </c>
      <c r="B68" t="s">
        <v>180</v>
      </c>
      <c r="C68" t="s">
        <v>178</v>
      </c>
    </row>
    <row r="69" spans="1:3" x14ac:dyDescent="0.25">
      <c r="A69" t="s">
        <v>181</v>
      </c>
      <c r="B69" t="s">
        <v>181</v>
      </c>
      <c r="C69" t="s">
        <v>179</v>
      </c>
    </row>
    <row r="70" spans="1:3" x14ac:dyDescent="0.25">
      <c r="A70" t="s">
        <v>182</v>
      </c>
      <c r="B70" t="s">
        <v>182</v>
      </c>
      <c r="C70" t="s">
        <v>180</v>
      </c>
    </row>
    <row r="71" spans="1:3" x14ac:dyDescent="0.25">
      <c r="A71" t="s">
        <v>183</v>
      </c>
      <c r="B71" t="s">
        <v>183</v>
      </c>
      <c r="C71" t="s">
        <v>181</v>
      </c>
    </row>
    <row r="72" spans="1:3" x14ac:dyDescent="0.25">
      <c r="A72" t="s">
        <v>184</v>
      </c>
      <c r="B72" t="s">
        <v>184</v>
      </c>
      <c r="C72" t="s">
        <v>182</v>
      </c>
    </row>
    <row r="73" spans="1:3" x14ac:dyDescent="0.25">
      <c r="A73" t="s">
        <v>185</v>
      </c>
      <c r="B73" t="s">
        <v>185</v>
      </c>
      <c r="C73" t="s">
        <v>183</v>
      </c>
    </row>
    <row r="74" spans="1:3" x14ac:dyDescent="0.25">
      <c r="A74" t="s">
        <v>186</v>
      </c>
      <c r="B74" t="s">
        <v>186</v>
      </c>
      <c r="C74" t="s">
        <v>184</v>
      </c>
    </row>
    <row r="75" spans="1:3" x14ac:dyDescent="0.25">
      <c r="A75" t="s">
        <v>187</v>
      </c>
      <c r="B75" t="s">
        <v>187</v>
      </c>
      <c r="C75" t="s">
        <v>185</v>
      </c>
    </row>
    <row r="76" spans="1:3" x14ac:dyDescent="0.25">
      <c r="A76" t="s">
        <v>188</v>
      </c>
      <c r="B76" t="s">
        <v>188</v>
      </c>
      <c r="C76" t="s">
        <v>186</v>
      </c>
    </row>
    <row r="77" spans="1:3" x14ac:dyDescent="0.25">
      <c r="A77" t="s">
        <v>189</v>
      </c>
      <c r="B77" t="s">
        <v>189</v>
      </c>
      <c r="C77" t="s">
        <v>187</v>
      </c>
    </row>
    <row r="78" spans="1:3" x14ac:dyDescent="0.25">
      <c r="A78" t="s">
        <v>190</v>
      </c>
      <c r="B78" t="s">
        <v>190</v>
      </c>
      <c r="C78" t="s">
        <v>188</v>
      </c>
    </row>
    <row r="79" spans="1:3" x14ac:dyDescent="0.25">
      <c r="A79" t="s">
        <v>191</v>
      </c>
      <c r="B79" t="s">
        <v>191</v>
      </c>
      <c r="C79" t="s">
        <v>189</v>
      </c>
    </row>
    <row r="80" spans="1:3" x14ac:dyDescent="0.25">
      <c r="A80" t="s">
        <v>192</v>
      </c>
      <c r="B80" t="s">
        <v>192</v>
      </c>
      <c r="C80" t="s">
        <v>190</v>
      </c>
    </row>
    <row r="81" spans="1:3" x14ac:dyDescent="0.25">
      <c r="A81" t="s">
        <v>193</v>
      </c>
      <c r="B81" t="s">
        <v>193</v>
      </c>
      <c r="C81" t="s">
        <v>191</v>
      </c>
    </row>
    <row r="82" spans="1:3" x14ac:dyDescent="0.25">
      <c r="A82" t="s">
        <v>195</v>
      </c>
      <c r="B82" t="s">
        <v>194</v>
      </c>
      <c r="C82" t="s">
        <v>192</v>
      </c>
    </row>
    <row r="83" spans="1:3" x14ac:dyDescent="0.25">
      <c r="A83" t="s">
        <v>196</v>
      </c>
      <c r="B83" t="s">
        <v>195</v>
      </c>
      <c r="C83" t="s">
        <v>193</v>
      </c>
    </row>
    <row r="84" spans="1:3" x14ac:dyDescent="0.25">
      <c r="A84" t="s">
        <v>197</v>
      </c>
      <c r="B84" t="s">
        <v>196</v>
      </c>
      <c r="C84" t="s">
        <v>194</v>
      </c>
    </row>
    <row r="85" spans="1:3" x14ac:dyDescent="0.25">
      <c r="A85" t="s">
        <v>198</v>
      </c>
      <c r="B85" t="s">
        <v>197</v>
      </c>
      <c r="C85" t="s">
        <v>195</v>
      </c>
    </row>
    <row r="86" spans="1:3" x14ac:dyDescent="0.25">
      <c r="A86" t="s">
        <v>199</v>
      </c>
      <c r="B86" t="s">
        <v>198</v>
      </c>
      <c r="C86" t="s">
        <v>196</v>
      </c>
    </row>
    <row r="87" spans="1:3" x14ac:dyDescent="0.25">
      <c r="A87" t="s">
        <v>200</v>
      </c>
      <c r="B87" t="s">
        <v>199</v>
      </c>
      <c r="C87" t="s">
        <v>197</v>
      </c>
    </row>
    <row r="88" spans="1:3" x14ac:dyDescent="0.25">
      <c r="A88" t="s">
        <v>201</v>
      </c>
      <c r="B88" t="s">
        <v>200</v>
      </c>
      <c r="C88" t="s">
        <v>198</v>
      </c>
    </row>
    <row r="89" spans="1:3" x14ac:dyDescent="0.25">
      <c r="A89" t="s">
        <v>202</v>
      </c>
      <c r="B89" t="s">
        <v>201</v>
      </c>
      <c r="C89" t="s">
        <v>199</v>
      </c>
    </row>
    <row r="90" spans="1:3" x14ac:dyDescent="0.25">
      <c r="A90" t="s">
        <v>203</v>
      </c>
      <c r="B90" t="s">
        <v>202</v>
      </c>
      <c r="C90" t="s">
        <v>200</v>
      </c>
    </row>
    <row r="91" spans="1:3" x14ac:dyDescent="0.25">
      <c r="A91" t="s">
        <v>204</v>
      </c>
      <c r="B91" t="s">
        <v>203</v>
      </c>
      <c r="C91" t="s">
        <v>201</v>
      </c>
    </row>
    <row r="92" spans="1:3" x14ac:dyDescent="0.25">
      <c r="A92" t="s">
        <v>205</v>
      </c>
      <c r="B92" t="s">
        <v>204</v>
      </c>
      <c r="C92" t="s">
        <v>202</v>
      </c>
    </row>
    <row r="93" spans="1:3" x14ac:dyDescent="0.25">
      <c r="A93" t="s">
        <v>206</v>
      </c>
      <c r="B93" t="s">
        <v>205</v>
      </c>
      <c r="C93" t="s">
        <v>203</v>
      </c>
    </row>
    <row r="94" spans="1:3" x14ac:dyDescent="0.25">
      <c r="A94" t="s">
        <v>207</v>
      </c>
      <c r="B94" t="s">
        <v>206</v>
      </c>
      <c r="C94" t="s">
        <v>204</v>
      </c>
    </row>
    <row r="95" spans="1:3" x14ac:dyDescent="0.25">
      <c r="A95" t="s">
        <v>208</v>
      </c>
      <c r="B95" t="s">
        <v>207</v>
      </c>
      <c r="C95" t="s">
        <v>205</v>
      </c>
    </row>
    <row r="96" spans="1:3" x14ac:dyDescent="0.25">
      <c r="A96" t="s">
        <v>209</v>
      </c>
      <c r="B96" t="s">
        <v>208</v>
      </c>
      <c r="C96" t="s">
        <v>206</v>
      </c>
    </row>
    <row r="97" spans="1:3" x14ac:dyDescent="0.25">
      <c r="A97" t="s">
        <v>210</v>
      </c>
      <c r="B97" t="s">
        <v>209</v>
      </c>
      <c r="C97" t="s">
        <v>207</v>
      </c>
    </row>
    <row r="98" spans="1:3" x14ac:dyDescent="0.25">
      <c r="A98" t="s">
        <v>211</v>
      </c>
      <c r="B98" t="s">
        <v>210</v>
      </c>
      <c r="C98" t="s">
        <v>208</v>
      </c>
    </row>
    <row r="99" spans="1:3" x14ac:dyDescent="0.25">
      <c r="A99" t="s">
        <v>212</v>
      </c>
      <c r="B99" t="s">
        <v>211</v>
      </c>
      <c r="C99" t="s">
        <v>209</v>
      </c>
    </row>
    <row r="100" spans="1:3" x14ac:dyDescent="0.25">
      <c r="A100" t="s">
        <v>213</v>
      </c>
      <c r="B100" t="s">
        <v>107</v>
      </c>
      <c r="C100" t="s">
        <v>210</v>
      </c>
    </row>
    <row r="101" spans="1:3" x14ac:dyDescent="0.25">
      <c r="A101" t="s">
        <v>214</v>
      </c>
      <c r="B101" t="s">
        <v>106</v>
      </c>
      <c r="C101" t="s">
        <v>211</v>
      </c>
    </row>
    <row r="102" spans="1:3" x14ac:dyDescent="0.25">
      <c r="A102" t="s">
        <v>362</v>
      </c>
      <c r="B102" t="s">
        <v>108</v>
      </c>
      <c r="C102" t="s">
        <v>107</v>
      </c>
    </row>
    <row r="103" spans="1:3" x14ac:dyDescent="0.25">
      <c r="A103" t="s">
        <v>215</v>
      </c>
      <c r="B103" t="s">
        <v>111</v>
      </c>
      <c r="C103" t="s">
        <v>106</v>
      </c>
    </row>
    <row r="104" spans="1:3" x14ac:dyDescent="0.25">
      <c r="A104" t="s">
        <v>216</v>
      </c>
      <c r="B104" t="s">
        <v>113</v>
      </c>
      <c r="C104" t="s">
        <v>108</v>
      </c>
    </row>
    <row r="105" spans="1:3" x14ac:dyDescent="0.25">
      <c r="A105" t="s">
        <v>363</v>
      </c>
      <c r="B105" t="s">
        <v>212</v>
      </c>
      <c r="C105" t="s">
        <v>111</v>
      </c>
    </row>
    <row r="106" spans="1:3" x14ac:dyDescent="0.25">
      <c r="A106" t="s">
        <v>217</v>
      </c>
      <c r="B106" t="s">
        <v>93</v>
      </c>
      <c r="C106" t="s">
        <v>113</v>
      </c>
    </row>
    <row r="107" spans="1:3" x14ac:dyDescent="0.25">
      <c r="A107" t="s">
        <v>364</v>
      </c>
      <c r="B107" t="s">
        <v>94</v>
      </c>
      <c r="C107" t="s">
        <v>212</v>
      </c>
    </row>
    <row r="108" spans="1:3" x14ac:dyDescent="0.25">
      <c r="A108" t="s">
        <v>365</v>
      </c>
      <c r="B108" t="s">
        <v>213</v>
      </c>
      <c r="C108" t="s">
        <v>93</v>
      </c>
    </row>
    <row r="109" spans="1:3" x14ac:dyDescent="0.25">
      <c r="A109" t="s">
        <v>366</v>
      </c>
      <c r="B109" t="s">
        <v>105</v>
      </c>
      <c r="C109" t="s">
        <v>94</v>
      </c>
    </row>
    <row r="110" spans="1:3" x14ac:dyDescent="0.25">
      <c r="A110" t="s">
        <v>367</v>
      </c>
      <c r="B110" t="s">
        <v>214</v>
      </c>
      <c r="C110" t="s">
        <v>213</v>
      </c>
    </row>
    <row r="111" spans="1:3" x14ac:dyDescent="0.25">
      <c r="A111" t="s">
        <v>218</v>
      </c>
      <c r="B111" t="s">
        <v>215</v>
      </c>
      <c r="C111" t="s">
        <v>105</v>
      </c>
    </row>
    <row r="112" spans="1:3" x14ac:dyDescent="0.25">
      <c r="A112" t="s">
        <v>368</v>
      </c>
      <c r="B112" t="s">
        <v>216</v>
      </c>
      <c r="C112" t="s">
        <v>214</v>
      </c>
    </row>
    <row r="113" spans="1:3" x14ac:dyDescent="0.25">
      <c r="A113" t="s">
        <v>369</v>
      </c>
      <c r="B113" t="s">
        <v>104</v>
      </c>
      <c r="C113" t="s">
        <v>362</v>
      </c>
    </row>
    <row r="114" spans="1:3" x14ac:dyDescent="0.25">
      <c r="A114" t="s">
        <v>370</v>
      </c>
      <c r="B114" t="s">
        <v>217</v>
      </c>
      <c r="C114" t="s">
        <v>215</v>
      </c>
    </row>
    <row r="115" spans="1:3" x14ac:dyDescent="0.25">
      <c r="A115" t="s">
        <v>219</v>
      </c>
      <c r="B115" t="s">
        <v>218</v>
      </c>
      <c r="C115" t="s">
        <v>216</v>
      </c>
    </row>
    <row r="116" spans="1:3" x14ac:dyDescent="0.25">
      <c r="A116" t="s">
        <v>371</v>
      </c>
      <c r="B116" t="s">
        <v>219</v>
      </c>
      <c r="C116" t="s">
        <v>363</v>
      </c>
    </row>
    <row r="117" spans="1:3" x14ac:dyDescent="0.25">
      <c r="A117" t="s">
        <v>372</v>
      </c>
      <c r="B117" t="s">
        <v>116</v>
      </c>
      <c r="C117" t="s">
        <v>104</v>
      </c>
    </row>
    <row r="118" spans="1:3" x14ac:dyDescent="0.25">
      <c r="A118" t="s">
        <v>221</v>
      </c>
      <c r="B118" t="s">
        <v>109</v>
      </c>
      <c r="C118" t="s">
        <v>217</v>
      </c>
    </row>
    <row r="119" spans="1:3" x14ac:dyDescent="0.25">
      <c r="A119" t="s">
        <v>373</v>
      </c>
      <c r="B119" t="s">
        <v>115</v>
      </c>
      <c r="C119" t="s">
        <v>365</v>
      </c>
    </row>
    <row r="120" spans="1:3" x14ac:dyDescent="0.25">
      <c r="A120" t="s">
        <v>222</v>
      </c>
      <c r="B120" t="s">
        <v>220</v>
      </c>
      <c r="C120" t="s">
        <v>95</v>
      </c>
    </row>
    <row r="121" spans="1:3" x14ac:dyDescent="0.25">
      <c r="A121" t="s">
        <v>223</v>
      </c>
      <c r="B121" t="s">
        <v>112</v>
      </c>
      <c r="C121" t="s">
        <v>366</v>
      </c>
    </row>
    <row r="122" spans="1:3" x14ac:dyDescent="0.25">
      <c r="A122" t="s">
        <v>224</v>
      </c>
      <c r="B122" t="s">
        <v>110</v>
      </c>
      <c r="C122" t="s">
        <v>218</v>
      </c>
    </row>
    <row r="123" spans="1:3" x14ac:dyDescent="0.25">
      <c r="A123" t="s">
        <v>225</v>
      </c>
      <c r="B123" t="s">
        <v>114</v>
      </c>
      <c r="C123" t="s">
        <v>369</v>
      </c>
    </row>
    <row r="124" spans="1:3" x14ac:dyDescent="0.25">
      <c r="A124" t="s">
        <v>226</v>
      </c>
      <c r="B124" t="s">
        <v>221</v>
      </c>
      <c r="C124" t="s">
        <v>370</v>
      </c>
    </row>
    <row r="125" spans="1:3" x14ac:dyDescent="0.25">
      <c r="A125" t="s">
        <v>227</v>
      </c>
      <c r="B125" t="s">
        <v>222</v>
      </c>
      <c r="C125" t="s">
        <v>219</v>
      </c>
    </row>
    <row r="126" spans="1:3" x14ac:dyDescent="0.25">
      <c r="A126" t="s">
        <v>228</v>
      </c>
      <c r="B126" t="s">
        <v>223</v>
      </c>
      <c r="C126" t="s">
        <v>116</v>
      </c>
    </row>
    <row r="127" spans="1:3" x14ac:dyDescent="0.25">
      <c r="A127" t="s">
        <v>229</v>
      </c>
      <c r="B127" t="s">
        <v>224</v>
      </c>
      <c r="C127" t="s">
        <v>109</v>
      </c>
    </row>
    <row r="128" spans="1:3" x14ac:dyDescent="0.25">
      <c r="A128" t="s">
        <v>230</v>
      </c>
      <c r="B128" t="s">
        <v>225</v>
      </c>
      <c r="C128" t="s">
        <v>115</v>
      </c>
    </row>
    <row r="129" spans="1:3" x14ac:dyDescent="0.25">
      <c r="A129" t="s">
        <v>231</v>
      </c>
      <c r="B129" t="s">
        <v>226</v>
      </c>
      <c r="C129" t="s">
        <v>220</v>
      </c>
    </row>
    <row r="130" spans="1:3" x14ac:dyDescent="0.25">
      <c r="A130" t="s">
        <v>232</v>
      </c>
      <c r="B130" t="s">
        <v>227</v>
      </c>
      <c r="C130" t="s">
        <v>112</v>
      </c>
    </row>
    <row r="131" spans="1:3" x14ac:dyDescent="0.25">
      <c r="A131" t="s">
        <v>233</v>
      </c>
      <c r="B131" t="s">
        <v>228</v>
      </c>
      <c r="C131" t="s">
        <v>110</v>
      </c>
    </row>
    <row r="132" spans="1:3" x14ac:dyDescent="0.25">
      <c r="A132" t="s">
        <v>234</v>
      </c>
      <c r="B132" t="s">
        <v>229</v>
      </c>
      <c r="C132" t="s">
        <v>114</v>
      </c>
    </row>
    <row r="133" spans="1:3" x14ac:dyDescent="0.25">
      <c r="A133" t="s">
        <v>235</v>
      </c>
      <c r="B133" t="s">
        <v>230</v>
      </c>
      <c r="C133" t="s">
        <v>97</v>
      </c>
    </row>
    <row r="134" spans="1:3" x14ac:dyDescent="0.25">
      <c r="A134" t="s">
        <v>236</v>
      </c>
      <c r="B134" t="s">
        <v>231</v>
      </c>
      <c r="C134" t="s">
        <v>221</v>
      </c>
    </row>
    <row r="135" spans="1:3" x14ac:dyDescent="0.25">
      <c r="A135" t="s">
        <v>237</v>
      </c>
      <c r="B135" t="s">
        <v>232</v>
      </c>
      <c r="C135" t="s">
        <v>222</v>
      </c>
    </row>
    <row r="136" spans="1:3" x14ac:dyDescent="0.25">
      <c r="A136" t="s">
        <v>238</v>
      </c>
      <c r="B136" t="s">
        <v>233</v>
      </c>
      <c r="C136" t="s">
        <v>223</v>
      </c>
    </row>
    <row r="137" spans="1:3" x14ac:dyDescent="0.25">
      <c r="A137" t="s">
        <v>239</v>
      </c>
      <c r="B137" t="s">
        <v>234</v>
      </c>
      <c r="C137" t="s">
        <v>224</v>
      </c>
    </row>
    <row r="138" spans="1:3" x14ac:dyDescent="0.25">
      <c r="A138" t="s">
        <v>240</v>
      </c>
      <c r="B138" t="s">
        <v>235</v>
      </c>
      <c r="C138" t="s">
        <v>225</v>
      </c>
    </row>
    <row r="139" spans="1:3" x14ac:dyDescent="0.25">
      <c r="A139" t="s">
        <v>241</v>
      </c>
      <c r="B139" t="s">
        <v>236</v>
      </c>
      <c r="C139" t="s">
        <v>226</v>
      </c>
    </row>
    <row r="140" spans="1:3" x14ac:dyDescent="0.25">
      <c r="A140" t="s">
        <v>242</v>
      </c>
      <c r="B140" t="s">
        <v>237</v>
      </c>
      <c r="C140" t="s">
        <v>227</v>
      </c>
    </row>
    <row r="141" spans="1:3" x14ac:dyDescent="0.25">
      <c r="A141" t="s">
        <v>243</v>
      </c>
      <c r="B141" t="s">
        <v>238</v>
      </c>
      <c r="C141" t="s">
        <v>228</v>
      </c>
    </row>
    <row r="142" spans="1:3" x14ac:dyDescent="0.25">
      <c r="A142" t="s">
        <v>244</v>
      </c>
      <c r="B142" t="s">
        <v>239</v>
      </c>
      <c r="C142" t="s">
        <v>229</v>
      </c>
    </row>
    <row r="143" spans="1:3" x14ac:dyDescent="0.25">
      <c r="A143" t="s">
        <v>245</v>
      </c>
      <c r="B143" t="s">
        <v>240</v>
      </c>
      <c r="C143" t="s">
        <v>230</v>
      </c>
    </row>
    <row r="144" spans="1:3" x14ac:dyDescent="0.25">
      <c r="A144" t="s">
        <v>246</v>
      </c>
      <c r="B144" t="s">
        <v>241</v>
      </c>
      <c r="C144" t="s">
        <v>231</v>
      </c>
    </row>
    <row r="145" spans="1:3" x14ac:dyDescent="0.25">
      <c r="A145" t="s">
        <v>247</v>
      </c>
      <c r="B145" t="s">
        <v>242</v>
      </c>
      <c r="C145" t="s">
        <v>232</v>
      </c>
    </row>
    <row r="146" spans="1:3" x14ac:dyDescent="0.25">
      <c r="A146" t="s">
        <v>248</v>
      </c>
      <c r="B146" t="s">
        <v>243</v>
      </c>
      <c r="C146" t="s">
        <v>233</v>
      </c>
    </row>
    <row r="147" spans="1:3" x14ac:dyDescent="0.25">
      <c r="A147" t="s">
        <v>249</v>
      </c>
      <c r="B147" t="s">
        <v>244</v>
      </c>
      <c r="C147" t="s">
        <v>234</v>
      </c>
    </row>
    <row r="148" spans="1:3" x14ac:dyDescent="0.25">
      <c r="A148" t="s">
        <v>250</v>
      </c>
      <c r="B148" t="s">
        <v>245</v>
      </c>
      <c r="C148" t="s">
        <v>235</v>
      </c>
    </row>
    <row r="149" spans="1:3" x14ac:dyDescent="0.25">
      <c r="A149" t="s">
        <v>251</v>
      </c>
      <c r="B149" t="s">
        <v>246</v>
      </c>
      <c r="C149" t="s">
        <v>236</v>
      </c>
    </row>
    <row r="150" spans="1:3" x14ac:dyDescent="0.25">
      <c r="A150" t="s">
        <v>252</v>
      </c>
      <c r="B150" t="s">
        <v>247</v>
      </c>
      <c r="C150" t="s">
        <v>237</v>
      </c>
    </row>
    <row r="151" spans="1:3" x14ac:dyDescent="0.25">
      <c r="A151" t="s">
        <v>253</v>
      </c>
      <c r="B151" t="s">
        <v>248</v>
      </c>
      <c r="C151" t="s">
        <v>238</v>
      </c>
    </row>
    <row r="152" spans="1:3" x14ac:dyDescent="0.25">
      <c r="A152" t="s">
        <v>254</v>
      </c>
      <c r="B152" t="s">
        <v>249</v>
      </c>
      <c r="C152" t="s">
        <v>239</v>
      </c>
    </row>
    <row r="153" spans="1:3" x14ac:dyDescent="0.25">
      <c r="A153" t="s">
        <v>255</v>
      </c>
      <c r="B153" t="s">
        <v>250</v>
      </c>
      <c r="C153" t="s">
        <v>240</v>
      </c>
    </row>
    <row r="154" spans="1:3" x14ac:dyDescent="0.25">
      <c r="A154" t="s">
        <v>256</v>
      </c>
      <c r="B154" t="s">
        <v>251</v>
      </c>
      <c r="C154" t="s">
        <v>241</v>
      </c>
    </row>
    <row r="155" spans="1:3" x14ac:dyDescent="0.25">
      <c r="A155" t="s">
        <v>257</v>
      </c>
      <c r="B155" t="s">
        <v>252</v>
      </c>
      <c r="C155" t="s">
        <v>242</v>
      </c>
    </row>
    <row r="156" spans="1:3" x14ac:dyDescent="0.25">
      <c r="A156" t="s">
        <v>258</v>
      </c>
      <c r="B156" t="s">
        <v>253</v>
      </c>
      <c r="C156" t="s">
        <v>243</v>
      </c>
    </row>
    <row r="157" spans="1:3" x14ac:dyDescent="0.25">
      <c r="A157" t="s">
        <v>259</v>
      </c>
      <c r="B157" t="s">
        <v>254</v>
      </c>
      <c r="C157" t="s">
        <v>244</v>
      </c>
    </row>
    <row r="158" spans="1:3" x14ac:dyDescent="0.25">
      <c r="A158" t="s">
        <v>260</v>
      </c>
      <c r="B158" t="s">
        <v>255</v>
      </c>
      <c r="C158" t="s">
        <v>245</v>
      </c>
    </row>
    <row r="159" spans="1:3" x14ac:dyDescent="0.25">
      <c r="A159" t="s">
        <v>261</v>
      </c>
      <c r="B159" t="s">
        <v>256</v>
      </c>
      <c r="C159" t="s">
        <v>246</v>
      </c>
    </row>
    <row r="160" spans="1:3" x14ac:dyDescent="0.25">
      <c r="A160" t="s">
        <v>262</v>
      </c>
      <c r="B160" t="s">
        <v>257</v>
      </c>
      <c r="C160" t="s">
        <v>247</v>
      </c>
    </row>
    <row r="161" spans="1:3" x14ac:dyDescent="0.25">
      <c r="A161" t="s">
        <v>263</v>
      </c>
      <c r="B161" t="s">
        <v>258</v>
      </c>
      <c r="C161" t="s">
        <v>248</v>
      </c>
    </row>
    <row r="162" spans="1:3" x14ac:dyDescent="0.25">
      <c r="A162" t="s">
        <v>264</v>
      </c>
      <c r="B162" t="s">
        <v>259</v>
      </c>
      <c r="C162" t="s">
        <v>249</v>
      </c>
    </row>
    <row r="163" spans="1:3" x14ac:dyDescent="0.25">
      <c r="A163" t="s">
        <v>265</v>
      </c>
      <c r="B163" t="s">
        <v>260</v>
      </c>
      <c r="C163" t="s">
        <v>250</v>
      </c>
    </row>
    <row r="164" spans="1:3" x14ac:dyDescent="0.25">
      <c r="A164" t="s">
        <v>266</v>
      </c>
      <c r="B164" t="s">
        <v>261</v>
      </c>
      <c r="C164" t="s">
        <v>251</v>
      </c>
    </row>
    <row r="165" spans="1:3" x14ac:dyDescent="0.25">
      <c r="A165" t="s">
        <v>267</v>
      </c>
      <c r="B165" t="s">
        <v>262</v>
      </c>
      <c r="C165" t="s">
        <v>252</v>
      </c>
    </row>
    <row r="166" spans="1:3" x14ac:dyDescent="0.25">
      <c r="A166" t="s">
        <v>268</v>
      </c>
      <c r="B166" t="s">
        <v>263</v>
      </c>
      <c r="C166" t="s">
        <v>253</v>
      </c>
    </row>
    <row r="167" spans="1:3" x14ac:dyDescent="0.25">
      <c r="A167" t="s">
        <v>269</v>
      </c>
      <c r="B167" t="s">
        <v>264</v>
      </c>
      <c r="C167" t="s">
        <v>254</v>
      </c>
    </row>
    <row r="168" spans="1:3" x14ac:dyDescent="0.25">
      <c r="A168" t="s">
        <v>270</v>
      </c>
      <c r="B168" t="s">
        <v>265</v>
      </c>
      <c r="C168" t="s">
        <v>255</v>
      </c>
    </row>
    <row r="169" spans="1:3" x14ac:dyDescent="0.25">
      <c r="A169" t="s">
        <v>271</v>
      </c>
      <c r="B169" t="s">
        <v>266</v>
      </c>
      <c r="C169" t="s">
        <v>256</v>
      </c>
    </row>
    <row r="170" spans="1:3" x14ac:dyDescent="0.25">
      <c r="A170" t="s">
        <v>272</v>
      </c>
      <c r="B170" t="s">
        <v>267</v>
      </c>
      <c r="C170" t="s">
        <v>257</v>
      </c>
    </row>
    <row r="171" spans="1:3" x14ac:dyDescent="0.25">
      <c r="A171" t="s">
        <v>273</v>
      </c>
      <c r="B171" t="s">
        <v>268</v>
      </c>
      <c r="C171" t="s">
        <v>258</v>
      </c>
    </row>
    <row r="172" spans="1:3" x14ac:dyDescent="0.25">
      <c r="A172" t="s">
        <v>274</v>
      </c>
      <c r="B172" t="s">
        <v>269</v>
      </c>
      <c r="C172" t="s">
        <v>259</v>
      </c>
    </row>
    <row r="173" spans="1:3" x14ac:dyDescent="0.25">
      <c r="A173" t="s">
        <v>275</v>
      </c>
      <c r="B173" t="s">
        <v>270</v>
      </c>
      <c r="C173" t="s">
        <v>260</v>
      </c>
    </row>
    <row r="174" spans="1:3" x14ac:dyDescent="0.25">
      <c r="A174" t="s">
        <v>276</v>
      </c>
      <c r="B174" t="s">
        <v>271</v>
      </c>
      <c r="C174" t="s">
        <v>261</v>
      </c>
    </row>
    <row r="175" spans="1:3" x14ac:dyDescent="0.25">
      <c r="A175" t="s">
        <v>277</v>
      </c>
      <c r="B175" t="s">
        <v>272</v>
      </c>
      <c r="C175" t="s">
        <v>262</v>
      </c>
    </row>
    <row r="176" spans="1:3" x14ac:dyDescent="0.25">
      <c r="A176" t="s">
        <v>278</v>
      </c>
      <c r="B176" t="s">
        <v>273</v>
      </c>
      <c r="C176" t="s">
        <v>263</v>
      </c>
    </row>
    <row r="177" spans="1:3" x14ac:dyDescent="0.25">
      <c r="A177" t="s">
        <v>279</v>
      </c>
      <c r="B177" t="s">
        <v>274</v>
      </c>
      <c r="C177" t="s">
        <v>264</v>
      </c>
    </row>
    <row r="178" spans="1:3" x14ac:dyDescent="0.25">
      <c r="A178" t="s">
        <v>280</v>
      </c>
      <c r="B178" t="s">
        <v>275</v>
      </c>
      <c r="C178" t="s">
        <v>265</v>
      </c>
    </row>
    <row r="179" spans="1:3" x14ac:dyDescent="0.25">
      <c r="A179" t="s">
        <v>281</v>
      </c>
      <c r="B179" t="s">
        <v>276</v>
      </c>
      <c r="C179" t="s">
        <v>266</v>
      </c>
    </row>
    <row r="180" spans="1:3" x14ac:dyDescent="0.25">
      <c r="A180" t="s">
        <v>282</v>
      </c>
      <c r="B180" t="s">
        <v>277</v>
      </c>
      <c r="C180" t="s">
        <v>267</v>
      </c>
    </row>
    <row r="181" spans="1:3" x14ac:dyDescent="0.25">
      <c r="A181" t="s">
        <v>283</v>
      </c>
      <c r="B181" t="s">
        <v>278</v>
      </c>
      <c r="C181" t="s">
        <v>268</v>
      </c>
    </row>
    <row r="182" spans="1:3" x14ac:dyDescent="0.25">
      <c r="A182" t="s">
        <v>284</v>
      </c>
      <c r="B182" t="s">
        <v>279</v>
      </c>
      <c r="C182" t="s">
        <v>269</v>
      </c>
    </row>
    <row r="183" spans="1:3" x14ac:dyDescent="0.25">
      <c r="A183" t="s">
        <v>285</v>
      </c>
      <c r="B183" t="s">
        <v>280</v>
      </c>
      <c r="C183" t="s">
        <v>270</v>
      </c>
    </row>
    <row r="184" spans="1:3" x14ac:dyDescent="0.25">
      <c r="A184" t="s">
        <v>286</v>
      </c>
      <c r="B184" t="s">
        <v>281</v>
      </c>
      <c r="C184" t="s">
        <v>271</v>
      </c>
    </row>
    <row r="185" spans="1:3" x14ac:dyDescent="0.25">
      <c r="A185" t="s">
        <v>287</v>
      </c>
      <c r="B185" t="s">
        <v>282</v>
      </c>
      <c r="C185" t="s">
        <v>272</v>
      </c>
    </row>
    <row r="186" spans="1:3" x14ac:dyDescent="0.25">
      <c r="A186" t="s">
        <v>288</v>
      </c>
      <c r="B186" t="s">
        <v>283</v>
      </c>
      <c r="C186" t="s">
        <v>273</v>
      </c>
    </row>
    <row r="187" spans="1:3" x14ac:dyDescent="0.25">
      <c r="A187" t="s">
        <v>289</v>
      </c>
      <c r="B187" t="s">
        <v>284</v>
      </c>
      <c r="C187" t="s">
        <v>274</v>
      </c>
    </row>
    <row r="188" spans="1:3" x14ac:dyDescent="0.25">
      <c r="A188" t="s">
        <v>290</v>
      </c>
      <c r="B188" t="s">
        <v>285</v>
      </c>
      <c r="C188" t="s">
        <v>275</v>
      </c>
    </row>
    <row r="189" spans="1:3" x14ac:dyDescent="0.25">
      <c r="A189" t="s">
        <v>291</v>
      </c>
      <c r="B189" t="s">
        <v>286</v>
      </c>
      <c r="C189" t="s">
        <v>276</v>
      </c>
    </row>
    <row r="190" spans="1:3" x14ac:dyDescent="0.25">
      <c r="A190" t="s">
        <v>292</v>
      </c>
      <c r="B190" t="s">
        <v>287</v>
      </c>
      <c r="C190" t="s">
        <v>277</v>
      </c>
    </row>
    <row r="191" spans="1:3" x14ac:dyDescent="0.25">
      <c r="A191" t="s">
        <v>293</v>
      </c>
      <c r="B191" t="s">
        <v>288</v>
      </c>
      <c r="C191" t="s">
        <v>278</v>
      </c>
    </row>
    <row r="192" spans="1:3" x14ac:dyDescent="0.25">
      <c r="A192" t="s">
        <v>294</v>
      </c>
      <c r="B192" t="s">
        <v>289</v>
      </c>
      <c r="C192" t="s">
        <v>279</v>
      </c>
    </row>
    <row r="193" spans="1:3" x14ac:dyDescent="0.25">
      <c r="A193" t="s">
        <v>295</v>
      </c>
      <c r="B193" t="s">
        <v>290</v>
      </c>
      <c r="C193" t="s">
        <v>280</v>
      </c>
    </row>
    <row r="194" spans="1:3" x14ac:dyDescent="0.25">
      <c r="A194" t="s">
        <v>296</v>
      </c>
      <c r="B194" t="s">
        <v>291</v>
      </c>
      <c r="C194" t="s">
        <v>281</v>
      </c>
    </row>
    <row r="195" spans="1:3" x14ac:dyDescent="0.25">
      <c r="A195" t="s">
        <v>297</v>
      </c>
      <c r="B195" t="s">
        <v>292</v>
      </c>
      <c r="C195" t="s">
        <v>282</v>
      </c>
    </row>
    <row r="196" spans="1:3" x14ac:dyDescent="0.25">
      <c r="A196" t="s">
        <v>298</v>
      </c>
      <c r="B196" t="s">
        <v>293</v>
      </c>
      <c r="C196" t="s">
        <v>283</v>
      </c>
    </row>
    <row r="197" spans="1:3" x14ac:dyDescent="0.25">
      <c r="A197" t="s">
        <v>299</v>
      </c>
      <c r="B197" t="s">
        <v>294</v>
      </c>
      <c r="C197" t="s">
        <v>284</v>
      </c>
    </row>
    <row r="198" spans="1:3" x14ac:dyDescent="0.25">
      <c r="A198" t="s">
        <v>300</v>
      </c>
      <c r="B198" t="s">
        <v>295</v>
      </c>
      <c r="C198" t="s">
        <v>285</v>
      </c>
    </row>
    <row r="199" spans="1:3" x14ac:dyDescent="0.25">
      <c r="A199" t="s">
        <v>301</v>
      </c>
      <c r="B199" t="s">
        <v>296</v>
      </c>
      <c r="C199" t="s">
        <v>286</v>
      </c>
    </row>
    <row r="200" spans="1:3" x14ac:dyDescent="0.25">
      <c r="A200" t="s">
        <v>302</v>
      </c>
      <c r="B200" t="s">
        <v>297</v>
      </c>
      <c r="C200" t="s">
        <v>287</v>
      </c>
    </row>
    <row r="201" spans="1:3" x14ac:dyDescent="0.25">
      <c r="A201" t="s">
        <v>303</v>
      </c>
      <c r="B201" t="s">
        <v>298</v>
      </c>
      <c r="C201" t="s">
        <v>288</v>
      </c>
    </row>
    <row r="202" spans="1:3" x14ac:dyDescent="0.25">
      <c r="A202" t="s">
        <v>304</v>
      </c>
      <c r="B202" t="s">
        <v>299</v>
      </c>
      <c r="C202" t="s">
        <v>289</v>
      </c>
    </row>
    <row r="203" spans="1:3" x14ac:dyDescent="0.25">
      <c r="A203" t="s">
        <v>305</v>
      </c>
      <c r="B203" t="s">
        <v>300</v>
      </c>
      <c r="C203" t="s">
        <v>290</v>
      </c>
    </row>
    <row r="204" spans="1:3" x14ac:dyDescent="0.25">
      <c r="A204" t="s">
        <v>306</v>
      </c>
      <c r="B204" t="s">
        <v>301</v>
      </c>
      <c r="C204" t="s">
        <v>291</v>
      </c>
    </row>
    <row r="205" spans="1:3" x14ac:dyDescent="0.25">
      <c r="A205" t="s">
        <v>307</v>
      </c>
      <c r="B205" t="s">
        <v>302</v>
      </c>
      <c r="C205" t="s">
        <v>292</v>
      </c>
    </row>
    <row r="206" spans="1:3" x14ac:dyDescent="0.25">
      <c r="A206" t="s">
        <v>308</v>
      </c>
      <c r="B206" t="s">
        <v>303</v>
      </c>
      <c r="C206" t="s">
        <v>293</v>
      </c>
    </row>
    <row r="207" spans="1:3" x14ac:dyDescent="0.25">
      <c r="A207" t="s">
        <v>309</v>
      </c>
      <c r="B207" t="s">
        <v>304</v>
      </c>
      <c r="C207" t="s">
        <v>294</v>
      </c>
    </row>
    <row r="208" spans="1:3" x14ac:dyDescent="0.25">
      <c r="A208" t="s">
        <v>310</v>
      </c>
      <c r="B208" t="s">
        <v>305</v>
      </c>
      <c r="C208" t="s">
        <v>295</v>
      </c>
    </row>
    <row r="209" spans="1:3" x14ac:dyDescent="0.25">
      <c r="A209" t="s">
        <v>311</v>
      </c>
      <c r="B209" t="s">
        <v>306</v>
      </c>
      <c r="C209" t="s">
        <v>296</v>
      </c>
    </row>
    <row r="210" spans="1:3" x14ac:dyDescent="0.25">
      <c r="A210" t="s">
        <v>312</v>
      </c>
      <c r="B210" t="s">
        <v>307</v>
      </c>
      <c r="C210" t="s">
        <v>297</v>
      </c>
    </row>
    <row r="211" spans="1:3" x14ac:dyDescent="0.25">
      <c r="A211" t="s">
        <v>313</v>
      </c>
      <c r="B211" t="s">
        <v>308</v>
      </c>
      <c r="C211" t="s">
        <v>298</v>
      </c>
    </row>
    <row r="212" spans="1:3" x14ac:dyDescent="0.25">
      <c r="A212" t="s">
        <v>314</v>
      </c>
      <c r="B212" t="s">
        <v>309</v>
      </c>
      <c r="C212" t="s">
        <v>299</v>
      </c>
    </row>
    <row r="213" spans="1:3" x14ac:dyDescent="0.25">
      <c r="A213" t="s">
        <v>315</v>
      </c>
      <c r="B213" t="s">
        <v>310</v>
      </c>
      <c r="C213" t="s">
        <v>300</v>
      </c>
    </row>
    <row r="214" spans="1:3" x14ac:dyDescent="0.25">
      <c r="A214" t="s">
        <v>316</v>
      </c>
      <c r="B214" t="s">
        <v>311</v>
      </c>
      <c r="C214" t="s">
        <v>301</v>
      </c>
    </row>
    <row r="215" spans="1:3" x14ac:dyDescent="0.25">
      <c r="A215" t="s">
        <v>317</v>
      </c>
      <c r="B215" t="s">
        <v>312</v>
      </c>
      <c r="C215" t="s">
        <v>302</v>
      </c>
    </row>
    <row r="216" spans="1:3" x14ac:dyDescent="0.25">
      <c r="A216" t="s">
        <v>318</v>
      </c>
      <c r="B216" t="s">
        <v>313</v>
      </c>
      <c r="C216" t="s">
        <v>303</v>
      </c>
    </row>
    <row r="217" spans="1:3" x14ac:dyDescent="0.25">
      <c r="A217" t="s">
        <v>319</v>
      </c>
      <c r="B217" t="s">
        <v>314</v>
      </c>
      <c r="C217" t="s">
        <v>304</v>
      </c>
    </row>
    <row r="218" spans="1:3" x14ac:dyDescent="0.25">
      <c r="A218" t="s">
        <v>320</v>
      </c>
      <c r="B218" t="s">
        <v>315</v>
      </c>
      <c r="C218" t="s">
        <v>305</v>
      </c>
    </row>
    <row r="219" spans="1:3" x14ac:dyDescent="0.25">
      <c r="A219" t="s">
        <v>321</v>
      </c>
      <c r="B219" t="s">
        <v>316</v>
      </c>
      <c r="C219" t="s">
        <v>306</v>
      </c>
    </row>
    <row r="220" spans="1:3" x14ac:dyDescent="0.25">
      <c r="A220" t="s">
        <v>322</v>
      </c>
      <c r="B220" t="s">
        <v>317</v>
      </c>
      <c r="C220" t="s">
        <v>307</v>
      </c>
    </row>
    <row r="221" spans="1:3" x14ac:dyDescent="0.25">
      <c r="A221" t="s">
        <v>323</v>
      </c>
      <c r="B221" t="s">
        <v>318</v>
      </c>
      <c r="C221" t="s">
        <v>308</v>
      </c>
    </row>
    <row r="222" spans="1:3" x14ac:dyDescent="0.25">
      <c r="A222" t="s">
        <v>324</v>
      </c>
      <c r="B222" t="s">
        <v>319</v>
      </c>
      <c r="C222" t="s">
        <v>309</v>
      </c>
    </row>
    <row r="223" spans="1:3" x14ac:dyDescent="0.25">
      <c r="A223" t="s">
        <v>325</v>
      </c>
      <c r="B223" t="s">
        <v>320</v>
      </c>
      <c r="C223" t="s">
        <v>310</v>
      </c>
    </row>
    <row r="224" spans="1:3" x14ac:dyDescent="0.25">
      <c r="A224" t="s">
        <v>326</v>
      </c>
      <c r="B224" t="s">
        <v>321</v>
      </c>
      <c r="C224" t="s">
        <v>311</v>
      </c>
    </row>
    <row r="225" spans="1:3" x14ac:dyDescent="0.25">
      <c r="A225" t="s">
        <v>327</v>
      </c>
      <c r="B225" t="s">
        <v>322</v>
      </c>
      <c r="C225" t="s">
        <v>312</v>
      </c>
    </row>
    <row r="226" spans="1:3" x14ac:dyDescent="0.25">
      <c r="A226" t="s">
        <v>328</v>
      </c>
      <c r="B226" t="s">
        <v>323</v>
      </c>
      <c r="C226" t="s">
        <v>313</v>
      </c>
    </row>
    <row r="227" spans="1:3" x14ac:dyDescent="0.25">
      <c r="A227" t="s">
        <v>329</v>
      </c>
      <c r="B227" t="s">
        <v>324</v>
      </c>
      <c r="C227" t="s">
        <v>314</v>
      </c>
    </row>
    <row r="228" spans="1:3" x14ac:dyDescent="0.25">
      <c r="A228" t="s">
        <v>330</v>
      </c>
      <c r="B228" t="s">
        <v>325</v>
      </c>
      <c r="C228" t="s">
        <v>315</v>
      </c>
    </row>
    <row r="229" spans="1:3" x14ac:dyDescent="0.25">
      <c r="A229" t="s">
        <v>331</v>
      </c>
      <c r="B229" t="s">
        <v>326</v>
      </c>
      <c r="C229" t="s">
        <v>316</v>
      </c>
    </row>
    <row r="230" spans="1:3" x14ac:dyDescent="0.25">
      <c r="A230" t="s">
        <v>332</v>
      </c>
      <c r="B230" t="s">
        <v>327</v>
      </c>
      <c r="C230" t="s">
        <v>317</v>
      </c>
    </row>
    <row r="231" spans="1:3" x14ac:dyDescent="0.25">
      <c r="A231" t="s">
        <v>333</v>
      </c>
      <c r="B231" t="s">
        <v>328</v>
      </c>
      <c r="C231" t="s">
        <v>318</v>
      </c>
    </row>
    <row r="232" spans="1:3" x14ac:dyDescent="0.25">
      <c r="A232" t="s">
        <v>334</v>
      </c>
      <c r="B232" t="s">
        <v>329</v>
      </c>
      <c r="C232" t="s">
        <v>319</v>
      </c>
    </row>
    <row r="233" spans="1:3" x14ac:dyDescent="0.25">
      <c r="A233" t="s">
        <v>335</v>
      </c>
      <c r="B233" t="s">
        <v>330</v>
      </c>
      <c r="C233" t="s">
        <v>320</v>
      </c>
    </row>
    <row r="234" spans="1:3" x14ac:dyDescent="0.25">
      <c r="A234" t="s">
        <v>336</v>
      </c>
      <c r="B234" t="s">
        <v>331</v>
      </c>
      <c r="C234" t="s">
        <v>321</v>
      </c>
    </row>
    <row r="235" spans="1:3" x14ac:dyDescent="0.25">
      <c r="A235" t="s">
        <v>337</v>
      </c>
      <c r="B235" t="s">
        <v>332</v>
      </c>
      <c r="C235" t="s">
        <v>322</v>
      </c>
    </row>
    <row r="236" spans="1:3" x14ac:dyDescent="0.25">
      <c r="A236" t="s">
        <v>338</v>
      </c>
      <c r="B236" t="s">
        <v>333</v>
      </c>
      <c r="C236" t="s">
        <v>323</v>
      </c>
    </row>
    <row r="237" spans="1:3" x14ac:dyDescent="0.25">
      <c r="A237" t="s">
        <v>339</v>
      </c>
      <c r="B237" t="s">
        <v>334</v>
      </c>
      <c r="C237" t="s">
        <v>324</v>
      </c>
    </row>
    <row r="238" spans="1:3" x14ac:dyDescent="0.25">
      <c r="A238" t="s">
        <v>340</v>
      </c>
      <c r="B238" t="s">
        <v>335</v>
      </c>
      <c r="C238" t="s">
        <v>325</v>
      </c>
    </row>
    <row r="239" spans="1:3" x14ac:dyDescent="0.25">
      <c r="A239" t="s">
        <v>341</v>
      </c>
      <c r="B239" t="s">
        <v>336</v>
      </c>
      <c r="C239" t="s">
        <v>326</v>
      </c>
    </row>
    <row r="240" spans="1:3" x14ac:dyDescent="0.25">
      <c r="A240" t="s">
        <v>342</v>
      </c>
      <c r="B240" t="s">
        <v>337</v>
      </c>
      <c r="C240" t="s">
        <v>327</v>
      </c>
    </row>
    <row r="241" spans="1:3" x14ac:dyDescent="0.25">
      <c r="A241" t="s">
        <v>343</v>
      </c>
      <c r="B241" t="s">
        <v>338</v>
      </c>
      <c r="C241" t="s">
        <v>328</v>
      </c>
    </row>
    <row r="242" spans="1:3" x14ac:dyDescent="0.25">
      <c r="A242" t="s">
        <v>344</v>
      </c>
      <c r="B242" t="s">
        <v>339</v>
      </c>
      <c r="C242" t="s">
        <v>329</v>
      </c>
    </row>
    <row r="243" spans="1:3" x14ac:dyDescent="0.25">
      <c r="A243" t="s">
        <v>345</v>
      </c>
      <c r="B243" t="s">
        <v>340</v>
      </c>
      <c r="C243" t="s">
        <v>331</v>
      </c>
    </row>
    <row r="244" spans="1:3" x14ac:dyDescent="0.25">
      <c r="A244" t="s">
        <v>346</v>
      </c>
      <c r="B244" t="s">
        <v>341</v>
      </c>
      <c r="C244" t="s">
        <v>332</v>
      </c>
    </row>
    <row r="245" spans="1:3" x14ac:dyDescent="0.25">
      <c r="A245" t="s">
        <v>347</v>
      </c>
      <c r="B245" t="s">
        <v>342</v>
      </c>
      <c r="C245" t="s">
        <v>333</v>
      </c>
    </row>
    <row r="246" spans="1:3" x14ac:dyDescent="0.25">
      <c r="A246" t="s">
        <v>348</v>
      </c>
      <c r="B246" t="s">
        <v>343</v>
      </c>
      <c r="C246" t="s">
        <v>334</v>
      </c>
    </row>
    <row r="247" spans="1:3" x14ac:dyDescent="0.25">
      <c r="A247" t="s">
        <v>349</v>
      </c>
      <c r="B247" t="s">
        <v>344</v>
      </c>
      <c r="C247" t="s">
        <v>335</v>
      </c>
    </row>
    <row r="248" spans="1:3" x14ac:dyDescent="0.25">
      <c r="A248" t="s">
        <v>350</v>
      </c>
      <c r="B248" t="s">
        <v>345</v>
      </c>
      <c r="C248" t="s">
        <v>336</v>
      </c>
    </row>
    <row r="249" spans="1:3" x14ac:dyDescent="0.25">
      <c r="A249" t="s">
        <v>351</v>
      </c>
      <c r="B249" t="s">
        <v>346</v>
      </c>
      <c r="C249" t="s">
        <v>337</v>
      </c>
    </row>
    <row r="250" spans="1:3" x14ac:dyDescent="0.25">
      <c r="A250" t="s">
        <v>352</v>
      </c>
      <c r="B250" t="s">
        <v>347</v>
      </c>
      <c r="C250" t="s">
        <v>338</v>
      </c>
    </row>
    <row r="251" spans="1:3" x14ac:dyDescent="0.25">
      <c r="B251" t="s">
        <v>348</v>
      </c>
      <c r="C251" t="s">
        <v>339</v>
      </c>
    </row>
    <row r="252" spans="1:3" x14ac:dyDescent="0.25">
      <c r="B252" t="s">
        <v>349</v>
      </c>
      <c r="C252" t="s">
        <v>340</v>
      </c>
    </row>
    <row r="253" spans="1:3" x14ac:dyDescent="0.25">
      <c r="B253" t="s">
        <v>350</v>
      </c>
      <c r="C253" t="s">
        <v>341</v>
      </c>
    </row>
    <row r="254" spans="1:3" x14ac:dyDescent="0.25">
      <c r="B254" t="s">
        <v>351</v>
      </c>
      <c r="C254" t="s">
        <v>342</v>
      </c>
    </row>
    <row r="255" spans="1:3" x14ac:dyDescent="0.25">
      <c r="B255" t="s">
        <v>352</v>
      </c>
      <c r="C255" t="s">
        <v>343</v>
      </c>
    </row>
    <row r="256" spans="1:3" x14ac:dyDescent="0.25">
      <c r="C256" t="s">
        <v>344</v>
      </c>
    </row>
    <row r="257" spans="3:3" x14ac:dyDescent="0.25">
      <c r="C257" t="s">
        <v>345</v>
      </c>
    </row>
    <row r="258" spans="3:3" x14ac:dyDescent="0.25">
      <c r="C258" t="s">
        <v>346</v>
      </c>
    </row>
    <row r="259" spans="3:3" x14ac:dyDescent="0.25">
      <c r="C259" t="s">
        <v>347</v>
      </c>
    </row>
    <row r="260" spans="3:3" x14ac:dyDescent="0.25">
      <c r="C260" t="s">
        <v>348</v>
      </c>
    </row>
    <row r="261" spans="3:3" x14ac:dyDescent="0.25">
      <c r="C261" t="s">
        <v>349</v>
      </c>
    </row>
    <row r="262" spans="3:3" x14ac:dyDescent="0.25">
      <c r="C262" t="s">
        <v>350</v>
      </c>
    </row>
    <row r="263" spans="3:3" x14ac:dyDescent="0.25">
      <c r="C263" t="s">
        <v>351</v>
      </c>
    </row>
    <row r="264" spans="3:3" x14ac:dyDescent="0.25">
      <c r="C264" t="s">
        <v>352</v>
      </c>
    </row>
  </sheetData>
  <autoFilter ref="A1:C264" xr:uid="{26B9C707-5285-4DF9-9EE9-B50E88C35DA8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FC198-FE7F-43C8-9734-F3FF41DB5AD1}">
  <sheetPr codeName="Sheet1"/>
  <dimension ref="A1:H686"/>
  <sheetViews>
    <sheetView workbookViewId="0">
      <selection activeCell="H1" sqref="H1:H1048576"/>
    </sheetView>
  </sheetViews>
  <sheetFormatPr defaultRowHeight="15" x14ac:dyDescent="0.25"/>
  <cols>
    <col min="2" max="2" width="29.140625" customWidth="1"/>
    <col min="3" max="3" width="23.42578125" customWidth="1"/>
    <col min="4" max="4" width="21" customWidth="1"/>
    <col min="5" max="5" width="24.28515625" customWidth="1"/>
    <col min="6" max="7" width="20.42578125" customWidth="1"/>
  </cols>
  <sheetData>
    <row r="1" spans="1:8" x14ac:dyDescent="0.25">
      <c r="A1" t="s">
        <v>468</v>
      </c>
      <c r="B1" t="s">
        <v>462</v>
      </c>
      <c r="C1" t="s">
        <v>463</v>
      </c>
      <c r="D1" t="s">
        <v>464</v>
      </c>
      <c r="E1" t="s">
        <v>465</v>
      </c>
      <c r="F1" t="s">
        <v>466</v>
      </c>
      <c r="G1" t="s">
        <v>467</v>
      </c>
      <c r="H1" t="s">
        <v>1014</v>
      </c>
    </row>
    <row r="2" spans="1:8" x14ac:dyDescent="0.25">
      <c r="A2">
        <v>10181305</v>
      </c>
      <c r="B2" t="s">
        <v>14</v>
      </c>
      <c r="C2" t="s">
        <v>14</v>
      </c>
      <c r="D2" t="s">
        <v>14</v>
      </c>
      <c r="E2" t="s">
        <v>775</v>
      </c>
      <c r="F2" t="s">
        <v>14</v>
      </c>
      <c r="G2" t="s">
        <v>14</v>
      </c>
      <c r="H2" t="s">
        <v>1015</v>
      </c>
    </row>
    <row r="3" spans="1:8" x14ac:dyDescent="0.25">
      <c r="A3">
        <v>10252758</v>
      </c>
      <c r="B3" t="s">
        <v>14</v>
      </c>
      <c r="C3" t="s">
        <v>14</v>
      </c>
      <c r="D3" t="s">
        <v>14</v>
      </c>
      <c r="E3" t="s">
        <v>2278</v>
      </c>
      <c r="F3" t="s">
        <v>14</v>
      </c>
      <c r="G3" t="s">
        <v>14</v>
      </c>
      <c r="H3" t="s">
        <v>2604</v>
      </c>
    </row>
    <row r="4" spans="1:8" x14ac:dyDescent="0.25">
      <c r="A4">
        <v>10370705</v>
      </c>
      <c r="B4" t="s">
        <v>14</v>
      </c>
      <c r="C4" t="s">
        <v>14</v>
      </c>
      <c r="D4" t="s">
        <v>14</v>
      </c>
      <c r="E4" t="s">
        <v>2279</v>
      </c>
      <c r="F4" t="s">
        <v>14</v>
      </c>
      <c r="G4" t="s">
        <v>2280</v>
      </c>
      <c r="H4" t="s">
        <v>2605</v>
      </c>
    </row>
    <row r="5" spans="1:8" x14ac:dyDescent="0.25">
      <c r="A5">
        <v>10453984</v>
      </c>
      <c r="B5" t="s">
        <v>2281</v>
      </c>
      <c r="C5" t="s">
        <v>14</v>
      </c>
      <c r="D5" t="s">
        <v>14</v>
      </c>
      <c r="E5" t="s">
        <v>2282</v>
      </c>
      <c r="F5" t="s">
        <v>14</v>
      </c>
      <c r="G5" t="s">
        <v>14</v>
      </c>
      <c r="H5" t="s">
        <v>2606</v>
      </c>
    </row>
    <row r="6" spans="1:8" x14ac:dyDescent="0.25">
      <c r="A6">
        <v>10489552</v>
      </c>
      <c r="B6" t="s">
        <v>14</v>
      </c>
      <c r="C6" t="s">
        <v>14</v>
      </c>
      <c r="D6" t="s">
        <v>14</v>
      </c>
      <c r="E6" t="s">
        <v>1358</v>
      </c>
      <c r="F6" t="s">
        <v>14</v>
      </c>
      <c r="G6" t="s">
        <v>14</v>
      </c>
      <c r="H6" t="s">
        <v>1849</v>
      </c>
    </row>
    <row r="7" spans="1:8" x14ac:dyDescent="0.25">
      <c r="A7">
        <v>10628459</v>
      </c>
      <c r="B7" t="s">
        <v>14</v>
      </c>
      <c r="C7" t="s">
        <v>14</v>
      </c>
      <c r="D7" t="s">
        <v>14</v>
      </c>
      <c r="E7" t="s">
        <v>1612</v>
      </c>
      <c r="F7" t="s">
        <v>14</v>
      </c>
      <c r="G7" t="s">
        <v>2283</v>
      </c>
      <c r="H7" t="s">
        <v>1850</v>
      </c>
    </row>
    <row r="8" spans="1:8" x14ac:dyDescent="0.25">
      <c r="A8">
        <v>10765101</v>
      </c>
      <c r="B8" t="s">
        <v>14</v>
      </c>
      <c r="C8" t="s">
        <v>14</v>
      </c>
      <c r="D8" t="s">
        <v>14</v>
      </c>
      <c r="E8" t="s">
        <v>1359</v>
      </c>
      <c r="F8" t="s">
        <v>14</v>
      </c>
      <c r="G8" t="s">
        <v>1360</v>
      </c>
      <c r="H8" t="s">
        <v>1851</v>
      </c>
    </row>
    <row r="9" spans="1:8" x14ac:dyDescent="0.25">
      <c r="A9">
        <v>10995517</v>
      </c>
      <c r="B9" t="s">
        <v>753</v>
      </c>
      <c r="C9" t="s">
        <v>14</v>
      </c>
      <c r="D9" t="s">
        <v>14</v>
      </c>
      <c r="E9" t="s">
        <v>14</v>
      </c>
      <c r="F9" t="s">
        <v>14</v>
      </c>
      <c r="G9" t="s">
        <v>14</v>
      </c>
      <c r="H9" t="s">
        <v>1021</v>
      </c>
    </row>
    <row r="10" spans="1:8" x14ac:dyDescent="0.25">
      <c r="A10">
        <v>11002538</v>
      </c>
      <c r="B10" t="s">
        <v>14</v>
      </c>
      <c r="C10" t="s">
        <v>14</v>
      </c>
      <c r="D10" t="s">
        <v>14</v>
      </c>
      <c r="E10" t="s">
        <v>14</v>
      </c>
      <c r="F10" t="s">
        <v>14</v>
      </c>
      <c r="G10" t="s">
        <v>14</v>
      </c>
      <c r="H10" t="s">
        <v>1852</v>
      </c>
    </row>
    <row r="11" spans="1:8" x14ac:dyDescent="0.25">
      <c r="A11">
        <v>11093453</v>
      </c>
      <c r="B11" t="s">
        <v>14</v>
      </c>
      <c r="C11" t="s">
        <v>14</v>
      </c>
      <c r="D11" t="s">
        <v>14</v>
      </c>
      <c r="E11" t="s">
        <v>1616</v>
      </c>
      <c r="F11" t="s">
        <v>14</v>
      </c>
      <c r="G11" t="s">
        <v>14</v>
      </c>
      <c r="H11" t="s">
        <v>1022</v>
      </c>
    </row>
    <row r="12" spans="1:8" x14ac:dyDescent="0.25">
      <c r="A12">
        <v>11207992</v>
      </c>
      <c r="B12" t="s">
        <v>14</v>
      </c>
      <c r="C12" t="s">
        <v>14</v>
      </c>
      <c r="D12" t="s">
        <v>14</v>
      </c>
      <c r="E12" t="s">
        <v>2284</v>
      </c>
      <c r="F12" t="s">
        <v>14</v>
      </c>
      <c r="G12" t="s">
        <v>14</v>
      </c>
      <c r="H12" t="s">
        <v>2607</v>
      </c>
    </row>
    <row r="13" spans="1:8" x14ac:dyDescent="0.25">
      <c r="A13">
        <v>11391301</v>
      </c>
      <c r="B13" t="s">
        <v>2285</v>
      </c>
      <c r="C13" t="s">
        <v>1749</v>
      </c>
      <c r="D13" t="s">
        <v>1749</v>
      </c>
      <c r="E13" t="s">
        <v>1750</v>
      </c>
      <c r="F13" t="s">
        <v>1749</v>
      </c>
      <c r="G13" t="s">
        <v>14</v>
      </c>
      <c r="H13" t="s">
        <v>1853</v>
      </c>
    </row>
    <row r="14" spans="1:8" x14ac:dyDescent="0.25">
      <c r="A14">
        <v>11415787</v>
      </c>
      <c r="B14" t="s">
        <v>14</v>
      </c>
      <c r="C14" t="s">
        <v>14</v>
      </c>
      <c r="D14" t="s">
        <v>14</v>
      </c>
      <c r="E14" t="s">
        <v>14</v>
      </c>
      <c r="F14" t="s">
        <v>14</v>
      </c>
      <c r="G14" t="s">
        <v>1751</v>
      </c>
      <c r="H14" t="s">
        <v>1854</v>
      </c>
    </row>
    <row r="15" spans="1:8" x14ac:dyDescent="0.25">
      <c r="A15">
        <v>11443957</v>
      </c>
      <c r="B15" t="s">
        <v>14</v>
      </c>
      <c r="C15" t="s">
        <v>14</v>
      </c>
      <c r="D15" t="s">
        <v>14</v>
      </c>
      <c r="E15" t="s">
        <v>2286</v>
      </c>
      <c r="F15" t="s">
        <v>14</v>
      </c>
      <c r="G15" t="s">
        <v>14</v>
      </c>
      <c r="H15" t="s">
        <v>2608</v>
      </c>
    </row>
    <row r="16" spans="1:8" x14ac:dyDescent="0.25">
      <c r="A16">
        <v>11799023</v>
      </c>
      <c r="B16" t="s">
        <v>14</v>
      </c>
      <c r="C16" t="s">
        <v>14</v>
      </c>
      <c r="D16" t="s">
        <v>14</v>
      </c>
      <c r="E16" t="s">
        <v>2287</v>
      </c>
      <c r="F16" t="s">
        <v>14</v>
      </c>
      <c r="G16" t="s">
        <v>14</v>
      </c>
      <c r="H16" t="s">
        <v>2609</v>
      </c>
    </row>
    <row r="17" spans="1:8" x14ac:dyDescent="0.25">
      <c r="A17">
        <v>11879769</v>
      </c>
      <c r="B17" t="s">
        <v>14</v>
      </c>
      <c r="C17" t="s">
        <v>14</v>
      </c>
      <c r="D17" t="s">
        <v>14</v>
      </c>
      <c r="E17" t="s">
        <v>2288</v>
      </c>
      <c r="F17" t="s">
        <v>14</v>
      </c>
      <c r="G17" t="s">
        <v>14</v>
      </c>
      <c r="H17" t="s">
        <v>2610</v>
      </c>
    </row>
    <row r="18" spans="1:8" x14ac:dyDescent="0.25">
      <c r="A18">
        <v>11962883</v>
      </c>
      <c r="B18" t="s">
        <v>14</v>
      </c>
      <c r="C18" t="s">
        <v>14</v>
      </c>
      <c r="D18" t="s">
        <v>14</v>
      </c>
      <c r="E18" t="s">
        <v>1752</v>
      </c>
      <c r="F18" t="s">
        <v>14</v>
      </c>
      <c r="G18" t="s">
        <v>14</v>
      </c>
      <c r="H18" t="s">
        <v>1027</v>
      </c>
    </row>
    <row r="19" spans="1:8" x14ac:dyDescent="0.25">
      <c r="A19">
        <v>12179346</v>
      </c>
      <c r="B19" t="s">
        <v>14</v>
      </c>
      <c r="C19" t="s">
        <v>14</v>
      </c>
      <c r="D19" t="s">
        <v>14</v>
      </c>
      <c r="E19" t="s">
        <v>14</v>
      </c>
      <c r="F19" t="s">
        <v>14</v>
      </c>
      <c r="G19" t="s">
        <v>1753</v>
      </c>
      <c r="H19" t="s">
        <v>1855</v>
      </c>
    </row>
    <row r="20" spans="1:8" x14ac:dyDescent="0.25">
      <c r="A20">
        <v>12196087</v>
      </c>
      <c r="B20" t="s">
        <v>777</v>
      </c>
      <c r="C20" t="s">
        <v>14</v>
      </c>
      <c r="D20" t="s">
        <v>14</v>
      </c>
      <c r="E20" t="s">
        <v>14</v>
      </c>
      <c r="F20" t="s">
        <v>14</v>
      </c>
      <c r="G20" t="s">
        <v>14</v>
      </c>
      <c r="H20" t="s">
        <v>1028</v>
      </c>
    </row>
    <row r="21" spans="1:8" x14ac:dyDescent="0.25">
      <c r="A21">
        <v>12197060</v>
      </c>
      <c r="B21" t="s">
        <v>14</v>
      </c>
      <c r="C21" t="s">
        <v>14</v>
      </c>
      <c r="D21" t="s">
        <v>14</v>
      </c>
      <c r="E21" t="s">
        <v>14</v>
      </c>
      <c r="F21" t="s">
        <v>14</v>
      </c>
      <c r="G21" t="s">
        <v>1754</v>
      </c>
      <c r="H21" t="s">
        <v>1856</v>
      </c>
    </row>
    <row r="22" spans="1:8" x14ac:dyDescent="0.25">
      <c r="A22">
        <v>12463344</v>
      </c>
      <c r="B22" t="s">
        <v>14</v>
      </c>
      <c r="C22" t="s">
        <v>14</v>
      </c>
      <c r="D22" t="s">
        <v>14</v>
      </c>
      <c r="E22" t="s">
        <v>2289</v>
      </c>
      <c r="F22" t="s">
        <v>14</v>
      </c>
      <c r="G22" t="s">
        <v>2290</v>
      </c>
      <c r="H22" t="s">
        <v>2611</v>
      </c>
    </row>
    <row r="23" spans="1:8" x14ac:dyDescent="0.25">
      <c r="A23">
        <v>12480306</v>
      </c>
      <c r="B23" t="s">
        <v>14</v>
      </c>
      <c r="C23" t="s">
        <v>14</v>
      </c>
      <c r="D23" t="s">
        <v>14</v>
      </c>
      <c r="E23" t="s">
        <v>2291</v>
      </c>
      <c r="F23" t="s">
        <v>14</v>
      </c>
      <c r="G23" t="s">
        <v>14</v>
      </c>
      <c r="H23" t="s">
        <v>2612</v>
      </c>
    </row>
    <row r="24" spans="1:8" x14ac:dyDescent="0.25">
      <c r="A24">
        <v>12688994</v>
      </c>
      <c r="B24" t="s">
        <v>14</v>
      </c>
      <c r="C24" t="s">
        <v>14</v>
      </c>
      <c r="D24" t="s">
        <v>14</v>
      </c>
      <c r="E24" t="s">
        <v>2292</v>
      </c>
      <c r="F24" t="s">
        <v>14</v>
      </c>
      <c r="G24" t="s">
        <v>2293</v>
      </c>
      <c r="H24" t="s">
        <v>1857</v>
      </c>
    </row>
    <row r="25" spans="1:8" x14ac:dyDescent="0.25">
      <c r="A25">
        <v>12994151</v>
      </c>
      <c r="B25" t="s">
        <v>14</v>
      </c>
      <c r="C25" t="s">
        <v>14</v>
      </c>
      <c r="D25" t="s">
        <v>14</v>
      </c>
      <c r="E25" t="s">
        <v>2294</v>
      </c>
      <c r="F25" t="s">
        <v>14</v>
      </c>
      <c r="G25" t="s">
        <v>14</v>
      </c>
      <c r="H25" t="s">
        <v>2613</v>
      </c>
    </row>
    <row r="26" spans="1:8" x14ac:dyDescent="0.25">
      <c r="A26">
        <v>13210112</v>
      </c>
      <c r="B26" t="s">
        <v>780</v>
      </c>
      <c r="C26" t="s">
        <v>14</v>
      </c>
      <c r="D26" t="s">
        <v>14</v>
      </c>
      <c r="E26" t="s">
        <v>14</v>
      </c>
      <c r="F26" t="s">
        <v>14</v>
      </c>
      <c r="G26" t="s">
        <v>14</v>
      </c>
      <c r="H26" t="s">
        <v>1037</v>
      </c>
    </row>
    <row r="27" spans="1:8" x14ac:dyDescent="0.25">
      <c r="A27">
        <v>13321704</v>
      </c>
      <c r="B27" t="s">
        <v>14</v>
      </c>
      <c r="C27" t="s">
        <v>14</v>
      </c>
      <c r="D27" t="s">
        <v>14</v>
      </c>
      <c r="E27" t="s">
        <v>1755</v>
      </c>
      <c r="F27" t="s">
        <v>14</v>
      </c>
      <c r="G27" t="s">
        <v>14</v>
      </c>
      <c r="H27" t="s">
        <v>1858</v>
      </c>
    </row>
    <row r="28" spans="1:8" x14ac:dyDescent="0.25">
      <c r="A28">
        <v>13500351</v>
      </c>
      <c r="B28" t="s">
        <v>14</v>
      </c>
      <c r="C28" t="s">
        <v>14</v>
      </c>
      <c r="D28" t="s">
        <v>14</v>
      </c>
      <c r="E28" t="s">
        <v>2295</v>
      </c>
      <c r="F28" t="s">
        <v>14</v>
      </c>
      <c r="G28" t="s">
        <v>14</v>
      </c>
      <c r="H28" t="s">
        <v>2614</v>
      </c>
    </row>
    <row r="29" spans="1:8" x14ac:dyDescent="0.25">
      <c r="A29">
        <v>13601167</v>
      </c>
      <c r="B29" t="s">
        <v>14</v>
      </c>
      <c r="C29" t="s">
        <v>14</v>
      </c>
      <c r="D29" t="s">
        <v>14</v>
      </c>
      <c r="E29" t="s">
        <v>783</v>
      </c>
      <c r="F29" t="s">
        <v>14</v>
      </c>
      <c r="G29" t="s">
        <v>14</v>
      </c>
      <c r="H29" t="s">
        <v>1041</v>
      </c>
    </row>
    <row r="30" spans="1:8" x14ac:dyDescent="0.25">
      <c r="A30">
        <v>13733756</v>
      </c>
      <c r="B30" t="s">
        <v>14</v>
      </c>
      <c r="C30" t="s">
        <v>14</v>
      </c>
      <c r="D30" t="s">
        <v>14</v>
      </c>
      <c r="E30" t="s">
        <v>1756</v>
      </c>
      <c r="F30" t="s">
        <v>14</v>
      </c>
      <c r="G30" t="s">
        <v>785</v>
      </c>
      <c r="H30" t="s">
        <v>1044</v>
      </c>
    </row>
    <row r="31" spans="1:8" x14ac:dyDescent="0.25">
      <c r="A31">
        <v>13825590</v>
      </c>
      <c r="B31" t="s">
        <v>14</v>
      </c>
      <c r="C31" t="s">
        <v>14</v>
      </c>
      <c r="D31" t="s">
        <v>14</v>
      </c>
      <c r="E31" t="s">
        <v>786</v>
      </c>
      <c r="F31" t="s">
        <v>14</v>
      </c>
      <c r="G31" t="s">
        <v>787</v>
      </c>
      <c r="H31" t="s">
        <v>1045</v>
      </c>
    </row>
    <row r="32" spans="1:8" x14ac:dyDescent="0.25">
      <c r="A32">
        <v>13917513</v>
      </c>
      <c r="B32" t="s">
        <v>14</v>
      </c>
      <c r="C32" t="s">
        <v>14</v>
      </c>
      <c r="D32" t="s">
        <v>14</v>
      </c>
      <c r="E32" t="s">
        <v>2296</v>
      </c>
      <c r="F32" t="s">
        <v>14</v>
      </c>
      <c r="G32" t="s">
        <v>1757</v>
      </c>
      <c r="H32" t="s">
        <v>1859</v>
      </c>
    </row>
    <row r="33" spans="1:8" x14ac:dyDescent="0.25">
      <c r="A33">
        <v>13939387</v>
      </c>
      <c r="B33" t="s">
        <v>14</v>
      </c>
      <c r="C33" t="s">
        <v>14</v>
      </c>
      <c r="D33" t="s">
        <v>14</v>
      </c>
      <c r="E33" t="s">
        <v>617</v>
      </c>
      <c r="F33" t="s">
        <v>14</v>
      </c>
      <c r="G33" t="s">
        <v>618</v>
      </c>
      <c r="H33" t="s">
        <v>1047</v>
      </c>
    </row>
    <row r="34" spans="1:8" x14ac:dyDescent="0.25">
      <c r="A34">
        <v>14059242</v>
      </c>
      <c r="B34" t="s">
        <v>14</v>
      </c>
      <c r="C34" t="s">
        <v>14</v>
      </c>
      <c r="D34" t="s">
        <v>14</v>
      </c>
      <c r="E34" t="s">
        <v>2297</v>
      </c>
      <c r="F34" t="s">
        <v>14</v>
      </c>
      <c r="G34" t="s">
        <v>2298</v>
      </c>
      <c r="H34" t="s">
        <v>2615</v>
      </c>
    </row>
    <row r="35" spans="1:8" x14ac:dyDescent="0.25">
      <c r="A35">
        <v>14263705</v>
      </c>
      <c r="B35" t="s">
        <v>14</v>
      </c>
      <c r="C35" t="s">
        <v>14</v>
      </c>
      <c r="D35" t="s">
        <v>14</v>
      </c>
      <c r="E35" t="s">
        <v>2299</v>
      </c>
      <c r="F35" t="s">
        <v>14</v>
      </c>
      <c r="G35" t="s">
        <v>2300</v>
      </c>
      <c r="H35" t="s">
        <v>2616</v>
      </c>
    </row>
    <row r="36" spans="1:8" x14ac:dyDescent="0.25">
      <c r="A36">
        <v>14295837</v>
      </c>
      <c r="B36" t="s">
        <v>14</v>
      </c>
      <c r="C36" t="s">
        <v>14</v>
      </c>
      <c r="D36" t="s">
        <v>14</v>
      </c>
      <c r="E36" t="s">
        <v>2301</v>
      </c>
      <c r="F36" t="s">
        <v>14</v>
      </c>
      <c r="G36" t="s">
        <v>14</v>
      </c>
      <c r="H36" t="s">
        <v>2617</v>
      </c>
    </row>
    <row r="37" spans="1:8" x14ac:dyDescent="0.25">
      <c r="A37">
        <v>14308611</v>
      </c>
      <c r="B37" t="s">
        <v>14</v>
      </c>
      <c r="C37" t="s">
        <v>14</v>
      </c>
      <c r="D37" t="s">
        <v>14</v>
      </c>
      <c r="E37" t="s">
        <v>2302</v>
      </c>
      <c r="F37" t="s">
        <v>14</v>
      </c>
      <c r="G37" t="s">
        <v>14</v>
      </c>
      <c r="H37" t="s">
        <v>2618</v>
      </c>
    </row>
    <row r="38" spans="1:8" x14ac:dyDescent="0.25">
      <c r="A38">
        <v>14401877</v>
      </c>
      <c r="B38" t="s">
        <v>14</v>
      </c>
      <c r="C38" t="s">
        <v>14</v>
      </c>
      <c r="D38" t="s">
        <v>14</v>
      </c>
      <c r="E38" t="s">
        <v>14</v>
      </c>
      <c r="F38" t="s">
        <v>14</v>
      </c>
      <c r="G38" t="s">
        <v>2303</v>
      </c>
      <c r="H38" t="s">
        <v>2619</v>
      </c>
    </row>
    <row r="39" spans="1:8" x14ac:dyDescent="0.25">
      <c r="A39">
        <v>14535357</v>
      </c>
      <c r="B39" t="s">
        <v>14</v>
      </c>
      <c r="C39" t="s">
        <v>14</v>
      </c>
      <c r="D39" t="s">
        <v>14</v>
      </c>
      <c r="E39" t="s">
        <v>2304</v>
      </c>
      <c r="F39" t="s">
        <v>14</v>
      </c>
      <c r="G39" t="s">
        <v>2305</v>
      </c>
      <c r="H39" t="s">
        <v>2620</v>
      </c>
    </row>
    <row r="40" spans="1:8" x14ac:dyDescent="0.25">
      <c r="A40">
        <v>14625326</v>
      </c>
      <c r="B40" t="s">
        <v>14</v>
      </c>
      <c r="C40" t="s">
        <v>14</v>
      </c>
      <c r="D40" t="s">
        <v>14</v>
      </c>
      <c r="E40" t="s">
        <v>2306</v>
      </c>
      <c r="F40" t="s">
        <v>14</v>
      </c>
      <c r="G40" t="s">
        <v>14</v>
      </c>
      <c r="H40" t="s">
        <v>2621</v>
      </c>
    </row>
    <row r="41" spans="1:8" x14ac:dyDescent="0.25">
      <c r="A41">
        <v>14632637</v>
      </c>
      <c r="B41" t="s">
        <v>14</v>
      </c>
      <c r="C41" t="s">
        <v>14</v>
      </c>
      <c r="D41" t="s">
        <v>14</v>
      </c>
      <c r="E41" t="s">
        <v>2307</v>
      </c>
      <c r="F41" t="s">
        <v>14</v>
      </c>
      <c r="G41" t="s">
        <v>2308</v>
      </c>
      <c r="H41" t="s">
        <v>2622</v>
      </c>
    </row>
    <row r="42" spans="1:8" x14ac:dyDescent="0.25">
      <c r="A42">
        <v>14686584</v>
      </c>
      <c r="B42" t="s">
        <v>14</v>
      </c>
      <c r="C42" t="s">
        <v>14</v>
      </c>
      <c r="D42" t="s">
        <v>14</v>
      </c>
      <c r="E42" t="s">
        <v>2309</v>
      </c>
      <c r="F42" t="s">
        <v>14</v>
      </c>
      <c r="G42" t="s">
        <v>14</v>
      </c>
      <c r="H42" t="s">
        <v>2623</v>
      </c>
    </row>
    <row r="43" spans="1:8" x14ac:dyDescent="0.25">
      <c r="A43">
        <v>14710308</v>
      </c>
      <c r="B43" t="s">
        <v>14</v>
      </c>
      <c r="C43" t="s">
        <v>14</v>
      </c>
      <c r="D43" t="s">
        <v>14</v>
      </c>
      <c r="E43" t="s">
        <v>14</v>
      </c>
      <c r="F43" t="s">
        <v>14</v>
      </c>
      <c r="G43" t="s">
        <v>1758</v>
      </c>
      <c r="H43" t="s">
        <v>1860</v>
      </c>
    </row>
    <row r="44" spans="1:8" x14ac:dyDescent="0.25">
      <c r="A44">
        <v>14736972</v>
      </c>
      <c r="B44" t="s">
        <v>14</v>
      </c>
      <c r="C44" t="s">
        <v>14</v>
      </c>
      <c r="D44" t="s">
        <v>14</v>
      </c>
      <c r="E44" t="s">
        <v>794</v>
      </c>
      <c r="F44" t="s">
        <v>14</v>
      </c>
      <c r="G44" t="s">
        <v>795</v>
      </c>
      <c r="H44" t="s">
        <v>1861</v>
      </c>
    </row>
    <row r="45" spans="1:8" x14ac:dyDescent="0.25">
      <c r="A45">
        <v>14793088</v>
      </c>
      <c r="B45" t="s">
        <v>14</v>
      </c>
      <c r="C45" t="s">
        <v>14</v>
      </c>
      <c r="D45" t="s">
        <v>14</v>
      </c>
      <c r="E45" t="s">
        <v>2310</v>
      </c>
      <c r="F45" t="s">
        <v>14</v>
      </c>
      <c r="G45" t="s">
        <v>2311</v>
      </c>
      <c r="H45" t="s">
        <v>2624</v>
      </c>
    </row>
    <row r="46" spans="1:8" x14ac:dyDescent="0.25">
      <c r="A46">
        <v>14839825</v>
      </c>
      <c r="B46" t="s">
        <v>14</v>
      </c>
      <c r="C46" t="s">
        <v>14</v>
      </c>
      <c r="D46" t="s">
        <v>14</v>
      </c>
      <c r="E46" t="s">
        <v>14</v>
      </c>
      <c r="F46" t="s">
        <v>14</v>
      </c>
      <c r="G46" t="s">
        <v>2312</v>
      </c>
      <c r="H46" t="s">
        <v>2625</v>
      </c>
    </row>
    <row r="47" spans="1:8" x14ac:dyDescent="0.25">
      <c r="A47">
        <v>14853221</v>
      </c>
      <c r="B47" t="s">
        <v>14</v>
      </c>
      <c r="C47" t="s">
        <v>14</v>
      </c>
      <c r="D47" t="s">
        <v>14</v>
      </c>
      <c r="E47" t="s">
        <v>2313</v>
      </c>
      <c r="F47" t="s">
        <v>14</v>
      </c>
      <c r="G47" t="s">
        <v>2314</v>
      </c>
      <c r="H47" t="s">
        <v>2626</v>
      </c>
    </row>
    <row r="48" spans="1:8" x14ac:dyDescent="0.25">
      <c r="A48">
        <v>14900087</v>
      </c>
      <c r="B48" t="s">
        <v>14</v>
      </c>
      <c r="C48" t="s">
        <v>14</v>
      </c>
      <c r="D48" t="s">
        <v>14</v>
      </c>
      <c r="E48" t="s">
        <v>719</v>
      </c>
      <c r="F48" t="s">
        <v>14</v>
      </c>
      <c r="G48" t="s">
        <v>14</v>
      </c>
      <c r="H48" t="s">
        <v>1057</v>
      </c>
    </row>
    <row r="49" spans="1:8" x14ac:dyDescent="0.25">
      <c r="A49">
        <v>14905042</v>
      </c>
      <c r="B49" t="s">
        <v>717</v>
      </c>
      <c r="C49" t="s">
        <v>14</v>
      </c>
      <c r="D49" t="s">
        <v>14</v>
      </c>
      <c r="E49" t="s">
        <v>718</v>
      </c>
      <c r="F49" t="s">
        <v>14</v>
      </c>
      <c r="G49" t="s">
        <v>14</v>
      </c>
      <c r="H49" t="s">
        <v>1722</v>
      </c>
    </row>
    <row r="50" spans="1:8" x14ac:dyDescent="0.25">
      <c r="A50">
        <v>14927813</v>
      </c>
      <c r="B50" t="s">
        <v>14</v>
      </c>
      <c r="C50" t="s">
        <v>14</v>
      </c>
      <c r="D50" t="s">
        <v>14</v>
      </c>
      <c r="E50" t="s">
        <v>2315</v>
      </c>
      <c r="F50" t="s">
        <v>14</v>
      </c>
      <c r="G50" t="s">
        <v>14</v>
      </c>
      <c r="H50" t="s">
        <v>2627</v>
      </c>
    </row>
    <row r="51" spans="1:8" x14ac:dyDescent="0.25">
      <c r="A51">
        <v>15038090</v>
      </c>
      <c r="B51" t="s">
        <v>14</v>
      </c>
      <c r="C51" t="s">
        <v>14</v>
      </c>
      <c r="D51" t="s">
        <v>14</v>
      </c>
      <c r="E51" t="s">
        <v>2316</v>
      </c>
      <c r="F51" t="s">
        <v>14</v>
      </c>
      <c r="G51" t="s">
        <v>14</v>
      </c>
      <c r="H51" t="s">
        <v>2628</v>
      </c>
    </row>
    <row r="52" spans="1:8" x14ac:dyDescent="0.25">
      <c r="A52">
        <v>15204932</v>
      </c>
      <c r="B52" t="s">
        <v>2317</v>
      </c>
      <c r="C52" t="s">
        <v>14</v>
      </c>
      <c r="D52" t="s">
        <v>14</v>
      </c>
      <c r="E52" t="s">
        <v>2318</v>
      </c>
      <c r="F52" t="s">
        <v>14</v>
      </c>
      <c r="G52" t="s">
        <v>14</v>
      </c>
      <c r="H52" t="s">
        <v>2629</v>
      </c>
    </row>
    <row r="53" spans="1:8" x14ac:dyDescent="0.25">
      <c r="A53">
        <v>15217898</v>
      </c>
      <c r="B53" t="s">
        <v>14</v>
      </c>
      <c r="C53" t="s">
        <v>14</v>
      </c>
      <c r="D53" t="s">
        <v>14</v>
      </c>
      <c r="E53" t="s">
        <v>515</v>
      </c>
      <c r="F53" t="s">
        <v>14</v>
      </c>
      <c r="G53" t="s">
        <v>14</v>
      </c>
      <c r="H53" t="s">
        <v>1061</v>
      </c>
    </row>
    <row r="54" spans="1:8" x14ac:dyDescent="0.25">
      <c r="A54">
        <v>15373275</v>
      </c>
      <c r="B54" t="s">
        <v>14</v>
      </c>
      <c r="C54" t="s">
        <v>14</v>
      </c>
      <c r="D54" t="s">
        <v>14</v>
      </c>
      <c r="E54" t="s">
        <v>2319</v>
      </c>
      <c r="F54" t="s">
        <v>14</v>
      </c>
      <c r="G54" t="s">
        <v>2320</v>
      </c>
      <c r="H54" t="s">
        <v>2630</v>
      </c>
    </row>
    <row r="55" spans="1:8" x14ac:dyDescent="0.25">
      <c r="A55">
        <v>15454209</v>
      </c>
      <c r="B55" t="s">
        <v>14</v>
      </c>
      <c r="C55" t="s">
        <v>14</v>
      </c>
      <c r="D55" t="s">
        <v>14</v>
      </c>
      <c r="E55" t="s">
        <v>2321</v>
      </c>
      <c r="F55" t="s">
        <v>14</v>
      </c>
      <c r="G55" t="s">
        <v>2322</v>
      </c>
      <c r="H55" t="s">
        <v>2631</v>
      </c>
    </row>
    <row r="56" spans="1:8" x14ac:dyDescent="0.25">
      <c r="A56">
        <v>15458551</v>
      </c>
      <c r="B56" t="s">
        <v>14</v>
      </c>
      <c r="C56" t="s">
        <v>14</v>
      </c>
      <c r="D56" t="s">
        <v>14</v>
      </c>
      <c r="E56" t="s">
        <v>1617</v>
      </c>
      <c r="F56" t="s">
        <v>14</v>
      </c>
      <c r="G56" t="s">
        <v>14</v>
      </c>
      <c r="H56" t="s">
        <v>1862</v>
      </c>
    </row>
    <row r="57" spans="1:8" x14ac:dyDescent="0.25">
      <c r="A57">
        <v>15500024</v>
      </c>
      <c r="B57" t="s">
        <v>14</v>
      </c>
      <c r="C57" t="s">
        <v>14</v>
      </c>
      <c r="D57" t="s">
        <v>14</v>
      </c>
      <c r="E57" t="s">
        <v>1618</v>
      </c>
      <c r="F57" t="s">
        <v>14</v>
      </c>
      <c r="G57" t="s">
        <v>1619</v>
      </c>
      <c r="H57" t="s">
        <v>1863</v>
      </c>
    </row>
    <row r="58" spans="1:8" x14ac:dyDescent="0.25">
      <c r="A58">
        <v>15513739</v>
      </c>
      <c r="B58" t="s">
        <v>14</v>
      </c>
      <c r="C58" t="s">
        <v>14</v>
      </c>
      <c r="D58" t="s">
        <v>14</v>
      </c>
      <c r="E58" t="s">
        <v>1620</v>
      </c>
      <c r="F58" t="s">
        <v>14</v>
      </c>
      <c r="G58" t="s">
        <v>1621</v>
      </c>
      <c r="H58" t="s">
        <v>1864</v>
      </c>
    </row>
    <row r="59" spans="1:8" x14ac:dyDescent="0.25">
      <c r="A59">
        <v>15525773</v>
      </c>
      <c r="B59" t="s">
        <v>14</v>
      </c>
      <c r="C59" t="s">
        <v>14</v>
      </c>
      <c r="D59" t="s">
        <v>14</v>
      </c>
      <c r="E59" t="s">
        <v>14</v>
      </c>
      <c r="F59" t="s">
        <v>14</v>
      </c>
      <c r="G59" t="s">
        <v>14</v>
      </c>
      <c r="H59" t="s">
        <v>1067</v>
      </c>
    </row>
    <row r="60" spans="1:8" x14ac:dyDescent="0.25">
      <c r="A60">
        <v>15553212</v>
      </c>
      <c r="B60" t="s">
        <v>14</v>
      </c>
      <c r="C60" t="s">
        <v>14</v>
      </c>
      <c r="D60" t="s">
        <v>14</v>
      </c>
      <c r="E60" t="s">
        <v>1622</v>
      </c>
      <c r="F60" t="s">
        <v>14</v>
      </c>
      <c r="G60" t="s">
        <v>14</v>
      </c>
      <c r="H60" t="s">
        <v>1865</v>
      </c>
    </row>
    <row r="61" spans="1:8" x14ac:dyDescent="0.25">
      <c r="A61">
        <v>15579254</v>
      </c>
      <c r="B61" t="s">
        <v>14</v>
      </c>
      <c r="C61" t="s">
        <v>14</v>
      </c>
      <c r="D61" t="s">
        <v>14</v>
      </c>
      <c r="E61" t="s">
        <v>2323</v>
      </c>
      <c r="F61" t="s">
        <v>14</v>
      </c>
      <c r="G61" t="s">
        <v>14</v>
      </c>
      <c r="H61" t="s">
        <v>2632</v>
      </c>
    </row>
    <row r="62" spans="1:8" x14ac:dyDescent="0.25">
      <c r="A62">
        <v>15688568</v>
      </c>
      <c r="B62" t="s">
        <v>14</v>
      </c>
      <c r="C62" t="s">
        <v>14</v>
      </c>
      <c r="D62" t="s">
        <v>14</v>
      </c>
      <c r="E62" t="s">
        <v>804</v>
      </c>
      <c r="F62" t="s">
        <v>14</v>
      </c>
      <c r="G62" t="s">
        <v>14</v>
      </c>
      <c r="H62" t="s">
        <v>1070</v>
      </c>
    </row>
    <row r="63" spans="1:8" x14ac:dyDescent="0.25">
      <c r="A63">
        <v>15715276</v>
      </c>
      <c r="B63" t="s">
        <v>14</v>
      </c>
      <c r="C63" t="s">
        <v>14</v>
      </c>
      <c r="D63" t="s">
        <v>14</v>
      </c>
      <c r="E63" t="s">
        <v>14</v>
      </c>
      <c r="F63" t="s">
        <v>14</v>
      </c>
      <c r="G63" t="s">
        <v>805</v>
      </c>
      <c r="H63" t="s">
        <v>1071</v>
      </c>
    </row>
    <row r="64" spans="1:8" x14ac:dyDescent="0.25">
      <c r="A64">
        <v>15716112</v>
      </c>
      <c r="B64" t="s">
        <v>14</v>
      </c>
      <c r="C64" t="s">
        <v>14</v>
      </c>
      <c r="D64" t="s">
        <v>14</v>
      </c>
      <c r="E64" t="s">
        <v>1759</v>
      </c>
      <c r="F64" t="s">
        <v>14</v>
      </c>
      <c r="G64" t="s">
        <v>2324</v>
      </c>
      <c r="H64" t="s">
        <v>1866</v>
      </c>
    </row>
    <row r="65" spans="1:8" x14ac:dyDescent="0.25">
      <c r="A65">
        <v>15770197</v>
      </c>
      <c r="B65" t="s">
        <v>14</v>
      </c>
      <c r="C65" t="s">
        <v>14</v>
      </c>
      <c r="D65" t="s">
        <v>14</v>
      </c>
      <c r="E65" t="s">
        <v>14</v>
      </c>
      <c r="F65" t="s">
        <v>14</v>
      </c>
      <c r="G65" t="s">
        <v>14</v>
      </c>
      <c r="H65" t="s">
        <v>1073</v>
      </c>
    </row>
    <row r="66" spans="1:8" x14ac:dyDescent="0.25">
      <c r="A66">
        <v>15910356</v>
      </c>
      <c r="B66" t="s">
        <v>14</v>
      </c>
      <c r="C66" t="s">
        <v>14</v>
      </c>
      <c r="D66" t="s">
        <v>14</v>
      </c>
      <c r="E66" t="s">
        <v>807</v>
      </c>
      <c r="F66" t="s">
        <v>14</v>
      </c>
      <c r="G66" t="s">
        <v>808</v>
      </c>
      <c r="H66" t="s">
        <v>1076</v>
      </c>
    </row>
    <row r="67" spans="1:8" x14ac:dyDescent="0.25">
      <c r="A67">
        <v>15921520</v>
      </c>
      <c r="B67" t="s">
        <v>14</v>
      </c>
      <c r="C67" t="s">
        <v>14</v>
      </c>
      <c r="D67" t="s">
        <v>14</v>
      </c>
      <c r="E67" t="s">
        <v>1760</v>
      </c>
      <c r="F67" t="s">
        <v>14</v>
      </c>
      <c r="G67" t="s">
        <v>14</v>
      </c>
      <c r="H67" t="s">
        <v>1867</v>
      </c>
    </row>
    <row r="68" spans="1:8" x14ac:dyDescent="0.25">
      <c r="A68">
        <v>15942255</v>
      </c>
      <c r="B68" t="s">
        <v>14</v>
      </c>
      <c r="C68" t="s">
        <v>14</v>
      </c>
      <c r="D68" t="s">
        <v>14</v>
      </c>
      <c r="E68" t="s">
        <v>1761</v>
      </c>
      <c r="F68" t="s">
        <v>14</v>
      </c>
      <c r="G68" t="s">
        <v>14</v>
      </c>
      <c r="H68" t="s">
        <v>1868</v>
      </c>
    </row>
    <row r="69" spans="1:8" x14ac:dyDescent="0.25">
      <c r="A69">
        <v>16005601</v>
      </c>
      <c r="B69" t="s">
        <v>14</v>
      </c>
      <c r="C69" t="s">
        <v>14</v>
      </c>
      <c r="D69" t="s">
        <v>14</v>
      </c>
      <c r="E69" t="s">
        <v>14</v>
      </c>
      <c r="F69" t="s">
        <v>14</v>
      </c>
      <c r="G69" t="s">
        <v>2325</v>
      </c>
      <c r="H69" t="s">
        <v>2633</v>
      </c>
    </row>
    <row r="70" spans="1:8" x14ac:dyDescent="0.25">
      <c r="A70">
        <v>16015473</v>
      </c>
      <c r="B70" t="s">
        <v>14</v>
      </c>
      <c r="C70" t="s">
        <v>14</v>
      </c>
      <c r="D70" t="s">
        <v>14</v>
      </c>
      <c r="E70" t="s">
        <v>809</v>
      </c>
      <c r="F70" t="s">
        <v>14</v>
      </c>
      <c r="G70" t="s">
        <v>810</v>
      </c>
      <c r="H70" t="s">
        <v>1079</v>
      </c>
    </row>
    <row r="71" spans="1:8" x14ac:dyDescent="0.25">
      <c r="A71">
        <v>16081005</v>
      </c>
      <c r="B71" t="s">
        <v>2326</v>
      </c>
      <c r="C71" t="s">
        <v>14</v>
      </c>
      <c r="D71" t="s">
        <v>14</v>
      </c>
      <c r="E71" t="s">
        <v>2327</v>
      </c>
      <c r="F71" t="s">
        <v>14</v>
      </c>
      <c r="G71" t="s">
        <v>2328</v>
      </c>
      <c r="H71" t="s">
        <v>2634</v>
      </c>
    </row>
    <row r="72" spans="1:8" x14ac:dyDescent="0.25">
      <c r="A72">
        <v>16172764</v>
      </c>
      <c r="B72" t="s">
        <v>2329</v>
      </c>
      <c r="C72" t="s">
        <v>14</v>
      </c>
      <c r="D72" t="s">
        <v>14</v>
      </c>
      <c r="E72" t="s">
        <v>14</v>
      </c>
      <c r="F72" t="s">
        <v>14</v>
      </c>
      <c r="G72" t="s">
        <v>14</v>
      </c>
      <c r="H72" t="s">
        <v>2635</v>
      </c>
    </row>
    <row r="73" spans="1:8" x14ac:dyDescent="0.25">
      <c r="A73">
        <v>16193614</v>
      </c>
      <c r="B73" t="s">
        <v>2330</v>
      </c>
      <c r="C73" t="s">
        <v>14</v>
      </c>
      <c r="D73" t="s">
        <v>14</v>
      </c>
      <c r="E73" t="s">
        <v>2331</v>
      </c>
      <c r="F73" t="s">
        <v>14</v>
      </c>
      <c r="G73" t="s">
        <v>14</v>
      </c>
      <c r="H73" t="s">
        <v>2636</v>
      </c>
    </row>
    <row r="74" spans="1:8" x14ac:dyDescent="0.25">
      <c r="A74">
        <v>16212846</v>
      </c>
      <c r="B74" t="s">
        <v>14</v>
      </c>
      <c r="C74" t="s">
        <v>14</v>
      </c>
      <c r="D74" t="s">
        <v>14</v>
      </c>
      <c r="E74" t="s">
        <v>14</v>
      </c>
      <c r="F74" t="s">
        <v>14</v>
      </c>
      <c r="G74" t="s">
        <v>2332</v>
      </c>
      <c r="H74" t="s">
        <v>2637</v>
      </c>
    </row>
    <row r="75" spans="1:8" x14ac:dyDescent="0.25">
      <c r="A75">
        <v>16221481</v>
      </c>
      <c r="B75" t="s">
        <v>2333</v>
      </c>
      <c r="C75" t="s">
        <v>14</v>
      </c>
      <c r="D75" t="s">
        <v>14</v>
      </c>
      <c r="E75" t="s">
        <v>14</v>
      </c>
      <c r="F75" t="s">
        <v>14</v>
      </c>
      <c r="G75" t="s">
        <v>14</v>
      </c>
      <c r="H75" t="s">
        <v>2638</v>
      </c>
    </row>
    <row r="76" spans="1:8" x14ac:dyDescent="0.25">
      <c r="A76">
        <v>16221559</v>
      </c>
      <c r="B76" t="s">
        <v>2334</v>
      </c>
      <c r="C76" t="s">
        <v>14</v>
      </c>
      <c r="D76" t="s">
        <v>14</v>
      </c>
      <c r="E76" t="s">
        <v>14</v>
      </c>
      <c r="F76" t="s">
        <v>14</v>
      </c>
      <c r="G76" t="s">
        <v>14</v>
      </c>
      <c r="H76" t="s">
        <v>2639</v>
      </c>
    </row>
    <row r="77" spans="1:8" x14ac:dyDescent="0.25">
      <c r="A77">
        <v>16247382</v>
      </c>
      <c r="B77" t="s">
        <v>14</v>
      </c>
      <c r="C77" t="s">
        <v>14</v>
      </c>
      <c r="D77" t="s">
        <v>14</v>
      </c>
      <c r="E77" t="s">
        <v>1623</v>
      </c>
      <c r="F77" t="s">
        <v>14</v>
      </c>
      <c r="G77" t="s">
        <v>14</v>
      </c>
      <c r="H77" t="s">
        <v>1869</v>
      </c>
    </row>
    <row r="78" spans="1:8" x14ac:dyDescent="0.25">
      <c r="A78">
        <v>16247398</v>
      </c>
      <c r="B78" t="s">
        <v>14</v>
      </c>
      <c r="C78" t="s">
        <v>14</v>
      </c>
      <c r="D78" t="s">
        <v>14</v>
      </c>
      <c r="E78" t="s">
        <v>1624</v>
      </c>
      <c r="F78" t="s">
        <v>14</v>
      </c>
      <c r="G78" t="s">
        <v>14</v>
      </c>
      <c r="H78" t="s">
        <v>1870</v>
      </c>
    </row>
    <row r="79" spans="1:8" x14ac:dyDescent="0.25">
      <c r="A79">
        <v>16270208</v>
      </c>
      <c r="B79" t="s">
        <v>2335</v>
      </c>
      <c r="C79" t="s">
        <v>14</v>
      </c>
      <c r="D79" t="s">
        <v>14</v>
      </c>
      <c r="E79" t="s">
        <v>14</v>
      </c>
      <c r="F79" t="s">
        <v>14</v>
      </c>
      <c r="G79" t="s">
        <v>14</v>
      </c>
      <c r="H79" t="s">
        <v>2640</v>
      </c>
    </row>
    <row r="80" spans="1:8" x14ac:dyDescent="0.25">
      <c r="A80">
        <v>16270768</v>
      </c>
      <c r="B80" t="s">
        <v>2336</v>
      </c>
      <c r="C80" t="s">
        <v>14</v>
      </c>
      <c r="D80" t="s">
        <v>14</v>
      </c>
      <c r="E80" t="s">
        <v>14</v>
      </c>
      <c r="F80" t="s">
        <v>14</v>
      </c>
      <c r="G80" t="s">
        <v>14</v>
      </c>
      <c r="H80" t="s">
        <v>2641</v>
      </c>
    </row>
    <row r="81" spans="1:8" x14ac:dyDescent="0.25">
      <c r="A81">
        <v>16313577</v>
      </c>
      <c r="B81" t="s">
        <v>14</v>
      </c>
      <c r="C81" t="s">
        <v>14</v>
      </c>
      <c r="D81" t="s">
        <v>14</v>
      </c>
      <c r="E81" t="s">
        <v>523</v>
      </c>
      <c r="F81" t="s">
        <v>14</v>
      </c>
      <c r="G81" t="s">
        <v>524</v>
      </c>
      <c r="H81" t="s">
        <v>1089</v>
      </c>
    </row>
    <row r="82" spans="1:8" x14ac:dyDescent="0.25">
      <c r="A82">
        <v>16344010</v>
      </c>
      <c r="B82" t="s">
        <v>14</v>
      </c>
      <c r="C82" t="s">
        <v>14</v>
      </c>
      <c r="D82" t="s">
        <v>14</v>
      </c>
      <c r="E82" t="s">
        <v>14</v>
      </c>
      <c r="F82" t="s">
        <v>14</v>
      </c>
      <c r="G82" t="s">
        <v>2337</v>
      </c>
      <c r="H82" t="s">
        <v>2642</v>
      </c>
    </row>
    <row r="83" spans="1:8" x14ac:dyDescent="0.25">
      <c r="A83">
        <v>16364516</v>
      </c>
      <c r="B83" t="s">
        <v>14</v>
      </c>
      <c r="C83" t="s">
        <v>14</v>
      </c>
      <c r="D83" t="s">
        <v>14</v>
      </c>
      <c r="E83" t="s">
        <v>14</v>
      </c>
      <c r="F83" t="s">
        <v>14</v>
      </c>
      <c r="G83" t="s">
        <v>2338</v>
      </c>
      <c r="H83" t="s">
        <v>1871</v>
      </c>
    </row>
    <row r="84" spans="1:8" x14ac:dyDescent="0.25">
      <c r="A84">
        <v>16375417</v>
      </c>
      <c r="B84" t="s">
        <v>14</v>
      </c>
      <c r="C84" t="s">
        <v>14</v>
      </c>
      <c r="D84" t="s">
        <v>14</v>
      </c>
      <c r="E84" t="s">
        <v>813</v>
      </c>
      <c r="F84" t="s">
        <v>14</v>
      </c>
      <c r="G84" t="s">
        <v>708</v>
      </c>
      <c r="H84" t="s">
        <v>1091</v>
      </c>
    </row>
    <row r="85" spans="1:8" x14ac:dyDescent="0.25">
      <c r="A85">
        <v>16394148</v>
      </c>
      <c r="B85" t="s">
        <v>14</v>
      </c>
      <c r="C85" t="s">
        <v>14</v>
      </c>
      <c r="D85" t="s">
        <v>14</v>
      </c>
      <c r="E85" t="s">
        <v>14</v>
      </c>
      <c r="F85" t="s">
        <v>14</v>
      </c>
      <c r="G85" t="s">
        <v>1625</v>
      </c>
      <c r="H85" t="s">
        <v>1872</v>
      </c>
    </row>
    <row r="86" spans="1:8" x14ac:dyDescent="0.25">
      <c r="A86">
        <v>16404151</v>
      </c>
      <c r="B86" t="s">
        <v>14</v>
      </c>
      <c r="C86" t="s">
        <v>14</v>
      </c>
      <c r="D86" t="s">
        <v>14</v>
      </c>
      <c r="E86" t="s">
        <v>2339</v>
      </c>
      <c r="F86" t="s">
        <v>14</v>
      </c>
      <c r="G86" t="s">
        <v>14</v>
      </c>
      <c r="H86" t="s">
        <v>2643</v>
      </c>
    </row>
    <row r="87" spans="1:8" x14ac:dyDescent="0.25">
      <c r="A87">
        <v>16416396</v>
      </c>
      <c r="B87" t="s">
        <v>14</v>
      </c>
      <c r="C87" t="s">
        <v>14</v>
      </c>
      <c r="D87" t="s">
        <v>14</v>
      </c>
      <c r="E87" t="s">
        <v>2340</v>
      </c>
      <c r="F87" t="s">
        <v>14</v>
      </c>
      <c r="G87" t="s">
        <v>14</v>
      </c>
      <c r="H87" t="s">
        <v>2644</v>
      </c>
    </row>
    <row r="88" spans="1:8" x14ac:dyDescent="0.25">
      <c r="A88">
        <v>16494621</v>
      </c>
      <c r="B88" t="s">
        <v>14</v>
      </c>
      <c r="C88" t="s">
        <v>14</v>
      </c>
      <c r="D88" t="s">
        <v>14</v>
      </c>
      <c r="E88" t="s">
        <v>14</v>
      </c>
      <c r="F88" t="s">
        <v>14</v>
      </c>
      <c r="G88" t="s">
        <v>14</v>
      </c>
      <c r="H88" t="s">
        <v>1095</v>
      </c>
    </row>
    <row r="89" spans="1:8" x14ac:dyDescent="0.25">
      <c r="A89">
        <v>16524844</v>
      </c>
      <c r="B89" t="s">
        <v>650</v>
      </c>
      <c r="C89" t="s">
        <v>14</v>
      </c>
      <c r="D89" t="s">
        <v>14</v>
      </c>
      <c r="E89" t="s">
        <v>651</v>
      </c>
      <c r="F89" t="s">
        <v>14</v>
      </c>
      <c r="G89" t="s">
        <v>652</v>
      </c>
      <c r="H89" t="s">
        <v>1096</v>
      </c>
    </row>
    <row r="90" spans="1:8" x14ac:dyDescent="0.25">
      <c r="A90">
        <v>16546884</v>
      </c>
      <c r="B90" t="s">
        <v>2341</v>
      </c>
      <c r="C90" t="s">
        <v>14</v>
      </c>
      <c r="D90" t="s">
        <v>14</v>
      </c>
      <c r="E90" t="s">
        <v>14</v>
      </c>
      <c r="F90" t="s">
        <v>14</v>
      </c>
      <c r="G90" t="s">
        <v>2342</v>
      </c>
      <c r="H90" t="s">
        <v>2645</v>
      </c>
    </row>
    <row r="91" spans="1:8" x14ac:dyDescent="0.25">
      <c r="A91">
        <v>16555232</v>
      </c>
      <c r="B91" t="s">
        <v>611</v>
      </c>
      <c r="C91" t="s">
        <v>14</v>
      </c>
      <c r="D91" t="s">
        <v>14</v>
      </c>
      <c r="E91" t="s">
        <v>611</v>
      </c>
      <c r="F91" t="s">
        <v>14</v>
      </c>
      <c r="G91" t="s">
        <v>14</v>
      </c>
      <c r="H91" t="s">
        <v>1100</v>
      </c>
    </row>
    <row r="92" spans="1:8" x14ac:dyDescent="0.25">
      <c r="A92">
        <v>16555640</v>
      </c>
      <c r="B92" t="s">
        <v>14</v>
      </c>
      <c r="C92" t="s">
        <v>14</v>
      </c>
      <c r="D92" t="s">
        <v>14</v>
      </c>
      <c r="E92" t="s">
        <v>582</v>
      </c>
      <c r="F92" t="s">
        <v>14</v>
      </c>
      <c r="G92" t="s">
        <v>583</v>
      </c>
      <c r="H92" t="s">
        <v>1101</v>
      </c>
    </row>
    <row r="93" spans="1:8" x14ac:dyDescent="0.25">
      <c r="A93">
        <v>16568294</v>
      </c>
      <c r="B93" t="s">
        <v>14</v>
      </c>
      <c r="C93" t="s">
        <v>14</v>
      </c>
      <c r="D93" t="s">
        <v>14</v>
      </c>
      <c r="E93" t="s">
        <v>14</v>
      </c>
      <c r="F93" t="s">
        <v>14</v>
      </c>
      <c r="G93" t="s">
        <v>2343</v>
      </c>
      <c r="H93" t="s">
        <v>2646</v>
      </c>
    </row>
    <row r="94" spans="1:8" x14ac:dyDescent="0.25">
      <c r="A94">
        <v>16572079</v>
      </c>
      <c r="B94" t="s">
        <v>14</v>
      </c>
      <c r="C94" t="s">
        <v>14</v>
      </c>
      <c r="D94" t="s">
        <v>14</v>
      </c>
      <c r="E94" t="s">
        <v>818</v>
      </c>
      <c r="F94" t="s">
        <v>14</v>
      </c>
      <c r="G94" t="s">
        <v>819</v>
      </c>
      <c r="H94" t="s">
        <v>1102</v>
      </c>
    </row>
    <row r="95" spans="1:8" x14ac:dyDescent="0.25">
      <c r="A95">
        <v>16602742</v>
      </c>
      <c r="B95" t="s">
        <v>14</v>
      </c>
      <c r="C95" t="s">
        <v>14</v>
      </c>
      <c r="D95" t="s">
        <v>14</v>
      </c>
      <c r="E95" t="s">
        <v>14</v>
      </c>
      <c r="F95" t="s">
        <v>14</v>
      </c>
      <c r="G95" t="s">
        <v>2344</v>
      </c>
      <c r="H95" t="s">
        <v>2647</v>
      </c>
    </row>
    <row r="96" spans="1:8" x14ac:dyDescent="0.25">
      <c r="A96">
        <v>16617212</v>
      </c>
      <c r="B96" t="s">
        <v>14</v>
      </c>
      <c r="C96" t="s">
        <v>14</v>
      </c>
      <c r="D96" t="s">
        <v>14</v>
      </c>
      <c r="E96" t="s">
        <v>820</v>
      </c>
      <c r="F96" t="s">
        <v>14</v>
      </c>
      <c r="G96" t="s">
        <v>14</v>
      </c>
      <c r="H96" t="s">
        <v>1103</v>
      </c>
    </row>
    <row r="97" spans="1:8" x14ac:dyDescent="0.25">
      <c r="A97">
        <v>16624635</v>
      </c>
      <c r="B97" t="s">
        <v>14</v>
      </c>
      <c r="C97" t="s">
        <v>14</v>
      </c>
      <c r="D97" t="s">
        <v>14</v>
      </c>
      <c r="E97" t="s">
        <v>581</v>
      </c>
      <c r="F97" t="s">
        <v>14</v>
      </c>
      <c r="G97" t="s">
        <v>14</v>
      </c>
      <c r="H97" t="s">
        <v>1104</v>
      </c>
    </row>
    <row r="98" spans="1:8" x14ac:dyDescent="0.25">
      <c r="A98">
        <v>16637486</v>
      </c>
      <c r="B98" t="s">
        <v>14</v>
      </c>
      <c r="C98" t="s">
        <v>14</v>
      </c>
      <c r="D98" t="s">
        <v>14</v>
      </c>
      <c r="E98" t="s">
        <v>1762</v>
      </c>
      <c r="F98" t="s">
        <v>14</v>
      </c>
      <c r="G98" t="s">
        <v>1763</v>
      </c>
      <c r="H98" t="s">
        <v>1873</v>
      </c>
    </row>
    <row r="99" spans="1:8" x14ac:dyDescent="0.25">
      <c r="A99">
        <v>16642811</v>
      </c>
      <c r="B99" t="s">
        <v>14</v>
      </c>
      <c r="C99" t="s">
        <v>14</v>
      </c>
      <c r="D99" t="s">
        <v>14</v>
      </c>
      <c r="E99" t="s">
        <v>2345</v>
      </c>
      <c r="F99" t="s">
        <v>14</v>
      </c>
      <c r="G99" t="s">
        <v>2346</v>
      </c>
      <c r="H99" t="s">
        <v>2648</v>
      </c>
    </row>
    <row r="100" spans="1:8" x14ac:dyDescent="0.25">
      <c r="A100">
        <v>16661634</v>
      </c>
      <c r="B100" t="s">
        <v>14</v>
      </c>
      <c r="C100" t="s">
        <v>14</v>
      </c>
      <c r="D100" t="s">
        <v>14</v>
      </c>
      <c r="E100" t="s">
        <v>2347</v>
      </c>
      <c r="F100" t="s">
        <v>14</v>
      </c>
      <c r="G100" t="s">
        <v>2348</v>
      </c>
      <c r="H100" t="s">
        <v>2649</v>
      </c>
    </row>
    <row r="101" spans="1:8" x14ac:dyDescent="0.25">
      <c r="A101">
        <v>16681476</v>
      </c>
      <c r="B101" t="s">
        <v>14</v>
      </c>
      <c r="C101" t="s">
        <v>14</v>
      </c>
      <c r="D101" t="s">
        <v>14</v>
      </c>
      <c r="E101" t="s">
        <v>1626</v>
      </c>
      <c r="F101" t="s">
        <v>14</v>
      </c>
      <c r="G101" t="s">
        <v>14</v>
      </c>
      <c r="H101" t="s">
        <v>1874</v>
      </c>
    </row>
    <row r="102" spans="1:8" x14ac:dyDescent="0.25">
      <c r="A102">
        <v>16681817</v>
      </c>
      <c r="B102" t="s">
        <v>14</v>
      </c>
      <c r="C102" t="s">
        <v>14</v>
      </c>
      <c r="D102" t="s">
        <v>14</v>
      </c>
      <c r="E102" t="s">
        <v>488</v>
      </c>
      <c r="F102" t="s">
        <v>14</v>
      </c>
      <c r="G102" t="s">
        <v>14</v>
      </c>
      <c r="H102" t="s">
        <v>1107</v>
      </c>
    </row>
    <row r="103" spans="1:8" x14ac:dyDescent="0.25">
      <c r="A103">
        <v>16695467</v>
      </c>
      <c r="B103" t="s">
        <v>14</v>
      </c>
      <c r="C103" t="s">
        <v>14</v>
      </c>
      <c r="D103" t="s">
        <v>14</v>
      </c>
      <c r="E103" t="s">
        <v>2349</v>
      </c>
      <c r="F103" t="s">
        <v>14</v>
      </c>
      <c r="G103" t="s">
        <v>14</v>
      </c>
      <c r="H103" t="s">
        <v>2650</v>
      </c>
    </row>
    <row r="104" spans="1:8" x14ac:dyDescent="0.25">
      <c r="A104">
        <v>16713959</v>
      </c>
      <c r="B104" t="s">
        <v>2350</v>
      </c>
      <c r="C104" t="s">
        <v>14</v>
      </c>
      <c r="D104" t="s">
        <v>14</v>
      </c>
      <c r="E104" t="s">
        <v>14</v>
      </c>
      <c r="F104" t="s">
        <v>14</v>
      </c>
      <c r="G104" t="s">
        <v>14</v>
      </c>
      <c r="H104" t="s">
        <v>2651</v>
      </c>
    </row>
    <row r="105" spans="1:8" x14ac:dyDescent="0.25">
      <c r="A105">
        <v>16720781</v>
      </c>
      <c r="B105" t="s">
        <v>14</v>
      </c>
      <c r="C105" t="s">
        <v>14</v>
      </c>
      <c r="D105" t="s">
        <v>14</v>
      </c>
      <c r="E105" t="s">
        <v>1627</v>
      </c>
      <c r="F105" t="s">
        <v>14</v>
      </c>
      <c r="G105" t="s">
        <v>14</v>
      </c>
      <c r="H105" t="s">
        <v>1875</v>
      </c>
    </row>
    <row r="106" spans="1:8" x14ac:dyDescent="0.25">
      <c r="A106">
        <v>16721585</v>
      </c>
      <c r="B106" t="s">
        <v>824</v>
      </c>
      <c r="C106" t="s">
        <v>14</v>
      </c>
      <c r="D106" t="s">
        <v>14</v>
      </c>
      <c r="E106" t="s">
        <v>825</v>
      </c>
      <c r="F106" t="s">
        <v>14</v>
      </c>
      <c r="G106" t="s">
        <v>580</v>
      </c>
      <c r="H106" t="s">
        <v>1110</v>
      </c>
    </row>
    <row r="107" spans="1:8" x14ac:dyDescent="0.25">
      <c r="A107">
        <v>16740646</v>
      </c>
      <c r="B107" t="s">
        <v>14</v>
      </c>
      <c r="C107" t="s">
        <v>14</v>
      </c>
      <c r="D107" t="s">
        <v>14</v>
      </c>
      <c r="E107" t="s">
        <v>1628</v>
      </c>
      <c r="F107" t="s">
        <v>14</v>
      </c>
      <c r="G107" t="s">
        <v>14</v>
      </c>
      <c r="H107" t="s">
        <v>1876</v>
      </c>
    </row>
    <row r="108" spans="1:8" x14ac:dyDescent="0.25">
      <c r="A108">
        <v>16775800</v>
      </c>
      <c r="B108" t="s">
        <v>2351</v>
      </c>
      <c r="C108" t="s">
        <v>14</v>
      </c>
      <c r="D108" t="s">
        <v>14</v>
      </c>
      <c r="E108" t="s">
        <v>14</v>
      </c>
      <c r="F108" t="s">
        <v>14</v>
      </c>
      <c r="G108" t="s">
        <v>14</v>
      </c>
      <c r="H108" t="s">
        <v>2652</v>
      </c>
    </row>
    <row r="109" spans="1:8" x14ac:dyDescent="0.25">
      <c r="A109">
        <v>16781267</v>
      </c>
      <c r="B109" t="s">
        <v>14</v>
      </c>
      <c r="C109" t="s">
        <v>14</v>
      </c>
      <c r="D109" t="s">
        <v>14</v>
      </c>
      <c r="E109" t="s">
        <v>2352</v>
      </c>
      <c r="F109" t="s">
        <v>14</v>
      </c>
      <c r="G109" t="s">
        <v>14</v>
      </c>
      <c r="H109" t="s">
        <v>2653</v>
      </c>
    </row>
    <row r="110" spans="1:8" x14ac:dyDescent="0.25">
      <c r="A110">
        <v>16788017</v>
      </c>
      <c r="B110" t="s">
        <v>14</v>
      </c>
      <c r="C110" t="s">
        <v>14</v>
      </c>
      <c r="D110" t="s">
        <v>14</v>
      </c>
      <c r="E110" t="s">
        <v>647</v>
      </c>
      <c r="F110" t="s">
        <v>14</v>
      </c>
      <c r="G110" t="s">
        <v>648</v>
      </c>
      <c r="H110" t="s">
        <v>1122</v>
      </c>
    </row>
    <row r="111" spans="1:8" x14ac:dyDescent="0.25">
      <c r="A111">
        <v>16808166</v>
      </c>
      <c r="B111" t="s">
        <v>14</v>
      </c>
      <c r="C111" t="s">
        <v>14</v>
      </c>
      <c r="D111" t="s">
        <v>14</v>
      </c>
      <c r="E111" t="s">
        <v>2353</v>
      </c>
      <c r="F111" t="s">
        <v>14</v>
      </c>
      <c r="G111" t="s">
        <v>14</v>
      </c>
      <c r="H111" t="s">
        <v>2654</v>
      </c>
    </row>
    <row r="112" spans="1:8" x14ac:dyDescent="0.25">
      <c r="A112">
        <v>16817799</v>
      </c>
      <c r="B112" t="s">
        <v>14</v>
      </c>
      <c r="C112" t="s">
        <v>14</v>
      </c>
      <c r="D112" t="s">
        <v>14</v>
      </c>
      <c r="E112" t="s">
        <v>2354</v>
      </c>
      <c r="F112" t="s">
        <v>14</v>
      </c>
      <c r="G112" t="s">
        <v>14</v>
      </c>
      <c r="H112" t="s">
        <v>2655</v>
      </c>
    </row>
    <row r="113" spans="1:8" x14ac:dyDescent="0.25">
      <c r="A113">
        <v>16831148</v>
      </c>
      <c r="B113" t="s">
        <v>2355</v>
      </c>
      <c r="C113" t="s">
        <v>14</v>
      </c>
      <c r="D113" t="s">
        <v>14</v>
      </c>
      <c r="E113" t="s">
        <v>14</v>
      </c>
      <c r="F113" t="s">
        <v>14</v>
      </c>
      <c r="G113" t="s">
        <v>14</v>
      </c>
      <c r="H113" t="s">
        <v>2656</v>
      </c>
    </row>
    <row r="114" spans="1:8" x14ac:dyDescent="0.25">
      <c r="A114">
        <v>16832315</v>
      </c>
      <c r="B114" t="s">
        <v>14</v>
      </c>
      <c r="C114" t="s">
        <v>14</v>
      </c>
      <c r="D114" t="s">
        <v>14</v>
      </c>
      <c r="E114" t="s">
        <v>14</v>
      </c>
      <c r="F114" t="s">
        <v>14</v>
      </c>
      <c r="G114" t="s">
        <v>2356</v>
      </c>
      <c r="H114" t="s">
        <v>2657</v>
      </c>
    </row>
    <row r="115" spans="1:8" x14ac:dyDescent="0.25">
      <c r="A115">
        <v>16834202</v>
      </c>
      <c r="B115" t="s">
        <v>14</v>
      </c>
      <c r="C115" t="s">
        <v>14</v>
      </c>
      <c r="D115" t="s">
        <v>14</v>
      </c>
      <c r="E115" t="s">
        <v>645</v>
      </c>
      <c r="F115" t="s">
        <v>14</v>
      </c>
      <c r="G115" t="s">
        <v>646</v>
      </c>
      <c r="H115" t="s">
        <v>1130</v>
      </c>
    </row>
    <row r="116" spans="1:8" x14ac:dyDescent="0.25">
      <c r="A116">
        <v>16836473</v>
      </c>
      <c r="B116" t="s">
        <v>14</v>
      </c>
      <c r="C116" t="s">
        <v>14</v>
      </c>
      <c r="D116" t="s">
        <v>14</v>
      </c>
      <c r="E116" t="s">
        <v>550</v>
      </c>
      <c r="F116" t="s">
        <v>14</v>
      </c>
      <c r="G116" t="s">
        <v>14</v>
      </c>
      <c r="H116" t="s">
        <v>1131</v>
      </c>
    </row>
    <row r="117" spans="1:8" x14ac:dyDescent="0.25">
      <c r="A117">
        <v>16837369</v>
      </c>
      <c r="B117" t="s">
        <v>14</v>
      </c>
      <c r="C117" t="s">
        <v>14</v>
      </c>
      <c r="D117" t="s">
        <v>14</v>
      </c>
      <c r="E117" t="s">
        <v>579</v>
      </c>
      <c r="F117" t="s">
        <v>14</v>
      </c>
      <c r="G117" t="s">
        <v>14</v>
      </c>
      <c r="H117" t="s">
        <v>1132</v>
      </c>
    </row>
    <row r="118" spans="1:8" x14ac:dyDescent="0.25">
      <c r="A118">
        <v>16847118</v>
      </c>
      <c r="B118" t="s">
        <v>14</v>
      </c>
      <c r="C118" t="s">
        <v>14</v>
      </c>
      <c r="D118" t="s">
        <v>14</v>
      </c>
      <c r="E118" t="s">
        <v>1764</v>
      </c>
      <c r="F118" t="s">
        <v>14</v>
      </c>
      <c r="G118" t="s">
        <v>14</v>
      </c>
      <c r="H118" t="s">
        <v>1877</v>
      </c>
    </row>
    <row r="119" spans="1:8" x14ac:dyDescent="0.25">
      <c r="A119">
        <v>16848517</v>
      </c>
      <c r="B119" t="s">
        <v>14</v>
      </c>
      <c r="C119" t="s">
        <v>14</v>
      </c>
      <c r="D119" t="s">
        <v>14</v>
      </c>
      <c r="E119" t="s">
        <v>14</v>
      </c>
      <c r="F119" t="s">
        <v>14</v>
      </c>
      <c r="G119" t="s">
        <v>14</v>
      </c>
      <c r="H119" t="s">
        <v>1136</v>
      </c>
    </row>
    <row r="120" spans="1:8" x14ac:dyDescent="0.25">
      <c r="A120">
        <v>16865541</v>
      </c>
      <c r="B120" t="s">
        <v>14</v>
      </c>
      <c r="C120" t="s">
        <v>14</v>
      </c>
      <c r="D120" t="s">
        <v>14</v>
      </c>
      <c r="E120" t="s">
        <v>14</v>
      </c>
      <c r="F120" t="s">
        <v>14</v>
      </c>
      <c r="G120" t="s">
        <v>2357</v>
      </c>
      <c r="H120" t="s">
        <v>2658</v>
      </c>
    </row>
    <row r="121" spans="1:8" x14ac:dyDescent="0.25">
      <c r="A121">
        <v>16876513</v>
      </c>
      <c r="B121" t="s">
        <v>548</v>
      </c>
      <c r="C121" t="s">
        <v>14</v>
      </c>
      <c r="D121" t="s">
        <v>14</v>
      </c>
      <c r="E121" t="s">
        <v>14</v>
      </c>
      <c r="F121" t="s">
        <v>14</v>
      </c>
      <c r="G121" t="s">
        <v>549</v>
      </c>
      <c r="H121" t="s">
        <v>1139</v>
      </c>
    </row>
    <row r="122" spans="1:8" x14ac:dyDescent="0.25">
      <c r="A122">
        <v>16876830</v>
      </c>
      <c r="B122" t="s">
        <v>2358</v>
      </c>
      <c r="C122" t="s">
        <v>14</v>
      </c>
      <c r="D122" t="s">
        <v>14</v>
      </c>
      <c r="E122" t="s">
        <v>14</v>
      </c>
      <c r="F122" t="s">
        <v>14</v>
      </c>
      <c r="G122" t="s">
        <v>14</v>
      </c>
      <c r="H122" t="s">
        <v>2659</v>
      </c>
    </row>
    <row r="123" spans="1:8" x14ac:dyDescent="0.25">
      <c r="A123">
        <v>16877618</v>
      </c>
      <c r="B123" t="s">
        <v>14</v>
      </c>
      <c r="C123" t="s">
        <v>14</v>
      </c>
      <c r="D123" t="s">
        <v>14</v>
      </c>
      <c r="E123" t="s">
        <v>1765</v>
      </c>
      <c r="F123" t="s">
        <v>14</v>
      </c>
      <c r="G123" t="s">
        <v>14</v>
      </c>
      <c r="H123" t="s">
        <v>1878</v>
      </c>
    </row>
    <row r="124" spans="1:8" x14ac:dyDescent="0.25">
      <c r="A124">
        <v>16894635</v>
      </c>
      <c r="B124" t="s">
        <v>479</v>
      </c>
      <c r="C124" t="s">
        <v>14</v>
      </c>
      <c r="D124" t="s">
        <v>14</v>
      </c>
      <c r="E124" t="s">
        <v>14</v>
      </c>
      <c r="F124" t="s">
        <v>14</v>
      </c>
      <c r="G124" t="s">
        <v>480</v>
      </c>
      <c r="H124" t="s">
        <v>1142</v>
      </c>
    </row>
    <row r="125" spans="1:8" x14ac:dyDescent="0.25">
      <c r="A125">
        <v>16896957</v>
      </c>
      <c r="B125" t="s">
        <v>2359</v>
      </c>
      <c r="C125" t="s">
        <v>14</v>
      </c>
      <c r="D125" t="s">
        <v>14</v>
      </c>
      <c r="E125" t="s">
        <v>2360</v>
      </c>
      <c r="F125" t="s">
        <v>14</v>
      </c>
      <c r="G125" t="s">
        <v>2361</v>
      </c>
      <c r="H125" t="s">
        <v>2660</v>
      </c>
    </row>
    <row r="126" spans="1:8" x14ac:dyDescent="0.25">
      <c r="A126">
        <v>16899714</v>
      </c>
      <c r="B126" t="s">
        <v>14</v>
      </c>
      <c r="C126" t="s">
        <v>14</v>
      </c>
      <c r="D126" t="s">
        <v>14</v>
      </c>
      <c r="E126" t="s">
        <v>2362</v>
      </c>
      <c r="F126" t="s">
        <v>14</v>
      </c>
      <c r="G126" t="s">
        <v>14</v>
      </c>
      <c r="H126" t="s">
        <v>2661</v>
      </c>
    </row>
    <row r="127" spans="1:8" x14ac:dyDescent="0.25">
      <c r="A127">
        <v>16915993</v>
      </c>
      <c r="B127" t="s">
        <v>14</v>
      </c>
      <c r="C127" t="s">
        <v>477</v>
      </c>
      <c r="D127" t="s">
        <v>477</v>
      </c>
      <c r="E127" t="s">
        <v>14</v>
      </c>
      <c r="F127" t="s">
        <v>478</v>
      </c>
      <c r="G127" t="s">
        <v>14</v>
      </c>
      <c r="H127" t="s">
        <v>1146</v>
      </c>
    </row>
    <row r="128" spans="1:8" x14ac:dyDescent="0.25">
      <c r="A128">
        <v>16916224</v>
      </c>
      <c r="B128" t="s">
        <v>14</v>
      </c>
      <c r="C128" t="s">
        <v>14</v>
      </c>
      <c r="D128" t="s">
        <v>14</v>
      </c>
      <c r="E128" t="s">
        <v>577</v>
      </c>
      <c r="F128" t="s">
        <v>14</v>
      </c>
      <c r="G128" t="s">
        <v>14</v>
      </c>
      <c r="H128" t="s">
        <v>1147</v>
      </c>
    </row>
    <row r="129" spans="1:8" x14ac:dyDescent="0.25">
      <c r="A129">
        <v>16920237</v>
      </c>
      <c r="B129" t="s">
        <v>14</v>
      </c>
      <c r="C129" t="s">
        <v>14</v>
      </c>
      <c r="D129" t="s">
        <v>14</v>
      </c>
      <c r="E129" t="s">
        <v>2363</v>
      </c>
      <c r="F129" t="s">
        <v>14</v>
      </c>
      <c r="G129" t="s">
        <v>2364</v>
      </c>
      <c r="H129" t="s">
        <v>2662</v>
      </c>
    </row>
    <row r="130" spans="1:8" x14ac:dyDescent="0.25">
      <c r="A130">
        <v>16930520</v>
      </c>
      <c r="B130" t="s">
        <v>14</v>
      </c>
      <c r="C130" t="s">
        <v>14</v>
      </c>
      <c r="D130" t="s">
        <v>14</v>
      </c>
      <c r="E130" t="s">
        <v>2365</v>
      </c>
      <c r="F130" t="s">
        <v>14</v>
      </c>
      <c r="G130" t="s">
        <v>1766</v>
      </c>
      <c r="H130" t="s">
        <v>1879</v>
      </c>
    </row>
    <row r="131" spans="1:8" x14ac:dyDescent="0.25">
      <c r="A131">
        <v>16931026</v>
      </c>
      <c r="B131" t="s">
        <v>14</v>
      </c>
      <c r="C131" t="s">
        <v>14</v>
      </c>
      <c r="D131" t="s">
        <v>14</v>
      </c>
      <c r="E131" t="s">
        <v>14</v>
      </c>
      <c r="F131" t="s">
        <v>14</v>
      </c>
      <c r="G131" t="s">
        <v>2366</v>
      </c>
      <c r="H131" t="s">
        <v>2663</v>
      </c>
    </row>
    <row r="132" spans="1:8" x14ac:dyDescent="0.25">
      <c r="A132">
        <v>16935601</v>
      </c>
      <c r="B132" t="s">
        <v>14</v>
      </c>
      <c r="C132" t="s">
        <v>14</v>
      </c>
      <c r="D132" t="s">
        <v>14</v>
      </c>
      <c r="E132" t="s">
        <v>848</v>
      </c>
      <c r="F132" t="s">
        <v>14</v>
      </c>
      <c r="G132" t="s">
        <v>14</v>
      </c>
      <c r="H132" t="s">
        <v>1155</v>
      </c>
    </row>
    <row r="133" spans="1:8" x14ac:dyDescent="0.25">
      <c r="A133">
        <v>16964790</v>
      </c>
      <c r="B133" t="s">
        <v>14</v>
      </c>
      <c r="C133" t="s">
        <v>14</v>
      </c>
      <c r="D133" t="s">
        <v>14</v>
      </c>
      <c r="E133" t="s">
        <v>470</v>
      </c>
      <c r="F133" t="s">
        <v>14</v>
      </c>
      <c r="G133" t="s">
        <v>14</v>
      </c>
      <c r="H133" t="s">
        <v>1162</v>
      </c>
    </row>
    <row r="134" spans="1:8" x14ac:dyDescent="0.25">
      <c r="A134">
        <v>16966727</v>
      </c>
      <c r="B134" t="s">
        <v>14</v>
      </c>
      <c r="C134" t="s">
        <v>14</v>
      </c>
      <c r="D134" t="s">
        <v>14</v>
      </c>
      <c r="E134" t="s">
        <v>469</v>
      </c>
      <c r="F134" t="s">
        <v>14</v>
      </c>
      <c r="G134" t="s">
        <v>14</v>
      </c>
      <c r="H134" t="s">
        <v>1164</v>
      </c>
    </row>
    <row r="135" spans="1:8" x14ac:dyDescent="0.25">
      <c r="A135">
        <v>16967017</v>
      </c>
      <c r="B135" t="s">
        <v>1767</v>
      </c>
      <c r="C135" t="s">
        <v>14</v>
      </c>
      <c r="D135" t="s">
        <v>14</v>
      </c>
      <c r="E135" t="s">
        <v>14</v>
      </c>
      <c r="F135" t="s">
        <v>14</v>
      </c>
      <c r="G135" t="s">
        <v>14</v>
      </c>
      <c r="H135" t="s">
        <v>1880</v>
      </c>
    </row>
    <row r="136" spans="1:8" x14ac:dyDescent="0.25">
      <c r="A136">
        <v>16976031</v>
      </c>
      <c r="B136" t="s">
        <v>852</v>
      </c>
      <c r="C136" t="s">
        <v>14</v>
      </c>
      <c r="D136" t="s">
        <v>14</v>
      </c>
      <c r="E136" t="s">
        <v>853</v>
      </c>
      <c r="F136" t="s">
        <v>14</v>
      </c>
      <c r="G136" t="s">
        <v>854</v>
      </c>
      <c r="H136" t="s">
        <v>1165</v>
      </c>
    </row>
    <row r="137" spans="1:8" x14ac:dyDescent="0.25">
      <c r="A137">
        <v>16976078</v>
      </c>
      <c r="B137" t="s">
        <v>2367</v>
      </c>
      <c r="C137" t="s">
        <v>14</v>
      </c>
      <c r="D137" t="s">
        <v>14</v>
      </c>
      <c r="E137" t="s">
        <v>2368</v>
      </c>
      <c r="F137" t="s">
        <v>14</v>
      </c>
      <c r="G137" t="s">
        <v>2369</v>
      </c>
      <c r="H137" t="s">
        <v>2664</v>
      </c>
    </row>
    <row r="138" spans="1:8" x14ac:dyDescent="0.25">
      <c r="A138">
        <v>16978972</v>
      </c>
      <c r="B138" t="s">
        <v>14</v>
      </c>
      <c r="C138" t="s">
        <v>14</v>
      </c>
      <c r="D138" t="s">
        <v>14</v>
      </c>
      <c r="E138" t="s">
        <v>532</v>
      </c>
      <c r="F138" t="s">
        <v>14</v>
      </c>
      <c r="G138" t="s">
        <v>14</v>
      </c>
      <c r="H138" t="s">
        <v>1166</v>
      </c>
    </row>
    <row r="139" spans="1:8" x14ac:dyDescent="0.25">
      <c r="A139">
        <v>16982638</v>
      </c>
      <c r="B139" t="s">
        <v>14</v>
      </c>
      <c r="C139" t="s">
        <v>14</v>
      </c>
      <c r="D139" t="s">
        <v>14</v>
      </c>
      <c r="E139" t="s">
        <v>1629</v>
      </c>
      <c r="F139" t="s">
        <v>14</v>
      </c>
      <c r="G139" t="s">
        <v>1630</v>
      </c>
      <c r="H139" t="s">
        <v>1881</v>
      </c>
    </row>
    <row r="140" spans="1:8" x14ac:dyDescent="0.25">
      <c r="A140">
        <v>16985175</v>
      </c>
      <c r="B140" t="s">
        <v>14</v>
      </c>
      <c r="C140" t="s">
        <v>14</v>
      </c>
      <c r="D140" t="s">
        <v>14</v>
      </c>
      <c r="E140" t="s">
        <v>702</v>
      </c>
      <c r="F140" t="s">
        <v>14</v>
      </c>
      <c r="G140" t="s">
        <v>703</v>
      </c>
      <c r="H140" t="s">
        <v>1167</v>
      </c>
    </row>
    <row r="141" spans="1:8" x14ac:dyDescent="0.25">
      <c r="A141">
        <v>16985576</v>
      </c>
      <c r="B141" t="s">
        <v>2370</v>
      </c>
      <c r="C141" t="s">
        <v>14</v>
      </c>
      <c r="D141" t="s">
        <v>14</v>
      </c>
      <c r="E141" t="s">
        <v>2371</v>
      </c>
      <c r="F141" t="s">
        <v>14</v>
      </c>
      <c r="G141" t="s">
        <v>2372</v>
      </c>
      <c r="H141" t="s">
        <v>2665</v>
      </c>
    </row>
    <row r="142" spans="1:8" x14ac:dyDescent="0.25">
      <c r="A142">
        <v>16986454</v>
      </c>
      <c r="B142" t="s">
        <v>2373</v>
      </c>
      <c r="C142" t="s">
        <v>14</v>
      </c>
      <c r="D142" t="s">
        <v>14</v>
      </c>
      <c r="E142" t="s">
        <v>14</v>
      </c>
      <c r="F142" t="s">
        <v>14</v>
      </c>
      <c r="G142" t="s">
        <v>14</v>
      </c>
      <c r="H142" t="s">
        <v>2666</v>
      </c>
    </row>
    <row r="143" spans="1:8" x14ac:dyDescent="0.25">
      <c r="A143">
        <v>16988207</v>
      </c>
      <c r="B143" t="s">
        <v>14</v>
      </c>
      <c r="C143" t="s">
        <v>14</v>
      </c>
      <c r="D143" t="s">
        <v>14</v>
      </c>
      <c r="E143" t="s">
        <v>1768</v>
      </c>
      <c r="F143" t="s">
        <v>14</v>
      </c>
      <c r="G143" t="s">
        <v>14</v>
      </c>
      <c r="H143" t="s">
        <v>1882</v>
      </c>
    </row>
    <row r="144" spans="1:8" x14ac:dyDescent="0.25">
      <c r="A144">
        <v>16992541</v>
      </c>
      <c r="B144" t="s">
        <v>14</v>
      </c>
      <c r="C144" t="s">
        <v>14</v>
      </c>
      <c r="D144" t="s">
        <v>14</v>
      </c>
      <c r="E144" t="s">
        <v>14</v>
      </c>
      <c r="F144" t="s">
        <v>14</v>
      </c>
      <c r="G144" t="s">
        <v>855</v>
      </c>
      <c r="H144" t="s">
        <v>1168</v>
      </c>
    </row>
    <row r="145" spans="1:8" x14ac:dyDescent="0.25">
      <c r="A145">
        <v>17026648</v>
      </c>
      <c r="B145" t="s">
        <v>14</v>
      </c>
      <c r="C145" t="s">
        <v>14</v>
      </c>
      <c r="D145" t="s">
        <v>14</v>
      </c>
      <c r="E145" t="s">
        <v>2374</v>
      </c>
      <c r="F145" t="s">
        <v>14</v>
      </c>
      <c r="G145" t="s">
        <v>14</v>
      </c>
      <c r="H145" t="s">
        <v>2667</v>
      </c>
    </row>
    <row r="146" spans="1:8" x14ac:dyDescent="0.25">
      <c r="A146">
        <v>17032827</v>
      </c>
      <c r="B146" t="s">
        <v>14</v>
      </c>
      <c r="C146" t="s">
        <v>639</v>
      </c>
      <c r="D146" t="s">
        <v>640</v>
      </c>
      <c r="E146" t="s">
        <v>639</v>
      </c>
      <c r="F146" t="s">
        <v>639</v>
      </c>
      <c r="G146" t="s">
        <v>859</v>
      </c>
      <c r="H146" t="s">
        <v>1178</v>
      </c>
    </row>
    <row r="147" spans="1:8" x14ac:dyDescent="0.25">
      <c r="A147">
        <v>17034951</v>
      </c>
      <c r="B147" t="s">
        <v>2375</v>
      </c>
      <c r="C147" t="s">
        <v>14</v>
      </c>
      <c r="D147" t="s">
        <v>14</v>
      </c>
      <c r="E147" t="s">
        <v>2375</v>
      </c>
      <c r="F147" t="s">
        <v>14</v>
      </c>
      <c r="G147" t="s">
        <v>2376</v>
      </c>
      <c r="H147" t="s">
        <v>2668</v>
      </c>
    </row>
    <row r="148" spans="1:8" x14ac:dyDescent="0.25">
      <c r="A148">
        <v>17042944</v>
      </c>
      <c r="B148" t="s">
        <v>14</v>
      </c>
      <c r="C148" t="s">
        <v>14</v>
      </c>
      <c r="D148" t="s">
        <v>14</v>
      </c>
      <c r="E148" t="s">
        <v>2377</v>
      </c>
      <c r="F148" t="s">
        <v>14</v>
      </c>
      <c r="G148" t="s">
        <v>2378</v>
      </c>
      <c r="H148" t="s">
        <v>2669</v>
      </c>
    </row>
    <row r="149" spans="1:8" x14ac:dyDescent="0.25">
      <c r="A149">
        <v>17043980</v>
      </c>
      <c r="B149" t="s">
        <v>14</v>
      </c>
      <c r="C149" t="s">
        <v>14</v>
      </c>
      <c r="D149" t="s">
        <v>14</v>
      </c>
      <c r="E149" t="s">
        <v>1631</v>
      </c>
      <c r="F149" t="s">
        <v>14</v>
      </c>
      <c r="G149" t="s">
        <v>1632</v>
      </c>
      <c r="H149" t="s">
        <v>1883</v>
      </c>
    </row>
    <row r="150" spans="1:8" x14ac:dyDescent="0.25">
      <c r="A150">
        <v>17045897</v>
      </c>
      <c r="B150" t="s">
        <v>14</v>
      </c>
      <c r="C150" t="s">
        <v>14</v>
      </c>
      <c r="D150" t="s">
        <v>14</v>
      </c>
      <c r="E150" t="s">
        <v>2379</v>
      </c>
      <c r="F150" t="s">
        <v>14</v>
      </c>
      <c r="G150" t="s">
        <v>14</v>
      </c>
      <c r="H150" t="s">
        <v>2670</v>
      </c>
    </row>
    <row r="151" spans="1:8" x14ac:dyDescent="0.25">
      <c r="A151">
        <v>17050202</v>
      </c>
      <c r="B151" t="s">
        <v>14</v>
      </c>
      <c r="C151" t="s">
        <v>14</v>
      </c>
      <c r="D151" t="s">
        <v>14</v>
      </c>
      <c r="E151" t="s">
        <v>14</v>
      </c>
      <c r="F151" t="s">
        <v>14</v>
      </c>
      <c r="G151" t="s">
        <v>14</v>
      </c>
      <c r="H151" t="s">
        <v>2671</v>
      </c>
    </row>
    <row r="152" spans="1:8" x14ac:dyDescent="0.25">
      <c r="A152">
        <v>17051414</v>
      </c>
      <c r="B152" t="s">
        <v>14</v>
      </c>
      <c r="C152" t="s">
        <v>14</v>
      </c>
      <c r="D152" t="s">
        <v>14</v>
      </c>
      <c r="E152" t="s">
        <v>1633</v>
      </c>
      <c r="F152" t="s">
        <v>14</v>
      </c>
      <c r="G152" t="s">
        <v>864</v>
      </c>
      <c r="H152" t="s">
        <v>1183</v>
      </c>
    </row>
    <row r="153" spans="1:8" x14ac:dyDescent="0.25">
      <c r="A153">
        <v>17055650</v>
      </c>
      <c r="B153" t="s">
        <v>14</v>
      </c>
      <c r="C153" t="s">
        <v>14</v>
      </c>
      <c r="D153" t="s">
        <v>14</v>
      </c>
      <c r="E153" t="s">
        <v>1634</v>
      </c>
      <c r="F153" t="s">
        <v>14</v>
      </c>
      <c r="G153" t="s">
        <v>1635</v>
      </c>
      <c r="H153" t="s">
        <v>1884</v>
      </c>
    </row>
    <row r="154" spans="1:8" x14ac:dyDescent="0.25">
      <c r="A154">
        <v>17073115</v>
      </c>
      <c r="B154" t="s">
        <v>14</v>
      </c>
      <c r="C154" t="s">
        <v>14</v>
      </c>
      <c r="D154" t="s">
        <v>14</v>
      </c>
      <c r="E154" t="s">
        <v>14</v>
      </c>
      <c r="F154" t="s">
        <v>14</v>
      </c>
      <c r="G154" t="s">
        <v>14</v>
      </c>
      <c r="H154" t="s">
        <v>2672</v>
      </c>
    </row>
    <row r="155" spans="1:8" x14ac:dyDescent="0.25">
      <c r="A155">
        <v>17090304</v>
      </c>
      <c r="B155" t="s">
        <v>14</v>
      </c>
      <c r="C155" t="s">
        <v>14</v>
      </c>
      <c r="D155" t="s">
        <v>14</v>
      </c>
      <c r="E155" t="s">
        <v>1636</v>
      </c>
      <c r="F155" t="s">
        <v>14</v>
      </c>
      <c r="G155" t="s">
        <v>1637</v>
      </c>
      <c r="H155" t="s">
        <v>1885</v>
      </c>
    </row>
    <row r="156" spans="1:8" x14ac:dyDescent="0.25">
      <c r="A156">
        <v>17098637</v>
      </c>
      <c r="B156" t="s">
        <v>14</v>
      </c>
      <c r="C156" t="s">
        <v>14</v>
      </c>
      <c r="D156" t="s">
        <v>14</v>
      </c>
      <c r="E156" t="s">
        <v>2380</v>
      </c>
      <c r="F156" t="s">
        <v>14</v>
      </c>
      <c r="G156" t="s">
        <v>2381</v>
      </c>
      <c r="H156" t="s">
        <v>2673</v>
      </c>
    </row>
    <row r="157" spans="1:8" x14ac:dyDescent="0.25">
      <c r="A157">
        <v>17108753</v>
      </c>
      <c r="B157" t="s">
        <v>2382</v>
      </c>
      <c r="C157" t="s">
        <v>14</v>
      </c>
      <c r="D157" t="s">
        <v>14</v>
      </c>
      <c r="E157" t="s">
        <v>2383</v>
      </c>
      <c r="F157" t="s">
        <v>14</v>
      </c>
      <c r="G157" t="s">
        <v>2384</v>
      </c>
      <c r="H157" t="s">
        <v>2674</v>
      </c>
    </row>
    <row r="158" spans="1:8" x14ac:dyDescent="0.25">
      <c r="A158">
        <v>17112949</v>
      </c>
      <c r="B158" t="s">
        <v>14</v>
      </c>
      <c r="C158" t="s">
        <v>14</v>
      </c>
      <c r="D158" t="s">
        <v>14</v>
      </c>
      <c r="E158" t="s">
        <v>1769</v>
      </c>
      <c r="F158" t="s">
        <v>14</v>
      </c>
      <c r="G158" t="s">
        <v>1770</v>
      </c>
      <c r="H158" t="s">
        <v>1886</v>
      </c>
    </row>
    <row r="159" spans="1:8" x14ac:dyDescent="0.25">
      <c r="A159">
        <v>17115925</v>
      </c>
      <c r="B159" t="s">
        <v>14</v>
      </c>
      <c r="C159" t="s">
        <v>14</v>
      </c>
      <c r="D159" t="s">
        <v>14</v>
      </c>
      <c r="E159" t="s">
        <v>2385</v>
      </c>
      <c r="F159" t="s">
        <v>14</v>
      </c>
      <c r="G159" t="s">
        <v>14</v>
      </c>
      <c r="H159" t="s">
        <v>2675</v>
      </c>
    </row>
    <row r="160" spans="1:8" x14ac:dyDescent="0.25">
      <c r="A160">
        <v>17116053</v>
      </c>
      <c r="B160" t="s">
        <v>14</v>
      </c>
      <c r="C160" t="s">
        <v>14</v>
      </c>
      <c r="D160" t="s">
        <v>14</v>
      </c>
      <c r="E160" t="s">
        <v>1771</v>
      </c>
      <c r="F160" t="s">
        <v>14</v>
      </c>
      <c r="G160" t="s">
        <v>14</v>
      </c>
      <c r="H160" t="s">
        <v>1887</v>
      </c>
    </row>
    <row r="161" spans="1:8" x14ac:dyDescent="0.25">
      <c r="A161">
        <v>17120681</v>
      </c>
      <c r="B161" t="s">
        <v>2386</v>
      </c>
      <c r="C161" t="s">
        <v>14</v>
      </c>
      <c r="D161" t="s">
        <v>14</v>
      </c>
      <c r="E161" t="s">
        <v>14</v>
      </c>
      <c r="F161" t="s">
        <v>14</v>
      </c>
      <c r="G161" t="s">
        <v>14</v>
      </c>
      <c r="H161" t="s">
        <v>2676</v>
      </c>
    </row>
    <row r="162" spans="1:8" x14ac:dyDescent="0.25">
      <c r="A162">
        <v>17129782</v>
      </c>
      <c r="B162" t="s">
        <v>14</v>
      </c>
      <c r="C162" t="s">
        <v>14</v>
      </c>
      <c r="D162" t="s">
        <v>14</v>
      </c>
      <c r="E162" t="s">
        <v>1772</v>
      </c>
      <c r="F162" t="s">
        <v>14</v>
      </c>
      <c r="G162" t="s">
        <v>14</v>
      </c>
      <c r="H162" t="s">
        <v>1888</v>
      </c>
    </row>
    <row r="163" spans="1:8" x14ac:dyDescent="0.25">
      <c r="A163">
        <v>17130829</v>
      </c>
      <c r="B163" t="s">
        <v>14</v>
      </c>
      <c r="C163" t="s">
        <v>14</v>
      </c>
      <c r="D163" t="s">
        <v>14</v>
      </c>
      <c r="E163" t="s">
        <v>1773</v>
      </c>
      <c r="F163" t="s">
        <v>14</v>
      </c>
      <c r="G163" t="s">
        <v>1774</v>
      </c>
      <c r="H163" t="s">
        <v>1889</v>
      </c>
    </row>
    <row r="164" spans="1:8" x14ac:dyDescent="0.25">
      <c r="A164">
        <v>17137759</v>
      </c>
      <c r="B164" t="s">
        <v>2387</v>
      </c>
      <c r="C164" t="s">
        <v>14</v>
      </c>
      <c r="D164" t="s">
        <v>14</v>
      </c>
      <c r="E164" t="s">
        <v>2387</v>
      </c>
      <c r="F164" t="s">
        <v>14</v>
      </c>
      <c r="G164" t="s">
        <v>2388</v>
      </c>
      <c r="H164" t="s">
        <v>2677</v>
      </c>
    </row>
    <row r="165" spans="1:8" x14ac:dyDescent="0.25">
      <c r="A165">
        <v>17149059</v>
      </c>
      <c r="B165" t="s">
        <v>14</v>
      </c>
      <c r="C165" t="s">
        <v>14</v>
      </c>
      <c r="D165" t="s">
        <v>14</v>
      </c>
      <c r="E165" t="s">
        <v>2389</v>
      </c>
      <c r="F165" t="s">
        <v>14</v>
      </c>
      <c r="G165" t="s">
        <v>14</v>
      </c>
      <c r="H165" t="s">
        <v>2678</v>
      </c>
    </row>
    <row r="166" spans="1:8" x14ac:dyDescent="0.25">
      <c r="A166">
        <v>17153390</v>
      </c>
      <c r="B166" t="s">
        <v>14</v>
      </c>
      <c r="C166" t="s">
        <v>14</v>
      </c>
      <c r="D166" t="s">
        <v>14</v>
      </c>
      <c r="E166" t="s">
        <v>901</v>
      </c>
      <c r="F166" t="s">
        <v>14</v>
      </c>
      <c r="G166" t="s">
        <v>902</v>
      </c>
      <c r="H166" t="s">
        <v>1219</v>
      </c>
    </row>
    <row r="167" spans="1:8" x14ac:dyDescent="0.25">
      <c r="A167">
        <v>17154677</v>
      </c>
      <c r="B167" t="s">
        <v>14</v>
      </c>
      <c r="C167" t="s">
        <v>14</v>
      </c>
      <c r="D167" t="s">
        <v>14</v>
      </c>
      <c r="E167" t="s">
        <v>14</v>
      </c>
      <c r="F167" t="s">
        <v>14</v>
      </c>
      <c r="G167" t="s">
        <v>2390</v>
      </c>
      <c r="H167" t="s">
        <v>2679</v>
      </c>
    </row>
    <row r="168" spans="1:8" x14ac:dyDescent="0.25">
      <c r="A168">
        <v>17156537</v>
      </c>
      <c r="B168" t="s">
        <v>2391</v>
      </c>
      <c r="C168" t="s">
        <v>14</v>
      </c>
      <c r="D168" t="s">
        <v>14</v>
      </c>
      <c r="E168" t="s">
        <v>14</v>
      </c>
      <c r="F168" t="s">
        <v>14</v>
      </c>
      <c r="G168" t="s">
        <v>14</v>
      </c>
      <c r="H168" t="s">
        <v>2680</v>
      </c>
    </row>
    <row r="169" spans="1:8" x14ac:dyDescent="0.25">
      <c r="A169">
        <v>17161569</v>
      </c>
      <c r="B169" t="s">
        <v>2392</v>
      </c>
      <c r="C169" t="s">
        <v>14</v>
      </c>
      <c r="D169" t="s">
        <v>14</v>
      </c>
      <c r="E169" t="s">
        <v>2393</v>
      </c>
      <c r="F169" t="s">
        <v>14</v>
      </c>
      <c r="G169" t="s">
        <v>2394</v>
      </c>
      <c r="H169" t="s">
        <v>2681</v>
      </c>
    </row>
    <row r="170" spans="1:8" x14ac:dyDescent="0.25">
      <c r="A170">
        <v>17165419</v>
      </c>
      <c r="B170" t="s">
        <v>14</v>
      </c>
      <c r="C170" t="s">
        <v>14</v>
      </c>
      <c r="D170" t="s">
        <v>14</v>
      </c>
      <c r="E170" t="s">
        <v>14</v>
      </c>
      <c r="F170" t="s">
        <v>14</v>
      </c>
      <c r="G170" t="s">
        <v>2395</v>
      </c>
      <c r="H170" t="s">
        <v>2682</v>
      </c>
    </row>
    <row r="171" spans="1:8" x14ac:dyDescent="0.25">
      <c r="A171">
        <v>17166477</v>
      </c>
      <c r="B171" t="s">
        <v>14</v>
      </c>
      <c r="C171" t="s">
        <v>14</v>
      </c>
      <c r="D171" t="s">
        <v>14</v>
      </c>
      <c r="E171" t="s">
        <v>2396</v>
      </c>
      <c r="F171" t="s">
        <v>14</v>
      </c>
      <c r="G171" t="s">
        <v>2397</v>
      </c>
      <c r="H171" t="s">
        <v>2683</v>
      </c>
    </row>
    <row r="172" spans="1:8" x14ac:dyDescent="0.25">
      <c r="A172">
        <v>17167949</v>
      </c>
      <c r="B172" t="s">
        <v>2398</v>
      </c>
      <c r="C172" t="s">
        <v>14</v>
      </c>
      <c r="D172" t="s">
        <v>14</v>
      </c>
      <c r="E172" t="s">
        <v>2399</v>
      </c>
      <c r="F172" t="s">
        <v>14</v>
      </c>
      <c r="G172" t="s">
        <v>2400</v>
      </c>
      <c r="H172" t="s">
        <v>2684</v>
      </c>
    </row>
    <row r="173" spans="1:8" x14ac:dyDescent="0.25">
      <c r="A173">
        <v>17168748</v>
      </c>
      <c r="B173" t="s">
        <v>14</v>
      </c>
      <c r="C173" t="s">
        <v>14</v>
      </c>
      <c r="D173" t="s">
        <v>14</v>
      </c>
      <c r="E173" t="s">
        <v>1775</v>
      </c>
      <c r="F173" t="s">
        <v>14</v>
      </c>
      <c r="G173" t="s">
        <v>1776</v>
      </c>
      <c r="H173" t="s">
        <v>1890</v>
      </c>
    </row>
    <row r="174" spans="1:8" x14ac:dyDescent="0.25">
      <c r="A174">
        <v>17169935</v>
      </c>
      <c r="B174" t="s">
        <v>14</v>
      </c>
      <c r="C174" t="s">
        <v>14</v>
      </c>
      <c r="D174" t="s">
        <v>14</v>
      </c>
      <c r="E174" t="s">
        <v>2401</v>
      </c>
      <c r="F174" t="s">
        <v>14</v>
      </c>
      <c r="G174" t="s">
        <v>2402</v>
      </c>
      <c r="H174" t="s">
        <v>2685</v>
      </c>
    </row>
    <row r="175" spans="1:8" x14ac:dyDescent="0.25">
      <c r="A175">
        <v>17170066</v>
      </c>
      <c r="B175" t="s">
        <v>14</v>
      </c>
      <c r="C175" t="s">
        <v>14</v>
      </c>
      <c r="D175" t="s">
        <v>14</v>
      </c>
      <c r="E175" t="s">
        <v>2403</v>
      </c>
      <c r="F175" t="s">
        <v>14</v>
      </c>
      <c r="G175" t="s">
        <v>14</v>
      </c>
      <c r="H175" t="s">
        <v>2686</v>
      </c>
    </row>
    <row r="176" spans="1:8" x14ac:dyDescent="0.25">
      <c r="A176">
        <v>17172387</v>
      </c>
      <c r="B176" t="s">
        <v>14</v>
      </c>
      <c r="C176" t="s">
        <v>14</v>
      </c>
      <c r="D176" t="s">
        <v>14</v>
      </c>
      <c r="E176" t="s">
        <v>14</v>
      </c>
      <c r="F176" t="s">
        <v>14</v>
      </c>
      <c r="G176" t="s">
        <v>1638</v>
      </c>
      <c r="H176" t="s">
        <v>1891</v>
      </c>
    </row>
    <row r="177" spans="1:8" x14ac:dyDescent="0.25">
      <c r="A177">
        <v>17172728</v>
      </c>
      <c r="B177" t="s">
        <v>14</v>
      </c>
      <c r="C177" t="s">
        <v>14</v>
      </c>
      <c r="D177" t="s">
        <v>14</v>
      </c>
      <c r="E177" t="s">
        <v>2404</v>
      </c>
      <c r="F177" t="s">
        <v>14</v>
      </c>
      <c r="G177" t="s">
        <v>2405</v>
      </c>
      <c r="H177" t="s">
        <v>2687</v>
      </c>
    </row>
    <row r="178" spans="1:8" x14ac:dyDescent="0.25">
      <c r="A178">
        <v>17178665</v>
      </c>
      <c r="B178" t="s">
        <v>14</v>
      </c>
      <c r="C178" t="s">
        <v>14</v>
      </c>
      <c r="D178" t="s">
        <v>14</v>
      </c>
      <c r="E178" t="s">
        <v>2406</v>
      </c>
      <c r="F178" t="s">
        <v>14</v>
      </c>
      <c r="G178" t="s">
        <v>14</v>
      </c>
      <c r="H178" t="s">
        <v>2688</v>
      </c>
    </row>
    <row r="179" spans="1:8" x14ac:dyDescent="0.25">
      <c r="A179">
        <v>17184351</v>
      </c>
      <c r="B179" t="s">
        <v>14</v>
      </c>
      <c r="C179" t="s">
        <v>14</v>
      </c>
      <c r="D179" t="s">
        <v>14</v>
      </c>
      <c r="E179" t="s">
        <v>2407</v>
      </c>
      <c r="F179" t="s">
        <v>14</v>
      </c>
      <c r="G179" t="s">
        <v>14</v>
      </c>
      <c r="H179" t="s">
        <v>2689</v>
      </c>
    </row>
    <row r="180" spans="1:8" x14ac:dyDescent="0.25">
      <c r="A180">
        <v>17185610</v>
      </c>
      <c r="B180" t="s">
        <v>14</v>
      </c>
      <c r="C180" t="s">
        <v>14</v>
      </c>
      <c r="D180" t="s">
        <v>14</v>
      </c>
      <c r="E180" t="s">
        <v>1777</v>
      </c>
      <c r="F180" t="s">
        <v>14</v>
      </c>
      <c r="G180" t="s">
        <v>14</v>
      </c>
      <c r="H180" t="s">
        <v>1229</v>
      </c>
    </row>
    <row r="181" spans="1:8" x14ac:dyDescent="0.25">
      <c r="A181">
        <v>17187806</v>
      </c>
      <c r="B181" t="s">
        <v>14</v>
      </c>
      <c r="C181" t="s">
        <v>14</v>
      </c>
      <c r="D181" t="s">
        <v>14</v>
      </c>
      <c r="E181" t="s">
        <v>2408</v>
      </c>
      <c r="F181" t="s">
        <v>14</v>
      </c>
      <c r="G181" t="s">
        <v>14</v>
      </c>
      <c r="H181" t="s">
        <v>2690</v>
      </c>
    </row>
    <row r="182" spans="1:8" x14ac:dyDescent="0.25">
      <c r="A182">
        <v>17193769</v>
      </c>
      <c r="B182" t="s">
        <v>14</v>
      </c>
      <c r="C182" t="s">
        <v>14</v>
      </c>
      <c r="D182" t="s">
        <v>14</v>
      </c>
      <c r="E182" t="s">
        <v>2409</v>
      </c>
      <c r="F182" t="s">
        <v>14</v>
      </c>
      <c r="G182" t="s">
        <v>2410</v>
      </c>
      <c r="H182" t="s">
        <v>2691</v>
      </c>
    </row>
    <row r="183" spans="1:8" x14ac:dyDescent="0.25">
      <c r="A183">
        <v>17197591</v>
      </c>
      <c r="B183" t="s">
        <v>14</v>
      </c>
      <c r="C183" t="s">
        <v>14</v>
      </c>
      <c r="D183" t="s">
        <v>14</v>
      </c>
      <c r="E183" t="s">
        <v>1639</v>
      </c>
      <c r="F183" t="s">
        <v>14</v>
      </c>
      <c r="G183" t="s">
        <v>1640</v>
      </c>
      <c r="H183" t="s">
        <v>1892</v>
      </c>
    </row>
    <row r="184" spans="1:8" x14ac:dyDescent="0.25">
      <c r="A184">
        <v>17201090</v>
      </c>
      <c r="B184" t="s">
        <v>14</v>
      </c>
      <c r="C184" t="s">
        <v>14</v>
      </c>
      <c r="D184" t="s">
        <v>14</v>
      </c>
      <c r="E184" t="s">
        <v>1778</v>
      </c>
      <c r="F184" t="s">
        <v>14</v>
      </c>
      <c r="G184" t="s">
        <v>1779</v>
      </c>
      <c r="H184" t="s">
        <v>1893</v>
      </c>
    </row>
    <row r="185" spans="1:8" x14ac:dyDescent="0.25">
      <c r="A185">
        <v>17203341</v>
      </c>
      <c r="B185" t="s">
        <v>14</v>
      </c>
      <c r="C185" t="s">
        <v>14</v>
      </c>
      <c r="D185" t="s">
        <v>14</v>
      </c>
      <c r="E185" t="s">
        <v>2411</v>
      </c>
      <c r="F185" t="s">
        <v>14</v>
      </c>
      <c r="G185" t="s">
        <v>2412</v>
      </c>
      <c r="H185" t="s">
        <v>2692</v>
      </c>
    </row>
    <row r="186" spans="1:8" x14ac:dyDescent="0.25">
      <c r="A186">
        <v>17204555</v>
      </c>
      <c r="B186" t="s">
        <v>14</v>
      </c>
      <c r="C186" t="s">
        <v>14</v>
      </c>
      <c r="D186" t="s">
        <v>14</v>
      </c>
      <c r="E186" t="s">
        <v>918</v>
      </c>
      <c r="F186" t="s">
        <v>14</v>
      </c>
      <c r="G186" t="s">
        <v>919</v>
      </c>
      <c r="H186" t="s">
        <v>1233</v>
      </c>
    </row>
    <row r="187" spans="1:8" x14ac:dyDescent="0.25">
      <c r="A187">
        <v>17210198</v>
      </c>
      <c r="B187" t="s">
        <v>14</v>
      </c>
      <c r="C187" t="s">
        <v>14</v>
      </c>
      <c r="D187" t="s">
        <v>14</v>
      </c>
      <c r="E187" t="s">
        <v>920</v>
      </c>
      <c r="F187" t="s">
        <v>14</v>
      </c>
      <c r="G187" t="s">
        <v>921</v>
      </c>
      <c r="H187" t="s">
        <v>1234</v>
      </c>
    </row>
    <row r="188" spans="1:8" x14ac:dyDescent="0.25">
      <c r="A188">
        <v>17210862</v>
      </c>
      <c r="B188" t="s">
        <v>14</v>
      </c>
      <c r="C188" t="s">
        <v>14</v>
      </c>
      <c r="D188" t="s">
        <v>14</v>
      </c>
      <c r="E188" t="s">
        <v>1780</v>
      </c>
      <c r="F188" t="s">
        <v>14</v>
      </c>
      <c r="G188" t="s">
        <v>1781</v>
      </c>
      <c r="H188" t="s">
        <v>1894</v>
      </c>
    </row>
    <row r="189" spans="1:8" x14ac:dyDescent="0.25">
      <c r="A189">
        <v>17210947</v>
      </c>
      <c r="B189" t="s">
        <v>14</v>
      </c>
      <c r="C189" t="s">
        <v>14</v>
      </c>
      <c r="D189" t="s">
        <v>14</v>
      </c>
      <c r="E189" t="s">
        <v>1641</v>
      </c>
      <c r="F189" t="s">
        <v>14</v>
      </c>
      <c r="G189" t="s">
        <v>1642</v>
      </c>
      <c r="H189" t="s">
        <v>1895</v>
      </c>
    </row>
    <row r="190" spans="1:8" x14ac:dyDescent="0.25">
      <c r="A190">
        <v>17212585</v>
      </c>
      <c r="B190" t="s">
        <v>14</v>
      </c>
      <c r="C190" t="s">
        <v>14</v>
      </c>
      <c r="D190" t="s">
        <v>14</v>
      </c>
      <c r="E190" t="s">
        <v>2413</v>
      </c>
      <c r="F190" t="s">
        <v>14</v>
      </c>
      <c r="G190" t="s">
        <v>2414</v>
      </c>
      <c r="H190" t="s">
        <v>2693</v>
      </c>
    </row>
    <row r="191" spans="1:8" x14ac:dyDescent="0.25">
      <c r="A191">
        <v>17214221</v>
      </c>
      <c r="B191" t="s">
        <v>922</v>
      </c>
      <c r="C191" t="s">
        <v>14</v>
      </c>
      <c r="D191" t="s">
        <v>14</v>
      </c>
      <c r="E191" t="s">
        <v>14</v>
      </c>
      <c r="F191" t="s">
        <v>14</v>
      </c>
      <c r="G191" t="s">
        <v>14</v>
      </c>
      <c r="H191" t="s">
        <v>1236</v>
      </c>
    </row>
    <row r="192" spans="1:8" x14ac:dyDescent="0.25">
      <c r="A192">
        <v>17214290</v>
      </c>
      <c r="B192" t="s">
        <v>14</v>
      </c>
      <c r="C192" t="s">
        <v>14</v>
      </c>
      <c r="D192" t="s">
        <v>14</v>
      </c>
      <c r="E192" t="s">
        <v>2415</v>
      </c>
      <c r="F192" t="s">
        <v>14</v>
      </c>
      <c r="G192" t="s">
        <v>14</v>
      </c>
      <c r="H192" t="s">
        <v>2694</v>
      </c>
    </row>
    <row r="193" spans="1:8" x14ac:dyDescent="0.25">
      <c r="A193">
        <v>17225348</v>
      </c>
      <c r="B193" t="s">
        <v>14</v>
      </c>
      <c r="C193" t="s">
        <v>14</v>
      </c>
      <c r="D193" t="s">
        <v>14</v>
      </c>
      <c r="E193" t="s">
        <v>2416</v>
      </c>
      <c r="F193" t="s">
        <v>14</v>
      </c>
      <c r="G193" t="s">
        <v>14</v>
      </c>
      <c r="H193" t="s">
        <v>2695</v>
      </c>
    </row>
    <row r="194" spans="1:8" x14ac:dyDescent="0.25">
      <c r="A194">
        <v>17227318</v>
      </c>
      <c r="B194" t="s">
        <v>14</v>
      </c>
      <c r="C194" t="s">
        <v>14</v>
      </c>
      <c r="D194" t="s">
        <v>14</v>
      </c>
      <c r="E194" t="s">
        <v>1782</v>
      </c>
      <c r="F194" t="s">
        <v>14</v>
      </c>
      <c r="G194" t="s">
        <v>1783</v>
      </c>
      <c r="H194" t="s">
        <v>1896</v>
      </c>
    </row>
    <row r="195" spans="1:8" x14ac:dyDescent="0.25">
      <c r="A195">
        <v>17229794</v>
      </c>
      <c r="B195" t="s">
        <v>14</v>
      </c>
      <c r="C195" t="s">
        <v>14</v>
      </c>
      <c r="D195" t="s">
        <v>14</v>
      </c>
      <c r="E195" t="s">
        <v>2417</v>
      </c>
      <c r="F195" t="s">
        <v>14</v>
      </c>
      <c r="G195" t="s">
        <v>2418</v>
      </c>
      <c r="H195" t="s">
        <v>2696</v>
      </c>
    </row>
    <row r="196" spans="1:8" x14ac:dyDescent="0.25">
      <c r="A196">
        <v>17230205</v>
      </c>
      <c r="B196" t="s">
        <v>2419</v>
      </c>
      <c r="C196" t="s">
        <v>14</v>
      </c>
      <c r="D196" t="s">
        <v>14</v>
      </c>
      <c r="E196" t="s">
        <v>14</v>
      </c>
      <c r="F196" t="s">
        <v>14</v>
      </c>
      <c r="G196" t="s">
        <v>14</v>
      </c>
      <c r="H196" t="s">
        <v>2697</v>
      </c>
    </row>
    <row r="197" spans="1:8" x14ac:dyDescent="0.25">
      <c r="A197">
        <v>17233451</v>
      </c>
      <c r="B197" t="s">
        <v>14</v>
      </c>
      <c r="C197" t="s">
        <v>14</v>
      </c>
      <c r="D197" t="s">
        <v>14</v>
      </c>
      <c r="E197" t="s">
        <v>2420</v>
      </c>
      <c r="F197" t="s">
        <v>14</v>
      </c>
      <c r="G197" t="s">
        <v>2421</v>
      </c>
      <c r="H197" t="s">
        <v>2698</v>
      </c>
    </row>
    <row r="198" spans="1:8" x14ac:dyDescent="0.25">
      <c r="A198">
        <v>17234132</v>
      </c>
      <c r="B198" t="s">
        <v>14</v>
      </c>
      <c r="C198" t="s">
        <v>14</v>
      </c>
      <c r="D198" t="s">
        <v>14</v>
      </c>
      <c r="E198" t="s">
        <v>1784</v>
      </c>
      <c r="F198" t="s">
        <v>14</v>
      </c>
      <c r="G198" t="s">
        <v>1785</v>
      </c>
      <c r="H198" t="s">
        <v>1897</v>
      </c>
    </row>
    <row r="199" spans="1:8" x14ac:dyDescent="0.25">
      <c r="A199">
        <v>17234159</v>
      </c>
      <c r="B199" t="s">
        <v>14</v>
      </c>
      <c r="C199" t="s">
        <v>14</v>
      </c>
      <c r="D199" t="s">
        <v>14</v>
      </c>
      <c r="E199" t="s">
        <v>2422</v>
      </c>
      <c r="F199" t="s">
        <v>14</v>
      </c>
      <c r="G199" t="s">
        <v>2423</v>
      </c>
      <c r="H199" t="s">
        <v>2699</v>
      </c>
    </row>
    <row r="200" spans="1:8" x14ac:dyDescent="0.25">
      <c r="A200">
        <v>17234502</v>
      </c>
      <c r="B200" t="s">
        <v>14</v>
      </c>
      <c r="C200" t="s">
        <v>14</v>
      </c>
      <c r="D200" t="s">
        <v>14</v>
      </c>
      <c r="E200" t="s">
        <v>2424</v>
      </c>
      <c r="F200" t="s">
        <v>14</v>
      </c>
      <c r="G200" t="s">
        <v>14</v>
      </c>
      <c r="H200" t="s">
        <v>1241</v>
      </c>
    </row>
    <row r="201" spans="1:8" x14ac:dyDescent="0.25">
      <c r="A201">
        <v>17235727</v>
      </c>
      <c r="B201" t="s">
        <v>14</v>
      </c>
      <c r="C201" t="s">
        <v>14</v>
      </c>
      <c r="D201" t="s">
        <v>14</v>
      </c>
      <c r="E201" t="s">
        <v>1786</v>
      </c>
      <c r="F201" t="s">
        <v>14</v>
      </c>
      <c r="G201" t="s">
        <v>14</v>
      </c>
      <c r="H201" t="s">
        <v>1898</v>
      </c>
    </row>
    <row r="202" spans="1:8" x14ac:dyDescent="0.25">
      <c r="A202">
        <v>17241512</v>
      </c>
      <c r="B202" t="s">
        <v>1787</v>
      </c>
      <c r="C202" t="s">
        <v>14</v>
      </c>
      <c r="D202" t="s">
        <v>14</v>
      </c>
      <c r="E202" t="s">
        <v>1788</v>
      </c>
      <c r="F202" t="s">
        <v>14</v>
      </c>
      <c r="G202" t="s">
        <v>1789</v>
      </c>
      <c r="H202" t="s">
        <v>1899</v>
      </c>
    </row>
    <row r="203" spans="1:8" x14ac:dyDescent="0.25">
      <c r="A203">
        <v>17241961</v>
      </c>
      <c r="B203" t="s">
        <v>14</v>
      </c>
      <c r="C203" t="s">
        <v>14</v>
      </c>
      <c r="D203" t="s">
        <v>14</v>
      </c>
      <c r="E203" t="s">
        <v>628</v>
      </c>
      <c r="F203" t="s">
        <v>14</v>
      </c>
      <c r="G203" t="s">
        <v>14</v>
      </c>
      <c r="H203" t="s">
        <v>1247</v>
      </c>
    </row>
    <row r="204" spans="1:8" x14ac:dyDescent="0.25">
      <c r="A204">
        <v>17243897</v>
      </c>
      <c r="B204" t="s">
        <v>14</v>
      </c>
      <c r="C204" t="s">
        <v>14</v>
      </c>
      <c r="D204" t="s">
        <v>14</v>
      </c>
      <c r="E204" t="s">
        <v>2425</v>
      </c>
      <c r="F204" t="s">
        <v>14</v>
      </c>
      <c r="G204" t="s">
        <v>14</v>
      </c>
      <c r="H204" t="s">
        <v>2700</v>
      </c>
    </row>
    <row r="205" spans="1:8" x14ac:dyDescent="0.25">
      <c r="A205">
        <v>17246211</v>
      </c>
      <c r="B205" t="s">
        <v>14</v>
      </c>
      <c r="C205" t="s">
        <v>14</v>
      </c>
      <c r="D205" t="s">
        <v>14</v>
      </c>
      <c r="E205" t="s">
        <v>2426</v>
      </c>
      <c r="F205" t="s">
        <v>14</v>
      </c>
      <c r="G205" t="s">
        <v>2427</v>
      </c>
      <c r="H205" t="s">
        <v>2701</v>
      </c>
    </row>
    <row r="206" spans="1:8" x14ac:dyDescent="0.25">
      <c r="A206">
        <v>17247642</v>
      </c>
      <c r="B206" t="s">
        <v>14</v>
      </c>
      <c r="C206" t="s">
        <v>14</v>
      </c>
      <c r="D206" t="s">
        <v>14</v>
      </c>
      <c r="E206" t="s">
        <v>2428</v>
      </c>
      <c r="F206" t="s">
        <v>14</v>
      </c>
      <c r="G206" t="s">
        <v>14</v>
      </c>
      <c r="H206" t="s">
        <v>2702</v>
      </c>
    </row>
    <row r="207" spans="1:8" x14ac:dyDescent="0.25">
      <c r="A207">
        <v>17252076</v>
      </c>
      <c r="B207" t="s">
        <v>14</v>
      </c>
      <c r="C207" t="s">
        <v>14</v>
      </c>
      <c r="D207" t="s">
        <v>14</v>
      </c>
      <c r="E207" t="s">
        <v>1790</v>
      </c>
      <c r="F207" t="s">
        <v>14</v>
      </c>
      <c r="G207" t="s">
        <v>1791</v>
      </c>
      <c r="H207" t="s">
        <v>1900</v>
      </c>
    </row>
    <row r="208" spans="1:8" x14ac:dyDescent="0.25">
      <c r="A208">
        <v>17253467</v>
      </c>
      <c r="B208" t="s">
        <v>14</v>
      </c>
      <c r="C208" t="s">
        <v>14</v>
      </c>
      <c r="D208" t="s">
        <v>14</v>
      </c>
      <c r="E208" t="s">
        <v>2429</v>
      </c>
      <c r="F208" t="s">
        <v>14</v>
      </c>
      <c r="G208" t="s">
        <v>2430</v>
      </c>
      <c r="H208" t="s">
        <v>2703</v>
      </c>
    </row>
    <row r="209" spans="1:8" x14ac:dyDescent="0.25">
      <c r="A209">
        <v>17253540</v>
      </c>
      <c r="B209" t="s">
        <v>14</v>
      </c>
      <c r="C209" t="s">
        <v>14</v>
      </c>
      <c r="D209" t="s">
        <v>14</v>
      </c>
      <c r="E209" t="s">
        <v>1792</v>
      </c>
      <c r="F209" t="s">
        <v>14</v>
      </c>
      <c r="G209" t="s">
        <v>1793</v>
      </c>
      <c r="H209" t="s">
        <v>1901</v>
      </c>
    </row>
    <row r="210" spans="1:8" x14ac:dyDescent="0.25">
      <c r="A210">
        <v>17257048</v>
      </c>
      <c r="B210" t="s">
        <v>14</v>
      </c>
      <c r="C210" t="s">
        <v>14</v>
      </c>
      <c r="D210" t="s">
        <v>14</v>
      </c>
      <c r="E210" t="s">
        <v>2431</v>
      </c>
      <c r="F210" t="s">
        <v>14</v>
      </c>
      <c r="G210" t="s">
        <v>14</v>
      </c>
      <c r="H210" t="s">
        <v>2704</v>
      </c>
    </row>
    <row r="211" spans="1:8" x14ac:dyDescent="0.25">
      <c r="A211">
        <v>17257299</v>
      </c>
      <c r="B211" t="s">
        <v>14</v>
      </c>
      <c r="C211" t="s">
        <v>14</v>
      </c>
      <c r="D211" t="s">
        <v>14</v>
      </c>
      <c r="E211" t="s">
        <v>2432</v>
      </c>
      <c r="F211" t="s">
        <v>14</v>
      </c>
      <c r="G211" t="s">
        <v>2433</v>
      </c>
      <c r="H211" t="s">
        <v>2705</v>
      </c>
    </row>
    <row r="212" spans="1:8" x14ac:dyDescent="0.25">
      <c r="A212">
        <v>17259608</v>
      </c>
      <c r="B212" t="s">
        <v>14</v>
      </c>
      <c r="C212" t="s">
        <v>14</v>
      </c>
      <c r="D212" t="s">
        <v>14</v>
      </c>
      <c r="E212" t="s">
        <v>1643</v>
      </c>
      <c r="F212" t="s">
        <v>14</v>
      </c>
      <c r="G212" t="s">
        <v>14</v>
      </c>
      <c r="H212" t="s">
        <v>1902</v>
      </c>
    </row>
    <row r="213" spans="1:8" x14ac:dyDescent="0.25">
      <c r="A213">
        <v>17261825</v>
      </c>
      <c r="B213" t="s">
        <v>14</v>
      </c>
      <c r="C213" t="s">
        <v>14</v>
      </c>
      <c r="D213" t="s">
        <v>14</v>
      </c>
      <c r="E213" t="s">
        <v>1644</v>
      </c>
      <c r="F213" t="s">
        <v>14</v>
      </c>
      <c r="G213" t="s">
        <v>14</v>
      </c>
      <c r="H213" t="s">
        <v>1903</v>
      </c>
    </row>
    <row r="214" spans="1:8" x14ac:dyDescent="0.25">
      <c r="A214">
        <v>17263438</v>
      </c>
      <c r="B214" t="s">
        <v>14</v>
      </c>
      <c r="C214" t="s">
        <v>14</v>
      </c>
      <c r="D214" t="s">
        <v>14</v>
      </c>
      <c r="E214" t="s">
        <v>1794</v>
      </c>
      <c r="F214" t="s">
        <v>14</v>
      </c>
      <c r="G214" t="s">
        <v>14</v>
      </c>
      <c r="H214" t="s">
        <v>1904</v>
      </c>
    </row>
    <row r="215" spans="1:8" x14ac:dyDescent="0.25">
      <c r="A215">
        <v>17264839</v>
      </c>
      <c r="B215" t="s">
        <v>14</v>
      </c>
      <c r="C215" t="s">
        <v>14</v>
      </c>
      <c r="D215" t="s">
        <v>14</v>
      </c>
      <c r="E215" t="s">
        <v>1795</v>
      </c>
      <c r="F215" t="s">
        <v>14</v>
      </c>
      <c r="G215" t="s">
        <v>14</v>
      </c>
      <c r="H215" t="s">
        <v>1905</v>
      </c>
    </row>
    <row r="216" spans="1:8" x14ac:dyDescent="0.25">
      <c r="A216">
        <v>17264844</v>
      </c>
      <c r="B216" t="s">
        <v>14</v>
      </c>
      <c r="C216" t="s">
        <v>14</v>
      </c>
      <c r="D216" t="s">
        <v>14</v>
      </c>
      <c r="E216" t="s">
        <v>1645</v>
      </c>
      <c r="F216" t="s">
        <v>14</v>
      </c>
      <c r="G216" t="s">
        <v>1646</v>
      </c>
      <c r="H216" t="s">
        <v>1906</v>
      </c>
    </row>
    <row r="217" spans="1:8" x14ac:dyDescent="0.25">
      <c r="A217">
        <v>17264946</v>
      </c>
      <c r="B217" t="s">
        <v>14</v>
      </c>
      <c r="C217" t="s">
        <v>14</v>
      </c>
      <c r="D217" t="s">
        <v>14</v>
      </c>
      <c r="E217" t="s">
        <v>2434</v>
      </c>
      <c r="F217" t="s">
        <v>14</v>
      </c>
      <c r="G217" t="s">
        <v>14</v>
      </c>
      <c r="H217" t="s">
        <v>2706</v>
      </c>
    </row>
    <row r="218" spans="1:8" x14ac:dyDescent="0.25">
      <c r="A218">
        <v>17265057</v>
      </c>
      <c r="B218" t="s">
        <v>14</v>
      </c>
      <c r="C218" t="s">
        <v>14</v>
      </c>
      <c r="D218" t="s">
        <v>14</v>
      </c>
      <c r="E218" t="s">
        <v>2435</v>
      </c>
      <c r="F218" t="s">
        <v>14</v>
      </c>
      <c r="G218" t="s">
        <v>14</v>
      </c>
      <c r="H218" t="s">
        <v>2707</v>
      </c>
    </row>
    <row r="219" spans="1:8" x14ac:dyDescent="0.25">
      <c r="A219">
        <v>17265450</v>
      </c>
      <c r="B219" t="s">
        <v>14</v>
      </c>
      <c r="C219" t="s">
        <v>14</v>
      </c>
      <c r="D219" t="s">
        <v>14</v>
      </c>
      <c r="E219" t="s">
        <v>2436</v>
      </c>
      <c r="F219" t="s">
        <v>14</v>
      </c>
      <c r="G219" t="s">
        <v>2437</v>
      </c>
      <c r="H219" t="s">
        <v>2708</v>
      </c>
    </row>
    <row r="220" spans="1:8" x14ac:dyDescent="0.25">
      <c r="A220">
        <v>17265510</v>
      </c>
      <c r="B220" t="s">
        <v>14</v>
      </c>
      <c r="C220" t="s">
        <v>14</v>
      </c>
      <c r="D220" t="s">
        <v>14</v>
      </c>
      <c r="E220" t="s">
        <v>14</v>
      </c>
      <c r="F220" t="s">
        <v>14</v>
      </c>
      <c r="G220" t="s">
        <v>1796</v>
      </c>
      <c r="H220" t="s">
        <v>1907</v>
      </c>
    </row>
    <row r="221" spans="1:8" x14ac:dyDescent="0.25">
      <c r="A221">
        <v>17272358</v>
      </c>
      <c r="B221" t="s">
        <v>14</v>
      </c>
      <c r="C221" t="s">
        <v>14</v>
      </c>
      <c r="D221" t="s">
        <v>14</v>
      </c>
      <c r="E221" t="s">
        <v>2438</v>
      </c>
      <c r="F221" t="s">
        <v>14</v>
      </c>
      <c r="G221" t="s">
        <v>2439</v>
      </c>
      <c r="H221" t="s">
        <v>2709</v>
      </c>
    </row>
    <row r="222" spans="1:8" x14ac:dyDescent="0.25">
      <c r="A222">
        <v>17272368</v>
      </c>
      <c r="B222" t="s">
        <v>14</v>
      </c>
      <c r="C222" t="s">
        <v>14</v>
      </c>
      <c r="D222" t="s">
        <v>14</v>
      </c>
      <c r="E222" t="s">
        <v>1797</v>
      </c>
      <c r="F222" t="s">
        <v>14</v>
      </c>
      <c r="G222" t="s">
        <v>1798</v>
      </c>
      <c r="H222" t="s">
        <v>1908</v>
      </c>
    </row>
    <row r="223" spans="1:8" x14ac:dyDescent="0.25">
      <c r="A223">
        <v>17273566</v>
      </c>
      <c r="B223" t="s">
        <v>14</v>
      </c>
      <c r="C223" t="s">
        <v>14</v>
      </c>
      <c r="D223" t="s">
        <v>14</v>
      </c>
      <c r="E223" t="s">
        <v>2440</v>
      </c>
      <c r="F223" t="s">
        <v>14</v>
      </c>
      <c r="G223" t="s">
        <v>14</v>
      </c>
      <c r="H223" t="s">
        <v>2710</v>
      </c>
    </row>
    <row r="224" spans="1:8" x14ac:dyDescent="0.25">
      <c r="A224">
        <v>17274812</v>
      </c>
      <c r="B224" t="s">
        <v>14</v>
      </c>
      <c r="C224" t="s">
        <v>14</v>
      </c>
      <c r="D224" t="s">
        <v>14</v>
      </c>
      <c r="E224" t="s">
        <v>2441</v>
      </c>
      <c r="F224" t="s">
        <v>14</v>
      </c>
      <c r="G224" t="s">
        <v>2442</v>
      </c>
      <c r="H224" t="s">
        <v>2711</v>
      </c>
    </row>
    <row r="225" spans="1:8" x14ac:dyDescent="0.25">
      <c r="A225">
        <v>17278973</v>
      </c>
      <c r="B225" t="s">
        <v>2443</v>
      </c>
      <c r="C225" t="s">
        <v>14</v>
      </c>
      <c r="D225" t="s">
        <v>14</v>
      </c>
      <c r="E225" t="s">
        <v>2444</v>
      </c>
      <c r="F225" t="s">
        <v>14</v>
      </c>
      <c r="G225" t="s">
        <v>14</v>
      </c>
      <c r="H225" t="s">
        <v>2712</v>
      </c>
    </row>
    <row r="226" spans="1:8" x14ac:dyDescent="0.25">
      <c r="A226">
        <v>17279474</v>
      </c>
      <c r="B226" t="s">
        <v>14</v>
      </c>
      <c r="C226" t="s">
        <v>14</v>
      </c>
      <c r="D226" t="s">
        <v>14</v>
      </c>
      <c r="E226" t="s">
        <v>14</v>
      </c>
      <c r="F226" t="s">
        <v>14</v>
      </c>
      <c r="G226" t="s">
        <v>685</v>
      </c>
      <c r="H226" t="s">
        <v>1259</v>
      </c>
    </row>
    <row r="227" spans="1:8" x14ac:dyDescent="0.25">
      <c r="A227">
        <v>17279874</v>
      </c>
      <c r="B227" t="s">
        <v>14</v>
      </c>
      <c r="C227" t="s">
        <v>14</v>
      </c>
      <c r="D227" t="s">
        <v>14</v>
      </c>
      <c r="E227" t="s">
        <v>1799</v>
      </c>
      <c r="F227" t="s">
        <v>14</v>
      </c>
      <c r="G227" t="s">
        <v>14</v>
      </c>
      <c r="H227" t="s">
        <v>1909</v>
      </c>
    </row>
    <row r="228" spans="1:8" x14ac:dyDescent="0.25">
      <c r="A228">
        <v>17282179</v>
      </c>
      <c r="B228" t="s">
        <v>14</v>
      </c>
      <c r="C228" t="s">
        <v>14</v>
      </c>
      <c r="D228" t="s">
        <v>14</v>
      </c>
      <c r="E228" t="s">
        <v>1647</v>
      </c>
      <c r="F228" t="s">
        <v>14</v>
      </c>
      <c r="G228" t="s">
        <v>1648</v>
      </c>
      <c r="H228" t="s">
        <v>1910</v>
      </c>
    </row>
    <row r="229" spans="1:8" x14ac:dyDescent="0.25">
      <c r="A229">
        <v>17282576</v>
      </c>
      <c r="B229" t="s">
        <v>14</v>
      </c>
      <c r="C229" t="s">
        <v>14</v>
      </c>
      <c r="D229" t="s">
        <v>14</v>
      </c>
      <c r="E229" t="s">
        <v>2445</v>
      </c>
      <c r="F229" t="s">
        <v>14</v>
      </c>
      <c r="G229" t="s">
        <v>2446</v>
      </c>
      <c r="H229" t="s">
        <v>2713</v>
      </c>
    </row>
    <row r="230" spans="1:8" x14ac:dyDescent="0.25">
      <c r="A230">
        <v>17282597</v>
      </c>
      <c r="B230" t="s">
        <v>14</v>
      </c>
      <c r="C230" t="s">
        <v>14</v>
      </c>
      <c r="D230" t="s">
        <v>14</v>
      </c>
      <c r="E230" t="s">
        <v>2447</v>
      </c>
      <c r="F230" t="s">
        <v>14</v>
      </c>
      <c r="G230" t="s">
        <v>14</v>
      </c>
      <c r="H230" t="s">
        <v>2714</v>
      </c>
    </row>
    <row r="231" spans="1:8" x14ac:dyDescent="0.25">
      <c r="A231">
        <v>17283142</v>
      </c>
      <c r="B231" t="s">
        <v>14</v>
      </c>
      <c r="C231" t="s">
        <v>14</v>
      </c>
      <c r="D231" t="s">
        <v>14</v>
      </c>
      <c r="E231" t="s">
        <v>1800</v>
      </c>
      <c r="F231" t="s">
        <v>14</v>
      </c>
      <c r="G231" t="s">
        <v>1801</v>
      </c>
      <c r="H231" t="s">
        <v>1911</v>
      </c>
    </row>
    <row r="232" spans="1:8" x14ac:dyDescent="0.25">
      <c r="A232">
        <v>17284715</v>
      </c>
      <c r="B232" t="s">
        <v>14</v>
      </c>
      <c r="C232" t="s">
        <v>14</v>
      </c>
      <c r="D232" t="s">
        <v>14</v>
      </c>
      <c r="E232" t="s">
        <v>1649</v>
      </c>
      <c r="F232" t="s">
        <v>14</v>
      </c>
      <c r="G232" t="s">
        <v>14</v>
      </c>
      <c r="H232" t="s">
        <v>1912</v>
      </c>
    </row>
    <row r="233" spans="1:8" x14ac:dyDescent="0.25">
      <c r="A233">
        <v>17291015</v>
      </c>
      <c r="B233" t="s">
        <v>14</v>
      </c>
      <c r="C233" t="s">
        <v>14</v>
      </c>
      <c r="D233" t="s">
        <v>14</v>
      </c>
      <c r="E233" t="s">
        <v>2448</v>
      </c>
      <c r="F233" t="s">
        <v>14</v>
      </c>
      <c r="G233" t="s">
        <v>14</v>
      </c>
      <c r="H233" t="s">
        <v>2715</v>
      </c>
    </row>
    <row r="234" spans="1:8" x14ac:dyDescent="0.25">
      <c r="A234">
        <v>17292293</v>
      </c>
      <c r="B234" t="s">
        <v>14</v>
      </c>
      <c r="C234" t="s">
        <v>14</v>
      </c>
      <c r="D234" t="s">
        <v>14</v>
      </c>
      <c r="E234" t="s">
        <v>1802</v>
      </c>
      <c r="F234" t="s">
        <v>14</v>
      </c>
      <c r="G234" t="s">
        <v>1803</v>
      </c>
      <c r="H234" t="s">
        <v>1913</v>
      </c>
    </row>
    <row r="235" spans="1:8" x14ac:dyDescent="0.25">
      <c r="A235">
        <v>17292640</v>
      </c>
      <c r="B235" t="s">
        <v>2449</v>
      </c>
      <c r="C235" t="s">
        <v>14</v>
      </c>
      <c r="D235" t="s">
        <v>14</v>
      </c>
      <c r="E235" t="s">
        <v>14</v>
      </c>
      <c r="F235" t="s">
        <v>14</v>
      </c>
      <c r="G235" t="s">
        <v>14</v>
      </c>
      <c r="H235" t="s">
        <v>2716</v>
      </c>
    </row>
    <row r="236" spans="1:8" x14ac:dyDescent="0.25">
      <c r="A236">
        <v>17296252</v>
      </c>
      <c r="B236" t="s">
        <v>14</v>
      </c>
      <c r="C236" t="s">
        <v>14</v>
      </c>
      <c r="D236" t="s">
        <v>14</v>
      </c>
      <c r="E236" t="s">
        <v>2450</v>
      </c>
      <c r="F236" t="s">
        <v>14</v>
      </c>
      <c r="G236" t="s">
        <v>2451</v>
      </c>
      <c r="H236" t="s">
        <v>2717</v>
      </c>
    </row>
    <row r="237" spans="1:8" x14ac:dyDescent="0.25">
      <c r="A237">
        <v>17296672</v>
      </c>
      <c r="B237" t="s">
        <v>14</v>
      </c>
      <c r="C237" t="s">
        <v>14</v>
      </c>
      <c r="D237" t="s">
        <v>14</v>
      </c>
      <c r="E237" t="s">
        <v>2452</v>
      </c>
      <c r="F237" t="s">
        <v>14</v>
      </c>
      <c r="G237" t="s">
        <v>2453</v>
      </c>
      <c r="H237" t="s">
        <v>2718</v>
      </c>
    </row>
    <row r="238" spans="1:8" x14ac:dyDescent="0.25">
      <c r="A238">
        <v>17296980</v>
      </c>
      <c r="B238" t="s">
        <v>2454</v>
      </c>
      <c r="C238" t="s">
        <v>14</v>
      </c>
      <c r="D238" t="s">
        <v>14</v>
      </c>
      <c r="E238" t="s">
        <v>2455</v>
      </c>
      <c r="F238" t="s">
        <v>14</v>
      </c>
      <c r="G238" t="s">
        <v>14</v>
      </c>
      <c r="H238" t="s">
        <v>2719</v>
      </c>
    </row>
    <row r="239" spans="1:8" x14ac:dyDescent="0.25">
      <c r="A239">
        <v>17297433</v>
      </c>
      <c r="B239" t="s">
        <v>14</v>
      </c>
      <c r="C239" t="s">
        <v>14</v>
      </c>
      <c r="D239" t="s">
        <v>14</v>
      </c>
      <c r="E239" t="s">
        <v>2456</v>
      </c>
      <c r="F239" t="s">
        <v>14</v>
      </c>
      <c r="G239" t="s">
        <v>14</v>
      </c>
      <c r="H239" t="s">
        <v>2720</v>
      </c>
    </row>
    <row r="240" spans="1:8" x14ac:dyDescent="0.25">
      <c r="A240">
        <v>17297606</v>
      </c>
      <c r="B240" t="s">
        <v>14</v>
      </c>
      <c r="C240" t="s">
        <v>14</v>
      </c>
      <c r="D240" t="s">
        <v>14</v>
      </c>
      <c r="E240" t="s">
        <v>2457</v>
      </c>
      <c r="F240" t="s">
        <v>14</v>
      </c>
      <c r="G240" t="s">
        <v>2458</v>
      </c>
      <c r="H240" t="s">
        <v>2721</v>
      </c>
    </row>
    <row r="241" spans="1:8" x14ac:dyDescent="0.25">
      <c r="A241">
        <v>17298958</v>
      </c>
      <c r="B241" t="s">
        <v>14</v>
      </c>
      <c r="C241" t="s">
        <v>14</v>
      </c>
      <c r="D241" t="s">
        <v>14</v>
      </c>
      <c r="E241" t="s">
        <v>1804</v>
      </c>
      <c r="F241" t="s">
        <v>14</v>
      </c>
      <c r="G241" t="s">
        <v>14</v>
      </c>
      <c r="H241" t="s">
        <v>1914</v>
      </c>
    </row>
    <row r="242" spans="1:8" x14ac:dyDescent="0.25">
      <c r="A242">
        <v>17299934</v>
      </c>
      <c r="B242" t="s">
        <v>14</v>
      </c>
      <c r="C242" t="s">
        <v>14</v>
      </c>
      <c r="D242" t="s">
        <v>14</v>
      </c>
      <c r="E242" t="s">
        <v>2459</v>
      </c>
      <c r="F242" t="s">
        <v>14</v>
      </c>
      <c r="G242" t="s">
        <v>2460</v>
      </c>
      <c r="H242" t="s">
        <v>2722</v>
      </c>
    </row>
    <row r="243" spans="1:8" x14ac:dyDescent="0.25">
      <c r="A243">
        <v>17301407</v>
      </c>
      <c r="B243" t="s">
        <v>14</v>
      </c>
      <c r="C243" t="s">
        <v>14</v>
      </c>
      <c r="D243" t="s">
        <v>14</v>
      </c>
      <c r="E243" t="s">
        <v>2461</v>
      </c>
      <c r="F243" t="s">
        <v>14</v>
      </c>
      <c r="G243" t="s">
        <v>14</v>
      </c>
      <c r="H243" t="s">
        <v>2723</v>
      </c>
    </row>
    <row r="244" spans="1:8" x14ac:dyDescent="0.25">
      <c r="A244">
        <v>17309415</v>
      </c>
      <c r="B244" t="s">
        <v>14</v>
      </c>
      <c r="C244" t="s">
        <v>14</v>
      </c>
      <c r="D244" t="s">
        <v>14</v>
      </c>
      <c r="E244" t="s">
        <v>2462</v>
      </c>
      <c r="F244" t="s">
        <v>14</v>
      </c>
      <c r="G244" t="s">
        <v>2463</v>
      </c>
      <c r="H244" t="s">
        <v>2724</v>
      </c>
    </row>
    <row r="245" spans="1:8" x14ac:dyDescent="0.25">
      <c r="A245">
        <v>17311179</v>
      </c>
      <c r="B245" t="s">
        <v>14</v>
      </c>
      <c r="C245" t="s">
        <v>14</v>
      </c>
      <c r="D245" t="s">
        <v>14</v>
      </c>
      <c r="E245" t="s">
        <v>2464</v>
      </c>
      <c r="F245" t="s">
        <v>14</v>
      </c>
      <c r="G245" t="s">
        <v>14</v>
      </c>
      <c r="H245" t="s">
        <v>2725</v>
      </c>
    </row>
    <row r="246" spans="1:8" x14ac:dyDescent="0.25">
      <c r="A246">
        <v>17312898</v>
      </c>
      <c r="B246" t="s">
        <v>14</v>
      </c>
      <c r="C246" t="s">
        <v>14</v>
      </c>
      <c r="D246" t="s">
        <v>14</v>
      </c>
      <c r="E246" t="s">
        <v>1805</v>
      </c>
      <c r="F246" t="s">
        <v>14</v>
      </c>
      <c r="G246" t="s">
        <v>1806</v>
      </c>
      <c r="H246" t="s">
        <v>1915</v>
      </c>
    </row>
    <row r="247" spans="1:8" x14ac:dyDescent="0.25">
      <c r="A247">
        <v>17315539</v>
      </c>
      <c r="B247" t="s">
        <v>14</v>
      </c>
      <c r="C247" t="s">
        <v>14</v>
      </c>
      <c r="D247" t="s">
        <v>14</v>
      </c>
      <c r="E247" t="s">
        <v>1650</v>
      </c>
      <c r="F247" t="s">
        <v>14</v>
      </c>
      <c r="G247" t="s">
        <v>1651</v>
      </c>
      <c r="H247" t="s">
        <v>1916</v>
      </c>
    </row>
    <row r="248" spans="1:8" x14ac:dyDescent="0.25">
      <c r="A248">
        <v>17316621</v>
      </c>
      <c r="B248" t="s">
        <v>14</v>
      </c>
      <c r="C248" t="s">
        <v>14</v>
      </c>
      <c r="D248" t="s">
        <v>14</v>
      </c>
      <c r="E248" t="s">
        <v>1652</v>
      </c>
      <c r="F248" t="s">
        <v>14</v>
      </c>
      <c r="G248" t="s">
        <v>1653</v>
      </c>
      <c r="H248" t="s">
        <v>1917</v>
      </c>
    </row>
    <row r="249" spans="1:8" x14ac:dyDescent="0.25">
      <c r="A249">
        <v>17317001</v>
      </c>
      <c r="B249" t="s">
        <v>14</v>
      </c>
      <c r="C249" t="s">
        <v>14</v>
      </c>
      <c r="D249" t="s">
        <v>14</v>
      </c>
      <c r="E249" t="s">
        <v>14</v>
      </c>
      <c r="F249" t="s">
        <v>14</v>
      </c>
      <c r="G249" t="s">
        <v>958</v>
      </c>
      <c r="H249" t="s">
        <v>1276</v>
      </c>
    </row>
    <row r="250" spans="1:8" x14ac:dyDescent="0.25">
      <c r="A250">
        <v>17317069</v>
      </c>
      <c r="B250" t="s">
        <v>14</v>
      </c>
      <c r="C250" t="s">
        <v>14</v>
      </c>
      <c r="D250" t="s">
        <v>14</v>
      </c>
      <c r="E250" t="s">
        <v>2465</v>
      </c>
      <c r="F250" t="s">
        <v>14</v>
      </c>
      <c r="G250" t="s">
        <v>14</v>
      </c>
      <c r="H250" t="s">
        <v>2726</v>
      </c>
    </row>
    <row r="251" spans="1:8" x14ac:dyDescent="0.25">
      <c r="A251">
        <v>17318438</v>
      </c>
      <c r="B251" t="s">
        <v>14</v>
      </c>
      <c r="C251" t="s">
        <v>959</v>
      </c>
      <c r="D251" t="s">
        <v>959</v>
      </c>
      <c r="E251" t="s">
        <v>960</v>
      </c>
      <c r="F251" t="s">
        <v>961</v>
      </c>
      <c r="G251" t="s">
        <v>14</v>
      </c>
      <c r="H251" t="s">
        <v>1277</v>
      </c>
    </row>
    <row r="252" spans="1:8" x14ac:dyDescent="0.25">
      <c r="A252">
        <v>17320973</v>
      </c>
      <c r="B252" t="s">
        <v>14</v>
      </c>
      <c r="C252" t="s">
        <v>14</v>
      </c>
      <c r="D252" t="s">
        <v>14</v>
      </c>
      <c r="E252" t="s">
        <v>2466</v>
      </c>
      <c r="F252" t="s">
        <v>14</v>
      </c>
      <c r="G252" t="s">
        <v>2467</v>
      </c>
      <c r="H252" t="s">
        <v>2727</v>
      </c>
    </row>
    <row r="253" spans="1:8" x14ac:dyDescent="0.25">
      <c r="A253">
        <v>17325588</v>
      </c>
      <c r="B253" t="s">
        <v>14</v>
      </c>
      <c r="C253" t="s">
        <v>14</v>
      </c>
      <c r="D253" t="s">
        <v>14</v>
      </c>
      <c r="E253" t="s">
        <v>2468</v>
      </c>
      <c r="F253" t="s">
        <v>14</v>
      </c>
      <c r="G253" t="s">
        <v>14</v>
      </c>
      <c r="H253" t="s">
        <v>2728</v>
      </c>
    </row>
    <row r="254" spans="1:8" x14ac:dyDescent="0.25">
      <c r="A254">
        <v>17326868</v>
      </c>
      <c r="B254" t="s">
        <v>14</v>
      </c>
      <c r="C254" t="s">
        <v>14</v>
      </c>
      <c r="D254" t="s">
        <v>14</v>
      </c>
      <c r="E254" t="s">
        <v>2469</v>
      </c>
      <c r="F254" t="s">
        <v>14</v>
      </c>
      <c r="G254" t="s">
        <v>2470</v>
      </c>
      <c r="H254" t="s">
        <v>2729</v>
      </c>
    </row>
    <row r="255" spans="1:8" x14ac:dyDescent="0.25">
      <c r="A255">
        <v>17328394</v>
      </c>
      <c r="B255" t="s">
        <v>14</v>
      </c>
      <c r="C255" t="s">
        <v>14</v>
      </c>
      <c r="D255" t="s">
        <v>14</v>
      </c>
      <c r="E255" t="s">
        <v>2471</v>
      </c>
      <c r="F255" t="s">
        <v>14</v>
      </c>
      <c r="G255" t="s">
        <v>2472</v>
      </c>
      <c r="H255" t="s">
        <v>2730</v>
      </c>
    </row>
    <row r="256" spans="1:8" x14ac:dyDescent="0.25">
      <c r="A256">
        <v>17328450</v>
      </c>
      <c r="B256" t="s">
        <v>14</v>
      </c>
      <c r="C256" t="s">
        <v>14</v>
      </c>
      <c r="D256" t="s">
        <v>14</v>
      </c>
      <c r="E256" t="s">
        <v>14</v>
      </c>
      <c r="F256" t="s">
        <v>14</v>
      </c>
      <c r="G256" t="s">
        <v>14</v>
      </c>
      <c r="H256" t="s">
        <v>1918</v>
      </c>
    </row>
    <row r="257" spans="1:8" x14ac:dyDescent="0.25">
      <c r="A257">
        <v>17328527</v>
      </c>
      <c r="B257" t="s">
        <v>14</v>
      </c>
      <c r="C257" t="s">
        <v>14</v>
      </c>
      <c r="D257" t="s">
        <v>14</v>
      </c>
      <c r="E257" t="s">
        <v>2473</v>
      </c>
      <c r="F257" t="s">
        <v>14</v>
      </c>
      <c r="G257" t="s">
        <v>14</v>
      </c>
      <c r="H257" t="s">
        <v>2731</v>
      </c>
    </row>
    <row r="258" spans="1:8" x14ac:dyDescent="0.25">
      <c r="A258">
        <v>17329868</v>
      </c>
      <c r="B258" t="s">
        <v>14</v>
      </c>
      <c r="C258" t="s">
        <v>14</v>
      </c>
      <c r="D258" t="s">
        <v>14</v>
      </c>
      <c r="E258" t="s">
        <v>2474</v>
      </c>
      <c r="F258" t="s">
        <v>14</v>
      </c>
      <c r="G258" t="s">
        <v>2475</v>
      </c>
      <c r="H258" t="s">
        <v>2732</v>
      </c>
    </row>
    <row r="259" spans="1:8" x14ac:dyDescent="0.25">
      <c r="A259">
        <v>17334306</v>
      </c>
      <c r="B259" t="s">
        <v>14</v>
      </c>
      <c r="C259" t="s">
        <v>14</v>
      </c>
      <c r="D259" t="s">
        <v>14</v>
      </c>
      <c r="E259" t="s">
        <v>14</v>
      </c>
      <c r="F259" t="s">
        <v>14</v>
      </c>
      <c r="G259" t="s">
        <v>973</v>
      </c>
      <c r="H259" t="s">
        <v>1286</v>
      </c>
    </row>
    <row r="260" spans="1:8" x14ac:dyDescent="0.25">
      <c r="A260">
        <v>17334983</v>
      </c>
      <c r="B260" t="s">
        <v>14</v>
      </c>
      <c r="C260" t="s">
        <v>14</v>
      </c>
      <c r="D260" t="s">
        <v>14</v>
      </c>
      <c r="E260" t="s">
        <v>14</v>
      </c>
      <c r="F260" t="s">
        <v>14</v>
      </c>
      <c r="G260" t="s">
        <v>974</v>
      </c>
      <c r="H260" t="s">
        <v>1287</v>
      </c>
    </row>
    <row r="261" spans="1:8" x14ac:dyDescent="0.25">
      <c r="A261">
        <v>17335945</v>
      </c>
      <c r="B261" t="s">
        <v>14</v>
      </c>
      <c r="C261" t="s">
        <v>14</v>
      </c>
      <c r="D261" t="s">
        <v>14</v>
      </c>
      <c r="E261" t="s">
        <v>975</v>
      </c>
      <c r="F261" t="s">
        <v>14</v>
      </c>
      <c r="G261" t="s">
        <v>976</v>
      </c>
      <c r="H261" t="s">
        <v>1288</v>
      </c>
    </row>
    <row r="262" spans="1:8" x14ac:dyDescent="0.25">
      <c r="A262">
        <v>17338475</v>
      </c>
      <c r="B262" t="s">
        <v>14</v>
      </c>
      <c r="C262" t="s">
        <v>14</v>
      </c>
      <c r="D262" t="s">
        <v>14</v>
      </c>
      <c r="E262" t="s">
        <v>14</v>
      </c>
      <c r="F262" t="s">
        <v>14</v>
      </c>
      <c r="G262" t="s">
        <v>977</v>
      </c>
      <c r="H262" t="s">
        <v>1290</v>
      </c>
    </row>
    <row r="263" spans="1:8" x14ac:dyDescent="0.25">
      <c r="A263">
        <v>17338478</v>
      </c>
      <c r="B263" t="s">
        <v>14</v>
      </c>
      <c r="C263" t="s">
        <v>14</v>
      </c>
      <c r="D263" t="s">
        <v>14</v>
      </c>
      <c r="E263" t="s">
        <v>2476</v>
      </c>
      <c r="F263" t="s">
        <v>14</v>
      </c>
      <c r="G263" t="s">
        <v>14</v>
      </c>
      <c r="H263" t="s">
        <v>2733</v>
      </c>
    </row>
    <row r="264" spans="1:8" x14ac:dyDescent="0.25">
      <c r="A264">
        <v>17340149</v>
      </c>
      <c r="B264" t="s">
        <v>14</v>
      </c>
      <c r="C264" t="s">
        <v>14</v>
      </c>
      <c r="D264" t="s">
        <v>14</v>
      </c>
      <c r="E264" t="s">
        <v>1807</v>
      </c>
      <c r="F264" t="s">
        <v>14</v>
      </c>
      <c r="G264" t="s">
        <v>1808</v>
      </c>
      <c r="H264" t="s">
        <v>1919</v>
      </c>
    </row>
    <row r="265" spans="1:8" x14ac:dyDescent="0.25">
      <c r="A265">
        <v>17342438</v>
      </c>
      <c r="B265" t="s">
        <v>14</v>
      </c>
      <c r="C265" t="s">
        <v>14</v>
      </c>
      <c r="D265" t="s">
        <v>14</v>
      </c>
      <c r="E265" t="s">
        <v>2477</v>
      </c>
      <c r="F265" t="s">
        <v>14</v>
      </c>
      <c r="G265" t="s">
        <v>14</v>
      </c>
      <c r="H265" t="s">
        <v>2734</v>
      </c>
    </row>
    <row r="266" spans="1:8" x14ac:dyDescent="0.25">
      <c r="A266">
        <v>17344297</v>
      </c>
      <c r="B266" t="s">
        <v>14</v>
      </c>
      <c r="C266" t="s">
        <v>14</v>
      </c>
      <c r="D266" t="s">
        <v>14</v>
      </c>
      <c r="E266" t="s">
        <v>1654</v>
      </c>
      <c r="F266" t="s">
        <v>14</v>
      </c>
      <c r="G266" t="s">
        <v>1655</v>
      </c>
      <c r="H266" t="s">
        <v>1920</v>
      </c>
    </row>
    <row r="267" spans="1:8" x14ac:dyDescent="0.25">
      <c r="A267">
        <v>17345330</v>
      </c>
      <c r="B267" t="s">
        <v>14</v>
      </c>
      <c r="C267" t="s">
        <v>14</v>
      </c>
      <c r="D267" t="s">
        <v>14</v>
      </c>
      <c r="E267" t="s">
        <v>2478</v>
      </c>
      <c r="F267" t="s">
        <v>14</v>
      </c>
      <c r="G267" t="s">
        <v>2479</v>
      </c>
      <c r="H267" t="s">
        <v>2735</v>
      </c>
    </row>
    <row r="268" spans="1:8" x14ac:dyDescent="0.25">
      <c r="A268">
        <v>17346768</v>
      </c>
      <c r="B268" t="s">
        <v>14</v>
      </c>
      <c r="C268" t="s">
        <v>14</v>
      </c>
      <c r="D268" t="s">
        <v>14</v>
      </c>
      <c r="E268" t="s">
        <v>14</v>
      </c>
      <c r="F268" t="s">
        <v>14</v>
      </c>
      <c r="G268" t="s">
        <v>981</v>
      </c>
      <c r="H268" t="s">
        <v>1293</v>
      </c>
    </row>
    <row r="269" spans="1:8" x14ac:dyDescent="0.25">
      <c r="A269">
        <v>17347694</v>
      </c>
      <c r="B269" t="s">
        <v>14</v>
      </c>
      <c r="C269" t="s">
        <v>14</v>
      </c>
      <c r="D269" t="s">
        <v>14</v>
      </c>
      <c r="E269" t="s">
        <v>14</v>
      </c>
      <c r="F269" t="s">
        <v>14</v>
      </c>
      <c r="G269" t="s">
        <v>982</v>
      </c>
      <c r="H269" t="s">
        <v>1294</v>
      </c>
    </row>
    <row r="270" spans="1:8" x14ac:dyDescent="0.25">
      <c r="A270">
        <v>17349238</v>
      </c>
      <c r="B270" t="s">
        <v>14</v>
      </c>
      <c r="C270" t="s">
        <v>14</v>
      </c>
      <c r="D270" t="s">
        <v>14</v>
      </c>
      <c r="E270" t="s">
        <v>1656</v>
      </c>
      <c r="F270" t="s">
        <v>14</v>
      </c>
      <c r="G270" t="s">
        <v>1657</v>
      </c>
      <c r="H270" t="s">
        <v>1921</v>
      </c>
    </row>
    <row r="271" spans="1:8" x14ac:dyDescent="0.25">
      <c r="A271">
        <v>17349604</v>
      </c>
      <c r="B271" t="s">
        <v>14</v>
      </c>
      <c r="C271" t="s">
        <v>14</v>
      </c>
      <c r="D271" t="s">
        <v>14</v>
      </c>
      <c r="E271" t="s">
        <v>14</v>
      </c>
      <c r="F271" t="s">
        <v>14</v>
      </c>
      <c r="G271" t="s">
        <v>1809</v>
      </c>
      <c r="H271" t="s">
        <v>1922</v>
      </c>
    </row>
    <row r="272" spans="1:8" x14ac:dyDescent="0.25">
      <c r="A272">
        <v>17350803</v>
      </c>
      <c r="B272" t="s">
        <v>14</v>
      </c>
      <c r="C272" t="s">
        <v>14</v>
      </c>
      <c r="D272" t="s">
        <v>14</v>
      </c>
      <c r="E272" t="s">
        <v>1810</v>
      </c>
      <c r="F272" t="s">
        <v>14</v>
      </c>
      <c r="G272" t="s">
        <v>1811</v>
      </c>
      <c r="H272" t="s">
        <v>1923</v>
      </c>
    </row>
    <row r="273" spans="1:8" x14ac:dyDescent="0.25">
      <c r="A273">
        <v>17354077</v>
      </c>
      <c r="B273" t="s">
        <v>14</v>
      </c>
      <c r="C273" t="s">
        <v>14</v>
      </c>
      <c r="D273" t="s">
        <v>14</v>
      </c>
      <c r="E273" t="s">
        <v>988</v>
      </c>
      <c r="F273" t="s">
        <v>14</v>
      </c>
      <c r="G273" t="s">
        <v>14</v>
      </c>
      <c r="H273" t="s">
        <v>1299</v>
      </c>
    </row>
    <row r="274" spans="1:8" x14ac:dyDescent="0.25">
      <c r="A274">
        <v>17355208</v>
      </c>
      <c r="B274" t="s">
        <v>14</v>
      </c>
      <c r="C274" t="s">
        <v>14</v>
      </c>
      <c r="D274" t="s">
        <v>14</v>
      </c>
      <c r="E274" t="s">
        <v>1812</v>
      </c>
      <c r="F274" t="s">
        <v>14</v>
      </c>
      <c r="G274" t="s">
        <v>1813</v>
      </c>
      <c r="H274" t="s">
        <v>1924</v>
      </c>
    </row>
    <row r="275" spans="1:8" x14ac:dyDescent="0.25">
      <c r="A275">
        <v>17355213</v>
      </c>
      <c r="B275" t="s">
        <v>14</v>
      </c>
      <c r="C275" t="s">
        <v>14</v>
      </c>
      <c r="D275" t="s">
        <v>989</v>
      </c>
      <c r="E275" t="s">
        <v>14</v>
      </c>
      <c r="F275" t="s">
        <v>989</v>
      </c>
      <c r="G275" t="s">
        <v>990</v>
      </c>
      <c r="H275" t="s">
        <v>1300</v>
      </c>
    </row>
    <row r="276" spans="1:8" x14ac:dyDescent="0.25">
      <c r="A276">
        <v>17358593</v>
      </c>
      <c r="B276" t="s">
        <v>993</v>
      </c>
      <c r="C276" t="s">
        <v>14</v>
      </c>
      <c r="D276" t="s">
        <v>14</v>
      </c>
      <c r="E276" t="s">
        <v>994</v>
      </c>
      <c r="F276" t="s">
        <v>14</v>
      </c>
      <c r="G276" t="s">
        <v>995</v>
      </c>
      <c r="H276" t="s">
        <v>1302</v>
      </c>
    </row>
    <row r="277" spans="1:8" x14ac:dyDescent="0.25">
      <c r="A277">
        <v>17360515</v>
      </c>
      <c r="B277" t="s">
        <v>14</v>
      </c>
      <c r="C277" t="s">
        <v>14</v>
      </c>
      <c r="D277" t="s">
        <v>14</v>
      </c>
      <c r="E277" t="s">
        <v>14</v>
      </c>
      <c r="F277" t="s">
        <v>14</v>
      </c>
      <c r="G277" t="s">
        <v>1658</v>
      </c>
      <c r="H277" t="s">
        <v>1925</v>
      </c>
    </row>
    <row r="278" spans="1:8" x14ac:dyDescent="0.25">
      <c r="A278">
        <v>17360958</v>
      </c>
      <c r="B278" t="s">
        <v>14</v>
      </c>
      <c r="C278" t="s">
        <v>14</v>
      </c>
      <c r="D278" t="s">
        <v>14</v>
      </c>
      <c r="E278" t="s">
        <v>2480</v>
      </c>
      <c r="F278" t="s">
        <v>14</v>
      </c>
      <c r="G278" t="s">
        <v>14</v>
      </c>
      <c r="H278" t="s">
        <v>2736</v>
      </c>
    </row>
    <row r="279" spans="1:8" x14ac:dyDescent="0.25">
      <c r="A279">
        <v>17362531</v>
      </c>
      <c r="B279" t="s">
        <v>14</v>
      </c>
      <c r="C279" t="s">
        <v>14</v>
      </c>
      <c r="D279" t="s">
        <v>14</v>
      </c>
      <c r="E279" t="s">
        <v>2481</v>
      </c>
      <c r="F279" t="s">
        <v>14</v>
      </c>
      <c r="G279" t="s">
        <v>14</v>
      </c>
      <c r="H279" t="s">
        <v>2737</v>
      </c>
    </row>
    <row r="280" spans="1:8" x14ac:dyDescent="0.25">
      <c r="A280">
        <v>17362701</v>
      </c>
      <c r="B280" t="s">
        <v>14</v>
      </c>
      <c r="C280" t="s">
        <v>14</v>
      </c>
      <c r="D280" t="s">
        <v>14</v>
      </c>
      <c r="E280" t="s">
        <v>1814</v>
      </c>
      <c r="F280" t="s">
        <v>14</v>
      </c>
      <c r="G280" t="s">
        <v>14</v>
      </c>
      <c r="H280" t="s">
        <v>1926</v>
      </c>
    </row>
    <row r="281" spans="1:8" x14ac:dyDescent="0.25">
      <c r="A281">
        <v>17365326</v>
      </c>
      <c r="B281" t="s">
        <v>14</v>
      </c>
      <c r="C281" t="s">
        <v>14</v>
      </c>
      <c r="D281" t="s">
        <v>14</v>
      </c>
      <c r="E281" t="s">
        <v>2482</v>
      </c>
      <c r="F281" t="s">
        <v>14</v>
      </c>
      <c r="G281" t="s">
        <v>14</v>
      </c>
      <c r="H281" t="s">
        <v>2738</v>
      </c>
    </row>
    <row r="282" spans="1:8" x14ac:dyDescent="0.25">
      <c r="A282">
        <v>17365871</v>
      </c>
      <c r="B282" t="s">
        <v>14</v>
      </c>
      <c r="C282" t="s">
        <v>14</v>
      </c>
      <c r="D282" t="s">
        <v>14</v>
      </c>
      <c r="E282" t="s">
        <v>1659</v>
      </c>
      <c r="F282" t="s">
        <v>14</v>
      </c>
      <c r="G282" t="s">
        <v>14</v>
      </c>
      <c r="H282" t="s">
        <v>1927</v>
      </c>
    </row>
    <row r="283" spans="1:8" x14ac:dyDescent="0.25">
      <c r="A283">
        <v>17367711</v>
      </c>
      <c r="B283" t="s">
        <v>2483</v>
      </c>
      <c r="C283" t="s">
        <v>14</v>
      </c>
      <c r="D283" t="s">
        <v>14</v>
      </c>
      <c r="E283" t="s">
        <v>2483</v>
      </c>
      <c r="F283" t="s">
        <v>14</v>
      </c>
      <c r="G283" t="s">
        <v>14</v>
      </c>
      <c r="H283" t="s">
        <v>2739</v>
      </c>
    </row>
    <row r="284" spans="1:8" x14ac:dyDescent="0.25">
      <c r="A284">
        <v>17368816</v>
      </c>
      <c r="B284" t="s">
        <v>14</v>
      </c>
      <c r="C284" t="s">
        <v>14</v>
      </c>
      <c r="D284" t="s">
        <v>14</v>
      </c>
      <c r="E284" t="s">
        <v>14</v>
      </c>
      <c r="F284" t="s">
        <v>14</v>
      </c>
      <c r="G284" t="s">
        <v>2484</v>
      </c>
      <c r="H284" t="s">
        <v>2740</v>
      </c>
    </row>
    <row r="285" spans="1:8" x14ac:dyDescent="0.25">
      <c r="A285">
        <v>17369184</v>
      </c>
      <c r="B285" t="s">
        <v>997</v>
      </c>
      <c r="C285" t="s">
        <v>14</v>
      </c>
      <c r="D285" t="s">
        <v>14</v>
      </c>
      <c r="E285" t="s">
        <v>14</v>
      </c>
      <c r="F285" t="s">
        <v>14</v>
      </c>
      <c r="G285" t="s">
        <v>998</v>
      </c>
      <c r="H285" t="s">
        <v>1304</v>
      </c>
    </row>
    <row r="286" spans="1:8" x14ac:dyDescent="0.25">
      <c r="A286">
        <v>17369299</v>
      </c>
      <c r="B286" t="s">
        <v>14</v>
      </c>
      <c r="C286" t="s">
        <v>14</v>
      </c>
      <c r="D286" t="s">
        <v>14</v>
      </c>
      <c r="E286" t="s">
        <v>2485</v>
      </c>
      <c r="F286" t="s">
        <v>14</v>
      </c>
      <c r="G286" t="s">
        <v>14</v>
      </c>
      <c r="H286" t="s">
        <v>2741</v>
      </c>
    </row>
    <row r="287" spans="1:8" x14ac:dyDescent="0.25">
      <c r="A287">
        <v>17369339</v>
      </c>
      <c r="B287" t="s">
        <v>1815</v>
      </c>
      <c r="C287" t="s">
        <v>14</v>
      </c>
      <c r="D287" t="s">
        <v>14</v>
      </c>
      <c r="E287" t="s">
        <v>1816</v>
      </c>
      <c r="F287" t="s">
        <v>14</v>
      </c>
      <c r="G287" t="s">
        <v>14</v>
      </c>
      <c r="H287" t="s">
        <v>1928</v>
      </c>
    </row>
    <row r="288" spans="1:8" x14ac:dyDescent="0.25">
      <c r="A288">
        <v>17370101</v>
      </c>
      <c r="B288" t="s">
        <v>14</v>
      </c>
      <c r="C288" t="s">
        <v>14</v>
      </c>
      <c r="D288" t="s">
        <v>14</v>
      </c>
      <c r="E288" t="s">
        <v>14</v>
      </c>
      <c r="F288" t="s">
        <v>14</v>
      </c>
      <c r="G288" t="s">
        <v>1660</v>
      </c>
      <c r="H288" t="s">
        <v>1929</v>
      </c>
    </row>
    <row r="289" spans="1:8" x14ac:dyDescent="0.25">
      <c r="A289">
        <v>17373182</v>
      </c>
      <c r="B289" t="s">
        <v>14</v>
      </c>
      <c r="C289" t="s">
        <v>14</v>
      </c>
      <c r="D289" t="s">
        <v>14</v>
      </c>
      <c r="E289" t="s">
        <v>14</v>
      </c>
      <c r="F289" t="s">
        <v>14</v>
      </c>
      <c r="G289" t="s">
        <v>1661</v>
      </c>
      <c r="H289" t="s">
        <v>1930</v>
      </c>
    </row>
    <row r="290" spans="1:8" x14ac:dyDescent="0.25">
      <c r="A290">
        <v>17374534</v>
      </c>
      <c r="B290" t="s">
        <v>14</v>
      </c>
      <c r="C290" t="s">
        <v>14</v>
      </c>
      <c r="D290" t="s">
        <v>14</v>
      </c>
      <c r="E290" t="s">
        <v>2486</v>
      </c>
      <c r="F290" t="s">
        <v>14</v>
      </c>
      <c r="G290" t="s">
        <v>2487</v>
      </c>
      <c r="H290" t="s">
        <v>2742</v>
      </c>
    </row>
    <row r="291" spans="1:8" x14ac:dyDescent="0.25">
      <c r="A291">
        <v>17375786</v>
      </c>
      <c r="B291" t="s">
        <v>2488</v>
      </c>
      <c r="C291" t="s">
        <v>14</v>
      </c>
      <c r="D291" t="s">
        <v>14</v>
      </c>
      <c r="E291" t="s">
        <v>2488</v>
      </c>
      <c r="F291" t="s">
        <v>14</v>
      </c>
      <c r="G291" t="s">
        <v>2489</v>
      </c>
      <c r="H291" t="s">
        <v>2743</v>
      </c>
    </row>
    <row r="292" spans="1:8" x14ac:dyDescent="0.25">
      <c r="A292">
        <v>17377356</v>
      </c>
      <c r="B292" t="s">
        <v>1002</v>
      </c>
      <c r="C292" t="s">
        <v>14</v>
      </c>
      <c r="D292" t="s">
        <v>14</v>
      </c>
      <c r="E292" t="s">
        <v>14</v>
      </c>
      <c r="F292" t="s">
        <v>14</v>
      </c>
      <c r="G292" t="s">
        <v>1003</v>
      </c>
      <c r="H292" t="s">
        <v>1307</v>
      </c>
    </row>
    <row r="293" spans="1:8" x14ac:dyDescent="0.25">
      <c r="A293">
        <v>17380701</v>
      </c>
      <c r="B293" t="s">
        <v>1817</v>
      </c>
      <c r="C293" t="s">
        <v>14</v>
      </c>
      <c r="D293" t="s">
        <v>14</v>
      </c>
      <c r="E293" t="s">
        <v>1818</v>
      </c>
      <c r="F293" t="s">
        <v>14</v>
      </c>
      <c r="G293" t="s">
        <v>14</v>
      </c>
      <c r="H293" t="s">
        <v>1931</v>
      </c>
    </row>
    <row r="294" spans="1:8" x14ac:dyDescent="0.25">
      <c r="A294">
        <v>17381267</v>
      </c>
      <c r="B294" t="s">
        <v>14</v>
      </c>
      <c r="C294" t="s">
        <v>14</v>
      </c>
      <c r="D294" t="s">
        <v>14</v>
      </c>
      <c r="E294" t="s">
        <v>14</v>
      </c>
      <c r="F294" t="s">
        <v>14</v>
      </c>
      <c r="G294" t="s">
        <v>1662</v>
      </c>
      <c r="H294" t="s">
        <v>1932</v>
      </c>
    </row>
    <row r="295" spans="1:8" x14ac:dyDescent="0.25">
      <c r="A295">
        <v>17381401</v>
      </c>
      <c r="B295" t="s">
        <v>14</v>
      </c>
      <c r="C295" t="s">
        <v>14</v>
      </c>
      <c r="D295" t="s">
        <v>14</v>
      </c>
      <c r="E295" t="s">
        <v>2490</v>
      </c>
      <c r="F295" t="s">
        <v>14</v>
      </c>
      <c r="G295" t="s">
        <v>2491</v>
      </c>
      <c r="H295" t="s">
        <v>2744</v>
      </c>
    </row>
    <row r="296" spans="1:8" x14ac:dyDescent="0.25">
      <c r="A296">
        <v>17384222</v>
      </c>
      <c r="B296" t="s">
        <v>1004</v>
      </c>
      <c r="C296" t="s">
        <v>14</v>
      </c>
      <c r="D296" t="s">
        <v>14</v>
      </c>
      <c r="E296" t="s">
        <v>1005</v>
      </c>
      <c r="F296" t="s">
        <v>14</v>
      </c>
      <c r="G296" t="s">
        <v>14</v>
      </c>
      <c r="H296" t="s">
        <v>1308</v>
      </c>
    </row>
    <row r="297" spans="1:8" x14ac:dyDescent="0.25">
      <c r="A297">
        <v>17385433</v>
      </c>
      <c r="B297" t="s">
        <v>14</v>
      </c>
      <c r="C297" t="s">
        <v>14</v>
      </c>
      <c r="D297" t="s">
        <v>14</v>
      </c>
      <c r="E297" t="s">
        <v>14</v>
      </c>
      <c r="F297" t="s">
        <v>14</v>
      </c>
      <c r="G297" t="s">
        <v>1663</v>
      </c>
      <c r="H297" t="s">
        <v>1933</v>
      </c>
    </row>
    <row r="298" spans="1:8" x14ac:dyDescent="0.25">
      <c r="A298">
        <v>17385436</v>
      </c>
      <c r="B298" t="s">
        <v>14</v>
      </c>
      <c r="C298" t="s">
        <v>14</v>
      </c>
      <c r="D298" t="s">
        <v>14</v>
      </c>
      <c r="E298" t="s">
        <v>14</v>
      </c>
      <c r="F298" t="s">
        <v>14</v>
      </c>
      <c r="G298" t="s">
        <v>2492</v>
      </c>
      <c r="H298" t="s">
        <v>2745</v>
      </c>
    </row>
    <row r="299" spans="1:8" x14ac:dyDescent="0.25">
      <c r="A299">
        <v>17386176</v>
      </c>
      <c r="B299" t="s">
        <v>2493</v>
      </c>
      <c r="C299" t="s">
        <v>14</v>
      </c>
      <c r="D299" t="s">
        <v>14</v>
      </c>
      <c r="E299" t="s">
        <v>2494</v>
      </c>
      <c r="F299" t="s">
        <v>14</v>
      </c>
      <c r="G299" t="s">
        <v>14</v>
      </c>
      <c r="H299" t="s">
        <v>2746</v>
      </c>
    </row>
    <row r="300" spans="1:8" x14ac:dyDescent="0.25">
      <c r="A300">
        <v>17387164</v>
      </c>
      <c r="B300" t="s">
        <v>14</v>
      </c>
      <c r="C300" t="s">
        <v>14</v>
      </c>
      <c r="D300" t="s">
        <v>14</v>
      </c>
      <c r="E300" t="s">
        <v>2495</v>
      </c>
      <c r="F300" t="s">
        <v>14</v>
      </c>
      <c r="G300" t="s">
        <v>2496</v>
      </c>
      <c r="H300" t="s">
        <v>2747</v>
      </c>
    </row>
    <row r="301" spans="1:8" x14ac:dyDescent="0.25">
      <c r="A301">
        <v>17387310</v>
      </c>
      <c r="B301" t="s">
        <v>14</v>
      </c>
      <c r="C301" t="s">
        <v>14</v>
      </c>
      <c r="D301" t="s">
        <v>14</v>
      </c>
      <c r="E301" t="s">
        <v>1006</v>
      </c>
      <c r="F301" t="s">
        <v>14</v>
      </c>
      <c r="G301" t="s">
        <v>1007</v>
      </c>
      <c r="H301" t="s">
        <v>1309</v>
      </c>
    </row>
    <row r="302" spans="1:8" x14ac:dyDescent="0.25">
      <c r="A302">
        <v>17388325</v>
      </c>
      <c r="B302" t="s">
        <v>14</v>
      </c>
      <c r="C302" t="s">
        <v>14</v>
      </c>
      <c r="D302" t="s">
        <v>14</v>
      </c>
      <c r="E302" t="s">
        <v>2497</v>
      </c>
      <c r="F302" t="s">
        <v>14</v>
      </c>
      <c r="G302" t="s">
        <v>14</v>
      </c>
      <c r="H302" t="s">
        <v>2748</v>
      </c>
    </row>
    <row r="303" spans="1:8" x14ac:dyDescent="0.25">
      <c r="A303">
        <v>17389425</v>
      </c>
      <c r="B303" t="s">
        <v>14</v>
      </c>
      <c r="C303" t="s">
        <v>14</v>
      </c>
      <c r="D303" t="s">
        <v>14</v>
      </c>
      <c r="E303" t="s">
        <v>2498</v>
      </c>
      <c r="F303" t="s">
        <v>14</v>
      </c>
      <c r="G303" t="s">
        <v>2499</v>
      </c>
      <c r="H303" t="s">
        <v>2749</v>
      </c>
    </row>
    <row r="304" spans="1:8" x14ac:dyDescent="0.25">
      <c r="A304">
        <v>17391245</v>
      </c>
      <c r="B304" t="s">
        <v>14</v>
      </c>
      <c r="C304" t="s">
        <v>14</v>
      </c>
      <c r="D304" t="s">
        <v>14</v>
      </c>
      <c r="E304" t="s">
        <v>14</v>
      </c>
      <c r="F304" t="s">
        <v>14</v>
      </c>
      <c r="G304" t="s">
        <v>2500</v>
      </c>
      <c r="H304" t="s">
        <v>2750</v>
      </c>
    </row>
    <row r="305" spans="1:8" x14ac:dyDescent="0.25">
      <c r="A305">
        <v>17394069</v>
      </c>
      <c r="B305" t="s">
        <v>14</v>
      </c>
      <c r="C305" t="s">
        <v>14</v>
      </c>
      <c r="D305" t="s">
        <v>14</v>
      </c>
      <c r="E305" t="s">
        <v>1008</v>
      </c>
      <c r="F305" t="s">
        <v>14</v>
      </c>
      <c r="G305" t="s">
        <v>1009</v>
      </c>
      <c r="H305" t="s">
        <v>1310</v>
      </c>
    </row>
    <row r="306" spans="1:8" x14ac:dyDescent="0.25">
      <c r="A306">
        <v>17395798</v>
      </c>
      <c r="B306" t="s">
        <v>14</v>
      </c>
      <c r="C306" t="s">
        <v>14</v>
      </c>
      <c r="D306" t="s">
        <v>14</v>
      </c>
      <c r="E306" t="s">
        <v>1664</v>
      </c>
      <c r="F306" t="s">
        <v>14</v>
      </c>
      <c r="G306" t="s">
        <v>1665</v>
      </c>
      <c r="H306" t="s">
        <v>1934</v>
      </c>
    </row>
    <row r="307" spans="1:8" x14ac:dyDescent="0.25">
      <c r="A307">
        <v>17396068</v>
      </c>
      <c r="B307" t="s">
        <v>1010</v>
      </c>
      <c r="C307" t="s">
        <v>14</v>
      </c>
      <c r="D307" t="s">
        <v>14</v>
      </c>
      <c r="E307" t="s">
        <v>1011</v>
      </c>
      <c r="F307" t="s">
        <v>14</v>
      </c>
      <c r="G307" t="s">
        <v>1012</v>
      </c>
      <c r="H307" t="s">
        <v>1311</v>
      </c>
    </row>
    <row r="308" spans="1:8" x14ac:dyDescent="0.25">
      <c r="A308">
        <v>17396386</v>
      </c>
      <c r="B308" t="s">
        <v>14</v>
      </c>
      <c r="C308" t="s">
        <v>14</v>
      </c>
      <c r="D308" t="s">
        <v>14</v>
      </c>
      <c r="E308" t="s">
        <v>2501</v>
      </c>
      <c r="F308" t="s">
        <v>14</v>
      </c>
      <c r="G308" t="s">
        <v>2502</v>
      </c>
      <c r="H308" t="s">
        <v>2751</v>
      </c>
    </row>
    <row r="309" spans="1:8" x14ac:dyDescent="0.25">
      <c r="A309">
        <v>17396713</v>
      </c>
      <c r="B309" t="s">
        <v>14</v>
      </c>
      <c r="C309" t="s">
        <v>14</v>
      </c>
      <c r="D309" t="s">
        <v>14</v>
      </c>
      <c r="E309" t="s">
        <v>2503</v>
      </c>
      <c r="F309" t="s">
        <v>14</v>
      </c>
      <c r="G309" t="s">
        <v>2504</v>
      </c>
      <c r="H309" t="s">
        <v>2752</v>
      </c>
    </row>
    <row r="310" spans="1:8" x14ac:dyDescent="0.25">
      <c r="A310">
        <v>17403454</v>
      </c>
      <c r="B310" t="s">
        <v>14</v>
      </c>
      <c r="C310" t="s">
        <v>14</v>
      </c>
      <c r="D310" t="s">
        <v>14</v>
      </c>
      <c r="E310" t="s">
        <v>1666</v>
      </c>
      <c r="F310" t="s">
        <v>14</v>
      </c>
      <c r="G310" t="s">
        <v>1667</v>
      </c>
      <c r="H310" t="s">
        <v>1935</v>
      </c>
    </row>
    <row r="311" spans="1:8" x14ac:dyDescent="0.25">
      <c r="A311">
        <v>17403455</v>
      </c>
      <c r="B311" t="s">
        <v>14</v>
      </c>
      <c r="C311" t="s">
        <v>14</v>
      </c>
      <c r="D311" t="s">
        <v>14</v>
      </c>
      <c r="E311" t="s">
        <v>2505</v>
      </c>
      <c r="F311" t="s">
        <v>14</v>
      </c>
      <c r="G311" t="s">
        <v>14</v>
      </c>
      <c r="H311" t="s">
        <v>2753</v>
      </c>
    </row>
    <row r="312" spans="1:8" x14ac:dyDescent="0.25">
      <c r="A312">
        <v>17404180</v>
      </c>
      <c r="B312" t="s">
        <v>14</v>
      </c>
      <c r="C312" t="s">
        <v>14</v>
      </c>
      <c r="D312" t="s">
        <v>14</v>
      </c>
      <c r="E312" t="s">
        <v>2506</v>
      </c>
      <c r="F312" t="s">
        <v>14</v>
      </c>
      <c r="G312" t="s">
        <v>14</v>
      </c>
      <c r="H312" t="s">
        <v>2754</v>
      </c>
    </row>
    <row r="313" spans="1:8" x14ac:dyDescent="0.25">
      <c r="A313">
        <v>17406052</v>
      </c>
      <c r="B313" t="s">
        <v>14</v>
      </c>
      <c r="C313" t="s">
        <v>14</v>
      </c>
      <c r="D313" t="s">
        <v>14</v>
      </c>
      <c r="E313" t="s">
        <v>2507</v>
      </c>
      <c r="F313" t="s">
        <v>14</v>
      </c>
      <c r="G313" t="s">
        <v>2508</v>
      </c>
      <c r="H313" t="s">
        <v>2755</v>
      </c>
    </row>
    <row r="314" spans="1:8" x14ac:dyDescent="0.25">
      <c r="A314">
        <v>17406356</v>
      </c>
      <c r="B314" t="s">
        <v>14</v>
      </c>
      <c r="C314" t="s">
        <v>14</v>
      </c>
      <c r="D314" t="s">
        <v>14</v>
      </c>
      <c r="E314" t="s">
        <v>14</v>
      </c>
      <c r="F314" t="s">
        <v>14</v>
      </c>
      <c r="G314" t="s">
        <v>1668</v>
      </c>
      <c r="H314" t="s">
        <v>1936</v>
      </c>
    </row>
    <row r="315" spans="1:8" x14ac:dyDescent="0.25">
      <c r="A315">
        <v>17407897</v>
      </c>
      <c r="B315" t="s">
        <v>14</v>
      </c>
      <c r="C315" t="s">
        <v>14</v>
      </c>
      <c r="D315" t="s">
        <v>14</v>
      </c>
      <c r="E315" t="s">
        <v>2509</v>
      </c>
      <c r="F315" t="s">
        <v>14</v>
      </c>
      <c r="G315" t="s">
        <v>14</v>
      </c>
      <c r="H315" t="s">
        <v>2756</v>
      </c>
    </row>
    <row r="316" spans="1:8" x14ac:dyDescent="0.25">
      <c r="A316">
        <v>17408148</v>
      </c>
      <c r="B316" t="s">
        <v>14</v>
      </c>
      <c r="C316" t="s">
        <v>14</v>
      </c>
      <c r="D316" t="s">
        <v>14</v>
      </c>
      <c r="E316" t="s">
        <v>1819</v>
      </c>
      <c r="F316" t="s">
        <v>14</v>
      </c>
      <c r="G316" t="s">
        <v>14</v>
      </c>
      <c r="H316" t="s">
        <v>1937</v>
      </c>
    </row>
    <row r="317" spans="1:8" x14ac:dyDescent="0.25">
      <c r="A317">
        <v>17409043</v>
      </c>
      <c r="B317" t="s">
        <v>14</v>
      </c>
      <c r="C317" t="s">
        <v>14</v>
      </c>
      <c r="D317" t="s">
        <v>14</v>
      </c>
      <c r="E317" t="s">
        <v>2510</v>
      </c>
      <c r="F317" t="s">
        <v>14</v>
      </c>
      <c r="G317" t="s">
        <v>14</v>
      </c>
      <c r="H317" t="s">
        <v>2757</v>
      </c>
    </row>
    <row r="318" spans="1:8" x14ac:dyDescent="0.25">
      <c r="A318">
        <v>17409621</v>
      </c>
      <c r="B318" t="s">
        <v>14</v>
      </c>
      <c r="C318" t="s">
        <v>14</v>
      </c>
      <c r="D318" t="s">
        <v>14</v>
      </c>
      <c r="E318" t="s">
        <v>1669</v>
      </c>
      <c r="F318" t="s">
        <v>14</v>
      </c>
      <c r="G318" t="s">
        <v>14</v>
      </c>
      <c r="H318" t="s">
        <v>1938</v>
      </c>
    </row>
    <row r="319" spans="1:8" x14ac:dyDescent="0.25">
      <c r="A319">
        <v>17410894</v>
      </c>
      <c r="B319" t="s">
        <v>14</v>
      </c>
      <c r="C319" t="s">
        <v>14</v>
      </c>
      <c r="D319" t="s">
        <v>14</v>
      </c>
      <c r="E319" t="s">
        <v>1820</v>
      </c>
      <c r="F319" t="s">
        <v>14</v>
      </c>
      <c r="G319" t="s">
        <v>1821</v>
      </c>
      <c r="H319" t="s">
        <v>1939</v>
      </c>
    </row>
    <row r="320" spans="1:8" x14ac:dyDescent="0.25">
      <c r="A320">
        <v>17411496</v>
      </c>
      <c r="B320" t="s">
        <v>1822</v>
      </c>
      <c r="C320" t="s">
        <v>14</v>
      </c>
      <c r="D320" t="s">
        <v>14</v>
      </c>
      <c r="E320" t="s">
        <v>1823</v>
      </c>
      <c r="F320" t="s">
        <v>14</v>
      </c>
      <c r="G320" t="s">
        <v>1824</v>
      </c>
      <c r="H320" t="s">
        <v>1940</v>
      </c>
    </row>
    <row r="321" spans="1:8" x14ac:dyDescent="0.25">
      <c r="A321">
        <v>17414704</v>
      </c>
      <c r="B321" t="s">
        <v>14</v>
      </c>
      <c r="C321" t="s">
        <v>14</v>
      </c>
      <c r="D321" t="s">
        <v>14</v>
      </c>
      <c r="E321" t="s">
        <v>1825</v>
      </c>
      <c r="F321" t="s">
        <v>14</v>
      </c>
      <c r="G321" t="s">
        <v>14</v>
      </c>
      <c r="H321" t="s">
        <v>1941</v>
      </c>
    </row>
    <row r="322" spans="1:8" x14ac:dyDescent="0.25">
      <c r="A322">
        <v>17414755</v>
      </c>
      <c r="B322" t="s">
        <v>14</v>
      </c>
      <c r="C322" t="s">
        <v>14</v>
      </c>
      <c r="D322" t="s">
        <v>14</v>
      </c>
      <c r="E322" t="s">
        <v>2511</v>
      </c>
      <c r="F322" t="s">
        <v>14</v>
      </c>
      <c r="G322" t="s">
        <v>2512</v>
      </c>
      <c r="H322" t="s">
        <v>2758</v>
      </c>
    </row>
    <row r="323" spans="1:8" x14ac:dyDescent="0.25">
      <c r="A323">
        <v>17415549</v>
      </c>
      <c r="B323" t="s">
        <v>2513</v>
      </c>
      <c r="C323" t="s">
        <v>14</v>
      </c>
      <c r="D323" t="s">
        <v>14</v>
      </c>
      <c r="E323" t="s">
        <v>14</v>
      </c>
      <c r="F323" t="s">
        <v>14</v>
      </c>
      <c r="G323" t="s">
        <v>14</v>
      </c>
      <c r="H323" t="s">
        <v>2759</v>
      </c>
    </row>
    <row r="324" spans="1:8" x14ac:dyDescent="0.25">
      <c r="A324">
        <v>17416134</v>
      </c>
      <c r="B324" t="s">
        <v>14</v>
      </c>
      <c r="C324" t="s">
        <v>14</v>
      </c>
      <c r="D324" t="s">
        <v>14</v>
      </c>
      <c r="E324" t="s">
        <v>1826</v>
      </c>
      <c r="F324" t="s">
        <v>14</v>
      </c>
      <c r="G324" t="s">
        <v>1827</v>
      </c>
      <c r="H324" t="s">
        <v>1942</v>
      </c>
    </row>
    <row r="325" spans="1:8" x14ac:dyDescent="0.25">
      <c r="A325">
        <v>17417250</v>
      </c>
      <c r="B325" t="s">
        <v>14</v>
      </c>
      <c r="C325" t="s">
        <v>1670</v>
      </c>
      <c r="D325" t="s">
        <v>1670</v>
      </c>
      <c r="E325" t="s">
        <v>1671</v>
      </c>
      <c r="F325" t="s">
        <v>1670</v>
      </c>
      <c r="G325" t="s">
        <v>14</v>
      </c>
      <c r="H325" t="s">
        <v>1943</v>
      </c>
    </row>
    <row r="326" spans="1:8" x14ac:dyDescent="0.25">
      <c r="A326">
        <v>17417355</v>
      </c>
      <c r="B326" t="s">
        <v>14</v>
      </c>
      <c r="C326" t="s">
        <v>14</v>
      </c>
      <c r="D326" t="s">
        <v>14</v>
      </c>
      <c r="E326" t="s">
        <v>14</v>
      </c>
      <c r="F326" t="s">
        <v>14</v>
      </c>
      <c r="G326" t="s">
        <v>2514</v>
      </c>
      <c r="H326" t="s">
        <v>2760</v>
      </c>
    </row>
    <row r="327" spans="1:8" x14ac:dyDescent="0.25">
      <c r="A327">
        <v>17419909</v>
      </c>
      <c r="B327" t="s">
        <v>14</v>
      </c>
      <c r="C327" t="s">
        <v>14</v>
      </c>
      <c r="D327" t="s">
        <v>14</v>
      </c>
      <c r="E327" t="s">
        <v>14</v>
      </c>
      <c r="F327" t="s">
        <v>14</v>
      </c>
      <c r="G327" t="s">
        <v>1672</v>
      </c>
      <c r="H327" t="s">
        <v>1944</v>
      </c>
    </row>
    <row r="328" spans="1:8" x14ac:dyDescent="0.25">
      <c r="A328">
        <v>17419976</v>
      </c>
      <c r="B328" t="s">
        <v>14</v>
      </c>
      <c r="C328" t="s">
        <v>14</v>
      </c>
      <c r="D328" t="s">
        <v>14</v>
      </c>
      <c r="E328" t="s">
        <v>1828</v>
      </c>
      <c r="F328" t="s">
        <v>14</v>
      </c>
      <c r="G328" t="s">
        <v>1829</v>
      </c>
      <c r="H328" t="s">
        <v>1945</v>
      </c>
    </row>
    <row r="329" spans="1:8" x14ac:dyDescent="0.25">
      <c r="A329">
        <v>17420040</v>
      </c>
      <c r="B329" t="s">
        <v>14</v>
      </c>
      <c r="C329" t="s">
        <v>14</v>
      </c>
      <c r="D329" t="s">
        <v>14</v>
      </c>
      <c r="E329" t="s">
        <v>14</v>
      </c>
      <c r="F329" t="s">
        <v>14</v>
      </c>
      <c r="G329" t="s">
        <v>1673</v>
      </c>
      <c r="H329" t="s">
        <v>1946</v>
      </c>
    </row>
    <row r="330" spans="1:8" x14ac:dyDescent="0.25">
      <c r="A330">
        <v>17421300</v>
      </c>
      <c r="B330" t="s">
        <v>14</v>
      </c>
      <c r="C330" t="s">
        <v>14</v>
      </c>
      <c r="D330" t="s">
        <v>14</v>
      </c>
      <c r="E330" t="s">
        <v>14</v>
      </c>
      <c r="F330" t="s">
        <v>14</v>
      </c>
      <c r="G330" t="s">
        <v>1674</v>
      </c>
      <c r="H330" t="s">
        <v>1947</v>
      </c>
    </row>
    <row r="331" spans="1:8" x14ac:dyDescent="0.25">
      <c r="A331">
        <v>17421346</v>
      </c>
      <c r="B331" t="s">
        <v>14</v>
      </c>
      <c r="C331" t="s">
        <v>14</v>
      </c>
      <c r="D331" t="s">
        <v>14</v>
      </c>
      <c r="E331" t="s">
        <v>14</v>
      </c>
      <c r="F331" t="s">
        <v>14</v>
      </c>
      <c r="G331" t="s">
        <v>2515</v>
      </c>
      <c r="H331" t="s">
        <v>2761</v>
      </c>
    </row>
    <row r="332" spans="1:8" x14ac:dyDescent="0.25">
      <c r="A332">
        <v>17425292</v>
      </c>
      <c r="B332" t="s">
        <v>14</v>
      </c>
      <c r="C332" t="s">
        <v>14</v>
      </c>
      <c r="D332" t="s">
        <v>14</v>
      </c>
      <c r="E332" t="s">
        <v>2516</v>
      </c>
      <c r="F332" t="s">
        <v>14</v>
      </c>
      <c r="G332" t="s">
        <v>14</v>
      </c>
      <c r="H332" t="s">
        <v>2762</v>
      </c>
    </row>
    <row r="333" spans="1:8" x14ac:dyDescent="0.25">
      <c r="A333">
        <v>17427157</v>
      </c>
      <c r="B333" t="s">
        <v>14</v>
      </c>
      <c r="C333" t="s">
        <v>14</v>
      </c>
      <c r="D333" t="s">
        <v>14</v>
      </c>
      <c r="E333" t="s">
        <v>1675</v>
      </c>
      <c r="F333" t="s">
        <v>14</v>
      </c>
      <c r="G333" t="s">
        <v>14</v>
      </c>
      <c r="H333" t="s">
        <v>1948</v>
      </c>
    </row>
    <row r="334" spans="1:8" x14ac:dyDescent="0.25">
      <c r="A334">
        <v>17427684</v>
      </c>
      <c r="B334" t="s">
        <v>14</v>
      </c>
      <c r="C334" t="s">
        <v>14</v>
      </c>
      <c r="D334" t="s">
        <v>14</v>
      </c>
      <c r="E334" t="s">
        <v>14</v>
      </c>
      <c r="F334" t="s">
        <v>14</v>
      </c>
      <c r="G334" t="s">
        <v>1676</v>
      </c>
      <c r="H334" t="s">
        <v>1949</v>
      </c>
    </row>
    <row r="335" spans="1:8" x14ac:dyDescent="0.25">
      <c r="A335">
        <v>17428424</v>
      </c>
      <c r="B335" t="s">
        <v>14</v>
      </c>
      <c r="C335" t="s">
        <v>14</v>
      </c>
      <c r="D335" t="s">
        <v>14</v>
      </c>
      <c r="E335" t="s">
        <v>14</v>
      </c>
      <c r="F335" t="s">
        <v>14</v>
      </c>
      <c r="G335" t="s">
        <v>1830</v>
      </c>
      <c r="H335" t="s">
        <v>1950</v>
      </c>
    </row>
    <row r="336" spans="1:8" x14ac:dyDescent="0.25">
      <c r="A336">
        <v>17428902</v>
      </c>
      <c r="B336" t="s">
        <v>14</v>
      </c>
      <c r="C336" t="s">
        <v>14</v>
      </c>
      <c r="D336" t="s">
        <v>14</v>
      </c>
      <c r="E336" t="s">
        <v>14</v>
      </c>
      <c r="F336" t="s">
        <v>14</v>
      </c>
      <c r="G336" t="s">
        <v>2517</v>
      </c>
      <c r="H336" t="s">
        <v>2763</v>
      </c>
    </row>
    <row r="337" spans="1:8" x14ac:dyDescent="0.25">
      <c r="A337">
        <v>17429056</v>
      </c>
      <c r="B337" t="s">
        <v>14</v>
      </c>
      <c r="C337" t="s">
        <v>14</v>
      </c>
      <c r="D337" t="s">
        <v>14</v>
      </c>
      <c r="E337" t="s">
        <v>14</v>
      </c>
      <c r="F337" t="s">
        <v>14</v>
      </c>
      <c r="G337" t="s">
        <v>1831</v>
      </c>
      <c r="H337" t="s">
        <v>1951</v>
      </c>
    </row>
    <row r="338" spans="1:8" x14ac:dyDescent="0.25">
      <c r="A338">
        <v>17436669</v>
      </c>
      <c r="B338" t="s">
        <v>14</v>
      </c>
      <c r="C338" t="s">
        <v>14</v>
      </c>
      <c r="D338" t="s">
        <v>14</v>
      </c>
      <c r="E338" t="s">
        <v>1832</v>
      </c>
      <c r="F338" t="s">
        <v>14</v>
      </c>
      <c r="G338" t="s">
        <v>2518</v>
      </c>
      <c r="H338" t="s">
        <v>1952</v>
      </c>
    </row>
    <row r="339" spans="1:8" x14ac:dyDescent="0.25">
      <c r="A339">
        <v>17436789</v>
      </c>
      <c r="B339" t="s">
        <v>1833</v>
      </c>
      <c r="C339" t="s">
        <v>14</v>
      </c>
      <c r="D339" t="s">
        <v>14</v>
      </c>
      <c r="E339" t="s">
        <v>1833</v>
      </c>
      <c r="F339" t="s">
        <v>14</v>
      </c>
      <c r="G339" t="s">
        <v>14</v>
      </c>
      <c r="H339" t="s">
        <v>1953</v>
      </c>
    </row>
    <row r="340" spans="1:8" x14ac:dyDescent="0.25">
      <c r="A340">
        <v>17436945</v>
      </c>
      <c r="B340" t="s">
        <v>14</v>
      </c>
      <c r="C340" t="s">
        <v>14</v>
      </c>
      <c r="D340" t="s">
        <v>14</v>
      </c>
      <c r="E340" t="s">
        <v>14</v>
      </c>
      <c r="F340" t="s">
        <v>14</v>
      </c>
      <c r="G340" t="s">
        <v>2519</v>
      </c>
      <c r="H340" t="s">
        <v>2764</v>
      </c>
    </row>
    <row r="341" spans="1:8" x14ac:dyDescent="0.25">
      <c r="A341">
        <v>17438139</v>
      </c>
      <c r="B341" t="s">
        <v>14</v>
      </c>
      <c r="C341" t="s">
        <v>14</v>
      </c>
      <c r="D341" t="s">
        <v>14</v>
      </c>
      <c r="E341" t="s">
        <v>1834</v>
      </c>
      <c r="F341" t="s">
        <v>14</v>
      </c>
      <c r="G341" t="s">
        <v>1835</v>
      </c>
      <c r="H341" t="s">
        <v>1954</v>
      </c>
    </row>
    <row r="342" spans="1:8" x14ac:dyDescent="0.25">
      <c r="A342">
        <v>17438820</v>
      </c>
      <c r="B342" t="s">
        <v>14</v>
      </c>
      <c r="C342" t="s">
        <v>14</v>
      </c>
      <c r="D342" t="s">
        <v>14</v>
      </c>
      <c r="E342" t="s">
        <v>14</v>
      </c>
      <c r="F342" t="s">
        <v>14</v>
      </c>
      <c r="G342" t="s">
        <v>2520</v>
      </c>
      <c r="H342" t="s">
        <v>2765</v>
      </c>
    </row>
    <row r="343" spans="1:8" x14ac:dyDescent="0.25">
      <c r="A343">
        <v>17438930</v>
      </c>
      <c r="B343" t="s">
        <v>14</v>
      </c>
      <c r="C343" t="s">
        <v>14</v>
      </c>
      <c r="D343" t="s">
        <v>14</v>
      </c>
      <c r="E343" t="s">
        <v>14</v>
      </c>
      <c r="F343" t="s">
        <v>14</v>
      </c>
      <c r="G343" t="s">
        <v>2521</v>
      </c>
      <c r="H343" t="s">
        <v>2766</v>
      </c>
    </row>
    <row r="344" spans="1:8" x14ac:dyDescent="0.25">
      <c r="A344">
        <v>17440407</v>
      </c>
      <c r="B344" t="s">
        <v>14</v>
      </c>
      <c r="C344" t="s">
        <v>14</v>
      </c>
      <c r="D344" t="s">
        <v>14</v>
      </c>
      <c r="E344" t="s">
        <v>1836</v>
      </c>
      <c r="F344" t="s">
        <v>14</v>
      </c>
      <c r="G344" t="s">
        <v>1837</v>
      </c>
      <c r="H344" t="s">
        <v>1955</v>
      </c>
    </row>
    <row r="345" spans="1:8" x14ac:dyDescent="0.25">
      <c r="A345">
        <v>17442384</v>
      </c>
      <c r="B345" t="s">
        <v>14</v>
      </c>
      <c r="C345" t="s">
        <v>14</v>
      </c>
      <c r="D345" t="s">
        <v>14</v>
      </c>
      <c r="E345" t="s">
        <v>1838</v>
      </c>
      <c r="F345" t="s">
        <v>14</v>
      </c>
      <c r="G345" t="s">
        <v>14</v>
      </c>
      <c r="H345" t="s">
        <v>1956</v>
      </c>
    </row>
    <row r="346" spans="1:8" x14ac:dyDescent="0.25">
      <c r="A346">
        <v>17445792</v>
      </c>
      <c r="B346" t="s">
        <v>14</v>
      </c>
      <c r="C346" t="s">
        <v>14</v>
      </c>
      <c r="D346" t="s">
        <v>14</v>
      </c>
      <c r="E346" t="s">
        <v>14</v>
      </c>
      <c r="F346" t="s">
        <v>14</v>
      </c>
      <c r="G346" t="s">
        <v>1839</v>
      </c>
      <c r="H346" t="s">
        <v>1957</v>
      </c>
    </row>
    <row r="347" spans="1:8" x14ac:dyDescent="0.25">
      <c r="A347">
        <v>17446158</v>
      </c>
      <c r="B347" t="s">
        <v>14</v>
      </c>
      <c r="C347" t="s">
        <v>14</v>
      </c>
      <c r="D347" t="s">
        <v>14</v>
      </c>
      <c r="E347" t="s">
        <v>1840</v>
      </c>
      <c r="F347" t="s">
        <v>14</v>
      </c>
      <c r="G347" t="s">
        <v>1841</v>
      </c>
      <c r="H347" t="s">
        <v>1958</v>
      </c>
    </row>
    <row r="348" spans="1:8" x14ac:dyDescent="0.25">
      <c r="A348">
        <v>17446644</v>
      </c>
      <c r="B348" t="s">
        <v>14</v>
      </c>
      <c r="C348" t="s">
        <v>14</v>
      </c>
      <c r="D348" t="s">
        <v>14</v>
      </c>
      <c r="E348" t="s">
        <v>1842</v>
      </c>
      <c r="F348" t="s">
        <v>14</v>
      </c>
      <c r="G348" t="s">
        <v>14</v>
      </c>
      <c r="H348" t="s">
        <v>1959</v>
      </c>
    </row>
    <row r="349" spans="1:8" x14ac:dyDescent="0.25">
      <c r="A349">
        <v>17448260</v>
      </c>
      <c r="B349" t="s">
        <v>14</v>
      </c>
      <c r="C349" t="s">
        <v>14</v>
      </c>
      <c r="D349" t="s">
        <v>14</v>
      </c>
      <c r="E349" t="s">
        <v>1677</v>
      </c>
      <c r="F349" t="s">
        <v>14</v>
      </c>
      <c r="G349" t="s">
        <v>14</v>
      </c>
      <c r="H349" t="s">
        <v>1960</v>
      </c>
    </row>
    <row r="350" spans="1:8" x14ac:dyDescent="0.25">
      <c r="A350">
        <v>17448377</v>
      </c>
      <c r="B350" t="s">
        <v>14</v>
      </c>
      <c r="C350" t="s">
        <v>14</v>
      </c>
      <c r="D350" t="s">
        <v>14</v>
      </c>
      <c r="E350" t="s">
        <v>2522</v>
      </c>
      <c r="F350" t="s">
        <v>14</v>
      </c>
      <c r="G350" t="s">
        <v>2523</v>
      </c>
      <c r="H350" t="s">
        <v>2767</v>
      </c>
    </row>
    <row r="351" spans="1:8" x14ac:dyDescent="0.25">
      <c r="A351">
        <v>17448814</v>
      </c>
      <c r="B351" t="s">
        <v>14</v>
      </c>
      <c r="C351" t="s">
        <v>14</v>
      </c>
      <c r="D351" t="s">
        <v>14</v>
      </c>
      <c r="E351" t="s">
        <v>14</v>
      </c>
      <c r="F351" t="s">
        <v>14</v>
      </c>
      <c r="G351" t="s">
        <v>2524</v>
      </c>
      <c r="H351" t="s">
        <v>1961</v>
      </c>
    </row>
    <row r="352" spans="1:8" x14ac:dyDescent="0.25">
      <c r="A352">
        <v>17448947</v>
      </c>
      <c r="B352" t="s">
        <v>14</v>
      </c>
      <c r="C352" t="s">
        <v>14</v>
      </c>
      <c r="D352" t="s">
        <v>14</v>
      </c>
      <c r="E352" t="s">
        <v>2525</v>
      </c>
      <c r="F352" t="s">
        <v>14</v>
      </c>
      <c r="G352" t="s">
        <v>14</v>
      </c>
      <c r="H352" t="s">
        <v>2768</v>
      </c>
    </row>
    <row r="353" spans="1:8" x14ac:dyDescent="0.25">
      <c r="A353">
        <v>17449744</v>
      </c>
      <c r="B353" t="s">
        <v>14</v>
      </c>
      <c r="C353" t="s">
        <v>14</v>
      </c>
      <c r="D353" t="s">
        <v>14</v>
      </c>
      <c r="E353" t="s">
        <v>2526</v>
      </c>
      <c r="F353" t="s">
        <v>14</v>
      </c>
      <c r="G353" t="s">
        <v>2527</v>
      </c>
      <c r="H353" t="s">
        <v>2769</v>
      </c>
    </row>
    <row r="354" spans="1:8" x14ac:dyDescent="0.25">
      <c r="A354">
        <v>17449918</v>
      </c>
      <c r="B354" t="s">
        <v>14</v>
      </c>
      <c r="C354" t="s">
        <v>14</v>
      </c>
      <c r="D354" t="s">
        <v>14</v>
      </c>
      <c r="E354" t="s">
        <v>2528</v>
      </c>
      <c r="F354" t="s">
        <v>14</v>
      </c>
      <c r="G354" t="s">
        <v>14</v>
      </c>
      <c r="H354" t="s">
        <v>2770</v>
      </c>
    </row>
    <row r="355" spans="1:8" x14ac:dyDescent="0.25">
      <c r="A355">
        <v>17450589</v>
      </c>
      <c r="B355" t="s">
        <v>14</v>
      </c>
      <c r="C355" t="s">
        <v>14</v>
      </c>
      <c r="D355" t="s">
        <v>14</v>
      </c>
      <c r="E355" t="s">
        <v>2529</v>
      </c>
      <c r="F355" t="s">
        <v>14</v>
      </c>
      <c r="G355" t="s">
        <v>2530</v>
      </c>
      <c r="H355" t="s">
        <v>2771</v>
      </c>
    </row>
    <row r="356" spans="1:8" x14ac:dyDescent="0.25">
      <c r="A356">
        <v>17451451</v>
      </c>
      <c r="B356" t="s">
        <v>14</v>
      </c>
      <c r="C356" t="s">
        <v>14</v>
      </c>
      <c r="D356" t="s">
        <v>14</v>
      </c>
      <c r="E356" t="s">
        <v>2531</v>
      </c>
      <c r="F356" t="s">
        <v>14</v>
      </c>
      <c r="G356" t="s">
        <v>2532</v>
      </c>
      <c r="H356" t="s">
        <v>2772</v>
      </c>
    </row>
    <row r="357" spans="1:8" x14ac:dyDescent="0.25">
      <c r="A357">
        <v>17453337</v>
      </c>
      <c r="B357" t="s">
        <v>14</v>
      </c>
      <c r="C357" t="s">
        <v>14</v>
      </c>
      <c r="D357" t="s">
        <v>14</v>
      </c>
      <c r="E357" t="s">
        <v>1678</v>
      </c>
      <c r="F357" t="s">
        <v>14</v>
      </c>
      <c r="G357" t="s">
        <v>14</v>
      </c>
      <c r="H357" t="s">
        <v>1962</v>
      </c>
    </row>
    <row r="358" spans="1:8" x14ac:dyDescent="0.25">
      <c r="A358">
        <v>17458480</v>
      </c>
      <c r="B358" t="s">
        <v>2533</v>
      </c>
      <c r="C358" t="s">
        <v>14</v>
      </c>
      <c r="D358" t="s">
        <v>14</v>
      </c>
      <c r="E358" t="s">
        <v>14</v>
      </c>
      <c r="F358" t="s">
        <v>14</v>
      </c>
      <c r="G358" t="s">
        <v>2534</v>
      </c>
      <c r="H358" t="s">
        <v>2773</v>
      </c>
    </row>
    <row r="359" spans="1:8" x14ac:dyDescent="0.25">
      <c r="A359">
        <v>17459343</v>
      </c>
      <c r="B359" t="s">
        <v>14</v>
      </c>
      <c r="C359" t="s">
        <v>14</v>
      </c>
      <c r="D359" t="s">
        <v>14</v>
      </c>
      <c r="E359" t="s">
        <v>14</v>
      </c>
      <c r="F359" t="s">
        <v>14</v>
      </c>
      <c r="G359" t="s">
        <v>1843</v>
      </c>
      <c r="H359" t="s">
        <v>1963</v>
      </c>
    </row>
    <row r="360" spans="1:8" x14ac:dyDescent="0.25">
      <c r="A360">
        <v>17460392</v>
      </c>
      <c r="B360" t="s">
        <v>14</v>
      </c>
      <c r="C360" t="s">
        <v>14</v>
      </c>
      <c r="D360" t="s">
        <v>14</v>
      </c>
      <c r="E360" t="s">
        <v>14</v>
      </c>
      <c r="F360" t="s">
        <v>14</v>
      </c>
      <c r="G360" t="s">
        <v>2535</v>
      </c>
      <c r="H360" t="s">
        <v>1964</v>
      </c>
    </row>
    <row r="361" spans="1:8" x14ac:dyDescent="0.25">
      <c r="A361">
        <v>17464437</v>
      </c>
      <c r="B361" t="s">
        <v>14</v>
      </c>
      <c r="C361" t="s">
        <v>14</v>
      </c>
      <c r="D361" t="s">
        <v>14</v>
      </c>
      <c r="E361" t="s">
        <v>2536</v>
      </c>
      <c r="F361" t="s">
        <v>14</v>
      </c>
      <c r="G361" t="s">
        <v>2537</v>
      </c>
      <c r="H361" t="s">
        <v>2774</v>
      </c>
    </row>
    <row r="362" spans="1:8" x14ac:dyDescent="0.25">
      <c r="A362">
        <v>17465045</v>
      </c>
      <c r="B362" t="s">
        <v>2538</v>
      </c>
      <c r="C362" t="s">
        <v>14</v>
      </c>
      <c r="D362" t="s">
        <v>14</v>
      </c>
      <c r="E362" t="s">
        <v>2539</v>
      </c>
      <c r="F362" t="s">
        <v>14</v>
      </c>
      <c r="G362" t="s">
        <v>2540</v>
      </c>
      <c r="H362" t="s">
        <v>2775</v>
      </c>
    </row>
    <row r="363" spans="1:8" x14ac:dyDescent="0.25">
      <c r="A363">
        <v>17465154</v>
      </c>
      <c r="B363" t="s">
        <v>14</v>
      </c>
      <c r="C363" t="s">
        <v>14</v>
      </c>
      <c r="D363" t="s">
        <v>14</v>
      </c>
      <c r="E363" t="s">
        <v>14</v>
      </c>
      <c r="F363" t="s">
        <v>14</v>
      </c>
      <c r="G363" t="s">
        <v>2541</v>
      </c>
      <c r="H363" t="s">
        <v>2776</v>
      </c>
    </row>
    <row r="364" spans="1:8" x14ac:dyDescent="0.25">
      <c r="A364">
        <v>17465380</v>
      </c>
      <c r="B364" t="s">
        <v>14</v>
      </c>
      <c r="C364" t="s">
        <v>14</v>
      </c>
      <c r="D364" t="s">
        <v>14</v>
      </c>
      <c r="E364" t="s">
        <v>2542</v>
      </c>
      <c r="F364" t="s">
        <v>14</v>
      </c>
      <c r="G364" t="s">
        <v>14</v>
      </c>
      <c r="H364" t="s">
        <v>2777</v>
      </c>
    </row>
    <row r="365" spans="1:8" x14ac:dyDescent="0.25">
      <c r="A365">
        <v>17466607</v>
      </c>
      <c r="B365" t="s">
        <v>14</v>
      </c>
      <c r="C365" t="s">
        <v>14</v>
      </c>
      <c r="D365" t="s">
        <v>14</v>
      </c>
      <c r="E365" t="s">
        <v>2543</v>
      </c>
      <c r="F365" t="s">
        <v>14</v>
      </c>
      <c r="G365" t="s">
        <v>2544</v>
      </c>
      <c r="H365" t="s">
        <v>2778</v>
      </c>
    </row>
    <row r="366" spans="1:8" x14ac:dyDescent="0.25">
      <c r="A366">
        <v>17466860</v>
      </c>
      <c r="B366" t="s">
        <v>14</v>
      </c>
      <c r="C366" t="s">
        <v>14</v>
      </c>
      <c r="D366" t="s">
        <v>14</v>
      </c>
      <c r="E366" t="s">
        <v>14</v>
      </c>
      <c r="F366" t="s">
        <v>14</v>
      </c>
      <c r="G366" t="s">
        <v>2545</v>
      </c>
      <c r="H366" t="s">
        <v>2779</v>
      </c>
    </row>
    <row r="367" spans="1:8" x14ac:dyDescent="0.25">
      <c r="A367">
        <v>17467258</v>
      </c>
      <c r="B367" t="s">
        <v>14</v>
      </c>
      <c r="C367" t="s">
        <v>14</v>
      </c>
      <c r="D367" t="s">
        <v>14</v>
      </c>
      <c r="E367" t="s">
        <v>14</v>
      </c>
      <c r="F367" t="s">
        <v>14</v>
      </c>
      <c r="G367" t="s">
        <v>1679</v>
      </c>
      <c r="H367" t="s">
        <v>1965</v>
      </c>
    </row>
    <row r="368" spans="1:8" x14ac:dyDescent="0.25">
      <c r="A368">
        <v>17471544</v>
      </c>
      <c r="B368" t="s">
        <v>14</v>
      </c>
      <c r="C368" t="s">
        <v>14</v>
      </c>
      <c r="D368" t="s">
        <v>14</v>
      </c>
      <c r="E368" t="s">
        <v>1680</v>
      </c>
      <c r="F368" t="s">
        <v>14</v>
      </c>
      <c r="G368" t="s">
        <v>14</v>
      </c>
      <c r="H368" t="s">
        <v>1966</v>
      </c>
    </row>
    <row r="369" spans="1:8" x14ac:dyDescent="0.25">
      <c r="A369">
        <v>17471838</v>
      </c>
      <c r="B369" t="s">
        <v>14</v>
      </c>
      <c r="C369" t="s">
        <v>14</v>
      </c>
      <c r="D369" t="s">
        <v>14</v>
      </c>
      <c r="E369" t="s">
        <v>14</v>
      </c>
      <c r="F369" t="s">
        <v>14</v>
      </c>
      <c r="G369" t="s">
        <v>2546</v>
      </c>
      <c r="H369" t="s">
        <v>2780</v>
      </c>
    </row>
    <row r="370" spans="1:8" x14ac:dyDescent="0.25">
      <c r="A370">
        <v>17472180</v>
      </c>
      <c r="B370" t="s">
        <v>2547</v>
      </c>
      <c r="C370" t="s">
        <v>14</v>
      </c>
      <c r="D370" t="s">
        <v>14</v>
      </c>
      <c r="E370" t="s">
        <v>2547</v>
      </c>
      <c r="F370" t="s">
        <v>14</v>
      </c>
      <c r="G370" t="s">
        <v>14</v>
      </c>
      <c r="H370" t="s">
        <v>2781</v>
      </c>
    </row>
    <row r="371" spans="1:8" x14ac:dyDescent="0.25">
      <c r="A371">
        <v>17476475</v>
      </c>
      <c r="B371" t="s">
        <v>14</v>
      </c>
      <c r="C371" t="s">
        <v>14</v>
      </c>
      <c r="D371" t="s">
        <v>14</v>
      </c>
      <c r="E371" t="s">
        <v>14</v>
      </c>
      <c r="F371" t="s">
        <v>14</v>
      </c>
      <c r="G371" t="s">
        <v>2548</v>
      </c>
      <c r="H371" t="s">
        <v>2782</v>
      </c>
    </row>
    <row r="372" spans="1:8" x14ac:dyDescent="0.25">
      <c r="A372">
        <v>17476598</v>
      </c>
      <c r="B372" t="s">
        <v>14</v>
      </c>
      <c r="C372" t="s">
        <v>14</v>
      </c>
      <c r="D372" t="s">
        <v>14</v>
      </c>
      <c r="E372" t="s">
        <v>14</v>
      </c>
      <c r="F372" t="s">
        <v>14</v>
      </c>
      <c r="G372" t="s">
        <v>2549</v>
      </c>
      <c r="H372" t="s">
        <v>2783</v>
      </c>
    </row>
    <row r="373" spans="1:8" x14ac:dyDescent="0.25">
      <c r="A373">
        <v>17480548</v>
      </c>
      <c r="B373" t="s">
        <v>2550</v>
      </c>
      <c r="C373" t="s">
        <v>14</v>
      </c>
      <c r="D373" t="s">
        <v>14</v>
      </c>
      <c r="E373" t="s">
        <v>2550</v>
      </c>
      <c r="F373" t="s">
        <v>14</v>
      </c>
      <c r="G373" t="s">
        <v>2551</v>
      </c>
      <c r="H373" t="s">
        <v>2784</v>
      </c>
    </row>
    <row r="374" spans="1:8" x14ac:dyDescent="0.25">
      <c r="A374">
        <v>17481724</v>
      </c>
      <c r="B374" t="s">
        <v>14</v>
      </c>
      <c r="C374" t="s">
        <v>14</v>
      </c>
      <c r="D374" t="s">
        <v>14</v>
      </c>
      <c r="E374" t="s">
        <v>1844</v>
      </c>
      <c r="F374" t="s">
        <v>14</v>
      </c>
      <c r="G374" t="s">
        <v>2552</v>
      </c>
      <c r="H374" t="s">
        <v>1967</v>
      </c>
    </row>
    <row r="375" spans="1:8" x14ac:dyDescent="0.25">
      <c r="A375">
        <v>17485968</v>
      </c>
      <c r="B375" t="s">
        <v>14</v>
      </c>
      <c r="C375" t="s">
        <v>14</v>
      </c>
      <c r="D375" t="s">
        <v>14</v>
      </c>
      <c r="E375" t="s">
        <v>2553</v>
      </c>
      <c r="F375" t="s">
        <v>14</v>
      </c>
      <c r="G375" t="s">
        <v>2554</v>
      </c>
      <c r="H375" t="s">
        <v>2785</v>
      </c>
    </row>
    <row r="376" spans="1:8" x14ac:dyDescent="0.25">
      <c r="A376">
        <v>17486278</v>
      </c>
      <c r="B376" t="s">
        <v>14</v>
      </c>
      <c r="C376" t="s">
        <v>14</v>
      </c>
      <c r="D376" t="s">
        <v>14</v>
      </c>
      <c r="E376" t="s">
        <v>2555</v>
      </c>
      <c r="F376" t="s">
        <v>14</v>
      </c>
      <c r="G376" t="s">
        <v>2556</v>
      </c>
      <c r="H376" t="s">
        <v>2786</v>
      </c>
    </row>
    <row r="377" spans="1:8" x14ac:dyDescent="0.25">
      <c r="A377">
        <v>17490121</v>
      </c>
      <c r="B377" t="s">
        <v>14</v>
      </c>
      <c r="C377" t="s">
        <v>14</v>
      </c>
      <c r="D377" t="s">
        <v>14</v>
      </c>
      <c r="E377" t="s">
        <v>14</v>
      </c>
      <c r="F377" t="s">
        <v>1845</v>
      </c>
      <c r="G377" t="s">
        <v>2557</v>
      </c>
      <c r="H377" t="s">
        <v>1968</v>
      </c>
    </row>
    <row r="378" spans="1:8" x14ac:dyDescent="0.25">
      <c r="A378">
        <v>17490444</v>
      </c>
      <c r="B378" t="s">
        <v>14</v>
      </c>
      <c r="C378" t="s">
        <v>2558</v>
      </c>
      <c r="D378" t="s">
        <v>2558</v>
      </c>
      <c r="E378" t="s">
        <v>2559</v>
      </c>
      <c r="F378" t="s">
        <v>2558</v>
      </c>
      <c r="G378" t="s">
        <v>14</v>
      </c>
      <c r="H378" t="s">
        <v>2787</v>
      </c>
    </row>
    <row r="379" spans="1:8" x14ac:dyDescent="0.25">
      <c r="A379">
        <v>17492004</v>
      </c>
      <c r="B379" t="s">
        <v>14</v>
      </c>
      <c r="C379" t="s">
        <v>14</v>
      </c>
      <c r="D379" t="s">
        <v>14</v>
      </c>
      <c r="E379" t="s">
        <v>2560</v>
      </c>
      <c r="F379" t="s">
        <v>14</v>
      </c>
      <c r="G379" t="s">
        <v>14</v>
      </c>
      <c r="H379" t="s">
        <v>2788</v>
      </c>
    </row>
    <row r="380" spans="1:8" x14ac:dyDescent="0.25">
      <c r="A380">
        <v>17493908</v>
      </c>
      <c r="B380" t="s">
        <v>14</v>
      </c>
      <c r="C380" t="s">
        <v>14</v>
      </c>
      <c r="D380" t="s">
        <v>14</v>
      </c>
      <c r="E380" t="s">
        <v>2561</v>
      </c>
      <c r="F380" t="s">
        <v>14</v>
      </c>
      <c r="G380" t="s">
        <v>14</v>
      </c>
      <c r="H380" t="s">
        <v>2789</v>
      </c>
    </row>
    <row r="381" spans="1:8" x14ac:dyDescent="0.25">
      <c r="A381">
        <v>17494105</v>
      </c>
      <c r="B381" t="s">
        <v>14</v>
      </c>
      <c r="C381" t="s">
        <v>14</v>
      </c>
      <c r="D381" t="s">
        <v>14</v>
      </c>
      <c r="E381" t="s">
        <v>1846</v>
      </c>
      <c r="F381" t="s">
        <v>14</v>
      </c>
      <c r="G381" t="s">
        <v>14</v>
      </c>
      <c r="H381" t="s">
        <v>1969</v>
      </c>
    </row>
    <row r="382" spans="1:8" x14ac:dyDescent="0.25">
      <c r="A382">
        <v>17494204</v>
      </c>
      <c r="B382" t="s">
        <v>14</v>
      </c>
      <c r="C382" t="s">
        <v>14</v>
      </c>
      <c r="D382" t="s">
        <v>2562</v>
      </c>
      <c r="E382" t="s">
        <v>14</v>
      </c>
      <c r="F382" t="s">
        <v>2562</v>
      </c>
      <c r="G382" t="s">
        <v>14</v>
      </c>
      <c r="H382" t="s">
        <v>2790</v>
      </c>
    </row>
    <row r="383" spans="1:8" x14ac:dyDescent="0.25">
      <c r="A383">
        <v>17497217</v>
      </c>
      <c r="B383" t="s">
        <v>14</v>
      </c>
      <c r="C383" t="s">
        <v>14</v>
      </c>
      <c r="D383" t="s">
        <v>14</v>
      </c>
      <c r="E383" t="s">
        <v>2563</v>
      </c>
      <c r="F383" t="s">
        <v>14</v>
      </c>
      <c r="G383" t="s">
        <v>2564</v>
      </c>
      <c r="H383" t="s">
        <v>2791</v>
      </c>
    </row>
    <row r="384" spans="1:8" x14ac:dyDescent="0.25">
      <c r="A384">
        <v>17497328</v>
      </c>
      <c r="B384" t="s">
        <v>14</v>
      </c>
      <c r="C384" t="s">
        <v>14</v>
      </c>
      <c r="D384" t="s">
        <v>14</v>
      </c>
      <c r="E384" t="s">
        <v>14</v>
      </c>
      <c r="F384" t="s">
        <v>14</v>
      </c>
      <c r="G384" t="s">
        <v>2565</v>
      </c>
      <c r="H384" t="s">
        <v>2792</v>
      </c>
    </row>
    <row r="385" spans="1:8" x14ac:dyDescent="0.25">
      <c r="A385">
        <v>17499411</v>
      </c>
      <c r="B385" t="s">
        <v>14</v>
      </c>
      <c r="C385" t="s">
        <v>14</v>
      </c>
      <c r="D385" t="s">
        <v>14</v>
      </c>
      <c r="E385" t="s">
        <v>2566</v>
      </c>
      <c r="F385" t="s">
        <v>14</v>
      </c>
      <c r="G385" t="s">
        <v>2567</v>
      </c>
      <c r="H385" t="s">
        <v>2793</v>
      </c>
    </row>
    <row r="386" spans="1:8" x14ac:dyDescent="0.25">
      <c r="A386">
        <v>17500541</v>
      </c>
      <c r="B386" t="s">
        <v>14</v>
      </c>
      <c r="C386" t="s">
        <v>14</v>
      </c>
      <c r="D386" t="s">
        <v>14</v>
      </c>
      <c r="E386" t="s">
        <v>2568</v>
      </c>
      <c r="F386" t="s">
        <v>14</v>
      </c>
      <c r="G386" t="s">
        <v>14</v>
      </c>
      <c r="H386" t="s">
        <v>1970</v>
      </c>
    </row>
    <row r="387" spans="1:8" x14ac:dyDescent="0.25">
      <c r="A387">
        <v>17502901</v>
      </c>
      <c r="B387" t="s">
        <v>14</v>
      </c>
      <c r="C387" t="s">
        <v>14</v>
      </c>
      <c r="D387" t="s">
        <v>14</v>
      </c>
      <c r="E387" t="s">
        <v>2569</v>
      </c>
      <c r="F387" t="s">
        <v>14</v>
      </c>
      <c r="G387" t="s">
        <v>14</v>
      </c>
      <c r="H387" t="s">
        <v>2794</v>
      </c>
    </row>
    <row r="388" spans="1:8" x14ac:dyDescent="0.25">
      <c r="A388">
        <v>17509252</v>
      </c>
      <c r="B388" t="s">
        <v>14</v>
      </c>
      <c r="C388" t="s">
        <v>14</v>
      </c>
      <c r="D388" t="s">
        <v>14</v>
      </c>
      <c r="E388" t="s">
        <v>2570</v>
      </c>
      <c r="F388" t="s">
        <v>14</v>
      </c>
      <c r="G388" t="s">
        <v>2571</v>
      </c>
      <c r="H388" t="s">
        <v>2795</v>
      </c>
    </row>
    <row r="389" spans="1:8" x14ac:dyDescent="0.25">
      <c r="A389">
        <v>17513753</v>
      </c>
      <c r="B389" t="s">
        <v>14</v>
      </c>
      <c r="C389" t="s">
        <v>14</v>
      </c>
      <c r="D389" t="s">
        <v>14</v>
      </c>
      <c r="E389" t="s">
        <v>2572</v>
      </c>
      <c r="F389" t="s">
        <v>14</v>
      </c>
      <c r="G389" t="s">
        <v>2573</v>
      </c>
      <c r="H389" t="s">
        <v>2796</v>
      </c>
    </row>
    <row r="390" spans="1:8" x14ac:dyDescent="0.25">
      <c r="A390">
        <v>17515373</v>
      </c>
      <c r="B390" t="s">
        <v>14</v>
      </c>
      <c r="C390" t="s">
        <v>14</v>
      </c>
      <c r="D390" t="s">
        <v>14</v>
      </c>
      <c r="E390" t="s">
        <v>14</v>
      </c>
      <c r="F390" t="s">
        <v>14</v>
      </c>
      <c r="G390" t="s">
        <v>14</v>
      </c>
      <c r="H390" t="s">
        <v>2797</v>
      </c>
    </row>
    <row r="391" spans="1:8" x14ac:dyDescent="0.25">
      <c r="A391">
        <v>17516334</v>
      </c>
      <c r="B391" t="s">
        <v>14</v>
      </c>
      <c r="C391" t="s">
        <v>14</v>
      </c>
      <c r="D391" t="s">
        <v>14</v>
      </c>
      <c r="E391" t="s">
        <v>2574</v>
      </c>
      <c r="F391" t="s">
        <v>14</v>
      </c>
      <c r="G391" t="s">
        <v>2575</v>
      </c>
      <c r="H391" t="s">
        <v>2798</v>
      </c>
    </row>
    <row r="392" spans="1:8" x14ac:dyDescent="0.25">
      <c r="A392">
        <v>17520079</v>
      </c>
      <c r="B392" t="s">
        <v>14</v>
      </c>
      <c r="C392" t="s">
        <v>14</v>
      </c>
      <c r="D392" t="s">
        <v>14</v>
      </c>
      <c r="E392" t="s">
        <v>2576</v>
      </c>
      <c r="F392" t="s">
        <v>14</v>
      </c>
      <c r="G392" t="s">
        <v>14</v>
      </c>
      <c r="H392" t="s">
        <v>2799</v>
      </c>
    </row>
    <row r="393" spans="1:8" x14ac:dyDescent="0.25">
      <c r="A393">
        <v>17520114</v>
      </c>
      <c r="B393" t="s">
        <v>14</v>
      </c>
      <c r="C393" t="s">
        <v>14</v>
      </c>
      <c r="D393" t="s">
        <v>14</v>
      </c>
      <c r="E393" t="s">
        <v>2577</v>
      </c>
      <c r="F393" t="s">
        <v>14</v>
      </c>
      <c r="G393" t="s">
        <v>2578</v>
      </c>
      <c r="H393" t="s">
        <v>2800</v>
      </c>
    </row>
    <row r="394" spans="1:8" x14ac:dyDescent="0.25">
      <c r="A394">
        <v>17523249</v>
      </c>
      <c r="B394" t="s">
        <v>14</v>
      </c>
      <c r="C394" t="s">
        <v>14</v>
      </c>
      <c r="D394" t="s">
        <v>14</v>
      </c>
      <c r="E394" t="s">
        <v>14</v>
      </c>
      <c r="F394" t="s">
        <v>14</v>
      </c>
      <c r="G394" t="s">
        <v>2579</v>
      </c>
      <c r="H394" t="s">
        <v>2801</v>
      </c>
    </row>
    <row r="395" spans="1:8" x14ac:dyDescent="0.25">
      <c r="A395">
        <v>17526621</v>
      </c>
      <c r="B395" t="s">
        <v>14</v>
      </c>
      <c r="C395" t="s">
        <v>14</v>
      </c>
      <c r="D395" t="s">
        <v>14</v>
      </c>
      <c r="E395" t="s">
        <v>1847</v>
      </c>
      <c r="F395" t="s">
        <v>14</v>
      </c>
      <c r="G395" t="s">
        <v>14</v>
      </c>
      <c r="H395" t="s">
        <v>1971</v>
      </c>
    </row>
    <row r="396" spans="1:8" x14ac:dyDescent="0.25">
      <c r="A396">
        <v>17526657</v>
      </c>
      <c r="B396" t="s">
        <v>14</v>
      </c>
      <c r="C396" t="s">
        <v>14</v>
      </c>
      <c r="D396" t="s">
        <v>14</v>
      </c>
      <c r="E396" t="s">
        <v>14</v>
      </c>
      <c r="F396" t="s">
        <v>14</v>
      </c>
      <c r="G396" t="s">
        <v>1848</v>
      </c>
      <c r="H396" t="s">
        <v>1972</v>
      </c>
    </row>
    <row r="397" spans="1:8" x14ac:dyDescent="0.25">
      <c r="A397">
        <v>17527617</v>
      </c>
      <c r="B397" t="s">
        <v>14</v>
      </c>
      <c r="C397" t="s">
        <v>14</v>
      </c>
      <c r="D397" t="s">
        <v>14</v>
      </c>
      <c r="E397" t="s">
        <v>2580</v>
      </c>
      <c r="F397" t="s">
        <v>14</v>
      </c>
      <c r="G397" t="s">
        <v>2581</v>
      </c>
      <c r="H397" t="s">
        <v>2802</v>
      </c>
    </row>
    <row r="398" spans="1:8" x14ac:dyDescent="0.25">
      <c r="A398">
        <v>17528472</v>
      </c>
      <c r="B398" t="s">
        <v>14</v>
      </c>
      <c r="C398" t="s">
        <v>14</v>
      </c>
      <c r="D398" t="s">
        <v>14</v>
      </c>
      <c r="E398" t="s">
        <v>2582</v>
      </c>
      <c r="F398" t="s">
        <v>14</v>
      </c>
      <c r="G398" t="s">
        <v>2583</v>
      </c>
      <c r="H398" t="s">
        <v>2803</v>
      </c>
    </row>
    <row r="399" spans="1:8" x14ac:dyDescent="0.25">
      <c r="A399">
        <v>17534430</v>
      </c>
      <c r="B399" t="s">
        <v>14</v>
      </c>
      <c r="C399" t="s">
        <v>14</v>
      </c>
      <c r="D399" t="s">
        <v>14</v>
      </c>
      <c r="E399" t="s">
        <v>1847</v>
      </c>
      <c r="F399" t="s">
        <v>14</v>
      </c>
      <c r="G399" t="s">
        <v>14</v>
      </c>
      <c r="H399" t="s">
        <v>1973</v>
      </c>
    </row>
    <row r="400" spans="1:8" x14ac:dyDescent="0.25">
      <c r="A400">
        <v>17536167</v>
      </c>
      <c r="B400" t="s">
        <v>2584</v>
      </c>
      <c r="C400" t="s">
        <v>14</v>
      </c>
      <c r="D400" t="s">
        <v>14</v>
      </c>
      <c r="E400" t="s">
        <v>2584</v>
      </c>
      <c r="F400" t="s">
        <v>14</v>
      </c>
      <c r="G400" t="s">
        <v>2585</v>
      </c>
      <c r="H400" t="s">
        <v>2804</v>
      </c>
    </row>
    <row r="401" spans="1:8" x14ac:dyDescent="0.25">
      <c r="A401">
        <v>17539417</v>
      </c>
      <c r="B401" t="s">
        <v>14</v>
      </c>
      <c r="C401" t="s">
        <v>14</v>
      </c>
      <c r="D401" t="s">
        <v>14</v>
      </c>
      <c r="E401" t="s">
        <v>2586</v>
      </c>
      <c r="F401" t="s">
        <v>14</v>
      </c>
      <c r="G401" t="s">
        <v>14</v>
      </c>
      <c r="H401" t="s">
        <v>2805</v>
      </c>
    </row>
    <row r="402" spans="1:8" x14ac:dyDescent="0.25">
      <c r="A402">
        <v>17540421</v>
      </c>
      <c r="B402" t="s">
        <v>14</v>
      </c>
      <c r="C402" t="s">
        <v>14</v>
      </c>
      <c r="D402" t="s">
        <v>14</v>
      </c>
      <c r="E402" t="s">
        <v>2587</v>
      </c>
      <c r="F402" t="s">
        <v>14</v>
      </c>
      <c r="G402" t="s">
        <v>14</v>
      </c>
      <c r="H402" t="s">
        <v>2806</v>
      </c>
    </row>
    <row r="403" spans="1:8" x14ac:dyDescent="0.25">
      <c r="A403">
        <v>17541988</v>
      </c>
      <c r="B403" t="s">
        <v>14</v>
      </c>
      <c r="C403" t="s">
        <v>14</v>
      </c>
      <c r="D403" t="s">
        <v>14</v>
      </c>
      <c r="E403" t="s">
        <v>2588</v>
      </c>
      <c r="F403" t="s">
        <v>14</v>
      </c>
      <c r="G403" t="s">
        <v>14</v>
      </c>
      <c r="H403" t="s">
        <v>2807</v>
      </c>
    </row>
    <row r="404" spans="1:8" x14ac:dyDescent="0.25">
      <c r="A404">
        <v>17547730</v>
      </c>
      <c r="B404" t="s">
        <v>14</v>
      </c>
      <c r="C404" t="s">
        <v>14</v>
      </c>
      <c r="D404" t="s">
        <v>14</v>
      </c>
      <c r="E404" t="s">
        <v>14</v>
      </c>
      <c r="F404" t="s">
        <v>14</v>
      </c>
      <c r="G404" t="s">
        <v>2589</v>
      </c>
      <c r="H404" t="s">
        <v>2808</v>
      </c>
    </row>
    <row r="405" spans="1:8" x14ac:dyDescent="0.25">
      <c r="A405">
        <v>17551762</v>
      </c>
      <c r="B405" t="s">
        <v>14</v>
      </c>
      <c r="C405" t="s">
        <v>14</v>
      </c>
      <c r="D405" t="s">
        <v>14</v>
      </c>
      <c r="E405" t="s">
        <v>2590</v>
      </c>
      <c r="F405" t="s">
        <v>14</v>
      </c>
      <c r="G405" t="s">
        <v>2591</v>
      </c>
      <c r="H405" t="s">
        <v>2809</v>
      </c>
    </row>
    <row r="406" spans="1:8" x14ac:dyDescent="0.25">
      <c r="A406">
        <v>17555761</v>
      </c>
      <c r="B406" t="s">
        <v>14</v>
      </c>
      <c r="C406" t="s">
        <v>14</v>
      </c>
      <c r="D406" t="s">
        <v>14</v>
      </c>
      <c r="E406" t="s">
        <v>2592</v>
      </c>
      <c r="F406" t="s">
        <v>14</v>
      </c>
      <c r="G406" t="s">
        <v>14</v>
      </c>
      <c r="H406" t="s">
        <v>2810</v>
      </c>
    </row>
    <row r="407" spans="1:8" x14ac:dyDescent="0.25">
      <c r="A407">
        <v>17557339</v>
      </c>
      <c r="B407" t="s">
        <v>14</v>
      </c>
      <c r="C407" t="s">
        <v>14</v>
      </c>
      <c r="D407" t="s">
        <v>14</v>
      </c>
      <c r="E407" t="s">
        <v>2593</v>
      </c>
      <c r="F407" t="s">
        <v>14</v>
      </c>
      <c r="G407" t="s">
        <v>2594</v>
      </c>
      <c r="H407" t="s">
        <v>2811</v>
      </c>
    </row>
    <row r="408" spans="1:8" x14ac:dyDescent="0.25">
      <c r="A408">
        <v>17558809</v>
      </c>
      <c r="B408" t="s">
        <v>14</v>
      </c>
      <c r="C408" t="s">
        <v>14</v>
      </c>
      <c r="D408" t="s">
        <v>14</v>
      </c>
      <c r="E408" t="s">
        <v>2595</v>
      </c>
      <c r="F408" t="s">
        <v>14</v>
      </c>
      <c r="G408" t="s">
        <v>2596</v>
      </c>
      <c r="H408" t="s">
        <v>2812</v>
      </c>
    </row>
    <row r="409" spans="1:8" x14ac:dyDescent="0.25">
      <c r="A409">
        <v>17559003</v>
      </c>
      <c r="B409" t="s">
        <v>14</v>
      </c>
      <c r="C409" t="s">
        <v>14</v>
      </c>
      <c r="D409" t="s">
        <v>14</v>
      </c>
      <c r="E409" t="s">
        <v>2597</v>
      </c>
      <c r="F409" t="s">
        <v>14</v>
      </c>
      <c r="G409" t="s">
        <v>14</v>
      </c>
      <c r="H409" t="s">
        <v>2813</v>
      </c>
    </row>
    <row r="410" spans="1:8" x14ac:dyDescent="0.25">
      <c r="A410">
        <v>17561192</v>
      </c>
      <c r="B410" t="s">
        <v>14</v>
      </c>
      <c r="C410" t="s">
        <v>14</v>
      </c>
      <c r="D410" t="s">
        <v>14</v>
      </c>
      <c r="E410" t="s">
        <v>2598</v>
      </c>
      <c r="F410" t="s">
        <v>14</v>
      </c>
      <c r="G410" t="s">
        <v>14</v>
      </c>
      <c r="H410" t="s">
        <v>2814</v>
      </c>
    </row>
    <row r="411" spans="1:8" x14ac:dyDescent="0.25">
      <c r="A411">
        <v>17561794</v>
      </c>
      <c r="B411" t="s">
        <v>14</v>
      </c>
      <c r="C411" t="s">
        <v>14</v>
      </c>
      <c r="D411" t="s">
        <v>2599</v>
      </c>
      <c r="E411" t="s">
        <v>14</v>
      </c>
      <c r="F411" t="s">
        <v>2599</v>
      </c>
      <c r="G411" t="s">
        <v>14</v>
      </c>
      <c r="H411" t="s">
        <v>2815</v>
      </c>
    </row>
    <row r="412" spans="1:8" x14ac:dyDescent="0.25">
      <c r="A412">
        <v>17565028</v>
      </c>
      <c r="B412" t="s">
        <v>2600</v>
      </c>
      <c r="C412" t="s">
        <v>14</v>
      </c>
      <c r="D412" t="s">
        <v>14</v>
      </c>
      <c r="E412" t="s">
        <v>2601</v>
      </c>
      <c r="F412" t="s">
        <v>14</v>
      </c>
      <c r="G412" t="s">
        <v>14</v>
      </c>
      <c r="H412" t="s">
        <v>2816</v>
      </c>
    </row>
    <row r="413" spans="1:8" x14ac:dyDescent="0.25">
      <c r="A413">
        <v>17569224</v>
      </c>
      <c r="B413" t="s">
        <v>14</v>
      </c>
      <c r="C413" t="s">
        <v>14</v>
      </c>
      <c r="D413" t="s">
        <v>14</v>
      </c>
      <c r="E413" t="s">
        <v>2602</v>
      </c>
      <c r="F413" t="s">
        <v>14</v>
      </c>
      <c r="G413" t="s">
        <v>14</v>
      </c>
      <c r="H413" t="s">
        <v>2817</v>
      </c>
    </row>
    <row r="414" spans="1:8" x14ac:dyDescent="0.25">
      <c r="A414">
        <v>17569229</v>
      </c>
      <c r="B414" t="s">
        <v>14</v>
      </c>
      <c r="C414" t="s">
        <v>14</v>
      </c>
      <c r="D414" t="s">
        <v>14</v>
      </c>
      <c r="E414" t="s">
        <v>14</v>
      </c>
      <c r="F414" t="s">
        <v>14</v>
      </c>
      <c r="G414" t="s">
        <v>14</v>
      </c>
      <c r="H414" t="s">
        <v>2818</v>
      </c>
    </row>
    <row r="415" spans="1:8" x14ac:dyDescent="0.25">
      <c r="A415">
        <v>17573173</v>
      </c>
      <c r="B415" t="s">
        <v>14</v>
      </c>
      <c r="C415" t="s">
        <v>14</v>
      </c>
      <c r="D415" t="s">
        <v>14</v>
      </c>
      <c r="E415" t="s">
        <v>2603</v>
      </c>
      <c r="F415" t="s">
        <v>14</v>
      </c>
      <c r="G415" t="s">
        <v>14</v>
      </c>
      <c r="H415" t="s">
        <v>2819</v>
      </c>
    </row>
    <row r="420" spans="2:2" x14ac:dyDescent="0.25">
      <c r="B420" s="4"/>
    </row>
    <row r="421" spans="2:2" x14ac:dyDescent="0.25">
      <c r="B421" s="4"/>
    </row>
    <row r="422" spans="2:2" x14ac:dyDescent="0.25">
      <c r="B422" s="4"/>
    </row>
    <row r="430" spans="2:2" x14ac:dyDescent="0.25">
      <c r="B430" s="4"/>
    </row>
    <row r="431" spans="2:2" x14ac:dyDescent="0.25">
      <c r="B431" s="4"/>
    </row>
    <row r="435" spans="2:2" x14ac:dyDescent="0.25">
      <c r="B435" s="4"/>
    </row>
    <row r="440" spans="2:2" x14ac:dyDescent="0.25">
      <c r="B440" s="4"/>
    </row>
    <row r="441" spans="2:2" x14ac:dyDescent="0.25">
      <c r="B441" s="4"/>
    </row>
    <row r="453" spans="2:2" x14ac:dyDescent="0.25">
      <c r="B453" s="4"/>
    </row>
    <row r="470" spans="2:2" x14ac:dyDescent="0.25">
      <c r="B470" s="4"/>
    </row>
    <row r="471" spans="2:2" x14ac:dyDescent="0.25">
      <c r="B471" s="4"/>
    </row>
    <row r="472" spans="2:2" x14ac:dyDescent="0.25">
      <c r="B472" s="4"/>
    </row>
    <row r="479" spans="2:2" x14ac:dyDescent="0.25">
      <c r="B479" s="4"/>
    </row>
    <row r="480" spans="2:2" x14ac:dyDescent="0.25">
      <c r="B480" s="4"/>
    </row>
    <row r="488" spans="2:2" x14ac:dyDescent="0.25">
      <c r="B488" s="4"/>
    </row>
    <row r="489" spans="2:2" x14ac:dyDescent="0.25">
      <c r="B489" s="4"/>
    </row>
    <row r="494" spans="2:2" x14ac:dyDescent="0.25">
      <c r="B494" s="4"/>
    </row>
    <row r="495" spans="2:2" x14ac:dyDescent="0.25">
      <c r="B495" s="4"/>
    </row>
    <row r="496" spans="2:2" x14ac:dyDescent="0.25">
      <c r="B496" s="4"/>
    </row>
    <row r="505" spans="2:2" x14ac:dyDescent="0.25">
      <c r="B505" s="4"/>
    </row>
    <row r="506" spans="2:2" x14ac:dyDescent="0.25">
      <c r="B506" s="4"/>
    </row>
    <row r="507" spans="2:2" x14ac:dyDescent="0.25">
      <c r="B507" s="4"/>
    </row>
    <row r="508" spans="2:2" x14ac:dyDescent="0.25">
      <c r="B508" s="4"/>
    </row>
    <row r="509" spans="2:2" x14ac:dyDescent="0.25">
      <c r="B509" s="4"/>
    </row>
    <row r="523" spans="2:2" x14ac:dyDescent="0.25">
      <c r="B523" s="4"/>
    </row>
    <row r="524" spans="2:2" x14ac:dyDescent="0.25">
      <c r="B524" s="4"/>
    </row>
    <row r="525" spans="2:2" x14ac:dyDescent="0.25">
      <c r="B525" s="4"/>
    </row>
    <row r="526" spans="2:2" x14ac:dyDescent="0.25">
      <c r="B526" s="4"/>
    </row>
    <row r="527" spans="2:2" x14ac:dyDescent="0.25">
      <c r="B527" s="4"/>
    </row>
    <row r="528" spans="2:2" x14ac:dyDescent="0.25">
      <c r="B528" s="4"/>
    </row>
    <row r="542" spans="2:2" x14ac:dyDescent="0.25">
      <c r="B542" s="4"/>
    </row>
    <row r="543" spans="2:2" x14ac:dyDescent="0.25">
      <c r="B543" s="4"/>
    </row>
    <row r="544" spans="2:2" x14ac:dyDescent="0.25">
      <c r="B544" s="4"/>
    </row>
    <row r="545" spans="2:2" x14ac:dyDescent="0.25">
      <c r="B545" s="4"/>
    </row>
    <row r="546" spans="2:2" x14ac:dyDescent="0.25">
      <c r="B546" s="4"/>
    </row>
    <row r="547" spans="2:2" x14ac:dyDescent="0.25">
      <c r="B547" s="4"/>
    </row>
    <row r="548" spans="2:2" x14ac:dyDescent="0.25">
      <c r="B548" s="4"/>
    </row>
    <row r="549" spans="2:2" x14ac:dyDescent="0.25">
      <c r="B549" s="4"/>
    </row>
    <row r="566" spans="2:2" x14ac:dyDescent="0.25">
      <c r="B566" s="4"/>
    </row>
    <row r="567" spans="2:2" x14ac:dyDescent="0.25">
      <c r="B567" s="4"/>
    </row>
    <row r="568" spans="2:2" x14ac:dyDescent="0.25">
      <c r="B568" s="4"/>
    </row>
    <row r="593" spans="2:2" x14ac:dyDescent="0.25">
      <c r="B593" s="4"/>
    </row>
    <row r="594" spans="2:2" x14ac:dyDescent="0.25">
      <c r="B594" s="4"/>
    </row>
    <row r="595" spans="2:2" x14ac:dyDescent="0.25">
      <c r="B595" s="4"/>
    </row>
    <row r="596" spans="2:2" x14ac:dyDescent="0.25">
      <c r="B596" s="4"/>
    </row>
    <row r="597" spans="2:2" x14ac:dyDescent="0.25">
      <c r="B597" s="4"/>
    </row>
    <row r="606" spans="2:2" x14ac:dyDescent="0.25">
      <c r="B606" s="4"/>
    </row>
    <row r="607" spans="2:2" x14ac:dyDescent="0.25">
      <c r="B607" s="4"/>
    </row>
    <row r="608" spans="2:2" x14ac:dyDescent="0.25">
      <c r="B608" s="4"/>
    </row>
    <row r="609" spans="2:2" x14ac:dyDescent="0.25">
      <c r="B609" s="4"/>
    </row>
    <row r="610" spans="2:2" x14ac:dyDescent="0.25">
      <c r="B610" s="4"/>
    </row>
    <row r="611" spans="2:2" x14ac:dyDescent="0.25">
      <c r="B611" s="4"/>
    </row>
    <row r="612" spans="2:2" x14ac:dyDescent="0.25">
      <c r="B612" s="4"/>
    </row>
    <row r="613" spans="2:2" x14ac:dyDescent="0.25">
      <c r="B613" s="4"/>
    </row>
    <row r="614" spans="2:2" x14ac:dyDescent="0.25">
      <c r="B614" s="4"/>
    </row>
    <row r="632" spans="2:2" x14ac:dyDescent="0.25">
      <c r="B632" s="4"/>
    </row>
    <row r="633" spans="2:2" x14ac:dyDescent="0.25">
      <c r="B633" s="4"/>
    </row>
    <row r="634" spans="2:2" x14ac:dyDescent="0.25">
      <c r="B634" s="4"/>
    </row>
    <row r="635" spans="2:2" x14ac:dyDescent="0.25">
      <c r="B635" s="4"/>
    </row>
    <row r="660" spans="2:2" x14ac:dyDescent="0.25">
      <c r="B660" s="4"/>
    </row>
    <row r="661" spans="2:2" x14ac:dyDescent="0.25">
      <c r="B661" s="4"/>
    </row>
    <row r="662" spans="2:2" x14ac:dyDescent="0.25">
      <c r="B662" s="4"/>
    </row>
    <row r="663" spans="2:2" x14ac:dyDescent="0.25">
      <c r="B663" s="4"/>
    </row>
    <row r="683" spans="2:2" x14ac:dyDescent="0.25">
      <c r="B683" s="4"/>
    </row>
    <row r="684" spans="2:2" x14ac:dyDescent="0.25">
      <c r="B684" s="4"/>
    </row>
    <row r="685" spans="2:2" x14ac:dyDescent="0.25">
      <c r="B685" s="4"/>
    </row>
    <row r="686" spans="2:2" x14ac:dyDescent="0.25">
      <c r="B686" s="4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C2DD0C01BF29841AACD3453FDD103EE" ma:contentTypeVersion="16" ma:contentTypeDescription="Create a new document." ma:contentTypeScope="" ma:versionID="d375c02ba9300996b9553c1a1b90f1a8">
  <xsd:schema xmlns:xsd="http://www.w3.org/2001/XMLSchema" xmlns:xs="http://www.w3.org/2001/XMLSchema" xmlns:p="http://schemas.microsoft.com/office/2006/metadata/properties" xmlns:ns2="54df4e92-314c-4d19-b878-e7c254d6ab80" xmlns:ns3="74f2b999-8957-4ece-952e-7bbd6c7e9400" xmlns:ns4="e09f3f66-7606-464c-8bb7-106d86afdd1f" targetNamespace="http://schemas.microsoft.com/office/2006/metadata/properties" ma:root="true" ma:fieldsID="009808e3de6875986906697601826a93" ns2:_="" ns3:_="" ns4:_="">
    <xsd:import namespace="54df4e92-314c-4d19-b878-e7c254d6ab80"/>
    <xsd:import namespace="74f2b999-8957-4ece-952e-7bbd6c7e9400"/>
    <xsd:import namespace="e09f3f66-7606-464c-8bb7-106d86afdd1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OCR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df4e92-314c-4d19-b878-e7c254d6ab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3" nillable="true" ma:displayName="Length (seconds)" ma:internalName="MediaLengthInSeconds" ma:readOnly="true">
      <xsd:simpleType>
        <xsd:restriction base="dms:Unknown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5c25cbba-0c74-4f28-92d4-a3c6495c4b6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ObjectDetectorVersions" ma:index="2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4f2b999-8957-4ece-952e-7bbd6c7e9400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09f3f66-7606-464c-8bb7-106d86afdd1f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e6a9bc9b-0a41-4f8b-91a3-a621d065c455}" ma:internalName="TaxCatchAll" ma:showField="CatchAllData" ma:web="74f2b999-8957-4ece-952e-7bbd6c7e940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09f3f66-7606-464c-8bb7-106d86afdd1f" xsi:nil="true"/>
    <lcf76f155ced4ddcb4097134ff3c332f xmlns="54df4e92-314c-4d19-b878-e7c254d6ab80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8DE8C844-FB0A-47EB-82F7-4A47A5923C6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4df4e92-314c-4d19-b878-e7c254d6ab80"/>
    <ds:schemaRef ds:uri="74f2b999-8957-4ece-952e-7bbd6c7e9400"/>
    <ds:schemaRef ds:uri="e09f3f66-7606-464c-8bb7-106d86afdd1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362567D-EB2D-4455-9826-2813C908BB5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2B205BE-7F1C-42FD-9CD0-88742448024D}">
  <ds:schemaRefs>
    <ds:schemaRef ds:uri="http://schemas.microsoft.com/office/2006/documentManagement/types"/>
    <ds:schemaRef ds:uri="54df4e92-314c-4d19-b878-e7c254d6ab80"/>
    <ds:schemaRef ds:uri="http://purl.org/dc/elements/1.1/"/>
    <ds:schemaRef ds:uri="http://schemas.microsoft.com/office/2006/metadata/properties"/>
    <ds:schemaRef ds:uri="http://schemas.openxmlformats.org/package/2006/metadata/core-properties"/>
    <ds:schemaRef ds:uri="http://purl.org/dc/terms/"/>
    <ds:schemaRef ds:uri="e09f3f66-7606-464c-8bb7-106d86afdd1f"/>
    <ds:schemaRef ds:uri="http://schemas.microsoft.com/office/infopath/2007/PartnerControls"/>
    <ds:schemaRef ds:uri="74f2b999-8957-4ece-952e-7bbd6c7e9400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High Priority</vt:lpstr>
      <vt:lpstr>Low Priority</vt:lpstr>
      <vt:lpstr>Old Data High Pri</vt:lpstr>
      <vt:lpstr>Old Data Low Pri</vt:lpstr>
      <vt:lpstr>Device Codes</vt:lpstr>
      <vt:lpstr>Recent Changes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Acosta Navarro, Randall</dc:creator>
  <cp:lastModifiedBy>Acosta Navarro, Randall</cp:lastModifiedBy>
  <dcterms:created xsi:type="dcterms:W3CDTF">2023-08-08T17:12:03Z</dcterms:created>
  <dcterms:modified xsi:type="dcterms:W3CDTF">2024-01-10T19:59:31Z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0x0101008C2DD0C01BF29841AACD3453FDD103EE</vt:lpwstr>
  </property>
  <property fmtid="{D5CDD505-2E9C-101B-9397-08002B2CF9AE}" pid="3" name="MediaServiceImageTags">
    <vt:lpwstr/>
  </property>
</Properties>
</file>